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externalLinks/externalLink7.xml" ContentType="application/vnd.openxmlformats-officedocument.spreadsheetml.externalLink+xml"/>
  <Override PartName="/xl/externalLinks/externalLink6.xml" ContentType="application/vnd.openxmlformats-officedocument.spreadsheetml.externalLink+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defaultThemeVersion="166925"/>
  <mc:AlternateContent xmlns:mc="http://schemas.openxmlformats.org/markup-compatibility/2006">
    <mc:Choice Requires="x15">
      <x15ac:absPath xmlns:x15ac="http://schemas.microsoft.com/office/spreadsheetml/2010/11/ac" url="\\192.168.11.200\000_全国共有\2-Zespri\品質調査\2020品質調査\53週\"/>
    </mc:Choice>
  </mc:AlternateContent>
  <xr:revisionPtr revIDLastSave="0" documentId="13_ncr:1_{A94ADB86-DBCB-4F0B-BC5B-F50E3768CB12}" xr6:coauthVersionLast="45" xr6:coauthVersionMax="45" xr10:uidLastSave="{00000000-0000-0000-0000-000000000000}"/>
  <bookViews>
    <workbookView xWindow="-120" yWindow="-120" windowWidth="29040" windowHeight="15840" xr2:uid="{00000000-000D-0000-FFFF-FFFF00000000}"/>
  </bookViews>
  <sheets>
    <sheet name="sapporo" sheetId="9" r:id="rId1"/>
    <sheet name="miyagi" sheetId="3" r:id="rId2"/>
    <sheet name="nagoya" sheetId="7" r:id="rId3"/>
    <sheet name="osaka" sheetId="8" r:id="rId4"/>
    <sheet name="hiroshima" sheetId="6" r:id="rId5"/>
    <sheet name="fukuoka" sheetId="5" r:id="rId6"/>
    <sheet name="tokyo-west(ota)" sheetId="1" r:id="rId7"/>
    <sheet name="tokyo-east(konishi)" sheetId="4"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hiroshima!$A$1:$BA$91</definedName>
    <definedName name="_xlnm._FilterDatabase" localSheetId="1" hidden="1">miyagi!$A$1:$AB$61</definedName>
    <definedName name="_xlnm._FilterDatabase" localSheetId="2" hidden="1">nagoya!$A$1:$AB$130</definedName>
    <definedName name="_xlnm._FilterDatabase" localSheetId="3" hidden="1">osaka!$A$1:$BA$115</definedName>
    <definedName name="_xlnm._FilterDatabase" localSheetId="0" hidden="1">sapporo!$A$1:$BA$120</definedName>
    <definedName name="_xlnm._FilterDatabase" localSheetId="7" hidden="1">'tokyo-east(konishi)'!$A$1:$BA$142</definedName>
    <definedName name="_xlnm._FilterDatabase" localSheetId="6" hidden="1">'tokyo-west(ota)'!$A$1:$BA$94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'tokyo-west(ota)'!$A$1:$AH$46</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60" i="9" l="1"/>
  <c r="V160" i="9" s="1"/>
  <c r="Q160" i="9"/>
  <c r="T159" i="9"/>
  <c r="V159" i="9" s="1"/>
  <c r="Q159" i="9"/>
  <c r="T158" i="9"/>
  <c r="V158" i="9" s="1"/>
  <c r="Q158" i="9"/>
  <c r="T157" i="9"/>
  <c r="V157" i="9" s="1"/>
  <c r="Q157" i="9"/>
  <c r="T156" i="9"/>
  <c r="V156" i="9" s="1"/>
  <c r="Q156" i="9"/>
  <c r="T155" i="9"/>
  <c r="V155" i="9" s="1"/>
  <c r="Q155" i="9"/>
  <c r="T154" i="9"/>
  <c r="V154" i="9" s="1"/>
  <c r="Q154" i="9"/>
  <c r="T153" i="9"/>
  <c r="V153" i="9" s="1"/>
  <c r="Q153" i="9"/>
  <c r="T152" i="9"/>
  <c r="V152" i="9" s="1"/>
  <c r="Q152" i="9"/>
  <c r="T151" i="9"/>
  <c r="V151" i="9" s="1"/>
  <c r="Q151" i="9"/>
  <c r="T150" i="9"/>
  <c r="V150" i="9" s="1"/>
  <c r="Q150" i="9"/>
  <c r="T149" i="9"/>
  <c r="V149" i="9" s="1"/>
  <c r="Q149" i="9"/>
  <c r="T148" i="9"/>
  <c r="V148" i="9" s="1"/>
  <c r="Q148" i="9"/>
  <c r="T147" i="9"/>
  <c r="V147" i="9" s="1"/>
  <c r="Q147" i="9"/>
  <c r="V146" i="9"/>
  <c r="T146" i="9"/>
  <c r="Q146" i="9"/>
  <c r="T145" i="9"/>
  <c r="V145" i="9" s="1"/>
  <c r="Q145" i="9"/>
  <c r="T144" i="9"/>
  <c r="V144" i="9" s="1"/>
  <c r="Q144" i="9"/>
  <c r="T143" i="9"/>
  <c r="V143" i="9" s="1"/>
  <c r="Q143" i="9"/>
  <c r="T142" i="9"/>
  <c r="V142" i="9" s="1"/>
  <c r="Q142" i="9"/>
  <c r="T141" i="9"/>
  <c r="V141" i="9" s="1"/>
  <c r="Q141" i="9"/>
  <c r="T140" i="9"/>
  <c r="V140" i="9" s="1"/>
  <c r="Q140" i="9"/>
  <c r="T139" i="9"/>
  <c r="V139" i="9" s="1"/>
  <c r="Q139" i="9"/>
  <c r="T138" i="9"/>
  <c r="V138" i="9" s="1"/>
  <c r="Q138" i="9"/>
  <c r="T137" i="9"/>
  <c r="V137" i="9" s="1"/>
  <c r="Q137" i="9"/>
  <c r="T136" i="9"/>
  <c r="V136" i="9" s="1"/>
  <c r="Q136" i="9"/>
  <c r="T135" i="9"/>
  <c r="V135" i="9" s="1"/>
  <c r="Q135" i="9"/>
  <c r="T134" i="9"/>
  <c r="V134" i="9" s="1"/>
  <c r="Q134" i="9"/>
  <c r="T133" i="9"/>
  <c r="V133" i="9" s="1"/>
  <c r="Q133" i="9"/>
  <c r="T132" i="9"/>
  <c r="V132" i="9" s="1"/>
  <c r="Q132" i="9"/>
  <c r="T131" i="9"/>
  <c r="V131" i="9" s="1"/>
  <c r="Q131" i="9"/>
  <c r="T130" i="9"/>
  <c r="V130" i="9" s="1"/>
  <c r="Q130" i="9"/>
  <c r="T129" i="9"/>
  <c r="V129" i="9" s="1"/>
  <c r="Q129" i="9"/>
  <c r="T128" i="9"/>
  <c r="V128" i="9" s="1"/>
  <c r="Q128" i="9"/>
  <c r="T127" i="9"/>
  <c r="V127" i="9" s="1"/>
  <c r="Q127" i="9"/>
  <c r="T126" i="9"/>
  <c r="V126" i="9" s="1"/>
  <c r="Q126" i="9"/>
  <c r="T125" i="9"/>
  <c r="V125" i="9" s="1"/>
  <c r="Q125" i="9"/>
  <c r="T124" i="9"/>
  <c r="V124" i="9" s="1"/>
  <c r="Q124" i="9"/>
  <c r="T123" i="9"/>
  <c r="V123" i="9" s="1"/>
  <c r="Q123" i="9"/>
  <c r="T122" i="9"/>
  <c r="V122" i="9" s="1"/>
  <c r="Q122" i="9"/>
  <c r="T121" i="9"/>
  <c r="V121" i="9" s="1"/>
  <c r="Q121" i="9"/>
  <c r="T120" i="9"/>
  <c r="V120" i="9" s="1"/>
  <c r="Q120" i="9"/>
  <c r="T119" i="9"/>
  <c r="V119" i="9" s="1"/>
  <c r="Q119" i="9"/>
  <c r="T118" i="9"/>
  <c r="V118" i="9" s="1"/>
  <c r="Q118" i="9"/>
  <c r="T117" i="9"/>
  <c r="V117" i="9" s="1"/>
  <c r="Q117" i="9"/>
  <c r="T116" i="9"/>
  <c r="V116" i="9" s="1"/>
  <c r="Q116" i="9"/>
  <c r="T115" i="9"/>
  <c r="V115" i="9" s="1"/>
  <c r="Q115" i="9"/>
  <c r="T114" i="9"/>
  <c r="V114" i="9" s="1"/>
  <c r="Q114" i="9"/>
  <c r="T113" i="9"/>
  <c r="V113" i="9" s="1"/>
  <c r="Q113" i="9"/>
  <c r="T112" i="9"/>
  <c r="V112" i="9" s="1"/>
  <c r="Q112" i="9"/>
  <c r="T111" i="9"/>
  <c r="V111" i="9" s="1"/>
  <c r="Q111" i="9"/>
  <c r="T110" i="9"/>
  <c r="V110" i="9" s="1"/>
  <c r="Q110" i="9"/>
  <c r="T109" i="9"/>
  <c r="V109" i="9" s="1"/>
  <c r="Q109" i="9"/>
  <c r="T108" i="9"/>
  <c r="V108" i="9" s="1"/>
  <c r="Q108" i="9"/>
  <c r="T107" i="9"/>
  <c r="V107" i="9" s="1"/>
  <c r="Q107" i="9"/>
  <c r="T106" i="9"/>
  <c r="V106" i="9" s="1"/>
  <c r="Q106" i="9"/>
  <c r="T105" i="9"/>
  <c r="V105" i="9" s="1"/>
  <c r="Q105" i="9"/>
  <c r="T104" i="9"/>
  <c r="V104" i="9" s="1"/>
  <c r="Q104" i="9"/>
  <c r="T103" i="9"/>
  <c r="V103" i="9" s="1"/>
  <c r="Q103" i="9"/>
  <c r="T102" i="9"/>
  <c r="V102" i="9" s="1"/>
  <c r="Q102" i="9"/>
  <c r="T101" i="9"/>
  <c r="V101" i="9" s="1"/>
  <c r="Q101" i="9"/>
  <c r="T100" i="9"/>
  <c r="V100" i="9" s="1"/>
  <c r="Q100" i="9"/>
  <c r="T99" i="9"/>
  <c r="V99" i="9" s="1"/>
  <c r="Q99" i="9"/>
  <c r="T98" i="9"/>
  <c r="V98" i="9" s="1"/>
  <c r="Q98" i="9"/>
  <c r="T97" i="9"/>
  <c r="V97" i="9" s="1"/>
  <c r="Q97" i="9"/>
  <c r="T96" i="9"/>
  <c r="V96" i="9" s="1"/>
  <c r="Q96" i="9"/>
  <c r="T95" i="9"/>
  <c r="V95" i="9" s="1"/>
  <c r="Q95" i="9"/>
  <c r="T94" i="9"/>
  <c r="V94" i="9" s="1"/>
  <c r="Q94" i="9"/>
  <c r="T93" i="9"/>
  <c r="V93" i="9" s="1"/>
  <c r="Q93" i="9"/>
  <c r="T92" i="9"/>
  <c r="V92" i="9" s="1"/>
  <c r="Q92" i="9"/>
  <c r="T91" i="9"/>
  <c r="V91" i="9" s="1"/>
  <c r="Q91" i="9"/>
  <c r="T90" i="9"/>
  <c r="V90" i="9" s="1"/>
  <c r="Q90" i="9"/>
  <c r="T89" i="9"/>
  <c r="V89" i="9" s="1"/>
  <c r="Q89" i="9"/>
  <c r="T88" i="9"/>
  <c r="V88" i="9" s="1"/>
  <c r="Q88" i="9"/>
  <c r="T87" i="9"/>
  <c r="V87" i="9" s="1"/>
  <c r="Q87" i="9"/>
  <c r="T86" i="9"/>
  <c r="V86" i="9" s="1"/>
  <c r="Q86" i="9"/>
  <c r="T85" i="9"/>
  <c r="V85" i="9" s="1"/>
  <c r="Q85" i="9"/>
  <c r="T84" i="9"/>
  <c r="V84" i="9" s="1"/>
  <c r="Q84" i="9"/>
  <c r="T83" i="9"/>
  <c r="V83" i="9" s="1"/>
  <c r="Q83" i="9"/>
  <c r="V82" i="9"/>
  <c r="T82" i="9"/>
  <c r="Q82" i="9"/>
  <c r="T81" i="9"/>
  <c r="V81" i="9" s="1"/>
  <c r="Q81" i="9"/>
  <c r="T80" i="9"/>
  <c r="V80" i="9" s="1"/>
  <c r="Q80" i="9"/>
  <c r="T79" i="9"/>
  <c r="V79" i="9" s="1"/>
  <c r="Q79" i="9"/>
  <c r="T78" i="9"/>
  <c r="V78" i="9" s="1"/>
  <c r="Q78" i="9"/>
  <c r="T77" i="9"/>
  <c r="V77" i="9" s="1"/>
  <c r="Q77" i="9"/>
  <c r="T76" i="9"/>
  <c r="V76" i="9" s="1"/>
  <c r="Q76" i="9"/>
  <c r="T75" i="9"/>
  <c r="V75" i="9" s="1"/>
  <c r="Q75" i="9"/>
  <c r="T74" i="9"/>
  <c r="V74" i="9" s="1"/>
  <c r="Q74" i="9"/>
  <c r="T73" i="9"/>
  <c r="V73" i="9" s="1"/>
  <c r="Q73" i="9"/>
  <c r="T72" i="9"/>
  <c r="V72" i="9" s="1"/>
  <c r="Q72" i="9"/>
  <c r="T71" i="9"/>
  <c r="V71" i="9" s="1"/>
  <c r="Q71" i="9"/>
  <c r="T70" i="9"/>
  <c r="V70" i="9" s="1"/>
  <c r="Q70" i="9"/>
  <c r="T69" i="9"/>
  <c r="V69" i="9" s="1"/>
  <c r="Q69" i="9"/>
  <c r="T68" i="9"/>
  <c r="V68" i="9" s="1"/>
  <c r="Q68" i="9"/>
  <c r="T67" i="9"/>
  <c r="V67" i="9" s="1"/>
  <c r="Q67" i="9"/>
  <c r="T66" i="9"/>
  <c r="V66" i="9" s="1"/>
  <c r="Q66" i="9"/>
  <c r="T65" i="9"/>
  <c r="V65" i="9" s="1"/>
  <c r="Q65" i="9"/>
  <c r="T64" i="9"/>
  <c r="V64" i="9" s="1"/>
  <c r="Q64" i="9"/>
  <c r="T63" i="9"/>
  <c r="V63" i="9" s="1"/>
  <c r="Q63" i="9"/>
  <c r="T62" i="9"/>
  <c r="V62" i="9" s="1"/>
  <c r="Q62" i="9"/>
  <c r="T61" i="9"/>
  <c r="V61" i="9" s="1"/>
  <c r="Q61" i="9"/>
  <c r="T60" i="9"/>
  <c r="V60" i="9" s="1"/>
  <c r="Q60" i="9"/>
  <c r="T59" i="9"/>
  <c r="V59" i="9" s="1"/>
  <c r="Q59" i="9"/>
  <c r="T58" i="9"/>
  <c r="V58" i="9" s="1"/>
  <c r="Q58" i="9"/>
  <c r="T57" i="9"/>
  <c r="V57" i="9" s="1"/>
  <c r="Q57" i="9"/>
  <c r="T56" i="9"/>
  <c r="V56" i="9" s="1"/>
  <c r="Q56" i="9"/>
  <c r="T55" i="9"/>
  <c r="V55" i="9" s="1"/>
  <c r="Q55" i="9"/>
  <c r="T54" i="9"/>
  <c r="V54" i="9" s="1"/>
  <c r="Q54" i="9"/>
  <c r="T53" i="9"/>
  <c r="V53" i="9" s="1"/>
  <c r="Q53" i="9"/>
  <c r="T52" i="9"/>
  <c r="V52" i="9" s="1"/>
  <c r="Q52" i="9"/>
  <c r="T51" i="9"/>
  <c r="V51" i="9" s="1"/>
  <c r="Q51" i="9"/>
  <c r="T50" i="9"/>
  <c r="V50" i="9" s="1"/>
  <c r="Q50" i="9"/>
  <c r="T49" i="9"/>
  <c r="V49" i="9" s="1"/>
  <c r="Q49" i="9"/>
  <c r="T48" i="9"/>
  <c r="V48" i="9" s="1"/>
  <c r="Q48" i="9"/>
  <c r="T47" i="9"/>
  <c r="V47" i="9" s="1"/>
  <c r="Q47" i="9"/>
  <c r="T46" i="9"/>
  <c r="V46" i="9" s="1"/>
  <c r="Q46" i="9"/>
  <c r="T45" i="9"/>
  <c r="V45" i="9" s="1"/>
  <c r="Q45" i="9"/>
  <c r="T44" i="9"/>
  <c r="V44" i="9" s="1"/>
  <c r="Q44" i="9"/>
  <c r="T43" i="9"/>
  <c r="V43" i="9" s="1"/>
  <c r="Q43" i="9"/>
  <c r="T42" i="9"/>
  <c r="V42" i="9" s="1"/>
  <c r="Q42" i="9"/>
  <c r="T41" i="9"/>
  <c r="V41" i="9" s="1"/>
  <c r="Q41" i="9"/>
  <c r="T40" i="9"/>
  <c r="V40" i="9" s="1"/>
  <c r="Q40" i="9"/>
  <c r="T39" i="9"/>
  <c r="V39" i="9" s="1"/>
  <c r="Q39" i="9"/>
  <c r="T38" i="9"/>
  <c r="V38" i="9" s="1"/>
  <c r="Q38" i="9"/>
  <c r="T37" i="9"/>
  <c r="V37" i="9" s="1"/>
  <c r="Q37" i="9"/>
  <c r="T36" i="9"/>
  <c r="V36" i="9" s="1"/>
  <c r="Q36" i="9"/>
  <c r="T35" i="9"/>
  <c r="V35" i="9" s="1"/>
  <c r="Q35" i="9"/>
  <c r="T34" i="9"/>
  <c r="V34" i="9" s="1"/>
  <c r="Q34" i="9"/>
  <c r="T33" i="9"/>
  <c r="V33" i="9" s="1"/>
  <c r="Q33" i="9"/>
  <c r="T32" i="9"/>
  <c r="V32" i="9" s="1"/>
  <c r="Q32" i="9"/>
  <c r="T31" i="9"/>
  <c r="V31" i="9" s="1"/>
  <c r="Q31" i="9"/>
  <c r="T30" i="9"/>
  <c r="V30" i="9" s="1"/>
  <c r="Q30" i="9"/>
  <c r="T29" i="9"/>
  <c r="V29" i="9" s="1"/>
  <c r="Q29" i="9"/>
  <c r="T28" i="9"/>
  <c r="V28" i="9" s="1"/>
  <c r="Q28" i="9"/>
  <c r="T27" i="9"/>
  <c r="V27" i="9" s="1"/>
  <c r="Q27" i="9"/>
  <c r="T26" i="9"/>
  <c r="V26" i="9" s="1"/>
  <c r="Q26" i="9"/>
  <c r="T25" i="9"/>
  <c r="V25" i="9" s="1"/>
  <c r="Q25" i="9"/>
  <c r="T24" i="9"/>
  <c r="V24" i="9" s="1"/>
  <c r="Q24" i="9"/>
  <c r="T23" i="9"/>
  <c r="V23" i="9" s="1"/>
  <c r="Q23" i="9"/>
  <c r="T22" i="9"/>
  <c r="V22" i="9" s="1"/>
  <c r="Q22" i="9"/>
  <c r="T21" i="9"/>
  <c r="V21" i="9" s="1"/>
  <c r="Q21" i="9"/>
  <c r="T20" i="9"/>
  <c r="V20" i="9" s="1"/>
  <c r="Q20" i="9"/>
  <c r="T19" i="9"/>
  <c r="V19" i="9" s="1"/>
  <c r="Q19" i="9"/>
  <c r="T18" i="9"/>
  <c r="V18" i="9" s="1"/>
  <c r="Q18" i="9"/>
  <c r="T17" i="9"/>
  <c r="V17" i="9" s="1"/>
  <c r="Q17" i="9"/>
  <c r="T16" i="9"/>
  <c r="V16" i="9" s="1"/>
  <c r="Q16" i="9"/>
  <c r="T15" i="9"/>
  <c r="V15" i="9" s="1"/>
  <c r="Q15" i="9"/>
  <c r="T14" i="9"/>
  <c r="V14" i="9" s="1"/>
  <c r="Q14" i="9"/>
  <c r="T13" i="9"/>
  <c r="V13" i="9" s="1"/>
  <c r="Q13" i="9"/>
  <c r="T12" i="9"/>
  <c r="V12" i="9" s="1"/>
  <c r="Q12" i="9"/>
  <c r="T11" i="9"/>
  <c r="V11" i="9" s="1"/>
  <c r="Q11" i="9"/>
  <c r="T10" i="9"/>
  <c r="V10" i="9" s="1"/>
  <c r="Q10" i="9"/>
  <c r="T9" i="9"/>
  <c r="V9" i="9" s="1"/>
  <c r="Q9" i="9"/>
  <c r="T8" i="9"/>
  <c r="V8" i="9" s="1"/>
  <c r="Q8" i="9"/>
  <c r="T7" i="9"/>
  <c r="V7" i="9" s="1"/>
  <c r="Q7" i="9"/>
  <c r="T6" i="9"/>
  <c r="V6" i="9" s="1"/>
  <c r="Q6" i="9"/>
  <c r="T5" i="9"/>
  <c r="V5" i="9" s="1"/>
  <c r="Q5" i="9"/>
  <c r="T4" i="9"/>
  <c r="V4" i="9" s="1"/>
  <c r="Q4" i="9"/>
  <c r="T3" i="9"/>
  <c r="V3" i="9" s="1"/>
  <c r="Q3" i="9"/>
  <c r="T2" i="9"/>
  <c r="V2" i="9" s="1"/>
  <c r="Q2" i="9"/>
  <c r="T115" i="8" l="1"/>
  <c r="V115" i="8" s="1"/>
  <c r="Q115" i="8"/>
  <c r="T114" i="8"/>
  <c r="V114" i="8" s="1"/>
  <c r="Q114" i="8"/>
  <c r="T113" i="8"/>
  <c r="V113" i="8" s="1"/>
  <c r="Q113" i="8"/>
  <c r="T112" i="8"/>
  <c r="V112" i="8" s="1"/>
  <c r="Q112" i="8"/>
  <c r="T111" i="8"/>
  <c r="V111" i="8" s="1"/>
  <c r="Q111" i="8"/>
  <c r="T110" i="8"/>
  <c r="V110" i="8" s="1"/>
  <c r="Q110" i="8"/>
  <c r="T109" i="8"/>
  <c r="V109" i="8" s="1"/>
  <c r="Q109" i="8"/>
  <c r="T108" i="8"/>
  <c r="V108" i="8" s="1"/>
  <c r="Q108" i="8"/>
  <c r="T107" i="8"/>
  <c r="V107" i="8" s="1"/>
  <c r="Q107" i="8"/>
  <c r="T106" i="8"/>
  <c r="V106" i="8" s="1"/>
  <c r="Q106" i="8"/>
  <c r="T105" i="8"/>
  <c r="V105" i="8" s="1"/>
  <c r="Q105" i="8"/>
  <c r="T104" i="8"/>
  <c r="V104" i="8" s="1"/>
  <c r="Q104" i="8"/>
  <c r="T103" i="8"/>
  <c r="V103" i="8" s="1"/>
  <c r="Q103" i="8"/>
  <c r="T102" i="8"/>
  <c r="V102" i="8" s="1"/>
  <c r="Q102" i="8"/>
  <c r="T101" i="8"/>
  <c r="V101" i="8" s="1"/>
  <c r="Q101" i="8"/>
  <c r="T100" i="8"/>
  <c r="V100" i="8" s="1"/>
  <c r="Q100" i="8"/>
  <c r="T99" i="8"/>
  <c r="V99" i="8" s="1"/>
  <c r="Q99" i="8"/>
  <c r="T98" i="8"/>
  <c r="V98" i="8" s="1"/>
  <c r="Q98" i="8"/>
  <c r="T97" i="8"/>
  <c r="V97" i="8" s="1"/>
  <c r="Q97" i="8"/>
  <c r="T96" i="8"/>
  <c r="V96" i="8" s="1"/>
  <c r="Q96" i="8"/>
  <c r="T95" i="8"/>
  <c r="V95" i="8" s="1"/>
  <c r="Q95" i="8"/>
  <c r="T94" i="8"/>
  <c r="V94" i="8" s="1"/>
  <c r="Q94" i="8"/>
  <c r="T93" i="8"/>
  <c r="V93" i="8" s="1"/>
  <c r="Q93" i="8"/>
  <c r="T92" i="8"/>
  <c r="V92" i="8" s="1"/>
  <c r="Q92" i="8"/>
  <c r="T91" i="8"/>
  <c r="V91" i="8" s="1"/>
  <c r="Q91" i="8"/>
  <c r="T90" i="8"/>
  <c r="V90" i="8" s="1"/>
  <c r="Q90" i="8"/>
  <c r="T89" i="8"/>
  <c r="V89" i="8" s="1"/>
  <c r="Q89" i="8"/>
  <c r="T88" i="8"/>
  <c r="V88" i="8" s="1"/>
  <c r="Q88" i="8"/>
  <c r="T87" i="8"/>
  <c r="V87" i="8" s="1"/>
  <c r="Q87" i="8"/>
  <c r="T86" i="8"/>
  <c r="V86" i="8" s="1"/>
  <c r="Q86" i="8"/>
  <c r="T85" i="8"/>
  <c r="V85" i="8" s="1"/>
  <c r="Q85" i="8"/>
  <c r="T84" i="8"/>
  <c r="V84" i="8" s="1"/>
  <c r="Q84" i="8"/>
  <c r="T83" i="8"/>
  <c r="V83" i="8" s="1"/>
  <c r="Q83" i="8"/>
  <c r="T82" i="8"/>
  <c r="V82" i="8" s="1"/>
  <c r="Q82" i="8"/>
  <c r="T81" i="8"/>
  <c r="V81" i="8" s="1"/>
  <c r="Q81" i="8"/>
  <c r="T80" i="8"/>
  <c r="V80" i="8" s="1"/>
  <c r="Q80" i="8"/>
  <c r="T79" i="8"/>
  <c r="V79" i="8" s="1"/>
  <c r="Q79" i="8"/>
  <c r="T78" i="8"/>
  <c r="V78" i="8" s="1"/>
  <c r="Q78" i="8"/>
  <c r="T77" i="8"/>
  <c r="V77" i="8" s="1"/>
  <c r="Q77" i="8"/>
  <c r="T76" i="8"/>
  <c r="V76" i="8" s="1"/>
  <c r="Q76" i="8"/>
  <c r="T75" i="8"/>
  <c r="V75" i="8" s="1"/>
  <c r="Q75" i="8"/>
  <c r="T74" i="8"/>
  <c r="V74" i="8" s="1"/>
  <c r="Q74" i="8"/>
  <c r="T73" i="8"/>
  <c r="V73" i="8" s="1"/>
  <c r="Q73" i="8"/>
  <c r="T72" i="8"/>
  <c r="V72" i="8" s="1"/>
  <c r="Q72" i="8"/>
  <c r="T71" i="8"/>
  <c r="V71" i="8" s="1"/>
  <c r="Q71" i="8"/>
  <c r="T70" i="8"/>
  <c r="V70" i="8" s="1"/>
  <c r="Q70" i="8"/>
  <c r="T69" i="8"/>
  <c r="V69" i="8" s="1"/>
  <c r="Q69" i="8"/>
  <c r="T68" i="8"/>
  <c r="V68" i="8" s="1"/>
  <c r="Q68" i="8"/>
  <c r="T67" i="8"/>
  <c r="V67" i="8" s="1"/>
  <c r="Q67" i="8"/>
  <c r="T66" i="8"/>
  <c r="V66" i="8" s="1"/>
  <c r="Q66" i="8"/>
  <c r="T65" i="8"/>
  <c r="V65" i="8" s="1"/>
  <c r="Q65" i="8"/>
  <c r="T64" i="8"/>
  <c r="V64" i="8" s="1"/>
  <c r="Q64" i="8"/>
  <c r="T63" i="8"/>
  <c r="V63" i="8" s="1"/>
  <c r="Q63" i="8"/>
  <c r="T62" i="8"/>
  <c r="V62" i="8" s="1"/>
  <c r="Q62" i="8"/>
  <c r="T61" i="8"/>
  <c r="V61" i="8" s="1"/>
  <c r="Q61" i="8"/>
  <c r="T60" i="8"/>
  <c r="V60" i="8" s="1"/>
  <c r="Q60" i="8"/>
  <c r="T59" i="8"/>
  <c r="V59" i="8" s="1"/>
  <c r="Q59" i="8"/>
  <c r="T58" i="8"/>
  <c r="V58" i="8" s="1"/>
  <c r="Q58" i="8"/>
  <c r="T57" i="8"/>
  <c r="V57" i="8" s="1"/>
  <c r="Q57" i="8"/>
  <c r="T56" i="8"/>
  <c r="V56" i="8" s="1"/>
  <c r="Q56" i="8"/>
  <c r="T55" i="8"/>
  <c r="V55" i="8" s="1"/>
  <c r="Q55" i="8"/>
  <c r="T54" i="8"/>
  <c r="V54" i="8" s="1"/>
  <c r="Q54" i="8"/>
  <c r="T53" i="8"/>
  <c r="V53" i="8" s="1"/>
  <c r="Q53" i="8"/>
  <c r="T52" i="8"/>
  <c r="V52" i="8" s="1"/>
  <c r="Q52" i="8"/>
  <c r="T51" i="8"/>
  <c r="V51" i="8" s="1"/>
  <c r="Q51" i="8"/>
  <c r="T50" i="8"/>
  <c r="V50" i="8" s="1"/>
  <c r="Q50" i="8"/>
  <c r="T49" i="8"/>
  <c r="V49" i="8" s="1"/>
  <c r="Q49" i="8"/>
  <c r="T48" i="8"/>
  <c r="V48" i="8" s="1"/>
  <c r="Q48" i="8"/>
  <c r="T47" i="8"/>
  <c r="V47" i="8" s="1"/>
  <c r="Q47" i="8"/>
  <c r="T46" i="8"/>
  <c r="V46" i="8" s="1"/>
  <c r="Q46" i="8"/>
  <c r="T45" i="8"/>
  <c r="V45" i="8" s="1"/>
  <c r="Q45" i="8"/>
  <c r="T44" i="8"/>
  <c r="V44" i="8" s="1"/>
  <c r="Q44" i="8"/>
  <c r="T43" i="8"/>
  <c r="V43" i="8" s="1"/>
  <c r="Q43" i="8"/>
  <c r="T42" i="8"/>
  <c r="V42" i="8" s="1"/>
  <c r="Q42" i="8"/>
  <c r="T41" i="8"/>
  <c r="V41" i="8" s="1"/>
  <c r="Q41" i="8"/>
  <c r="T40" i="8"/>
  <c r="V40" i="8" s="1"/>
  <c r="Q40" i="8"/>
  <c r="T39" i="8"/>
  <c r="V39" i="8" s="1"/>
  <c r="Q39" i="8"/>
  <c r="T38" i="8"/>
  <c r="V38" i="8" s="1"/>
  <c r="Q38" i="8"/>
  <c r="T37" i="8"/>
  <c r="V37" i="8" s="1"/>
  <c r="Q37" i="8"/>
  <c r="T36" i="8"/>
  <c r="V36" i="8" s="1"/>
  <c r="Q36" i="8"/>
  <c r="T35" i="8"/>
  <c r="V35" i="8" s="1"/>
  <c r="Q35" i="8"/>
  <c r="T34" i="8"/>
  <c r="V34" i="8" s="1"/>
  <c r="Q34" i="8"/>
  <c r="T33" i="8"/>
  <c r="V33" i="8" s="1"/>
  <c r="Q33" i="8"/>
  <c r="T32" i="8"/>
  <c r="V32" i="8" s="1"/>
  <c r="Q32" i="8"/>
  <c r="T31" i="8"/>
  <c r="V31" i="8" s="1"/>
  <c r="Q31" i="8"/>
  <c r="T30" i="8"/>
  <c r="V30" i="8" s="1"/>
  <c r="Q30" i="8"/>
  <c r="T29" i="8"/>
  <c r="V29" i="8" s="1"/>
  <c r="Q29" i="8"/>
  <c r="T28" i="8"/>
  <c r="V28" i="8" s="1"/>
  <c r="Q28" i="8"/>
  <c r="T27" i="8"/>
  <c r="V27" i="8" s="1"/>
  <c r="Q27" i="8"/>
  <c r="T26" i="8"/>
  <c r="V26" i="8" s="1"/>
  <c r="Q26" i="8"/>
  <c r="T25" i="8"/>
  <c r="V25" i="8" s="1"/>
  <c r="Q25" i="8"/>
  <c r="T24" i="8"/>
  <c r="V24" i="8" s="1"/>
  <c r="Q24" i="8"/>
  <c r="T23" i="8"/>
  <c r="V23" i="8" s="1"/>
  <c r="Q23" i="8"/>
  <c r="T22" i="8"/>
  <c r="V22" i="8" s="1"/>
  <c r="Q22" i="8"/>
  <c r="T21" i="8"/>
  <c r="V21" i="8" s="1"/>
  <c r="Q21" i="8"/>
  <c r="T20" i="8"/>
  <c r="V20" i="8" s="1"/>
  <c r="Q20" i="8"/>
  <c r="T19" i="8"/>
  <c r="V19" i="8" s="1"/>
  <c r="Q19" i="8"/>
  <c r="T18" i="8"/>
  <c r="V18" i="8" s="1"/>
  <c r="Q18" i="8"/>
  <c r="T17" i="8"/>
  <c r="V17" i="8" s="1"/>
  <c r="Q17" i="8"/>
  <c r="T16" i="8"/>
  <c r="V16" i="8" s="1"/>
  <c r="Q16" i="8"/>
  <c r="T15" i="8"/>
  <c r="V15" i="8" s="1"/>
  <c r="Q15" i="8"/>
  <c r="T14" i="8"/>
  <c r="V14" i="8" s="1"/>
  <c r="Q14" i="8"/>
  <c r="T13" i="8"/>
  <c r="V13" i="8" s="1"/>
  <c r="Q13" i="8"/>
  <c r="T12" i="8"/>
  <c r="V12" i="8" s="1"/>
  <c r="Q12" i="8"/>
  <c r="T11" i="8"/>
  <c r="V11" i="8" s="1"/>
  <c r="Q11" i="8"/>
  <c r="T10" i="8"/>
  <c r="V10" i="8" s="1"/>
  <c r="Q10" i="8"/>
  <c r="T9" i="8"/>
  <c r="V9" i="8" s="1"/>
  <c r="Q9" i="8"/>
  <c r="T8" i="8"/>
  <c r="V8" i="8" s="1"/>
  <c r="Q8" i="8"/>
  <c r="T7" i="8"/>
  <c r="V7" i="8" s="1"/>
  <c r="Q7" i="8"/>
  <c r="T6" i="8"/>
  <c r="V6" i="8" s="1"/>
  <c r="Q6" i="8"/>
  <c r="T5" i="8"/>
  <c r="V5" i="8" s="1"/>
  <c r="Q5" i="8"/>
  <c r="T4" i="8"/>
  <c r="V4" i="8" s="1"/>
  <c r="Q4" i="8"/>
  <c r="T3" i="8"/>
  <c r="V3" i="8" s="1"/>
  <c r="Q3" i="8"/>
  <c r="T2" i="8"/>
  <c r="V2" i="8" s="1"/>
  <c r="Q2" i="8"/>
  <c r="T73" i="7"/>
  <c r="V73" i="7" s="1"/>
  <c r="Q73" i="7"/>
  <c r="T72" i="7"/>
  <c r="V72" i="7" s="1"/>
  <c r="Q72" i="7"/>
  <c r="T71" i="7"/>
  <c r="V71" i="7" s="1"/>
  <c r="Q71" i="7"/>
  <c r="T70" i="7"/>
  <c r="V70" i="7" s="1"/>
  <c r="Q70" i="7"/>
  <c r="T69" i="7"/>
  <c r="V69" i="7" s="1"/>
  <c r="Q69" i="7"/>
  <c r="T68" i="7"/>
  <c r="V68" i="7" s="1"/>
  <c r="Q68" i="7"/>
  <c r="T67" i="7"/>
  <c r="V67" i="7" s="1"/>
  <c r="Q67" i="7"/>
  <c r="T66" i="7"/>
  <c r="V66" i="7" s="1"/>
  <c r="Q66" i="7"/>
  <c r="T65" i="7"/>
  <c r="V65" i="7" s="1"/>
  <c r="Q65" i="7"/>
  <c r="T64" i="7"/>
  <c r="V64" i="7" s="1"/>
  <c r="Q64" i="7"/>
  <c r="T63" i="7"/>
  <c r="V63" i="7" s="1"/>
  <c r="Q63" i="7"/>
  <c r="T62" i="7"/>
  <c r="V62" i="7" s="1"/>
  <c r="Q62" i="7"/>
  <c r="T61" i="7"/>
  <c r="V61" i="7" s="1"/>
  <c r="Q61" i="7"/>
  <c r="T60" i="7"/>
  <c r="V60" i="7" s="1"/>
  <c r="Q60" i="7"/>
  <c r="T59" i="7"/>
  <c r="V59" i="7" s="1"/>
  <c r="Q59" i="7"/>
  <c r="T58" i="7"/>
  <c r="V58" i="7" s="1"/>
  <c r="Q58" i="7"/>
  <c r="T57" i="7"/>
  <c r="V57" i="7" s="1"/>
  <c r="Q57" i="7"/>
  <c r="T56" i="7"/>
  <c r="V56" i="7" s="1"/>
  <c r="Q56" i="7"/>
  <c r="T55" i="7"/>
  <c r="V55" i="7" s="1"/>
  <c r="Q55" i="7"/>
  <c r="T54" i="7"/>
  <c r="V54" i="7" s="1"/>
  <c r="Q54" i="7"/>
  <c r="T53" i="7"/>
  <c r="V53" i="7" s="1"/>
  <c r="Q53" i="7"/>
  <c r="T52" i="7"/>
  <c r="V52" i="7" s="1"/>
  <c r="Q52" i="7"/>
  <c r="T51" i="7"/>
  <c r="V51" i="7" s="1"/>
  <c r="Q51" i="7"/>
  <c r="T50" i="7"/>
  <c r="V50" i="7" s="1"/>
  <c r="Q50" i="7"/>
  <c r="T49" i="7"/>
  <c r="V49" i="7" s="1"/>
  <c r="Q49" i="7"/>
  <c r="T48" i="7"/>
  <c r="V48" i="7" s="1"/>
  <c r="Q48" i="7"/>
  <c r="T47" i="7"/>
  <c r="V47" i="7" s="1"/>
  <c r="Q47" i="7"/>
  <c r="T46" i="7"/>
  <c r="V46" i="7" s="1"/>
  <c r="Q46" i="7"/>
  <c r="T45" i="7"/>
  <c r="V45" i="7" s="1"/>
  <c r="Q45" i="7"/>
  <c r="T44" i="7"/>
  <c r="V44" i="7" s="1"/>
  <c r="Q44" i="7"/>
  <c r="T43" i="7"/>
  <c r="V43" i="7" s="1"/>
  <c r="Q43" i="7"/>
  <c r="T42" i="7"/>
  <c r="V42" i="7" s="1"/>
  <c r="Q42" i="7"/>
  <c r="T41" i="7"/>
  <c r="V41" i="7" s="1"/>
  <c r="Q41" i="7"/>
  <c r="T40" i="7"/>
  <c r="V40" i="7" s="1"/>
  <c r="Q40" i="7"/>
  <c r="T39" i="7"/>
  <c r="V39" i="7" s="1"/>
  <c r="Q39" i="7"/>
  <c r="T38" i="7"/>
  <c r="V38" i="7" s="1"/>
  <c r="Q38" i="7"/>
  <c r="T37" i="7"/>
  <c r="V37" i="7" s="1"/>
  <c r="Q37" i="7"/>
  <c r="T36" i="7"/>
  <c r="V36" i="7" s="1"/>
  <c r="Q36" i="7"/>
  <c r="T35" i="7"/>
  <c r="V35" i="7" s="1"/>
  <c r="Q35" i="7"/>
  <c r="T34" i="7"/>
  <c r="V34" i="7" s="1"/>
  <c r="Q34" i="7"/>
  <c r="T33" i="7"/>
  <c r="V33" i="7" s="1"/>
  <c r="Q33" i="7"/>
  <c r="T32" i="7"/>
  <c r="V32" i="7" s="1"/>
  <c r="Q32" i="7"/>
  <c r="T31" i="7"/>
  <c r="V31" i="7" s="1"/>
  <c r="Q31" i="7"/>
  <c r="T30" i="7"/>
  <c r="V30" i="7" s="1"/>
  <c r="Q30" i="7"/>
  <c r="T29" i="7"/>
  <c r="V29" i="7" s="1"/>
  <c r="Q29" i="7"/>
  <c r="T28" i="7"/>
  <c r="V28" i="7" s="1"/>
  <c r="Q28" i="7"/>
  <c r="T27" i="7"/>
  <c r="V27" i="7" s="1"/>
  <c r="Q27" i="7"/>
  <c r="T26" i="7"/>
  <c r="V26" i="7" s="1"/>
  <c r="Q26" i="7"/>
  <c r="T25" i="7"/>
  <c r="V25" i="7" s="1"/>
  <c r="Q25" i="7"/>
  <c r="T24" i="7"/>
  <c r="V24" i="7" s="1"/>
  <c r="Q24" i="7"/>
  <c r="T23" i="7"/>
  <c r="V23" i="7" s="1"/>
  <c r="Q23" i="7"/>
  <c r="T22" i="7"/>
  <c r="V22" i="7" s="1"/>
  <c r="Q22" i="7"/>
  <c r="T21" i="7"/>
  <c r="V21" i="7" s="1"/>
  <c r="Q21" i="7"/>
  <c r="T20" i="7"/>
  <c r="V20" i="7" s="1"/>
  <c r="Q20" i="7"/>
  <c r="T19" i="7"/>
  <c r="V19" i="7" s="1"/>
  <c r="Q19" i="7"/>
  <c r="T18" i="7"/>
  <c r="V18" i="7" s="1"/>
  <c r="Q18" i="7"/>
  <c r="T17" i="7"/>
  <c r="V17" i="7" s="1"/>
  <c r="Q17" i="7"/>
  <c r="T16" i="7"/>
  <c r="V16" i="7" s="1"/>
  <c r="Q16" i="7"/>
  <c r="T15" i="7"/>
  <c r="V15" i="7" s="1"/>
  <c r="Q15" i="7"/>
  <c r="T14" i="7"/>
  <c r="V14" i="7" s="1"/>
  <c r="Q14" i="7"/>
  <c r="T13" i="7"/>
  <c r="V13" i="7" s="1"/>
  <c r="Q13" i="7"/>
  <c r="T12" i="7"/>
  <c r="V12" i="7" s="1"/>
  <c r="Q12" i="7"/>
  <c r="T11" i="7"/>
  <c r="V11" i="7" s="1"/>
  <c r="Q11" i="7"/>
  <c r="T10" i="7"/>
  <c r="V10" i="7" s="1"/>
  <c r="Q10" i="7"/>
  <c r="T9" i="7"/>
  <c r="V9" i="7" s="1"/>
  <c r="Q9" i="7"/>
  <c r="T8" i="7"/>
  <c r="V8" i="7" s="1"/>
  <c r="Q8" i="7"/>
  <c r="T7" i="7"/>
  <c r="V7" i="7" s="1"/>
  <c r="Q7" i="7"/>
  <c r="T6" i="7"/>
  <c r="V6" i="7" s="1"/>
  <c r="Q6" i="7"/>
  <c r="T5" i="7"/>
  <c r="V5" i="7" s="1"/>
  <c r="Q5" i="7"/>
  <c r="T4" i="7"/>
  <c r="V4" i="7" s="1"/>
  <c r="Q4" i="7"/>
  <c r="T3" i="7"/>
  <c r="V3" i="7" s="1"/>
  <c r="Q3" i="7"/>
  <c r="T2" i="7"/>
  <c r="V2" i="7" s="1"/>
  <c r="Q2" i="7"/>
  <c r="T91" i="6"/>
  <c r="V91" i="6" s="1"/>
  <c r="Q91" i="6"/>
  <c r="T90" i="6"/>
  <c r="V90" i="6" s="1"/>
  <c r="Q90" i="6"/>
  <c r="T89" i="6"/>
  <c r="V89" i="6" s="1"/>
  <c r="Q89" i="6"/>
  <c r="T88" i="6"/>
  <c r="V88" i="6" s="1"/>
  <c r="Q88" i="6"/>
  <c r="T87" i="6"/>
  <c r="V87" i="6" s="1"/>
  <c r="Q87" i="6"/>
  <c r="T86" i="6"/>
  <c r="V86" i="6" s="1"/>
  <c r="Q86" i="6"/>
  <c r="T85" i="6"/>
  <c r="V85" i="6" s="1"/>
  <c r="Q85" i="6"/>
  <c r="T84" i="6"/>
  <c r="V84" i="6" s="1"/>
  <c r="Q84" i="6"/>
  <c r="T83" i="6"/>
  <c r="V83" i="6" s="1"/>
  <c r="Q83" i="6"/>
  <c r="T82" i="6"/>
  <c r="V82" i="6" s="1"/>
  <c r="Q82" i="6"/>
  <c r="T81" i="6"/>
  <c r="V81" i="6" s="1"/>
  <c r="Q81" i="6"/>
  <c r="T80" i="6"/>
  <c r="V80" i="6" s="1"/>
  <c r="Q80" i="6"/>
  <c r="T79" i="6"/>
  <c r="V79" i="6" s="1"/>
  <c r="Q79" i="6"/>
  <c r="T78" i="6"/>
  <c r="V78" i="6" s="1"/>
  <c r="Q78" i="6"/>
  <c r="T77" i="6"/>
  <c r="V77" i="6" s="1"/>
  <c r="Q77" i="6"/>
  <c r="T76" i="6"/>
  <c r="V76" i="6" s="1"/>
  <c r="Q76" i="6"/>
  <c r="T75" i="6"/>
  <c r="V75" i="6" s="1"/>
  <c r="Q75" i="6"/>
  <c r="T74" i="6"/>
  <c r="V74" i="6" s="1"/>
  <c r="Q74" i="6"/>
  <c r="T73" i="6"/>
  <c r="V73" i="6" s="1"/>
  <c r="Q73" i="6"/>
  <c r="T72" i="6"/>
  <c r="V72" i="6" s="1"/>
  <c r="Q72" i="6"/>
  <c r="T71" i="6"/>
  <c r="V71" i="6" s="1"/>
  <c r="Q71" i="6"/>
  <c r="T70" i="6"/>
  <c r="V70" i="6" s="1"/>
  <c r="Q70" i="6"/>
  <c r="T69" i="6"/>
  <c r="V69" i="6" s="1"/>
  <c r="Q69" i="6"/>
  <c r="T68" i="6"/>
  <c r="V68" i="6" s="1"/>
  <c r="Q68" i="6"/>
  <c r="T67" i="6"/>
  <c r="V67" i="6" s="1"/>
  <c r="Q67" i="6"/>
  <c r="T66" i="6"/>
  <c r="V66" i="6" s="1"/>
  <c r="Q66" i="6"/>
  <c r="T65" i="6"/>
  <c r="V65" i="6" s="1"/>
  <c r="Q65" i="6"/>
  <c r="T64" i="6"/>
  <c r="V64" i="6" s="1"/>
  <c r="Q64" i="6"/>
  <c r="T63" i="6"/>
  <c r="V63" i="6" s="1"/>
  <c r="Q63" i="6"/>
  <c r="T62" i="6"/>
  <c r="V62" i="6" s="1"/>
  <c r="Q62" i="6"/>
  <c r="T61" i="6"/>
  <c r="V61" i="6" s="1"/>
  <c r="Q61" i="6"/>
  <c r="T60" i="6"/>
  <c r="V60" i="6" s="1"/>
  <c r="Q60" i="6"/>
  <c r="T59" i="6"/>
  <c r="V59" i="6" s="1"/>
  <c r="Q59" i="6"/>
  <c r="T58" i="6"/>
  <c r="V58" i="6" s="1"/>
  <c r="Q58" i="6"/>
  <c r="T57" i="6"/>
  <c r="V57" i="6" s="1"/>
  <c r="Q57" i="6"/>
  <c r="T56" i="6"/>
  <c r="V56" i="6" s="1"/>
  <c r="Q56" i="6"/>
  <c r="T55" i="6"/>
  <c r="V55" i="6" s="1"/>
  <c r="Q55" i="6"/>
  <c r="T54" i="6"/>
  <c r="V54" i="6" s="1"/>
  <c r="Q54" i="6"/>
  <c r="T53" i="6"/>
  <c r="V53" i="6" s="1"/>
  <c r="Q53" i="6"/>
  <c r="T52" i="6"/>
  <c r="V52" i="6" s="1"/>
  <c r="Q52" i="6"/>
  <c r="T51" i="6"/>
  <c r="V51" i="6" s="1"/>
  <c r="Q51" i="6"/>
  <c r="T50" i="6"/>
  <c r="V50" i="6" s="1"/>
  <c r="Q50" i="6"/>
  <c r="T49" i="6"/>
  <c r="V49" i="6" s="1"/>
  <c r="Q49" i="6"/>
  <c r="T48" i="6"/>
  <c r="V48" i="6" s="1"/>
  <c r="Q48" i="6"/>
  <c r="T47" i="6"/>
  <c r="V47" i="6" s="1"/>
  <c r="Q47" i="6"/>
  <c r="T46" i="6"/>
  <c r="V46" i="6" s="1"/>
  <c r="Q46" i="6"/>
  <c r="T45" i="6"/>
  <c r="V45" i="6" s="1"/>
  <c r="Q45" i="6"/>
  <c r="T44" i="6"/>
  <c r="V44" i="6" s="1"/>
  <c r="Q44" i="6"/>
  <c r="T43" i="6"/>
  <c r="V43" i="6" s="1"/>
  <c r="Q43" i="6"/>
  <c r="T42" i="6"/>
  <c r="V42" i="6" s="1"/>
  <c r="Q42" i="6"/>
  <c r="T41" i="6"/>
  <c r="V41" i="6" s="1"/>
  <c r="Q41" i="6"/>
  <c r="T40" i="6"/>
  <c r="V40" i="6" s="1"/>
  <c r="Q40" i="6"/>
  <c r="T39" i="6"/>
  <c r="V39" i="6" s="1"/>
  <c r="Q39" i="6"/>
  <c r="T38" i="6"/>
  <c r="V38" i="6" s="1"/>
  <c r="Q38" i="6"/>
  <c r="T37" i="6"/>
  <c r="V37" i="6" s="1"/>
  <c r="Q37" i="6"/>
  <c r="T36" i="6"/>
  <c r="V36" i="6" s="1"/>
  <c r="Q36" i="6"/>
  <c r="T35" i="6"/>
  <c r="V35" i="6" s="1"/>
  <c r="Q35" i="6"/>
  <c r="T34" i="6"/>
  <c r="V34" i="6" s="1"/>
  <c r="Q34" i="6"/>
  <c r="T33" i="6"/>
  <c r="V33" i="6" s="1"/>
  <c r="Q33" i="6"/>
  <c r="T32" i="6"/>
  <c r="V32" i="6" s="1"/>
  <c r="Q32" i="6"/>
  <c r="T31" i="6"/>
  <c r="V31" i="6" s="1"/>
  <c r="Q31" i="6"/>
  <c r="T30" i="6"/>
  <c r="V30" i="6" s="1"/>
  <c r="Q30" i="6"/>
  <c r="T29" i="6"/>
  <c r="V29" i="6" s="1"/>
  <c r="Q29" i="6"/>
  <c r="T28" i="6"/>
  <c r="V28" i="6" s="1"/>
  <c r="Q28" i="6"/>
  <c r="T27" i="6"/>
  <c r="V27" i="6" s="1"/>
  <c r="Q27" i="6"/>
  <c r="T26" i="6"/>
  <c r="V26" i="6" s="1"/>
  <c r="Q26" i="6"/>
  <c r="T25" i="6"/>
  <c r="V25" i="6" s="1"/>
  <c r="Q25" i="6"/>
  <c r="T24" i="6"/>
  <c r="V24" i="6" s="1"/>
  <c r="Q24" i="6"/>
  <c r="T23" i="6"/>
  <c r="V23" i="6" s="1"/>
  <c r="Q23" i="6"/>
  <c r="T22" i="6"/>
  <c r="V22" i="6" s="1"/>
  <c r="Q22" i="6"/>
  <c r="T21" i="6"/>
  <c r="V21" i="6" s="1"/>
  <c r="Q21" i="6"/>
  <c r="T20" i="6"/>
  <c r="V20" i="6" s="1"/>
  <c r="Q20" i="6"/>
  <c r="T19" i="6"/>
  <c r="V19" i="6" s="1"/>
  <c r="Q19" i="6"/>
  <c r="T18" i="6"/>
  <c r="V18" i="6" s="1"/>
  <c r="Q18" i="6"/>
  <c r="T17" i="6"/>
  <c r="V17" i="6" s="1"/>
  <c r="Q17" i="6"/>
  <c r="T16" i="6"/>
  <c r="V16" i="6" s="1"/>
  <c r="Q16" i="6"/>
  <c r="T15" i="6"/>
  <c r="V15" i="6" s="1"/>
  <c r="Q15" i="6"/>
  <c r="T14" i="6"/>
  <c r="V14" i="6" s="1"/>
  <c r="Q14" i="6"/>
  <c r="T13" i="6"/>
  <c r="V13" i="6" s="1"/>
  <c r="Q13" i="6"/>
  <c r="T12" i="6"/>
  <c r="V12" i="6" s="1"/>
  <c r="Q12" i="6"/>
  <c r="T11" i="6"/>
  <c r="V11" i="6" s="1"/>
  <c r="Q11" i="6"/>
  <c r="T10" i="6"/>
  <c r="V10" i="6" s="1"/>
  <c r="Q10" i="6"/>
  <c r="T9" i="6"/>
  <c r="V9" i="6" s="1"/>
  <c r="Q9" i="6"/>
  <c r="T8" i="6"/>
  <c r="V8" i="6" s="1"/>
  <c r="Q8" i="6"/>
  <c r="T7" i="6"/>
  <c r="V7" i="6" s="1"/>
  <c r="Q7" i="6"/>
  <c r="T6" i="6"/>
  <c r="V6" i="6" s="1"/>
  <c r="Q6" i="6"/>
  <c r="T5" i="6"/>
  <c r="V5" i="6" s="1"/>
  <c r="Q5" i="6"/>
  <c r="T4" i="6"/>
  <c r="V4" i="6" s="1"/>
  <c r="Q4" i="6"/>
  <c r="T3" i="6"/>
  <c r="V3" i="6" s="1"/>
  <c r="Q3" i="6"/>
  <c r="T2" i="6"/>
  <c r="V2" i="6" s="1"/>
  <c r="Q2" i="6"/>
  <c r="Q219" i="5" l="1"/>
  <c r="Q218" i="5"/>
  <c r="Q217" i="5"/>
  <c r="Q216" i="5"/>
  <c r="Q215" i="5"/>
  <c r="Q214" i="5"/>
  <c r="Q213" i="5"/>
  <c r="Q212" i="5"/>
  <c r="Q211" i="5"/>
  <c r="Q210" i="5"/>
  <c r="Q209" i="5"/>
  <c r="Q208" i="5"/>
  <c r="Q207" i="5"/>
  <c r="Q206" i="5"/>
  <c r="Q205" i="5"/>
  <c r="Q204" i="5"/>
  <c r="Q203" i="5"/>
  <c r="Q202" i="5"/>
  <c r="Q201" i="5"/>
  <c r="Q200" i="5"/>
  <c r="Q199" i="5"/>
  <c r="Q198" i="5"/>
  <c r="Q197" i="5"/>
  <c r="Q196" i="5"/>
  <c r="Q195" i="5"/>
  <c r="Q194" i="5"/>
  <c r="Q193" i="5"/>
  <c r="Q192" i="5"/>
  <c r="Q191" i="5"/>
  <c r="Q190" i="5"/>
  <c r="Q189" i="5"/>
  <c r="Q188" i="5"/>
  <c r="Q187" i="5"/>
  <c r="Q186" i="5"/>
  <c r="Q185" i="5"/>
  <c r="Q184" i="5"/>
  <c r="Q183" i="5"/>
  <c r="Q182" i="5"/>
  <c r="Q181" i="5"/>
  <c r="Q180" i="5"/>
  <c r="Q179" i="5"/>
  <c r="Q178" i="5"/>
  <c r="Q177" i="5"/>
  <c r="Q176" i="5"/>
  <c r="Q175" i="5"/>
  <c r="Q174" i="5"/>
  <c r="Q173" i="5"/>
  <c r="Q172" i="5"/>
  <c r="Q171" i="5"/>
  <c r="Q170" i="5"/>
  <c r="Q169" i="5"/>
  <c r="Q168" i="5"/>
  <c r="Q167" i="5"/>
  <c r="Q166" i="5"/>
  <c r="Q165" i="5"/>
  <c r="Q164" i="5"/>
  <c r="Q163" i="5"/>
  <c r="Q162" i="5"/>
  <c r="Q161" i="5"/>
  <c r="Q160" i="5"/>
  <c r="Q159" i="5"/>
  <c r="Q158" i="5"/>
  <c r="Q157" i="5"/>
  <c r="Q156" i="5"/>
  <c r="Q155" i="5"/>
  <c r="Q154" i="5"/>
  <c r="Q153" i="5"/>
  <c r="V152" i="5"/>
  <c r="T152" i="5"/>
  <c r="Q152" i="5"/>
  <c r="V151" i="5"/>
  <c r="T151" i="5"/>
  <c r="Q151" i="5"/>
  <c r="V150" i="5"/>
  <c r="T150" i="5"/>
  <c r="Q150" i="5"/>
  <c r="V149" i="5"/>
  <c r="T149" i="5"/>
  <c r="Q149" i="5"/>
  <c r="V148" i="5"/>
  <c r="T148" i="5"/>
  <c r="Q148" i="5"/>
  <c r="V147" i="5"/>
  <c r="T147" i="5"/>
  <c r="Q147" i="5"/>
  <c r="V146" i="5"/>
  <c r="T146" i="5"/>
  <c r="Q146" i="5"/>
  <c r="V145" i="5"/>
  <c r="T145" i="5"/>
  <c r="Q145" i="5"/>
  <c r="V144" i="5"/>
  <c r="T144" i="5"/>
  <c r="Q144" i="5"/>
  <c r="V143" i="5"/>
  <c r="T143" i="5"/>
  <c r="Q143" i="5"/>
  <c r="V142" i="5"/>
  <c r="T142" i="5"/>
  <c r="Q142" i="5"/>
  <c r="V141" i="5"/>
  <c r="T141" i="5"/>
  <c r="Q141" i="5"/>
  <c r="V140" i="5"/>
  <c r="T140" i="5"/>
  <c r="Q140" i="5"/>
  <c r="V139" i="5"/>
  <c r="T139" i="5"/>
  <c r="Q139" i="5"/>
  <c r="V138" i="5"/>
  <c r="T138" i="5"/>
  <c r="Q138" i="5"/>
  <c r="V137" i="5"/>
  <c r="T137" i="5"/>
  <c r="Q137" i="5"/>
  <c r="V136" i="5"/>
  <c r="T136" i="5"/>
  <c r="Q136" i="5"/>
  <c r="V135" i="5"/>
  <c r="T135" i="5"/>
  <c r="Q135" i="5"/>
  <c r="V134" i="5"/>
  <c r="T134" i="5"/>
  <c r="Q134" i="5"/>
  <c r="V133" i="5"/>
  <c r="T133" i="5"/>
  <c r="Q133" i="5"/>
  <c r="V132" i="5"/>
  <c r="T132" i="5"/>
  <c r="Q132" i="5"/>
  <c r="V131" i="5"/>
  <c r="T131" i="5"/>
  <c r="Q131" i="5"/>
  <c r="V130" i="5"/>
  <c r="T130" i="5"/>
  <c r="Q130" i="5"/>
  <c r="V129" i="5"/>
  <c r="T129" i="5"/>
  <c r="Q129" i="5"/>
  <c r="V128" i="5"/>
  <c r="T128" i="5"/>
  <c r="Q128" i="5"/>
  <c r="V127" i="5"/>
  <c r="T127" i="5"/>
  <c r="Q127" i="5"/>
  <c r="V126" i="5"/>
  <c r="T126" i="5"/>
  <c r="Q126" i="5"/>
  <c r="V125" i="5"/>
  <c r="T125" i="5"/>
  <c r="Q125" i="5"/>
  <c r="V124" i="5"/>
  <c r="T124" i="5"/>
  <c r="Q124" i="5"/>
  <c r="V123" i="5"/>
  <c r="T123" i="5"/>
  <c r="Q123" i="5"/>
  <c r="V122" i="5"/>
  <c r="T122" i="5"/>
  <c r="Q122" i="5"/>
  <c r="V121" i="5"/>
  <c r="T121" i="5"/>
  <c r="Q121" i="5"/>
  <c r="V120" i="5"/>
  <c r="T120" i="5"/>
  <c r="Q120" i="5"/>
  <c r="V119" i="5"/>
  <c r="T119" i="5"/>
  <c r="Q119" i="5"/>
  <c r="V118" i="5"/>
  <c r="T118" i="5"/>
  <c r="Q118" i="5"/>
  <c r="V117" i="5"/>
  <c r="T117" i="5"/>
  <c r="Q117" i="5"/>
  <c r="V116" i="5"/>
  <c r="T116" i="5"/>
  <c r="Q116" i="5"/>
  <c r="V115" i="5"/>
  <c r="T115" i="5"/>
  <c r="Q115" i="5"/>
  <c r="V114" i="5"/>
  <c r="T114" i="5"/>
  <c r="Q114" i="5"/>
  <c r="V113" i="5"/>
  <c r="T113" i="5"/>
  <c r="Q113" i="5"/>
  <c r="V112" i="5"/>
  <c r="T112" i="5"/>
  <c r="Q112" i="5"/>
  <c r="V111" i="5"/>
  <c r="T111" i="5"/>
  <c r="Q111" i="5"/>
  <c r="V110" i="5"/>
  <c r="T110" i="5"/>
  <c r="Q110" i="5"/>
  <c r="V109" i="5"/>
  <c r="T109" i="5"/>
  <c r="Q109" i="5"/>
  <c r="V108" i="5"/>
  <c r="T108" i="5"/>
  <c r="Q108" i="5"/>
  <c r="V107" i="5"/>
  <c r="T107" i="5"/>
  <c r="Q107" i="5"/>
  <c r="V106" i="5"/>
  <c r="T106" i="5"/>
  <c r="Q106" i="5"/>
  <c r="V105" i="5"/>
  <c r="T105" i="5"/>
  <c r="Q105" i="5"/>
  <c r="V104" i="5"/>
  <c r="T104" i="5"/>
  <c r="Q104" i="5"/>
  <c r="V103" i="5"/>
  <c r="T103" i="5"/>
  <c r="Q103" i="5"/>
  <c r="V102" i="5"/>
  <c r="T102" i="5"/>
  <c r="Q102" i="5"/>
  <c r="V101" i="5"/>
  <c r="T101" i="5"/>
  <c r="Q101" i="5"/>
  <c r="V100" i="5"/>
  <c r="T100" i="5"/>
  <c r="Q100" i="5"/>
  <c r="V99" i="5"/>
  <c r="T99" i="5"/>
  <c r="Q99" i="5"/>
  <c r="V98" i="5"/>
  <c r="T98" i="5"/>
  <c r="Q98" i="5"/>
  <c r="V97" i="5"/>
  <c r="T97" i="5"/>
  <c r="Q97" i="5"/>
  <c r="V96" i="5"/>
  <c r="T96" i="5"/>
  <c r="Q96" i="5"/>
  <c r="V95" i="5"/>
  <c r="T95" i="5"/>
  <c r="Q95" i="5"/>
  <c r="V94" i="5"/>
  <c r="T94" i="5"/>
  <c r="Q94" i="5"/>
  <c r="V93" i="5"/>
  <c r="T93" i="5"/>
  <c r="Q93" i="5"/>
  <c r="V92" i="5"/>
  <c r="T92" i="5"/>
  <c r="Q92" i="5"/>
  <c r="V91" i="5"/>
  <c r="T91" i="5"/>
  <c r="Q91" i="5"/>
  <c r="V90" i="5"/>
  <c r="T90" i="5"/>
  <c r="Q90" i="5"/>
  <c r="V89" i="5"/>
  <c r="T89" i="5"/>
  <c r="Q89" i="5"/>
  <c r="V88" i="5"/>
  <c r="T88" i="5"/>
  <c r="Q88" i="5"/>
  <c r="V87" i="5"/>
  <c r="T87" i="5"/>
  <c r="Q87" i="5"/>
  <c r="V86" i="5"/>
  <c r="T86" i="5"/>
  <c r="Q86" i="5"/>
  <c r="V85" i="5"/>
  <c r="T85" i="5"/>
  <c r="Q85" i="5"/>
  <c r="V84" i="5"/>
  <c r="T84" i="5"/>
  <c r="Q84" i="5"/>
  <c r="V83" i="5"/>
  <c r="T83" i="5"/>
  <c r="Q83" i="5"/>
  <c r="V82" i="5"/>
  <c r="T82" i="5"/>
  <c r="Q82" i="5"/>
  <c r="V81" i="5"/>
  <c r="T81" i="5"/>
  <c r="Q81" i="5"/>
  <c r="V80" i="5"/>
  <c r="T80" i="5"/>
  <c r="Q80" i="5"/>
  <c r="V79" i="5"/>
  <c r="T79" i="5"/>
  <c r="Q79" i="5"/>
  <c r="V78" i="5"/>
  <c r="T78" i="5"/>
  <c r="Q78" i="5"/>
  <c r="V77" i="5"/>
  <c r="T77" i="5"/>
  <c r="Q77" i="5"/>
  <c r="V76" i="5"/>
  <c r="T76" i="5"/>
  <c r="Q76" i="5"/>
  <c r="V75" i="5"/>
  <c r="T75" i="5"/>
  <c r="Q75" i="5"/>
  <c r="V74" i="5"/>
  <c r="T74" i="5"/>
  <c r="Q74" i="5"/>
  <c r="V73" i="5"/>
  <c r="T73" i="5"/>
  <c r="Q73" i="5"/>
  <c r="V72" i="5"/>
  <c r="T72" i="5"/>
  <c r="Q72" i="5"/>
  <c r="V71" i="5"/>
  <c r="T71" i="5"/>
  <c r="Q71" i="5"/>
  <c r="V70" i="5"/>
  <c r="T70" i="5"/>
  <c r="Q70" i="5"/>
  <c r="V69" i="5"/>
  <c r="T69" i="5"/>
  <c r="Q69" i="5"/>
  <c r="V68" i="5"/>
  <c r="T68" i="5"/>
  <c r="Q68" i="5"/>
  <c r="V67" i="5"/>
  <c r="T67" i="5"/>
  <c r="Q67" i="5"/>
  <c r="V66" i="5"/>
  <c r="T66" i="5"/>
  <c r="Q66" i="5"/>
  <c r="V65" i="5"/>
  <c r="T65" i="5"/>
  <c r="Q65" i="5"/>
  <c r="V64" i="5"/>
  <c r="T64" i="5"/>
  <c r="Q64" i="5"/>
  <c r="V63" i="5"/>
  <c r="T63" i="5"/>
  <c r="Q63" i="5"/>
  <c r="V62" i="5"/>
  <c r="T62" i="5"/>
  <c r="Q62" i="5"/>
  <c r="V61" i="5"/>
  <c r="T61" i="5"/>
  <c r="Q61" i="5"/>
  <c r="V60" i="5"/>
  <c r="T60" i="5"/>
  <c r="Q60" i="5"/>
  <c r="V59" i="5"/>
  <c r="T59" i="5"/>
  <c r="Q59" i="5"/>
  <c r="V58" i="5"/>
  <c r="T58" i="5"/>
  <c r="Q58" i="5"/>
  <c r="V57" i="5"/>
  <c r="T57" i="5"/>
  <c r="Q57" i="5"/>
  <c r="V56" i="5"/>
  <c r="T56" i="5"/>
  <c r="Q56" i="5"/>
  <c r="V55" i="5"/>
  <c r="T55" i="5"/>
  <c r="Q55" i="5"/>
  <c r="V54" i="5"/>
  <c r="T54" i="5"/>
  <c r="Q54" i="5"/>
  <c r="V53" i="5"/>
  <c r="T53" i="5"/>
  <c r="Q53" i="5"/>
  <c r="V52" i="5"/>
  <c r="T52" i="5"/>
  <c r="Q52" i="5"/>
  <c r="V51" i="5"/>
  <c r="T51" i="5"/>
  <c r="Q51" i="5"/>
  <c r="V50" i="5"/>
  <c r="T50" i="5"/>
  <c r="Q50" i="5"/>
  <c r="V49" i="5"/>
  <c r="T49" i="5"/>
  <c r="Q49" i="5"/>
  <c r="V48" i="5"/>
  <c r="T48" i="5"/>
  <c r="Q48" i="5"/>
  <c r="V47" i="5"/>
  <c r="T47" i="5"/>
  <c r="Q47" i="5"/>
  <c r="V46" i="5"/>
  <c r="T46" i="5"/>
  <c r="Q46" i="5"/>
  <c r="V45" i="5"/>
  <c r="T45" i="5"/>
  <c r="Q45" i="5"/>
  <c r="V44" i="5"/>
  <c r="T44" i="5"/>
  <c r="Q44" i="5"/>
  <c r="V43" i="5"/>
  <c r="T43" i="5"/>
  <c r="Q43" i="5"/>
  <c r="V42" i="5"/>
  <c r="T42" i="5"/>
  <c r="Q42" i="5"/>
  <c r="V41" i="5"/>
  <c r="T41" i="5"/>
  <c r="Q41" i="5"/>
  <c r="V40" i="5"/>
  <c r="T40" i="5"/>
  <c r="Q40" i="5"/>
  <c r="V39" i="5"/>
  <c r="T39" i="5"/>
  <c r="Q39" i="5"/>
  <c r="V38" i="5"/>
  <c r="T38" i="5"/>
  <c r="Q38" i="5"/>
  <c r="V37" i="5"/>
  <c r="T37" i="5"/>
  <c r="Q37" i="5"/>
  <c r="V36" i="5"/>
  <c r="T36" i="5"/>
  <c r="Q36" i="5"/>
  <c r="V35" i="5"/>
  <c r="T35" i="5"/>
  <c r="Q35" i="5"/>
  <c r="V34" i="5"/>
  <c r="T34" i="5"/>
  <c r="Q34" i="5"/>
  <c r="V33" i="5"/>
  <c r="T33" i="5"/>
  <c r="Q33" i="5"/>
  <c r="V32" i="5"/>
  <c r="T32" i="5"/>
  <c r="Q32" i="5"/>
  <c r="V31" i="5"/>
  <c r="T31" i="5"/>
  <c r="Q31" i="5"/>
  <c r="V30" i="5"/>
  <c r="T30" i="5"/>
  <c r="Q30" i="5"/>
  <c r="V29" i="5"/>
  <c r="T29" i="5"/>
  <c r="Q29" i="5"/>
  <c r="V28" i="5"/>
  <c r="T28" i="5"/>
  <c r="Q28" i="5"/>
  <c r="V27" i="5"/>
  <c r="T27" i="5"/>
  <c r="Q27" i="5"/>
  <c r="V26" i="5"/>
  <c r="T26" i="5"/>
  <c r="Q26" i="5"/>
  <c r="V25" i="5"/>
  <c r="T25" i="5"/>
  <c r="Q25" i="5"/>
  <c r="V24" i="5"/>
  <c r="T24" i="5"/>
  <c r="Q24" i="5"/>
  <c r="V23" i="5"/>
  <c r="T23" i="5"/>
  <c r="Q23" i="5"/>
  <c r="V22" i="5"/>
  <c r="T22" i="5"/>
  <c r="Q22" i="5"/>
  <c r="V21" i="5"/>
  <c r="T21" i="5"/>
  <c r="Q21" i="5"/>
  <c r="V20" i="5"/>
  <c r="T20" i="5"/>
  <c r="Q20" i="5"/>
  <c r="V19" i="5"/>
  <c r="T19" i="5"/>
  <c r="Q19" i="5"/>
  <c r="V18" i="5"/>
  <c r="T18" i="5"/>
  <c r="Q18" i="5"/>
  <c r="V17" i="5"/>
  <c r="T17" i="5"/>
  <c r="Q17" i="5"/>
  <c r="V16" i="5"/>
  <c r="T16" i="5"/>
  <c r="Q16" i="5"/>
  <c r="V15" i="5"/>
  <c r="T15" i="5"/>
  <c r="Q15" i="5"/>
  <c r="V14" i="5"/>
  <c r="T14" i="5"/>
  <c r="Q14" i="5"/>
  <c r="V13" i="5"/>
  <c r="T13" i="5"/>
  <c r="Q13" i="5"/>
  <c r="V12" i="5"/>
  <c r="T12" i="5"/>
  <c r="Q12" i="5"/>
  <c r="V11" i="5"/>
  <c r="T11" i="5"/>
  <c r="Q11" i="5"/>
  <c r="V10" i="5"/>
  <c r="T10" i="5"/>
  <c r="Q10" i="5"/>
  <c r="V9" i="5"/>
  <c r="T9" i="5"/>
  <c r="Q9" i="5"/>
  <c r="V8" i="5"/>
  <c r="T8" i="5"/>
  <c r="Q8" i="5"/>
  <c r="V7" i="5"/>
  <c r="T7" i="5"/>
  <c r="Q7" i="5"/>
  <c r="V6" i="5"/>
  <c r="T6" i="5"/>
  <c r="Q6" i="5"/>
  <c r="V5" i="5"/>
  <c r="T5" i="5"/>
  <c r="Q5" i="5"/>
  <c r="V4" i="5"/>
  <c r="T4" i="5"/>
  <c r="Q4" i="5"/>
  <c r="V3" i="5"/>
  <c r="T3" i="5"/>
  <c r="Q3" i="5"/>
  <c r="V2" i="5"/>
  <c r="T2" i="5"/>
  <c r="Q2" i="5"/>
  <c r="T230" i="4" l="1"/>
  <c r="V230" i="4" s="1"/>
  <c r="T229" i="4"/>
  <c r="V229" i="4" s="1"/>
  <c r="T228" i="4"/>
  <c r="V228" i="4" s="1"/>
  <c r="T227" i="4"/>
  <c r="V227" i="4" s="1"/>
  <c r="T226" i="4"/>
  <c r="V226" i="4" s="1"/>
  <c r="T225" i="4"/>
  <c r="V225" i="4" s="1"/>
  <c r="T224" i="4"/>
  <c r="V224" i="4" s="1"/>
  <c r="T223" i="4"/>
  <c r="V223" i="4" s="1"/>
  <c r="T222" i="4"/>
  <c r="V222" i="4" s="1"/>
  <c r="T221" i="4"/>
  <c r="V221" i="4" s="1"/>
  <c r="T220" i="4"/>
  <c r="V220" i="4" s="1"/>
  <c r="T219" i="4"/>
  <c r="V219" i="4" s="1"/>
  <c r="T218" i="4"/>
  <c r="V218" i="4" s="1"/>
  <c r="T217" i="4"/>
  <c r="V217" i="4" s="1"/>
  <c r="T216" i="4"/>
  <c r="V216" i="4" s="1"/>
  <c r="T215" i="4"/>
  <c r="V215" i="4" s="1"/>
  <c r="T214" i="4"/>
  <c r="V214" i="4" s="1"/>
  <c r="T213" i="4"/>
  <c r="V213" i="4" s="1"/>
  <c r="T212" i="4"/>
  <c r="V212" i="4" s="1"/>
  <c r="T211" i="4"/>
  <c r="V211" i="4" s="1"/>
  <c r="T210" i="4"/>
  <c r="V210" i="4" s="1"/>
  <c r="T209" i="4"/>
  <c r="V209" i="4" s="1"/>
  <c r="T208" i="4"/>
  <c r="V208" i="4" s="1"/>
  <c r="T207" i="4"/>
  <c r="V207" i="4" s="1"/>
  <c r="T206" i="4"/>
  <c r="V206" i="4" s="1"/>
  <c r="T205" i="4"/>
  <c r="V205" i="4" s="1"/>
  <c r="T204" i="4"/>
  <c r="V204" i="4" s="1"/>
  <c r="T203" i="4"/>
  <c r="V203" i="4" s="1"/>
  <c r="T202" i="4"/>
  <c r="V202" i="4" s="1"/>
  <c r="T201" i="4"/>
  <c r="V201" i="4" s="1"/>
  <c r="T200" i="4"/>
  <c r="V200" i="4" s="1"/>
  <c r="T199" i="4"/>
  <c r="V199" i="4" s="1"/>
  <c r="T198" i="4"/>
  <c r="V198" i="4" s="1"/>
  <c r="T197" i="4"/>
  <c r="V197" i="4" s="1"/>
  <c r="T196" i="4"/>
  <c r="V196" i="4" s="1"/>
  <c r="T195" i="4"/>
  <c r="V195" i="4" s="1"/>
  <c r="T194" i="4"/>
  <c r="V194" i="4" s="1"/>
  <c r="T193" i="4"/>
  <c r="V193" i="4" s="1"/>
  <c r="T192" i="4"/>
  <c r="V192" i="4" s="1"/>
  <c r="T191" i="4"/>
  <c r="V191" i="4" s="1"/>
  <c r="T190" i="4"/>
  <c r="V190" i="4" s="1"/>
  <c r="T189" i="4"/>
  <c r="V189" i="4" s="1"/>
  <c r="T188" i="4"/>
  <c r="V188" i="4" s="1"/>
  <c r="T187" i="4"/>
  <c r="V187" i="4" s="1"/>
  <c r="T186" i="4"/>
  <c r="V186" i="4" s="1"/>
  <c r="T185" i="4"/>
  <c r="V185" i="4" s="1"/>
  <c r="T184" i="4"/>
  <c r="V184" i="4" s="1"/>
  <c r="T183" i="4"/>
  <c r="V183" i="4" s="1"/>
  <c r="T182" i="4"/>
  <c r="V182" i="4" s="1"/>
  <c r="T181" i="4"/>
  <c r="V181" i="4" s="1"/>
  <c r="T180" i="4"/>
  <c r="V180" i="4" s="1"/>
  <c r="T179" i="4"/>
  <c r="V179" i="4" s="1"/>
  <c r="T178" i="4"/>
  <c r="V178" i="4" s="1"/>
  <c r="T177" i="4"/>
  <c r="V177" i="4" s="1"/>
  <c r="T176" i="4"/>
  <c r="V176" i="4" s="1"/>
  <c r="T175" i="4"/>
  <c r="V175" i="4" s="1"/>
  <c r="T174" i="4"/>
  <c r="V174" i="4" s="1"/>
  <c r="T173" i="4"/>
  <c r="V173" i="4" s="1"/>
  <c r="T172" i="4"/>
  <c r="V172" i="4" s="1"/>
  <c r="T171" i="4"/>
  <c r="V171" i="4" s="1"/>
  <c r="T170" i="4"/>
  <c r="V170" i="4" s="1"/>
  <c r="T169" i="4"/>
  <c r="V169" i="4" s="1"/>
  <c r="T168" i="4"/>
  <c r="V168" i="4" s="1"/>
  <c r="T167" i="4"/>
  <c r="V167" i="4" s="1"/>
  <c r="T166" i="4"/>
  <c r="V166" i="4" s="1"/>
  <c r="T165" i="4"/>
  <c r="V165" i="4" s="1"/>
  <c r="T164" i="4"/>
  <c r="V164" i="4" s="1"/>
  <c r="T163" i="4"/>
  <c r="V163" i="4" s="1"/>
  <c r="T162" i="4"/>
  <c r="V162" i="4" s="1"/>
  <c r="T161" i="4"/>
  <c r="V161" i="4" s="1"/>
  <c r="T160" i="4"/>
  <c r="V160" i="4" s="1"/>
  <c r="T159" i="4"/>
  <c r="V159" i="4" s="1"/>
  <c r="T158" i="4"/>
  <c r="V158" i="4" s="1"/>
  <c r="T157" i="4"/>
  <c r="V157" i="4" s="1"/>
  <c r="T156" i="4"/>
  <c r="V156" i="4" s="1"/>
  <c r="T155" i="4"/>
  <c r="V155" i="4" s="1"/>
  <c r="T154" i="4"/>
  <c r="V154" i="4" s="1"/>
  <c r="T153" i="4"/>
  <c r="V153" i="4" s="1"/>
  <c r="T152" i="4"/>
  <c r="V152" i="4" s="1"/>
  <c r="T151" i="4"/>
  <c r="V151" i="4" s="1"/>
  <c r="T150" i="4"/>
  <c r="V150" i="4" s="1"/>
  <c r="T149" i="4"/>
  <c r="V149" i="4" s="1"/>
  <c r="T148" i="4"/>
  <c r="V148" i="4" s="1"/>
  <c r="T147" i="4"/>
  <c r="V147" i="4" s="1"/>
  <c r="T146" i="4"/>
  <c r="V146" i="4" s="1"/>
  <c r="T145" i="4"/>
  <c r="V145" i="4" s="1"/>
  <c r="T144" i="4"/>
  <c r="V144" i="4" s="1"/>
  <c r="T143" i="4"/>
  <c r="V143" i="4" s="1"/>
  <c r="T142" i="4"/>
  <c r="V142" i="4" s="1"/>
  <c r="T141" i="4"/>
  <c r="V141" i="4" s="1"/>
  <c r="T140" i="4"/>
  <c r="V140" i="4" s="1"/>
  <c r="T139" i="4"/>
  <c r="V139" i="4" s="1"/>
  <c r="T138" i="4"/>
  <c r="V138" i="4" s="1"/>
  <c r="T137" i="4"/>
  <c r="V137" i="4" s="1"/>
  <c r="T136" i="4"/>
  <c r="V136" i="4" s="1"/>
  <c r="T135" i="4"/>
  <c r="V135" i="4" s="1"/>
  <c r="T134" i="4"/>
  <c r="V134" i="4" s="1"/>
  <c r="T133" i="4"/>
  <c r="V133" i="4" s="1"/>
  <c r="T132" i="4"/>
  <c r="V132" i="4" s="1"/>
  <c r="T131" i="4"/>
  <c r="V131" i="4" s="1"/>
  <c r="T130" i="4"/>
  <c r="V130" i="4" s="1"/>
  <c r="T129" i="4"/>
  <c r="V129" i="4" s="1"/>
  <c r="T128" i="4"/>
  <c r="V128" i="4" s="1"/>
  <c r="T127" i="4"/>
  <c r="V127" i="4" s="1"/>
  <c r="T126" i="4"/>
  <c r="V126" i="4" s="1"/>
  <c r="T125" i="4"/>
  <c r="V125" i="4" s="1"/>
  <c r="T124" i="4"/>
  <c r="V124" i="4" s="1"/>
  <c r="T123" i="4"/>
  <c r="V123" i="4" s="1"/>
  <c r="T122" i="4"/>
  <c r="V122" i="4" s="1"/>
  <c r="T121" i="4"/>
  <c r="V121" i="4" s="1"/>
  <c r="T120" i="4"/>
  <c r="V120" i="4" s="1"/>
  <c r="T119" i="4"/>
  <c r="V119" i="4" s="1"/>
  <c r="T118" i="4"/>
  <c r="V118" i="4" s="1"/>
  <c r="T117" i="4"/>
  <c r="V117" i="4" s="1"/>
  <c r="T116" i="4"/>
  <c r="V116" i="4" s="1"/>
  <c r="T115" i="4"/>
  <c r="V115" i="4" s="1"/>
  <c r="T114" i="4"/>
  <c r="V114" i="4" s="1"/>
  <c r="T113" i="4"/>
  <c r="V113" i="4" s="1"/>
  <c r="T112" i="4"/>
  <c r="V112" i="4" s="1"/>
  <c r="T111" i="4"/>
  <c r="V111" i="4" s="1"/>
  <c r="T110" i="4"/>
  <c r="V110" i="4" s="1"/>
  <c r="T109" i="4"/>
  <c r="V109" i="4" s="1"/>
  <c r="T108" i="4"/>
  <c r="V108" i="4" s="1"/>
  <c r="T107" i="4"/>
  <c r="V107" i="4" s="1"/>
  <c r="T106" i="4"/>
  <c r="V106" i="4" s="1"/>
  <c r="T105" i="4"/>
  <c r="V105" i="4" s="1"/>
  <c r="T104" i="4"/>
  <c r="V104" i="4" s="1"/>
  <c r="T103" i="4"/>
  <c r="V103" i="4" s="1"/>
  <c r="T102" i="4"/>
  <c r="V102" i="4" s="1"/>
  <c r="T101" i="4"/>
  <c r="V101" i="4" s="1"/>
  <c r="T100" i="4"/>
  <c r="V100" i="4" s="1"/>
  <c r="T99" i="4"/>
  <c r="V99" i="4" s="1"/>
  <c r="T98" i="4"/>
  <c r="V98" i="4" s="1"/>
  <c r="T97" i="4"/>
  <c r="V97" i="4" s="1"/>
  <c r="T96" i="4"/>
  <c r="V96" i="4" s="1"/>
  <c r="T95" i="4"/>
  <c r="V95" i="4" s="1"/>
  <c r="T94" i="4"/>
  <c r="V94" i="4" s="1"/>
  <c r="T93" i="4"/>
  <c r="V93" i="4" s="1"/>
  <c r="T92" i="4"/>
  <c r="V92" i="4" s="1"/>
  <c r="T91" i="4"/>
  <c r="V91" i="4" s="1"/>
  <c r="T90" i="4"/>
  <c r="V90" i="4" s="1"/>
  <c r="T89" i="4"/>
  <c r="V89" i="4" s="1"/>
  <c r="T88" i="4"/>
  <c r="V88" i="4" s="1"/>
  <c r="T87" i="4"/>
  <c r="V87" i="4" s="1"/>
  <c r="T86" i="4"/>
  <c r="V86" i="4" s="1"/>
  <c r="T85" i="4"/>
  <c r="V85" i="4" s="1"/>
  <c r="T84" i="4"/>
  <c r="V84" i="4" s="1"/>
  <c r="T83" i="4"/>
  <c r="V83" i="4" s="1"/>
  <c r="T82" i="4"/>
  <c r="V82" i="4" s="1"/>
  <c r="T81" i="4"/>
  <c r="V81" i="4" s="1"/>
  <c r="T80" i="4"/>
  <c r="V80" i="4" s="1"/>
  <c r="T79" i="4"/>
  <c r="V79" i="4" s="1"/>
  <c r="T78" i="4"/>
  <c r="V78" i="4" s="1"/>
  <c r="T77" i="4"/>
  <c r="V77" i="4" s="1"/>
  <c r="T76" i="4"/>
  <c r="V76" i="4" s="1"/>
  <c r="T75" i="4"/>
  <c r="V75" i="4" s="1"/>
  <c r="T74" i="4"/>
  <c r="V74" i="4" s="1"/>
  <c r="T73" i="4"/>
  <c r="V73" i="4" s="1"/>
  <c r="T72" i="4"/>
  <c r="V72" i="4" s="1"/>
  <c r="T71" i="4"/>
  <c r="V71" i="4" s="1"/>
  <c r="T70" i="4"/>
  <c r="V70" i="4" s="1"/>
  <c r="T69" i="4"/>
  <c r="V69" i="4" s="1"/>
  <c r="T68" i="4"/>
  <c r="V68" i="4" s="1"/>
  <c r="T67" i="4"/>
  <c r="V67" i="4" s="1"/>
  <c r="T66" i="4"/>
  <c r="V66" i="4" s="1"/>
  <c r="T65" i="4"/>
  <c r="V65" i="4" s="1"/>
  <c r="T64" i="4"/>
  <c r="V64" i="4" s="1"/>
  <c r="T63" i="4"/>
  <c r="V63" i="4" s="1"/>
  <c r="T62" i="4"/>
  <c r="V62" i="4" s="1"/>
  <c r="T61" i="4"/>
  <c r="V61" i="4" s="1"/>
  <c r="Q61" i="4"/>
  <c r="T60" i="4"/>
  <c r="V60" i="4" s="1"/>
  <c r="Q60" i="4"/>
  <c r="T59" i="4"/>
  <c r="V59" i="4" s="1"/>
  <c r="Q59" i="4"/>
  <c r="T58" i="4"/>
  <c r="V58" i="4" s="1"/>
  <c r="Q58" i="4"/>
  <c r="T57" i="4"/>
  <c r="V57" i="4" s="1"/>
  <c r="Q57" i="4"/>
  <c r="T56" i="4"/>
  <c r="V56" i="4" s="1"/>
  <c r="Q56" i="4"/>
  <c r="V55" i="4"/>
  <c r="T55" i="4"/>
  <c r="Q55" i="4"/>
  <c r="T54" i="4"/>
  <c r="V54" i="4" s="1"/>
  <c r="Q54" i="4"/>
  <c r="T53" i="4"/>
  <c r="V53" i="4" s="1"/>
  <c r="Q53" i="4"/>
  <c r="T52" i="4"/>
  <c r="V52" i="4" s="1"/>
  <c r="Q52" i="4"/>
  <c r="T51" i="4"/>
  <c r="V51" i="4" s="1"/>
  <c r="Q51" i="4"/>
  <c r="T50" i="4"/>
  <c r="V50" i="4" s="1"/>
  <c r="Q50" i="4"/>
  <c r="T49" i="4"/>
  <c r="V49" i="4" s="1"/>
  <c r="Q49" i="4"/>
  <c r="T48" i="4"/>
  <c r="V48" i="4" s="1"/>
  <c r="Q48" i="4"/>
  <c r="T47" i="4"/>
  <c r="V47" i="4" s="1"/>
  <c r="Q47" i="4"/>
  <c r="T46" i="4"/>
  <c r="V46" i="4" s="1"/>
  <c r="Q46" i="4"/>
  <c r="T45" i="4"/>
  <c r="V45" i="4" s="1"/>
  <c r="Q45" i="4"/>
  <c r="T44" i="4"/>
  <c r="V44" i="4" s="1"/>
  <c r="Q44" i="4"/>
  <c r="T43" i="4"/>
  <c r="V43" i="4" s="1"/>
  <c r="Q43" i="4"/>
  <c r="T42" i="4"/>
  <c r="V42" i="4" s="1"/>
  <c r="Q42" i="4"/>
  <c r="T41" i="4"/>
  <c r="V41" i="4" s="1"/>
  <c r="Q41" i="4"/>
  <c r="T40" i="4"/>
  <c r="V40" i="4" s="1"/>
  <c r="Q40" i="4"/>
  <c r="T39" i="4"/>
  <c r="V39" i="4" s="1"/>
  <c r="Q39" i="4"/>
  <c r="T38" i="4"/>
  <c r="V38" i="4" s="1"/>
  <c r="Q38" i="4"/>
  <c r="T37" i="4"/>
  <c r="V37" i="4" s="1"/>
  <c r="Q37" i="4"/>
  <c r="T36" i="4"/>
  <c r="V36" i="4" s="1"/>
  <c r="Q36" i="4"/>
  <c r="T35" i="4"/>
  <c r="V35" i="4" s="1"/>
  <c r="Q35" i="4"/>
  <c r="T34" i="4"/>
  <c r="V34" i="4" s="1"/>
  <c r="Q34" i="4"/>
  <c r="T33" i="4"/>
  <c r="V33" i="4" s="1"/>
  <c r="Q33" i="4"/>
  <c r="T32" i="4"/>
  <c r="V32" i="4" s="1"/>
  <c r="Q32" i="4"/>
  <c r="T31" i="4"/>
  <c r="V31" i="4" s="1"/>
  <c r="Q31" i="4"/>
  <c r="T30" i="4"/>
  <c r="V30" i="4" s="1"/>
  <c r="Q30" i="4"/>
  <c r="T29" i="4"/>
  <c r="V29" i="4" s="1"/>
  <c r="Q29" i="4"/>
  <c r="T28" i="4"/>
  <c r="V28" i="4" s="1"/>
  <c r="Q28" i="4"/>
  <c r="T27" i="4"/>
  <c r="V27" i="4" s="1"/>
  <c r="Q27" i="4"/>
  <c r="T26" i="4"/>
  <c r="V26" i="4" s="1"/>
  <c r="Q26" i="4"/>
  <c r="T25" i="4"/>
  <c r="V25" i="4" s="1"/>
  <c r="Q25" i="4"/>
  <c r="T24" i="4"/>
  <c r="V24" i="4" s="1"/>
  <c r="Q24" i="4"/>
  <c r="T23" i="4"/>
  <c r="V23" i="4" s="1"/>
  <c r="Q23" i="4"/>
  <c r="T22" i="4"/>
  <c r="V22" i="4" s="1"/>
  <c r="Q22" i="4"/>
  <c r="T21" i="4"/>
  <c r="V21" i="4" s="1"/>
  <c r="Q21" i="4"/>
  <c r="T20" i="4"/>
  <c r="V20" i="4" s="1"/>
  <c r="Q20" i="4"/>
  <c r="T19" i="4"/>
  <c r="V19" i="4" s="1"/>
  <c r="Q19" i="4"/>
  <c r="T18" i="4"/>
  <c r="V18" i="4" s="1"/>
  <c r="Q18" i="4"/>
  <c r="T17" i="4"/>
  <c r="V17" i="4" s="1"/>
  <c r="Q17" i="4"/>
  <c r="T16" i="4"/>
  <c r="V16" i="4" s="1"/>
  <c r="Q16" i="4"/>
  <c r="T15" i="4"/>
  <c r="V15" i="4" s="1"/>
  <c r="Q15" i="4"/>
  <c r="T14" i="4"/>
  <c r="V14" i="4" s="1"/>
  <c r="Q14" i="4"/>
  <c r="T13" i="4"/>
  <c r="V13" i="4" s="1"/>
  <c r="Q13" i="4"/>
  <c r="T12" i="4"/>
  <c r="V12" i="4" s="1"/>
  <c r="Q12" i="4"/>
  <c r="T11" i="4"/>
  <c r="V11" i="4" s="1"/>
  <c r="Q11" i="4"/>
  <c r="T10" i="4"/>
  <c r="V10" i="4" s="1"/>
  <c r="Q10" i="4"/>
  <c r="T9" i="4"/>
  <c r="V9" i="4" s="1"/>
  <c r="Q9" i="4"/>
  <c r="T8" i="4"/>
  <c r="V8" i="4" s="1"/>
  <c r="Q8" i="4"/>
  <c r="T7" i="4"/>
  <c r="V7" i="4" s="1"/>
  <c r="Q7" i="4"/>
  <c r="T6" i="4"/>
  <c r="V6" i="4" s="1"/>
  <c r="Q6" i="4"/>
  <c r="T5" i="4"/>
  <c r="V5" i="4" s="1"/>
  <c r="Q5" i="4"/>
  <c r="T4" i="4"/>
  <c r="V4" i="4" s="1"/>
  <c r="Q4" i="4"/>
  <c r="T3" i="4"/>
  <c r="V3" i="4" s="1"/>
  <c r="Q3" i="4"/>
  <c r="T2" i="4"/>
  <c r="V2" i="4" s="1"/>
  <c r="Q2" i="4"/>
  <c r="T61" i="3" l="1"/>
  <c r="V61" i="3" s="1"/>
  <c r="Q61" i="3"/>
  <c r="T60" i="3"/>
  <c r="V60" i="3" s="1"/>
  <c r="Q60" i="3"/>
  <c r="T59" i="3"/>
  <c r="V59" i="3" s="1"/>
  <c r="Q59" i="3"/>
  <c r="T58" i="3"/>
  <c r="V58" i="3" s="1"/>
  <c r="Q58" i="3"/>
  <c r="T57" i="3"/>
  <c r="V57" i="3" s="1"/>
  <c r="Q57" i="3"/>
  <c r="T56" i="3"/>
  <c r="V56" i="3" s="1"/>
  <c r="Q56" i="3"/>
  <c r="T55" i="3"/>
  <c r="V55" i="3" s="1"/>
  <c r="Q55" i="3"/>
  <c r="T54" i="3"/>
  <c r="V54" i="3" s="1"/>
  <c r="Q54" i="3"/>
  <c r="T53" i="3"/>
  <c r="V53" i="3" s="1"/>
  <c r="Q53" i="3"/>
  <c r="T52" i="3"/>
  <c r="V52" i="3" s="1"/>
  <c r="Q52" i="3"/>
  <c r="T51" i="3"/>
  <c r="V51" i="3" s="1"/>
  <c r="Q51" i="3"/>
  <c r="T50" i="3"/>
  <c r="V50" i="3" s="1"/>
  <c r="Q50" i="3"/>
  <c r="T49" i="3"/>
  <c r="V49" i="3" s="1"/>
  <c r="Q49" i="3"/>
  <c r="T48" i="3"/>
  <c r="V48" i="3" s="1"/>
  <c r="Q48" i="3"/>
  <c r="T47" i="3"/>
  <c r="V47" i="3" s="1"/>
  <c r="Q47" i="3"/>
  <c r="T46" i="3"/>
  <c r="V46" i="3" s="1"/>
  <c r="Q46" i="3"/>
  <c r="T45" i="3"/>
  <c r="V45" i="3" s="1"/>
  <c r="Q45" i="3"/>
  <c r="T44" i="3"/>
  <c r="V44" i="3" s="1"/>
  <c r="Q44" i="3"/>
  <c r="T43" i="3"/>
  <c r="V43" i="3" s="1"/>
  <c r="Q43" i="3"/>
  <c r="T42" i="3"/>
  <c r="V42" i="3" s="1"/>
  <c r="Q42" i="3"/>
  <c r="T41" i="3"/>
  <c r="V41" i="3" s="1"/>
  <c r="Q41" i="3"/>
  <c r="T40" i="3"/>
  <c r="V40" i="3" s="1"/>
  <c r="Q40" i="3"/>
  <c r="T39" i="3"/>
  <c r="V39" i="3" s="1"/>
  <c r="Q39" i="3"/>
  <c r="T38" i="3"/>
  <c r="V38" i="3" s="1"/>
  <c r="Q38" i="3"/>
  <c r="T37" i="3"/>
  <c r="V37" i="3" s="1"/>
  <c r="Q37" i="3"/>
  <c r="T36" i="3"/>
  <c r="V36" i="3" s="1"/>
  <c r="Q36" i="3"/>
  <c r="T35" i="3"/>
  <c r="V35" i="3" s="1"/>
  <c r="Q35" i="3"/>
  <c r="T34" i="3"/>
  <c r="V34" i="3" s="1"/>
  <c r="Q34" i="3"/>
  <c r="T33" i="3"/>
  <c r="V33" i="3" s="1"/>
  <c r="Q33" i="3"/>
  <c r="T32" i="3"/>
  <c r="V32" i="3" s="1"/>
  <c r="Q32" i="3"/>
  <c r="T31" i="3"/>
  <c r="V31" i="3" s="1"/>
  <c r="Q31" i="3"/>
  <c r="T30" i="3"/>
  <c r="V30" i="3" s="1"/>
  <c r="Q30" i="3"/>
  <c r="T29" i="3"/>
  <c r="V29" i="3" s="1"/>
  <c r="Q29" i="3"/>
  <c r="T28" i="3"/>
  <c r="V28" i="3" s="1"/>
  <c r="Q28" i="3"/>
  <c r="T27" i="3"/>
  <c r="V27" i="3" s="1"/>
  <c r="Q27" i="3"/>
  <c r="T26" i="3"/>
  <c r="V26" i="3" s="1"/>
  <c r="Q26" i="3"/>
  <c r="T25" i="3"/>
  <c r="V25" i="3" s="1"/>
  <c r="Q25" i="3"/>
  <c r="T24" i="3"/>
  <c r="V24" i="3" s="1"/>
  <c r="Q24" i="3"/>
  <c r="T23" i="3"/>
  <c r="V23" i="3" s="1"/>
  <c r="Q23" i="3"/>
  <c r="T22" i="3"/>
  <c r="V22" i="3" s="1"/>
  <c r="Q22" i="3"/>
  <c r="T21" i="3"/>
  <c r="V21" i="3" s="1"/>
  <c r="Q21" i="3"/>
  <c r="T20" i="3"/>
  <c r="V20" i="3" s="1"/>
  <c r="Q20" i="3"/>
  <c r="T19" i="3"/>
  <c r="V19" i="3" s="1"/>
  <c r="Q19" i="3"/>
  <c r="T18" i="3"/>
  <c r="V18" i="3" s="1"/>
  <c r="Q18" i="3"/>
  <c r="T17" i="3"/>
  <c r="V17" i="3" s="1"/>
  <c r="Q17" i="3"/>
  <c r="T16" i="3"/>
  <c r="V16" i="3" s="1"/>
  <c r="Q16" i="3"/>
  <c r="T15" i="3"/>
  <c r="V15" i="3" s="1"/>
  <c r="Q15" i="3"/>
  <c r="T14" i="3"/>
  <c r="V14" i="3" s="1"/>
  <c r="Q14" i="3"/>
  <c r="T13" i="3"/>
  <c r="V13" i="3" s="1"/>
  <c r="Q13" i="3"/>
  <c r="T12" i="3"/>
  <c r="V12" i="3" s="1"/>
  <c r="Q12" i="3"/>
  <c r="T11" i="3"/>
  <c r="V11" i="3" s="1"/>
  <c r="Q11" i="3"/>
  <c r="T10" i="3"/>
  <c r="V10" i="3" s="1"/>
  <c r="Q10" i="3"/>
  <c r="T9" i="3"/>
  <c r="V9" i="3" s="1"/>
  <c r="Q9" i="3"/>
  <c r="T8" i="3"/>
  <c r="V8" i="3" s="1"/>
  <c r="Q8" i="3"/>
  <c r="T7" i="3"/>
  <c r="V7" i="3" s="1"/>
  <c r="Q7" i="3"/>
  <c r="T6" i="3"/>
  <c r="V6" i="3" s="1"/>
  <c r="Q6" i="3"/>
  <c r="T5" i="3"/>
  <c r="V5" i="3" s="1"/>
  <c r="Q5" i="3"/>
  <c r="T4" i="3"/>
  <c r="V4" i="3" s="1"/>
  <c r="Q4" i="3"/>
  <c r="T3" i="3"/>
  <c r="V3" i="3" s="1"/>
  <c r="Q3" i="3"/>
  <c r="T2" i="3"/>
  <c r="V2" i="3" s="1"/>
  <c r="Q2" i="3"/>
  <c r="T7" i="1" l="1"/>
  <c r="V7" i="1" s="1"/>
  <c r="Q7" i="1"/>
  <c r="T6" i="1"/>
  <c r="V6" i="1" s="1"/>
  <c r="Q6" i="1"/>
  <c r="T5" i="1"/>
  <c r="V5" i="1" s="1"/>
  <c r="Q5" i="1"/>
  <c r="T23" i="1"/>
  <c r="V23" i="1" s="1"/>
  <c r="T24" i="1"/>
  <c r="V24" i="1" s="1"/>
  <c r="T25" i="1"/>
  <c r="V25" i="1" s="1"/>
  <c r="Q23" i="1"/>
  <c r="Q24" i="1"/>
  <c r="Q25" i="1"/>
  <c r="Q26" i="1"/>
  <c r="T58" i="1" l="1"/>
  <c r="V58" i="1" s="1"/>
  <c r="Q58" i="1"/>
  <c r="T57" i="1"/>
  <c r="V57" i="1" s="1"/>
  <c r="Q57" i="1"/>
  <c r="T56" i="1"/>
  <c r="V56" i="1" s="1"/>
  <c r="Q56" i="1"/>
  <c r="T37" i="1"/>
  <c r="V37" i="1" s="1"/>
  <c r="Q37" i="1"/>
  <c r="T36" i="1"/>
  <c r="V36" i="1" s="1"/>
  <c r="Q36" i="1"/>
  <c r="T35" i="1"/>
  <c r="V35" i="1" s="1"/>
  <c r="Q35" i="1"/>
  <c r="T34" i="1"/>
  <c r="V34" i="1" s="1"/>
  <c r="Q34" i="1"/>
  <c r="T33" i="1"/>
  <c r="V33" i="1" s="1"/>
  <c r="Q33" i="1"/>
  <c r="T32" i="1"/>
  <c r="V32" i="1" s="1"/>
  <c r="Q32" i="1"/>
  <c r="T38" i="1"/>
  <c r="V38" i="1" s="1"/>
  <c r="Q38" i="1"/>
  <c r="T26" i="1"/>
  <c r="V26" i="1" s="1"/>
  <c r="T28" i="1"/>
  <c r="V28" i="1" s="1"/>
  <c r="Q28" i="1"/>
  <c r="T27" i="1"/>
  <c r="V27" i="1" s="1"/>
  <c r="Q27" i="1"/>
  <c r="T43" i="1" l="1"/>
  <c r="V43" i="1" s="1"/>
  <c r="Q43" i="1"/>
  <c r="T42" i="1"/>
  <c r="V42" i="1" s="1"/>
  <c r="Q42" i="1"/>
  <c r="T41" i="1"/>
  <c r="V41" i="1" s="1"/>
  <c r="Q41" i="1"/>
  <c r="T40" i="1"/>
  <c r="V40" i="1" s="1"/>
  <c r="Q40" i="1"/>
  <c r="T39" i="1"/>
  <c r="V39" i="1" s="1"/>
  <c r="Q39" i="1"/>
  <c r="T2" i="1" l="1"/>
  <c r="T59" i="1" l="1"/>
  <c r="V59" i="1" s="1"/>
  <c r="T60" i="1"/>
  <c r="V60" i="1" s="1"/>
  <c r="T61" i="1"/>
  <c r="V61" i="1" s="1"/>
  <c r="Q59" i="1"/>
  <c r="Q60" i="1"/>
  <c r="Q61" i="1"/>
  <c r="T16" i="1" l="1"/>
  <c r="V16" i="1" s="1"/>
  <c r="Q16" i="1"/>
  <c r="T15" i="1"/>
  <c r="V15" i="1" s="1"/>
  <c r="Q15" i="1"/>
  <c r="T14" i="1"/>
  <c r="V14" i="1" s="1"/>
  <c r="Q14" i="1"/>
  <c r="Q17" i="1"/>
  <c r="Q18" i="1"/>
  <c r="Q19" i="1"/>
  <c r="Q20" i="1"/>
  <c r="Q21" i="1"/>
  <c r="Q22" i="1"/>
  <c r="T70" i="1" l="1"/>
  <c r="V70" i="1" s="1"/>
  <c r="Q70" i="1"/>
  <c r="T69" i="1"/>
  <c r="V69" i="1" s="1"/>
  <c r="Q69" i="1"/>
  <c r="T68" i="1"/>
  <c r="V68" i="1" s="1"/>
  <c r="Q68" i="1"/>
  <c r="T67" i="1"/>
  <c r="V67" i="1" s="1"/>
  <c r="Q67" i="1"/>
  <c r="T66" i="1"/>
  <c r="V66" i="1" s="1"/>
  <c r="Q66" i="1"/>
  <c r="T65" i="1"/>
  <c r="V65" i="1" s="1"/>
  <c r="Q65" i="1"/>
  <c r="T64" i="1"/>
  <c r="V64" i="1" s="1"/>
  <c r="Q64" i="1"/>
  <c r="T63" i="1"/>
  <c r="V63" i="1" s="1"/>
  <c r="Q63" i="1"/>
  <c r="T62" i="1"/>
  <c r="V62" i="1" s="1"/>
  <c r="Q62" i="1"/>
  <c r="T55" i="1"/>
  <c r="V55" i="1" s="1"/>
  <c r="Q55" i="1"/>
  <c r="T54" i="1"/>
  <c r="V54" i="1" s="1"/>
  <c r="Q54" i="1"/>
  <c r="T53" i="1"/>
  <c r="V53" i="1" s="1"/>
  <c r="Q53" i="1"/>
  <c r="T52" i="1"/>
  <c r="V52" i="1" s="1"/>
  <c r="Q52" i="1"/>
  <c r="T51" i="1"/>
  <c r="V51" i="1" s="1"/>
  <c r="Q51" i="1"/>
  <c r="T50" i="1"/>
  <c r="V50" i="1" s="1"/>
  <c r="Q50" i="1"/>
  <c r="T49" i="1"/>
  <c r="V49" i="1" s="1"/>
  <c r="Q49" i="1"/>
  <c r="T48" i="1"/>
  <c r="V48" i="1" s="1"/>
  <c r="Q48" i="1"/>
  <c r="T47" i="1"/>
  <c r="V47" i="1" s="1"/>
  <c r="Q47" i="1"/>
  <c r="T46" i="1"/>
  <c r="V46" i="1" s="1"/>
  <c r="Q46" i="1"/>
  <c r="T45" i="1"/>
  <c r="V45" i="1" s="1"/>
  <c r="Q45" i="1"/>
  <c r="T44" i="1"/>
  <c r="V44" i="1" s="1"/>
  <c r="Q44" i="1"/>
  <c r="T31" i="1"/>
  <c r="V31" i="1" s="1"/>
  <c r="Q31" i="1"/>
  <c r="T30" i="1"/>
  <c r="V30" i="1" s="1"/>
  <c r="Q30" i="1"/>
  <c r="T29" i="1"/>
  <c r="V29" i="1" s="1"/>
  <c r="Q29" i="1"/>
  <c r="T22" i="1"/>
  <c r="V22" i="1" s="1"/>
  <c r="T21" i="1"/>
  <c r="V21" i="1" s="1"/>
  <c r="T20" i="1"/>
  <c r="V20" i="1" s="1"/>
  <c r="T19" i="1"/>
  <c r="V19" i="1" s="1"/>
  <c r="T18" i="1"/>
  <c r="V18" i="1" s="1"/>
  <c r="T17" i="1"/>
  <c r="V17" i="1" s="1"/>
  <c r="T13" i="1"/>
  <c r="V13" i="1" s="1"/>
  <c r="Q13" i="1"/>
  <c r="T12" i="1"/>
  <c r="V12" i="1" s="1"/>
  <c r="Q12" i="1"/>
  <c r="T11" i="1"/>
  <c r="V11" i="1" s="1"/>
  <c r="Q11" i="1"/>
  <c r="T10" i="1"/>
  <c r="V10" i="1" s="1"/>
  <c r="Q10" i="1"/>
  <c r="T9" i="1"/>
  <c r="V9" i="1" s="1"/>
  <c r="Q9" i="1"/>
  <c r="T8" i="1"/>
  <c r="V8" i="1" s="1"/>
  <c r="Q8" i="1"/>
  <c r="T4" i="1"/>
  <c r="V4" i="1" s="1"/>
  <c r="Q4" i="1"/>
  <c r="T3" i="1"/>
  <c r="V3" i="1" s="1"/>
  <c r="Q3" i="1"/>
  <c r="V2" i="1"/>
  <c r="Q2" i="1"/>
</calcChain>
</file>

<file path=xl/sharedStrings.xml><?xml version="1.0" encoding="utf-8"?>
<sst xmlns="http://schemas.openxmlformats.org/spreadsheetml/2006/main" count="9295" uniqueCount="432">
  <si>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</si>
  <si>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</si>
  <si>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</si>
  <si>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</si>
  <si>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</si>
  <si>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</si>
  <si>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</si>
  <si>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</si>
  <si>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</si>
  <si>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</si>
  <si>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</si>
  <si>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</si>
  <si>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</si>
  <si>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</si>
  <si>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</si>
  <si>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</si>
  <si>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</si>
  <si>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</si>
  <si>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</si>
  <si>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</si>
  <si>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U/P JPY</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</si>
  <si>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</si>
  <si>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</si>
  <si>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</si>
  <si>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</si>
  <si>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</si>
  <si>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</si>
  <si>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</si>
  <si>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</si>
  <si>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</si>
  <si>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</si>
  <si>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</si>
  <si>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</si>
  <si>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</si>
  <si>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</si>
  <si>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</si>
  <si>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JP</t>
    <phoneticPr fontId="3"/>
  </si>
  <si>
    <t>マルエツ</t>
  </si>
  <si>
    <t>大森町</t>
    <rPh sb="0" eb="2">
      <t>オオモリ</t>
    </rPh>
    <rPh sb="2" eb="3">
      <t>マチ</t>
    </rPh>
    <phoneticPr fontId="10"/>
  </si>
  <si>
    <t>食べ頃店</t>
  </si>
  <si>
    <t>HW</t>
  </si>
  <si>
    <t>CK</t>
  </si>
  <si>
    <t>Zespri</t>
  </si>
  <si>
    <t>ﾆｭｰｼﾞｰﾗﾝﾄﾞ</t>
  </si>
  <si>
    <t>保冷あり</t>
  </si>
  <si>
    <t>りんご</t>
  </si>
  <si>
    <t>みかん</t>
  </si>
  <si>
    <t>柿</t>
  </si>
  <si>
    <t>JPY</t>
    <phoneticPr fontId="3"/>
  </si>
  <si>
    <t>北海道</t>
  </si>
  <si>
    <t>マルエツ</t>
    <phoneticPr fontId="10"/>
  </si>
  <si>
    <t>その他グリーン</t>
    <rPh sb="2" eb="3">
      <t>タ</t>
    </rPh>
    <phoneticPr fontId="4"/>
  </si>
  <si>
    <t>一般栽培</t>
  </si>
  <si>
    <t>ﾆｭｰｼﾞｰﾗﾝﾄﾞ</t>
    <phoneticPr fontId="4"/>
  </si>
  <si>
    <t>いちご</t>
  </si>
  <si>
    <t>宮城</t>
  </si>
  <si>
    <t>サミット</t>
    <phoneticPr fontId="10"/>
  </si>
  <si>
    <t>大森西</t>
    <rPh sb="0" eb="3">
      <t>オオモリニシ</t>
    </rPh>
    <phoneticPr fontId="10"/>
  </si>
  <si>
    <t>普通店</t>
  </si>
  <si>
    <t>その他ゴールド</t>
    <rPh sb="2" eb="3">
      <t>タ</t>
    </rPh>
    <phoneticPr fontId="4"/>
  </si>
  <si>
    <t>有機栽培</t>
  </si>
  <si>
    <t>Chiquita</t>
  </si>
  <si>
    <t>チリ</t>
  </si>
  <si>
    <t>保冷なし</t>
  </si>
  <si>
    <t>オレンジ</t>
  </si>
  <si>
    <t>ライフ</t>
    <phoneticPr fontId="10"/>
  </si>
  <si>
    <t>マチノマ大森</t>
    <rPh sb="4" eb="6">
      <t>オオモリ</t>
    </rPh>
    <phoneticPr fontId="10"/>
  </si>
  <si>
    <t>ロードショー</t>
  </si>
  <si>
    <t>その他レッド</t>
    <rPh sb="2" eb="3">
      <t>タ</t>
    </rPh>
    <phoneticPr fontId="3"/>
  </si>
  <si>
    <t>減農薬栽培</t>
    <rPh sb="0" eb="3">
      <t>ゲンノウヤク</t>
    </rPh>
    <rPh sb="3" eb="5">
      <t>サイバイ</t>
    </rPh>
    <phoneticPr fontId="4"/>
  </si>
  <si>
    <t>D'lish</t>
    <phoneticPr fontId="4"/>
  </si>
  <si>
    <t>中国</t>
    <phoneticPr fontId="4"/>
  </si>
  <si>
    <t>大阪</t>
  </si>
  <si>
    <t>東武ストア</t>
    <rPh sb="0" eb="2">
      <t>トウブ</t>
    </rPh>
    <phoneticPr fontId="10"/>
  </si>
  <si>
    <t>大森</t>
    <rPh sb="0" eb="2">
      <t>オオモリ</t>
    </rPh>
    <phoneticPr fontId="10"/>
  </si>
  <si>
    <t>HW</t>
    <phoneticPr fontId="4"/>
  </si>
  <si>
    <t>CK</t>
    <phoneticPr fontId="4"/>
  </si>
  <si>
    <t>Del Monte</t>
    <phoneticPr fontId="3"/>
  </si>
  <si>
    <t>愛媛</t>
  </si>
  <si>
    <t>キウイフルーツ</t>
  </si>
  <si>
    <t>名古屋</t>
  </si>
  <si>
    <t>オオゼキ</t>
    <phoneticPr fontId="10"/>
  </si>
  <si>
    <t>大森北</t>
    <rPh sb="0" eb="3">
      <t>オオモリキタ</t>
    </rPh>
    <phoneticPr fontId="10"/>
  </si>
  <si>
    <t>GK</t>
    <phoneticPr fontId="4"/>
  </si>
  <si>
    <t>OB</t>
    <phoneticPr fontId="4"/>
  </si>
  <si>
    <t>JA愛媛</t>
  </si>
  <si>
    <t>福岡</t>
  </si>
  <si>
    <t>グレープフルーツ</t>
  </si>
  <si>
    <t>広島</t>
  </si>
  <si>
    <t>ＩＹ</t>
    <phoneticPr fontId="10"/>
  </si>
  <si>
    <t>HE</t>
    <phoneticPr fontId="4"/>
  </si>
  <si>
    <t>JA福岡</t>
  </si>
  <si>
    <t>長野</t>
    <rPh sb="0" eb="2">
      <t>ナガノ</t>
    </rPh>
    <phoneticPr fontId="4"/>
  </si>
  <si>
    <t>さくらんぼ</t>
  </si>
  <si>
    <t>サミット</t>
  </si>
  <si>
    <t>西友</t>
    <rPh sb="0" eb="2">
      <t>セイユウ</t>
    </rPh>
    <phoneticPr fontId="10"/>
  </si>
  <si>
    <t>GA</t>
    <phoneticPr fontId="4"/>
  </si>
  <si>
    <t>JA長野</t>
  </si>
  <si>
    <t>静岡</t>
  </si>
  <si>
    <t>スイカ</t>
  </si>
  <si>
    <t>岩手</t>
    <rPh sb="0" eb="2">
      <t>イワテ</t>
    </rPh>
    <phoneticPr fontId="4"/>
  </si>
  <si>
    <t>東急ストア</t>
    <rPh sb="0" eb="2">
      <t>トウキュウ</t>
    </rPh>
    <phoneticPr fontId="10"/>
  </si>
  <si>
    <t>RD</t>
    <phoneticPr fontId="3"/>
  </si>
  <si>
    <t>JA静岡</t>
  </si>
  <si>
    <t>長崎</t>
    <rPh sb="0" eb="2">
      <t>ナガサキ</t>
    </rPh>
    <phoneticPr fontId="4"/>
  </si>
  <si>
    <t>梨</t>
  </si>
  <si>
    <t>福島</t>
    <rPh sb="0" eb="2">
      <t>フクシマ</t>
    </rPh>
    <phoneticPr fontId="4"/>
  </si>
  <si>
    <t>成城石井</t>
    <rPh sb="0" eb="4">
      <t>セイジョウイシイ</t>
    </rPh>
    <phoneticPr fontId="10"/>
  </si>
  <si>
    <t>アトレ大森</t>
    <rPh sb="3" eb="5">
      <t>オオモリ</t>
    </rPh>
    <phoneticPr fontId="10"/>
  </si>
  <si>
    <t>JA長崎</t>
  </si>
  <si>
    <t>和歌山</t>
    <rPh sb="0" eb="3">
      <t>ワカヤマ</t>
    </rPh>
    <phoneticPr fontId="4"/>
  </si>
  <si>
    <t>パイナップル</t>
  </si>
  <si>
    <t>石川</t>
    <rPh sb="0" eb="2">
      <t>イシカワ</t>
    </rPh>
    <phoneticPr fontId="4"/>
  </si>
  <si>
    <t>JA福島</t>
  </si>
  <si>
    <t>熊本</t>
    <rPh sb="0" eb="2">
      <t>クマモト</t>
    </rPh>
    <phoneticPr fontId="4"/>
  </si>
  <si>
    <t>ブドウ</t>
  </si>
  <si>
    <t>岐阜</t>
    <rPh sb="0" eb="2">
      <t>ギフ</t>
    </rPh>
    <phoneticPr fontId="4"/>
  </si>
  <si>
    <t>JA熊本</t>
  </si>
  <si>
    <t>その他</t>
    <rPh sb="2" eb="3">
      <t>タ</t>
    </rPh>
    <phoneticPr fontId="4"/>
  </si>
  <si>
    <t>マンゴー</t>
  </si>
  <si>
    <t>兵庫</t>
    <rPh sb="0" eb="2">
      <t>ヒョウゴ</t>
    </rPh>
    <phoneticPr fontId="4"/>
  </si>
  <si>
    <t>その他</t>
  </si>
  <si>
    <t>アメリカ</t>
  </si>
  <si>
    <t>宮崎</t>
    <rPh sb="0" eb="2">
      <t>ミヤザキ</t>
    </rPh>
    <phoneticPr fontId="3"/>
  </si>
  <si>
    <t>京都</t>
    <rPh sb="0" eb="2">
      <t>キョウト</t>
    </rPh>
    <phoneticPr fontId="4"/>
  </si>
  <si>
    <t>ＪＡ大分</t>
    <rPh sb="2" eb="4">
      <t>オオイタ</t>
    </rPh>
    <phoneticPr fontId="4"/>
  </si>
  <si>
    <t>石川</t>
  </si>
  <si>
    <t>メロン</t>
  </si>
  <si>
    <t>佐賀</t>
    <rPh sb="0" eb="2">
      <t>サガ</t>
    </rPh>
    <phoneticPr fontId="4"/>
  </si>
  <si>
    <t>ＪＡ山梨</t>
    <rPh sb="2" eb="4">
      <t>ヤマナシ</t>
    </rPh>
    <phoneticPr fontId="4"/>
  </si>
  <si>
    <t>大分</t>
  </si>
  <si>
    <t>桃</t>
  </si>
  <si>
    <t>ＪＡ香川</t>
    <rPh sb="2" eb="4">
      <t>カガワ</t>
    </rPh>
    <phoneticPr fontId="4"/>
  </si>
  <si>
    <t>山梨</t>
    <rPh sb="0" eb="2">
      <t>ヤマナシ</t>
    </rPh>
    <phoneticPr fontId="4"/>
  </si>
  <si>
    <t>韓国</t>
    <rPh sb="0" eb="2">
      <t>カンコク</t>
    </rPh>
    <phoneticPr fontId="3"/>
  </si>
  <si>
    <t>ＪＡ徳島</t>
    <rPh sb="2" eb="4">
      <t>トクシマ</t>
    </rPh>
    <phoneticPr fontId="4"/>
  </si>
  <si>
    <t>香川</t>
  </si>
  <si>
    <t>いちじく</t>
    <phoneticPr fontId="4"/>
  </si>
  <si>
    <t>ＪＡ広島</t>
    <rPh sb="2" eb="4">
      <t>ヒロシマ</t>
    </rPh>
    <phoneticPr fontId="4"/>
  </si>
  <si>
    <t>神奈川</t>
  </si>
  <si>
    <t>ラフランス</t>
    <phoneticPr fontId="3"/>
  </si>
  <si>
    <t>ＪＡ山形</t>
    <rPh sb="2" eb="4">
      <t>ヤマガタ</t>
    </rPh>
    <phoneticPr fontId="4"/>
  </si>
  <si>
    <t>徳島</t>
  </si>
  <si>
    <t>ライフ</t>
  </si>
  <si>
    <t>ﾆｭｰｼﾞｰﾗﾝﾄﾞ</t>
    <phoneticPr fontId="3"/>
  </si>
  <si>
    <t>ＪＡ神奈川</t>
    <rPh sb="2" eb="5">
      <t>カナガワ</t>
    </rPh>
    <phoneticPr fontId="4"/>
  </si>
  <si>
    <t>ＪＡ石川</t>
    <rPh sb="2" eb="4">
      <t>イシカワ</t>
    </rPh>
    <phoneticPr fontId="4"/>
  </si>
  <si>
    <t>栃木</t>
    <rPh sb="0" eb="2">
      <t>トチギ</t>
    </rPh>
    <phoneticPr fontId="3"/>
  </si>
  <si>
    <t>ＪＡ栃木</t>
    <rPh sb="2" eb="4">
      <t>トチギ</t>
    </rPh>
    <phoneticPr fontId="4"/>
  </si>
  <si>
    <t>愛知</t>
    <phoneticPr fontId="3"/>
  </si>
  <si>
    <t>ＪＡ愛知</t>
    <rPh sb="2" eb="4">
      <t>アイチ</t>
    </rPh>
    <phoneticPr fontId="4"/>
  </si>
  <si>
    <t>オオゼキ</t>
  </si>
  <si>
    <t>ＩＹ</t>
  </si>
  <si>
    <t>保冷あり</t>
    <phoneticPr fontId="3"/>
  </si>
  <si>
    <t>HW</t>
    <phoneticPr fontId="3"/>
  </si>
  <si>
    <t>バナナ</t>
    <phoneticPr fontId="3"/>
  </si>
  <si>
    <t>GK</t>
  </si>
  <si>
    <t>MIKO</t>
    <phoneticPr fontId="4"/>
  </si>
  <si>
    <t>ハニーキウイ</t>
  </si>
  <si>
    <t>ハニーキウイ</t>
    <phoneticPr fontId="4"/>
  </si>
  <si>
    <t>バナナ</t>
  </si>
  <si>
    <t>29.12.2020</t>
  </si>
  <si>
    <t>29.12.2020</t>
    <phoneticPr fontId="3"/>
  </si>
  <si>
    <t>りんご</t>
    <phoneticPr fontId="3"/>
  </si>
  <si>
    <t>みかん</t>
    <phoneticPr fontId="3"/>
  </si>
  <si>
    <t>いちご</t>
    <phoneticPr fontId="3"/>
  </si>
  <si>
    <t>JPY</t>
  </si>
  <si>
    <t>ブドウ</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</si>
  <si>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</si>
  <si>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</si>
  <si>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</si>
  <si>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</si>
  <si>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</si>
  <si>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</si>
  <si>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</si>
  <si>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</si>
  <si>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</si>
  <si>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</si>
  <si>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</si>
  <si>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</si>
  <si>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</si>
  <si>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</si>
  <si>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</si>
  <si>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</si>
  <si>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</si>
  <si>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28.12.2020</t>
  </si>
  <si>
    <t>イオン</t>
  </si>
  <si>
    <t>利府店</t>
  </si>
  <si>
    <t>その他グリーン</t>
  </si>
  <si>
    <t>みやぎ生協</t>
  </si>
  <si>
    <t>その他ゴールド</t>
  </si>
  <si>
    <t>杉の入店</t>
  </si>
  <si>
    <t>その他レッド</t>
  </si>
  <si>
    <t>減農薬栽培</t>
  </si>
  <si>
    <t>D'lish</t>
  </si>
  <si>
    <t>中国</t>
  </si>
  <si>
    <t>OB</t>
  </si>
  <si>
    <t>ウジエ</t>
  </si>
  <si>
    <t>Del Monte</t>
  </si>
  <si>
    <t>塩釜店</t>
  </si>
  <si>
    <t>ザ・ビッグ</t>
  </si>
  <si>
    <t>HE</t>
  </si>
  <si>
    <t>長野</t>
  </si>
  <si>
    <t>ヤマザワ</t>
  </si>
  <si>
    <t>多賀城店</t>
  </si>
  <si>
    <t>GA</t>
  </si>
  <si>
    <t>岩手</t>
  </si>
  <si>
    <t>ヨークベニマル</t>
  </si>
  <si>
    <t>塩釜北浜店</t>
  </si>
  <si>
    <t>RD</t>
  </si>
  <si>
    <t>長崎</t>
  </si>
  <si>
    <t>福島</t>
  </si>
  <si>
    <t>塩釜中の島店</t>
  </si>
  <si>
    <t>和歌山</t>
  </si>
  <si>
    <t>西友</t>
  </si>
  <si>
    <t>高砂駅前店</t>
  </si>
  <si>
    <t>JA和歌山</t>
  </si>
  <si>
    <t>佐賀</t>
  </si>
  <si>
    <t>埼玉</t>
  </si>
  <si>
    <t>JA佐賀</t>
  </si>
  <si>
    <t>群馬</t>
  </si>
  <si>
    <t>パパイヤ</t>
  </si>
  <si>
    <t>千葉</t>
  </si>
  <si>
    <t>JA群馬</t>
  </si>
  <si>
    <t>びわ</t>
  </si>
  <si>
    <t>甘うい</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</si>
  <si>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</si>
  <si>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</si>
  <si>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</si>
  <si>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</si>
  <si>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</si>
  <si>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</si>
  <si>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</si>
  <si>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</si>
  <si>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</si>
  <si>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</si>
  <si>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</si>
  <si>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</si>
  <si>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</si>
  <si>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</si>
  <si>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</si>
  <si>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</si>
  <si>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</si>
  <si>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t>ハニー</t>
  </si>
  <si>
    <t>キラキラ</t>
  </si>
  <si>
    <t>チェーン名</t>
    <phoneticPr fontId="3"/>
  </si>
  <si>
    <t>店の種類</t>
    <phoneticPr fontId="3"/>
  </si>
  <si>
    <t>硬度
1</t>
    <phoneticPr fontId="4"/>
  </si>
  <si>
    <t>U/P JPY</t>
    <phoneticPr fontId="4"/>
  </si>
  <si>
    <t>トレイ換算の値段</t>
    <phoneticPr fontId="3"/>
  </si>
  <si>
    <t>２番人気
果実</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</si>
  <si>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</si>
  <si>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</si>
  <si>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</si>
  <si>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</si>
  <si>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</si>
  <si>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</si>
  <si>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</si>
  <si>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東武ストア</t>
  </si>
  <si>
    <t>新小岩店</t>
  </si>
  <si>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</si>
  <si>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</si>
  <si>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</si>
  <si>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</si>
  <si>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</si>
  <si>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</si>
  <si>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</si>
  <si>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</si>
  <si>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</si>
  <si>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</si>
  <si>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</si>
  <si>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</si>
  <si>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神奈川</t>
    <rPh sb="0" eb="3">
      <t>カナガワ</t>
    </rPh>
    <phoneticPr fontId="4"/>
  </si>
  <si>
    <t>いなげや</t>
    <phoneticPr fontId="3"/>
  </si>
  <si>
    <t>江戸川春江店</t>
    <rPh sb="0" eb="3">
      <t>エドガワ</t>
    </rPh>
    <rPh sb="3" eb="5">
      <t>ハルエ</t>
    </rPh>
    <rPh sb="5" eb="6">
      <t>テン</t>
    </rPh>
    <phoneticPr fontId="3"/>
  </si>
  <si>
    <t>埼玉</t>
    <rPh sb="0" eb="2">
      <t>サイタマ</t>
    </rPh>
    <phoneticPr fontId="4"/>
  </si>
  <si>
    <t>群馬</t>
    <rPh sb="0" eb="2">
      <t>グンマ</t>
    </rPh>
    <phoneticPr fontId="4"/>
  </si>
  <si>
    <t>千葉</t>
    <rPh sb="0" eb="2">
      <t>チバ</t>
    </rPh>
    <phoneticPr fontId="4"/>
  </si>
  <si>
    <t>ヤマイチ</t>
  </si>
  <si>
    <t>サミットストア</t>
  </si>
  <si>
    <t>MIKO</t>
    <phoneticPr fontId="3"/>
  </si>
  <si>
    <t>保冷なし</t>
    <phoneticPr fontId="3"/>
  </si>
  <si>
    <t>マックスバリュエクスプレス</t>
  </si>
  <si>
    <t>松江店</t>
  </si>
  <si>
    <t>コモディイイダ</t>
  </si>
  <si>
    <t>いなげや</t>
  </si>
  <si>
    <t>販売
ユニット
個数</t>
    <phoneticPr fontId="4"/>
  </si>
  <si>
    <t>30.12.2020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</si>
  <si>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</si>
  <si>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</si>
  <si>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</si>
  <si>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</si>
  <si>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</si>
  <si>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</si>
  <si>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</si>
  <si>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マミーズ</t>
  </si>
  <si>
    <t>美野島</t>
    <rPh sb="0" eb="1">
      <t>ミ</t>
    </rPh>
    <rPh sb="1" eb="2">
      <t>ノ</t>
    </rPh>
    <rPh sb="2" eb="3">
      <t>シマ</t>
    </rPh>
    <phoneticPr fontId="3"/>
  </si>
  <si>
    <t>福岡</t>
    <rPh sb="0" eb="2">
      <t>フクオカ</t>
    </rPh>
    <phoneticPr fontId="4"/>
  </si>
  <si>
    <t>CK</t>
    <phoneticPr fontId="3"/>
  </si>
  <si>
    <t>韓国</t>
    <rPh sb="0" eb="2">
      <t>カンコク</t>
    </rPh>
    <phoneticPr fontId="4"/>
  </si>
  <si>
    <t>西鉄ストア</t>
    <rPh sb="0" eb="2">
      <t>ニシテツ</t>
    </rPh>
    <phoneticPr fontId="3"/>
  </si>
  <si>
    <t>高宮</t>
    <rPh sb="0" eb="2">
      <t>タカミヤ</t>
    </rPh>
    <phoneticPr fontId="3"/>
  </si>
  <si>
    <t>Del Monte</t>
    <phoneticPr fontId="4"/>
  </si>
  <si>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</si>
  <si>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</si>
  <si>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</si>
  <si>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</si>
  <si>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</si>
  <si>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</si>
  <si>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</si>
  <si>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</si>
  <si>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</si>
  <si>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</si>
  <si>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</si>
  <si>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</si>
  <si>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</si>
  <si>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</si>
  <si>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</si>
  <si>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</si>
  <si>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</si>
  <si>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</si>
  <si>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</si>
  <si>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</si>
  <si>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</si>
  <si>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</si>
  <si>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キラキラ</t>
    <phoneticPr fontId="4"/>
  </si>
  <si>
    <t>プラム</t>
    <phoneticPr fontId="3"/>
  </si>
  <si>
    <t>グリーンアイ</t>
    <phoneticPr fontId="4"/>
  </si>
  <si>
    <t>山形</t>
  </si>
  <si>
    <t>ぽんかん</t>
    <phoneticPr fontId="3"/>
  </si>
  <si>
    <t>ＪＡ大阪</t>
    <rPh sb="2" eb="4">
      <t>オオサカ</t>
    </rPh>
    <phoneticPr fontId="4"/>
  </si>
  <si>
    <t>大阪</t>
    <rPh sb="0" eb="2">
      <t>オオサカ</t>
    </rPh>
    <phoneticPr fontId="4"/>
  </si>
  <si>
    <t>アメリカンチェリー</t>
    <phoneticPr fontId="3"/>
  </si>
  <si>
    <t>山口</t>
    <rPh sb="0" eb="2">
      <t>ヤマグチ</t>
    </rPh>
    <phoneticPr fontId="3"/>
  </si>
  <si>
    <t>県名</t>
    <phoneticPr fontId="3"/>
  </si>
  <si>
    <t>品種</t>
    <phoneticPr fontId="3"/>
  </si>
  <si>
    <t>JP</t>
    <phoneticPr fontId="4"/>
  </si>
  <si>
    <t>28.12.2020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</si>
  <si>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</si>
  <si>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</si>
  <si>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</si>
  <si>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</si>
  <si>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</si>
  <si>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</si>
  <si>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</si>
  <si>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</si>
  <si>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山陽マルナカ</t>
  </si>
  <si>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</si>
  <si>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</si>
  <si>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</si>
  <si>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</si>
  <si>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</si>
  <si>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</si>
  <si>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</si>
  <si>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</si>
  <si>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</si>
  <si>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</si>
  <si>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</si>
  <si>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</si>
  <si>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</si>
  <si>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</si>
  <si>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</si>
  <si>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</si>
  <si>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</si>
  <si>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</si>
  <si>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</si>
  <si>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</si>
  <si>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</si>
  <si>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</si>
  <si>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フジグラン</t>
  </si>
  <si>
    <t>山口</t>
    <rPh sb="0" eb="2">
      <t>ヤマグチ</t>
    </rPh>
    <phoneticPr fontId="4"/>
  </si>
  <si>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</si>
  <si>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</si>
  <si>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</si>
  <si>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</si>
  <si>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</si>
  <si>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</si>
  <si>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31.12.2020</t>
  </si>
  <si>
    <t>旬楽膳</t>
  </si>
  <si>
    <t>長久手店</t>
  </si>
  <si>
    <t>日本キウイフルーツ協会</t>
  </si>
  <si>
    <t>フェルナ</t>
  </si>
  <si>
    <t>段の上店</t>
  </si>
  <si>
    <t>アオキスーパー</t>
  </si>
  <si>
    <t>日進店</t>
  </si>
  <si>
    <t>ピアゴ</t>
  </si>
  <si>
    <t>長久手南店</t>
  </si>
  <si>
    <t>カネスエ</t>
  </si>
  <si>
    <t>アピタ</t>
  </si>
  <si>
    <t>藤が丘店</t>
  </si>
  <si>
    <t>カネトク</t>
  </si>
  <si>
    <t>グリーンアイ</t>
  </si>
  <si>
    <t>ＪＡ大阪</t>
  </si>
  <si>
    <t>トップバリュ</t>
  </si>
  <si>
    <t>01.01.2021</t>
  </si>
  <si>
    <t>イトーヨーカドー</t>
  </si>
  <si>
    <t>津久野店</t>
  </si>
  <si>
    <t>上野芝店</t>
  </si>
  <si>
    <t>デイリーカナート</t>
  </si>
  <si>
    <t>向ヶ丘店</t>
  </si>
  <si>
    <t>松源</t>
  </si>
  <si>
    <t>北条店</t>
  </si>
  <si>
    <t>石津店</t>
  </si>
  <si>
    <t>キンショー</t>
  </si>
  <si>
    <t>東湊店</t>
  </si>
  <si>
    <t>万代</t>
  </si>
  <si>
    <t>イズミヤ</t>
  </si>
  <si>
    <t>泉北店</t>
  </si>
  <si>
    <t>ダイエーグルメシティ</t>
  </si>
  <si>
    <t>深井店</t>
  </si>
  <si>
    <t>コノミヤ</t>
  </si>
  <si>
    <t>栃木</t>
  </si>
  <si>
    <t>ＪＡ栃木</t>
  </si>
  <si>
    <t>愛知</t>
  </si>
  <si>
    <t>ＪＡ愛知</t>
  </si>
  <si>
    <t>28.12.2020</t>
    <phoneticPr fontId="3"/>
  </si>
  <si>
    <t>宮の沢店</t>
    <rPh sb="0" eb="1">
      <t>ミヤ</t>
    </rPh>
    <rPh sb="2" eb="3">
      <t>サワ</t>
    </rPh>
    <rPh sb="3" eb="4">
      <t>テン</t>
    </rPh>
    <phoneticPr fontId="3"/>
  </si>
  <si>
    <t>コープさっぽろ</t>
  </si>
  <si>
    <t>西宮の沢店</t>
    <rPh sb="0" eb="2">
      <t>ニシミヤ</t>
    </rPh>
    <rPh sb="3" eb="4">
      <t>サワ</t>
    </rPh>
    <rPh sb="4" eb="5">
      <t>テン</t>
    </rPh>
    <phoneticPr fontId="3"/>
  </si>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</sst>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0_);[Red]\(0.00\)"/>
    <numFmt numFmtId="178" formatCode="0_ "/>
  </numFmts>
  <fonts count="26">
    <font>
      <sz val="11"/>
      <color theme="1"/>
      <name val="游ゴシック"/>
      <family val="2"/>
      <charset val="128"/>
      <scheme val="minor"/>
    </font>
    <font>
      <sz val="11"/>
      <name val="ＭＳ Ｐゴシック"/>
      <family val="3"/>
      <charset val="128"/>
    </font>
    <font>
      <sz val="9"/>
      <name val="ＭＳ Ｐゴシック"/>
      <family val="3"/>
      <charset val="128"/>
    </font>
    <font>
      <sz val="6"/>
      <name val="游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6"/>
      <name val="游ゴシック"/>
      <family val="3"/>
      <charset val="128"/>
      <scheme val="minor"/>
    </font>
    <font>
      <sz val="10"/>
      <name val="ＭＳ Ｐゴシック"/>
      <family val="3"/>
      <charset val="128"/>
    </font>
    <font>
      <sz val="11"/>
      <color theme="1"/>
      <name val="游ゴシック"/>
      <family val="3"/>
      <charset val="128"/>
      <scheme val="minor"/>
    </font>
    <font>
      <sz val="11"/>
      <color indexed="8"/>
      <name val="ＭＳ Ｐゴシック"/>
      <family val="3"/>
      <charset val="128"/>
    </font>
    <font>
      <sz val="11"/>
      <name val="游ゴシック"/>
      <family val="2"/>
      <charset val="128"/>
      <scheme val="minor"/>
    </font>
    <font>
      <sz val="11"/>
      <name val="游ゴシック"/>
      <family val="3"/>
      <charset val="128"/>
      <scheme val="minor"/>
    </font>
    <font>
      <sz val="11"/>
      <color rgb="FF000000"/>
      <name val="MS PGothic"/>
    </font>
    <font>
      <sz val="9"/>
      <color rgb="FF000000"/>
      <name val="MS PGothic"/>
    </font>
    <font>
      <sz val="9"/>
      <color rgb="FF000000"/>
      <name val="CG Omega"/>
      <family val="2"/>
    </font>
    <font>
      <b/>
      <sz val="8"/>
      <color rgb="FF000000"/>
      <name val="CG Omega"/>
      <family val="2"/>
    </font>
    <font>
      <b/>
      <sz val="8"/>
      <color rgb="FF000000"/>
      <name val="MS PGothic"/>
    </font>
    <font>
      <b/>
      <sz val="8"/>
      <color rgb="FF000000"/>
      <name val="Arial"/>
      <family val="2"/>
    </font>
    <font>
      <sz val="11"/>
      <name val="MS PGothic"/>
    </font>
    <font>
      <sz val="11"/>
      <color theme="1"/>
      <name val="MS PGothic"/>
    </font>
    <font>
      <sz val="10"/>
      <color rgb="FF000000"/>
      <name val="MS PGothic"/>
    </font>
    <font>
      <sz val="11"/>
      <color theme="1"/>
      <name val="ＭＳ Ｐゴシック"/>
      <family val="3"/>
      <charset val="128"/>
    </font>
  </fonts>
  <fills count="11">
    <fill>
      <patternFill patternType="none"/>
    </fill>
    <fill>
      <patternFill patternType="gray125"/>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indexed="40"/>
        <bgColor indexed="64"/>
      </patternFill>
    </fill>
    <fill>
      <patternFill patternType="solid">
        <fgColor rgb="FF00CCFF"/>
        <bgColor rgb="FF00CCFF"/>
      </patternFill>
    </fill>
    <fill>
      <patternFill patternType="solid">
        <fgColor rgb="FF00B0F0"/>
        <bgColor rgb="FF00B0F0"/>
      </patternFill>
    </fill>
    <fill>
      <patternFill patternType="solid">
        <fgColor rgb="FFFFFF00"/>
        <bgColor rgb="FFFFFF00"/>
      </patternFill>
    </fill>
  </fills>
  <borders count="62">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right/>
      <top style="thin">
        <color theme="0" tint="-0.14996795556505021"/>
      </top>
      <bottom style="thin">
        <color theme="0" tint="-0.14996795556505021"/>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theme="0" tint="-0.14993743705557422"/>
      </top>
      <bottom style="thin">
        <color theme="0" tint="-0.14993743705557422"/>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6">
    <xf numFmtId="0" fontId="0" fillId="0" borderId="0">
      <alignment vertical="center"/>
    </xf>
    <xf numFmtId="0" fontId="1" fillId="0" borderId="0"/>
    <xf numFmtId="0" fontId="1" fillId="0" borderId="0">
      <alignment vertical="center"/>
    </xf>
    <xf numFmtId="0" fontId="12" fillId="0" borderId="0">
      <alignment vertical="center"/>
    </xf>
    <xf numFmtId="0" fontId="12" fillId="0" borderId="0">
      <alignment vertical="center"/>
    </xf>
    <xf numFmtId="0" fontId="16" fillId="0" borderId="0"/>
  </cellStyleXfs>
  <cellXfs count="230">
    <xf numFmtId="0" fontId="0" fillId="0" borderId="0" xfId="0">
      <alignment vertical="center"/>
    </xf>
    <xf numFmtId="49" fontId="2" fillId="2" borderId="1" xfId="1" applyNumberFormat="1" applyFont="1" applyFill="1" applyBorder="1" applyAlignment="1">
      <alignment horizontal="center" vertical="center" wrapText="1"/>
    </xf>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2" borderId="3" xfId="1" applyNumberFormat="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4" xfId="1" applyNumberFormat="1" applyFont="1" applyBorder="1" applyAlignment="1">
      <alignment horizontal="center" vertical="center" wrapText="1"/>
    </xf>
    <xf numFmtId="49" fontId="6" fillId="3" borderId="3" xfId="1" applyNumberFormat="1" applyFont="1" applyFill="1" applyBorder="1" applyAlignment="1">
      <alignment horizontal="center" vertical="center" wrapText="1"/>
    </xf>
    <xf numFmtId="49" fontId="2" fillId="2" borderId="5" xfId="1" applyNumberFormat="1" applyFont="1" applyFill="1" applyBorder="1" applyAlignment="1">
      <alignment horizontal="center" vertical="center" wrapText="1"/>
    </xf>
    <xf numFmtId="49" fontId="7" fillId="0" borderId="6" xfId="1" applyNumberFormat="1" applyFont="1" applyBorder="1" applyAlignment="1">
      <alignment horizontal="center" vertical="center" wrapText="1"/>
    </xf>
    <xf numFmtId="0" fontId="1" fillId="0" borderId="0" xfId="1"/>
    <xf numFmtId="49" fontId="8" fillId="0" borderId="7"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7" fillId="4" borderId="0" xfId="1" applyNumberFormat="1" applyFont="1" applyFill="1" applyAlignment="1">
      <alignment horizontal="center" vertical="center" wrapText="1"/>
    </xf>
    <xf numFmtId="49" fontId="8" fillId="4" borderId="7" xfId="1" applyNumberFormat="1" applyFont="1" applyFill="1" applyBorder="1" applyAlignment="1">
      <alignment horizontal="center" vertical="center" wrapText="1"/>
    </xf>
    <xf numFmtId="0" fontId="8" fillId="4" borderId="7" xfId="1" applyFont="1" applyFill="1" applyBorder="1" applyAlignment="1">
      <alignment horizontal="center" vertical="center"/>
    </xf>
    <xf numFmtId="0" fontId="8" fillId="0" borderId="7" xfId="1" applyFont="1" applyBorder="1" applyAlignment="1">
      <alignment horizontal="center" vertical="center"/>
    </xf>
    <xf numFmtId="0" fontId="8" fillId="0" borderId="7"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5" xfId="1" applyFont="1" applyBorder="1" applyAlignment="1">
      <alignment horizontal="center" vertical="center" wrapText="1"/>
    </xf>
    <xf numFmtId="0" fontId="1" fillId="0" borderId="0" xfId="2" applyAlignment="1"/>
    <xf numFmtId="0" fontId="1" fillId="4" borderId="14" xfId="1" applyFill="1" applyBorder="1"/>
    <xf numFmtId="0" fontId="1" fillId="4" borderId="0" xfId="1" applyFill="1"/>
    <xf numFmtId="0" fontId="1" fillId="3" borderId="0" xfId="1" applyFill="1"/>
    <xf numFmtId="0" fontId="1" fillId="5" borderId="0" xfId="1" applyFill="1"/>
    <xf numFmtId="176" fontId="1" fillId="3" borderId="0" xfId="1" applyNumberFormat="1" applyFill="1"/>
    <xf numFmtId="0" fontId="1" fillId="4" borderId="33" xfId="1" applyFill="1" applyBorder="1"/>
    <xf numFmtId="14" fontId="1" fillId="0" borderId="0" xfId="2" applyNumberFormat="1" applyAlignment="1"/>
    <xf numFmtId="0" fontId="1" fillId="4" borderId="37" xfId="1" applyFill="1" applyBorder="1"/>
    <xf numFmtId="0" fontId="1" fillId="4" borderId="38" xfId="1" applyFill="1" applyBorder="1"/>
    <xf numFmtId="14" fontId="0" fillId="4" borderId="38" xfId="1" applyNumberFormat="1" applyFont="1" applyFill="1" applyBorder="1"/>
    <xf numFmtId="14" fontId="1" fillId="0" borderId="0" xfId="2" applyNumberFormat="1" applyFill="1" applyAlignment="1"/>
    <xf numFmtId="0" fontId="11" fillId="0" borderId="15" xfId="1" applyFont="1" applyBorder="1" applyAlignment="1">
      <alignment vertical="center"/>
    </xf>
    <xf numFmtId="0" fontId="11" fillId="0" borderId="23" xfId="1" applyFont="1" applyBorder="1" applyAlignment="1">
      <alignment vertical="center"/>
    </xf>
    <xf numFmtId="0" fontId="11" fillId="0" borderId="28" xfId="1" applyFont="1" applyBorder="1" applyAlignment="1">
      <alignment vertical="center"/>
    </xf>
    <xf numFmtId="0" fontId="11" fillId="0" borderId="0" xfId="2" applyFont="1" applyAlignment="1">
      <alignment vertical="center"/>
    </xf>
    <xf numFmtId="0" fontId="11" fillId="0" borderId="0" xfId="1" applyFont="1" applyAlignment="1">
      <alignment vertical="center"/>
    </xf>
    <xf numFmtId="0" fontId="11" fillId="4" borderId="0" xfId="1" applyFont="1" applyFill="1" applyAlignment="1">
      <alignment vertical="center"/>
    </xf>
    <xf numFmtId="49" fontId="2" fillId="5" borderId="3" xfId="1" applyNumberFormat="1" applyFont="1" applyFill="1" applyBorder="1" applyAlignment="1">
      <alignment horizontal="center" vertical="center" wrapText="1"/>
    </xf>
    <xf numFmtId="0" fontId="2" fillId="5" borderId="3" xfId="1" applyFont="1" applyFill="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5" xfId="1" applyFont="1" applyBorder="1" applyAlignment="1">
      <alignment horizontal="center" vertical="center" wrapText="1"/>
    </xf>
    <xf numFmtId="56" fontId="1" fillId="0" borderId="0" xfId="1" applyNumberFormat="1"/>
    <xf numFmtId="176" fontId="1" fillId="5" borderId="0" xfId="1" applyNumberFormat="1" applyFill="1"/>
    <xf numFmtId="0" fontId="11" fillId="0" borderId="15" xfId="1" applyFont="1" applyBorder="1"/>
    <xf numFmtId="0" fontId="11" fillId="0" borderId="39" xfId="3" applyFont="1" applyBorder="1" applyAlignment="1">
      <alignment horizontal="center" vertical="center"/>
    </xf>
    <xf numFmtId="0" fontId="11" fillId="0" borderId="40" xfId="3" applyFont="1" applyBorder="1" applyAlignment="1">
      <alignment horizontal="center" vertical="center"/>
    </xf>
    <xf numFmtId="0" fontId="1" fillId="0" borderId="17" xfId="1" applyBorder="1"/>
    <xf numFmtId="0" fontId="1" fillId="0" borderId="15" xfId="1" applyBorder="1"/>
    <xf numFmtId="0" fontId="1" fillId="0" borderId="18" xfId="1" applyBorder="1" applyAlignment="1">
      <alignment wrapText="1"/>
    </xf>
    <xf numFmtId="0" fontId="1" fillId="0" borderId="19" xfId="1" applyBorder="1" applyAlignment="1">
      <alignment wrapText="1"/>
    </xf>
    <xf numFmtId="0" fontId="1" fillId="0" borderId="20" xfId="1" applyBorder="1" applyAlignment="1">
      <alignment wrapText="1"/>
    </xf>
    <xf numFmtId="0" fontId="11" fillId="0" borderId="23" xfId="1" applyFont="1" applyBorder="1"/>
    <xf numFmtId="0" fontId="11" fillId="0" borderId="23" xfId="3" applyFont="1" applyBorder="1" applyAlignment="1">
      <alignment horizontal="center" vertical="center"/>
    </xf>
    <xf numFmtId="0" fontId="1" fillId="0" borderId="23" xfId="1" applyBorder="1"/>
    <xf numFmtId="0" fontId="1" fillId="0" borderId="24" xfId="1" applyBorder="1" applyAlignment="1">
      <alignment wrapText="1"/>
    </xf>
    <xf numFmtId="0" fontId="1" fillId="0" borderId="25" xfId="1" applyBorder="1" applyAlignment="1">
      <alignment wrapText="1"/>
    </xf>
    <xf numFmtId="0" fontId="1" fillId="0" borderId="26" xfId="1" applyBorder="1" applyAlignment="1">
      <alignment wrapText="1"/>
    </xf>
    <xf numFmtId="0" fontId="1" fillId="0" borderId="28" xfId="1" applyBorder="1"/>
    <xf numFmtId="0" fontId="1" fillId="0" borderId="29" xfId="1" applyBorder="1"/>
    <xf numFmtId="0" fontId="1" fillId="0" borderId="30" xfId="1" applyBorder="1"/>
    <xf numFmtId="0" fontId="1" fillId="0" borderId="34" xfId="1" applyBorder="1" applyAlignment="1">
      <alignment wrapText="1"/>
    </xf>
    <xf numFmtId="0" fontId="1" fillId="0" borderId="35" xfId="1" applyBorder="1" applyAlignment="1">
      <alignment wrapText="1"/>
    </xf>
    <xf numFmtId="0" fontId="1" fillId="0" borderId="36" xfId="1" applyBorder="1" applyAlignment="1">
      <alignment wrapText="1"/>
    </xf>
    <xf numFmtId="0" fontId="11" fillId="0" borderId="28" xfId="1" applyFont="1" applyBorder="1"/>
    <xf numFmtId="0" fontId="1" fillId="0" borderId="0" xfId="3" applyFont="1">
      <alignment vertical="center"/>
    </xf>
    <xf numFmtId="49" fontId="5" fillId="0" borderId="3" xfId="1" applyNumberFormat="1" applyFont="1" applyBorder="1" applyAlignment="1">
      <alignment horizontal="center" vertical="center" wrapText="1"/>
    </xf>
    <xf numFmtId="49" fontId="8" fillId="0" borderId="16" xfId="1" applyNumberFormat="1" applyFont="1" applyBorder="1" applyAlignment="1">
      <alignment horizontal="center" vertical="center" wrapText="1"/>
    </xf>
    <xf numFmtId="49" fontId="1" fillId="0" borderId="0" xfId="1" applyNumberFormat="1" applyAlignment="1">
      <alignment horizontal="right"/>
    </xf>
    <xf numFmtId="0" fontId="0" fillId="0" borderId="0" xfId="1" applyFont="1"/>
    <xf numFmtId="0" fontId="1" fillId="0" borderId="0" xfId="1" applyAlignment="1">
      <alignment horizontal="center"/>
    </xf>
    <xf numFmtId="14" fontId="13" fillId="0" borderId="0" xfId="1" applyNumberFormat="1" applyFont="1" applyAlignment="1">
      <alignment horizontal="center"/>
    </xf>
    <xf numFmtId="1" fontId="1" fillId="3" borderId="0" xfId="1" applyNumberFormat="1" applyFill="1"/>
    <xf numFmtId="49" fontId="2" fillId="7" borderId="1" xfId="1" applyNumberFormat="1" applyFont="1" applyFill="1" applyBorder="1" applyAlignment="1">
      <alignment horizontal="center" vertical="center" wrapText="1"/>
    </xf>
    <xf numFmtId="49" fontId="2" fillId="7" borderId="3" xfId="1" applyNumberFormat="1" applyFont="1" applyFill="1" applyBorder="1" applyAlignment="1">
      <alignment horizontal="center" vertical="center" wrapText="1"/>
    </xf>
    <xf numFmtId="49" fontId="2" fillId="7" borderId="5" xfId="1" applyNumberFormat="1" applyFont="1" applyFill="1" applyBorder="1" applyAlignment="1">
      <alignment horizontal="center" vertical="center" wrapText="1"/>
    </xf>
    <xf numFmtId="14" fontId="13" fillId="0" borderId="0" xfId="1" applyNumberFormat="1" applyFont="1"/>
    <xf numFmtId="0" fontId="12" fillId="0" borderId="0" xfId="3">
      <alignment vertical="center"/>
    </xf>
    <xf numFmtId="49" fontId="17" fillId="8" borderId="41" xfId="5" applyNumberFormat="1" applyFont="1" applyFill="1" applyBorder="1" applyAlignment="1">
      <alignment horizontal="center" vertical="center" wrapText="1"/>
    </xf>
    <xf numFmtId="49" fontId="17" fillId="0" borderId="42" xfId="5" applyNumberFormat="1" applyFont="1" applyBorder="1" applyAlignment="1">
      <alignment horizontal="center" vertical="center" wrapText="1"/>
    </xf>
    <xf numFmtId="49" fontId="17" fillId="0" borderId="43" xfId="5" applyNumberFormat="1" applyFont="1" applyBorder="1" applyAlignment="1">
      <alignment horizontal="center" vertical="center" wrapText="1"/>
    </xf>
    <xf numFmtId="49" fontId="17" fillId="8" borderId="43" xfId="5" applyNumberFormat="1" applyFont="1" applyFill="1" applyBorder="1" applyAlignment="1">
      <alignment horizontal="center" vertical="center" wrapText="1"/>
    </xf>
    <xf numFmtId="49" fontId="17" fillId="9" borderId="43" xfId="5" applyNumberFormat="1" applyFont="1" applyFill="1" applyBorder="1" applyAlignment="1">
      <alignment horizontal="center" vertical="center" wrapText="1"/>
    </xf>
    <xf numFmtId="49" fontId="17" fillId="10" borderId="43" xfId="5" applyNumberFormat="1" applyFont="1" applyFill="1" applyBorder="1" applyAlignment="1">
      <alignment horizontal="center" vertical="center" wrapText="1"/>
    </xf>
    <xf numFmtId="49" fontId="18" fillId="0" borderId="43" xfId="5" applyNumberFormat="1" applyFont="1" applyBorder="1" applyAlignment="1">
      <alignment horizontal="center" vertical="center" wrapText="1"/>
    </xf>
    <xf numFmtId="49" fontId="17" fillId="8" borderId="44" xfId="5" applyNumberFormat="1" applyFont="1" applyFill="1" applyBorder="1" applyAlignment="1">
      <alignment horizontal="center" vertical="center" wrapText="1"/>
    </xf>
    <xf numFmtId="49" fontId="19" fillId="0" borderId="45" xfId="5" applyNumberFormat="1" applyFont="1" applyBorder="1" applyAlignment="1">
      <alignment horizontal="center" vertical="center" wrapText="1"/>
    </xf>
    <xf numFmtId="0" fontId="16" fillId="0" borderId="0" xfId="5"/>
    <xf numFmtId="49" fontId="20" fillId="0" borderId="46" xfId="5" applyNumberFormat="1" applyFont="1" applyBorder="1" applyAlignment="1">
      <alignment horizontal="center" vertical="center" wrapText="1"/>
    </xf>
    <xf numFmtId="49" fontId="19" fillId="0" borderId="0" xfId="5" applyNumberFormat="1" applyFont="1" applyAlignment="1">
      <alignment horizontal="center" vertical="center" wrapText="1"/>
    </xf>
    <xf numFmtId="0" fontId="20" fillId="0" borderId="46" xfId="5" applyFont="1" applyBorder="1" applyAlignment="1">
      <alignment horizontal="center" vertical="center"/>
    </xf>
    <xf numFmtId="0" fontId="20" fillId="0" borderId="46" xfId="5" applyFont="1" applyBorder="1" applyAlignment="1">
      <alignment horizontal="center" vertical="center" wrapText="1"/>
    </xf>
    <xf numFmtId="0" fontId="21" fillId="0" borderId="41" xfId="5" applyFont="1" applyBorder="1" applyAlignment="1">
      <alignment horizontal="center" vertical="center" wrapText="1"/>
    </xf>
    <xf numFmtId="0" fontId="21" fillId="0" borderId="43" xfId="5" applyFont="1" applyBorder="1" applyAlignment="1">
      <alignment horizontal="center" vertical="center" wrapText="1"/>
    </xf>
    <xf numFmtId="0" fontId="21" fillId="0" borderId="44" xfId="5" applyFont="1" applyBorder="1" applyAlignment="1">
      <alignment horizontal="center" vertical="center" wrapText="1"/>
    </xf>
    <xf numFmtId="0" fontId="16" fillId="0" borderId="0" xfId="5" applyAlignment="1">
      <alignment vertical="center"/>
    </xf>
    <xf numFmtId="0" fontId="22" fillId="0" borderId="0" xfId="5" applyFont="1"/>
    <xf numFmtId="177" fontId="16" fillId="10" borderId="0" xfId="5" applyNumberFormat="1" applyFill="1"/>
    <xf numFmtId="0" fontId="23" fillId="0" borderId="0" xfId="5" applyFont="1"/>
    <xf numFmtId="0" fontId="16" fillId="10" borderId="0" xfId="5" applyFill="1"/>
    <xf numFmtId="178" fontId="16" fillId="10" borderId="0" xfId="5" applyNumberFormat="1" applyFill="1"/>
    <xf numFmtId="0" fontId="24" fillId="0" borderId="47" xfId="5" applyFont="1" applyBorder="1"/>
    <xf numFmtId="0" fontId="16" fillId="0" borderId="48" xfId="5" applyBorder="1"/>
    <xf numFmtId="0" fontId="16" fillId="0" borderId="47" xfId="5" applyBorder="1"/>
    <xf numFmtId="0" fontId="16" fillId="0" borderId="49" xfId="5" applyBorder="1" applyAlignment="1">
      <alignment wrapText="1"/>
    </xf>
    <xf numFmtId="0" fontId="16" fillId="0" borderId="50" xfId="5" applyBorder="1" applyAlignment="1">
      <alignment wrapText="1"/>
    </xf>
    <xf numFmtId="0" fontId="16" fillId="0" borderId="51" xfId="5" applyBorder="1" applyAlignment="1">
      <alignment wrapText="1"/>
    </xf>
    <xf numFmtId="0" fontId="24" fillId="0" borderId="52" xfId="5" applyFont="1" applyBorder="1"/>
    <xf numFmtId="0" fontId="16" fillId="0" borderId="52" xfId="5" applyBorder="1"/>
    <xf numFmtId="0" fontId="16" fillId="0" borderId="53" xfId="5" applyBorder="1" applyAlignment="1">
      <alignment wrapText="1"/>
    </xf>
    <xf numFmtId="0" fontId="16" fillId="0" borderId="54" xfId="5" applyBorder="1" applyAlignment="1">
      <alignment wrapText="1"/>
    </xf>
    <xf numFmtId="0" fontId="16" fillId="0" borderId="55" xfId="5" applyBorder="1" applyAlignment="1">
      <alignment wrapText="1"/>
    </xf>
    <xf numFmtId="0" fontId="16" fillId="0" borderId="56" xfId="5" applyBorder="1"/>
    <xf numFmtId="0" fontId="16" fillId="0" borderId="57" xfId="5" applyBorder="1"/>
    <xf numFmtId="0" fontId="16" fillId="0" borderId="58" xfId="5" applyBorder="1"/>
    <xf numFmtId="0" fontId="16" fillId="0" borderId="59" xfId="5" applyBorder="1" applyAlignment="1">
      <alignment wrapText="1"/>
    </xf>
    <xf numFmtId="0" fontId="16" fillId="0" borderId="60" xfId="5" applyBorder="1" applyAlignment="1">
      <alignment wrapText="1"/>
    </xf>
    <xf numFmtId="0" fontId="16" fillId="0" borderId="61" xfId="5" applyBorder="1" applyAlignment="1">
      <alignment wrapText="1"/>
    </xf>
    <xf numFmtId="0" fontId="24" fillId="0" borderId="56" xfId="5" applyFont="1" applyBorder="1"/>
    <xf numFmtId="14" fontId="16" fillId="0" borderId="0" xfId="5" applyNumberFormat="1"/>
    <xf numFmtId="14" fontId="0" fillId="0" borderId="0" xfId="1" applyNumberFormat="1" applyFont="1"/>
    <xf numFmtId="177" fontId="1" fillId="3" borderId="0" xfId="1" applyNumberFormat="1" applyFill="1" applyAlignment="1">
      <alignment horizontal="right"/>
    </xf>
    <xf numFmtId="0" fontId="1" fillId="3" borderId="0" xfId="1" applyFill="1" applyAlignment="1">
      <alignment horizontal="right"/>
    </xf>
    <xf numFmtId="0" fontId="1" fillId="0" borderId="0" xfId="1" applyAlignment="1">
      <alignment vertical="center"/>
    </xf>
    <xf numFmtId="56" fontId="1" fillId="0" borderId="0" xfId="1" applyNumberFormat="1" applyAlignment="1">
      <alignment vertical="center"/>
    </xf>
    <xf numFmtId="0" fontId="0" fillId="0" borderId="0" xfId="1" applyFont="1" applyAlignment="1">
      <alignment vertical="center"/>
    </xf>
    <xf numFmtId="177" fontId="1" fillId="5" borderId="0" xfId="1" applyNumberFormat="1" applyFill="1" applyAlignment="1">
      <alignment horizontal="right" vertical="center"/>
    </xf>
    <xf numFmtId="0" fontId="1" fillId="5" borderId="0" xfId="1" applyFill="1" applyAlignment="1">
      <alignment vertical="center"/>
    </xf>
    <xf numFmtId="0" fontId="0" fillId="0" borderId="23" xfId="0" applyBorder="1" applyAlignment="1">
      <alignment horizontal="center" vertical="center"/>
    </xf>
    <xf numFmtId="0" fontId="1" fillId="0" borderId="17" xfId="1" applyBorder="1" applyAlignment="1">
      <alignment vertical="center"/>
    </xf>
    <xf numFmtId="0" fontId="1" fillId="0" borderId="15" xfId="1" applyBorder="1" applyAlignment="1">
      <alignment vertical="center"/>
    </xf>
    <xf numFmtId="0" fontId="1" fillId="0" borderId="18" xfId="1" applyBorder="1" applyAlignment="1">
      <alignment vertical="center" wrapText="1"/>
    </xf>
    <xf numFmtId="0" fontId="1" fillId="0" borderId="19" xfId="1" applyBorder="1" applyAlignment="1">
      <alignment vertical="center" wrapText="1"/>
    </xf>
    <xf numFmtId="0" fontId="1" fillId="0" borderId="20" xfId="1" applyBorder="1" applyAlignment="1">
      <alignment vertical="center" wrapText="1"/>
    </xf>
    <xf numFmtId="177" fontId="1" fillId="3" borderId="0" xfId="1" applyNumberFormat="1" applyFill="1" applyAlignment="1">
      <alignment horizontal="right" vertical="center"/>
    </xf>
    <xf numFmtId="0" fontId="1" fillId="3" borderId="0" xfId="1" applyFill="1" applyAlignment="1">
      <alignment vertical="center"/>
    </xf>
    <xf numFmtId="0" fontId="1" fillId="0" borderId="23" xfId="1" applyBorder="1" applyAlignment="1">
      <alignment vertical="center"/>
    </xf>
    <xf numFmtId="0" fontId="1" fillId="0" borderId="24" xfId="1" applyBorder="1" applyAlignment="1">
      <alignment vertical="center" wrapText="1"/>
    </xf>
    <xf numFmtId="0" fontId="1" fillId="0" borderId="25" xfId="1" applyBorder="1" applyAlignment="1">
      <alignment vertical="center" wrapText="1"/>
    </xf>
    <xf numFmtId="0" fontId="1" fillId="0" borderId="26" xfId="1" applyBorder="1" applyAlignment="1">
      <alignment vertical="center" wrapText="1"/>
    </xf>
    <xf numFmtId="0" fontId="1" fillId="0" borderId="28" xfId="1" applyBorder="1" applyAlignment="1">
      <alignment vertical="center"/>
    </xf>
    <xf numFmtId="0" fontId="1" fillId="0" borderId="29" xfId="1" applyBorder="1" applyAlignment="1">
      <alignment vertical="center"/>
    </xf>
    <xf numFmtId="0" fontId="1" fillId="0" borderId="30" xfId="1" applyBorder="1" applyAlignment="1">
      <alignment vertical="center"/>
    </xf>
    <xf numFmtId="0" fontId="0" fillId="0" borderId="23" xfId="1" applyFont="1" applyBorder="1" applyAlignment="1">
      <alignment vertical="center"/>
    </xf>
    <xf numFmtId="0" fontId="1" fillId="4" borderId="23" xfId="1" applyFill="1" applyBorder="1" applyAlignment="1">
      <alignment vertical="center"/>
    </xf>
    <xf numFmtId="0" fontId="1" fillId="0" borderId="34" xfId="1" applyBorder="1" applyAlignment="1">
      <alignment vertical="center" wrapText="1"/>
    </xf>
    <xf numFmtId="0" fontId="1" fillId="0" borderId="35" xfId="1" applyBorder="1" applyAlignment="1">
      <alignment vertical="center" wrapText="1"/>
    </xf>
    <xf numFmtId="0" fontId="1" fillId="0" borderId="36" xfId="1" applyBorder="1" applyAlignment="1">
      <alignment vertical="center" wrapText="1"/>
    </xf>
    <xf numFmtId="14" fontId="13" fillId="0" borderId="0" xfId="1" applyNumberFormat="1" applyFont="1" applyAlignment="1">
      <alignment vertical="center"/>
    </xf>
    <xf numFmtId="176" fontId="1" fillId="3" borderId="0" xfId="1" applyNumberFormat="1" applyFill="1" applyAlignment="1">
      <alignment vertical="center"/>
    </xf>
    <xf numFmtId="0" fontId="1" fillId="0" borderId="23" xfId="1" applyBorder="1" applyAlignment="1">
      <alignment vertical="center" shrinkToFit="1"/>
    </xf>
    <xf numFmtId="0" fontId="12" fillId="0" borderId="0" xfId="3" applyAlignment="1">
      <alignment vertical="center"/>
    </xf>
    <xf numFmtId="0" fontId="13" fillId="0" borderId="0" xfId="1" applyFont="1" applyAlignment="1">
      <alignment vertical="center"/>
    </xf>
    <xf numFmtId="0" fontId="1" fillId="0" borderId="0" xfId="2" applyAlignment="1">
      <alignment vertical="center"/>
    </xf>
    <xf numFmtId="14" fontId="1" fillId="0" borderId="0" xfId="2" applyNumberFormat="1" applyAlignment="1">
      <alignment vertical="center"/>
    </xf>
    <xf numFmtId="1" fontId="1" fillId="3" borderId="0" xfId="1" applyNumberFormat="1" applyFill="1" applyAlignment="1">
      <alignment vertical="center"/>
    </xf>
    <xf numFmtId="0" fontId="1" fillId="4" borderId="0" xfId="1" applyFill="1" applyAlignment="1">
      <alignment vertical="center"/>
    </xf>
    <xf numFmtId="0" fontId="1" fillId="4" borderId="17" xfId="1" applyFill="1" applyBorder="1" applyAlignment="1">
      <alignment vertical="center"/>
    </xf>
    <xf numFmtId="0" fontId="1" fillId="4" borderId="18" xfId="1" applyFill="1" applyBorder="1" applyAlignment="1">
      <alignment vertical="center" wrapText="1"/>
    </xf>
    <xf numFmtId="0" fontId="1" fillId="4" borderId="19" xfId="1" applyFill="1" applyBorder="1" applyAlignment="1">
      <alignment vertical="center" wrapText="1"/>
    </xf>
    <xf numFmtId="0" fontId="1" fillId="4" borderId="20" xfId="1" applyFill="1" applyBorder="1" applyAlignment="1">
      <alignment vertical="center" wrapText="1"/>
    </xf>
    <xf numFmtId="0" fontId="0" fillId="0" borderId="28" xfId="1" applyFont="1" applyBorder="1" applyAlignment="1">
      <alignment vertical="center"/>
    </xf>
    <xf numFmtId="0" fontId="0" fillId="0" borderId="29" xfId="1" applyFont="1" applyBorder="1" applyAlignment="1">
      <alignment vertical="center"/>
    </xf>
    <xf numFmtId="0" fontId="1" fillId="0" borderId="0" xfId="1" applyAlignment="1">
      <alignment horizontal="center" vertical="center"/>
    </xf>
    <xf numFmtId="14" fontId="13" fillId="0" borderId="0" xfId="1" applyNumberFormat="1" applyFont="1" applyAlignment="1">
      <alignment horizontal="center" vertical="center"/>
    </xf>
    <xf numFmtId="0" fontId="14" fillId="0" borderId="1" xfId="0" applyFont="1" applyBorder="1" applyAlignment="1">
      <alignment vertical="center"/>
    </xf>
    <xf numFmtId="0" fontId="15" fillId="0" borderId="5" xfId="0" applyFont="1" applyBorder="1" applyAlignment="1">
      <alignment vertical="center"/>
    </xf>
    <xf numFmtId="0" fontId="15" fillId="0" borderId="1" xfId="0" applyFont="1" applyBorder="1" applyAlignment="1">
      <alignment vertical="center"/>
    </xf>
    <xf numFmtId="0" fontId="15" fillId="0" borderId="7" xfId="0" applyFont="1" applyBorder="1" applyAlignment="1">
      <alignment vertical="center"/>
    </xf>
    <xf numFmtId="49" fontId="1" fillId="0" borderId="0" xfId="1" applyNumberFormat="1" applyAlignment="1">
      <alignment horizontal="right" vertical="center"/>
    </xf>
    <xf numFmtId="0" fontId="1" fillId="0" borderId="15" xfId="1" applyBorder="1" applyAlignment="1" applyProtection="1">
      <alignment vertical="center"/>
      <protection locked="0"/>
    </xf>
    <xf numFmtId="0" fontId="1" fillId="0" borderId="17" xfId="1" applyBorder="1" applyAlignment="1" applyProtection="1">
      <alignment vertical="center"/>
      <protection locked="0"/>
    </xf>
    <xf numFmtId="0" fontId="12" fillId="0" borderId="0" xfId="4" applyAlignment="1">
      <alignment vertical="center"/>
    </xf>
    <xf numFmtId="0" fontId="1" fillId="6" borderId="0" xfId="1" applyFill="1" applyAlignment="1">
      <alignment vertical="center"/>
    </xf>
    <xf numFmtId="0" fontId="1" fillId="0" borderId="0" xfId="2" applyFont="1" applyAlignment="1"/>
    <xf numFmtId="14" fontId="1" fillId="0" borderId="0" xfId="2" applyNumberFormat="1" applyFont="1" applyFill="1" applyAlignment="1"/>
    <xf numFmtId="0" fontId="1" fillId="0" borderId="0" xfId="1" applyFont="1" applyAlignment="1"/>
    <xf numFmtId="0" fontId="1" fillId="4" borderId="8" xfId="1" applyFont="1" applyFill="1" applyBorder="1" applyAlignment="1"/>
    <xf numFmtId="176" fontId="1" fillId="5" borderId="9" xfId="1" applyNumberFormat="1" applyFont="1" applyFill="1" applyBorder="1" applyAlignment="1"/>
    <xf numFmtId="0" fontId="1" fillId="4" borderId="10" xfId="1" applyFont="1" applyFill="1" applyBorder="1" applyAlignment="1"/>
    <xf numFmtId="0" fontId="1" fillId="4" borderId="9" xfId="1" applyFont="1" applyFill="1" applyBorder="1" applyAlignment="1"/>
    <xf numFmtId="0" fontId="1" fillId="3" borderId="0" xfId="1" applyFont="1" applyFill="1" applyAlignment="1"/>
    <xf numFmtId="0" fontId="1" fillId="0" borderId="11" xfId="1" applyFont="1" applyBorder="1" applyAlignment="1"/>
    <xf numFmtId="0" fontId="1" fillId="5" borderId="12" xfId="1" applyFont="1" applyFill="1" applyBorder="1" applyAlignment="1"/>
    <xf numFmtId="0" fontId="1" fillId="4" borderId="13" xfId="1" applyFont="1" applyFill="1" applyBorder="1" applyAlignment="1"/>
    <xf numFmtId="0" fontId="1" fillId="4" borderId="14" xfId="1" applyFont="1" applyFill="1" applyBorder="1" applyAlignment="1"/>
    <xf numFmtId="0" fontId="1" fillId="0" borderId="15" xfId="1" applyFont="1" applyBorder="1" applyAlignment="1"/>
    <xf numFmtId="0" fontId="25" fillId="0" borderId="16" xfId="0" applyFont="1" applyBorder="1" applyAlignment="1"/>
    <xf numFmtId="0" fontId="1" fillId="4" borderId="0" xfId="1" applyFont="1" applyFill="1" applyAlignment="1"/>
    <xf numFmtId="0" fontId="1" fillId="4" borderId="17" xfId="1" applyFont="1" applyFill="1" applyBorder="1" applyAlignment="1"/>
    <xf numFmtId="0" fontId="1" fillId="0" borderId="17" xfId="1" applyFont="1" applyBorder="1" applyAlignment="1"/>
    <xf numFmtId="0" fontId="1" fillId="0" borderId="18" xfId="1" applyFont="1" applyBorder="1" applyAlignment="1">
      <alignment wrapText="1"/>
    </xf>
    <xf numFmtId="0" fontId="1" fillId="0" borderId="19" xfId="1" applyFont="1" applyBorder="1" applyAlignment="1">
      <alignment wrapText="1"/>
    </xf>
    <xf numFmtId="0" fontId="1" fillId="0" borderId="20" xfId="1" applyFont="1" applyBorder="1" applyAlignment="1">
      <alignment wrapText="1"/>
    </xf>
    <xf numFmtId="0" fontId="25" fillId="0" borderId="0" xfId="1" applyFont="1" applyAlignment="1"/>
    <xf numFmtId="176" fontId="1" fillId="5" borderId="21" xfId="1" applyNumberFormat="1" applyFont="1" applyFill="1" applyBorder="1" applyAlignment="1"/>
    <xf numFmtId="0" fontId="1" fillId="0" borderId="22" xfId="1" applyFont="1" applyBorder="1" applyAlignment="1"/>
    <xf numFmtId="0" fontId="1" fillId="5" borderId="0" xfId="1" applyFont="1" applyFill="1" applyAlignment="1"/>
    <xf numFmtId="0" fontId="1" fillId="0" borderId="23" xfId="1" applyFont="1" applyBorder="1" applyAlignment="1"/>
    <xf numFmtId="0" fontId="25" fillId="0" borderId="23" xfId="0" applyFont="1" applyBorder="1" applyAlignment="1"/>
    <xf numFmtId="0" fontId="1" fillId="4" borderId="23" xfId="1" applyFont="1" applyFill="1" applyBorder="1" applyAlignment="1"/>
    <xf numFmtId="0" fontId="1" fillId="0" borderId="24" xfId="1" applyFont="1" applyBorder="1" applyAlignment="1">
      <alignment wrapText="1"/>
    </xf>
    <xf numFmtId="0" fontId="1" fillId="0" borderId="25" xfId="1" applyFont="1" applyBorder="1" applyAlignment="1">
      <alignment wrapText="1"/>
    </xf>
    <xf numFmtId="0" fontId="1" fillId="0" borderId="26" xfId="1" applyFont="1" applyBorder="1" applyAlignment="1">
      <alignment wrapText="1"/>
    </xf>
    <xf numFmtId="176" fontId="1" fillId="3" borderId="0" xfId="1" applyNumberFormat="1" applyFont="1" applyFill="1" applyAlignment="1"/>
    <xf numFmtId="0" fontId="1" fillId="4" borderId="28" xfId="1" applyFont="1" applyFill="1" applyBorder="1" applyAlignment="1"/>
    <xf numFmtId="0" fontId="1" fillId="0" borderId="29" xfId="1" applyFont="1" applyBorder="1" applyAlignment="1"/>
    <xf numFmtId="0" fontId="1" fillId="3" borderId="0" xfId="1" applyFont="1" applyFill="1" applyBorder="1" applyAlignment="1"/>
    <xf numFmtId="0" fontId="1" fillId="0" borderId="31" xfId="1" applyFont="1" applyBorder="1" applyAlignment="1"/>
    <xf numFmtId="0" fontId="1" fillId="5" borderId="0" xfId="1" applyFont="1" applyFill="1" applyBorder="1" applyAlignment="1"/>
    <xf numFmtId="0" fontId="1" fillId="4" borderId="29" xfId="1" applyFont="1" applyFill="1" applyBorder="1" applyAlignment="1"/>
    <xf numFmtId="0" fontId="1" fillId="0" borderId="30" xfId="1" applyFont="1" applyBorder="1" applyAlignment="1"/>
    <xf numFmtId="0" fontId="25" fillId="0" borderId="23" xfId="1" applyFont="1" applyBorder="1" applyAlignment="1"/>
    <xf numFmtId="0" fontId="1" fillId="0" borderId="27" xfId="1" applyFont="1" applyBorder="1" applyAlignment="1"/>
    <xf numFmtId="0" fontId="1" fillId="0" borderId="32" xfId="1" applyFont="1" applyBorder="1" applyAlignment="1"/>
    <xf numFmtId="0" fontId="1" fillId="4" borderId="33" xfId="1" applyFont="1" applyFill="1" applyBorder="1" applyAlignment="1"/>
    <xf numFmtId="0" fontId="1" fillId="0" borderId="34" xfId="1" applyFont="1" applyBorder="1" applyAlignment="1">
      <alignment wrapText="1"/>
    </xf>
    <xf numFmtId="0" fontId="1" fillId="0" borderId="35" xfId="1" applyFont="1" applyBorder="1" applyAlignment="1">
      <alignment wrapText="1"/>
    </xf>
    <xf numFmtId="0" fontId="1" fillId="0" borderId="36" xfId="1" applyFont="1" applyBorder="1" applyAlignment="1">
      <alignment wrapText="1"/>
    </xf>
    <xf numFmtId="0" fontId="1" fillId="0" borderId="28" xfId="1" applyFont="1" applyBorder="1" applyAlignment="1"/>
    <xf numFmtId="0" fontId="1" fillId="0" borderId="0" xfId="1" applyFont="1" applyFill="1" applyAlignment="1"/>
    <xf numFmtId="0" fontId="1" fillId="0" borderId="28" xfId="1" applyFont="1" applyFill="1" applyBorder="1" applyAlignment="1"/>
    <xf numFmtId="0" fontId="1" fillId="0" borderId="23" xfId="1" applyFont="1" applyFill="1" applyBorder="1" applyAlignment="1"/>
    <xf numFmtId="0" fontId="1" fillId="0" borderId="0" xfId="2" applyFont="1" applyFill="1" applyAlignment="1"/>
    <xf numFmtId="0" fontId="1" fillId="0" borderId="0" xfId="1" applyFont="1" applyBorder="1" applyAlignment="1"/>
    <xf numFmtId="0" fontId="1" fillId="0" borderId="14" xfId="1" applyFont="1" applyFill="1" applyBorder="1" applyAlignment="1"/>
    <xf numFmtId="0" fontId="1" fillId="0" borderId="33" xfId="1" applyFont="1" applyFill="1" applyBorder="1" applyAlignment="1"/>
  </cellXfs>
  <cellStyles count="6">
    <cellStyle name="標準" xfId="0" builtinId="0"/>
    <cellStyle name="標準 2" xfId="1" xr:uid="{00000000-0005-0000-0000-000001000000}"/>
    <cellStyle name="標準 2 2" xfId="2" xr:uid="{00000000-0005-0000-0000-000002000000}"/>
    <cellStyle name="標準 3" xfId="3" xr:uid="{9A8A1999-65AA-4750-9D71-0038A87D67E9}"/>
    <cellStyle name="標準 3 2" xfId="4" xr:uid="{17447FFC-3922-4E06-87CC-777BD07E64E1}"/>
    <cellStyle name="標準 4" xfId="5" xr:uid="{449DE271-1E1D-42BF-BF32-85B2F9A59C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20Shopsurvey_sendai.Week5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20Shopsurvey_tokyo-east(konishi)-5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fukuoka_5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Week5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nagoya_5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osaka.week5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Sapporo.Week5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konishi)"/>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9B04-5C0E-4752-B7C6-17057C31BB2E}">
  <dimension ref="A1:BA160"/>
  <sheetViews>
    <sheetView tabSelected="1" zoomScale="85" zoomScaleNormal="85" workbookViewId="0">
      <pane ySplit="1" topLeftCell="A2" activePane="bottomLeft" state="frozen"/>
      <selection pane="bottomLeft" activeCell="A2" sqref="A2"/>
    </sheetView>
  </sheetViews>
  <sheetFormatPr defaultRowHeight="13.5"/>
  <cols>
    <col min="1" max="3" width="9" style="10"/>
    <col min="4" max="4" width="10.5" style="10" bestFit="1" customWidth="1"/>
    <col min="5" max="5" width="10.875" style="10" bestFit="1" customWidth="1"/>
    <col min="6" max="13" width="9" style="10"/>
    <col min="14" max="14" width="9.5" style="10" bestFit="1" customWidth="1"/>
    <col min="15" max="16" width="9" style="10"/>
    <col min="17" max="17" width="9" style="125"/>
    <col min="18" max="18" width="9" style="10"/>
    <col min="19" max="19" width="12.75" style="10" bestFit="1" customWidth="1"/>
    <col min="20" max="20" width="9" style="24"/>
    <col min="21" max="21" width="9.5" style="10" bestFit="1" customWidth="1"/>
    <col min="22" max="22" width="9" style="24"/>
    <col min="23" max="32" width="9" style="10"/>
    <col min="33" max="33" width="13.875" style="10" bestFit="1" customWidth="1"/>
    <col min="34" max="259" width="9" style="10"/>
    <col min="260" max="260" width="10.5" style="10" bestFit="1" customWidth="1"/>
    <col min="261" max="261" width="10.875" style="10" bestFit="1" customWidth="1"/>
    <col min="262" max="276" width="9" style="10"/>
    <col min="277" max="277" width="9.5" style="10" bestFit="1" customWidth="1"/>
    <col min="278" max="288" width="9" style="10"/>
    <col min="289" max="289" width="12.375" style="10" bestFit="1" customWidth="1"/>
    <col min="290" max="515" width="9" style="10"/>
    <col min="516" max="516" width="10.5" style="10" bestFit="1" customWidth="1"/>
    <col min="517" max="517" width="10.875" style="10" bestFit="1" customWidth="1"/>
    <col min="518" max="532" width="9" style="10"/>
    <col min="533" max="533" width="9.5" style="10" bestFit="1" customWidth="1"/>
    <col min="534" max="544" width="9" style="10"/>
    <col min="545" max="545" width="12.375" style="10" bestFit="1" customWidth="1"/>
    <col min="546" max="771" width="9" style="10"/>
    <col min="772" max="772" width="10.5" style="10" bestFit="1" customWidth="1"/>
    <col min="773" max="773" width="10.875" style="10" bestFit="1" customWidth="1"/>
    <col min="774" max="788" width="9" style="10"/>
    <col min="789" max="789" width="9.5" style="10" bestFit="1" customWidth="1"/>
    <col min="790" max="800" width="9" style="10"/>
    <col min="801" max="801" width="12.375" style="10" bestFit="1" customWidth="1"/>
    <col min="802" max="1027" width="9" style="10"/>
    <col min="1028" max="1028" width="10.5" style="10" bestFit="1" customWidth="1"/>
    <col min="1029" max="1029" width="10.875" style="10" bestFit="1" customWidth="1"/>
    <col min="1030" max="1044" width="9" style="10"/>
    <col min="1045" max="1045" width="9.5" style="10" bestFit="1" customWidth="1"/>
    <col min="1046" max="1056" width="9" style="10"/>
    <col min="1057" max="1057" width="12.375" style="10" bestFit="1" customWidth="1"/>
    <col min="1058" max="1283" width="9" style="10"/>
    <col min="1284" max="1284" width="10.5" style="10" bestFit="1" customWidth="1"/>
    <col min="1285" max="1285" width="10.875" style="10" bestFit="1" customWidth="1"/>
    <col min="1286" max="1300" width="9" style="10"/>
    <col min="1301" max="1301" width="9.5" style="10" bestFit="1" customWidth="1"/>
    <col min="1302" max="1312" width="9" style="10"/>
    <col min="1313" max="1313" width="12.375" style="10" bestFit="1" customWidth="1"/>
    <col min="1314" max="1539" width="9" style="10"/>
    <col min="1540" max="1540" width="10.5" style="10" bestFit="1" customWidth="1"/>
    <col min="1541" max="1541" width="10.875" style="10" bestFit="1" customWidth="1"/>
    <col min="1542" max="1556" width="9" style="10"/>
    <col min="1557" max="1557" width="9.5" style="10" bestFit="1" customWidth="1"/>
    <col min="1558" max="1568" width="9" style="10"/>
    <col min="1569" max="1569" width="12.375" style="10" bestFit="1" customWidth="1"/>
    <col min="1570" max="1795" width="9" style="10"/>
    <col min="1796" max="1796" width="10.5" style="10" bestFit="1" customWidth="1"/>
    <col min="1797" max="1797" width="10.875" style="10" bestFit="1" customWidth="1"/>
    <col min="1798" max="1812" width="9" style="10"/>
    <col min="1813" max="1813" width="9.5" style="10" bestFit="1" customWidth="1"/>
    <col min="1814" max="1824" width="9" style="10"/>
    <col min="1825" max="1825" width="12.375" style="10" bestFit="1" customWidth="1"/>
    <col min="1826" max="2051" width="9" style="10"/>
    <col min="2052" max="2052" width="10.5" style="10" bestFit="1" customWidth="1"/>
    <col min="2053" max="2053" width="10.875" style="10" bestFit="1" customWidth="1"/>
    <col min="2054" max="2068" width="9" style="10"/>
    <col min="2069" max="2069" width="9.5" style="10" bestFit="1" customWidth="1"/>
    <col min="2070" max="2080" width="9" style="10"/>
    <col min="2081" max="2081" width="12.375" style="10" bestFit="1" customWidth="1"/>
    <col min="2082" max="2307" width="9" style="10"/>
    <col min="2308" max="2308" width="10.5" style="10" bestFit="1" customWidth="1"/>
    <col min="2309" max="2309" width="10.875" style="10" bestFit="1" customWidth="1"/>
    <col min="2310" max="2324" width="9" style="10"/>
    <col min="2325" max="2325" width="9.5" style="10" bestFit="1" customWidth="1"/>
    <col min="2326" max="2336" width="9" style="10"/>
    <col min="2337" max="2337" width="12.375" style="10" bestFit="1" customWidth="1"/>
    <col min="2338" max="2563" width="9" style="10"/>
    <col min="2564" max="2564" width="10.5" style="10" bestFit="1" customWidth="1"/>
    <col min="2565" max="2565" width="10.875" style="10" bestFit="1" customWidth="1"/>
    <col min="2566" max="2580" width="9" style="10"/>
    <col min="2581" max="2581" width="9.5" style="10" bestFit="1" customWidth="1"/>
    <col min="2582" max="2592" width="9" style="10"/>
    <col min="2593" max="2593" width="12.375" style="10" bestFit="1" customWidth="1"/>
    <col min="2594" max="2819" width="9" style="10"/>
    <col min="2820" max="2820" width="10.5" style="10" bestFit="1" customWidth="1"/>
    <col min="2821" max="2821" width="10.875" style="10" bestFit="1" customWidth="1"/>
    <col min="2822" max="2836" width="9" style="10"/>
    <col min="2837" max="2837" width="9.5" style="10" bestFit="1" customWidth="1"/>
    <col min="2838" max="2848" width="9" style="10"/>
    <col min="2849" max="2849" width="12.375" style="10" bestFit="1" customWidth="1"/>
    <col min="2850" max="3075" width="9" style="10"/>
    <col min="3076" max="3076" width="10.5" style="10" bestFit="1" customWidth="1"/>
    <col min="3077" max="3077" width="10.875" style="10" bestFit="1" customWidth="1"/>
    <col min="3078" max="3092" width="9" style="10"/>
    <col min="3093" max="3093" width="9.5" style="10" bestFit="1" customWidth="1"/>
    <col min="3094" max="3104" width="9" style="10"/>
    <col min="3105" max="3105" width="12.375" style="10" bestFit="1" customWidth="1"/>
    <col min="3106" max="3331" width="9" style="10"/>
    <col min="3332" max="3332" width="10.5" style="10" bestFit="1" customWidth="1"/>
    <col min="3333" max="3333" width="10.875" style="10" bestFit="1" customWidth="1"/>
    <col min="3334" max="3348" width="9" style="10"/>
    <col min="3349" max="3349" width="9.5" style="10" bestFit="1" customWidth="1"/>
    <col min="3350" max="3360" width="9" style="10"/>
    <col min="3361" max="3361" width="12.375" style="10" bestFit="1" customWidth="1"/>
    <col min="3362" max="3587" width="9" style="10"/>
    <col min="3588" max="3588" width="10.5" style="10" bestFit="1" customWidth="1"/>
    <col min="3589" max="3589" width="10.875" style="10" bestFit="1" customWidth="1"/>
    <col min="3590" max="3604" width="9" style="10"/>
    <col min="3605" max="3605" width="9.5" style="10" bestFit="1" customWidth="1"/>
    <col min="3606" max="3616" width="9" style="10"/>
    <col min="3617" max="3617" width="12.375" style="10" bestFit="1" customWidth="1"/>
    <col min="3618" max="3843" width="9" style="10"/>
    <col min="3844" max="3844" width="10.5" style="10" bestFit="1" customWidth="1"/>
    <col min="3845" max="3845" width="10.875" style="10" bestFit="1" customWidth="1"/>
    <col min="3846" max="3860" width="9" style="10"/>
    <col min="3861" max="3861" width="9.5" style="10" bestFit="1" customWidth="1"/>
    <col min="3862" max="3872" width="9" style="10"/>
    <col min="3873" max="3873" width="12.375" style="10" bestFit="1" customWidth="1"/>
    <col min="3874" max="4099" width="9" style="10"/>
    <col min="4100" max="4100" width="10.5" style="10" bestFit="1" customWidth="1"/>
    <col min="4101" max="4101" width="10.875" style="10" bestFit="1" customWidth="1"/>
    <col min="4102" max="4116" width="9" style="10"/>
    <col min="4117" max="4117" width="9.5" style="10" bestFit="1" customWidth="1"/>
    <col min="4118" max="4128" width="9" style="10"/>
    <col min="4129" max="4129" width="12.375" style="10" bestFit="1" customWidth="1"/>
    <col min="4130" max="4355" width="9" style="10"/>
    <col min="4356" max="4356" width="10.5" style="10" bestFit="1" customWidth="1"/>
    <col min="4357" max="4357" width="10.875" style="10" bestFit="1" customWidth="1"/>
    <col min="4358" max="4372" width="9" style="10"/>
    <col min="4373" max="4373" width="9.5" style="10" bestFit="1" customWidth="1"/>
    <col min="4374" max="4384" width="9" style="10"/>
    <col min="4385" max="4385" width="12.375" style="10" bestFit="1" customWidth="1"/>
    <col min="4386" max="4611" width="9" style="10"/>
    <col min="4612" max="4612" width="10.5" style="10" bestFit="1" customWidth="1"/>
    <col min="4613" max="4613" width="10.875" style="10" bestFit="1" customWidth="1"/>
    <col min="4614" max="4628" width="9" style="10"/>
    <col min="4629" max="4629" width="9.5" style="10" bestFit="1" customWidth="1"/>
    <col min="4630" max="4640" width="9" style="10"/>
    <col min="4641" max="4641" width="12.375" style="10" bestFit="1" customWidth="1"/>
    <col min="4642" max="4867" width="9" style="10"/>
    <col min="4868" max="4868" width="10.5" style="10" bestFit="1" customWidth="1"/>
    <col min="4869" max="4869" width="10.875" style="10" bestFit="1" customWidth="1"/>
    <col min="4870" max="4884" width="9" style="10"/>
    <col min="4885" max="4885" width="9.5" style="10" bestFit="1" customWidth="1"/>
    <col min="4886" max="4896" width="9" style="10"/>
    <col min="4897" max="4897" width="12.375" style="10" bestFit="1" customWidth="1"/>
    <col min="4898" max="5123" width="9" style="10"/>
    <col min="5124" max="5124" width="10.5" style="10" bestFit="1" customWidth="1"/>
    <col min="5125" max="5125" width="10.875" style="10" bestFit="1" customWidth="1"/>
    <col min="5126" max="5140" width="9" style="10"/>
    <col min="5141" max="5141" width="9.5" style="10" bestFit="1" customWidth="1"/>
    <col min="5142" max="5152" width="9" style="10"/>
    <col min="5153" max="5153" width="12.375" style="10" bestFit="1" customWidth="1"/>
    <col min="5154" max="5379" width="9" style="10"/>
    <col min="5380" max="5380" width="10.5" style="10" bestFit="1" customWidth="1"/>
    <col min="5381" max="5381" width="10.875" style="10" bestFit="1" customWidth="1"/>
    <col min="5382" max="5396" width="9" style="10"/>
    <col min="5397" max="5397" width="9.5" style="10" bestFit="1" customWidth="1"/>
    <col min="5398" max="5408" width="9" style="10"/>
    <col min="5409" max="5409" width="12.375" style="10" bestFit="1" customWidth="1"/>
    <col min="5410" max="5635" width="9" style="10"/>
    <col min="5636" max="5636" width="10.5" style="10" bestFit="1" customWidth="1"/>
    <col min="5637" max="5637" width="10.875" style="10" bestFit="1" customWidth="1"/>
    <col min="5638" max="5652" width="9" style="10"/>
    <col min="5653" max="5653" width="9.5" style="10" bestFit="1" customWidth="1"/>
    <col min="5654" max="5664" width="9" style="10"/>
    <col min="5665" max="5665" width="12.375" style="10" bestFit="1" customWidth="1"/>
    <col min="5666" max="5891" width="9" style="10"/>
    <col min="5892" max="5892" width="10.5" style="10" bestFit="1" customWidth="1"/>
    <col min="5893" max="5893" width="10.875" style="10" bestFit="1" customWidth="1"/>
    <col min="5894" max="5908" width="9" style="10"/>
    <col min="5909" max="5909" width="9.5" style="10" bestFit="1" customWidth="1"/>
    <col min="5910" max="5920" width="9" style="10"/>
    <col min="5921" max="5921" width="12.375" style="10" bestFit="1" customWidth="1"/>
    <col min="5922" max="6147" width="9" style="10"/>
    <col min="6148" max="6148" width="10.5" style="10" bestFit="1" customWidth="1"/>
    <col min="6149" max="6149" width="10.875" style="10" bestFit="1" customWidth="1"/>
    <col min="6150" max="6164" width="9" style="10"/>
    <col min="6165" max="6165" width="9.5" style="10" bestFit="1" customWidth="1"/>
    <col min="6166" max="6176" width="9" style="10"/>
    <col min="6177" max="6177" width="12.375" style="10" bestFit="1" customWidth="1"/>
    <col min="6178" max="6403" width="9" style="10"/>
    <col min="6404" max="6404" width="10.5" style="10" bestFit="1" customWidth="1"/>
    <col min="6405" max="6405" width="10.875" style="10" bestFit="1" customWidth="1"/>
    <col min="6406" max="6420" width="9" style="10"/>
    <col min="6421" max="6421" width="9.5" style="10" bestFit="1" customWidth="1"/>
    <col min="6422" max="6432" width="9" style="10"/>
    <col min="6433" max="6433" width="12.375" style="10" bestFit="1" customWidth="1"/>
    <col min="6434" max="6659" width="9" style="10"/>
    <col min="6660" max="6660" width="10.5" style="10" bestFit="1" customWidth="1"/>
    <col min="6661" max="6661" width="10.875" style="10" bestFit="1" customWidth="1"/>
    <col min="6662" max="6676" width="9" style="10"/>
    <col min="6677" max="6677" width="9.5" style="10" bestFit="1" customWidth="1"/>
    <col min="6678" max="6688" width="9" style="10"/>
    <col min="6689" max="6689" width="12.375" style="10" bestFit="1" customWidth="1"/>
    <col min="6690" max="6915" width="9" style="10"/>
    <col min="6916" max="6916" width="10.5" style="10" bestFit="1" customWidth="1"/>
    <col min="6917" max="6917" width="10.875" style="10" bestFit="1" customWidth="1"/>
    <col min="6918" max="6932" width="9" style="10"/>
    <col min="6933" max="6933" width="9.5" style="10" bestFit="1" customWidth="1"/>
    <col min="6934" max="6944" width="9" style="10"/>
    <col min="6945" max="6945" width="12.375" style="10" bestFit="1" customWidth="1"/>
    <col min="6946" max="7171" width="9" style="10"/>
    <col min="7172" max="7172" width="10.5" style="10" bestFit="1" customWidth="1"/>
    <col min="7173" max="7173" width="10.875" style="10" bestFit="1" customWidth="1"/>
    <col min="7174" max="7188" width="9" style="10"/>
    <col min="7189" max="7189" width="9.5" style="10" bestFit="1" customWidth="1"/>
    <col min="7190" max="7200" width="9" style="10"/>
    <col min="7201" max="7201" width="12.375" style="10" bestFit="1" customWidth="1"/>
    <col min="7202" max="7427" width="9" style="10"/>
    <col min="7428" max="7428" width="10.5" style="10" bestFit="1" customWidth="1"/>
    <col min="7429" max="7429" width="10.875" style="10" bestFit="1" customWidth="1"/>
    <col min="7430" max="7444" width="9" style="10"/>
    <col min="7445" max="7445" width="9.5" style="10" bestFit="1" customWidth="1"/>
    <col min="7446" max="7456" width="9" style="10"/>
    <col min="7457" max="7457" width="12.375" style="10" bestFit="1" customWidth="1"/>
    <col min="7458" max="7683" width="9" style="10"/>
    <col min="7684" max="7684" width="10.5" style="10" bestFit="1" customWidth="1"/>
    <col min="7685" max="7685" width="10.875" style="10" bestFit="1" customWidth="1"/>
    <col min="7686" max="7700" width="9" style="10"/>
    <col min="7701" max="7701" width="9.5" style="10" bestFit="1" customWidth="1"/>
    <col min="7702" max="7712" width="9" style="10"/>
    <col min="7713" max="7713" width="12.375" style="10" bestFit="1" customWidth="1"/>
    <col min="7714" max="7939" width="9" style="10"/>
    <col min="7940" max="7940" width="10.5" style="10" bestFit="1" customWidth="1"/>
    <col min="7941" max="7941" width="10.875" style="10" bestFit="1" customWidth="1"/>
    <col min="7942" max="7956" width="9" style="10"/>
    <col min="7957" max="7957" width="9.5" style="10" bestFit="1" customWidth="1"/>
    <col min="7958" max="7968" width="9" style="10"/>
    <col min="7969" max="7969" width="12.375" style="10" bestFit="1" customWidth="1"/>
    <col min="7970" max="8195" width="9" style="10"/>
    <col min="8196" max="8196" width="10.5" style="10" bestFit="1" customWidth="1"/>
    <col min="8197" max="8197" width="10.875" style="10" bestFit="1" customWidth="1"/>
    <col min="8198" max="8212" width="9" style="10"/>
    <col min="8213" max="8213" width="9.5" style="10" bestFit="1" customWidth="1"/>
    <col min="8214" max="8224" width="9" style="10"/>
    <col min="8225" max="8225" width="12.375" style="10" bestFit="1" customWidth="1"/>
    <col min="8226" max="8451" width="9" style="10"/>
    <col min="8452" max="8452" width="10.5" style="10" bestFit="1" customWidth="1"/>
    <col min="8453" max="8453" width="10.875" style="10" bestFit="1" customWidth="1"/>
    <col min="8454" max="8468" width="9" style="10"/>
    <col min="8469" max="8469" width="9.5" style="10" bestFit="1" customWidth="1"/>
    <col min="8470" max="8480" width="9" style="10"/>
    <col min="8481" max="8481" width="12.375" style="10" bestFit="1" customWidth="1"/>
    <col min="8482" max="8707" width="9" style="10"/>
    <col min="8708" max="8708" width="10.5" style="10" bestFit="1" customWidth="1"/>
    <col min="8709" max="8709" width="10.875" style="10" bestFit="1" customWidth="1"/>
    <col min="8710" max="8724" width="9" style="10"/>
    <col min="8725" max="8725" width="9.5" style="10" bestFit="1" customWidth="1"/>
    <col min="8726" max="8736" width="9" style="10"/>
    <col min="8737" max="8737" width="12.375" style="10" bestFit="1" customWidth="1"/>
    <col min="8738" max="8963" width="9" style="10"/>
    <col min="8964" max="8964" width="10.5" style="10" bestFit="1" customWidth="1"/>
    <col min="8965" max="8965" width="10.875" style="10" bestFit="1" customWidth="1"/>
    <col min="8966" max="8980" width="9" style="10"/>
    <col min="8981" max="8981" width="9.5" style="10" bestFit="1" customWidth="1"/>
    <col min="8982" max="8992" width="9" style="10"/>
    <col min="8993" max="8993" width="12.375" style="10" bestFit="1" customWidth="1"/>
    <col min="8994" max="9219" width="9" style="10"/>
    <col min="9220" max="9220" width="10.5" style="10" bestFit="1" customWidth="1"/>
    <col min="9221" max="9221" width="10.875" style="10" bestFit="1" customWidth="1"/>
    <col min="9222" max="9236" width="9" style="10"/>
    <col min="9237" max="9237" width="9.5" style="10" bestFit="1" customWidth="1"/>
    <col min="9238" max="9248" width="9" style="10"/>
    <col min="9249" max="9249" width="12.375" style="10" bestFit="1" customWidth="1"/>
    <col min="9250" max="9475" width="9" style="10"/>
    <col min="9476" max="9476" width="10.5" style="10" bestFit="1" customWidth="1"/>
    <col min="9477" max="9477" width="10.875" style="10" bestFit="1" customWidth="1"/>
    <col min="9478" max="9492" width="9" style="10"/>
    <col min="9493" max="9493" width="9.5" style="10" bestFit="1" customWidth="1"/>
    <col min="9494" max="9504" width="9" style="10"/>
    <col min="9505" max="9505" width="12.375" style="10" bestFit="1" customWidth="1"/>
    <col min="9506" max="9731" width="9" style="10"/>
    <col min="9732" max="9732" width="10.5" style="10" bestFit="1" customWidth="1"/>
    <col min="9733" max="9733" width="10.875" style="10" bestFit="1" customWidth="1"/>
    <col min="9734" max="9748" width="9" style="10"/>
    <col min="9749" max="9749" width="9.5" style="10" bestFit="1" customWidth="1"/>
    <col min="9750" max="9760" width="9" style="10"/>
    <col min="9761" max="9761" width="12.375" style="10" bestFit="1" customWidth="1"/>
    <col min="9762" max="9987" width="9" style="10"/>
    <col min="9988" max="9988" width="10.5" style="10" bestFit="1" customWidth="1"/>
    <col min="9989" max="9989" width="10.875" style="10" bestFit="1" customWidth="1"/>
    <col min="9990" max="10004" width="9" style="10"/>
    <col min="10005" max="10005" width="9.5" style="10" bestFit="1" customWidth="1"/>
    <col min="10006" max="10016" width="9" style="10"/>
    <col min="10017" max="10017" width="12.375" style="10" bestFit="1" customWidth="1"/>
    <col min="10018" max="10243" width="9" style="10"/>
    <col min="10244" max="10244" width="10.5" style="10" bestFit="1" customWidth="1"/>
    <col min="10245" max="10245" width="10.875" style="10" bestFit="1" customWidth="1"/>
    <col min="10246" max="10260" width="9" style="10"/>
    <col min="10261" max="10261" width="9.5" style="10" bestFit="1" customWidth="1"/>
    <col min="10262" max="10272" width="9" style="10"/>
    <col min="10273" max="10273" width="12.375" style="10" bestFit="1" customWidth="1"/>
    <col min="10274" max="10499" width="9" style="10"/>
    <col min="10500" max="10500" width="10.5" style="10" bestFit="1" customWidth="1"/>
    <col min="10501" max="10501" width="10.875" style="10" bestFit="1" customWidth="1"/>
    <col min="10502" max="10516" width="9" style="10"/>
    <col min="10517" max="10517" width="9.5" style="10" bestFit="1" customWidth="1"/>
    <col min="10518" max="10528" width="9" style="10"/>
    <col min="10529" max="10529" width="12.375" style="10" bestFit="1" customWidth="1"/>
    <col min="10530" max="10755" width="9" style="10"/>
    <col min="10756" max="10756" width="10.5" style="10" bestFit="1" customWidth="1"/>
    <col min="10757" max="10757" width="10.875" style="10" bestFit="1" customWidth="1"/>
    <col min="10758" max="10772" width="9" style="10"/>
    <col min="10773" max="10773" width="9.5" style="10" bestFit="1" customWidth="1"/>
    <col min="10774" max="10784" width="9" style="10"/>
    <col min="10785" max="10785" width="12.375" style="10" bestFit="1" customWidth="1"/>
    <col min="10786" max="11011" width="9" style="10"/>
    <col min="11012" max="11012" width="10.5" style="10" bestFit="1" customWidth="1"/>
    <col min="11013" max="11013" width="10.875" style="10" bestFit="1" customWidth="1"/>
    <col min="11014" max="11028" width="9" style="10"/>
    <col min="11029" max="11029" width="9.5" style="10" bestFit="1" customWidth="1"/>
    <col min="11030" max="11040" width="9" style="10"/>
    <col min="11041" max="11041" width="12.375" style="10" bestFit="1" customWidth="1"/>
    <col min="11042" max="11267" width="9" style="10"/>
    <col min="11268" max="11268" width="10.5" style="10" bestFit="1" customWidth="1"/>
    <col min="11269" max="11269" width="10.875" style="10" bestFit="1" customWidth="1"/>
    <col min="11270" max="11284" width="9" style="10"/>
    <col min="11285" max="11285" width="9.5" style="10" bestFit="1" customWidth="1"/>
    <col min="11286" max="11296" width="9" style="10"/>
    <col min="11297" max="11297" width="12.375" style="10" bestFit="1" customWidth="1"/>
    <col min="11298" max="11523" width="9" style="10"/>
    <col min="11524" max="11524" width="10.5" style="10" bestFit="1" customWidth="1"/>
    <col min="11525" max="11525" width="10.875" style="10" bestFit="1" customWidth="1"/>
    <col min="11526" max="11540" width="9" style="10"/>
    <col min="11541" max="11541" width="9.5" style="10" bestFit="1" customWidth="1"/>
    <col min="11542" max="11552" width="9" style="10"/>
    <col min="11553" max="11553" width="12.375" style="10" bestFit="1" customWidth="1"/>
    <col min="11554" max="11779" width="9" style="10"/>
    <col min="11780" max="11780" width="10.5" style="10" bestFit="1" customWidth="1"/>
    <col min="11781" max="11781" width="10.875" style="10" bestFit="1" customWidth="1"/>
    <col min="11782" max="11796" width="9" style="10"/>
    <col min="11797" max="11797" width="9.5" style="10" bestFit="1" customWidth="1"/>
    <col min="11798" max="11808" width="9" style="10"/>
    <col min="11809" max="11809" width="12.375" style="10" bestFit="1" customWidth="1"/>
    <col min="11810" max="12035" width="9" style="10"/>
    <col min="12036" max="12036" width="10.5" style="10" bestFit="1" customWidth="1"/>
    <col min="12037" max="12037" width="10.875" style="10" bestFit="1" customWidth="1"/>
    <col min="12038" max="12052" width="9" style="10"/>
    <col min="12053" max="12053" width="9.5" style="10" bestFit="1" customWidth="1"/>
    <col min="12054" max="12064" width="9" style="10"/>
    <col min="12065" max="12065" width="12.375" style="10" bestFit="1" customWidth="1"/>
    <col min="12066" max="12291" width="9" style="10"/>
    <col min="12292" max="12292" width="10.5" style="10" bestFit="1" customWidth="1"/>
    <col min="12293" max="12293" width="10.875" style="10" bestFit="1" customWidth="1"/>
    <col min="12294" max="12308" width="9" style="10"/>
    <col min="12309" max="12309" width="9.5" style="10" bestFit="1" customWidth="1"/>
    <col min="12310" max="12320" width="9" style="10"/>
    <col min="12321" max="12321" width="12.375" style="10" bestFit="1" customWidth="1"/>
    <col min="12322" max="12547" width="9" style="10"/>
    <col min="12548" max="12548" width="10.5" style="10" bestFit="1" customWidth="1"/>
    <col min="12549" max="12549" width="10.875" style="10" bestFit="1" customWidth="1"/>
    <col min="12550" max="12564" width="9" style="10"/>
    <col min="12565" max="12565" width="9.5" style="10" bestFit="1" customWidth="1"/>
    <col min="12566" max="12576" width="9" style="10"/>
    <col min="12577" max="12577" width="12.375" style="10" bestFit="1" customWidth="1"/>
    <col min="12578" max="12803" width="9" style="10"/>
    <col min="12804" max="12804" width="10.5" style="10" bestFit="1" customWidth="1"/>
    <col min="12805" max="12805" width="10.875" style="10" bestFit="1" customWidth="1"/>
    <col min="12806" max="12820" width="9" style="10"/>
    <col min="12821" max="12821" width="9.5" style="10" bestFit="1" customWidth="1"/>
    <col min="12822" max="12832" width="9" style="10"/>
    <col min="12833" max="12833" width="12.375" style="10" bestFit="1" customWidth="1"/>
    <col min="12834" max="13059" width="9" style="10"/>
    <col min="13060" max="13060" width="10.5" style="10" bestFit="1" customWidth="1"/>
    <col min="13061" max="13061" width="10.875" style="10" bestFit="1" customWidth="1"/>
    <col min="13062" max="13076" width="9" style="10"/>
    <col min="13077" max="13077" width="9.5" style="10" bestFit="1" customWidth="1"/>
    <col min="13078" max="13088" width="9" style="10"/>
    <col min="13089" max="13089" width="12.375" style="10" bestFit="1" customWidth="1"/>
    <col min="13090" max="13315" width="9" style="10"/>
    <col min="13316" max="13316" width="10.5" style="10" bestFit="1" customWidth="1"/>
    <col min="13317" max="13317" width="10.875" style="10" bestFit="1" customWidth="1"/>
    <col min="13318" max="13332" width="9" style="10"/>
    <col min="13333" max="13333" width="9.5" style="10" bestFit="1" customWidth="1"/>
    <col min="13334" max="13344" width="9" style="10"/>
    <col min="13345" max="13345" width="12.375" style="10" bestFit="1" customWidth="1"/>
    <col min="13346" max="13571" width="9" style="10"/>
    <col min="13572" max="13572" width="10.5" style="10" bestFit="1" customWidth="1"/>
    <col min="13573" max="13573" width="10.875" style="10" bestFit="1" customWidth="1"/>
    <col min="13574" max="13588" width="9" style="10"/>
    <col min="13589" max="13589" width="9.5" style="10" bestFit="1" customWidth="1"/>
    <col min="13590" max="13600" width="9" style="10"/>
    <col min="13601" max="13601" width="12.375" style="10" bestFit="1" customWidth="1"/>
    <col min="13602" max="13827" width="9" style="10"/>
    <col min="13828" max="13828" width="10.5" style="10" bestFit="1" customWidth="1"/>
    <col min="13829" max="13829" width="10.875" style="10" bestFit="1" customWidth="1"/>
    <col min="13830" max="13844" width="9" style="10"/>
    <col min="13845" max="13845" width="9.5" style="10" bestFit="1" customWidth="1"/>
    <col min="13846" max="13856" width="9" style="10"/>
    <col min="13857" max="13857" width="12.375" style="10" bestFit="1" customWidth="1"/>
    <col min="13858" max="14083" width="9" style="10"/>
    <col min="14084" max="14084" width="10.5" style="10" bestFit="1" customWidth="1"/>
    <col min="14085" max="14085" width="10.875" style="10" bestFit="1" customWidth="1"/>
    <col min="14086" max="14100" width="9" style="10"/>
    <col min="14101" max="14101" width="9.5" style="10" bestFit="1" customWidth="1"/>
    <col min="14102" max="14112" width="9" style="10"/>
    <col min="14113" max="14113" width="12.375" style="10" bestFit="1" customWidth="1"/>
    <col min="14114" max="14339" width="9" style="10"/>
    <col min="14340" max="14340" width="10.5" style="10" bestFit="1" customWidth="1"/>
    <col min="14341" max="14341" width="10.875" style="10" bestFit="1" customWidth="1"/>
    <col min="14342" max="14356" width="9" style="10"/>
    <col min="14357" max="14357" width="9.5" style="10" bestFit="1" customWidth="1"/>
    <col min="14358" max="14368" width="9" style="10"/>
    <col min="14369" max="14369" width="12.375" style="10" bestFit="1" customWidth="1"/>
    <col min="14370" max="14595" width="9" style="10"/>
    <col min="14596" max="14596" width="10.5" style="10" bestFit="1" customWidth="1"/>
    <col min="14597" max="14597" width="10.875" style="10" bestFit="1" customWidth="1"/>
    <col min="14598" max="14612" width="9" style="10"/>
    <col min="14613" max="14613" width="9.5" style="10" bestFit="1" customWidth="1"/>
    <col min="14614" max="14624" width="9" style="10"/>
    <col min="14625" max="14625" width="12.375" style="10" bestFit="1" customWidth="1"/>
    <col min="14626" max="14851" width="9" style="10"/>
    <col min="14852" max="14852" width="10.5" style="10" bestFit="1" customWidth="1"/>
    <col min="14853" max="14853" width="10.875" style="10" bestFit="1" customWidth="1"/>
    <col min="14854" max="14868" width="9" style="10"/>
    <col min="14869" max="14869" width="9.5" style="10" bestFit="1" customWidth="1"/>
    <col min="14870" max="14880" width="9" style="10"/>
    <col min="14881" max="14881" width="12.375" style="10" bestFit="1" customWidth="1"/>
    <col min="14882" max="15107" width="9" style="10"/>
    <col min="15108" max="15108" width="10.5" style="10" bestFit="1" customWidth="1"/>
    <col min="15109" max="15109" width="10.875" style="10" bestFit="1" customWidth="1"/>
    <col min="15110" max="15124" width="9" style="10"/>
    <col min="15125" max="15125" width="9.5" style="10" bestFit="1" customWidth="1"/>
    <col min="15126" max="15136" width="9" style="10"/>
    <col min="15137" max="15137" width="12.375" style="10" bestFit="1" customWidth="1"/>
    <col min="15138" max="15363" width="9" style="10"/>
    <col min="15364" max="15364" width="10.5" style="10" bestFit="1" customWidth="1"/>
    <col min="15365" max="15365" width="10.875" style="10" bestFit="1" customWidth="1"/>
    <col min="15366" max="15380" width="9" style="10"/>
    <col min="15381" max="15381" width="9.5" style="10" bestFit="1" customWidth="1"/>
    <col min="15382" max="15392" width="9" style="10"/>
    <col min="15393" max="15393" width="12.375" style="10" bestFit="1" customWidth="1"/>
    <col min="15394" max="15619" width="9" style="10"/>
    <col min="15620" max="15620" width="10.5" style="10" bestFit="1" customWidth="1"/>
    <col min="15621" max="15621" width="10.875" style="10" bestFit="1" customWidth="1"/>
    <col min="15622" max="15636" width="9" style="10"/>
    <col min="15637" max="15637" width="9.5" style="10" bestFit="1" customWidth="1"/>
    <col min="15638" max="15648" width="9" style="10"/>
    <col min="15649" max="15649" width="12.375" style="10" bestFit="1" customWidth="1"/>
    <col min="15650" max="15875" width="9" style="10"/>
    <col min="15876" max="15876" width="10.5" style="10" bestFit="1" customWidth="1"/>
    <col min="15877" max="15877" width="10.875" style="10" bestFit="1" customWidth="1"/>
    <col min="15878" max="15892" width="9" style="10"/>
    <col min="15893" max="15893" width="9.5" style="10" bestFit="1" customWidth="1"/>
    <col min="15894" max="15904" width="9" style="10"/>
    <col min="15905" max="15905" width="12.375" style="10" bestFit="1" customWidth="1"/>
    <col min="15906" max="16131" width="9" style="10"/>
    <col min="16132" max="16132" width="10.5" style="10" bestFit="1" customWidth="1"/>
    <col min="16133" max="16133" width="10.875" style="10" bestFit="1" customWidth="1"/>
    <col min="16134" max="16148" width="9" style="10"/>
    <col min="16149" max="16149" width="9.5" style="10" bestFit="1" customWidth="1"/>
    <col min="16150" max="16160" width="9" style="10"/>
    <col min="16161" max="16161" width="12.375" style="10" bestFit="1" customWidth="1"/>
    <col min="16162" max="16384" width="9" style="10"/>
  </cols>
  <sheetData>
    <row r="1" spans="1:53" ht="4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69" t="s">
        <v>20</v>
      </c>
      <c r="V1" s="7" t="s">
        <v>21</v>
      </c>
      <c r="W1" s="3" t="s">
        <v>22</v>
      </c>
      <c r="X1" s="4" t="s">
        <v>23</v>
      </c>
      <c r="Y1" s="4" t="s">
        <v>24</v>
      </c>
      <c r="Z1" s="4" t="s">
        <v>25</v>
      </c>
      <c r="AA1" s="8" t="s">
        <v>26</v>
      </c>
      <c r="AB1" s="9" t="s">
        <v>27</v>
      </c>
      <c r="AE1" s="11" t="s">
        <v>0</v>
      </c>
      <c r="AF1" s="12"/>
      <c r="AG1" s="11" t="s">
        <v>4</v>
      </c>
      <c r="AH1" s="11" t="s">
        <v>5</v>
      </c>
      <c r="AI1" s="12"/>
      <c r="AJ1" s="11" t="s">
        <v>6</v>
      </c>
      <c r="AK1" s="12"/>
      <c r="AL1" s="16" t="s">
        <v>335</v>
      </c>
      <c r="AM1" s="12"/>
      <c r="AN1" s="16" t="s">
        <v>8</v>
      </c>
      <c r="AO1" s="12"/>
      <c r="AP1" s="16" t="s">
        <v>28</v>
      </c>
      <c r="AQ1" s="12"/>
      <c r="AR1" s="16" t="s">
        <v>10</v>
      </c>
      <c r="AS1" s="12"/>
      <c r="AT1" s="17" t="s">
        <v>29</v>
      </c>
      <c r="AU1" s="12"/>
      <c r="AV1" s="16" t="s">
        <v>30</v>
      </c>
      <c r="AX1" s="18" t="s">
        <v>31</v>
      </c>
      <c r="AY1" s="19" t="s">
        <v>32</v>
      </c>
      <c r="AZ1" s="19" t="s">
        <v>33</v>
      </c>
      <c r="BA1" s="20" t="s">
        <v>34</v>
      </c>
    </row>
    <row r="2" spans="1:53" s="126" customFormat="1" ht="13.5" customHeight="1">
      <c r="A2" s="126" t="s">
        <v>49</v>
      </c>
      <c r="B2" s="126" t="s">
        <v>184</v>
      </c>
      <c r="C2" s="126">
        <v>2020</v>
      </c>
      <c r="D2" s="127" t="s">
        <v>415</v>
      </c>
      <c r="E2" s="126" t="s">
        <v>264</v>
      </c>
      <c r="F2" s="126" t="s">
        <v>416</v>
      </c>
      <c r="G2" s="126" t="s">
        <v>39</v>
      </c>
      <c r="H2" s="126" t="s">
        <v>40</v>
      </c>
      <c r="I2" s="126" t="s">
        <v>41</v>
      </c>
      <c r="J2" s="126" t="s">
        <v>42</v>
      </c>
      <c r="K2" s="126" t="s">
        <v>43</v>
      </c>
      <c r="L2" s="126">
        <v>1</v>
      </c>
      <c r="N2" s="126">
        <v>1</v>
      </c>
      <c r="O2" s="126">
        <v>0.6</v>
      </c>
      <c r="P2" s="126">
        <v>0.75</v>
      </c>
      <c r="Q2" s="129">
        <f t="shared" ref="Q2:Q71" si="0">IF(OR(O2="",P2=""),"",AVERAGE(O2,P2))</f>
        <v>0.67500000000000004</v>
      </c>
      <c r="R2" s="126">
        <v>12.3</v>
      </c>
      <c r="S2" s="126">
        <v>122</v>
      </c>
      <c r="T2" s="130">
        <f t="shared" ref="T2:T121" si="1">IF(H2="","",IF(OR(H2="GREEN",H2="GK"),IF(S2&gt;=$AX$2,VLOOKUP(S2,$AX$2:$AY$12,2,1),""),IF(S2&gt;=$AZ$2,VLOOKUP(S2,$AZ$2:$BA$12,2,1),"")))</f>
        <v>27</v>
      </c>
      <c r="U2" s="126">
        <v>99</v>
      </c>
      <c r="V2" s="130">
        <f t="shared" ref="V2:V121" si="2">IF(OR(N2="",U2="",T2=""),"",U2/N2*T2)</f>
        <v>2673</v>
      </c>
      <c r="W2" s="126">
        <v>4</v>
      </c>
      <c r="X2" s="126" t="s">
        <v>63</v>
      </c>
      <c r="Y2" s="126" t="s">
        <v>46</v>
      </c>
      <c r="Z2" s="126" t="s">
        <v>54</v>
      </c>
      <c r="AA2" s="126" t="s">
        <v>160</v>
      </c>
      <c r="AB2" s="128" t="s">
        <v>166</v>
      </c>
      <c r="AE2" s="33" t="s">
        <v>49</v>
      </c>
      <c r="AG2" s="131" t="s">
        <v>417</v>
      </c>
      <c r="AH2" s="131" t="s">
        <v>418</v>
      </c>
      <c r="AJ2" s="132" t="s">
        <v>39</v>
      </c>
      <c r="AL2" s="133" t="s">
        <v>51</v>
      </c>
      <c r="AN2" s="132" t="s">
        <v>52</v>
      </c>
      <c r="AP2" s="132" t="s">
        <v>42</v>
      </c>
      <c r="AR2" s="132" t="s">
        <v>53</v>
      </c>
      <c r="AT2" s="132" t="s">
        <v>44</v>
      </c>
      <c r="AV2" s="132" t="s">
        <v>54</v>
      </c>
      <c r="AX2" s="134">
        <v>1</v>
      </c>
      <c r="AY2" s="135">
        <v>50</v>
      </c>
      <c r="AZ2" s="135">
        <v>1</v>
      </c>
      <c r="BA2" s="136">
        <v>50</v>
      </c>
    </row>
    <row r="3" spans="1:53" s="126" customFormat="1" ht="13.5" customHeight="1">
      <c r="A3" s="126" t="s">
        <v>49</v>
      </c>
      <c r="B3" s="126" t="s">
        <v>184</v>
      </c>
      <c r="C3" s="126">
        <v>2020</v>
      </c>
      <c r="D3" s="127" t="s">
        <v>415</v>
      </c>
      <c r="E3" s="126" t="s">
        <v>264</v>
      </c>
      <c r="F3" s="126" t="s">
        <v>416</v>
      </c>
      <c r="G3" s="126" t="s">
        <v>39</v>
      </c>
      <c r="H3" s="126" t="s">
        <v>40</v>
      </c>
      <c r="I3" s="126" t="s">
        <v>41</v>
      </c>
      <c r="J3" s="126" t="s">
        <v>42</v>
      </c>
      <c r="K3" s="126" t="s">
        <v>43</v>
      </c>
      <c r="L3" s="126">
        <v>2</v>
      </c>
      <c r="N3" s="126">
        <v>1</v>
      </c>
      <c r="O3" s="128">
        <v>0.5</v>
      </c>
      <c r="P3" s="126">
        <v>0.5</v>
      </c>
      <c r="Q3" s="137">
        <f t="shared" si="0"/>
        <v>0.5</v>
      </c>
      <c r="R3" s="126">
        <v>15</v>
      </c>
      <c r="S3" s="126">
        <v>116</v>
      </c>
      <c r="T3" s="138">
        <f t="shared" si="1"/>
        <v>30</v>
      </c>
      <c r="U3" s="126">
        <v>99</v>
      </c>
      <c r="V3" s="138">
        <f t="shared" si="2"/>
        <v>2970</v>
      </c>
      <c r="W3" s="126">
        <v>4</v>
      </c>
      <c r="X3" s="126" t="s">
        <v>63</v>
      </c>
      <c r="Y3" s="126" t="s">
        <v>46</v>
      </c>
      <c r="Z3" s="126" t="s">
        <v>54</v>
      </c>
      <c r="AA3" s="126" t="s">
        <v>160</v>
      </c>
      <c r="AB3" s="128" t="s">
        <v>166</v>
      </c>
      <c r="AE3" s="34" t="s">
        <v>55</v>
      </c>
      <c r="AG3" s="131" t="s">
        <v>395</v>
      </c>
      <c r="AH3" s="131" t="s">
        <v>419</v>
      </c>
      <c r="AJ3" s="139" t="s">
        <v>58</v>
      </c>
      <c r="AL3" s="139" t="s">
        <v>59</v>
      </c>
      <c r="AN3" s="139" t="s">
        <v>60</v>
      </c>
      <c r="AP3" s="139" t="s">
        <v>61</v>
      </c>
      <c r="AR3" s="139" t="s">
        <v>62</v>
      </c>
      <c r="AT3" s="139" t="s">
        <v>63</v>
      </c>
      <c r="AV3" s="139" t="s">
        <v>64</v>
      </c>
      <c r="AX3" s="140">
        <v>72</v>
      </c>
      <c r="AY3" s="141">
        <v>46</v>
      </c>
      <c r="AZ3" s="141">
        <v>71</v>
      </c>
      <c r="BA3" s="142">
        <v>42</v>
      </c>
    </row>
    <row r="4" spans="1:53" s="126" customFormat="1" ht="13.5" customHeight="1">
      <c r="A4" s="126" t="s">
        <v>49</v>
      </c>
      <c r="B4" s="126" t="s">
        <v>184</v>
      </c>
      <c r="C4" s="126">
        <v>2020</v>
      </c>
      <c r="D4" s="127" t="s">
        <v>415</v>
      </c>
      <c r="E4" s="126" t="s">
        <v>264</v>
      </c>
      <c r="F4" s="126" t="s">
        <v>416</v>
      </c>
      <c r="G4" s="126" t="s">
        <v>39</v>
      </c>
      <c r="H4" s="126" t="s">
        <v>40</v>
      </c>
      <c r="I4" s="126" t="s">
        <v>41</v>
      </c>
      <c r="J4" s="126" t="s">
        <v>42</v>
      </c>
      <c r="K4" s="126" t="s">
        <v>43</v>
      </c>
      <c r="L4" s="126">
        <v>3</v>
      </c>
      <c r="N4" s="126">
        <v>1</v>
      </c>
      <c r="O4" s="126">
        <v>0.5</v>
      </c>
      <c r="P4" s="126">
        <v>0.6</v>
      </c>
      <c r="Q4" s="137">
        <f t="shared" si="0"/>
        <v>0.55000000000000004</v>
      </c>
      <c r="R4" s="126">
        <v>12</v>
      </c>
      <c r="S4" s="126">
        <v>116</v>
      </c>
      <c r="T4" s="138">
        <f t="shared" si="1"/>
        <v>30</v>
      </c>
      <c r="U4" s="126">
        <v>99</v>
      </c>
      <c r="V4" s="138">
        <f t="shared" si="2"/>
        <v>2970</v>
      </c>
      <c r="W4" s="126">
        <v>4</v>
      </c>
      <c r="X4" s="126" t="s">
        <v>63</v>
      </c>
      <c r="Y4" s="126" t="s">
        <v>46</v>
      </c>
      <c r="Z4" s="126" t="s">
        <v>54</v>
      </c>
      <c r="AA4" s="126" t="s">
        <v>160</v>
      </c>
      <c r="AB4" s="128" t="s">
        <v>166</v>
      </c>
      <c r="AE4" s="34" t="s">
        <v>35</v>
      </c>
      <c r="AG4" s="131" t="s">
        <v>351</v>
      </c>
      <c r="AH4" s="131" t="s">
        <v>420</v>
      </c>
      <c r="AJ4" s="143" t="s">
        <v>67</v>
      </c>
      <c r="AL4" s="139" t="s">
        <v>68</v>
      </c>
      <c r="AN4" s="144" t="s">
        <v>69</v>
      </c>
      <c r="AP4" s="139" t="s">
        <v>70</v>
      </c>
      <c r="AR4" s="139" t="s">
        <v>71</v>
      </c>
      <c r="AT4" s="144"/>
      <c r="AV4" s="139" t="s">
        <v>47</v>
      </c>
      <c r="AX4" s="140">
        <v>75</v>
      </c>
      <c r="AY4" s="141">
        <v>42</v>
      </c>
      <c r="AZ4" s="141">
        <v>76</v>
      </c>
      <c r="BA4" s="142">
        <v>39</v>
      </c>
    </row>
    <row r="5" spans="1:53" s="126" customFormat="1" ht="13.5" customHeight="1">
      <c r="A5" s="126" t="s">
        <v>49</v>
      </c>
      <c r="B5" s="126" t="s">
        <v>184</v>
      </c>
      <c r="C5" s="126">
        <v>2020</v>
      </c>
      <c r="D5" s="127" t="s">
        <v>415</v>
      </c>
      <c r="E5" s="126" t="s">
        <v>264</v>
      </c>
      <c r="F5" s="126" t="s">
        <v>416</v>
      </c>
      <c r="G5" s="126" t="s">
        <v>39</v>
      </c>
      <c r="H5" s="126" t="s">
        <v>59</v>
      </c>
      <c r="I5" s="126" t="s">
        <v>41</v>
      </c>
      <c r="J5" s="126" t="s">
        <v>121</v>
      </c>
      <c r="K5" s="126" t="s">
        <v>62</v>
      </c>
      <c r="L5" s="126">
        <v>1</v>
      </c>
      <c r="N5" s="126">
        <v>5</v>
      </c>
      <c r="O5" s="126">
        <v>0.5</v>
      </c>
      <c r="P5" s="126">
        <v>0.5</v>
      </c>
      <c r="Q5" s="137">
        <f t="shared" si="0"/>
        <v>0.5</v>
      </c>
      <c r="R5" s="126">
        <v>11.7</v>
      </c>
      <c r="S5" s="126">
        <v>79</v>
      </c>
      <c r="T5" s="138">
        <f t="shared" si="1"/>
        <v>39</v>
      </c>
      <c r="U5" s="126">
        <v>397</v>
      </c>
      <c r="V5" s="138">
        <f t="shared" si="2"/>
        <v>3096.6000000000004</v>
      </c>
      <c r="W5" s="126">
        <v>3</v>
      </c>
      <c r="X5" s="126" t="s">
        <v>63</v>
      </c>
      <c r="Y5" s="126" t="s">
        <v>46</v>
      </c>
      <c r="Z5" s="126" t="s">
        <v>54</v>
      </c>
      <c r="AA5" s="126" t="s">
        <v>160</v>
      </c>
      <c r="AB5" s="128" t="s">
        <v>166</v>
      </c>
      <c r="AE5" s="34" t="s">
        <v>72</v>
      </c>
      <c r="AG5" s="131" t="s">
        <v>421</v>
      </c>
      <c r="AH5" s="131" t="s">
        <v>422</v>
      </c>
      <c r="AJ5" s="144"/>
      <c r="AL5" s="139" t="s">
        <v>75</v>
      </c>
      <c r="AN5" s="145" t="s">
        <v>76</v>
      </c>
      <c r="AP5" s="139" t="s">
        <v>77</v>
      </c>
      <c r="AR5" s="139" t="s">
        <v>78</v>
      </c>
      <c r="AV5" s="139" t="s">
        <v>79</v>
      </c>
      <c r="AX5" s="140">
        <v>84</v>
      </c>
      <c r="AY5" s="141">
        <v>39</v>
      </c>
      <c r="AZ5" s="141">
        <v>84</v>
      </c>
      <c r="BA5" s="142">
        <v>36</v>
      </c>
    </row>
    <row r="6" spans="1:53" s="126" customFormat="1" ht="13.5" customHeight="1">
      <c r="A6" s="126" t="s">
        <v>49</v>
      </c>
      <c r="B6" s="126" t="s">
        <v>184</v>
      </c>
      <c r="C6" s="126">
        <v>2020</v>
      </c>
      <c r="D6" s="127" t="s">
        <v>415</v>
      </c>
      <c r="E6" s="126" t="s">
        <v>264</v>
      </c>
      <c r="F6" s="126" t="s">
        <v>416</v>
      </c>
      <c r="G6" s="126" t="s">
        <v>39</v>
      </c>
      <c r="H6" s="126" t="s">
        <v>59</v>
      </c>
      <c r="I6" s="126" t="s">
        <v>41</v>
      </c>
      <c r="J6" s="126" t="s">
        <v>121</v>
      </c>
      <c r="K6" s="126" t="s">
        <v>62</v>
      </c>
      <c r="L6" s="126">
        <v>2</v>
      </c>
      <c r="N6" s="126">
        <v>5</v>
      </c>
      <c r="O6" s="126">
        <v>0.5</v>
      </c>
      <c r="P6" s="126">
        <v>0.5</v>
      </c>
      <c r="Q6" s="137">
        <f t="shared" si="0"/>
        <v>0.5</v>
      </c>
      <c r="R6" s="126">
        <v>11.8</v>
      </c>
      <c r="S6" s="126">
        <v>85</v>
      </c>
      <c r="T6" s="138">
        <f t="shared" si="1"/>
        <v>36</v>
      </c>
      <c r="U6" s="126">
        <v>397</v>
      </c>
      <c r="V6" s="138">
        <f t="shared" si="2"/>
        <v>2858.4</v>
      </c>
      <c r="W6" s="126">
        <v>3</v>
      </c>
      <c r="X6" s="126" t="s">
        <v>63</v>
      </c>
      <c r="Y6" s="126" t="s">
        <v>46</v>
      </c>
      <c r="Z6" s="126" t="s">
        <v>54</v>
      </c>
      <c r="AA6" s="126" t="s">
        <v>160</v>
      </c>
      <c r="AB6" s="128" t="s">
        <v>166</v>
      </c>
      <c r="AE6" s="34" t="s">
        <v>80</v>
      </c>
      <c r="AG6" s="131" t="s">
        <v>423</v>
      </c>
      <c r="AH6" s="131" t="s">
        <v>424</v>
      </c>
      <c r="AL6" s="139" t="s">
        <v>83</v>
      </c>
      <c r="AN6" s="145" t="s">
        <v>84</v>
      </c>
      <c r="AP6" s="139" t="s">
        <v>85</v>
      </c>
      <c r="AR6" s="139" t="s">
        <v>86</v>
      </c>
      <c r="AV6" s="139" t="s">
        <v>87</v>
      </c>
      <c r="AX6" s="140">
        <v>97</v>
      </c>
      <c r="AY6" s="141">
        <v>36</v>
      </c>
      <c r="AZ6" s="141">
        <v>99</v>
      </c>
      <c r="BA6" s="142">
        <v>33</v>
      </c>
    </row>
    <row r="7" spans="1:53" s="126" customFormat="1" ht="13.5" customHeight="1">
      <c r="A7" s="126" t="s">
        <v>49</v>
      </c>
      <c r="B7" s="126" t="s">
        <v>184</v>
      </c>
      <c r="C7" s="126">
        <v>2020</v>
      </c>
      <c r="D7" s="127" t="s">
        <v>415</v>
      </c>
      <c r="E7" s="126" t="s">
        <v>264</v>
      </c>
      <c r="F7" s="126" t="s">
        <v>416</v>
      </c>
      <c r="G7" s="126" t="s">
        <v>39</v>
      </c>
      <c r="H7" s="126" t="s">
        <v>59</v>
      </c>
      <c r="I7" s="126" t="s">
        <v>41</v>
      </c>
      <c r="J7" s="126" t="s">
        <v>121</v>
      </c>
      <c r="K7" s="126" t="s">
        <v>62</v>
      </c>
      <c r="L7" s="126">
        <v>3</v>
      </c>
      <c r="N7" s="126">
        <v>5</v>
      </c>
      <c r="O7" s="126">
        <v>0.75</v>
      </c>
      <c r="P7" s="126">
        <v>0.8</v>
      </c>
      <c r="Q7" s="137">
        <f t="shared" si="0"/>
        <v>0.77500000000000002</v>
      </c>
      <c r="R7" s="128">
        <v>12.2</v>
      </c>
      <c r="S7" s="126">
        <v>73</v>
      </c>
      <c r="T7" s="138">
        <f t="shared" si="1"/>
        <v>42</v>
      </c>
      <c r="U7" s="126">
        <v>397</v>
      </c>
      <c r="V7" s="138">
        <f t="shared" si="2"/>
        <v>3334.8</v>
      </c>
      <c r="W7" s="126">
        <v>3</v>
      </c>
      <c r="X7" s="126" t="s">
        <v>63</v>
      </c>
      <c r="Y7" s="126" t="s">
        <v>46</v>
      </c>
      <c r="Z7" s="126" t="s">
        <v>54</v>
      </c>
      <c r="AA7" s="126" t="s">
        <v>160</v>
      </c>
      <c r="AB7" s="128" t="s">
        <v>166</v>
      </c>
      <c r="AE7" s="34" t="s">
        <v>88</v>
      </c>
      <c r="AG7" s="131" t="s">
        <v>425</v>
      </c>
      <c r="AH7" s="131" t="s">
        <v>426</v>
      </c>
      <c r="AL7" s="146" t="s">
        <v>90</v>
      </c>
      <c r="AP7" s="139" t="s">
        <v>91</v>
      </c>
      <c r="AR7" s="139" t="s">
        <v>92</v>
      </c>
      <c r="AV7" s="139" t="s">
        <v>93</v>
      </c>
      <c r="AX7" s="140">
        <v>109</v>
      </c>
      <c r="AY7" s="141">
        <v>33</v>
      </c>
      <c r="AZ7" s="141">
        <v>113</v>
      </c>
      <c r="BA7" s="142">
        <v>30</v>
      </c>
    </row>
    <row r="8" spans="1:53" s="126" customFormat="1" ht="13.5" customHeight="1">
      <c r="A8" s="126" t="s">
        <v>49</v>
      </c>
      <c r="B8" s="126" t="s">
        <v>184</v>
      </c>
      <c r="C8" s="126">
        <v>2020</v>
      </c>
      <c r="D8" s="127" t="s">
        <v>415</v>
      </c>
      <c r="E8" s="126" t="s">
        <v>421</v>
      </c>
      <c r="F8" s="126" t="s">
        <v>422</v>
      </c>
      <c r="G8" s="126" t="s">
        <v>39</v>
      </c>
      <c r="H8" s="126" t="s">
        <v>40</v>
      </c>
      <c r="I8" s="126" t="s">
        <v>41</v>
      </c>
      <c r="J8" s="126" t="s">
        <v>42</v>
      </c>
      <c r="K8" s="126" t="s">
        <v>43</v>
      </c>
      <c r="L8" s="126">
        <v>1</v>
      </c>
      <c r="N8" s="126">
        <v>1</v>
      </c>
      <c r="O8" s="126">
        <v>1.75</v>
      </c>
      <c r="P8" s="126">
        <v>1.8</v>
      </c>
      <c r="Q8" s="137">
        <f t="shared" si="0"/>
        <v>1.7749999999999999</v>
      </c>
      <c r="R8" s="128">
        <v>11.4</v>
      </c>
      <c r="S8" s="126">
        <v>118</v>
      </c>
      <c r="T8" s="138">
        <f t="shared" si="1"/>
        <v>30</v>
      </c>
      <c r="U8" s="126">
        <v>98</v>
      </c>
      <c r="V8" s="138">
        <f t="shared" si="2"/>
        <v>2940</v>
      </c>
      <c r="W8" s="126">
        <v>1</v>
      </c>
      <c r="X8" s="126" t="s">
        <v>44</v>
      </c>
      <c r="Y8" s="126" t="s">
        <v>46</v>
      </c>
      <c r="Z8" s="126" t="s">
        <v>45</v>
      </c>
      <c r="AA8" s="126" t="s">
        <v>160</v>
      </c>
      <c r="AB8" s="128" t="s">
        <v>166</v>
      </c>
      <c r="AE8" s="34" t="s">
        <v>86</v>
      </c>
      <c r="AG8" s="131" t="s">
        <v>264</v>
      </c>
      <c r="AH8" s="131" t="s">
        <v>416</v>
      </c>
      <c r="AL8" s="146" t="s">
        <v>96</v>
      </c>
      <c r="AP8" s="139" t="s">
        <v>97</v>
      </c>
      <c r="AR8" s="139" t="s">
        <v>98</v>
      </c>
      <c r="AV8" s="139" t="s">
        <v>99</v>
      </c>
      <c r="AX8" s="140">
        <v>119</v>
      </c>
      <c r="AY8" s="141">
        <v>30</v>
      </c>
      <c r="AZ8" s="141">
        <v>121</v>
      </c>
      <c r="BA8" s="142">
        <v>27</v>
      </c>
    </row>
    <row r="9" spans="1:53" s="126" customFormat="1" ht="13.5" customHeight="1">
      <c r="A9" s="126" t="s">
        <v>49</v>
      </c>
      <c r="B9" s="126" t="s">
        <v>184</v>
      </c>
      <c r="C9" s="126">
        <v>2020</v>
      </c>
      <c r="D9" s="127" t="s">
        <v>415</v>
      </c>
      <c r="E9" s="126" t="s">
        <v>421</v>
      </c>
      <c r="F9" s="126" t="s">
        <v>422</v>
      </c>
      <c r="G9" s="126" t="s">
        <v>39</v>
      </c>
      <c r="H9" s="126" t="s">
        <v>40</v>
      </c>
      <c r="I9" s="126" t="s">
        <v>41</v>
      </c>
      <c r="J9" s="126" t="s">
        <v>42</v>
      </c>
      <c r="K9" s="126" t="s">
        <v>43</v>
      </c>
      <c r="L9" s="126">
        <v>2</v>
      </c>
      <c r="N9" s="126">
        <v>1</v>
      </c>
      <c r="O9" s="126">
        <v>1.8</v>
      </c>
      <c r="P9" s="126">
        <v>1.8</v>
      </c>
      <c r="Q9" s="137">
        <f t="shared" si="0"/>
        <v>1.8</v>
      </c>
      <c r="R9" s="126">
        <v>10.8</v>
      </c>
      <c r="S9" s="126">
        <v>118</v>
      </c>
      <c r="T9" s="138">
        <f t="shared" si="1"/>
        <v>30</v>
      </c>
      <c r="U9" s="126">
        <v>98</v>
      </c>
      <c r="V9" s="138">
        <f t="shared" si="2"/>
        <v>2940</v>
      </c>
      <c r="W9" s="126">
        <v>1</v>
      </c>
      <c r="X9" s="126" t="s">
        <v>44</v>
      </c>
      <c r="Y9" s="126" t="s">
        <v>46</v>
      </c>
      <c r="Z9" s="126" t="s">
        <v>45</v>
      </c>
      <c r="AA9" s="126" t="s">
        <v>160</v>
      </c>
      <c r="AB9" s="128" t="s">
        <v>166</v>
      </c>
      <c r="AE9" s="34" t="s">
        <v>100</v>
      </c>
      <c r="AG9" s="131" t="s">
        <v>186</v>
      </c>
      <c r="AH9" s="131" t="s">
        <v>427</v>
      </c>
      <c r="AL9" s="139" t="s">
        <v>102</v>
      </c>
      <c r="AP9" s="139" t="s">
        <v>103</v>
      </c>
      <c r="AR9" s="139" t="s">
        <v>104</v>
      </c>
      <c r="AV9" s="139" t="s">
        <v>105</v>
      </c>
      <c r="AX9" s="140">
        <v>128</v>
      </c>
      <c r="AY9" s="141">
        <v>27</v>
      </c>
      <c r="AZ9" s="141">
        <v>129</v>
      </c>
      <c r="BA9" s="142">
        <v>25</v>
      </c>
    </row>
    <row r="10" spans="1:53" s="126" customFormat="1" ht="13.5" customHeight="1">
      <c r="A10" s="126" t="s">
        <v>49</v>
      </c>
      <c r="B10" s="126" t="s">
        <v>184</v>
      </c>
      <c r="C10" s="126">
        <v>2020</v>
      </c>
      <c r="D10" s="127" t="s">
        <v>415</v>
      </c>
      <c r="E10" s="126" t="s">
        <v>421</v>
      </c>
      <c r="F10" s="126" t="s">
        <v>422</v>
      </c>
      <c r="G10" s="126" t="s">
        <v>39</v>
      </c>
      <c r="H10" s="126" t="s">
        <v>40</v>
      </c>
      <c r="I10" s="126" t="s">
        <v>41</v>
      </c>
      <c r="J10" s="126" t="s">
        <v>42</v>
      </c>
      <c r="K10" s="126" t="s">
        <v>43</v>
      </c>
      <c r="L10" s="126">
        <v>3</v>
      </c>
      <c r="N10" s="126">
        <v>1</v>
      </c>
      <c r="O10" s="126">
        <v>0.8</v>
      </c>
      <c r="P10" s="126">
        <v>0.9</v>
      </c>
      <c r="Q10" s="137">
        <f t="shared" si="0"/>
        <v>0.85000000000000009</v>
      </c>
      <c r="R10" s="126">
        <v>11.5</v>
      </c>
      <c r="S10" s="126">
        <v>119</v>
      </c>
      <c r="T10" s="138">
        <f t="shared" si="1"/>
        <v>30</v>
      </c>
      <c r="U10" s="126">
        <v>98</v>
      </c>
      <c r="V10" s="138">
        <f t="shared" si="2"/>
        <v>2940</v>
      </c>
      <c r="W10" s="126">
        <v>1</v>
      </c>
      <c r="X10" s="126" t="s">
        <v>44</v>
      </c>
      <c r="Y10" s="126" t="s">
        <v>46</v>
      </c>
      <c r="Z10" s="126" t="s">
        <v>45</v>
      </c>
      <c r="AA10" s="126" t="s">
        <v>160</v>
      </c>
      <c r="AB10" s="128" t="s">
        <v>166</v>
      </c>
      <c r="AE10" s="34" t="s">
        <v>106</v>
      </c>
      <c r="AG10" s="131" t="s">
        <v>428</v>
      </c>
      <c r="AH10" s="131" t="s">
        <v>429</v>
      </c>
      <c r="AP10" s="139" t="s">
        <v>109</v>
      </c>
      <c r="AR10" s="139" t="s">
        <v>110</v>
      </c>
      <c r="AV10" s="139" t="s">
        <v>111</v>
      </c>
      <c r="AX10" s="140">
        <v>138</v>
      </c>
      <c r="AY10" s="141">
        <v>25</v>
      </c>
      <c r="AZ10" s="141">
        <v>138</v>
      </c>
      <c r="BA10" s="142">
        <v>22</v>
      </c>
    </row>
    <row r="11" spans="1:53" s="126" customFormat="1" ht="13.5" customHeight="1">
      <c r="A11" s="126" t="s">
        <v>49</v>
      </c>
      <c r="B11" s="126" t="s">
        <v>184</v>
      </c>
      <c r="C11" s="126">
        <v>2020</v>
      </c>
      <c r="D11" s="127" t="s">
        <v>415</v>
      </c>
      <c r="E11" s="126" t="s">
        <v>421</v>
      </c>
      <c r="F11" s="126" t="s">
        <v>422</v>
      </c>
      <c r="G11" s="126" t="s">
        <v>39</v>
      </c>
      <c r="H11" s="126" t="s">
        <v>156</v>
      </c>
      <c r="I11" s="126" t="s">
        <v>41</v>
      </c>
      <c r="J11" s="126" t="s">
        <v>42</v>
      </c>
      <c r="K11" s="126" t="s">
        <v>78</v>
      </c>
      <c r="L11" s="126">
        <v>1</v>
      </c>
      <c r="N11" s="126">
        <v>4</v>
      </c>
      <c r="O11" s="126">
        <v>1.25</v>
      </c>
      <c r="P11" s="126">
        <v>1.3</v>
      </c>
      <c r="Q11" s="137">
        <f t="shared" si="0"/>
        <v>1.2749999999999999</v>
      </c>
      <c r="R11" s="126">
        <v>11</v>
      </c>
      <c r="S11" s="126">
        <v>91</v>
      </c>
      <c r="T11" s="138">
        <f t="shared" si="1"/>
        <v>39</v>
      </c>
      <c r="U11" s="126">
        <v>495</v>
      </c>
      <c r="V11" s="138">
        <f t="shared" si="2"/>
        <v>4826.25</v>
      </c>
      <c r="W11" s="126">
        <v>1</v>
      </c>
      <c r="X11" s="126" t="s">
        <v>44</v>
      </c>
      <c r="Y11" s="126" t="s">
        <v>46</v>
      </c>
      <c r="Z11" s="126" t="s">
        <v>45</v>
      </c>
      <c r="AA11" s="126" t="s">
        <v>160</v>
      </c>
      <c r="AB11" s="128" t="s">
        <v>166</v>
      </c>
      <c r="AE11" s="34" t="s">
        <v>272</v>
      </c>
      <c r="AG11" s="131" t="s">
        <v>430</v>
      </c>
      <c r="AH11" s="131" t="s">
        <v>424</v>
      </c>
      <c r="AP11" s="139" t="s">
        <v>216</v>
      </c>
      <c r="AR11" s="139" t="s">
        <v>128</v>
      </c>
      <c r="AV11" s="139" t="s">
        <v>160</v>
      </c>
      <c r="AX11" s="140">
        <v>151</v>
      </c>
      <c r="AY11" s="141">
        <v>22</v>
      </c>
      <c r="AZ11" s="141">
        <v>152</v>
      </c>
      <c r="BA11" s="142">
        <v>18</v>
      </c>
    </row>
    <row r="12" spans="1:53" s="126" customFormat="1" ht="13.5" customHeight="1">
      <c r="A12" s="126" t="s">
        <v>49</v>
      </c>
      <c r="B12" s="126" t="s">
        <v>184</v>
      </c>
      <c r="C12" s="126">
        <v>2020</v>
      </c>
      <c r="D12" s="127" t="s">
        <v>415</v>
      </c>
      <c r="E12" s="126" t="s">
        <v>421</v>
      </c>
      <c r="F12" s="126" t="s">
        <v>422</v>
      </c>
      <c r="G12" s="126" t="s">
        <v>39</v>
      </c>
      <c r="H12" s="126" t="s">
        <v>156</v>
      </c>
      <c r="I12" s="126" t="s">
        <v>41</v>
      </c>
      <c r="J12" s="126" t="s">
        <v>42</v>
      </c>
      <c r="K12" s="126" t="s">
        <v>78</v>
      </c>
      <c r="L12" s="126">
        <v>2</v>
      </c>
      <c r="N12" s="126">
        <v>4</v>
      </c>
      <c r="O12" s="126">
        <v>0.9</v>
      </c>
      <c r="P12" s="126">
        <v>1</v>
      </c>
      <c r="Q12" s="137">
        <f t="shared" si="0"/>
        <v>0.95</v>
      </c>
      <c r="R12" s="128">
        <v>11.7</v>
      </c>
      <c r="S12" s="126">
        <v>91</v>
      </c>
      <c r="T12" s="138">
        <f t="shared" si="1"/>
        <v>39</v>
      </c>
      <c r="U12" s="126">
        <v>495</v>
      </c>
      <c r="V12" s="138">
        <f t="shared" si="2"/>
        <v>4826.25</v>
      </c>
      <c r="W12" s="126">
        <v>1</v>
      </c>
      <c r="X12" s="126" t="s">
        <v>44</v>
      </c>
      <c r="Y12" s="126" t="s">
        <v>46</v>
      </c>
      <c r="Z12" s="126" t="s">
        <v>45</v>
      </c>
      <c r="AA12" s="126" t="s">
        <v>160</v>
      </c>
      <c r="AB12" s="128" t="s">
        <v>166</v>
      </c>
      <c r="AE12" s="34" t="s">
        <v>275</v>
      </c>
      <c r="AG12" s="147"/>
      <c r="AH12" s="147"/>
      <c r="AP12" s="139" t="s">
        <v>219</v>
      </c>
      <c r="AR12" s="139" t="s">
        <v>276</v>
      </c>
      <c r="AV12" s="139" t="s">
        <v>221</v>
      </c>
      <c r="AX12" s="148">
        <v>180</v>
      </c>
      <c r="AY12" s="149">
        <v>18</v>
      </c>
      <c r="AZ12" s="149">
        <v>181</v>
      </c>
      <c r="BA12" s="150">
        <v>16</v>
      </c>
    </row>
    <row r="13" spans="1:53" s="126" customFormat="1" ht="13.5" customHeight="1">
      <c r="A13" s="126" t="s">
        <v>49</v>
      </c>
      <c r="B13" s="126" t="s">
        <v>184</v>
      </c>
      <c r="C13" s="126">
        <v>2020</v>
      </c>
      <c r="D13" s="127" t="s">
        <v>415</v>
      </c>
      <c r="E13" s="126" t="s">
        <v>421</v>
      </c>
      <c r="F13" s="126" t="s">
        <v>422</v>
      </c>
      <c r="G13" s="126" t="s">
        <v>39</v>
      </c>
      <c r="H13" s="126" t="s">
        <v>156</v>
      </c>
      <c r="I13" s="126" t="s">
        <v>41</v>
      </c>
      <c r="J13" s="126" t="s">
        <v>42</v>
      </c>
      <c r="K13" s="126" t="s">
        <v>78</v>
      </c>
      <c r="L13" s="126">
        <v>3</v>
      </c>
      <c r="N13" s="126">
        <v>4</v>
      </c>
      <c r="O13" s="126">
        <v>0.8</v>
      </c>
      <c r="P13" s="126">
        <v>1</v>
      </c>
      <c r="Q13" s="137">
        <f t="shared" si="0"/>
        <v>0.9</v>
      </c>
      <c r="R13" s="126">
        <v>11.6</v>
      </c>
      <c r="S13" s="126">
        <v>77</v>
      </c>
      <c r="T13" s="138">
        <f t="shared" si="1"/>
        <v>42</v>
      </c>
      <c r="U13" s="126">
        <v>495</v>
      </c>
      <c r="V13" s="138">
        <f t="shared" si="2"/>
        <v>5197.5</v>
      </c>
      <c r="W13" s="126">
        <v>1</v>
      </c>
      <c r="X13" s="126" t="s">
        <v>44</v>
      </c>
      <c r="Y13" s="126" t="s">
        <v>46</v>
      </c>
      <c r="Z13" s="126" t="s">
        <v>45</v>
      </c>
      <c r="AA13" s="126" t="s">
        <v>160</v>
      </c>
      <c r="AB13" s="128" t="s">
        <v>166</v>
      </c>
      <c r="AE13" s="34" t="s">
        <v>277</v>
      </c>
      <c r="AG13" s="139"/>
      <c r="AH13" s="139"/>
      <c r="AP13" s="139" t="s">
        <v>223</v>
      </c>
      <c r="AR13" s="139" t="s">
        <v>106</v>
      </c>
      <c r="AV13" s="139" t="s">
        <v>224</v>
      </c>
    </row>
    <row r="14" spans="1:53" s="126" customFormat="1" ht="13.5" customHeight="1">
      <c r="A14" s="126" t="s">
        <v>49</v>
      </c>
      <c r="B14" s="126" t="s">
        <v>184</v>
      </c>
      <c r="C14" s="126">
        <v>2020</v>
      </c>
      <c r="D14" s="127" t="s">
        <v>415</v>
      </c>
      <c r="E14" s="126" t="s">
        <v>417</v>
      </c>
      <c r="F14" s="126" t="s">
        <v>418</v>
      </c>
      <c r="G14" s="126" t="s">
        <v>39</v>
      </c>
      <c r="H14" s="126" t="s">
        <v>40</v>
      </c>
      <c r="I14" s="126" t="s">
        <v>41</v>
      </c>
      <c r="J14" s="126" t="s">
        <v>42</v>
      </c>
      <c r="K14" s="126" t="s">
        <v>43</v>
      </c>
      <c r="L14" s="126">
        <v>1</v>
      </c>
      <c r="N14" s="126">
        <v>1</v>
      </c>
      <c r="O14" s="126">
        <v>0.7</v>
      </c>
      <c r="P14" s="126">
        <v>0.8</v>
      </c>
      <c r="Q14" s="137">
        <f t="shared" si="0"/>
        <v>0.75</v>
      </c>
      <c r="R14" s="126">
        <v>11.6</v>
      </c>
      <c r="S14" s="126">
        <v>126</v>
      </c>
      <c r="T14" s="138">
        <f t="shared" si="1"/>
        <v>27</v>
      </c>
      <c r="U14" s="126">
        <v>55</v>
      </c>
      <c r="V14" s="138">
        <f t="shared" si="2"/>
        <v>1485</v>
      </c>
      <c r="W14" s="126">
        <v>4</v>
      </c>
      <c r="X14" s="126" t="s">
        <v>63</v>
      </c>
      <c r="Y14" s="126" t="s">
        <v>46</v>
      </c>
      <c r="Z14" s="126" t="s">
        <v>45</v>
      </c>
      <c r="AA14" s="126" t="s">
        <v>115</v>
      </c>
      <c r="AB14" s="128" t="s">
        <v>166</v>
      </c>
      <c r="AE14" s="34" t="s">
        <v>112</v>
      </c>
      <c r="AG14" s="139"/>
      <c r="AH14" s="139"/>
      <c r="AP14" s="139" t="s">
        <v>113</v>
      </c>
      <c r="AR14" s="139" t="s">
        <v>114</v>
      </c>
      <c r="AV14" s="139" t="s">
        <v>115</v>
      </c>
    </row>
    <row r="15" spans="1:53" s="126" customFormat="1" ht="13.5" customHeight="1">
      <c r="A15" s="126" t="s">
        <v>49</v>
      </c>
      <c r="B15" s="126" t="s">
        <v>184</v>
      </c>
      <c r="C15" s="126">
        <v>2020</v>
      </c>
      <c r="D15" s="127" t="s">
        <v>415</v>
      </c>
      <c r="E15" s="126" t="s">
        <v>417</v>
      </c>
      <c r="F15" s="126" t="s">
        <v>418</v>
      </c>
      <c r="G15" s="126" t="s">
        <v>39</v>
      </c>
      <c r="H15" s="126" t="s">
        <v>40</v>
      </c>
      <c r="I15" s="126" t="s">
        <v>41</v>
      </c>
      <c r="J15" s="126" t="s">
        <v>42</v>
      </c>
      <c r="K15" s="126" t="s">
        <v>43</v>
      </c>
      <c r="L15" s="126">
        <v>2</v>
      </c>
      <c r="N15" s="126">
        <v>1</v>
      </c>
      <c r="O15" s="126">
        <v>1.3</v>
      </c>
      <c r="P15" s="126">
        <v>1.4</v>
      </c>
      <c r="Q15" s="137">
        <f t="shared" si="0"/>
        <v>1.35</v>
      </c>
      <c r="R15" s="126">
        <v>12.6</v>
      </c>
      <c r="S15" s="126">
        <v>122</v>
      </c>
      <c r="T15" s="138">
        <f t="shared" si="1"/>
        <v>27</v>
      </c>
      <c r="U15" s="126">
        <v>55</v>
      </c>
      <c r="V15" s="138">
        <f t="shared" si="2"/>
        <v>1485</v>
      </c>
      <c r="W15" s="126">
        <v>4</v>
      </c>
      <c r="X15" s="126" t="s">
        <v>63</v>
      </c>
      <c r="Y15" s="126" t="s">
        <v>46</v>
      </c>
      <c r="Z15" s="126" t="s">
        <v>45</v>
      </c>
      <c r="AA15" s="126" t="s">
        <v>115</v>
      </c>
      <c r="AB15" s="128" t="s">
        <v>166</v>
      </c>
      <c r="AE15" s="34" t="s">
        <v>116</v>
      </c>
      <c r="AG15" s="139"/>
      <c r="AH15" s="139"/>
      <c r="AP15" s="139" t="s">
        <v>117</v>
      </c>
      <c r="AR15" s="139" t="s">
        <v>118</v>
      </c>
      <c r="AV15" s="139" t="s">
        <v>119</v>
      </c>
    </row>
    <row r="16" spans="1:53" s="126" customFormat="1" ht="13.5" customHeight="1">
      <c r="A16" s="126" t="s">
        <v>49</v>
      </c>
      <c r="B16" s="126" t="s">
        <v>184</v>
      </c>
      <c r="C16" s="126">
        <v>2020</v>
      </c>
      <c r="D16" s="127" t="s">
        <v>415</v>
      </c>
      <c r="E16" s="126" t="s">
        <v>417</v>
      </c>
      <c r="F16" s="126" t="s">
        <v>418</v>
      </c>
      <c r="G16" s="126" t="s">
        <v>39</v>
      </c>
      <c r="H16" s="126" t="s">
        <v>40</v>
      </c>
      <c r="I16" s="126" t="s">
        <v>41</v>
      </c>
      <c r="J16" s="126" t="s">
        <v>42</v>
      </c>
      <c r="K16" s="126" t="s">
        <v>43</v>
      </c>
      <c r="L16" s="126">
        <v>3</v>
      </c>
      <c r="N16" s="126">
        <v>1</v>
      </c>
      <c r="O16" s="126">
        <v>1</v>
      </c>
      <c r="P16" s="126">
        <v>1.1000000000000001</v>
      </c>
      <c r="Q16" s="137">
        <f t="shared" si="0"/>
        <v>1.05</v>
      </c>
      <c r="R16" s="126">
        <v>11.5</v>
      </c>
      <c r="S16" s="126">
        <v>121</v>
      </c>
      <c r="T16" s="138">
        <f t="shared" si="1"/>
        <v>27</v>
      </c>
      <c r="U16" s="126">
        <v>55</v>
      </c>
      <c r="V16" s="138">
        <f t="shared" si="2"/>
        <v>1485</v>
      </c>
      <c r="W16" s="126">
        <v>4</v>
      </c>
      <c r="X16" s="126" t="s">
        <v>63</v>
      </c>
      <c r="Y16" s="126" t="s">
        <v>46</v>
      </c>
      <c r="Z16" s="126" t="s">
        <v>45</v>
      </c>
      <c r="AA16" s="126" t="s">
        <v>115</v>
      </c>
      <c r="AB16" s="128" t="s">
        <v>166</v>
      </c>
      <c r="AE16" s="34" t="s">
        <v>120</v>
      </c>
      <c r="AG16" s="144"/>
      <c r="AH16" s="144"/>
      <c r="AP16" s="139" t="s">
        <v>121</v>
      </c>
      <c r="AR16" s="139" t="s">
        <v>122</v>
      </c>
      <c r="AV16" s="139" t="s">
        <v>46</v>
      </c>
    </row>
    <row r="17" spans="1:48" s="126" customFormat="1" ht="13.5" customHeight="1">
      <c r="A17" s="126" t="s">
        <v>49</v>
      </c>
      <c r="B17" s="126" t="s">
        <v>184</v>
      </c>
      <c r="C17" s="126">
        <v>2020</v>
      </c>
      <c r="D17" s="127" t="s">
        <v>415</v>
      </c>
      <c r="E17" s="126" t="s">
        <v>186</v>
      </c>
      <c r="F17" s="126" t="s">
        <v>427</v>
      </c>
      <c r="G17" s="126" t="s">
        <v>39</v>
      </c>
      <c r="H17" s="126" t="s">
        <v>40</v>
      </c>
      <c r="I17" s="126" t="s">
        <v>41</v>
      </c>
      <c r="J17" s="126" t="s">
        <v>42</v>
      </c>
      <c r="K17" s="126" t="s">
        <v>43</v>
      </c>
      <c r="L17" s="126">
        <v>1</v>
      </c>
      <c r="N17" s="126">
        <v>1</v>
      </c>
      <c r="O17" s="126">
        <v>0.8</v>
      </c>
      <c r="P17" s="126">
        <v>0.8</v>
      </c>
      <c r="Q17" s="137">
        <f t="shared" si="0"/>
        <v>0.8</v>
      </c>
      <c r="R17" s="126">
        <v>16.899999999999999</v>
      </c>
      <c r="S17" s="126">
        <v>118</v>
      </c>
      <c r="T17" s="138">
        <f t="shared" si="1"/>
        <v>30</v>
      </c>
      <c r="U17" s="126">
        <v>98</v>
      </c>
      <c r="V17" s="138">
        <f t="shared" si="2"/>
        <v>2940</v>
      </c>
      <c r="W17" s="126">
        <v>4</v>
      </c>
      <c r="X17" s="126" t="s">
        <v>63</v>
      </c>
      <c r="Y17" s="126" t="s">
        <v>46</v>
      </c>
      <c r="Z17" s="126" t="s">
        <v>54</v>
      </c>
      <c r="AA17" s="126" t="s">
        <v>115</v>
      </c>
      <c r="AB17" s="128" t="s">
        <v>166</v>
      </c>
      <c r="AE17" s="34" t="s">
        <v>124</v>
      </c>
      <c r="AP17" s="143" t="s">
        <v>125</v>
      </c>
      <c r="AR17" s="139" t="s">
        <v>126</v>
      </c>
      <c r="AV17" s="139" t="s">
        <v>127</v>
      </c>
    </row>
    <row r="18" spans="1:48" s="126" customFormat="1" ht="13.5" customHeight="1">
      <c r="A18" s="126" t="s">
        <v>49</v>
      </c>
      <c r="B18" s="126" t="s">
        <v>184</v>
      </c>
      <c r="C18" s="126">
        <v>2020</v>
      </c>
      <c r="D18" s="127" t="s">
        <v>415</v>
      </c>
      <c r="E18" s="126" t="s">
        <v>186</v>
      </c>
      <c r="F18" s="126" t="s">
        <v>427</v>
      </c>
      <c r="G18" s="126" t="s">
        <v>39</v>
      </c>
      <c r="H18" s="126" t="s">
        <v>40</v>
      </c>
      <c r="I18" s="126" t="s">
        <v>41</v>
      </c>
      <c r="J18" s="126" t="s">
        <v>42</v>
      </c>
      <c r="K18" s="126" t="s">
        <v>43</v>
      </c>
      <c r="L18" s="126">
        <v>2</v>
      </c>
      <c r="N18" s="126">
        <v>1</v>
      </c>
      <c r="O18" s="126">
        <v>0.8</v>
      </c>
      <c r="P18" s="126">
        <v>0.95</v>
      </c>
      <c r="Q18" s="137">
        <f t="shared" si="0"/>
        <v>0.875</v>
      </c>
      <c r="R18" s="126">
        <v>13.5</v>
      </c>
      <c r="S18" s="126">
        <v>116</v>
      </c>
      <c r="T18" s="138">
        <f t="shared" si="1"/>
        <v>30</v>
      </c>
      <c r="U18" s="126">
        <v>98</v>
      </c>
      <c r="V18" s="138">
        <f t="shared" si="2"/>
        <v>2940</v>
      </c>
      <c r="W18" s="126">
        <v>4</v>
      </c>
      <c r="X18" s="126" t="s">
        <v>63</v>
      </c>
      <c r="Y18" s="126" t="s">
        <v>46</v>
      </c>
      <c r="Z18" s="126" t="s">
        <v>54</v>
      </c>
      <c r="AA18" s="126" t="s">
        <v>115</v>
      </c>
      <c r="AB18" s="128" t="s">
        <v>166</v>
      </c>
      <c r="AE18" s="34" t="s">
        <v>128</v>
      </c>
      <c r="AP18" s="143" t="s">
        <v>129</v>
      </c>
      <c r="AR18" s="139" t="s">
        <v>130</v>
      </c>
      <c r="AV18" s="139" t="s">
        <v>131</v>
      </c>
    </row>
    <row r="19" spans="1:48" s="126" customFormat="1" ht="13.5" customHeight="1">
      <c r="A19" s="126" t="s">
        <v>49</v>
      </c>
      <c r="B19" s="126" t="s">
        <v>184</v>
      </c>
      <c r="C19" s="126">
        <v>2020</v>
      </c>
      <c r="D19" s="127" t="s">
        <v>415</v>
      </c>
      <c r="E19" s="126" t="s">
        <v>186</v>
      </c>
      <c r="F19" s="126" t="s">
        <v>427</v>
      </c>
      <c r="G19" s="126" t="s">
        <v>39</v>
      </c>
      <c r="H19" s="126" t="s">
        <v>40</v>
      </c>
      <c r="I19" s="126" t="s">
        <v>41</v>
      </c>
      <c r="J19" s="126" t="s">
        <v>42</v>
      </c>
      <c r="K19" s="126" t="s">
        <v>43</v>
      </c>
      <c r="L19" s="126">
        <v>3</v>
      </c>
      <c r="N19" s="126">
        <v>1</v>
      </c>
      <c r="O19" s="126">
        <v>1.25</v>
      </c>
      <c r="P19" s="126">
        <v>1.3</v>
      </c>
      <c r="Q19" s="137">
        <f t="shared" si="0"/>
        <v>1.2749999999999999</v>
      </c>
      <c r="R19" s="126">
        <v>15.5</v>
      </c>
      <c r="S19" s="126">
        <v>115</v>
      </c>
      <c r="T19" s="138">
        <f t="shared" si="1"/>
        <v>30</v>
      </c>
      <c r="U19" s="126">
        <v>98</v>
      </c>
      <c r="V19" s="138">
        <f t="shared" si="2"/>
        <v>2940</v>
      </c>
      <c r="W19" s="126">
        <v>4</v>
      </c>
      <c r="X19" s="126" t="s">
        <v>63</v>
      </c>
      <c r="Y19" s="126" t="s">
        <v>46</v>
      </c>
      <c r="Z19" s="126" t="s">
        <v>54</v>
      </c>
      <c r="AA19" s="126" t="s">
        <v>115</v>
      </c>
      <c r="AB19" s="128" t="s">
        <v>166</v>
      </c>
      <c r="AE19" s="35" t="s">
        <v>104</v>
      </c>
      <c r="AP19" s="143" t="s">
        <v>132</v>
      </c>
      <c r="AR19" s="139" t="s">
        <v>133</v>
      </c>
      <c r="AV19" s="139" t="s">
        <v>45</v>
      </c>
    </row>
    <row r="20" spans="1:48" s="126" customFormat="1" ht="13.5" customHeight="1">
      <c r="A20" s="126" t="s">
        <v>49</v>
      </c>
      <c r="B20" s="126" t="s">
        <v>184</v>
      </c>
      <c r="C20" s="126">
        <v>2020</v>
      </c>
      <c r="D20" s="127" t="s">
        <v>415</v>
      </c>
      <c r="E20" s="126" t="s">
        <v>186</v>
      </c>
      <c r="F20" s="126" t="s">
        <v>427</v>
      </c>
      <c r="G20" s="126" t="s">
        <v>39</v>
      </c>
      <c r="H20" s="126" t="s">
        <v>40</v>
      </c>
      <c r="I20" s="126" t="s">
        <v>41</v>
      </c>
      <c r="J20" s="126" t="s">
        <v>42</v>
      </c>
      <c r="K20" s="126" t="s">
        <v>43</v>
      </c>
      <c r="L20" s="126">
        <v>1</v>
      </c>
      <c r="N20" s="126">
        <v>8</v>
      </c>
      <c r="O20" s="126">
        <v>1.5</v>
      </c>
      <c r="P20" s="128">
        <v>1.65</v>
      </c>
      <c r="Q20" s="137">
        <f t="shared" si="0"/>
        <v>1.575</v>
      </c>
      <c r="R20" s="126">
        <v>10.9</v>
      </c>
      <c r="S20" s="126">
        <v>93</v>
      </c>
      <c r="T20" s="138">
        <f t="shared" si="1"/>
        <v>36</v>
      </c>
      <c r="U20" s="126">
        <v>498</v>
      </c>
      <c r="V20" s="138">
        <f t="shared" si="2"/>
        <v>2241</v>
      </c>
      <c r="W20" s="126">
        <v>2</v>
      </c>
      <c r="X20" s="126" t="s">
        <v>63</v>
      </c>
      <c r="Y20" s="126" t="s">
        <v>46</v>
      </c>
      <c r="Z20" s="126" t="s">
        <v>54</v>
      </c>
      <c r="AA20" s="126" t="s">
        <v>115</v>
      </c>
      <c r="AB20" s="128" t="s">
        <v>166</v>
      </c>
      <c r="AE20" s="34"/>
      <c r="AP20" s="143" t="s">
        <v>135</v>
      </c>
      <c r="AR20" s="139" t="s">
        <v>136</v>
      </c>
      <c r="AV20" s="143" t="s">
        <v>137</v>
      </c>
    </row>
    <row r="21" spans="1:48" s="126" customFormat="1" ht="13.5" customHeight="1">
      <c r="A21" s="126" t="s">
        <v>49</v>
      </c>
      <c r="B21" s="126" t="s">
        <v>184</v>
      </c>
      <c r="C21" s="126">
        <v>2020</v>
      </c>
      <c r="D21" s="127" t="s">
        <v>415</v>
      </c>
      <c r="E21" s="126" t="s">
        <v>186</v>
      </c>
      <c r="F21" s="126" t="s">
        <v>427</v>
      </c>
      <c r="G21" s="126" t="s">
        <v>39</v>
      </c>
      <c r="H21" s="126" t="s">
        <v>40</v>
      </c>
      <c r="I21" s="126" t="s">
        <v>41</v>
      </c>
      <c r="J21" s="126" t="s">
        <v>42</v>
      </c>
      <c r="K21" s="126" t="s">
        <v>43</v>
      </c>
      <c r="L21" s="126">
        <v>2</v>
      </c>
      <c r="N21" s="126">
        <v>8</v>
      </c>
      <c r="O21" s="126">
        <v>1.25</v>
      </c>
      <c r="P21" s="126">
        <v>1.4</v>
      </c>
      <c r="Q21" s="137">
        <f t="shared" si="0"/>
        <v>1.325</v>
      </c>
      <c r="R21" s="126">
        <v>11.9</v>
      </c>
      <c r="S21" s="126">
        <v>84</v>
      </c>
      <c r="T21" s="138">
        <f t="shared" si="1"/>
        <v>36</v>
      </c>
      <c r="U21" s="126">
        <v>498</v>
      </c>
      <c r="V21" s="138">
        <f t="shared" si="2"/>
        <v>2241</v>
      </c>
      <c r="W21" s="126">
        <v>2</v>
      </c>
      <c r="X21" s="126" t="s">
        <v>63</v>
      </c>
      <c r="Y21" s="126" t="s">
        <v>46</v>
      </c>
      <c r="Z21" s="126" t="s">
        <v>54</v>
      </c>
      <c r="AA21" s="126" t="s">
        <v>115</v>
      </c>
      <c r="AB21" s="128" t="s">
        <v>166</v>
      </c>
      <c r="AE21" s="34"/>
      <c r="AP21" s="143" t="s">
        <v>138</v>
      </c>
      <c r="AR21" s="139" t="s">
        <v>139</v>
      </c>
      <c r="AV21" s="143" t="s">
        <v>140</v>
      </c>
    </row>
    <row r="22" spans="1:48" s="126" customFormat="1" ht="13.5" customHeight="1">
      <c r="A22" s="126" t="s">
        <v>49</v>
      </c>
      <c r="B22" s="126" t="s">
        <v>184</v>
      </c>
      <c r="C22" s="126">
        <v>2020</v>
      </c>
      <c r="D22" s="127" t="s">
        <v>415</v>
      </c>
      <c r="E22" s="126" t="s">
        <v>186</v>
      </c>
      <c r="F22" s="126" t="s">
        <v>427</v>
      </c>
      <c r="G22" s="126" t="s">
        <v>39</v>
      </c>
      <c r="H22" s="126" t="s">
        <v>40</v>
      </c>
      <c r="I22" s="126" t="s">
        <v>41</v>
      </c>
      <c r="J22" s="126" t="s">
        <v>42</v>
      </c>
      <c r="K22" s="126" t="s">
        <v>43</v>
      </c>
      <c r="L22" s="126">
        <v>3</v>
      </c>
      <c r="N22" s="126">
        <v>8</v>
      </c>
      <c r="O22" s="128">
        <v>1.5</v>
      </c>
      <c r="P22" s="126">
        <v>1.6</v>
      </c>
      <c r="Q22" s="137">
        <f t="shared" si="0"/>
        <v>1.55</v>
      </c>
      <c r="R22" s="126">
        <v>11.3</v>
      </c>
      <c r="S22" s="126">
        <v>84</v>
      </c>
      <c r="T22" s="138">
        <f t="shared" si="1"/>
        <v>36</v>
      </c>
      <c r="U22" s="126">
        <v>498</v>
      </c>
      <c r="V22" s="138">
        <f t="shared" si="2"/>
        <v>2241</v>
      </c>
      <c r="W22" s="126">
        <v>2</v>
      </c>
      <c r="X22" s="126" t="s">
        <v>63</v>
      </c>
      <c r="Y22" s="126" t="s">
        <v>46</v>
      </c>
      <c r="Z22" s="126" t="s">
        <v>54</v>
      </c>
      <c r="AA22" s="126" t="s">
        <v>115</v>
      </c>
      <c r="AB22" s="128" t="s">
        <v>166</v>
      </c>
      <c r="AE22" s="35"/>
      <c r="AP22" s="143" t="s">
        <v>141</v>
      </c>
      <c r="AR22" s="139" t="s">
        <v>142</v>
      </c>
      <c r="AV22" s="143"/>
    </row>
    <row r="23" spans="1:48" s="126" customFormat="1" ht="13.5" customHeight="1">
      <c r="A23" s="126" t="s">
        <v>49</v>
      </c>
      <c r="B23" s="126" t="s">
        <v>184</v>
      </c>
      <c r="C23" s="126">
        <v>2020</v>
      </c>
      <c r="D23" s="127" t="s">
        <v>415</v>
      </c>
      <c r="E23" s="126" t="s">
        <v>186</v>
      </c>
      <c r="F23" s="126" t="s">
        <v>427</v>
      </c>
      <c r="G23" s="126" t="s">
        <v>39</v>
      </c>
      <c r="H23" s="126" t="s">
        <v>51</v>
      </c>
      <c r="I23" s="126" t="s">
        <v>41</v>
      </c>
      <c r="J23" s="126" t="s">
        <v>129</v>
      </c>
      <c r="K23" s="126" t="s">
        <v>133</v>
      </c>
      <c r="L23" s="126">
        <v>1</v>
      </c>
      <c r="N23" s="126">
        <v>1</v>
      </c>
      <c r="O23" s="128">
        <v>1.75</v>
      </c>
      <c r="P23" s="126">
        <v>1.8</v>
      </c>
      <c r="Q23" s="137">
        <f t="shared" si="0"/>
        <v>1.7749999999999999</v>
      </c>
      <c r="R23" s="126">
        <v>11.3</v>
      </c>
      <c r="S23" s="126">
        <v>128</v>
      </c>
      <c r="T23" s="138">
        <f t="shared" si="1"/>
        <v>27</v>
      </c>
      <c r="U23" s="126">
        <v>98</v>
      </c>
      <c r="V23" s="138">
        <f t="shared" si="2"/>
        <v>2646</v>
      </c>
      <c r="W23" s="126">
        <v>2</v>
      </c>
      <c r="X23" s="126" t="s">
        <v>63</v>
      </c>
      <c r="Y23" s="126" t="s">
        <v>46</v>
      </c>
      <c r="Z23" s="126" t="s">
        <v>54</v>
      </c>
      <c r="AA23" s="126" t="s">
        <v>115</v>
      </c>
      <c r="AB23" s="128" t="s">
        <v>166</v>
      </c>
      <c r="AE23" s="34"/>
      <c r="AP23" s="143" t="s">
        <v>325</v>
      </c>
      <c r="AR23" s="139" t="s">
        <v>88</v>
      </c>
      <c r="AV23" s="143"/>
    </row>
    <row r="24" spans="1:48" s="126" customFormat="1" ht="13.5" customHeight="1">
      <c r="A24" s="126" t="s">
        <v>49</v>
      </c>
      <c r="B24" s="126" t="s">
        <v>184</v>
      </c>
      <c r="C24" s="126">
        <v>2020</v>
      </c>
      <c r="D24" s="127" t="s">
        <v>415</v>
      </c>
      <c r="E24" s="126" t="s">
        <v>186</v>
      </c>
      <c r="F24" s="126" t="s">
        <v>427</v>
      </c>
      <c r="G24" s="126" t="s">
        <v>39</v>
      </c>
      <c r="H24" s="126" t="s">
        <v>51</v>
      </c>
      <c r="I24" s="126" t="s">
        <v>41</v>
      </c>
      <c r="J24" s="126" t="s">
        <v>129</v>
      </c>
      <c r="K24" s="126" t="s">
        <v>133</v>
      </c>
      <c r="L24" s="126">
        <v>2</v>
      </c>
      <c r="N24" s="126">
        <v>1</v>
      </c>
      <c r="O24" s="126">
        <v>1.75</v>
      </c>
      <c r="P24" s="126">
        <v>1.8</v>
      </c>
      <c r="Q24" s="137">
        <f t="shared" si="0"/>
        <v>1.7749999999999999</v>
      </c>
      <c r="R24" s="126">
        <v>10.6</v>
      </c>
      <c r="S24" s="126">
        <v>128</v>
      </c>
      <c r="T24" s="138">
        <f t="shared" si="1"/>
        <v>27</v>
      </c>
      <c r="U24" s="126">
        <v>98</v>
      </c>
      <c r="V24" s="138">
        <f t="shared" si="2"/>
        <v>2646</v>
      </c>
      <c r="W24" s="126">
        <v>2</v>
      </c>
      <c r="X24" s="126" t="s">
        <v>63</v>
      </c>
      <c r="Y24" s="126" t="s">
        <v>46</v>
      </c>
      <c r="Z24" s="126" t="s">
        <v>54</v>
      </c>
      <c r="AA24" s="126" t="s">
        <v>115</v>
      </c>
      <c r="AB24" s="128" t="s">
        <v>166</v>
      </c>
      <c r="AE24" s="34"/>
      <c r="AP24" s="143" t="s">
        <v>327</v>
      </c>
      <c r="AR24" s="139" t="s">
        <v>328</v>
      </c>
      <c r="AV24" s="143"/>
    </row>
    <row r="25" spans="1:48" s="126" customFormat="1" ht="13.5" customHeight="1">
      <c r="A25" s="126" t="s">
        <v>49</v>
      </c>
      <c r="B25" s="126" t="s">
        <v>184</v>
      </c>
      <c r="C25" s="126">
        <v>2020</v>
      </c>
      <c r="D25" s="127" t="s">
        <v>415</v>
      </c>
      <c r="E25" s="126" t="s">
        <v>186</v>
      </c>
      <c r="F25" s="126" t="s">
        <v>427</v>
      </c>
      <c r="G25" s="126" t="s">
        <v>39</v>
      </c>
      <c r="H25" s="126" t="s">
        <v>51</v>
      </c>
      <c r="I25" s="126" t="s">
        <v>41</v>
      </c>
      <c r="J25" s="126" t="s">
        <v>129</v>
      </c>
      <c r="K25" s="126" t="s">
        <v>133</v>
      </c>
      <c r="L25" s="126">
        <v>3</v>
      </c>
      <c r="N25" s="126">
        <v>1</v>
      </c>
      <c r="O25" s="126">
        <v>2</v>
      </c>
      <c r="P25" s="126">
        <v>1.8</v>
      </c>
      <c r="Q25" s="137">
        <f t="shared" si="0"/>
        <v>1.9</v>
      </c>
      <c r="R25" s="126">
        <v>11.6</v>
      </c>
      <c r="S25" s="126">
        <v>130</v>
      </c>
      <c r="T25" s="138">
        <f t="shared" si="1"/>
        <v>25</v>
      </c>
      <c r="U25" s="126">
        <v>98</v>
      </c>
      <c r="V25" s="138">
        <f t="shared" si="2"/>
        <v>2450</v>
      </c>
      <c r="W25" s="126">
        <v>2</v>
      </c>
      <c r="X25" s="126" t="s">
        <v>63</v>
      </c>
      <c r="Y25" s="126" t="s">
        <v>46</v>
      </c>
      <c r="Z25" s="126" t="s">
        <v>54</v>
      </c>
      <c r="AA25" s="126" t="s">
        <v>115</v>
      </c>
      <c r="AB25" s="128" t="s">
        <v>166</v>
      </c>
      <c r="AE25" s="35"/>
      <c r="AP25" s="143" t="s">
        <v>330</v>
      </c>
      <c r="AR25" s="143" t="s">
        <v>331</v>
      </c>
      <c r="AV25" s="143"/>
    </row>
    <row r="26" spans="1:48" s="126" customFormat="1" ht="13.5" customHeight="1">
      <c r="A26" s="126" t="s">
        <v>49</v>
      </c>
      <c r="B26" s="126" t="s">
        <v>184</v>
      </c>
      <c r="C26" s="126">
        <v>2020</v>
      </c>
      <c r="D26" s="127" t="s">
        <v>415</v>
      </c>
      <c r="E26" s="126" t="s">
        <v>186</v>
      </c>
      <c r="F26" s="126" t="s">
        <v>427</v>
      </c>
      <c r="G26" s="126" t="s">
        <v>39</v>
      </c>
      <c r="H26" s="126" t="s">
        <v>156</v>
      </c>
      <c r="I26" s="126" t="s">
        <v>41</v>
      </c>
      <c r="J26" s="126" t="s">
        <v>42</v>
      </c>
      <c r="K26" s="126" t="s">
        <v>78</v>
      </c>
      <c r="L26" s="126">
        <v>1</v>
      </c>
      <c r="N26" s="126">
        <v>1</v>
      </c>
      <c r="O26" s="126">
        <v>0.8</v>
      </c>
      <c r="P26" s="126">
        <v>0.9</v>
      </c>
      <c r="Q26" s="137">
        <f t="shared" si="0"/>
        <v>0.85000000000000009</v>
      </c>
      <c r="R26" s="126">
        <v>10.5</v>
      </c>
      <c r="S26" s="126">
        <v>123</v>
      </c>
      <c r="T26" s="138">
        <f t="shared" si="1"/>
        <v>30</v>
      </c>
      <c r="U26" s="126">
        <v>198</v>
      </c>
      <c r="V26" s="138">
        <f t="shared" si="2"/>
        <v>5940</v>
      </c>
      <c r="W26" s="126">
        <v>1</v>
      </c>
      <c r="X26" s="126" t="s">
        <v>63</v>
      </c>
      <c r="Y26" s="126" t="s">
        <v>46</v>
      </c>
      <c r="Z26" s="126" t="s">
        <v>54</v>
      </c>
      <c r="AA26" s="126" t="s">
        <v>115</v>
      </c>
      <c r="AB26" s="128" t="s">
        <v>166</v>
      </c>
      <c r="AE26" s="35"/>
      <c r="AP26" s="143" t="s">
        <v>145</v>
      </c>
      <c r="AR26" s="139" t="s">
        <v>123</v>
      </c>
      <c r="AV26" s="144"/>
    </row>
    <row r="27" spans="1:48" s="126" customFormat="1" ht="13.5" customHeight="1">
      <c r="A27" s="126" t="s">
        <v>49</v>
      </c>
      <c r="B27" s="126" t="s">
        <v>184</v>
      </c>
      <c r="C27" s="126">
        <v>2020</v>
      </c>
      <c r="D27" s="127" t="s">
        <v>415</v>
      </c>
      <c r="E27" s="126" t="s">
        <v>186</v>
      </c>
      <c r="F27" s="126" t="s">
        <v>427</v>
      </c>
      <c r="G27" s="126" t="s">
        <v>39</v>
      </c>
      <c r="H27" s="126" t="s">
        <v>156</v>
      </c>
      <c r="I27" s="126" t="s">
        <v>41</v>
      </c>
      <c r="J27" s="126" t="s">
        <v>42</v>
      </c>
      <c r="K27" s="126" t="s">
        <v>78</v>
      </c>
      <c r="L27" s="126">
        <v>2</v>
      </c>
      <c r="N27" s="126">
        <v>1</v>
      </c>
      <c r="O27" s="126">
        <v>1.1000000000000001</v>
      </c>
      <c r="P27" s="126">
        <v>1.1499999999999999</v>
      </c>
      <c r="Q27" s="137">
        <f t="shared" si="0"/>
        <v>1.125</v>
      </c>
      <c r="R27" s="126">
        <v>12</v>
      </c>
      <c r="S27" s="126">
        <v>120</v>
      </c>
      <c r="T27" s="138">
        <f t="shared" si="1"/>
        <v>30</v>
      </c>
      <c r="U27" s="126">
        <v>198</v>
      </c>
      <c r="V27" s="138">
        <f t="shared" si="2"/>
        <v>5940</v>
      </c>
      <c r="W27" s="126">
        <v>1</v>
      </c>
      <c r="X27" s="126" t="s">
        <v>63</v>
      </c>
      <c r="Y27" s="126" t="s">
        <v>46</v>
      </c>
      <c r="Z27" s="126" t="s">
        <v>54</v>
      </c>
      <c r="AA27" s="126" t="s">
        <v>115</v>
      </c>
      <c r="AB27" s="128" t="s">
        <v>166</v>
      </c>
      <c r="AE27" s="144"/>
      <c r="AP27" s="143" t="s">
        <v>146</v>
      </c>
      <c r="AR27" s="139" t="s">
        <v>147</v>
      </c>
    </row>
    <row r="28" spans="1:48" s="126" customFormat="1" ht="13.5" customHeight="1">
      <c r="A28" s="126" t="s">
        <v>49</v>
      </c>
      <c r="B28" s="126" t="s">
        <v>184</v>
      </c>
      <c r="C28" s="126">
        <v>2020</v>
      </c>
      <c r="D28" s="127" t="s">
        <v>415</v>
      </c>
      <c r="E28" s="126" t="s">
        <v>186</v>
      </c>
      <c r="F28" s="126" t="s">
        <v>427</v>
      </c>
      <c r="G28" s="126" t="s">
        <v>39</v>
      </c>
      <c r="H28" s="126" t="s">
        <v>156</v>
      </c>
      <c r="I28" s="126" t="s">
        <v>41</v>
      </c>
      <c r="J28" s="126" t="s">
        <v>42</v>
      </c>
      <c r="K28" s="126" t="s">
        <v>78</v>
      </c>
      <c r="L28" s="126">
        <v>3</v>
      </c>
      <c r="N28" s="126">
        <v>1</v>
      </c>
      <c r="O28" s="126">
        <v>1</v>
      </c>
      <c r="P28" s="126">
        <v>1.2</v>
      </c>
      <c r="Q28" s="137">
        <f t="shared" si="0"/>
        <v>1.1000000000000001</v>
      </c>
      <c r="R28" s="126">
        <v>10.9</v>
      </c>
      <c r="S28" s="126">
        <v>125</v>
      </c>
      <c r="T28" s="138">
        <f t="shared" si="1"/>
        <v>30</v>
      </c>
      <c r="U28" s="126">
        <v>198</v>
      </c>
      <c r="V28" s="138">
        <f t="shared" si="2"/>
        <v>5940</v>
      </c>
      <c r="W28" s="126">
        <v>1</v>
      </c>
      <c r="X28" s="126" t="s">
        <v>63</v>
      </c>
      <c r="Y28" s="126" t="s">
        <v>46</v>
      </c>
      <c r="Z28" s="126" t="s">
        <v>54</v>
      </c>
      <c r="AA28" s="126" t="s">
        <v>115</v>
      </c>
      <c r="AB28" s="128" t="s">
        <v>166</v>
      </c>
      <c r="AP28" s="143" t="s">
        <v>148</v>
      </c>
      <c r="AR28" s="139" t="s">
        <v>149</v>
      </c>
    </row>
    <row r="29" spans="1:48" s="126" customFormat="1" ht="13.5" customHeight="1">
      <c r="A29" s="126" t="s">
        <v>49</v>
      </c>
      <c r="B29" s="126" t="s">
        <v>184</v>
      </c>
      <c r="C29" s="126">
        <v>2020</v>
      </c>
      <c r="D29" s="127" t="s">
        <v>415</v>
      </c>
      <c r="E29" s="126" t="s">
        <v>423</v>
      </c>
      <c r="F29" s="126" t="s">
        <v>424</v>
      </c>
      <c r="G29" s="126" t="s">
        <v>39</v>
      </c>
      <c r="H29" s="126" t="s">
        <v>40</v>
      </c>
      <c r="I29" s="126" t="s">
        <v>41</v>
      </c>
      <c r="J29" s="126" t="s">
        <v>42</v>
      </c>
      <c r="K29" s="126" t="s">
        <v>43</v>
      </c>
      <c r="L29" s="126">
        <v>1</v>
      </c>
      <c r="N29" s="126">
        <v>1</v>
      </c>
      <c r="O29" s="126">
        <v>0.6</v>
      </c>
      <c r="P29" s="126">
        <v>0.75</v>
      </c>
      <c r="Q29" s="137">
        <f t="shared" si="0"/>
        <v>0.67500000000000004</v>
      </c>
      <c r="R29" s="126">
        <v>11.9</v>
      </c>
      <c r="S29" s="126">
        <v>123</v>
      </c>
      <c r="T29" s="138">
        <f t="shared" si="1"/>
        <v>27</v>
      </c>
      <c r="U29" s="126">
        <v>100</v>
      </c>
      <c r="V29" s="138">
        <f t="shared" si="2"/>
        <v>2700</v>
      </c>
      <c r="W29" s="126">
        <v>1</v>
      </c>
      <c r="X29" s="126" t="s">
        <v>44</v>
      </c>
      <c r="Y29" s="126" t="s">
        <v>46</v>
      </c>
      <c r="Z29" s="126" t="s">
        <v>45</v>
      </c>
      <c r="AA29" s="126" t="s">
        <v>54</v>
      </c>
      <c r="AB29" s="128" t="s">
        <v>166</v>
      </c>
      <c r="AP29" s="143" t="s">
        <v>150</v>
      </c>
      <c r="AR29" s="144"/>
      <c r="AV29" s="144"/>
    </row>
    <row r="30" spans="1:48" s="126" customFormat="1" ht="13.5" customHeight="1">
      <c r="A30" s="126" t="s">
        <v>49</v>
      </c>
      <c r="B30" s="126" t="s">
        <v>184</v>
      </c>
      <c r="C30" s="126">
        <v>2020</v>
      </c>
      <c r="D30" s="127" t="s">
        <v>415</v>
      </c>
      <c r="E30" s="126" t="s">
        <v>423</v>
      </c>
      <c r="F30" s="126" t="s">
        <v>424</v>
      </c>
      <c r="G30" s="126" t="s">
        <v>39</v>
      </c>
      <c r="H30" s="126" t="s">
        <v>40</v>
      </c>
      <c r="I30" s="126" t="s">
        <v>41</v>
      </c>
      <c r="J30" s="126" t="s">
        <v>42</v>
      </c>
      <c r="K30" s="126" t="s">
        <v>43</v>
      </c>
      <c r="L30" s="126">
        <v>2</v>
      </c>
      <c r="N30" s="126">
        <v>1</v>
      </c>
      <c r="O30" s="126">
        <v>0.7</v>
      </c>
      <c r="P30" s="126">
        <v>0.85</v>
      </c>
      <c r="Q30" s="137">
        <f t="shared" si="0"/>
        <v>0.77499999999999991</v>
      </c>
      <c r="R30" s="126">
        <v>11.8</v>
      </c>
      <c r="S30" s="126">
        <v>130</v>
      </c>
      <c r="T30" s="138">
        <f t="shared" si="1"/>
        <v>25</v>
      </c>
      <c r="U30" s="126">
        <v>100</v>
      </c>
      <c r="V30" s="138">
        <f t="shared" si="2"/>
        <v>2500</v>
      </c>
      <c r="W30" s="126">
        <v>1</v>
      </c>
      <c r="X30" s="126" t="s">
        <v>44</v>
      </c>
      <c r="Y30" s="126" t="s">
        <v>46</v>
      </c>
      <c r="Z30" s="126" t="s">
        <v>45</v>
      </c>
      <c r="AA30" s="126" t="s">
        <v>54</v>
      </c>
      <c r="AB30" s="128" t="s">
        <v>166</v>
      </c>
      <c r="AP30" s="143"/>
      <c r="AR30" s="143"/>
    </row>
    <row r="31" spans="1:48" s="126" customFormat="1" ht="13.5" customHeight="1">
      <c r="A31" s="126" t="s">
        <v>49</v>
      </c>
      <c r="B31" s="126" t="s">
        <v>184</v>
      </c>
      <c r="C31" s="126">
        <v>2020</v>
      </c>
      <c r="D31" s="127" t="s">
        <v>415</v>
      </c>
      <c r="E31" s="126" t="s">
        <v>423</v>
      </c>
      <c r="F31" s="126" t="s">
        <v>424</v>
      </c>
      <c r="G31" s="126" t="s">
        <v>39</v>
      </c>
      <c r="H31" s="126" t="s">
        <v>40</v>
      </c>
      <c r="I31" s="126" t="s">
        <v>41</v>
      </c>
      <c r="J31" s="126" t="s">
        <v>42</v>
      </c>
      <c r="K31" s="126" t="s">
        <v>43</v>
      </c>
      <c r="L31" s="126">
        <v>3</v>
      </c>
      <c r="N31" s="126">
        <v>1</v>
      </c>
      <c r="O31" s="126">
        <v>1.75</v>
      </c>
      <c r="P31" s="126">
        <v>1.85</v>
      </c>
      <c r="Q31" s="137">
        <f t="shared" si="0"/>
        <v>1.8</v>
      </c>
      <c r="R31" s="126">
        <v>11.8</v>
      </c>
      <c r="S31" s="126">
        <v>128</v>
      </c>
      <c r="T31" s="138">
        <f t="shared" si="1"/>
        <v>27</v>
      </c>
      <c r="U31" s="126">
        <v>100</v>
      </c>
      <c r="V31" s="138">
        <f t="shared" si="2"/>
        <v>2700</v>
      </c>
      <c r="W31" s="126">
        <v>1</v>
      </c>
      <c r="X31" s="126" t="s">
        <v>44</v>
      </c>
      <c r="Y31" s="126" t="s">
        <v>46</v>
      </c>
      <c r="Z31" s="126" t="s">
        <v>45</v>
      </c>
      <c r="AA31" s="126" t="s">
        <v>54</v>
      </c>
      <c r="AB31" s="128" t="s">
        <v>166</v>
      </c>
      <c r="AP31" s="143"/>
      <c r="AR31" s="143"/>
    </row>
    <row r="32" spans="1:48" s="126" customFormat="1" ht="13.5" customHeight="1">
      <c r="A32" s="126" t="s">
        <v>49</v>
      </c>
      <c r="B32" s="126" t="s">
        <v>184</v>
      </c>
      <c r="C32" s="126">
        <v>2020</v>
      </c>
      <c r="D32" s="127" t="s">
        <v>415</v>
      </c>
      <c r="E32" s="126" t="s">
        <v>423</v>
      </c>
      <c r="F32" s="126" t="s">
        <v>424</v>
      </c>
      <c r="G32" s="126" t="s">
        <v>39</v>
      </c>
      <c r="H32" s="126" t="s">
        <v>40</v>
      </c>
      <c r="I32" s="126" t="s">
        <v>41</v>
      </c>
      <c r="J32" s="126" t="s">
        <v>42</v>
      </c>
      <c r="K32" s="126" t="s">
        <v>43</v>
      </c>
      <c r="L32" s="126">
        <v>1</v>
      </c>
      <c r="N32" s="126">
        <v>4</v>
      </c>
      <c r="O32" s="126">
        <v>0.8</v>
      </c>
      <c r="P32" s="126">
        <v>0.95</v>
      </c>
      <c r="Q32" s="137">
        <f t="shared" si="0"/>
        <v>0.875</v>
      </c>
      <c r="R32" s="126">
        <v>11.8</v>
      </c>
      <c r="S32" s="126">
        <v>101</v>
      </c>
      <c r="T32" s="138">
        <f t="shared" si="1"/>
        <v>33</v>
      </c>
      <c r="U32" s="126">
        <v>398</v>
      </c>
      <c r="V32" s="138">
        <f t="shared" si="2"/>
        <v>3283.5</v>
      </c>
      <c r="W32" s="126">
        <v>1</v>
      </c>
      <c r="X32" s="126" t="s">
        <v>44</v>
      </c>
      <c r="Y32" s="126" t="s">
        <v>46</v>
      </c>
      <c r="Z32" s="126" t="s">
        <v>45</v>
      </c>
      <c r="AA32" s="126" t="s">
        <v>54</v>
      </c>
      <c r="AB32" s="128" t="s">
        <v>166</v>
      </c>
      <c r="AP32" s="144"/>
      <c r="AR32" s="144"/>
    </row>
    <row r="33" spans="1:28" s="126" customFormat="1" ht="13.5" customHeight="1">
      <c r="A33" s="126" t="s">
        <v>49</v>
      </c>
      <c r="B33" s="126" t="s">
        <v>184</v>
      </c>
      <c r="C33" s="126">
        <v>2020</v>
      </c>
      <c r="D33" s="127" t="s">
        <v>415</v>
      </c>
      <c r="E33" s="126" t="s">
        <v>423</v>
      </c>
      <c r="F33" s="126" t="s">
        <v>424</v>
      </c>
      <c r="G33" s="126" t="s">
        <v>39</v>
      </c>
      <c r="H33" s="126" t="s">
        <v>40</v>
      </c>
      <c r="I33" s="126" t="s">
        <v>41</v>
      </c>
      <c r="J33" s="126" t="s">
        <v>42</v>
      </c>
      <c r="K33" s="126" t="s">
        <v>43</v>
      </c>
      <c r="L33" s="126">
        <v>2</v>
      </c>
      <c r="N33" s="126">
        <v>4</v>
      </c>
      <c r="O33" s="126">
        <v>1</v>
      </c>
      <c r="P33" s="126">
        <v>1</v>
      </c>
      <c r="Q33" s="137">
        <f t="shared" si="0"/>
        <v>1</v>
      </c>
      <c r="R33" s="126">
        <v>11.8</v>
      </c>
      <c r="S33" s="126">
        <v>106</v>
      </c>
      <c r="T33" s="138">
        <f t="shared" si="1"/>
        <v>33</v>
      </c>
      <c r="U33" s="126">
        <v>398</v>
      </c>
      <c r="V33" s="138">
        <f t="shared" si="2"/>
        <v>3283.5</v>
      </c>
      <c r="W33" s="126">
        <v>1</v>
      </c>
      <c r="X33" s="126" t="s">
        <v>44</v>
      </c>
      <c r="Y33" s="126" t="s">
        <v>46</v>
      </c>
      <c r="Z33" s="126" t="s">
        <v>45</v>
      </c>
      <c r="AA33" s="126" t="s">
        <v>54</v>
      </c>
      <c r="AB33" s="128" t="s">
        <v>166</v>
      </c>
    </row>
    <row r="34" spans="1:28" s="126" customFormat="1" ht="13.5" customHeight="1">
      <c r="A34" s="126" t="s">
        <v>49</v>
      </c>
      <c r="B34" s="126" t="s">
        <v>184</v>
      </c>
      <c r="C34" s="126">
        <v>2020</v>
      </c>
      <c r="D34" s="127" t="s">
        <v>415</v>
      </c>
      <c r="E34" s="126" t="s">
        <v>423</v>
      </c>
      <c r="F34" s="126" t="s">
        <v>424</v>
      </c>
      <c r="G34" s="126" t="s">
        <v>39</v>
      </c>
      <c r="H34" s="126" t="s">
        <v>40</v>
      </c>
      <c r="I34" s="126" t="s">
        <v>41</v>
      </c>
      <c r="J34" s="126" t="s">
        <v>42</v>
      </c>
      <c r="K34" s="126" t="s">
        <v>43</v>
      </c>
      <c r="L34" s="126">
        <v>3</v>
      </c>
      <c r="N34" s="126">
        <v>4</v>
      </c>
      <c r="O34" s="126">
        <v>1.1499999999999999</v>
      </c>
      <c r="P34" s="126">
        <v>1.25</v>
      </c>
      <c r="Q34" s="137">
        <f t="shared" si="0"/>
        <v>1.2</v>
      </c>
      <c r="R34" s="126">
        <v>10.3</v>
      </c>
      <c r="S34" s="126">
        <v>96</v>
      </c>
      <c r="T34" s="138">
        <f t="shared" si="1"/>
        <v>36</v>
      </c>
      <c r="U34" s="126">
        <v>398</v>
      </c>
      <c r="V34" s="138">
        <f t="shared" si="2"/>
        <v>3582</v>
      </c>
      <c r="W34" s="126">
        <v>1</v>
      </c>
      <c r="X34" s="126" t="s">
        <v>44</v>
      </c>
      <c r="Y34" s="126" t="s">
        <v>46</v>
      </c>
      <c r="Z34" s="126" t="s">
        <v>45</v>
      </c>
      <c r="AA34" s="126" t="s">
        <v>54</v>
      </c>
      <c r="AB34" s="128" t="s">
        <v>166</v>
      </c>
    </row>
    <row r="35" spans="1:28" s="126" customFormat="1" ht="13.5" customHeight="1">
      <c r="A35" s="126" t="s">
        <v>49</v>
      </c>
      <c r="B35" s="126" t="s">
        <v>184</v>
      </c>
      <c r="C35" s="126">
        <v>2020</v>
      </c>
      <c r="D35" s="127" t="s">
        <v>415</v>
      </c>
      <c r="E35" s="126" t="s">
        <v>423</v>
      </c>
      <c r="F35" s="126" t="s">
        <v>424</v>
      </c>
      <c r="G35" s="126" t="s">
        <v>39</v>
      </c>
      <c r="H35" s="126" t="s">
        <v>156</v>
      </c>
      <c r="I35" s="126" t="s">
        <v>41</v>
      </c>
      <c r="J35" s="126" t="s">
        <v>42</v>
      </c>
      <c r="K35" s="126" t="s">
        <v>78</v>
      </c>
      <c r="L35" s="126">
        <v>1</v>
      </c>
      <c r="N35" s="126">
        <v>1</v>
      </c>
      <c r="O35" s="126">
        <v>1.3</v>
      </c>
      <c r="P35" s="126">
        <v>1.4</v>
      </c>
      <c r="Q35" s="137">
        <f t="shared" si="0"/>
        <v>1.35</v>
      </c>
      <c r="R35" s="126">
        <v>12.4</v>
      </c>
      <c r="S35" s="126">
        <v>125</v>
      </c>
      <c r="T35" s="138">
        <f t="shared" si="1"/>
        <v>30</v>
      </c>
      <c r="U35" s="126">
        <v>158</v>
      </c>
      <c r="V35" s="138">
        <f t="shared" si="2"/>
        <v>4740</v>
      </c>
      <c r="W35" s="126">
        <v>1</v>
      </c>
      <c r="X35" s="126" t="s">
        <v>44</v>
      </c>
      <c r="Y35" s="126" t="s">
        <v>46</v>
      </c>
      <c r="Z35" s="126" t="s">
        <v>45</v>
      </c>
      <c r="AA35" s="126" t="s">
        <v>54</v>
      </c>
      <c r="AB35" s="128" t="s">
        <v>166</v>
      </c>
    </row>
    <row r="36" spans="1:28" s="126" customFormat="1" ht="13.5" customHeight="1">
      <c r="A36" s="126" t="s">
        <v>49</v>
      </c>
      <c r="B36" s="126" t="s">
        <v>184</v>
      </c>
      <c r="C36" s="126">
        <v>2020</v>
      </c>
      <c r="D36" s="127" t="s">
        <v>415</v>
      </c>
      <c r="E36" s="126" t="s">
        <v>423</v>
      </c>
      <c r="F36" s="126" t="s">
        <v>424</v>
      </c>
      <c r="G36" s="126" t="s">
        <v>39</v>
      </c>
      <c r="H36" s="126" t="s">
        <v>156</v>
      </c>
      <c r="I36" s="126" t="s">
        <v>41</v>
      </c>
      <c r="J36" s="126" t="s">
        <v>42</v>
      </c>
      <c r="K36" s="126" t="s">
        <v>78</v>
      </c>
      <c r="L36" s="126">
        <v>2</v>
      </c>
      <c r="N36" s="126">
        <v>1</v>
      </c>
      <c r="O36" s="126">
        <v>1.3</v>
      </c>
      <c r="P36" s="126">
        <v>1.4</v>
      </c>
      <c r="Q36" s="137">
        <f t="shared" si="0"/>
        <v>1.35</v>
      </c>
      <c r="R36" s="126">
        <v>13.5</v>
      </c>
      <c r="S36" s="126">
        <v>129</v>
      </c>
      <c r="T36" s="138">
        <f t="shared" si="1"/>
        <v>27</v>
      </c>
      <c r="U36" s="126">
        <v>158</v>
      </c>
      <c r="V36" s="138">
        <f t="shared" si="2"/>
        <v>4266</v>
      </c>
      <c r="W36" s="126">
        <v>1</v>
      </c>
      <c r="X36" s="126" t="s">
        <v>44</v>
      </c>
      <c r="Y36" s="126" t="s">
        <v>46</v>
      </c>
      <c r="Z36" s="126" t="s">
        <v>45</v>
      </c>
      <c r="AA36" s="126" t="s">
        <v>54</v>
      </c>
      <c r="AB36" s="128" t="s">
        <v>166</v>
      </c>
    </row>
    <row r="37" spans="1:28" s="126" customFormat="1" ht="13.5" customHeight="1">
      <c r="A37" s="126" t="s">
        <v>49</v>
      </c>
      <c r="B37" s="126" t="s">
        <v>184</v>
      </c>
      <c r="C37" s="126">
        <v>2020</v>
      </c>
      <c r="D37" s="127" t="s">
        <v>415</v>
      </c>
      <c r="E37" s="126" t="s">
        <v>423</v>
      </c>
      <c r="F37" s="126" t="s">
        <v>424</v>
      </c>
      <c r="G37" s="126" t="s">
        <v>39</v>
      </c>
      <c r="H37" s="126" t="s">
        <v>156</v>
      </c>
      <c r="I37" s="126" t="s">
        <v>41</v>
      </c>
      <c r="J37" s="126" t="s">
        <v>42</v>
      </c>
      <c r="K37" s="126" t="s">
        <v>78</v>
      </c>
      <c r="L37" s="126">
        <v>3</v>
      </c>
      <c r="N37" s="126">
        <v>1</v>
      </c>
      <c r="O37" s="128">
        <v>1.35</v>
      </c>
      <c r="P37" s="128">
        <v>1.5</v>
      </c>
      <c r="Q37" s="137">
        <f t="shared" si="0"/>
        <v>1.425</v>
      </c>
      <c r="R37" s="126">
        <v>17.3</v>
      </c>
      <c r="S37" s="126">
        <v>128</v>
      </c>
      <c r="T37" s="138">
        <f t="shared" si="1"/>
        <v>27</v>
      </c>
      <c r="U37" s="126">
        <v>158</v>
      </c>
      <c r="V37" s="138">
        <f t="shared" si="2"/>
        <v>4266</v>
      </c>
      <c r="W37" s="126">
        <v>1</v>
      </c>
      <c r="X37" s="126" t="s">
        <v>44</v>
      </c>
      <c r="Y37" s="126" t="s">
        <v>46</v>
      </c>
      <c r="Z37" s="126" t="s">
        <v>45</v>
      </c>
      <c r="AA37" s="126" t="s">
        <v>54</v>
      </c>
      <c r="AB37" s="128" t="s">
        <v>166</v>
      </c>
    </row>
    <row r="38" spans="1:28" s="126" customFormat="1" ht="13.5" customHeight="1">
      <c r="A38" s="126" t="s">
        <v>49</v>
      </c>
      <c r="B38" s="126" t="s">
        <v>184</v>
      </c>
      <c r="C38" s="126">
        <v>2020</v>
      </c>
      <c r="D38" s="127" t="s">
        <v>415</v>
      </c>
      <c r="E38" s="126" t="s">
        <v>308</v>
      </c>
      <c r="F38" s="126" t="s">
        <v>420</v>
      </c>
      <c r="G38" s="126" t="s">
        <v>39</v>
      </c>
      <c r="H38" s="126" t="s">
        <v>40</v>
      </c>
      <c r="I38" s="126" t="s">
        <v>41</v>
      </c>
      <c r="J38" s="126" t="s">
        <v>42</v>
      </c>
      <c r="K38" s="126" t="s">
        <v>43</v>
      </c>
      <c r="L38" s="126">
        <v>1</v>
      </c>
      <c r="N38" s="126">
        <v>1</v>
      </c>
      <c r="O38" s="128">
        <v>0.9</v>
      </c>
      <c r="P38" s="128">
        <v>1.1000000000000001</v>
      </c>
      <c r="Q38" s="137">
        <f t="shared" si="0"/>
        <v>1</v>
      </c>
      <c r="R38" s="126">
        <v>10.199999999999999</v>
      </c>
      <c r="S38" s="126">
        <v>120</v>
      </c>
      <c r="T38" s="138">
        <f t="shared" si="1"/>
        <v>30</v>
      </c>
      <c r="U38" s="126">
        <v>98</v>
      </c>
      <c r="V38" s="138">
        <f t="shared" si="2"/>
        <v>2940</v>
      </c>
      <c r="W38" s="126">
        <v>2</v>
      </c>
      <c r="X38" s="126" t="s">
        <v>44</v>
      </c>
      <c r="Y38" s="126" t="s">
        <v>46</v>
      </c>
      <c r="Z38" s="126" t="s">
        <v>115</v>
      </c>
      <c r="AA38" s="126" t="s">
        <v>54</v>
      </c>
      <c r="AB38" s="128" t="s">
        <v>166</v>
      </c>
    </row>
    <row r="39" spans="1:28" s="126" customFormat="1" ht="13.5" customHeight="1">
      <c r="A39" s="126" t="s">
        <v>49</v>
      </c>
      <c r="B39" s="126" t="s">
        <v>184</v>
      </c>
      <c r="C39" s="126">
        <v>2020</v>
      </c>
      <c r="D39" s="127" t="s">
        <v>415</v>
      </c>
      <c r="E39" s="126" t="s">
        <v>308</v>
      </c>
      <c r="F39" s="126" t="s">
        <v>420</v>
      </c>
      <c r="G39" s="126" t="s">
        <v>39</v>
      </c>
      <c r="H39" s="126" t="s">
        <v>40</v>
      </c>
      <c r="I39" s="126" t="s">
        <v>41</v>
      </c>
      <c r="J39" s="126" t="s">
        <v>42</v>
      </c>
      <c r="K39" s="126" t="s">
        <v>43</v>
      </c>
      <c r="L39" s="126">
        <v>2</v>
      </c>
      <c r="N39" s="126">
        <v>1</v>
      </c>
      <c r="O39" s="126">
        <v>1.25</v>
      </c>
      <c r="P39" s="126">
        <v>1.4</v>
      </c>
      <c r="Q39" s="137">
        <f t="shared" si="0"/>
        <v>1.325</v>
      </c>
      <c r="R39" s="128">
        <v>11.8</v>
      </c>
      <c r="S39" s="126">
        <v>120</v>
      </c>
      <c r="T39" s="138">
        <f t="shared" si="1"/>
        <v>30</v>
      </c>
      <c r="U39" s="126">
        <v>98</v>
      </c>
      <c r="V39" s="138">
        <f t="shared" si="2"/>
        <v>2940</v>
      </c>
      <c r="W39" s="126">
        <v>2</v>
      </c>
      <c r="X39" s="126" t="s">
        <v>44</v>
      </c>
      <c r="Y39" s="126" t="s">
        <v>46</v>
      </c>
      <c r="Z39" s="126" t="s">
        <v>115</v>
      </c>
      <c r="AA39" s="126" t="s">
        <v>54</v>
      </c>
      <c r="AB39" s="128" t="s">
        <v>166</v>
      </c>
    </row>
    <row r="40" spans="1:28" s="126" customFormat="1" ht="13.5" customHeight="1">
      <c r="A40" s="126" t="s">
        <v>49</v>
      </c>
      <c r="B40" s="126" t="s">
        <v>184</v>
      </c>
      <c r="C40" s="126">
        <v>2020</v>
      </c>
      <c r="D40" s="127" t="s">
        <v>415</v>
      </c>
      <c r="E40" s="126" t="s">
        <v>308</v>
      </c>
      <c r="F40" s="126" t="s">
        <v>420</v>
      </c>
      <c r="G40" s="126" t="s">
        <v>39</v>
      </c>
      <c r="H40" s="126" t="s">
        <v>40</v>
      </c>
      <c r="I40" s="126" t="s">
        <v>41</v>
      </c>
      <c r="J40" s="126" t="s">
        <v>42</v>
      </c>
      <c r="K40" s="126" t="s">
        <v>43</v>
      </c>
      <c r="L40" s="126">
        <v>3</v>
      </c>
      <c r="N40" s="126">
        <v>1</v>
      </c>
      <c r="O40" s="126">
        <v>1.5</v>
      </c>
      <c r="P40" s="126">
        <v>1.6</v>
      </c>
      <c r="Q40" s="137">
        <f t="shared" si="0"/>
        <v>1.55</v>
      </c>
      <c r="R40" s="126">
        <v>12</v>
      </c>
      <c r="S40" s="126">
        <v>119</v>
      </c>
      <c r="T40" s="138">
        <f t="shared" si="1"/>
        <v>30</v>
      </c>
      <c r="U40" s="126">
        <v>98</v>
      </c>
      <c r="V40" s="138">
        <f t="shared" si="2"/>
        <v>2940</v>
      </c>
      <c r="W40" s="126">
        <v>2</v>
      </c>
      <c r="X40" s="126" t="s">
        <v>44</v>
      </c>
      <c r="Y40" s="126" t="s">
        <v>46</v>
      </c>
      <c r="Z40" s="126" t="s">
        <v>115</v>
      </c>
      <c r="AA40" s="126" t="s">
        <v>54</v>
      </c>
      <c r="AB40" s="128" t="s">
        <v>166</v>
      </c>
    </row>
    <row r="41" spans="1:28" s="126" customFormat="1" ht="13.5" customHeight="1">
      <c r="A41" s="126" t="s">
        <v>49</v>
      </c>
      <c r="B41" s="126" t="s">
        <v>184</v>
      </c>
      <c r="C41" s="126">
        <v>2020</v>
      </c>
      <c r="D41" s="127" t="s">
        <v>415</v>
      </c>
      <c r="E41" s="126" t="s">
        <v>308</v>
      </c>
      <c r="F41" s="126" t="s">
        <v>420</v>
      </c>
      <c r="G41" s="126" t="s">
        <v>39</v>
      </c>
      <c r="H41" s="126" t="s">
        <v>156</v>
      </c>
      <c r="I41" s="126" t="s">
        <v>41</v>
      </c>
      <c r="J41" s="126" t="s">
        <v>42</v>
      </c>
      <c r="K41" s="126" t="s">
        <v>78</v>
      </c>
      <c r="L41" s="126">
        <v>1</v>
      </c>
      <c r="N41" s="126">
        <v>4</v>
      </c>
      <c r="O41" s="126">
        <v>1.1000000000000001</v>
      </c>
      <c r="P41" s="126">
        <v>1.1000000000000001</v>
      </c>
      <c r="Q41" s="137">
        <f t="shared" si="0"/>
        <v>1.1000000000000001</v>
      </c>
      <c r="R41" s="126">
        <v>12.1</v>
      </c>
      <c r="S41" s="126">
        <v>82</v>
      </c>
      <c r="T41" s="138">
        <f t="shared" si="1"/>
        <v>42</v>
      </c>
      <c r="U41" s="126">
        <v>498</v>
      </c>
      <c r="V41" s="138">
        <f t="shared" si="2"/>
        <v>5229</v>
      </c>
      <c r="W41" s="126">
        <v>1</v>
      </c>
      <c r="X41" s="126" t="s">
        <v>44</v>
      </c>
      <c r="Y41" s="126" t="s">
        <v>46</v>
      </c>
      <c r="Z41" s="126" t="s">
        <v>115</v>
      </c>
      <c r="AA41" s="126" t="s">
        <v>54</v>
      </c>
      <c r="AB41" s="128" t="s">
        <v>166</v>
      </c>
    </row>
    <row r="42" spans="1:28" s="126" customFormat="1" ht="13.5" customHeight="1">
      <c r="A42" s="126" t="s">
        <v>49</v>
      </c>
      <c r="B42" s="126" t="s">
        <v>184</v>
      </c>
      <c r="C42" s="126">
        <v>2020</v>
      </c>
      <c r="D42" s="127" t="s">
        <v>415</v>
      </c>
      <c r="E42" s="126" t="s">
        <v>308</v>
      </c>
      <c r="F42" s="126" t="s">
        <v>420</v>
      </c>
      <c r="G42" s="126" t="s">
        <v>39</v>
      </c>
      <c r="H42" s="126" t="s">
        <v>156</v>
      </c>
      <c r="I42" s="126" t="s">
        <v>41</v>
      </c>
      <c r="J42" s="126" t="s">
        <v>42</v>
      </c>
      <c r="K42" s="126" t="s">
        <v>78</v>
      </c>
      <c r="L42" s="126">
        <v>2</v>
      </c>
      <c r="N42" s="126">
        <v>4</v>
      </c>
      <c r="O42" s="126">
        <v>1.1000000000000001</v>
      </c>
      <c r="P42" s="126">
        <v>1.1000000000000001</v>
      </c>
      <c r="Q42" s="137">
        <f t="shared" si="0"/>
        <v>1.1000000000000001</v>
      </c>
      <c r="R42" s="126">
        <v>13.6</v>
      </c>
      <c r="S42" s="126">
        <v>80</v>
      </c>
      <c r="T42" s="138">
        <f t="shared" si="1"/>
        <v>42</v>
      </c>
      <c r="U42" s="126">
        <v>498</v>
      </c>
      <c r="V42" s="138">
        <f t="shared" si="2"/>
        <v>5229</v>
      </c>
      <c r="W42" s="126">
        <v>1</v>
      </c>
      <c r="X42" s="126" t="s">
        <v>44</v>
      </c>
      <c r="Y42" s="126" t="s">
        <v>46</v>
      </c>
      <c r="Z42" s="126" t="s">
        <v>115</v>
      </c>
      <c r="AA42" s="126" t="s">
        <v>54</v>
      </c>
      <c r="AB42" s="128" t="s">
        <v>166</v>
      </c>
    </row>
    <row r="43" spans="1:28" s="126" customFormat="1" ht="13.5" customHeight="1">
      <c r="A43" s="126" t="s">
        <v>49</v>
      </c>
      <c r="B43" s="126" t="s">
        <v>184</v>
      </c>
      <c r="C43" s="126">
        <v>2020</v>
      </c>
      <c r="D43" s="127" t="s">
        <v>415</v>
      </c>
      <c r="E43" s="126" t="s">
        <v>308</v>
      </c>
      <c r="F43" s="126" t="s">
        <v>420</v>
      </c>
      <c r="G43" s="126" t="s">
        <v>39</v>
      </c>
      <c r="H43" s="126" t="s">
        <v>156</v>
      </c>
      <c r="I43" s="126" t="s">
        <v>41</v>
      </c>
      <c r="J43" s="126" t="s">
        <v>42</v>
      </c>
      <c r="K43" s="126" t="s">
        <v>78</v>
      </c>
      <c r="L43" s="126">
        <v>3</v>
      </c>
      <c r="N43" s="126">
        <v>4</v>
      </c>
      <c r="O43" s="126">
        <v>0.75</v>
      </c>
      <c r="P43" s="126">
        <v>0.8</v>
      </c>
      <c r="Q43" s="137">
        <f t="shared" si="0"/>
        <v>0.77500000000000002</v>
      </c>
      <c r="R43" s="126">
        <v>12.2</v>
      </c>
      <c r="S43" s="126">
        <v>74</v>
      </c>
      <c r="T43" s="138">
        <f t="shared" si="1"/>
        <v>46</v>
      </c>
      <c r="U43" s="126">
        <v>498</v>
      </c>
      <c r="V43" s="138">
        <f t="shared" si="2"/>
        <v>5727</v>
      </c>
      <c r="W43" s="126">
        <v>1</v>
      </c>
      <c r="X43" s="126" t="s">
        <v>44</v>
      </c>
      <c r="Y43" s="126" t="s">
        <v>46</v>
      </c>
      <c r="Z43" s="126" t="s">
        <v>115</v>
      </c>
      <c r="AA43" s="126" t="s">
        <v>54</v>
      </c>
      <c r="AB43" s="128" t="s">
        <v>166</v>
      </c>
    </row>
    <row r="44" spans="1:28" s="126" customFormat="1" ht="13.5" customHeight="1">
      <c r="A44" s="126" t="s">
        <v>49</v>
      </c>
      <c r="B44" s="126" t="s">
        <v>184</v>
      </c>
      <c r="C44" s="126">
        <v>2020</v>
      </c>
      <c r="D44" s="127" t="s">
        <v>415</v>
      </c>
      <c r="E44" s="126" t="s">
        <v>425</v>
      </c>
      <c r="F44" s="126" t="s">
        <v>426</v>
      </c>
      <c r="G44" s="126" t="s">
        <v>39</v>
      </c>
      <c r="H44" s="126" t="s">
        <v>40</v>
      </c>
      <c r="I44" s="126" t="s">
        <v>41</v>
      </c>
      <c r="J44" s="126" t="s">
        <v>42</v>
      </c>
      <c r="K44" s="126" t="s">
        <v>43</v>
      </c>
      <c r="L44" s="126">
        <v>1</v>
      </c>
      <c r="N44" s="126">
        <v>1</v>
      </c>
      <c r="O44" s="126">
        <v>1.6</v>
      </c>
      <c r="P44" s="126">
        <v>1.7</v>
      </c>
      <c r="Q44" s="137">
        <f t="shared" si="0"/>
        <v>1.65</v>
      </c>
      <c r="R44" s="126">
        <v>17.100000000000001</v>
      </c>
      <c r="S44" s="126">
        <v>118</v>
      </c>
      <c r="T44" s="138">
        <f t="shared" si="1"/>
        <v>30</v>
      </c>
      <c r="U44" s="126">
        <v>98</v>
      </c>
      <c r="V44" s="138">
        <f t="shared" si="2"/>
        <v>2940</v>
      </c>
      <c r="W44" s="126">
        <v>2</v>
      </c>
      <c r="X44" s="126" t="s">
        <v>63</v>
      </c>
      <c r="Y44" s="126" t="s">
        <v>54</v>
      </c>
      <c r="Z44" s="126" t="s">
        <v>46</v>
      </c>
      <c r="AA44" s="126" t="s">
        <v>45</v>
      </c>
      <c r="AB44" s="128" t="s">
        <v>166</v>
      </c>
    </row>
    <row r="45" spans="1:28" s="126" customFormat="1" ht="13.5" customHeight="1">
      <c r="A45" s="126" t="s">
        <v>49</v>
      </c>
      <c r="B45" s="126" t="s">
        <v>184</v>
      </c>
      <c r="C45" s="126">
        <v>2020</v>
      </c>
      <c r="D45" s="127" t="s">
        <v>415</v>
      </c>
      <c r="E45" s="126" t="s">
        <v>425</v>
      </c>
      <c r="F45" s="126" t="s">
        <v>426</v>
      </c>
      <c r="G45" s="126" t="s">
        <v>39</v>
      </c>
      <c r="H45" s="126" t="s">
        <v>40</v>
      </c>
      <c r="I45" s="126" t="s">
        <v>41</v>
      </c>
      <c r="J45" s="126" t="s">
        <v>42</v>
      </c>
      <c r="K45" s="126" t="s">
        <v>43</v>
      </c>
      <c r="L45" s="126">
        <v>2</v>
      </c>
      <c r="N45" s="126">
        <v>1</v>
      </c>
      <c r="O45" s="126">
        <v>1.1000000000000001</v>
      </c>
      <c r="P45" s="126">
        <v>1</v>
      </c>
      <c r="Q45" s="137">
        <f t="shared" si="0"/>
        <v>1.05</v>
      </c>
      <c r="R45" s="126">
        <v>17.5</v>
      </c>
      <c r="S45" s="126">
        <v>114</v>
      </c>
      <c r="T45" s="138">
        <f t="shared" si="1"/>
        <v>30</v>
      </c>
      <c r="U45" s="126">
        <v>98</v>
      </c>
      <c r="V45" s="138">
        <f t="shared" si="2"/>
        <v>2940</v>
      </c>
      <c r="W45" s="126">
        <v>2</v>
      </c>
      <c r="X45" s="126" t="s">
        <v>63</v>
      </c>
      <c r="Y45" s="126" t="s">
        <v>54</v>
      </c>
      <c r="Z45" s="126" t="s">
        <v>46</v>
      </c>
      <c r="AA45" s="126" t="s">
        <v>45</v>
      </c>
      <c r="AB45" s="128" t="s">
        <v>166</v>
      </c>
    </row>
    <row r="46" spans="1:28" s="126" customFormat="1" ht="13.5" customHeight="1">
      <c r="A46" s="126" t="s">
        <v>49</v>
      </c>
      <c r="B46" s="126" t="s">
        <v>184</v>
      </c>
      <c r="C46" s="126">
        <v>2020</v>
      </c>
      <c r="D46" s="127" t="s">
        <v>415</v>
      </c>
      <c r="E46" s="126" t="s">
        <v>425</v>
      </c>
      <c r="F46" s="126" t="s">
        <v>426</v>
      </c>
      <c r="G46" s="126" t="s">
        <v>39</v>
      </c>
      <c r="H46" s="126" t="s">
        <v>40</v>
      </c>
      <c r="I46" s="126" t="s">
        <v>41</v>
      </c>
      <c r="J46" s="126" t="s">
        <v>42</v>
      </c>
      <c r="K46" s="126" t="s">
        <v>43</v>
      </c>
      <c r="L46" s="126">
        <v>3</v>
      </c>
      <c r="N46" s="126">
        <v>1</v>
      </c>
      <c r="O46" s="126">
        <v>1</v>
      </c>
      <c r="P46" s="128">
        <v>0.9</v>
      </c>
      <c r="Q46" s="137">
        <f t="shared" si="0"/>
        <v>0.95</v>
      </c>
      <c r="R46" s="126">
        <v>12.9</v>
      </c>
      <c r="S46" s="126">
        <v>124</v>
      </c>
      <c r="T46" s="138">
        <f t="shared" si="1"/>
        <v>27</v>
      </c>
      <c r="U46" s="126">
        <v>98</v>
      </c>
      <c r="V46" s="138">
        <f t="shared" si="2"/>
        <v>2646</v>
      </c>
      <c r="W46" s="126">
        <v>2</v>
      </c>
      <c r="X46" s="126" t="s">
        <v>63</v>
      </c>
      <c r="Y46" s="126" t="s">
        <v>54</v>
      </c>
      <c r="Z46" s="126" t="s">
        <v>46</v>
      </c>
      <c r="AA46" s="126" t="s">
        <v>45</v>
      </c>
      <c r="AB46" s="128" t="s">
        <v>166</v>
      </c>
    </row>
    <row r="47" spans="1:28" s="126" customFormat="1" ht="13.5" customHeight="1">
      <c r="A47" s="126" t="s">
        <v>49</v>
      </c>
      <c r="B47" s="126" t="s">
        <v>184</v>
      </c>
      <c r="C47" s="126">
        <v>2020</v>
      </c>
      <c r="D47" s="127" t="s">
        <v>415</v>
      </c>
      <c r="E47" s="126" t="s">
        <v>425</v>
      </c>
      <c r="F47" s="126" t="s">
        <v>426</v>
      </c>
      <c r="G47" s="126" t="s">
        <v>39</v>
      </c>
      <c r="H47" s="126" t="s">
        <v>156</v>
      </c>
      <c r="I47" s="126" t="s">
        <v>41</v>
      </c>
      <c r="J47" s="126" t="s">
        <v>42</v>
      </c>
      <c r="K47" s="126" t="s">
        <v>78</v>
      </c>
      <c r="L47" s="126">
        <v>1</v>
      </c>
      <c r="N47" s="126">
        <v>1</v>
      </c>
      <c r="O47" s="126">
        <v>1.25</v>
      </c>
      <c r="P47" s="126">
        <v>1.3</v>
      </c>
      <c r="Q47" s="137">
        <f t="shared" si="0"/>
        <v>1.2749999999999999</v>
      </c>
      <c r="R47" s="126">
        <v>15.1</v>
      </c>
      <c r="S47" s="126">
        <v>103</v>
      </c>
      <c r="T47" s="138">
        <f t="shared" si="1"/>
        <v>36</v>
      </c>
      <c r="U47" s="126">
        <v>98</v>
      </c>
      <c r="V47" s="138">
        <f t="shared" si="2"/>
        <v>3528</v>
      </c>
      <c r="W47" s="126">
        <v>1</v>
      </c>
      <c r="X47" s="126" t="s">
        <v>63</v>
      </c>
      <c r="Y47" s="126" t="s">
        <v>54</v>
      </c>
      <c r="Z47" s="126" t="s">
        <v>46</v>
      </c>
      <c r="AA47" s="126" t="s">
        <v>45</v>
      </c>
      <c r="AB47" s="128" t="s">
        <v>166</v>
      </c>
    </row>
    <row r="48" spans="1:28" s="126" customFormat="1" ht="13.5" customHeight="1">
      <c r="A48" s="126" t="s">
        <v>49</v>
      </c>
      <c r="B48" s="126" t="s">
        <v>184</v>
      </c>
      <c r="C48" s="126">
        <v>2020</v>
      </c>
      <c r="D48" s="127" t="s">
        <v>415</v>
      </c>
      <c r="E48" s="126" t="s">
        <v>425</v>
      </c>
      <c r="F48" s="126" t="s">
        <v>426</v>
      </c>
      <c r="G48" s="126" t="s">
        <v>39</v>
      </c>
      <c r="H48" s="126" t="s">
        <v>156</v>
      </c>
      <c r="I48" s="126" t="s">
        <v>41</v>
      </c>
      <c r="J48" s="126" t="s">
        <v>42</v>
      </c>
      <c r="K48" s="126" t="s">
        <v>78</v>
      </c>
      <c r="L48" s="126">
        <v>2</v>
      </c>
      <c r="N48" s="126">
        <v>1</v>
      </c>
      <c r="O48" s="126">
        <v>0.8</v>
      </c>
      <c r="P48" s="126">
        <v>0.85</v>
      </c>
      <c r="Q48" s="137">
        <f t="shared" si="0"/>
        <v>0.82499999999999996</v>
      </c>
      <c r="R48" s="126">
        <v>18.3</v>
      </c>
      <c r="S48" s="126">
        <v>105</v>
      </c>
      <c r="T48" s="138">
        <f t="shared" si="1"/>
        <v>36</v>
      </c>
      <c r="U48" s="126">
        <v>98</v>
      </c>
      <c r="V48" s="138">
        <f t="shared" si="2"/>
        <v>3528</v>
      </c>
      <c r="W48" s="126">
        <v>1</v>
      </c>
      <c r="X48" s="126" t="s">
        <v>63</v>
      </c>
      <c r="Y48" s="126" t="s">
        <v>54</v>
      </c>
      <c r="Z48" s="126" t="s">
        <v>46</v>
      </c>
      <c r="AA48" s="126" t="s">
        <v>45</v>
      </c>
      <c r="AB48" s="128" t="s">
        <v>166</v>
      </c>
    </row>
    <row r="49" spans="1:28" s="126" customFormat="1" ht="13.5" customHeight="1">
      <c r="A49" s="126" t="s">
        <v>49</v>
      </c>
      <c r="B49" s="126" t="s">
        <v>184</v>
      </c>
      <c r="C49" s="126">
        <v>2020</v>
      </c>
      <c r="D49" s="127" t="s">
        <v>415</v>
      </c>
      <c r="E49" s="126" t="s">
        <v>425</v>
      </c>
      <c r="F49" s="126" t="s">
        <v>426</v>
      </c>
      <c r="G49" s="126" t="s">
        <v>39</v>
      </c>
      <c r="H49" s="126" t="s">
        <v>156</v>
      </c>
      <c r="I49" s="126" t="s">
        <v>41</v>
      </c>
      <c r="J49" s="126" t="s">
        <v>42</v>
      </c>
      <c r="K49" s="126" t="s">
        <v>78</v>
      </c>
      <c r="L49" s="126">
        <v>3</v>
      </c>
      <c r="N49" s="126">
        <v>1</v>
      </c>
      <c r="O49" s="126">
        <v>1.1000000000000001</v>
      </c>
      <c r="P49" s="128">
        <v>1.2</v>
      </c>
      <c r="Q49" s="137">
        <f t="shared" si="0"/>
        <v>1.1499999999999999</v>
      </c>
      <c r="R49" s="126">
        <v>11.7</v>
      </c>
      <c r="S49" s="126">
        <v>104</v>
      </c>
      <c r="T49" s="138">
        <f t="shared" si="1"/>
        <v>36</v>
      </c>
      <c r="U49" s="126">
        <v>98</v>
      </c>
      <c r="V49" s="138">
        <f t="shared" si="2"/>
        <v>3528</v>
      </c>
      <c r="W49" s="126">
        <v>1</v>
      </c>
      <c r="X49" s="126" t="s">
        <v>63</v>
      </c>
      <c r="Y49" s="126" t="s">
        <v>54</v>
      </c>
      <c r="Z49" s="126" t="s">
        <v>46</v>
      </c>
      <c r="AA49" s="126" t="s">
        <v>45</v>
      </c>
      <c r="AB49" s="128" t="s">
        <v>166</v>
      </c>
    </row>
    <row r="50" spans="1:28" s="126" customFormat="1" ht="13.5" customHeight="1">
      <c r="A50" s="126" t="s">
        <v>49</v>
      </c>
      <c r="B50" s="126" t="s">
        <v>184</v>
      </c>
      <c r="C50" s="126">
        <v>2020</v>
      </c>
      <c r="D50" s="127" t="s">
        <v>415</v>
      </c>
      <c r="E50" s="126" t="s">
        <v>430</v>
      </c>
      <c r="F50" s="126" t="s">
        <v>424</v>
      </c>
      <c r="G50" s="126" t="s">
        <v>39</v>
      </c>
      <c r="H50" s="126" t="s">
        <v>40</v>
      </c>
      <c r="I50" s="126" t="s">
        <v>41</v>
      </c>
      <c r="J50" s="126" t="s">
        <v>42</v>
      </c>
      <c r="K50" s="126" t="s">
        <v>43</v>
      </c>
      <c r="L50" s="126">
        <v>1</v>
      </c>
      <c r="N50" s="126">
        <v>1</v>
      </c>
      <c r="O50" s="126">
        <v>1.75</v>
      </c>
      <c r="P50" s="126">
        <v>1.8</v>
      </c>
      <c r="Q50" s="137">
        <f t="shared" si="0"/>
        <v>1.7749999999999999</v>
      </c>
      <c r="R50" s="126">
        <v>11.4</v>
      </c>
      <c r="S50" s="126">
        <v>129</v>
      </c>
      <c r="T50" s="138">
        <f t="shared" si="1"/>
        <v>25</v>
      </c>
      <c r="U50" s="126">
        <v>98</v>
      </c>
      <c r="V50" s="138">
        <f t="shared" si="2"/>
        <v>2450</v>
      </c>
      <c r="W50" s="126">
        <v>1</v>
      </c>
      <c r="X50" s="126" t="s">
        <v>44</v>
      </c>
      <c r="Y50" s="126" t="s">
        <v>46</v>
      </c>
      <c r="Z50" s="126" t="s">
        <v>54</v>
      </c>
      <c r="AA50" s="126" t="s">
        <v>115</v>
      </c>
      <c r="AB50" s="128" t="s">
        <v>166</v>
      </c>
    </row>
    <row r="51" spans="1:28" s="126" customFormat="1" ht="13.5" customHeight="1">
      <c r="A51" s="126" t="s">
        <v>49</v>
      </c>
      <c r="B51" s="126" t="s">
        <v>184</v>
      </c>
      <c r="C51" s="126">
        <v>2020</v>
      </c>
      <c r="D51" s="127" t="s">
        <v>415</v>
      </c>
      <c r="E51" s="126" t="s">
        <v>430</v>
      </c>
      <c r="F51" s="126" t="s">
        <v>424</v>
      </c>
      <c r="G51" s="126" t="s">
        <v>39</v>
      </c>
      <c r="H51" s="126" t="s">
        <v>40</v>
      </c>
      <c r="I51" s="126" t="s">
        <v>41</v>
      </c>
      <c r="J51" s="126" t="s">
        <v>42</v>
      </c>
      <c r="K51" s="126" t="s">
        <v>43</v>
      </c>
      <c r="L51" s="126">
        <v>2</v>
      </c>
      <c r="N51" s="126">
        <v>1</v>
      </c>
      <c r="O51" s="126">
        <v>2</v>
      </c>
      <c r="P51" s="126">
        <v>2</v>
      </c>
      <c r="Q51" s="137">
        <f t="shared" si="0"/>
        <v>2</v>
      </c>
      <c r="R51" s="126">
        <v>10.9</v>
      </c>
      <c r="S51" s="126">
        <v>119</v>
      </c>
      <c r="T51" s="138">
        <f t="shared" si="1"/>
        <v>30</v>
      </c>
      <c r="U51" s="126">
        <v>98</v>
      </c>
      <c r="V51" s="138">
        <f t="shared" si="2"/>
        <v>2940</v>
      </c>
      <c r="W51" s="126">
        <v>1</v>
      </c>
      <c r="X51" s="126" t="s">
        <v>44</v>
      </c>
      <c r="Y51" s="126" t="s">
        <v>46</v>
      </c>
      <c r="Z51" s="126" t="s">
        <v>54</v>
      </c>
      <c r="AA51" s="126" t="s">
        <v>115</v>
      </c>
      <c r="AB51" s="128" t="s">
        <v>166</v>
      </c>
    </row>
    <row r="52" spans="1:28" s="126" customFormat="1" ht="13.5" customHeight="1">
      <c r="A52" s="126" t="s">
        <v>49</v>
      </c>
      <c r="B52" s="126" t="s">
        <v>184</v>
      </c>
      <c r="C52" s="126">
        <v>2020</v>
      </c>
      <c r="D52" s="127" t="s">
        <v>415</v>
      </c>
      <c r="E52" s="126" t="s">
        <v>430</v>
      </c>
      <c r="F52" s="126" t="s">
        <v>424</v>
      </c>
      <c r="G52" s="126" t="s">
        <v>39</v>
      </c>
      <c r="H52" s="126" t="s">
        <v>40</v>
      </c>
      <c r="I52" s="126" t="s">
        <v>41</v>
      </c>
      <c r="J52" s="126" t="s">
        <v>42</v>
      </c>
      <c r="K52" s="126" t="s">
        <v>43</v>
      </c>
      <c r="L52" s="126">
        <v>3</v>
      </c>
      <c r="N52" s="126">
        <v>1</v>
      </c>
      <c r="O52" s="126">
        <v>1.3</v>
      </c>
      <c r="P52" s="126">
        <v>1.5</v>
      </c>
      <c r="Q52" s="137">
        <f t="shared" si="0"/>
        <v>1.4</v>
      </c>
      <c r="R52" s="126">
        <v>11.6</v>
      </c>
      <c r="S52" s="126">
        <v>121</v>
      </c>
      <c r="T52" s="138">
        <f t="shared" si="1"/>
        <v>27</v>
      </c>
      <c r="U52" s="126">
        <v>98</v>
      </c>
      <c r="V52" s="138">
        <f t="shared" si="2"/>
        <v>2646</v>
      </c>
      <c r="W52" s="126">
        <v>1</v>
      </c>
      <c r="X52" s="126" t="s">
        <v>44</v>
      </c>
      <c r="Y52" s="126" t="s">
        <v>46</v>
      </c>
      <c r="Z52" s="126" t="s">
        <v>54</v>
      </c>
      <c r="AA52" s="126" t="s">
        <v>115</v>
      </c>
      <c r="AB52" s="128" t="s">
        <v>166</v>
      </c>
    </row>
    <row r="53" spans="1:28" s="126" customFormat="1" ht="13.5" customHeight="1">
      <c r="A53" s="126" t="s">
        <v>49</v>
      </c>
      <c r="B53" s="126" t="s">
        <v>184</v>
      </c>
      <c r="C53" s="126">
        <v>2020</v>
      </c>
      <c r="D53" s="127" t="s">
        <v>415</v>
      </c>
      <c r="E53" s="126" t="s">
        <v>430</v>
      </c>
      <c r="F53" s="126" t="s">
        <v>424</v>
      </c>
      <c r="G53" s="126" t="s">
        <v>39</v>
      </c>
      <c r="H53" s="126" t="s">
        <v>156</v>
      </c>
      <c r="I53" s="126" t="s">
        <v>41</v>
      </c>
      <c r="J53" s="126" t="s">
        <v>42</v>
      </c>
      <c r="K53" s="126" t="s">
        <v>78</v>
      </c>
      <c r="L53" s="126">
        <v>1</v>
      </c>
      <c r="N53" s="126">
        <v>4</v>
      </c>
      <c r="O53" s="126">
        <v>1.2</v>
      </c>
      <c r="P53" s="126">
        <v>1.25</v>
      </c>
      <c r="Q53" s="137">
        <f t="shared" si="0"/>
        <v>1.2250000000000001</v>
      </c>
      <c r="R53" s="126">
        <v>11</v>
      </c>
      <c r="S53" s="126">
        <v>81</v>
      </c>
      <c r="T53" s="138">
        <f t="shared" si="1"/>
        <v>42</v>
      </c>
      <c r="U53" s="126">
        <v>498</v>
      </c>
      <c r="V53" s="138">
        <f t="shared" si="2"/>
        <v>5229</v>
      </c>
      <c r="W53" s="126">
        <v>1</v>
      </c>
      <c r="X53" s="126" t="s">
        <v>44</v>
      </c>
      <c r="Y53" s="126" t="s">
        <v>46</v>
      </c>
      <c r="Z53" s="126" t="s">
        <v>54</v>
      </c>
      <c r="AA53" s="126" t="s">
        <v>115</v>
      </c>
      <c r="AB53" s="128" t="s">
        <v>166</v>
      </c>
    </row>
    <row r="54" spans="1:28" s="126" customFormat="1" ht="13.5" customHeight="1">
      <c r="A54" s="126" t="s">
        <v>49</v>
      </c>
      <c r="B54" s="126" t="s">
        <v>184</v>
      </c>
      <c r="C54" s="126">
        <v>2020</v>
      </c>
      <c r="D54" s="127" t="s">
        <v>415</v>
      </c>
      <c r="E54" s="126" t="s">
        <v>430</v>
      </c>
      <c r="F54" s="126" t="s">
        <v>424</v>
      </c>
      <c r="G54" s="126" t="s">
        <v>39</v>
      </c>
      <c r="H54" s="126" t="s">
        <v>156</v>
      </c>
      <c r="I54" s="126" t="s">
        <v>41</v>
      </c>
      <c r="J54" s="126" t="s">
        <v>42</v>
      </c>
      <c r="K54" s="126" t="s">
        <v>78</v>
      </c>
      <c r="L54" s="126">
        <v>2</v>
      </c>
      <c r="N54" s="126">
        <v>4</v>
      </c>
      <c r="O54" s="126">
        <v>1.1000000000000001</v>
      </c>
      <c r="P54" s="126">
        <v>1.2</v>
      </c>
      <c r="Q54" s="137">
        <f t="shared" si="0"/>
        <v>1.1499999999999999</v>
      </c>
      <c r="R54" s="126">
        <v>11.9</v>
      </c>
      <c r="S54" s="126">
        <v>76</v>
      </c>
      <c r="T54" s="138">
        <f t="shared" si="1"/>
        <v>42</v>
      </c>
      <c r="U54" s="126">
        <v>498</v>
      </c>
      <c r="V54" s="138">
        <f t="shared" si="2"/>
        <v>5229</v>
      </c>
      <c r="W54" s="126">
        <v>1</v>
      </c>
      <c r="X54" s="126" t="s">
        <v>44</v>
      </c>
      <c r="Y54" s="126" t="s">
        <v>46</v>
      </c>
      <c r="Z54" s="126" t="s">
        <v>54</v>
      </c>
      <c r="AA54" s="126" t="s">
        <v>115</v>
      </c>
      <c r="AB54" s="128" t="s">
        <v>166</v>
      </c>
    </row>
    <row r="55" spans="1:28" s="126" customFormat="1" ht="13.5" customHeight="1">
      <c r="A55" s="126" t="s">
        <v>49</v>
      </c>
      <c r="B55" s="126" t="s">
        <v>184</v>
      </c>
      <c r="C55" s="126">
        <v>2020</v>
      </c>
      <c r="D55" s="127" t="s">
        <v>415</v>
      </c>
      <c r="E55" s="126" t="s">
        <v>430</v>
      </c>
      <c r="F55" s="126" t="s">
        <v>424</v>
      </c>
      <c r="G55" s="126" t="s">
        <v>39</v>
      </c>
      <c r="H55" s="126" t="s">
        <v>156</v>
      </c>
      <c r="I55" s="126" t="s">
        <v>41</v>
      </c>
      <c r="J55" s="126" t="s">
        <v>42</v>
      </c>
      <c r="K55" s="126" t="s">
        <v>78</v>
      </c>
      <c r="L55" s="126">
        <v>3</v>
      </c>
      <c r="N55" s="126">
        <v>4</v>
      </c>
      <c r="O55" s="126">
        <v>1.25</v>
      </c>
      <c r="P55" s="126">
        <v>1.2</v>
      </c>
      <c r="Q55" s="137">
        <f t="shared" si="0"/>
        <v>1.2250000000000001</v>
      </c>
      <c r="R55" s="126">
        <v>11.6</v>
      </c>
      <c r="S55" s="126">
        <v>79</v>
      </c>
      <c r="T55" s="138">
        <f>IF(H55="","",IF(OR(H55="GREEN",H55="GK"),IF(S55&gt;=$AX$2,VLOOKUP(S55,$AX$2:$AY$12,2,1),""),IF(S55&gt;=$AZ$2,VLOOKUP(S55,$AZ$2:$BA$12,2,1),"")))</f>
        <v>42</v>
      </c>
      <c r="U55" s="126">
        <v>498</v>
      </c>
      <c r="V55" s="138">
        <f t="shared" si="2"/>
        <v>5229</v>
      </c>
      <c r="W55" s="126">
        <v>1</v>
      </c>
      <c r="X55" s="126" t="s">
        <v>44</v>
      </c>
      <c r="Y55" s="126" t="s">
        <v>46</v>
      </c>
      <c r="Z55" s="126" t="s">
        <v>54</v>
      </c>
      <c r="AA55" s="126" t="s">
        <v>115</v>
      </c>
      <c r="AB55" s="128" t="s">
        <v>166</v>
      </c>
    </row>
    <row r="56" spans="1:28" s="126" customFormat="1" ht="13.5" customHeight="1">
      <c r="A56" s="126" t="s">
        <v>49</v>
      </c>
      <c r="B56" s="126" t="s">
        <v>184</v>
      </c>
      <c r="C56" s="126">
        <v>2020</v>
      </c>
      <c r="D56" s="127" t="s">
        <v>415</v>
      </c>
      <c r="E56" s="126" t="s">
        <v>431</v>
      </c>
      <c r="F56" s="126" t="s">
        <v>429</v>
      </c>
      <c r="G56" s="126" t="s">
        <v>39</v>
      </c>
      <c r="H56" s="126" t="s">
        <v>40</v>
      </c>
      <c r="I56" s="126" t="s">
        <v>41</v>
      </c>
      <c r="J56" s="126" t="s">
        <v>42</v>
      </c>
      <c r="K56" s="126" t="s">
        <v>43</v>
      </c>
      <c r="L56" s="126">
        <v>1</v>
      </c>
      <c r="N56" s="126">
        <v>5</v>
      </c>
      <c r="O56" s="126">
        <v>1.5</v>
      </c>
      <c r="P56" s="126">
        <v>1.5</v>
      </c>
      <c r="Q56" s="137">
        <f t="shared" si="0"/>
        <v>1.5</v>
      </c>
      <c r="R56" s="126">
        <v>11.7</v>
      </c>
      <c r="S56" s="126">
        <v>86</v>
      </c>
      <c r="T56" s="138">
        <f>IF(H56="","",IF(OR(H56="GREEN",H56="GK"),IF(S56&gt;=$AX$2,VLOOKUP(S56,$AX$2:$AY$12,2,1),""),IF(S56&gt;=$AZ$2,VLOOKUP(S56,$AZ$2:$BA$12,2,1),"")))</f>
        <v>36</v>
      </c>
      <c r="U56" s="126">
        <v>398</v>
      </c>
      <c r="V56" s="138">
        <f t="shared" si="2"/>
        <v>2865.6</v>
      </c>
      <c r="W56" s="126">
        <v>2</v>
      </c>
      <c r="X56" s="126" t="s">
        <v>63</v>
      </c>
      <c r="Y56" s="126" t="s">
        <v>46</v>
      </c>
      <c r="Z56" s="126" t="s">
        <v>45</v>
      </c>
      <c r="AA56" s="126" t="s">
        <v>115</v>
      </c>
      <c r="AB56" s="128" t="s">
        <v>166</v>
      </c>
    </row>
    <row r="57" spans="1:28" s="126" customFormat="1" ht="13.5" customHeight="1">
      <c r="A57" s="126" t="s">
        <v>49</v>
      </c>
      <c r="B57" s="126" t="s">
        <v>184</v>
      </c>
      <c r="C57" s="126">
        <v>2020</v>
      </c>
      <c r="D57" s="127" t="s">
        <v>415</v>
      </c>
      <c r="E57" s="126" t="s">
        <v>431</v>
      </c>
      <c r="F57" s="126" t="s">
        <v>429</v>
      </c>
      <c r="G57" s="126" t="s">
        <v>39</v>
      </c>
      <c r="H57" s="126" t="s">
        <v>40</v>
      </c>
      <c r="I57" s="126" t="s">
        <v>41</v>
      </c>
      <c r="J57" s="126" t="s">
        <v>42</v>
      </c>
      <c r="K57" s="126" t="s">
        <v>43</v>
      </c>
      <c r="L57" s="126">
        <v>2</v>
      </c>
      <c r="N57" s="126">
        <v>5</v>
      </c>
      <c r="O57" s="126">
        <v>1.5</v>
      </c>
      <c r="P57" s="126">
        <v>1.5</v>
      </c>
      <c r="Q57" s="137">
        <f t="shared" si="0"/>
        <v>1.5</v>
      </c>
      <c r="R57" s="126">
        <v>11.8</v>
      </c>
      <c r="S57" s="126">
        <v>91</v>
      </c>
      <c r="T57" s="138">
        <f>IF(H57="","",IF(OR(H57="GREEN",H57="GK"),IF(S57&gt;=$AX$2,VLOOKUP(S57,$AX$2:$AY$12,2,1),""),IF(S57&gt;=$AZ$2,VLOOKUP(S57,$AZ$2:$BA$12,2,1),"")))</f>
        <v>36</v>
      </c>
      <c r="U57" s="126">
        <v>398</v>
      </c>
      <c r="V57" s="138">
        <f t="shared" si="2"/>
        <v>2865.6</v>
      </c>
      <c r="W57" s="126">
        <v>2</v>
      </c>
      <c r="X57" s="126" t="s">
        <v>63</v>
      </c>
      <c r="Y57" s="126" t="s">
        <v>46</v>
      </c>
      <c r="Z57" s="126" t="s">
        <v>45</v>
      </c>
      <c r="AA57" s="126" t="s">
        <v>115</v>
      </c>
      <c r="AB57" s="128" t="s">
        <v>166</v>
      </c>
    </row>
    <row r="58" spans="1:28" s="126" customFormat="1" ht="13.5" customHeight="1">
      <c r="A58" s="126" t="s">
        <v>49</v>
      </c>
      <c r="B58" s="126" t="s">
        <v>184</v>
      </c>
      <c r="C58" s="126">
        <v>2020</v>
      </c>
      <c r="D58" s="127" t="s">
        <v>415</v>
      </c>
      <c r="E58" s="126" t="s">
        <v>431</v>
      </c>
      <c r="F58" s="126" t="s">
        <v>429</v>
      </c>
      <c r="G58" s="126" t="s">
        <v>39</v>
      </c>
      <c r="H58" s="126" t="s">
        <v>40</v>
      </c>
      <c r="I58" s="126" t="s">
        <v>41</v>
      </c>
      <c r="J58" s="126" t="s">
        <v>42</v>
      </c>
      <c r="K58" s="126" t="s">
        <v>43</v>
      </c>
      <c r="L58" s="126">
        <v>3</v>
      </c>
      <c r="N58" s="126">
        <v>5</v>
      </c>
      <c r="O58" s="126">
        <v>1.3</v>
      </c>
      <c r="P58" s="126">
        <v>1.4</v>
      </c>
      <c r="Q58" s="137">
        <f t="shared" si="0"/>
        <v>1.35</v>
      </c>
      <c r="R58" s="126">
        <v>12.3</v>
      </c>
      <c r="S58" s="126">
        <v>87</v>
      </c>
      <c r="T58" s="138">
        <f t="shared" si="1"/>
        <v>36</v>
      </c>
      <c r="U58" s="126">
        <v>398</v>
      </c>
      <c r="V58" s="138">
        <f t="shared" si="2"/>
        <v>2865.6</v>
      </c>
      <c r="W58" s="126">
        <v>2</v>
      </c>
      <c r="X58" s="126" t="s">
        <v>63</v>
      </c>
      <c r="Y58" s="126" t="s">
        <v>46</v>
      </c>
      <c r="Z58" s="126" t="s">
        <v>45</v>
      </c>
      <c r="AA58" s="126" t="s">
        <v>115</v>
      </c>
      <c r="AB58" s="128" t="s">
        <v>166</v>
      </c>
    </row>
    <row r="59" spans="1:28" s="126" customFormat="1" ht="13.5" customHeight="1">
      <c r="A59" s="126" t="s">
        <v>49</v>
      </c>
      <c r="B59" s="126" t="s">
        <v>184</v>
      </c>
      <c r="C59" s="126">
        <v>2020</v>
      </c>
      <c r="D59" s="127" t="s">
        <v>415</v>
      </c>
      <c r="E59" s="126" t="s">
        <v>431</v>
      </c>
      <c r="F59" s="126" t="s">
        <v>429</v>
      </c>
      <c r="G59" s="126" t="s">
        <v>39</v>
      </c>
      <c r="H59" s="126" t="s">
        <v>156</v>
      </c>
      <c r="I59" s="126" t="s">
        <v>41</v>
      </c>
      <c r="J59" s="126" t="s">
        <v>42</v>
      </c>
      <c r="K59" s="126" t="s">
        <v>78</v>
      </c>
      <c r="L59" s="126">
        <v>1</v>
      </c>
      <c r="N59" s="126">
        <v>1</v>
      </c>
      <c r="O59" s="126">
        <v>1.5</v>
      </c>
      <c r="P59" s="126">
        <v>1.5</v>
      </c>
      <c r="Q59" s="137">
        <f t="shared" si="0"/>
        <v>1.5</v>
      </c>
      <c r="R59" s="126">
        <v>17</v>
      </c>
      <c r="S59" s="126">
        <v>108</v>
      </c>
      <c r="T59" s="138">
        <f t="shared" si="1"/>
        <v>36</v>
      </c>
      <c r="U59" s="126">
        <v>158</v>
      </c>
      <c r="V59" s="138">
        <f t="shared" si="2"/>
        <v>5688</v>
      </c>
      <c r="W59" s="126">
        <v>1</v>
      </c>
      <c r="X59" s="126" t="s">
        <v>63</v>
      </c>
      <c r="Y59" s="126" t="s">
        <v>46</v>
      </c>
      <c r="Z59" s="126" t="s">
        <v>45</v>
      </c>
      <c r="AA59" s="126" t="s">
        <v>115</v>
      </c>
      <c r="AB59" s="128" t="s">
        <v>166</v>
      </c>
    </row>
    <row r="60" spans="1:28" s="126" customFormat="1" ht="13.5" customHeight="1">
      <c r="A60" s="126" t="s">
        <v>49</v>
      </c>
      <c r="B60" s="126" t="s">
        <v>184</v>
      </c>
      <c r="C60" s="126">
        <v>2020</v>
      </c>
      <c r="D60" s="127" t="s">
        <v>415</v>
      </c>
      <c r="E60" s="126" t="s">
        <v>431</v>
      </c>
      <c r="F60" s="126" t="s">
        <v>429</v>
      </c>
      <c r="G60" s="126" t="s">
        <v>39</v>
      </c>
      <c r="H60" s="126" t="s">
        <v>156</v>
      </c>
      <c r="I60" s="126" t="s">
        <v>41</v>
      </c>
      <c r="J60" s="126" t="s">
        <v>42</v>
      </c>
      <c r="K60" s="126" t="s">
        <v>78</v>
      </c>
      <c r="L60" s="126">
        <v>2</v>
      </c>
      <c r="N60" s="126">
        <v>1</v>
      </c>
      <c r="O60" s="126">
        <v>1.25</v>
      </c>
      <c r="P60" s="126">
        <v>1.3</v>
      </c>
      <c r="Q60" s="137">
        <f t="shared" si="0"/>
        <v>1.2749999999999999</v>
      </c>
      <c r="R60" s="126">
        <v>12.1</v>
      </c>
      <c r="S60" s="126">
        <v>105</v>
      </c>
      <c r="T60" s="138">
        <f t="shared" si="1"/>
        <v>36</v>
      </c>
      <c r="U60" s="126">
        <v>158</v>
      </c>
      <c r="V60" s="138">
        <f t="shared" si="2"/>
        <v>5688</v>
      </c>
      <c r="W60" s="126">
        <v>1</v>
      </c>
      <c r="X60" s="126" t="s">
        <v>63</v>
      </c>
      <c r="Y60" s="126" t="s">
        <v>46</v>
      </c>
      <c r="Z60" s="126" t="s">
        <v>45</v>
      </c>
      <c r="AA60" s="126" t="s">
        <v>115</v>
      </c>
      <c r="AB60" s="128" t="s">
        <v>166</v>
      </c>
    </row>
    <row r="61" spans="1:28" s="126" customFormat="1" ht="13.5" customHeight="1">
      <c r="A61" s="126" t="s">
        <v>49</v>
      </c>
      <c r="B61" s="126" t="s">
        <v>184</v>
      </c>
      <c r="C61" s="126">
        <v>2020</v>
      </c>
      <c r="D61" s="127" t="s">
        <v>415</v>
      </c>
      <c r="E61" s="126" t="s">
        <v>431</v>
      </c>
      <c r="F61" s="126" t="s">
        <v>429</v>
      </c>
      <c r="G61" s="126" t="s">
        <v>39</v>
      </c>
      <c r="H61" s="126" t="s">
        <v>156</v>
      </c>
      <c r="I61" s="126" t="s">
        <v>41</v>
      </c>
      <c r="J61" s="126" t="s">
        <v>42</v>
      </c>
      <c r="K61" s="126" t="s">
        <v>78</v>
      </c>
      <c r="L61" s="126">
        <v>3</v>
      </c>
      <c r="N61" s="126">
        <v>1</v>
      </c>
      <c r="O61" s="126">
        <v>1.1000000000000001</v>
      </c>
      <c r="P61" s="126">
        <v>1</v>
      </c>
      <c r="Q61" s="137">
        <f t="shared" si="0"/>
        <v>1.05</v>
      </c>
      <c r="R61" s="126">
        <v>11.6</v>
      </c>
      <c r="S61" s="126">
        <v>102</v>
      </c>
      <c r="T61" s="138">
        <f t="shared" si="1"/>
        <v>36</v>
      </c>
      <c r="U61" s="126">
        <v>158</v>
      </c>
      <c r="V61" s="138">
        <f t="shared" si="2"/>
        <v>5688</v>
      </c>
      <c r="W61" s="126">
        <v>1</v>
      </c>
      <c r="X61" s="126" t="s">
        <v>63</v>
      </c>
      <c r="Y61" s="126" t="s">
        <v>46</v>
      </c>
      <c r="Z61" s="126" t="s">
        <v>45</v>
      </c>
      <c r="AA61" s="126" t="s">
        <v>115</v>
      </c>
      <c r="AB61" s="128" t="s">
        <v>166</v>
      </c>
    </row>
    <row r="62" spans="1:28" s="126" customFormat="1" ht="13.5" customHeight="1">
      <c r="A62" s="126" t="s">
        <v>49</v>
      </c>
      <c r="B62" s="126" t="s">
        <v>184</v>
      </c>
      <c r="C62" s="126">
        <v>2020</v>
      </c>
      <c r="D62" s="127" t="s">
        <v>415</v>
      </c>
      <c r="E62" s="126" t="s">
        <v>395</v>
      </c>
      <c r="F62" s="126" t="s">
        <v>419</v>
      </c>
      <c r="G62" s="126" t="s">
        <v>39</v>
      </c>
      <c r="H62" s="126" t="s">
        <v>40</v>
      </c>
      <c r="I62" s="126" t="s">
        <v>41</v>
      </c>
      <c r="J62" s="126" t="s">
        <v>42</v>
      </c>
      <c r="K62" s="126" t="s">
        <v>43</v>
      </c>
      <c r="L62" s="126">
        <v>1</v>
      </c>
      <c r="N62" s="126">
        <v>1</v>
      </c>
      <c r="O62" s="126">
        <v>1.6</v>
      </c>
      <c r="P62" s="126">
        <v>1.6</v>
      </c>
      <c r="Q62" s="137">
        <f t="shared" si="0"/>
        <v>1.6</v>
      </c>
      <c r="R62" s="126">
        <v>11.2</v>
      </c>
      <c r="S62" s="126">
        <v>117</v>
      </c>
      <c r="T62" s="138">
        <f t="shared" si="1"/>
        <v>30</v>
      </c>
      <c r="U62" s="126">
        <v>100</v>
      </c>
      <c r="V62" s="138">
        <f t="shared" si="2"/>
        <v>3000</v>
      </c>
      <c r="W62" s="126">
        <v>3</v>
      </c>
      <c r="X62" s="126" t="s">
        <v>63</v>
      </c>
      <c r="Y62" s="126" t="s">
        <v>46</v>
      </c>
      <c r="Z62" s="126" t="s">
        <v>54</v>
      </c>
      <c r="AA62" s="126" t="s">
        <v>45</v>
      </c>
      <c r="AB62" s="128" t="s">
        <v>166</v>
      </c>
    </row>
    <row r="63" spans="1:28" s="126" customFormat="1" ht="13.5" customHeight="1">
      <c r="A63" s="126" t="s">
        <v>49</v>
      </c>
      <c r="B63" s="126" t="s">
        <v>184</v>
      </c>
      <c r="C63" s="126">
        <v>2020</v>
      </c>
      <c r="D63" s="127" t="s">
        <v>415</v>
      </c>
      <c r="E63" s="126" t="s">
        <v>395</v>
      </c>
      <c r="F63" s="126" t="s">
        <v>419</v>
      </c>
      <c r="G63" s="126" t="s">
        <v>39</v>
      </c>
      <c r="H63" s="126" t="s">
        <v>40</v>
      </c>
      <c r="I63" s="126" t="s">
        <v>41</v>
      </c>
      <c r="J63" s="126" t="s">
        <v>42</v>
      </c>
      <c r="K63" s="126" t="s">
        <v>43</v>
      </c>
      <c r="L63" s="126">
        <v>2</v>
      </c>
      <c r="N63" s="126">
        <v>1</v>
      </c>
      <c r="O63" s="126">
        <v>0.75</v>
      </c>
      <c r="P63" s="126">
        <v>0.75</v>
      </c>
      <c r="Q63" s="137">
        <f t="shared" si="0"/>
        <v>0.75</v>
      </c>
      <c r="R63" s="126">
        <v>11.6</v>
      </c>
      <c r="S63" s="126">
        <v>121</v>
      </c>
      <c r="T63" s="138">
        <f t="shared" si="1"/>
        <v>27</v>
      </c>
      <c r="U63" s="126">
        <v>100</v>
      </c>
      <c r="V63" s="138">
        <f t="shared" si="2"/>
        <v>2700</v>
      </c>
      <c r="W63" s="126">
        <v>3</v>
      </c>
      <c r="X63" s="126" t="s">
        <v>63</v>
      </c>
      <c r="Y63" s="126" t="s">
        <v>46</v>
      </c>
      <c r="Z63" s="126" t="s">
        <v>54</v>
      </c>
      <c r="AA63" s="126" t="s">
        <v>45</v>
      </c>
      <c r="AB63" s="128" t="s">
        <v>166</v>
      </c>
    </row>
    <row r="64" spans="1:28" s="126" customFormat="1" ht="13.5" customHeight="1">
      <c r="A64" s="126" t="s">
        <v>49</v>
      </c>
      <c r="B64" s="126" t="s">
        <v>184</v>
      </c>
      <c r="C64" s="126">
        <v>2020</v>
      </c>
      <c r="D64" s="127" t="s">
        <v>415</v>
      </c>
      <c r="E64" s="126" t="s">
        <v>395</v>
      </c>
      <c r="F64" s="126" t="s">
        <v>419</v>
      </c>
      <c r="G64" s="126" t="s">
        <v>39</v>
      </c>
      <c r="H64" s="126" t="s">
        <v>40</v>
      </c>
      <c r="I64" s="126" t="s">
        <v>41</v>
      </c>
      <c r="J64" s="126" t="s">
        <v>42</v>
      </c>
      <c r="K64" s="126" t="s">
        <v>43</v>
      </c>
      <c r="L64" s="126">
        <v>3</v>
      </c>
      <c r="N64" s="126">
        <v>1</v>
      </c>
      <c r="O64" s="126">
        <v>1.25</v>
      </c>
      <c r="P64" s="126">
        <v>1.3</v>
      </c>
      <c r="Q64" s="137">
        <f t="shared" si="0"/>
        <v>1.2749999999999999</v>
      </c>
      <c r="R64" s="126">
        <v>12.1</v>
      </c>
      <c r="S64" s="126">
        <v>111</v>
      </c>
      <c r="T64" s="138">
        <f t="shared" si="1"/>
        <v>33</v>
      </c>
      <c r="U64" s="126">
        <v>100</v>
      </c>
      <c r="V64" s="138">
        <f t="shared" si="2"/>
        <v>3300</v>
      </c>
      <c r="W64" s="126">
        <v>3</v>
      </c>
      <c r="X64" s="126" t="s">
        <v>63</v>
      </c>
      <c r="Y64" s="126" t="s">
        <v>46</v>
      </c>
      <c r="Z64" s="126" t="s">
        <v>54</v>
      </c>
      <c r="AA64" s="126" t="s">
        <v>45</v>
      </c>
      <c r="AB64" s="128" t="s">
        <v>166</v>
      </c>
    </row>
    <row r="65" spans="1:28" s="126" customFormat="1" ht="13.5" customHeight="1">
      <c r="A65" s="126" t="s">
        <v>49</v>
      </c>
      <c r="B65" s="126" t="s">
        <v>184</v>
      </c>
      <c r="C65" s="126">
        <v>2020</v>
      </c>
      <c r="D65" s="127" t="s">
        <v>415</v>
      </c>
      <c r="E65" s="126" t="s">
        <v>395</v>
      </c>
      <c r="F65" s="126" t="s">
        <v>419</v>
      </c>
      <c r="G65" s="126" t="s">
        <v>39</v>
      </c>
      <c r="H65" s="126" t="s">
        <v>40</v>
      </c>
      <c r="I65" s="126" t="s">
        <v>41</v>
      </c>
      <c r="J65" s="126" t="s">
        <v>42</v>
      </c>
      <c r="K65" s="126" t="s">
        <v>43</v>
      </c>
      <c r="L65" s="126">
        <v>1</v>
      </c>
      <c r="N65" s="126">
        <v>5</v>
      </c>
      <c r="O65" s="126">
        <v>0.8</v>
      </c>
      <c r="P65" s="126">
        <v>0.9</v>
      </c>
      <c r="Q65" s="137">
        <f t="shared" si="0"/>
        <v>0.85000000000000009</v>
      </c>
      <c r="R65" s="126">
        <v>12.2</v>
      </c>
      <c r="S65" s="126">
        <v>85</v>
      </c>
      <c r="T65" s="138">
        <f t="shared" si="1"/>
        <v>36</v>
      </c>
      <c r="U65" s="126">
        <v>398</v>
      </c>
      <c r="V65" s="138">
        <f t="shared" si="2"/>
        <v>2865.6</v>
      </c>
      <c r="W65" s="126">
        <v>1</v>
      </c>
      <c r="X65" s="126" t="s">
        <v>63</v>
      </c>
      <c r="Y65" s="126" t="s">
        <v>46</v>
      </c>
      <c r="Z65" s="126" t="s">
        <v>54</v>
      </c>
      <c r="AA65" s="126" t="s">
        <v>45</v>
      </c>
      <c r="AB65" s="128" t="s">
        <v>166</v>
      </c>
    </row>
    <row r="66" spans="1:28" s="126" customFormat="1" ht="13.5" customHeight="1">
      <c r="A66" s="126" t="s">
        <v>49</v>
      </c>
      <c r="B66" s="126" t="s">
        <v>184</v>
      </c>
      <c r="C66" s="126">
        <v>2020</v>
      </c>
      <c r="D66" s="127" t="s">
        <v>415</v>
      </c>
      <c r="E66" s="126" t="s">
        <v>395</v>
      </c>
      <c r="F66" s="126" t="s">
        <v>419</v>
      </c>
      <c r="G66" s="126" t="s">
        <v>39</v>
      </c>
      <c r="H66" s="126" t="s">
        <v>40</v>
      </c>
      <c r="I66" s="126" t="s">
        <v>41</v>
      </c>
      <c r="J66" s="126" t="s">
        <v>42</v>
      </c>
      <c r="K66" s="126" t="s">
        <v>43</v>
      </c>
      <c r="L66" s="126">
        <v>2</v>
      </c>
      <c r="N66" s="126">
        <v>5</v>
      </c>
      <c r="O66" s="126">
        <v>1.5</v>
      </c>
      <c r="P66" s="126">
        <v>1.7</v>
      </c>
      <c r="Q66" s="137">
        <f t="shared" si="0"/>
        <v>1.6</v>
      </c>
      <c r="R66" s="126">
        <v>12.3</v>
      </c>
      <c r="S66" s="126">
        <v>85</v>
      </c>
      <c r="T66" s="138">
        <f t="shared" si="1"/>
        <v>36</v>
      </c>
      <c r="U66" s="126">
        <v>398</v>
      </c>
      <c r="V66" s="138">
        <f t="shared" si="2"/>
        <v>2865.6</v>
      </c>
      <c r="W66" s="126">
        <v>1</v>
      </c>
      <c r="X66" s="126" t="s">
        <v>63</v>
      </c>
      <c r="Y66" s="126" t="s">
        <v>46</v>
      </c>
      <c r="Z66" s="126" t="s">
        <v>54</v>
      </c>
      <c r="AA66" s="126" t="s">
        <v>45</v>
      </c>
      <c r="AB66" s="128" t="s">
        <v>166</v>
      </c>
    </row>
    <row r="67" spans="1:28" s="126" customFormat="1" ht="13.5" customHeight="1">
      <c r="A67" s="126" t="s">
        <v>49</v>
      </c>
      <c r="B67" s="126" t="s">
        <v>184</v>
      </c>
      <c r="C67" s="126">
        <v>2020</v>
      </c>
      <c r="D67" s="127" t="s">
        <v>415</v>
      </c>
      <c r="E67" s="126" t="s">
        <v>395</v>
      </c>
      <c r="F67" s="126" t="s">
        <v>419</v>
      </c>
      <c r="G67" s="126" t="s">
        <v>39</v>
      </c>
      <c r="H67" s="126" t="s">
        <v>40</v>
      </c>
      <c r="I67" s="126" t="s">
        <v>41</v>
      </c>
      <c r="J67" s="126" t="s">
        <v>42</v>
      </c>
      <c r="K67" s="126" t="s">
        <v>43</v>
      </c>
      <c r="L67" s="126">
        <v>3</v>
      </c>
      <c r="N67" s="126">
        <v>5</v>
      </c>
      <c r="O67" s="126">
        <v>1</v>
      </c>
      <c r="P67" s="126">
        <v>1.2</v>
      </c>
      <c r="Q67" s="137">
        <f t="shared" si="0"/>
        <v>1.1000000000000001</v>
      </c>
      <c r="R67" s="126">
        <v>12.3</v>
      </c>
      <c r="S67" s="126">
        <v>90</v>
      </c>
      <c r="T67" s="138">
        <f t="shared" si="1"/>
        <v>36</v>
      </c>
      <c r="U67" s="126">
        <v>398</v>
      </c>
      <c r="V67" s="138">
        <f t="shared" si="2"/>
        <v>2865.6</v>
      </c>
      <c r="W67" s="126">
        <v>1</v>
      </c>
      <c r="X67" s="126" t="s">
        <v>63</v>
      </c>
      <c r="Y67" s="126" t="s">
        <v>46</v>
      </c>
      <c r="Z67" s="126" t="s">
        <v>54</v>
      </c>
      <c r="AA67" s="126" t="s">
        <v>45</v>
      </c>
      <c r="AB67" s="128" t="s">
        <v>166</v>
      </c>
    </row>
    <row r="68" spans="1:28" s="126" customFormat="1" ht="13.5" customHeight="1">
      <c r="A68" s="126" t="s">
        <v>49</v>
      </c>
      <c r="B68" s="126" t="s">
        <v>184</v>
      </c>
      <c r="C68" s="126">
        <v>2020</v>
      </c>
      <c r="D68" s="127" t="s">
        <v>415</v>
      </c>
      <c r="E68" s="126" t="s">
        <v>395</v>
      </c>
      <c r="F68" s="126" t="s">
        <v>419</v>
      </c>
      <c r="G68" s="126" t="s">
        <v>39</v>
      </c>
      <c r="H68" s="126" t="s">
        <v>156</v>
      </c>
      <c r="I68" s="126" t="s">
        <v>41</v>
      </c>
      <c r="J68" s="126" t="s">
        <v>42</v>
      </c>
      <c r="K68" s="126" t="s">
        <v>78</v>
      </c>
      <c r="L68" s="126">
        <v>1</v>
      </c>
      <c r="N68" s="126">
        <v>1</v>
      </c>
      <c r="O68" s="126">
        <v>1.1000000000000001</v>
      </c>
      <c r="P68" s="126">
        <v>0.9</v>
      </c>
      <c r="Q68" s="137">
        <f t="shared" si="0"/>
        <v>1</v>
      </c>
      <c r="R68" s="126">
        <v>15.3</v>
      </c>
      <c r="S68" s="126">
        <v>131</v>
      </c>
      <c r="T68" s="138">
        <f t="shared" si="1"/>
        <v>27</v>
      </c>
      <c r="U68" s="126">
        <v>198</v>
      </c>
      <c r="V68" s="138">
        <f t="shared" si="2"/>
        <v>5346</v>
      </c>
      <c r="W68" s="126">
        <v>2</v>
      </c>
      <c r="X68" s="126" t="s">
        <v>63</v>
      </c>
      <c r="Y68" s="126" t="s">
        <v>46</v>
      </c>
      <c r="Z68" s="126" t="s">
        <v>54</v>
      </c>
      <c r="AA68" s="126" t="s">
        <v>45</v>
      </c>
      <c r="AB68" s="128" t="s">
        <v>166</v>
      </c>
    </row>
    <row r="69" spans="1:28" s="126" customFormat="1" ht="13.5" customHeight="1">
      <c r="A69" s="126" t="s">
        <v>49</v>
      </c>
      <c r="B69" s="126" t="s">
        <v>184</v>
      </c>
      <c r="C69" s="126">
        <v>2020</v>
      </c>
      <c r="D69" s="127" t="s">
        <v>415</v>
      </c>
      <c r="E69" s="126" t="s">
        <v>395</v>
      </c>
      <c r="F69" s="126" t="s">
        <v>419</v>
      </c>
      <c r="G69" s="126" t="s">
        <v>39</v>
      </c>
      <c r="H69" s="126" t="s">
        <v>156</v>
      </c>
      <c r="I69" s="126" t="s">
        <v>41</v>
      </c>
      <c r="J69" s="126" t="s">
        <v>42</v>
      </c>
      <c r="K69" s="126" t="s">
        <v>78</v>
      </c>
      <c r="L69" s="126">
        <v>2</v>
      </c>
      <c r="N69" s="126">
        <v>1</v>
      </c>
      <c r="O69" s="126">
        <v>0.9</v>
      </c>
      <c r="P69" s="126">
        <v>1</v>
      </c>
      <c r="Q69" s="137">
        <f t="shared" si="0"/>
        <v>0.95</v>
      </c>
      <c r="R69" s="126">
        <v>15.6</v>
      </c>
      <c r="S69" s="126">
        <v>125</v>
      </c>
      <c r="T69" s="138">
        <f t="shared" si="1"/>
        <v>30</v>
      </c>
      <c r="U69" s="126">
        <v>198</v>
      </c>
      <c r="V69" s="138">
        <f t="shared" si="2"/>
        <v>5940</v>
      </c>
      <c r="W69" s="126">
        <v>2</v>
      </c>
      <c r="X69" s="126" t="s">
        <v>63</v>
      </c>
      <c r="Y69" s="126" t="s">
        <v>46</v>
      </c>
      <c r="Z69" s="126" t="s">
        <v>54</v>
      </c>
      <c r="AA69" s="126" t="s">
        <v>45</v>
      </c>
      <c r="AB69" s="128" t="s">
        <v>166</v>
      </c>
    </row>
    <row r="70" spans="1:28" s="126" customFormat="1" ht="13.5" customHeight="1">
      <c r="A70" s="126" t="s">
        <v>49</v>
      </c>
      <c r="B70" s="126" t="s">
        <v>184</v>
      </c>
      <c r="C70" s="126">
        <v>2020</v>
      </c>
      <c r="D70" s="127" t="s">
        <v>415</v>
      </c>
      <c r="E70" s="126" t="s">
        <v>395</v>
      </c>
      <c r="F70" s="126" t="s">
        <v>419</v>
      </c>
      <c r="G70" s="126" t="s">
        <v>39</v>
      </c>
      <c r="H70" s="126" t="s">
        <v>156</v>
      </c>
      <c r="I70" s="126" t="s">
        <v>41</v>
      </c>
      <c r="J70" s="126" t="s">
        <v>42</v>
      </c>
      <c r="K70" s="126" t="s">
        <v>78</v>
      </c>
      <c r="L70" s="126">
        <v>3</v>
      </c>
      <c r="N70" s="126">
        <v>1</v>
      </c>
      <c r="O70" s="126">
        <v>0.9</v>
      </c>
      <c r="P70" s="126">
        <v>1</v>
      </c>
      <c r="Q70" s="137">
        <f t="shared" si="0"/>
        <v>0.95</v>
      </c>
      <c r="R70" s="126">
        <v>10.8</v>
      </c>
      <c r="S70" s="126">
        <v>120</v>
      </c>
      <c r="T70" s="138">
        <f t="shared" si="1"/>
        <v>30</v>
      </c>
      <c r="U70" s="126">
        <v>198</v>
      </c>
      <c r="V70" s="138">
        <f t="shared" si="2"/>
        <v>5940</v>
      </c>
      <c r="W70" s="126">
        <v>2</v>
      </c>
      <c r="X70" s="126" t="s">
        <v>63</v>
      </c>
      <c r="Y70" s="126" t="s">
        <v>46</v>
      </c>
      <c r="Z70" s="126" t="s">
        <v>54</v>
      </c>
      <c r="AA70" s="126" t="s">
        <v>45</v>
      </c>
      <c r="AB70" s="128" t="s">
        <v>166</v>
      </c>
    </row>
    <row r="71" spans="1:28" ht="18.75">
      <c r="D71" s="123"/>
      <c r="Q71" s="124" t="str">
        <f t="shared" si="0"/>
        <v/>
      </c>
      <c r="T71" s="24" t="str">
        <f t="shared" si="1"/>
        <v/>
      </c>
      <c r="V71" s="24" t="str">
        <f t="shared" si="2"/>
        <v/>
      </c>
      <c r="AB71" s="72"/>
    </row>
    <row r="72" spans="1:28" ht="18.75">
      <c r="D72" s="123"/>
      <c r="Q72" s="124" t="str">
        <f t="shared" ref="Q72:Q135" si="3">IF(OR(O72="",P72=""),"",AVERAGE(O72,P72))</f>
        <v/>
      </c>
      <c r="T72" s="24" t="str">
        <f t="shared" si="1"/>
        <v/>
      </c>
      <c r="V72" s="24" t="str">
        <f t="shared" si="2"/>
        <v/>
      </c>
      <c r="AB72" s="72"/>
    </row>
    <row r="73" spans="1:28" ht="18.75">
      <c r="D73" s="123"/>
      <c r="Q73" s="124" t="str">
        <f t="shared" si="3"/>
        <v/>
      </c>
      <c r="T73" s="24" t="str">
        <f t="shared" si="1"/>
        <v/>
      </c>
      <c r="V73" s="24" t="str">
        <f t="shared" si="2"/>
        <v/>
      </c>
      <c r="AB73" s="72"/>
    </row>
    <row r="74" spans="1:28" ht="18.75">
      <c r="D74" s="123"/>
      <c r="Q74" s="124" t="str">
        <f t="shared" si="3"/>
        <v/>
      </c>
      <c r="T74" s="24" t="str">
        <f t="shared" si="1"/>
        <v/>
      </c>
      <c r="V74" s="24" t="str">
        <f t="shared" si="2"/>
        <v/>
      </c>
      <c r="AB74" s="72"/>
    </row>
    <row r="75" spans="1:28" ht="18.75">
      <c r="D75" s="123"/>
      <c r="Q75" s="124" t="str">
        <f t="shared" si="3"/>
        <v/>
      </c>
      <c r="T75" s="24" t="str">
        <f t="shared" si="1"/>
        <v/>
      </c>
      <c r="V75" s="24" t="str">
        <f t="shared" si="2"/>
        <v/>
      </c>
      <c r="AB75" s="72"/>
    </row>
    <row r="76" spans="1:28" ht="18.75">
      <c r="D76" s="123"/>
      <c r="Q76" s="124" t="str">
        <f t="shared" si="3"/>
        <v/>
      </c>
      <c r="T76" s="24" t="str">
        <f t="shared" si="1"/>
        <v/>
      </c>
      <c r="V76" s="24" t="str">
        <f t="shared" si="2"/>
        <v/>
      </c>
      <c r="AB76" s="72"/>
    </row>
    <row r="77" spans="1:28" ht="18.75">
      <c r="D77" s="123"/>
      <c r="Q77" s="124" t="str">
        <f t="shared" si="3"/>
        <v/>
      </c>
      <c r="T77" s="24" t="str">
        <f t="shared" si="1"/>
        <v/>
      </c>
      <c r="V77" s="24" t="str">
        <f t="shared" si="2"/>
        <v/>
      </c>
      <c r="AB77" s="72"/>
    </row>
    <row r="78" spans="1:28" ht="18.75">
      <c r="D78" s="123"/>
      <c r="P78" s="72"/>
      <c r="Q78" s="124" t="str">
        <f t="shared" si="3"/>
        <v/>
      </c>
      <c r="T78" s="24" t="str">
        <f t="shared" si="1"/>
        <v/>
      </c>
      <c r="V78" s="24" t="str">
        <f t="shared" si="2"/>
        <v/>
      </c>
      <c r="AB78" s="72"/>
    </row>
    <row r="79" spans="1:28" ht="18.75">
      <c r="D79" s="123"/>
      <c r="Q79" s="124" t="str">
        <f t="shared" si="3"/>
        <v/>
      </c>
      <c r="T79" s="24" t="str">
        <f t="shared" si="1"/>
        <v/>
      </c>
      <c r="V79" s="24" t="str">
        <f t="shared" si="2"/>
        <v/>
      </c>
      <c r="AB79" s="72"/>
    </row>
    <row r="80" spans="1:28" ht="18.75">
      <c r="D80" s="123"/>
      <c r="Q80" s="124" t="str">
        <f t="shared" si="3"/>
        <v/>
      </c>
      <c r="T80" s="24" t="str">
        <f t="shared" si="1"/>
        <v/>
      </c>
      <c r="V80" s="24" t="str">
        <f t="shared" si="2"/>
        <v/>
      </c>
      <c r="AB80" s="72"/>
    </row>
    <row r="81" spans="2:28" ht="18.75">
      <c r="D81" s="123"/>
      <c r="Q81" s="124" t="str">
        <f t="shared" si="3"/>
        <v/>
      </c>
      <c r="T81" s="24" t="str">
        <f t="shared" si="1"/>
        <v/>
      </c>
      <c r="V81" s="24" t="str">
        <f t="shared" si="2"/>
        <v/>
      </c>
      <c r="AB81" s="72"/>
    </row>
    <row r="82" spans="2:28" ht="18.75">
      <c r="D82" s="123"/>
      <c r="Q82" s="124" t="str">
        <f t="shared" si="3"/>
        <v/>
      </c>
      <c r="T82" s="24" t="str">
        <f t="shared" si="1"/>
        <v/>
      </c>
      <c r="V82" s="24" t="str">
        <f t="shared" si="2"/>
        <v/>
      </c>
      <c r="AB82" s="72"/>
    </row>
    <row r="83" spans="2:28" ht="18.75">
      <c r="D83" s="123"/>
      <c r="Q83" s="124" t="str">
        <f t="shared" si="3"/>
        <v/>
      </c>
      <c r="T83" s="24" t="str">
        <f t="shared" si="1"/>
        <v/>
      </c>
      <c r="V83" s="24" t="str">
        <f t="shared" si="2"/>
        <v/>
      </c>
      <c r="AB83" s="72"/>
    </row>
    <row r="84" spans="2:28" ht="18.75">
      <c r="D84" s="123"/>
      <c r="Q84" s="124" t="str">
        <f t="shared" si="3"/>
        <v/>
      </c>
      <c r="T84" s="24" t="str">
        <f t="shared" si="1"/>
        <v/>
      </c>
      <c r="V84" s="24" t="str">
        <f t="shared" si="2"/>
        <v/>
      </c>
      <c r="AB84" s="72"/>
    </row>
    <row r="85" spans="2:28" ht="18.75">
      <c r="D85" s="123"/>
      <c r="Q85" s="124" t="str">
        <f t="shared" si="3"/>
        <v/>
      </c>
      <c r="T85" s="24" t="str">
        <f t="shared" si="1"/>
        <v/>
      </c>
      <c r="V85" s="24" t="str">
        <f t="shared" si="2"/>
        <v/>
      </c>
      <c r="AB85" s="72"/>
    </row>
    <row r="86" spans="2:28" ht="18.75">
      <c r="B86" s="72"/>
      <c r="D86" s="123"/>
      <c r="Q86" s="124" t="str">
        <f t="shared" si="3"/>
        <v/>
      </c>
      <c r="T86" s="24" t="str">
        <f t="shared" si="1"/>
        <v/>
      </c>
      <c r="V86" s="24" t="str">
        <f t="shared" si="2"/>
        <v/>
      </c>
      <c r="AB86" s="72"/>
    </row>
    <row r="87" spans="2:28" ht="18.75">
      <c r="B87" s="72"/>
      <c r="D87" s="123"/>
      <c r="Q87" s="124" t="str">
        <f t="shared" si="3"/>
        <v/>
      </c>
      <c r="T87" s="24" t="str">
        <f t="shared" si="1"/>
        <v/>
      </c>
      <c r="V87" s="24" t="str">
        <f t="shared" si="2"/>
        <v/>
      </c>
      <c r="AB87" s="72"/>
    </row>
    <row r="88" spans="2:28" ht="18.75">
      <c r="B88" s="72"/>
      <c r="D88" s="123"/>
      <c r="Q88" s="124" t="str">
        <f t="shared" si="3"/>
        <v/>
      </c>
      <c r="T88" s="24" t="str">
        <f t="shared" si="1"/>
        <v/>
      </c>
      <c r="V88" s="24" t="str">
        <f t="shared" si="2"/>
        <v/>
      </c>
      <c r="AB88" s="72"/>
    </row>
    <row r="89" spans="2:28" ht="18.75">
      <c r="B89" s="72"/>
      <c r="D89" s="123"/>
      <c r="Q89" s="124" t="str">
        <f t="shared" si="3"/>
        <v/>
      </c>
      <c r="T89" s="24" t="str">
        <f t="shared" si="1"/>
        <v/>
      </c>
      <c r="V89" s="24" t="str">
        <f t="shared" si="2"/>
        <v/>
      </c>
      <c r="AB89" s="72"/>
    </row>
    <row r="90" spans="2:28" ht="18.75">
      <c r="B90" s="72"/>
      <c r="D90" s="123"/>
      <c r="Q90" s="124" t="str">
        <f t="shared" si="3"/>
        <v/>
      </c>
      <c r="T90" s="24" t="str">
        <f t="shared" si="1"/>
        <v/>
      </c>
      <c r="V90" s="24" t="str">
        <f t="shared" si="2"/>
        <v/>
      </c>
      <c r="AB90" s="72"/>
    </row>
    <row r="91" spans="2:28" ht="18.75">
      <c r="B91" s="72"/>
      <c r="D91" s="123"/>
      <c r="Q91" s="124" t="str">
        <f t="shared" si="3"/>
        <v/>
      </c>
      <c r="T91" s="24" t="str">
        <f t="shared" si="1"/>
        <v/>
      </c>
      <c r="V91" s="24" t="str">
        <f t="shared" si="2"/>
        <v/>
      </c>
      <c r="AB91" s="72"/>
    </row>
    <row r="92" spans="2:28" ht="18.75">
      <c r="Q92" s="124" t="str">
        <f t="shared" si="3"/>
        <v/>
      </c>
      <c r="T92" s="24" t="str">
        <f t="shared" si="1"/>
        <v/>
      </c>
      <c r="V92" s="24" t="str">
        <f t="shared" si="2"/>
        <v/>
      </c>
      <c r="AB92" s="72"/>
    </row>
    <row r="93" spans="2:28" ht="18.75">
      <c r="Q93" s="124" t="str">
        <f t="shared" si="3"/>
        <v/>
      </c>
      <c r="T93" s="24" t="str">
        <f t="shared" si="1"/>
        <v/>
      </c>
      <c r="V93" s="24" t="str">
        <f t="shared" si="2"/>
        <v/>
      </c>
      <c r="AB93" s="72"/>
    </row>
    <row r="94" spans="2:28" ht="18.75">
      <c r="Q94" s="124" t="str">
        <f t="shared" si="3"/>
        <v/>
      </c>
      <c r="T94" s="24" t="str">
        <f t="shared" si="1"/>
        <v/>
      </c>
      <c r="V94" s="24" t="str">
        <f t="shared" si="2"/>
        <v/>
      </c>
      <c r="AB94" s="72"/>
    </row>
    <row r="95" spans="2:28" ht="18.75">
      <c r="Q95" s="124" t="str">
        <f t="shared" si="3"/>
        <v/>
      </c>
      <c r="T95" s="24" t="str">
        <f t="shared" si="1"/>
        <v/>
      </c>
      <c r="V95" s="24" t="str">
        <f t="shared" si="2"/>
        <v/>
      </c>
      <c r="AB95" s="72"/>
    </row>
    <row r="96" spans="2:28" ht="18.75">
      <c r="Q96" s="124" t="str">
        <f t="shared" si="3"/>
        <v/>
      </c>
      <c r="T96" s="24" t="str">
        <f t="shared" si="1"/>
        <v/>
      </c>
      <c r="V96" s="24" t="str">
        <f t="shared" si="2"/>
        <v/>
      </c>
      <c r="AB96" s="72"/>
    </row>
    <row r="97" spans="17:28" ht="18.75">
      <c r="Q97" s="124" t="str">
        <f t="shared" si="3"/>
        <v/>
      </c>
      <c r="T97" s="24" t="str">
        <f t="shared" si="1"/>
        <v/>
      </c>
      <c r="V97" s="24" t="str">
        <f t="shared" si="2"/>
        <v/>
      </c>
      <c r="AB97" s="72"/>
    </row>
    <row r="98" spans="17:28" ht="18.75">
      <c r="Q98" s="124" t="str">
        <f t="shared" si="3"/>
        <v/>
      </c>
      <c r="T98" s="24" t="str">
        <f t="shared" si="1"/>
        <v/>
      </c>
      <c r="V98" s="24" t="str">
        <f t="shared" si="2"/>
        <v/>
      </c>
      <c r="AB98" s="72"/>
    </row>
    <row r="99" spans="17:28" ht="18.75">
      <c r="Q99" s="124" t="str">
        <f t="shared" si="3"/>
        <v/>
      </c>
      <c r="T99" s="24" t="str">
        <f t="shared" si="1"/>
        <v/>
      </c>
      <c r="V99" s="24" t="str">
        <f t="shared" si="2"/>
        <v/>
      </c>
      <c r="AB99" s="72"/>
    </row>
    <row r="100" spans="17:28" ht="18.75">
      <c r="Q100" s="124" t="str">
        <f t="shared" si="3"/>
        <v/>
      </c>
      <c r="T100" s="24" t="str">
        <f t="shared" si="1"/>
        <v/>
      </c>
      <c r="V100" s="24" t="str">
        <f t="shared" si="2"/>
        <v/>
      </c>
      <c r="AB100" s="72"/>
    </row>
    <row r="101" spans="17:28" ht="18.75">
      <c r="Q101" s="124" t="str">
        <f t="shared" si="3"/>
        <v/>
      </c>
      <c r="T101" s="24" t="str">
        <f t="shared" si="1"/>
        <v/>
      </c>
      <c r="V101" s="24" t="str">
        <f t="shared" si="2"/>
        <v/>
      </c>
      <c r="AB101" s="72"/>
    </row>
    <row r="102" spans="17:28" ht="18.75">
      <c r="Q102" s="124" t="str">
        <f t="shared" si="3"/>
        <v/>
      </c>
      <c r="T102" s="24" t="str">
        <f t="shared" si="1"/>
        <v/>
      </c>
      <c r="V102" s="24" t="str">
        <f t="shared" si="2"/>
        <v/>
      </c>
      <c r="AB102" s="72"/>
    </row>
    <row r="103" spans="17:28" ht="18.75">
      <c r="Q103" s="124" t="str">
        <f t="shared" si="3"/>
        <v/>
      </c>
      <c r="T103" s="24" t="str">
        <f t="shared" si="1"/>
        <v/>
      </c>
      <c r="V103" s="24" t="str">
        <f t="shared" si="2"/>
        <v/>
      </c>
      <c r="AB103" s="72"/>
    </row>
    <row r="104" spans="17:28" ht="18.75">
      <c r="Q104" s="124" t="str">
        <f t="shared" si="3"/>
        <v/>
      </c>
      <c r="T104" s="24" t="str">
        <f t="shared" si="1"/>
        <v/>
      </c>
      <c r="V104" s="24" t="str">
        <f t="shared" si="2"/>
        <v/>
      </c>
      <c r="AB104" s="72"/>
    </row>
    <row r="105" spans="17:28" ht="18.75">
      <c r="Q105" s="124" t="str">
        <f t="shared" si="3"/>
        <v/>
      </c>
      <c r="T105" s="24" t="str">
        <f t="shared" si="1"/>
        <v/>
      </c>
      <c r="V105" s="24" t="str">
        <f t="shared" si="2"/>
        <v/>
      </c>
      <c r="AB105" s="72"/>
    </row>
    <row r="106" spans="17:28" ht="18.75">
      <c r="Q106" s="124" t="str">
        <f t="shared" si="3"/>
        <v/>
      </c>
      <c r="T106" s="24" t="str">
        <f t="shared" si="1"/>
        <v/>
      </c>
      <c r="V106" s="24" t="str">
        <f t="shared" si="2"/>
        <v/>
      </c>
      <c r="AB106" s="72"/>
    </row>
    <row r="107" spans="17:28">
      <c r="Q107" s="124" t="str">
        <f t="shared" si="3"/>
        <v/>
      </c>
      <c r="T107" s="24" t="str">
        <f t="shared" si="1"/>
        <v/>
      </c>
      <c r="V107" s="24" t="str">
        <f t="shared" si="2"/>
        <v/>
      </c>
    </row>
    <row r="108" spans="17:28">
      <c r="Q108" s="124" t="str">
        <f t="shared" si="3"/>
        <v/>
      </c>
      <c r="T108" s="24" t="str">
        <f t="shared" si="1"/>
        <v/>
      </c>
      <c r="V108" s="24" t="str">
        <f t="shared" si="2"/>
        <v/>
      </c>
    </row>
    <row r="109" spans="17:28">
      <c r="Q109" s="124" t="str">
        <f t="shared" si="3"/>
        <v/>
      </c>
      <c r="T109" s="24" t="str">
        <f t="shared" si="1"/>
        <v/>
      </c>
      <c r="V109" s="24" t="str">
        <f t="shared" si="2"/>
        <v/>
      </c>
    </row>
    <row r="110" spans="17:28">
      <c r="Q110" s="124" t="str">
        <f t="shared" si="3"/>
        <v/>
      </c>
      <c r="T110" s="24" t="str">
        <f t="shared" si="1"/>
        <v/>
      </c>
      <c r="V110" s="24" t="str">
        <f t="shared" si="2"/>
        <v/>
      </c>
    </row>
    <row r="111" spans="17:28">
      <c r="Q111" s="124" t="str">
        <f t="shared" si="3"/>
        <v/>
      </c>
      <c r="T111" s="24" t="str">
        <f t="shared" si="1"/>
        <v/>
      </c>
      <c r="V111" s="24" t="str">
        <f t="shared" si="2"/>
        <v/>
      </c>
    </row>
    <row r="112" spans="17:28">
      <c r="Q112" s="124" t="str">
        <f t="shared" si="3"/>
        <v/>
      </c>
      <c r="T112" s="24" t="str">
        <f t="shared" si="1"/>
        <v/>
      </c>
      <c r="V112" s="24" t="str">
        <f t="shared" si="2"/>
        <v/>
      </c>
    </row>
    <row r="113" spans="17:22">
      <c r="Q113" s="124" t="str">
        <f t="shared" si="3"/>
        <v/>
      </c>
      <c r="T113" s="24" t="str">
        <f t="shared" si="1"/>
        <v/>
      </c>
      <c r="V113" s="24" t="str">
        <f t="shared" si="2"/>
        <v/>
      </c>
    </row>
    <row r="114" spans="17:22">
      <c r="Q114" s="124" t="str">
        <f t="shared" si="3"/>
        <v/>
      </c>
      <c r="T114" s="24" t="str">
        <f t="shared" si="1"/>
        <v/>
      </c>
      <c r="V114" s="24" t="str">
        <f t="shared" si="2"/>
        <v/>
      </c>
    </row>
    <row r="115" spans="17:22">
      <c r="Q115" s="124" t="str">
        <f t="shared" si="3"/>
        <v/>
      </c>
      <c r="T115" s="24" t="str">
        <f t="shared" si="1"/>
        <v/>
      </c>
      <c r="V115" s="24" t="str">
        <f t="shared" si="2"/>
        <v/>
      </c>
    </row>
    <row r="116" spans="17:22">
      <c r="Q116" s="124" t="str">
        <f t="shared" si="3"/>
        <v/>
      </c>
      <c r="T116" s="24" t="str">
        <f t="shared" si="1"/>
        <v/>
      </c>
      <c r="V116" s="24" t="str">
        <f t="shared" si="2"/>
        <v/>
      </c>
    </row>
    <row r="117" spans="17:22">
      <c r="Q117" s="124" t="str">
        <f t="shared" si="3"/>
        <v/>
      </c>
      <c r="T117" s="24" t="str">
        <f t="shared" si="1"/>
        <v/>
      </c>
      <c r="V117" s="24" t="str">
        <f t="shared" si="2"/>
        <v/>
      </c>
    </row>
    <row r="118" spans="17:22">
      <c r="Q118" s="124" t="str">
        <f t="shared" si="3"/>
        <v/>
      </c>
      <c r="T118" s="24" t="str">
        <f t="shared" si="1"/>
        <v/>
      </c>
      <c r="V118" s="24" t="str">
        <f t="shared" si="2"/>
        <v/>
      </c>
    </row>
    <row r="119" spans="17:22">
      <c r="Q119" s="124" t="str">
        <f t="shared" si="3"/>
        <v/>
      </c>
      <c r="T119" s="24" t="str">
        <f t="shared" si="1"/>
        <v/>
      </c>
      <c r="V119" s="24" t="str">
        <f t="shared" si="2"/>
        <v/>
      </c>
    </row>
    <row r="120" spans="17:22">
      <c r="Q120" s="124" t="str">
        <f t="shared" si="3"/>
        <v/>
      </c>
      <c r="T120" s="24" t="str">
        <f t="shared" si="1"/>
        <v/>
      </c>
      <c r="V120" s="24" t="str">
        <f t="shared" si="2"/>
        <v/>
      </c>
    </row>
    <row r="121" spans="17:22">
      <c r="Q121" s="124" t="str">
        <f t="shared" si="3"/>
        <v/>
      </c>
      <c r="T121" s="24" t="str">
        <f t="shared" si="1"/>
        <v/>
      </c>
      <c r="V121" s="24" t="str">
        <f t="shared" si="2"/>
        <v/>
      </c>
    </row>
    <row r="122" spans="17:22">
      <c r="Q122" s="124" t="str">
        <f t="shared" si="3"/>
        <v/>
      </c>
      <c r="T122" s="24" t="str">
        <f t="shared" ref="T122:T160" si="4">IF(H122="","",IF(OR(H122="GREEN",H122="GK"),IF(S122&gt;=$AX$2,VLOOKUP(S122,$AX$2:$AY$12,2,1),""),IF(S122&gt;=$AZ$2,VLOOKUP(S122,$AZ$2:$BA$12,2,1),"")))</f>
        <v/>
      </c>
      <c r="V122" s="24" t="str">
        <f t="shared" ref="V122:V160" si="5">IF(OR(N122="",U122="",T122=""),"",U122/N122*T122)</f>
        <v/>
      </c>
    </row>
    <row r="123" spans="17:22">
      <c r="Q123" s="124" t="str">
        <f t="shared" si="3"/>
        <v/>
      </c>
      <c r="T123" s="24" t="str">
        <f t="shared" si="4"/>
        <v/>
      </c>
      <c r="V123" s="24" t="str">
        <f t="shared" si="5"/>
        <v/>
      </c>
    </row>
    <row r="124" spans="17:22">
      <c r="Q124" s="124" t="str">
        <f t="shared" si="3"/>
        <v/>
      </c>
      <c r="T124" s="24" t="str">
        <f t="shared" si="4"/>
        <v/>
      </c>
      <c r="V124" s="24" t="str">
        <f t="shared" si="5"/>
        <v/>
      </c>
    </row>
    <row r="125" spans="17:22">
      <c r="Q125" s="124" t="str">
        <f t="shared" si="3"/>
        <v/>
      </c>
      <c r="T125" s="24" t="str">
        <f t="shared" si="4"/>
        <v/>
      </c>
      <c r="V125" s="24" t="str">
        <f t="shared" si="5"/>
        <v/>
      </c>
    </row>
    <row r="126" spans="17:22">
      <c r="Q126" s="124" t="str">
        <f t="shared" si="3"/>
        <v/>
      </c>
      <c r="T126" s="24" t="str">
        <f t="shared" si="4"/>
        <v/>
      </c>
      <c r="V126" s="24" t="str">
        <f t="shared" si="5"/>
        <v/>
      </c>
    </row>
    <row r="127" spans="17:22">
      <c r="Q127" s="124" t="str">
        <f t="shared" si="3"/>
        <v/>
      </c>
      <c r="T127" s="24" t="str">
        <f t="shared" si="4"/>
        <v/>
      </c>
      <c r="V127" s="24" t="str">
        <f t="shared" si="5"/>
        <v/>
      </c>
    </row>
    <row r="128" spans="17:22">
      <c r="Q128" s="125" t="str">
        <f t="shared" si="3"/>
        <v/>
      </c>
      <c r="T128" s="24" t="str">
        <f t="shared" si="4"/>
        <v/>
      </c>
      <c r="V128" s="24" t="str">
        <f t="shared" si="5"/>
        <v/>
      </c>
    </row>
    <row r="129" spans="17:22">
      <c r="Q129" s="125" t="str">
        <f t="shared" si="3"/>
        <v/>
      </c>
      <c r="T129" s="24" t="str">
        <f t="shared" si="4"/>
        <v/>
      </c>
      <c r="V129" s="24" t="str">
        <f t="shared" si="5"/>
        <v/>
      </c>
    </row>
    <row r="130" spans="17:22">
      <c r="Q130" s="125" t="str">
        <f t="shared" si="3"/>
        <v/>
      </c>
      <c r="T130" s="24" t="str">
        <f t="shared" si="4"/>
        <v/>
      </c>
      <c r="V130" s="24" t="str">
        <f t="shared" si="5"/>
        <v/>
      </c>
    </row>
    <row r="131" spans="17:22">
      <c r="Q131" s="125" t="str">
        <f t="shared" si="3"/>
        <v/>
      </c>
      <c r="T131" s="24" t="str">
        <f t="shared" si="4"/>
        <v/>
      </c>
      <c r="V131" s="24" t="str">
        <f t="shared" si="5"/>
        <v/>
      </c>
    </row>
    <row r="132" spans="17:22">
      <c r="Q132" s="125" t="str">
        <f t="shared" si="3"/>
        <v/>
      </c>
      <c r="T132" s="24" t="str">
        <f t="shared" si="4"/>
        <v/>
      </c>
      <c r="V132" s="24" t="str">
        <f t="shared" si="5"/>
        <v/>
      </c>
    </row>
    <row r="133" spans="17:22">
      <c r="Q133" s="125" t="str">
        <f t="shared" si="3"/>
        <v/>
      </c>
      <c r="T133" s="24" t="str">
        <f t="shared" si="4"/>
        <v/>
      </c>
      <c r="V133" s="24" t="str">
        <f t="shared" si="5"/>
        <v/>
      </c>
    </row>
    <row r="134" spans="17:22">
      <c r="Q134" s="125" t="str">
        <f t="shared" si="3"/>
        <v/>
      </c>
      <c r="T134" s="24" t="str">
        <f t="shared" si="4"/>
        <v/>
      </c>
      <c r="V134" s="24" t="str">
        <f t="shared" si="5"/>
        <v/>
      </c>
    </row>
    <row r="135" spans="17:22">
      <c r="Q135" s="125" t="str">
        <f t="shared" si="3"/>
        <v/>
      </c>
      <c r="T135" s="24" t="str">
        <f t="shared" si="4"/>
        <v/>
      </c>
      <c r="V135" s="24" t="str">
        <f t="shared" si="5"/>
        <v/>
      </c>
    </row>
    <row r="136" spans="17:22">
      <c r="Q136" s="125" t="str">
        <f t="shared" ref="Q136:Q168" si="6">IF(OR(O136="",P136=""),"",AVERAGE(O136,P136))</f>
        <v/>
      </c>
      <c r="T136" s="24" t="str">
        <f t="shared" si="4"/>
        <v/>
      </c>
      <c r="V136" s="24" t="str">
        <f t="shared" si="5"/>
        <v/>
      </c>
    </row>
    <row r="137" spans="17:22">
      <c r="Q137" s="125" t="str">
        <f t="shared" si="6"/>
        <v/>
      </c>
      <c r="T137" s="24" t="str">
        <f t="shared" si="4"/>
        <v/>
      </c>
      <c r="V137" s="24" t="str">
        <f t="shared" si="5"/>
        <v/>
      </c>
    </row>
    <row r="138" spans="17:22">
      <c r="Q138" s="125" t="str">
        <f t="shared" si="6"/>
        <v/>
      </c>
      <c r="T138" s="24" t="str">
        <f t="shared" si="4"/>
        <v/>
      </c>
      <c r="V138" s="24" t="str">
        <f t="shared" si="5"/>
        <v/>
      </c>
    </row>
    <row r="139" spans="17:22">
      <c r="Q139" s="125" t="str">
        <f t="shared" si="6"/>
        <v/>
      </c>
      <c r="T139" s="24" t="str">
        <f t="shared" si="4"/>
        <v/>
      </c>
      <c r="V139" s="24" t="str">
        <f t="shared" si="5"/>
        <v/>
      </c>
    </row>
    <row r="140" spans="17:22">
      <c r="Q140" s="125" t="str">
        <f t="shared" si="6"/>
        <v/>
      </c>
      <c r="T140" s="24" t="str">
        <f t="shared" si="4"/>
        <v/>
      </c>
      <c r="V140" s="24" t="str">
        <f t="shared" si="5"/>
        <v/>
      </c>
    </row>
    <row r="141" spans="17:22">
      <c r="Q141" s="125" t="str">
        <f t="shared" si="6"/>
        <v/>
      </c>
      <c r="T141" s="24" t="str">
        <f t="shared" si="4"/>
        <v/>
      </c>
      <c r="V141" s="24" t="str">
        <f t="shared" si="5"/>
        <v/>
      </c>
    </row>
    <row r="142" spans="17:22">
      <c r="Q142" s="125" t="str">
        <f t="shared" si="6"/>
        <v/>
      </c>
      <c r="T142" s="24" t="str">
        <f t="shared" si="4"/>
        <v/>
      </c>
      <c r="V142" s="24" t="str">
        <f t="shared" si="5"/>
        <v/>
      </c>
    </row>
    <row r="143" spans="17:22">
      <c r="Q143" s="125" t="str">
        <f t="shared" si="6"/>
        <v/>
      </c>
      <c r="T143" s="24" t="str">
        <f t="shared" si="4"/>
        <v/>
      </c>
      <c r="V143" s="24" t="str">
        <f t="shared" si="5"/>
        <v/>
      </c>
    </row>
    <row r="144" spans="17:22">
      <c r="Q144" s="125" t="str">
        <f t="shared" si="6"/>
        <v/>
      </c>
      <c r="T144" s="24" t="str">
        <f t="shared" si="4"/>
        <v/>
      </c>
      <c r="V144" s="24" t="str">
        <f t="shared" si="5"/>
        <v/>
      </c>
    </row>
    <row r="145" spans="17:22">
      <c r="Q145" s="125" t="str">
        <f t="shared" si="6"/>
        <v/>
      </c>
      <c r="T145" s="24" t="str">
        <f t="shared" si="4"/>
        <v/>
      </c>
      <c r="V145" s="24" t="str">
        <f t="shared" si="5"/>
        <v/>
      </c>
    </row>
    <row r="146" spans="17:22">
      <c r="Q146" s="125" t="str">
        <f t="shared" si="6"/>
        <v/>
      </c>
      <c r="T146" s="24" t="str">
        <f t="shared" si="4"/>
        <v/>
      </c>
      <c r="V146" s="24" t="str">
        <f t="shared" si="5"/>
        <v/>
      </c>
    </row>
    <row r="147" spans="17:22">
      <c r="Q147" s="125" t="str">
        <f t="shared" si="6"/>
        <v/>
      </c>
      <c r="T147" s="24" t="str">
        <f t="shared" si="4"/>
        <v/>
      </c>
      <c r="V147" s="24" t="str">
        <f t="shared" si="5"/>
        <v/>
      </c>
    </row>
    <row r="148" spans="17:22">
      <c r="Q148" s="125" t="str">
        <f t="shared" si="6"/>
        <v/>
      </c>
      <c r="T148" s="24" t="str">
        <f t="shared" si="4"/>
        <v/>
      </c>
      <c r="V148" s="24" t="str">
        <f t="shared" si="5"/>
        <v/>
      </c>
    </row>
    <row r="149" spans="17:22">
      <c r="Q149" s="125" t="str">
        <f t="shared" si="6"/>
        <v/>
      </c>
      <c r="T149" s="24" t="str">
        <f t="shared" si="4"/>
        <v/>
      </c>
      <c r="V149" s="24" t="str">
        <f t="shared" si="5"/>
        <v/>
      </c>
    </row>
    <row r="150" spans="17:22">
      <c r="Q150" s="125" t="str">
        <f t="shared" si="6"/>
        <v/>
      </c>
      <c r="T150" s="24" t="str">
        <f t="shared" si="4"/>
        <v/>
      </c>
      <c r="V150" s="24" t="str">
        <f t="shared" si="5"/>
        <v/>
      </c>
    </row>
    <row r="151" spans="17:22">
      <c r="Q151" s="125" t="str">
        <f t="shared" si="6"/>
        <v/>
      </c>
      <c r="T151" s="24" t="str">
        <f t="shared" si="4"/>
        <v/>
      </c>
      <c r="V151" s="24" t="str">
        <f t="shared" si="5"/>
        <v/>
      </c>
    </row>
    <row r="152" spans="17:22">
      <c r="Q152" s="125" t="str">
        <f t="shared" si="6"/>
        <v/>
      </c>
      <c r="T152" s="24" t="str">
        <f t="shared" si="4"/>
        <v/>
      </c>
      <c r="V152" s="24" t="str">
        <f t="shared" si="5"/>
        <v/>
      </c>
    </row>
    <row r="153" spans="17:22">
      <c r="Q153" s="125" t="str">
        <f t="shared" si="6"/>
        <v/>
      </c>
      <c r="T153" s="24" t="str">
        <f t="shared" si="4"/>
        <v/>
      </c>
      <c r="V153" s="24" t="str">
        <f t="shared" si="5"/>
        <v/>
      </c>
    </row>
    <row r="154" spans="17:22">
      <c r="Q154" s="125" t="str">
        <f t="shared" si="6"/>
        <v/>
      </c>
      <c r="T154" s="24" t="str">
        <f t="shared" si="4"/>
        <v/>
      </c>
      <c r="V154" s="24" t="str">
        <f t="shared" si="5"/>
        <v/>
      </c>
    </row>
    <row r="155" spans="17:22">
      <c r="Q155" s="125" t="str">
        <f t="shared" si="6"/>
        <v/>
      </c>
      <c r="T155" s="24" t="str">
        <f t="shared" si="4"/>
        <v/>
      </c>
      <c r="V155" s="24" t="str">
        <f t="shared" si="5"/>
        <v/>
      </c>
    </row>
    <row r="156" spans="17:22">
      <c r="Q156" s="125" t="str">
        <f t="shared" si="6"/>
        <v/>
      </c>
      <c r="T156" s="24" t="str">
        <f t="shared" si="4"/>
        <v/>
      </c>
      <c r="V156" s="24" t="str">
        <f t="shared" si="5"/>
        <v/>
      </c>
    </row>
    <row r="157" spans="17:22">
      <c r="Q157" s="125" t="str">
        <f t="shared" si="6"/>
        <v/>
      </c>
      <c r="T157" s="24" t="str">
        <f t="shared" si="4"/>
        <v/>
      </c>
      <c r="V157" s="24" t="str">
        <f t="shared" si="5"/>
        <v/>
      </c>
    </row>
    <row r="158" spans="17:22">
      <c r="Q158" s="125" t="str">
        <f t="shared" si="6"/>
        <v/>
      </c>
      <c r="T158" s="24" t="str">
        <f t="shared" si="4"/>
        <v/>
      </c>
      <c r="V158" s="24" t="str">
        <f t="shared" si="5"/>
        <v/>
      </c>
    </row>
    <row r="159" spans="17:22">
      <c r="Q159" s="125" t="str">
        <f t="shared" si="6"/>
        <v/>
      </c>
      <c r="T159" s="24" t="str">
        <f t="shared" si="4"/>
        <v/>
      </c>
      <c r="V159" s="24" t="str">
        <f t="shared" si="5"/>
        <v/>
      </c>
    </row>
    <row r="160" spans="17:22">
      <c r="Q160" s="125" t="str">
        <f t="shared" si="6"/>
        <v/>
      </c>
      <c r="T160" s="24" t="str">
        <f t="shared" si="4"/>
        <v/>
      </c>
      <c r="V160" s="24" t="str">
        <f t="shared" si="5"/>
        <v/>
      </c>
    </row>
  </sheetData>
  <autoFilter ref="A1:BA120" xr:uid="{00000000-0009-0000-0000-000000000000}"/>
  <phoneticPr fontId="3"/>
  <dataValidations count="18">
    <dataValidation type="list" allowBlank="1" showInputMessage="1" showErrorMessage="1" sqref="F158:F1048576 F1:F148" xr:uid="{33CD0F4A-190D-40F2-9FCE-42EC80242CE5}">
      <formula1>$AH$2:$AH$11</formula1>
    </dataValidation>
    <dataValidation type="list" allowBlank="1" showInputMessage="1" showErrorMessage="1" sqref="K2:K1000" xr:uid="{862449A7-1B5F-4215-AEF8-C4D780AAFC8D}">
      <formula1>$AR$2:$AR$28</formula1>
    </dataValidation>
    <dataValidation type="list" allowBlank="1" showInputMessage="1" showErrorMessage="1" sqref="J2:J1000" xr:uid="{910D4DF0-843D-4759-9804-C5F9E179F1C8}">
      <formula1>$AP$2:$AP$29</formula1>
    </dataValidation>
    <dataValidation type="list" allowBlank="1" showInputMessage="1" showErrorMessage="1" sqref="H2:H1184" xr:uid="{F60E1640-3FFD-4520-8CF6-3D10747F4B2E}">
      <formula1>$AL$2:$AL$9</formula1>
    </dataValidation>
    <dataValidation type="decimal" allowBlank="1" showInputMessage="1" showErrorMessage="1" error="硬度を正しく入力して下さい。" sqref="O2:P497" xr:uid="{E58FD25C-0BDC-4D77-918F-A2A4B21BB45A}">
      <formula1>0</formula1>
      <formula2>7</formula2>
    </dataValidation>
    <dataValidation type="list" allowBlank="1" showInputMessage="1" showErrorMessage="1" sqref="Y2:AA497" xr:uid="{15A3CFAD-EC0E-4861-9EC0-7DA170EDD36C}">
      <formula1>$AV$2:$AV$21</formula1>
    </dataValidation>
    <dataValidation type="list" allowBlank="1" showInputMessage="1" showErrorMessage="1" sqref="A3:A497" xr:uid="{0B7EB071-5807-4D4A-A90E-0E22B601506D}">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DC78D02A-8389-4610-962B-2C95C4F0EC38}">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521EBC1D-538D-4E5A-958B-01E5CE57B9C3}">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B3363FF9-704F-41A2-9D4C-B7C504339E69}">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9F18D538-B713-46D0-A61C-1FBEAD1BDAEF}">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5DB92B69-1BEB-4F11-BE2E-92AD133ABE7B}">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B7323E53-0A1D-47B7-9FD0-A7AFC795E1BB}">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3FCD5CA7-9E9E-4A49-BE25-4410E9E6E7C2}">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99400090-6962-4530-8014-819BF3FC6126}">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25014FE2-5410-49C2-AFCB-E671C9C760BE}">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DDB7D56-7D4F-4254-BCB2-89DA6B683487}"/>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6B058611-286F-4939-8730-7D9BED293ED1}">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B80D-F448-4CFC-85DD-7F9C6B9E1A88}">
  <dimension ref="A1:BA61"/>
  <sheetViews>
    <sheetView zoomScale="85" zoomScaleNormal="85" workbookViewId="0">
      <pane ySplit="1" topLeftCell="A2" activePane="bottomLeft" state="frozen"/>
      <selection pane="bottomLeft" activeCell="A2" sqref="A2"/>
    </sheetView>
  </sheetViews>
  <sheetFormatPr defaultColWidth="9" defaultRowHeight="13.5"/>
  <cols>
    <col min="1" max="3" width="9" style="10"/>
    <col min="4" max="4" width="11" style="10" customWidth="1"/>
    <col min="5" max="5" width="10.875" style="10" customWidth="1"/>
    <col min="6" max="16" width="9" style="10"/>
    <col min="17" max="17" width="9" style="24"/>
    <col min="18" max="18" width="9" style="10"/>
    <col min="19" max="19" width="11.625" style="10" customWidth="1"/>
    <col min="20" max="20" width="9" style="24"/>
    <col min="21" max="21" width="9" style="10"/>
    <col min="22" max="22" width="9" style="24"/>
    <col min="23" max="32" width="9" style="10"/>
    <col min="33" max="33" width="14.375" style="10" customWidth="1"/>
    <col min="34" max="34" width="11.375" style="10" customWidth="1"/>
    <col min="35" max="16384" width="9" style="10"/>
  </cols>
  <sheetData>
    <row r="1" spans="1:53" ht="45">
      <c r="A1" s="1" t="s">
        <v>0</v>
      </c>
      <c r="B1" s="2" t="s">
        <v>168</v>
      </c>
      <c r="C1" s="2" t="s">
        <v>169</v>
      </c>
      <c r="D1" s="3" t="s">
        <v>3</v>
      </c>
      <c r="E1" s="4" t="s">
        <v>4</v>
      </c>
      <c r="F1" s="4" t="s">
        <v>5</v>
      </c>
      <c r="G1" s="4" t="s">
        <v>6</v>
      </c>
      <c r="H1" s="4" t="s">
        <v>7</v>
      </c>
      <c r="I1" s="4" t="s">
        <v>8</v>
      </c>
      <c r="J1" s="4" t="s">
        <v>9</v>
      </c>
      <c r="K1" s="4" t="s">
        <v>10</v>
      </c>
      <c r="L1" s="3" t="s">
        <v>170</v>
      </c>
      <c r="M1" s="3" t="s">
        <v>171</v>
      </c>
      <c r="N1" s="3" t="s">
        <v>13</v>
      </c>
      <c r="O1" s="3" t="s">
        <v>172</v>
      </c>
      <c r="P1" s="3" t="s">
        <v>173</v>
      </c>
      <c r="Q1" s="39" t="s">
        <v>174</v>
      </c>
      <c r="R1" s="3" t="s">
        <v>175</v>
      </c>
      <c r="S1" s="3" t="s">
        <v>176</v>
      </c>
      <c r="T1" s="39" t="s">
        <v>19</v>
      </c>
      <c r="U1" s="3" t="s">
        <v>20</v>
      </c>
      <c r="V1" s="40" t="s">
        <v>21</v>
      </c>
      <c r="W1" s="3" t="s">
        <v>177</v>
      </c>
      <c r="X1" s="4" t="s">
        <v>23</v>
      </c>
      <c r="Y1" s="4" t="s">
        <v>24</v>
      </c>
      <c r="Z1" s="4" t="s">
        <v>25</v>
      </c>
      <c r="AA1" s="4" t="s">
        <v>26</v>
      </c>
      <c r="AB1" s="8" t="s">
        <v>178</v>
      </c>
      <c r="AE1" s="11" t="s">
        <v>0</v>
      </c>
      <c r="AF1" s="41"/>
      <c r="AG1" s="11" t="s">
        <v>4</v>
      </c>
      <c r="AH1" s="11" t="s">
        <v>5</v>
      </c>
      <c r="AI1" s="41"/>
      <c r="AJ1" s="11" t="s">
        <v>6</v>
      </c>
      <c r="AK1" s="41"/>
      <c r="AL1" s="16" t="s">
        <v>7</v>
      </c>
      <c r="AM1" s="41"/>
      <c r="AN1" s="16" t="s">
        <v>8</v>
      </c>
      <c r="AO1" s="41"/>
      <c r="AP1" s="16" t="s">
        <v>28</v>
      </c>
      <c r="AQ1" s="41"/>
      <c r="AR1" s="16" t="s">
        <v>10</v>
      </c>
      <c r="AS1" s="41"/>
      <c r="AT1" s="17" t="s">
        <v>179</v>
      </c>
      <c r="AU1" s="41"/>
      <c r="AV1" s="16" t="s">
        <v>30</v>
      </c>
      <c r="AX1" s="42" t="s">
        <v>180</v>
      </c>
      <c r="AY1" s="43" t="s">
        <v>181</v>
      </c>
      <c r="AZ1" s="43" t="s">
        <v>182</v>
      </c>
      <c r="BA1" s="44" t="s">
        <v>183</v>
      </c>
    </row>
    <row r="2" spans="1:53">
      <c r="A2" s="10" t="s">
        <v>55</v>
      </c>
      <c r="B2" s="10" t="s">
        <v>184</v>
      </c>
      <c r="C2" s="10">
        <v>2020</v>
      </c>
      <c r="D2" s="45" t="s">
        <v>185</v>
      </c>
      <c r="E2" s="10" t="s">
        <v>186</v>
      </c>
      <c r="F2" s="10" t="s">
        <v>187</v>
      </c>
      <c r="G2" s="10" t="s">
        <v>39</v>
      </c>
      <c r="H2" s="10" t="s">
        <v>40</v>
      </c>
      <c r="I2" s="10" t="s">
        <v>41</v>
      </c>
      <c r="J2" s="10" t="s">
        <v>42</v>
      </c>
      <c r="K2" s="10" t="s">
        <v>43</v>
      </c>
      <c r="L2" s="10">
        <v>1</v>
      </c>
      <c r="N2" s="10">
        <v>1</v>
      </c>
      <c r="O2" s="10">
        <v>1.3</v>
      </c>
      <c r="P2" s="10">
        <v>1.1000000000000001</v>
      </c>
      <c r="Q2" s="46">
        <f t="shared" ref="Q2:Q46" si="0">IF(OR(O2="",P2=""),"",AVERAGE(O2,P2))</f>
        <v>1.2000000000000002</v>
      </c>
      <c r="R2" s="10">
        <v>10.5</v>
      </c>
      <c r="S2" s="10">
        <v>130</v>
      </c>
      <c r="T2" s="24">
        <f t="shared" ref="T2:T46" si="1">IF(H2="","",IF(OR(H2="GREEN",H2="GK"),IF(S2&gt;=$AX$2,VLOOKUP(S2,$AX$2:$AY$10,2,1),""),IF(S2&gt;=$AZ$2,VLOOKUP(S2,$AZ$2:$BA$10,2,1),"")))</f>
        <v>25</v>
      </c>
      <c r="U2" s="10">
        <v>98</v>
      </c>
      <c r="V2" s="24">
        <f t="shared" ref="V2:V46" si="2">IF(OR(N2="",U2="",T2=""),"",U2/N2*T2)</f>
        <v>2450</v>
      </c>
      <c r="W2" s="10">
        <v>2</v>
      </c>
      <c r="X2" s="10" t="s">
        <v>63</v>
      </c>
      <c r="Y2" s="10" t="s">
        <v>46</v>
      </c>
      <c r="Z2" s="10" t="s">
        <v>45</v>
      </c>
      <c r="AA2" s="10" t="s">
        <v>54</v>
      </c>
      <c r="AB2" s="10" t="s">
        <v>166</v>
      </c>
      <c r="AE2" s="47" t="s">
        <v>49</v>
      </c>
      <c r="AG2" s="48" t="s">
        <v>186</v>
      </c>
      <c r="AH2" s="49" t="s">
        <v>187</v>
      </c>
      <c r="AJ2" s="50" t="s">
        <v>39</v>
      </c>
      <c r="AL2" s="51" t="s">
        <v>188</v>
      </c>
      <c r="AN2" s="50" t="s">
        <v>52</v>
      </c>
      <c r="AP2" s="50" t="s">
        <v>42</v>
      </c>
      <c r="AR2" s="50" t="s">
        <v>43</v>
      </c>
      <c r="AT2" s="50" t="s">
        <v>44</v>
      </c>
      <c r="AV2" s="50" t="s">
        <v>54</v>
      </c>
      <c r="AX2" s="52">
        <v>1</v>
      </c>
      <c r="AY2" s="53">
        <v>50</v>
      </c>
      <c r="AZ2" s="53">
        <v>1</v>
      </c>
      <c r="BA2" s="54">
        <v>50</v>
      </c>
    </row>
    <row r="3" spans="1:53">
      <c r="A3" s="10" t="s">
        <v>55</v>
      </c>
      <c r="B3" s="10" t="s">
        <v>184</v>
      </c>
      <c r="C3" s="10">
        <v>2020</v>
      </c>
      <c r="D3" s="45" t="s">
        <v>185</v>
      </c>
      <c r="E3" s="10" t="s">
        <v>186</v>
      </c>
      <c r="F3" s="10" t="s">
        <v>187</v>
      </c>
      <c r="G3" s="10" t="s">
        <v>39</v>
      </c>
      <c r="H3" s="10" t="s">
        <v>40</v>
      </c>
      <c r="I3" s="10" t="s">
        <v>41</v>
      </c>
      <c r="J3" s="10" t="s">
        <v>42</v>
      </c>
      <c r="K3" s="10" t="s">
        <v>43</v>
      </c>
      <c r="L3" s="10">
        <v>2</v>
      </c>
      <c r="N3" s="10">
        <v>1</v>
      </c>
      <c r="O3" s="10">
        <v>1</v>
      </c>
      <c r="P3" s="10">
        <v>0.9</v>
      </c>
      <c r="Q3" s="46">
        <f t="shared" si="0"/>
        <v>0.95</v>
      </c>
      <c r="R3" s="10">
        <v>11.3</v>
      </c>
      <c r="S3" s="10">
        <v>129</v>
      </c>
      <c r="T3" s="24">
        <f t="shared" si="1"/>
        <v>25</v>
      </c>
      <c r="U3" s="10">
        <v>98</v>
      </c>
      <c r="V3" s="24">
        <f t="shared" si="2"/>
        <v>2450</v>
      </c>
      <c r="W3" s="10">
        <v>2</v>
      </c>
      <c r="X3" s="10" t="s">
        <v>63</v>
      </c>
      <c r="Y3" s="10" t="s">
        <v>46</v>
      </c>
      <c r="Z3" s="10" t="s">
        <v>45</v>
      </c>
      <c r="AA3" s="10" t="s">
        <v>54</v>
      </c>
      <c r="AB3" s="10" t="s">
        <v>166</v>
      </c>
      <c r="AE3" s="55" t="s">
        <v>55</v>
      </c>
      <c r="AG3" s="56" t="s">
        <v>189</v>
      </c>
      <c r="AH3" s="56" t="s">
        <v>187</v>
      </c>
      <c r="AJ3" s="57" t="s">
        <v>58</v>
      </c>
      <c r="AL3" s="57" t="s">
        <v>190</v>
      </c>
      <c r="AN3" s="57" t="s">
        <v>60</v>
      </c>
      <c r="AP3" s="57" t="s">
        <v>61</v>
      </c>
      <c r="AR3" s="57" t="s">
        <v>62</v>
      </c>
      <c r="AT3" s="57" t="s">
        <v>63</v>
      </c>
      <c r="AV3" s="57" t="s">
        <v>64</v>
      </c>
      <c r="AX3" s="58">
        <v>72</v>
      </c>
      <c r="AY3" s="59">
        <v>46</v>
      </c>
      <c r="AZ3" s="59">
        <v>71</v>
      </c>
      <c r="BA3" s="60">
        <v>42</v>
      </c>
    </row>
    <row r="4" spans="1:53">
      <c r="A4" s="10" t="s">
        <v>55</v>
      </c>
      <c r="B4" s="10" t="s">
        <v>184</v>
      </c>
      <c r="C4" s="10">
        <v>2020</v>
      </c>
      <c r="D4" s="45" t="s">
        <v>185</v>
      </c>
      <c r="E4" s="10" t="s">
        <v>186</v>
      </c>
      <c r="F4" s="10" t="s">
        <v>187</v>
      </c>
      <c r="G4" s="10" t="s">
        <v>39</v>
      </c>
      <c r="H4" s="10" t="s">
        <v>40</v>
      </c>
      <c r="I4" s="10" t="s">
        <v>41</v>
      </c>
      <c r="J4" s="10" t="s">
        <v>42</v>
      </c>
      <c r="K4" s="10" t="s">
        <v>43</v>
      </c>
      <c r="L4" s="10">
        <v>3</v>
      </c>
      <c r="N4" s="10">
        <v>1</v>
      </c>
      <c r="O4" s="10">
        <v>1</v>
      </c>
      <c r="P4" s="10">
        <v>0.9</v>
      </c>
      <c r="Q4" s="46">
        <f t="shared" si="0"/>
        <v>0.95</v>
      </c>
      <c r="R4" s="10">
        <v>10.199999999999999</v>
      </c>
      <c r="S4" s="10">
        <v>132</v>
      </c>
      <c r="T4" s="24">
        <f t="shared" si="1"/>
        <v>25</v>
      </c>
      <c r="U4" s="10">
        <v>98</v>
      </c>
      <c r="V4" s="24">
        <f t="shared" si="2"/>
        <v>2450</v>
      </c>
      <c r="W4" s="10">
        <v>2</v>
      </c>
      <c r="X4" s="10" t="s">
        <v>63</v>
      </c>
      <c r="Y4" s="10" t="s">
        <v>46</v>
      </c>
      <c r="Z4" s="10" t="s">
        <v>45</v>
      </c>
      <c r="AA4" s="10" t="s">
        <v>54</v>
      </c>
      <c r="AB4" s="10" t="s">
        <v>166</v>
      </c>
      <c r="AE4" s="55" t="s">
        <v>35</v>
      </c>
      <c r="AG4" s="56" t="s">
        <v>189</v>
      </c>
      <c r="AH4" s="56" t="s">
        <v>191</v>
      </c>
      <c r="AJ4" s="61" t="s">
        <v>67</v>
      </c>
      <c r="AL4" s="57" t="s">
        <v>192</v>
      </c>
      <c r="AN4" s="62" t="s">
        <v>193</v>
      </c>
      <c r="AP4" s="57" t="s">
        <v>194</v>
      </c>
      <c r="AR4" s="57" t="s">
        <v>195</v>
      </c>
      <c r="AT4" s="62"/>
      <c r="AV4" s="57" t="s">
        <v>47</v>
      </c>
      <c r="AX4" s="58">
        <v>75</v>
      </c>
      <c r="AY4" s="59">
        <v>42</v>
      </c>
      <c r="AZ4" s="59">
        <v>76</v>
      </c>
      <c r="BA4" s="60">
        <v>39</v>
      </c>
    </row>
    <row r="5" spans="1:53" ht="13.5" customHeight="1">
      <c r="A5" s="10" t="s">
        <v>55</v>
      </c>
      <c r="B5" s="10" t="s">
        <v>184</v>
      </c>
      <c r="C5" s="10">
        <v>2020</v>
      </c>
      <c r="D5" s="45" t="s">
        <v>185</v>
      </c>
      <c r="E5" s="10" t="s">
        <v>186</v>
      </c>
      <c r="F5" s="10" t="s">
        <v>187</v>
      </c>
      <c r="G5" s="10" t="s">
        <v>39</v>
      </c>
      <c r="H5" s="10" t="s">
        <v>40</v>
      </c>
      <c r="I5" s="10" t="s">
        <v>196</v>
      </c>
      <c r="J5" s="10" t="s">
        <v>42</v>
      </c>
      <c r="K5" s="10" t="s">
        <v>43</v>
      </c>
      <c r="L5" s="10">
        <v>1</v>
      </c>
      <c r="N5" s="10">
        <v>5</v>
      </c>
      <c r="O5" s="10">
        <v>0.35</v>
      </c>
      <c r="P5" s="10">
        <v>0.3</v>
      </c>
      <c r="Q5" s="46">
        <f t="shared" si="0"/>
        <v>0.32499999999999996</v>
      </c>
      <c r="R5" s="10">
        <v>12.6</v>
      </c>
      <c r="S5" s="10">
        <v>114</v>
      </c>
      <c r="T5" s="24">
        <f t="shared" si="1"/>
        <v>30</v>
      </c>
      <c r="U5" s="10">
        <v>398</v>
      </c>
      <c r="V5" s="24">
        <f t="shared" si="2"/>
        <v>2388</v>
      </c>
      <c r="W5" s="10">
        <v>1</v>
      </c>
      <c r="X5" s="10" t="s">
        <v>63</v>
      </c>
      <c r="Y5" s="10" t="s">
        <v>46</v>
      </c>
      <c r="Z5" s="10" t="s">
        <v>45</v>
      </c>
      <c r="AA5" s="10" t="s">
        <v>54</v>
      </c>
      <c r="AB5" s="10" t="s">
        <v>166</v>
      </c>
      <c r="AE5" s="55" t="s">
        <v>72</v>
      </c>
      <c r="AG5" s="56" t="s">
        <v>197</v>
      </c>
      <c r="AH5" s="56" t="s">
        <v>187</v>
      </c>
      <c r="AJ5" s="62"/>
      <c r="AL5" s="57" t="s">
        <v>40</v>
      </c>
      <c r="AN5" s="63" t="s">
        <v>41</v>
      </c>
      <c r="AP5" s="57" t="s">
        <v>198</v>
      </c>
      <c r="AR5" s="57" t="s">
        <v>78</v>
      </c>
      <c r="AV5" s="57" t="s">
        <v>79</v>
      </c>
      <c r="AX5" s="58">
        <v>84</v>
      </c>
      <c r="AY5" s="59">
        <v>39</v>
      </c>
      <c r="AZ5" s="59">
        <v>84</v>
      </c>
      <c r="BA5" s="60">
        <v>36</v>
      </c>
    </row>
    <row r="6" spans="1:53">
      <c r="A6" s="10" t="s">
        <v>55</v>
      </c>
      <c r="B6" s="10" t="s">
        <v>184</v>
      </c>
      <c r="C6" s="10">
        <v>2020</v>
      </c>
      <c r="D6" s="45" t="s">
        <v>185</v>
      </c>
      <c r="E6" s="10" t="s">
        <v>186</v>
      </c>
      <c r="F6" s="10" t="s">
        <v>187</v>
      </c>
      <c r="G6" s="10" t="s">
        <v>39</v>
      </c>
      <c r="H6" s="10" t="s">
        <v>40</v>
      </c>
      <c r="I6" s="10" t="s">
        <v>196</v>
      </c>
      <c r="J6" s="10" t="s">
        <v>42</v>
      </c>
      <c r="K6" s="10" t="s">
        <v>43</v>
      </c>
      <c r="L6" s="10">
        <v>2</v>
      </c>
      <c r="N6" s="10">
        <v>5</v>
      </c>
      <c r="O6" s="10">
        <v>0.45</v>
      </c>
      <c r="P6" s="10">
        <v>0.35</v>
      </c>
      <c r="Q6" s="46">
        <f t="shared" si="0"/>
        <v>0.4</v>
      </c>
      <c r="R6" s="10">
        <v>13.2</v>
      </c>
      <c r="S6" s="10">
        <v>116</v>
      </c>
      <c r="T6" s="24">
        <f t="shared" si="1"/>
        <v>30</v>
      </c>
      <c r="U6" s="10">
        <v>398</v>
      </c>
      <c r="V6" s="24">
        <f t="shared" si="2"/>
        <v>2388</v>
      </c>
      <c r="W6" s="10">
        <v>1</v>
      </c>
      <c r="X6" s="10" t="s">
        <v>63</v>
      </c>
      <c r="Y6" s="10" t="s">
        <v>46</v>
      </c>
      <c r="Z6" s="10" t="s">
        <v>45</v>
      </c>
      <c r="AA6" s="10" t="s">
        <v>54</v>
      </c>
      <c r="AB6" s="10" t="s">
        <v>166</v>
      </c>
      <c r="AE6" s="55" t="s">
        <v>80</v>
      </c>
      <c r="AG6" s="56" t="s">
        <v>197</v>
      </c>
      <c r="AH6" s="56" t="s">
        <v>199</v>
      </c>
      <c r="AL6" s="57" t="s">
        <v>156</v>
      </c>
      <c r="AN6" s="63" t="s">
        <v>196</v>
      </c>
      <c r="AP6" s="57" t="s">
        <v>85</v>
      </c>
      <c r="AR6" s="57" t="s">
        <v>86</v>
      </c>
      <c r="AV6" s="57" t="s">
        <v>87</v>
      </c>
      <c r="AX6" s="58">
        <v>97</v>
      </c>
      <c r="AY6" s="59">
        <v>36</v>
      </c>
      <c r="AZ6" s="59">
        <v>99</v>
      </c>
      <c r="BA6" s="60">
        <v>33</v>
      </c>
    </row>
    <row r="7" spans="1:53">
      <c r="A7" s="10" t="s">
        <v>55</v>
      </c>
      <c r="B7" s="10" t="s">
        <v>184</v>
      </c>
      <c r="C7" s="10">
        <v>2020</v>
      </c>
      <c r="D7" s="45" t="s">
        <v>185</v>
      </c>
      <c r="E7" s="10" t="s">
        <v>186</v>
      </c>
      <c r="F7" s="10" t="s">
        <v>187</v>
      </c>
      <c r="G7" s="10" t="s">
        <v>39</v>
      </c>
      <c r="H7" s="10" t="s">
        <v>40</v>
      </c>
      <c r="I7" s="10" t="s">
        <v>196</v>
      </c>
      <c r="J7" s="10" t="s">
        <v>42</v>
      </c>
      <c r="K7" s="10" t="s">
        <v>43</v>
      </c>
      <c r="L7" s="10">
        <v>3</v>
      </c>
      <c r="N7" s="10">
        <v>5</v>
      </c>
      <c r="O7" s="10">
        <v>0.5</v>
      </c>
      <c r="P7" s="10">
        <v>0.5</v>
      </c>
      <c r="Q7" s="46">
        <f t="shared" si="0"/>
        <v>0.5</v>
      </c>
      <c r="R7" s="10">
        <v>11.8</v>
      </c>
      <c r="S7" s="10">
        <v>115</v>
      </c>
      <c r="T7" s="24">
        <f t="shared" si="1"/>
        <v>30</v>
      </c>
      <c r="U7" s="10">
        <v>398</v>
      </c>
      <c r="V7" s="24">
        <f t="shared" si="2"/>
        <v>2388</v>
      </c>
      <c r="W7" s="10">
        <v>1</v>
      </c>
      <c r="X7" s="10" t="s">
        <v>63</v>
      </c>
      <c r="Y7" s="10" t="s">
        <v>46</v>
      </c>
      <c r="Z7" s="10" t="s">
        <v>45</v>
      </c>
      <c r="AA7" s="10" t="s">
        <v>54</v>
      </c>
      <c r="AB7" s="10" t="s">
        <v>166</v>
      </c>
      <c r="AE7" s="55" t="s">
        <v>88</v>
      </c>
      <c r="AG7" s="56" t="s">
        <v>200</v>
      </c>
      <c r="AH7" s="56" t="s">
        <v>199</v>
      </c>
      <c r="AL7" s="57" t="s">
        <v>201</v>
      </c>
      <c r="AP7" s="57" t="s">
        <v>91</v>
      </c>
      <c r="AR7" s="57" t="s">
        <v>202</v>
      </c>
      <c r="AV7" s="57" t="s">
        <v>93</v>
      </c>
      <c r="AX7" s="58">
        <v>109</v>
      </c>
      <c r="AY7" s="59">
        <v>33</v>
      </c>
      <c r="AZ7" s="59">
        <v>113</v>
      </c>
      <c r="BA7" s="60">
        <v>30</v>
      </c>
    </row>
    <row r="8" spans="1:53">
      <c r="A8" s="10" t="s">
        <v>55</v>
      </c>
      <c r="B8" s="10" t="s">
        <v>184</v>
      </c>
      <c r="C8" s="10">
        <v>2020</v>
      </c>
      <c r="D8" s="45" t="s">
        <v>185</v>
      </c>
      <c r="E8" s="10" t="s">
        <v>186</v>
      </c>
      <c r="F8" s="10" t="s">
        <v>187</v>
      </c>
      <c r="G8" s="10" t="s">
        <v>39</v>
      </c>
      <c r="H8" s="10" t="s">
        <v>156</v>
      </c>
      <c r="I8" s="10" t="s">
        <v>41</v>
      </c>
      <c r="J8" s="10" t="s">
        <v>42</v>
      </c>
      <c r="K8" s="10" t="s">
        <v>78</v>
      </c>
      <c r="L8" s="10">
        <v>1</v>
      </c>
      <c r="N8" s="10">
        <v>4</v>
      </c>
      <c r="O8" s="10">
        <v>0.45</v>
      </c>
      <c r="P8" s="10">
        <v>0.5</v>
      </c>
      <c r="Q8" s="46">
        <f t="shared" si="0"/>
        <v>0.47499999999999998</v>
      </c>
      <c r="R8" s="10">
        <v>13.5</v>
      </c>
      <c r="S8" s="10">
        <v>118</v>
      </c>
      <c r="T8" s="25">
        <f t="shared" si="1"/>
        <v>33</v>
      </c>
      <c r="U8" s="10">
        <v>598</v>
      </c>
      <c r="V8" s="24">
        <f t="shared" si="2"/>
        <v>4933.5</v>
      </c>
      <c r="W8" s="10">
        <v>1</v>
      </c>
      <c r="X8" s="10" t="s">
        <v>63</v>
      </c>
      <c r="Y8" s="10" t="s">
        <v>46</v>
      </c>
      <c r="Z8" s="10" t="s">
        <v>45</v>
      </c>
      <c r="AA8" s="10" t="s">
        <v>54</v>
      </c>
      <c r="AB8" s="10" t="s">
        <v>166</v>
      </c>
      <c r="AE8" s="55" t="s">
        <v>86</v>
      </c>
      <c r="AG8" s="56" t="s">
        <v>203</v>
      </c>
      <c r="AH8" s="56" t="s">
        <v>204</v>
      </c>
      <c r="AL8" s="57" t="s">
        <v>205</v>
      </c>
      <c r="AP8" s="57" t="s">
        <v>97</v>
      </c>
      <c r="AR8" s="57" t="s">
        <v>98</v>
      </c>
      <c r="AV8" s="57" t="s">
        <v>99</v>
      </c>
      <c r="AX8" s="58">
        <v>119</v>
      </c>
      <c r="AY8" s="59">
        <v>30</v>
      </c>
      <c r="AZ8" s="59">
        <v>121</v>
      </c>
      <c r="BA8" s="60">
        <v>27</v>
      </c>
    </row>
    <row r="9" spans="1:53">
      <c r="A9" s="10" t="s">
        <v>55</v>
      </c>
      <c r="B9" s="10" t="s">
        <v>184</v>
      </c>
      <c r="C9" s="10">
        <v>2020</v>
      </c>
      <c r="D9" s="45" t="s">
        <v>185</v>
      </c>
      <c r="E9" s="10" t="s">
        <v>186</v>
      </c>
      <c r="F9" s="10" t="s">
        <v>187</v>
      </c>
      <c r="G9" s="10" t="s">
        <v>39</v>
      </c>
      <c r="H9" s="10" t="s">
        <v>156</v>
      </c>
      <c r="I9" s="10" t="s">
        <v>41</v>
      </c>
      <c r="J9" s="10" t="s">
        <v>42</v>
      </c>
      <c r="K9" s="10" t="s">
        <v>78</v>
      </c>
      <c r="L9" s="10">
        <v>2</v>
      </c>
      <c r="N9" s="10">
        <v>4</v>
      </c>
      <c r="O9" s="10">
        <v>0.5</v>
      </c>
      <c r="P9" s="10">
        <v>0.35</v>
      </c>
      <c r="Q9" s="46">
        <f t="shared" si="0"/>
        <v>0.42499999999999999</v>
      </c>
      <c r="R9" s="10">
        <v>14</v>
      </c>
      <c r="S9" s="10">
        <v>116</v>
      </c>
      <c r="T9" s="25">
        <f t="shared" si="1"/>
        <v>33</v>
      </c>
      <c r="U9" s="10">
        <v>598</v>
      </c>
      <c r="V9" s="24">
        <f t="shared" si="2"/>
        <v>4933.5</v>
      </c>
      <c r="W9" s="10">
        <v>1</v>
      </c>
      <c r="X9" s="10" t="s">
        <v>63</v>
      </c>
      <c r="Y9" s="10" t="s">
        <v>46</v>
      </c>
      <c r="Z9" s="10" t="s">
        <v>45</v>
      </c>
      <c r="AA9" s="10" t="s">
        <v>54</v>
      </c>
      <c r="AB9" s="10" t="s">
        <v>166</v>
      </c>
      <c r="AE9" s="55" t="s">
        <v>206</v>
      </c>
      <c r="AG9" s="56" t="s">
        <v>207</v>
      </c>
      <c r="AH9" s="56" t="s">
        <v>208</v>
      </c>
      <c r="AL9" s="57" t="s">
        <v>209</v>
      </c>
      <c r="AP9" s="57" t="s">
        <v>103</v>
      </c>
      <c r="AR9" s="57" t="s">
        <v>210</v>
      </c>
      <c r="AV9" s="57" t="s">
        <v>105</v>
      </c>
      <c r="AX9" s="58">
        <v>128</v>
      </c>
      <c r="AY9" s="59">
        <v>27</v>
      </c>
      <c r="AZ9" s="59">
        <v>129</v>
      </c>
      <c r="BA9" s="60">
        <v>25</v>
      </c>
    </row>
    <row r="10" spans="1:53">
      <c r="A10" s="10" t="s">
        <v>55</v>
      </c>
      <c r="B10" s="10" t="s">
        <v>184</v>
      </c>
      <c r="C10" s="10">
        <v>2020</v>
      </c>
      <c r="D10" s="45" t="s">
        <v>185</v>
      </c>
      <c r="E10" s="10" t="s">
        <v>186</v>
      </c>
      <c r="F10" s="10" t="s">
        <v>187</v>
      </c>
      <c r="G10" s="10" t="s">
        <v>39</v>
      </c>
      <c r="H10" s="10" t="s">
        <v>156</v>
      </c>
      <c r="I10" s="10" t="s">
        <v>41</v>
      </c>
      <c r="J10" s="10" t="s">
        <v>42</v>
      </c>
      <c r="K10" s="10" t="s">
        <v>78</v>
      </c>
      <c r="L10" s="10">
        <v>3</v>
      </c>
      <c r="N10" s="10">
        <v>4</v>
      </c>
      <c r="O10" s="10">
        <v>0.4</v>
      </c>
      <c r="P10" s="10">
        <v>0.4</v>
      </c>
      <c r="Q10" s="46">
        <f t="shared" si="0"/>
        <v>0.4</v>
      </c>
      <c r="R10" s="10">
        <v>15.2</v>
      </c>
      <c r="S10" s="10">
        <v>116</v>
      </c>
      <c r="T10" s="25">
        <f t="shared" si="1"/>
        <v>33</v>
      </c>
      <c r="U10" s="10">
        <v>598</v>
      </c>
      <c r="V10" s="24">
        <f t="shared" si="2"/>
        <v>4933.5</v>
      </c>
      <c r="W10" s="10">
        <v>1</v>
      </c>
      <c r="X10" s="10" t="s">
        <v>63</v>
      </c>
      <c r="Y10" s="10" t="s">
        <v>46</v>
      </c>
      <c r="Z10" s="10" t="s">
        <v>45</v>
      </c>
      <c r="AA10" s="10" t="s">
        <v>54</v>
      </c>
      <c r="AB10" s="10" t="s">
        <v>166</v>
      </c>
      <c r="AE10" s="55" t="s">
        <v>211</v>
      </c>
      <c r="AG10" s="56" t="s">
        <v>203</v>
      </c>
      <c r="AH10" s="56" t="s">
        <v>212</v>
      </c>
      <c r="AP10" s="57" t="s">
        <v>109</v>
      </c>
      <c r="AR10" s="57" t="s">
        <v>213</v>
      </c>
      <c r="AV10" s="57" t="s">
        <v>111</v>
      </c>
      <c r="AX10" s="58">
        <v>138</v>
      </c>
      <c r="AY10" s="59">
        <v>25</v>
      </c>
      <c r="AZ10" s="59">
        <v>138</v>
      </c>
      <c r="BA10" s="60">
        <v>22</v>
      </c>
    </row>
    <row r="11" spans="1:53">
      <c r="A11" s="10" t="s">
        <v>55</v>
      </c>
      <c r="B11" s="10" t="s">
        <v>184</v>
      </c>
      <c r="C11" s="10">
        <v>2020</v>
      </c>
      <c r="D11" s="45" t="s">
        <v>185</v>
      </c>
      <c r="E11" s="10" t="s">
        <v>186</v>
      </c>
      <c r="F11" s="10" t="s">
        <v>187</v>
      </c>
      <c r="G11" s="10" t="s">
        <v>39</v>
      </c>
      <c r="H11" s="10" t="s">
        <v>156</v>
      </c>
      <c r="I11" s="10" t="s">
        <v>41</v>
      </c>
      <c r="J11" s="10" t="s">
        <v>42</v>
      </c>
      <c r="K11" s="10" t="s">
        <v>78</v>
      </c>
      <c r="L11" s="10">
        <v>1</v>
      </c>
      <c r="N11" s="10">
        <v>1</v>
      </c>
      <c r="O11" s="10">
        <v>0.75</v>
      </c>
      <c r="P11" s="10">
        <v>0.6</v>
      </c>
      <c r="Q11" s="46">
        <f t="shared" si="0"/>
        <v>0.67500000000000004</v>
      </c>
      <c r="R11" s="10">
        <v>15.2</v>
      </c>
      <c r="S11" s="10">
        <v>122</v>
      </c>
      <c r="T11" s="25">
        <f t="shared" si="1"/>
        <v>30</v>
      </c>
      <c r="U11" s="10">
        <v>158</v>
      </c>
      <c r="V11" s="24">
        <f t="shared" si="2"/>
        <v>4740</v>
      </c>
      <c r="W11" s="10">
        <v>1</v>
      </c>
      <c r="X11" s="10" t="s">
        <v>63</v>
      </c>
      <c r="Y11" s="10" t="s">
        <v>46</v>
      </c>
      <c r="Z11" s="10" t="s">
        <v>45</v>
      </c>
      <c r="AA11" s="10" t="s">
        <v>54</v>
      </c>
      <c r="AB11" s="10" t="s">
        <v>166</v>
      </c>
      <c r="AE11" s="55" t="s">
        <v>139</v>
      </c>
      <c r="AG11" s="56" t="s">
        <v>214</v>
      </c>
      <c r="AH11" s="56" t="s">
        <v>215</v>
      </c>
      <c r="AP11" s="57" t="s">
        <v>216</v>
      </c>
      <c r="AR11" s="57" t="s">
        <v>217</v>
      </c>
      <c r="AV11" s="57" t="s">
        <v>160</v>
      </c>
      <c r="AX11" s="58">
        <v>151</v>
      </c>
      <c r="AY11" s="59">
        <v>22</v>
      </c>
      <c r="AZ11" s="59">
        <v>152</v>
      </c>
      <c r="BA11" s="60">
        <v>18</v>
      </c>
    </row>
    <row r="12" spans="1:53">
      <c r="A12" s="10" t="s">
        <v>55</v>
      </c>
      <c r="B12" s="10" t="s">
        <v>184</v>
      </c>
      <c r="C12" s="10">
        <v>2020</v>
      </c>
      <c r="D12" s="45" t="s">
        <v>185</v>
      </c>
      <c r="E12" s="10" t="s">
        <v>186</v>
      </c>
      <c r="F12" s="10" t="s">
        <v>187</v>
      </c>
      <c r="G12" s="10" t="s">
        <v>39</v>
      </c>
      <c r="H12" s="10" t="s">
        <v>156</v>
      </c>
      <c r="I12" s="10" t="s">
        <v>41</v>
      </c>
      <c r="J12" s="10" t="s">
        <v>42</v>
      </c>
      <c r="K12" s="10" t="s">
        <v>78</v>
      </c>
      <c r="L12" s="10">
        <v>2</v>
      </c>
      <c r="N12" s="10">
        <v>1</v>
      </c>
      <c r="O12" s="10">
        <v>0.8</v>
      </c>
      <c r="P12" s="10">
        <v>0.65</v>
      </c>
      <c r="Q12" s="46">
        <f t="shared" si="0"/>
        <v>0.72500000000000009</v>
      </c>
      <c r="R12" s="10">
        <v>13.8</v>
      </c>
      <c r="S12" s="10">
        <v>120</v>
      </c>
      <c r="T12" s="25">
        <f t="shared" si="1"/>
        <v>30</v>
      </c>
      <c r="U12" s="10">
        <v>158</v>
      </c>
      <c r="V12" s="24">
        <f t="shared" si="2"/>
        <v>4740</v>
      </c>
      <c r="W12" s="10">
        <v>1</v>
      </c>
      <c r="X12" s="10" t="s">
        <v>63</v>
      </c>
      <c r="Y12" s="10" t="s">
        <v>46</v>
      </c>
      <c r="Z12" s="10" t="s">
        <v>45</v>
      </c>
      <c r="AA12" s="10" t="s">
        <v>54</v>
      </c>
      <c r="AB12" s="10" t="s">
        <v>166</v>
      </c>
      <c r="AE12" s="55" t="s">
        <v>218</v>
      </c>
      <c r="AG12" s="55"/>
      <c r="AH12" s="55"/>
      <c r="AP12" s="57" t="s">
        <v>219</v>
      </c>
      <c r="AR12" s="57" t="s">
        <v>220</v>
      </c>
      <c r="AV12" s="57" t="s">
        <v>221</v>
      </c>
      <c r="AX12" s="64">
        <v>180</v>
      </c>
      <c r="AY12" s="65">
        <v>18</v>
      </c>
      <c r="AZ12" s="65">
        <v>181</v>
      </c>
      <c r="BA12" s="66">
        <v>16</v>
      </c>
    </row>
    <row r="13" spans="1:53">
      <c r="A13" s="10" t="s">
        <v>55</v>
      </c>
      <c r="B13" s="10" t="s">
        <v>184</v>
      </c>
      <c r="C13" s="10">
        <v>2020</v>
      </c>
      <c r="D13" s="45" t="s">
        <v>185</v>
      </c>
      <c r="E13" s="10" t="s">
        <v>186</v>
      </c>
      <c r="F13" s="10" t="s">
        <v>187</v>
      </c>
      <c r="G13" s="10" t="s">
        <v>39</v>
      </c>
      <c r="H13" s="10" t="s">
        <v>156</v>
      </c>
      <c r="I13" s="10" t="s">
        <v>41</v>
      </c>
      <c r="J13" s="10" t="s">
        <v>42</v>
      </c>
      <c r="K13" s="10" t="s">
        <v>78</v>
      </c>
      <c r="L13" s="10">
        <v>3</v>
      </c>
      <c r="N13" s="10">
        <v>1</v>
      </c>
      <c r="O13" s="10">
        <v>0.75</v>
      </c>
      <c r="P13" s="10">
        <v>0.6</v>
      </c>
      <c r="Q13" s="46">
        <f t="shared" si="0"/>
        <v>0.67500000000000004</v>
      </c>
      <c r="R13" s="10">
        <v>14.7</v>
      </c>
      <c r="S13" s="10">
        <v>122</v>
      </c>
      <c r="T13" s="25">
        <f t="shared" si="1"/>
        <v>30</v>
      </c>
      <c r="U13" s="10">
        <v>158</v>
      </c>
      <c r="V13" s="24">
        <f t="shared" si="2"/>
        <v>4740</v>
      </c>
      <c r="W13" s="10">
        <v>1</v>
      </c>
      <c r="X13" s="10" t="s">
        <v>63</v>
      </c>
      <c r="Y13" s="10" t="s">
        <v>46</v>
      </c>
      <c r="Z13" s="10" t="s">
        <v>45</v>
      </c>
      <c r="AA13" s="10" t="s">
        <v>54</v>
      </c>
      <c r="AB13" s="10" t="s">
        <v>166</v>
      </c>
      <c r="AE13" s="55" t="s">
        <v>222</v>
      </c>
      <c r="AG13" s="57"/>
      <c r="AH13" s="57"/>
      <c r="AP13" s="57" t="s">
        <v>223</v>
      </c>
      <c r="AR13" s="57" t="s">
        <v>211</v>
      </c>
      <c r="AV13" s="57" t="s">
        <v>224</v>
      </c>
    </row>
    <row r="14" spans="1:53">
      <c r="A14" s="10" t="s">
        <v>55</v>
      </c>
      <c r="B14" s="10" t="s">
        <v>184</v>
      </c>
      <c r="C14" s="10">
        <v>2020</v>
      </c>
      <c r="D14" s="45" t="s">
        <v>185</v>
      </c>
      <c r="E14" s="10" t="s">
        <v>189</v>
      </c>
      <c r="F14" s="10" t="s">
        <v>187</v>
      </c>
      <c r="G14" s="10" t="s">
        <v>39</v>
      </c>
      <c r="H14" s="10" t="s">
        <v>190</v>
      </c>
      <c r="I14" s="10" t="s">
        <v>41</v>
      </c>
      <c r="J14" s="10" t="s">
        <v>225</v>
      </c>
      <c r="K14" s="10" t="s">
        <v>86</v>
      </c>
      <c r="L14" s="10">
        <v>1</v>
      </c>
      <c r="N14" s="10">
        <v>1</v>
      </c>
      <c r="O14" s="10">
        <v>0.45</v>
      </c>
      <c r="P14" s="10">
        <v>0.5</v>
      </c>
      <c r="Q14" s="46">
        <f t="shared" si="0"/>
        <v>0.47499999999999998</v>
      </c>
      <c r="R14" s="10">
        <v>11.5</v>
      </c>
      <c r="S14" s="10">
        <v>129</v>
      </c>
      <c r="T14" s="25">
        <f t="shared" si="1"/>
        <v>25</v>
      </c>
      <c r="U14" s="10">
        <v>138</v>
      </c>
      <c r="V14" s="24">
        <f t="shared" si="2"/>
        <v>3450</v>
      </c>
      <c r="W14" s="10">
        <v>2</v>
      </c>
      <c r="X14" s="10" t="s">
        <v>63</v>
      </c>
      <c r="Y14" s="10" t="s">
        <v>46</v>
      </c>
      <c r="Z14" s="10" t="s">
        <v>45</v>
      </c>
      <c r="AA14" s="10" t="s">
        <v>54</v>
      </c>
      <c r="AB14" s="10" t="s">
        <v>166</v>
      </c>
      <c r="AE14" s="55" t="s">
        <v>126</v>
      </c>
      <c r="AG14" s="57"/>
      <c r="AH14" s="57"/>
      <c r="AP14" s="57" t="s">
        <v>113</v>
      </c>
      <c r="AR14" s="57" t="s">
        <v>226</v>
      </c>
      <c r="AV14" s="57" t="s">
        <v>115</v>
      </c>
    </row>
    <row r="15" spans="1:53">
      <c r="A15" s="10" t="s">
        <v>55</v>
      </c>
      <c r="B15" s="10" t="s">
        <v>184</v>
      </c>
      <c r="C15" s="10">
        <v>2020</v>
      </c>
      <c r="D15" s="45" t="s">
        <v>185</v>
      </c>
      <c r="E15" s="10" t="s">
        <v>189</v>
      </c>
      <c r="F15" s="10" t="s">
        <v>187</v>
      </c>
      <c r="G15" s="10" t="s">
        <v>39</v>
      </c>
      <c r="H15" s="10" t="s">
        <v>190</v>
      </c>
      <c r="I15" s="10" t="s">
        <v>41</v>
      </c>
      <c r="J15" s="10" t="s">
        <v>225</v>
      </c>
      <c r="K15" s="10" t="s">
        <v>86</v>
      </c>
      <c r="L15" s="10">
        <v>2</v>
      </c>
      <c r="N15" s="10">
        <v>1</v>
      </c>
      <c r="O15" s="10">
        <v>0.3</v>
      </c>
      <c r="P15" s="10">
        <v>0.3</v>
      </c>
      <c r="Q15" s="46">
        <f t="shared" si="0"/>
        <v>0.3</v>
      </c>
      <c r="R15" s="10">
        <v>10.4</v>
      </c>
      <c r="S15" s="10">
        <v>128</v>
      </c>
      <c r="T15" s="25">
        <f t="shared" si="1"/>
        <v>27</v>
      </c>
      <c r="U15" s="10">
        <v>138</v>
      </c>
      <c r="V15" s="24">
        <f t="shared" si="2"/>
        <v>3726</v>
      </c>
      <c r="W15" s="10">
        <v>2</v>
      </c>
      <c r="X15" s="10" t="s">
        <v>63</v>
      </c>
      <c r="Y15" s="10" t="s">
        <v>46</v>
      </c>
      <c r="Z15" s="10" t="s">
        <v>45</v>
      </c>
      <c r="AA15" s="10" t="s">
        <v>54</v>
      </c>
      <c r="AB15" s="10" t="s">
        <v>166</v>
      </c>
      <c r="AE15" s="55" t="s">
        <v>227</v>
      </c>
      <c r="AG15" s="57"/>
      <c r="AH15" s="57"/>
      <c r="AP15" s="57" t="s">
        <v>117</v>
      </c>
      <c r="AR15" s="57" t="s">
        <v>121</v>
      </c>
      <c r="AV15" s="57" t="s">
        <v>119</v>
      </c>
    </row>
    <row r="16" spans="1:53">
      <c r="A16" s="10" t="s">
        <v>55</v>
      </c>
      <c r="B16" s="10" t="s">
        <v>184</v>
      </c>
      <c r="C16" s="10">
        <v>2020</v>
      </c>
      <c r="D16" s="45" t="s">
        <v>185</v>
      </c>
      <c r="E16" s="10" t="s">
        <v>189</v>
      </c>
      <c r="F16" s="10" t="s">
        <v>187</v>
      </c>
      <c r="G16" s="10" t="s">
        <v>39</v>
      </c>
      <c r="H16" s="10" t="s">
        <v>190</v>
      </c>
      <c r="I16" s="10" t="s">
        <v>41</v>
      </c>
      <c r="J16" s="10" t="s">
        <v>225</v>
      </c>
      <c r="K16" s="10" t="s">
        <v>86</v>
      </c>
      <c r="L16" s="10">
        <v>3</v>
      </c>
      <c r="N16" s="10">
        <v>1</v>
      </c>
      <c r="O16" s="10">
        <v>0.35</v>
      </c>
      <c r="P16" s="10">
        <v>0.35</v>
      </c>
      <c r="Q16" s="46">
        <f t="shared" si="0"/>
        <v>0.35</v>
      </c>
      <c r="R16" s="10">
        <v>12.3</v>
      </c>
      <c r="S16" s="10">
        <v>129</v>
      </c>
      <c r="T16" s="25">
        <f t="shared" si="1"/>
        <v>25</v>
      </c>
      <c r="U16" s="10">
        <v>138</v>
      </c>
      <c r="V16" s="24">
        <f t="shared" si="2"/>
        <v>3450</v>
      </c>
      <c r="W16" s="10">
        <v>2</v>
      </c>
      <c r="X16" s="10" t="s">
        <v>63</v>
      </c>
      <c r="Y16" s="10" t="s">
        <v>46</v>
      </c>
      <c r="Z16" s="10" t="s">
        <v>45</v>
      </c>
      <c r="AA16" s="10" t="s">
        <v>54</v>
      </c>
      <c r="AB16" s="10" t="s">
        <v>166</v>
      </c>
      <c r="AE16" s="55" t="s">
        <v>228</v>
      </c>
      <c r="AG16" s="62"/>
      <c r="AH16" s="62"/>
      <c r="AP16" s="57" t="s">
        <v>121</v>
      </c>
      <c r="AR16" s="57" t="s">
        <v>122</v>
      </c>
      <c r="AV16" s="57" t="s">
        <v>46</v>
      </c>
    </row>
    <row r="17" spans="1:48">
      <c r="A17" s="10" t="s">
        <v>55</v>
      </c>
      <c r="B17" s="10" t="s">
        <v>184</v>
      </c>
      <c r="C17" s="10">
        <v>2020</v>
      </c>
      <c r="D17" s="45" t="s">
        <v>185</v>
      </c>
      <c r="E17" s="10" t="s">
        <v>189</v>
      </c>
      <c r="F17" s="10" t="s">
        <v>187</v>
      </c>
      <c r="G17" s="10" t="s">
        <v>39</v>
      </c>
      <c r="H17" s="10" t="s">
        <v>188</v>
      </c>
      <c r="I17" s="10" t="s">
        <v>41</v>
      </c>
      <c r="J17" s="10" t="s">
        <v>91</v>
      </c>
      <c r="K17" s="10" t="s">
        <v>86</v>
      </c>
      <c r="L17" s="10">
        <v>1</v>
      </c>
      <c r="N17" s="10">
        <v>9</v>
      </c>
      <c r="O17" s="10">
        <v>0.5</v>
      </c>
      <c r="P17" s="10">
        <v>0.5</v>
      </c>
      <c r="Q17" s="46">
        <f t="shared" si="0"/>
        <v>0.5</v>
      </c>
      <c r="R17" s="10">
        <v>12</v>
      </c>
      <c r="S17" s="10">
        <v>100</v>
      </c>
      <c r="T17" s="25">
        <f t="shared" si="1"/>
        <v>33</v>
      </c>
      <c r="U17" s="10">
        <v>700</v>
      </c>
      <c r="V17" s="24">
        <f t="shared" si="2"/>
        <v>2566.6666666666665</v>
      </c>
      <c r="W17" s="10">
        <v>1</v>
      </c>
      <c r="X17" s="10" t="s">
        <v>63</v>
      </c>
      <c r="Y17" s="10" t="s">
        <v>46</v>
      </c>
      <c r="Z17" s="10" t="s">
        <v>45</v>
      </c>
      <c r="AA17" s="10" t="s">
        <v>54</v>
      </c>
      <c r="AB17" s="10" t="s">
        <v>166</v>
      </c>
      <c r="AE17" s="55" t="s">
        <v>229</v>
      </c>
      <c r="AP17" s="61" t="s">
        <v>230</v>
      </c>
      <c r="AR17" s="57" t="s">
        <v>126</v>
      </c>
      <c r="AV17" s="57" t="s">
        <v>127</v>
      </c>
    </row>
    <row r="18" spans="1:48">
      <c r="A18" s="10" t="s">
        <v>55</v>
      </c>
      <c r="B18" s="10" t="s">
        <v>184</v>
      </c>
      <c r="C18" s="10">
        <v>2020</v>
      </c>
      <c r="D18" s="45" t="s">
        <v>185</v>
      </c>
      <c r="E18" s="10" t="s">
        <v>189</v>
      </c>
      <c r="F18" s="10" t="s">
        <v>187</v>
      </c>
      <c r="G18" s="10" t="s">
        <v>39</v>
      </c>
      <c r="H18" s="10" t="s">
        <v>188</v>
      </c>
      <c r="I18" s="10" t="s">
        <v>41</v>
      </c>
      <c r="J18" s="10" t="s">
        <v>91</v>
      </c>
      <c r="K18" s="10" t="s">
        <v>86</v>
      </c>
      <c r="L18" s="10">
        <v>2</v>
      </c>
      <c r="N18" s="10">
        <v>9</v>
      </c>
      <c r="O18" s="10">
        <v>0.45</v>
      </c>
      <c r="P18" s="10">
        <v>0.5</v>
      </c>
      <c r="Q18" s="46">
        <f t="shared" si="0"/>
        <v>0.47499999999999998</v>
      </c>
      <c r="R18" s="10">
        <v>10.199999999999999</v>
      </c>
      <c r="S18" s="10">
        <v>108</v>
      </c>
      <c r="T18" s="25">
        <f t="shared" si="1"/>
        <v>33</v>
      </c>
      <c r="U18" s="10">
        <v>700</v>
      </c>
      <c r="V18" s="24">
        <f t="shared" si="2"/>
        <v>2566.6666666666665</v>
      </c>
      <c r="W18" s="10">
        <v>1</v>
      </c>
      <c r="X18" s="10" t="s">
        <v>63</v>
      </c>
      <c r="Y18" s="10" t="s">
        <v>46</v>
      </c>
      <c r="Z18" s="10" t="s">
        <v>45</v>
      </c>
      <c r="AA18" s="10" t="s">
        <v>54</v>
      </c>
      <c r="AB18" s="10" t="s">
        <v>166</v>
      </c>
      <c r="AE18" s="55" t="s">
        <v>217</v>
      </c>
      <c r="AP18" s="61" t="s">
        <v>231</v>
      </c>
      <c r="AR18" s="57" t="s">
        <v>130</v>
      </c>
      <c r="AV18" s="57" t="s">
        <v>131</v>
      </c>
    </row>
    <row r="19" spans="1:48">
      <c r="A19" s="10" t="s">
        <v>55</v>
      </c>
      <c r="B19" s="10" t="s">
        <v>184</v>
      </c>
      <c r="C19" s="10">
        <v>2020</v>
      </c>
      <c r="D19" s="45" t="s">
        <v>185</v>
      </c>
      <c r="E19" s="10" t="s">
        <v>189</v>
      </c>
      <c r="F19" s="10" t="s">
        <v>187</v>
      </c>
      <c r="G19" s="10" t="s">
        <v>39</v>
      </c>
      <c r="H19" s="10" t="s">
        <v>188</v>
      </c>
      <c r="I19" s="10" t="s">
        <v>41</v>
      </c>
      <c r="J19" s="10" t="s">
        <v>91</v>
      </c>
      <c r="K19" s="10" t="s">
        <v>86</v>
      </c>
      <c r="L19" s="10">
        <v>3</v>
      </c>
      <c r="N19" s="10">
        <v>9</v>
      </c>
      <c r="O19" s="10">
        <v>0.5</v>
      </c>
      <c r="P19" s="10">
        <v>0.5</v>
      </c>
      <c r="Q19" s="46">
        <f t="shared" si="0"/>
        <v>0.5</v>
      </c>
      <c r="R19" s="10">
        <v>11.8</v>
      </c>
      <c r="S19" s="10">
        <v>104</v>
      </c>
      <c r="T19" s="25">
        <f t="shared" si="1"/>
        <v>33</v>
      </c>
      <c r="U19" s="10">
        <v>700</v>
      </c>
      <c r="V19" s="24">
        <f t="shared" si="2"/>
        <v>2566.6666666666665</v>
      </c>
      <c r="W19" s="10">
        <v>1</v>
      </c>
      <c r="X19" s="10" t="s">
        <v>63</v>
      </c>
      <c r="Y19" s="10" t="s">
        <v>46</v>
      </c>
      <c r="Z19" s="10" t="s">
        <v>45</v>
      </c>
      <c r="AA19" s="10" t="s">
        <v>54</v>
      </c>
      <c r="AB19" s="10" t="s">
        <v>166</v>
      </c>
      <c r="AE19" s="67" t="s">
        <v>210</v>
      </c>
      <c r="AP19" s="61" t="s">
        <v>232</v>
      </c>
      <c r="AR19" s="57" t="s">
        <v>233</v>
      </c>
      <c r="AV19" s="57" t="s">
        <v>45</v>
      </c>
    </row>
    <row r="20" spans="1:48">
      <c r="A20" s="10" t="s">
        <v>55</v>
      </c>
      <c r="B20" s="10" t="s">
        <v>184</v>
      </c>
      <c r="C20" s="10">
        <v>2020</v>
      </c>
      <c r="D20" s="45" t="s">
        <v>185</v>
      </c>
      <c r="E20" s="10" t="s">
        <v>189</v>
      </c>
      <c r="F20" s="10" t="s">
        <v>187</v>
      </c>
      <c r="G20" s="10" t="s">
        <v>39</v>
      </c>
      <c r="H20" s="10" t="s">
        <v>40</v>
      </c>
      <c r="I20" s="10" t="s">
        <v>41</v>
      </c>
      <c r="J20" s="10" t="s">
        <v>42</v>
      </c>
      <c r="K20" s="10" t="s">
        <v>43</v>
      </c>
      <c r="L20" s="10">
        <v>1</v>
      </c>
      <c r="N20" s="10">
        <v>1</v>
      </c>
      <c r="O20" s="10">
        <v>1.5</v>
      </c>
      <c r="P20" s="10">
        <v>1.35</v>
      </c>
      <c r="Q20" s="46">
        <f t="shared" si="0"/>
        <v>1.425</v>
      </c>
      <c r="R20" s="10">
        <v>9.8000000000000007</v>
      </c>
      <c r="S20" s="10">
        <v>126</v>
      </c>
      <c r="T20" s="25">
        <f t="shared" si="1"/>
        <v>27</v>
      </c>
      <c r="U20" s="10">
        <v>138</v>
      </c>
      <c r="V20" s="24">
        <f t="shared" si="2"/>
        <v>3726</v>
      </c>
      <c r="W20" s="10">
        <v>1</v>
      </c>
      <c r="X20" s="10" t="s">
        <v>63</v>
      </c>
      <c r="Y20" s="10" t="s">
        <v>46</v>
      </c>
      <c r="Z20" s="10" t="s">
        <v>45</v>
      </c>
      <c r="AA20" s="10" t="s">
        <v>54</v>
      </c>
      <c r="AB20" s="10" t="s">
        <v>166</v>
      </c>
      <c r="AE20" s="67"/>
      <c r="AP20" s="61" t="s">
        <v>234</v>
      </c>
      <c r="AR20" s="57" t="s">
        <v>136</v>
      </c>
      <c r="AV20" s="61" t="s">
        <v>235</v>
      </c>
    </row>
    <row r="21" spans="1:48">
      <c r="A21" s="10" t="s">
        <v>55</v>
      </c>
      <c r="B21" s="10" t="s">
        <v>184</v>
      </c>
      <c r="C21" s="10">
        <v>2020</v>
      </c>
      <c r="D21" s="45" t="s">
        <v>185</v>
      </c>
      <c r="E21" s="10" t="s">
        <v>189</v>
      </c>
      <c r="F21" s="10" t="s">
        <v>187</v>
      </c>
      <c r="G21" s="10" t="s">
        <v>39</v>
      </c>
      <c r="H21" s="10" t="s">
        <v>40</v>
      </c>
      <c r="I21" s="10" t="s">
        <v>41</v>
      </c>
      <c r="J21" s="10" t="s">
        <v>42</v>
      </c>
      <c r="K21" s="10" t="s">
        <v>43</v>
      </c>
      <c r="L21" s="10">
        <v>2</v>
      </c>
      <c r="N21" s="10">
        <v>1</v>
      </c>
      <c r="O21" s="10">
        <v>1.3</v>
      </c>
      <c r="P21" s="10">
        <v>1.1499999999999999</v>
      </c>
      <c r="Q21" s="46">
        <f t="shared" si="0"/>
        <v>1.2250000000000001</v>
      </c>
      <c r="R21" s="10">
        <v>9</v>
      </c>
      <c r="S21" s="10">
        <v>128</v>
      </c>
      <c r="T21" s="25">
        <f t="shared" si="1"/>
        <v>27</v>
      </c>
      <c r="U21" s="10">
        <v>138</v>
      </c>
      <c r="V21" s="24">
        <f t="shared" si="2"/>
        <v>3726</v>
      </c>
      <c r="W21" s="10">
        <v>1</v>
      </c>
      <c r="X21" s="10" t="s">
        <v>63</v>
      </c>
      <c r="Y21" s="10" t="s">
        <v>46</v>
      </c>
      <c r="Z21" s="10" t="s">
        <v>45</v>
      </c>
      <c r="AA21" s="10" t="s">
        <v>54</v>
      </c>
      <c r="AB21" s="10" t="s">
        <v>166</v>
      </c>
      <c r="AE21" s="62"/>
      <c r="AP21" s="61" t="s">
        <v>236</v>
      </c>
      <c r="AR21" s="57" t="s">
        <v>139</v>
      </c>
      <c r="AV21" s="61" t="s">
        <v>237</v>
      </c>
    </row>
    <row r="22" spans="1:48">
      <c r="A22" s="10" t="s">
        <v>55</v>
      </c>
      <c r="B22" s="10" t="s">
        <v>184</v>
      </c>
      <c r="C22" s="10">
        <v>2020</v>
      </c>
      <c r="D22" s="45" t="s">
        <v>185</v>
      </c>
      <c r="E22" s="10" t="s">
        <v>189</v>
      </c>
      <c r="F22" s="10" t="s">
        <v>187</v>
      </c>
      <c r="G22" s="10" t="s">
        <v>39</v>
      </c>
      <c r="H22" s="10" t="s">
        <v>40</v>
      </c>
      <c r="I22" s="10" t="s">
        <v>41</v>
      </c>
      <c r="J22" s="10" t="s">
        <v>42</v>
      </c>
      <c r="K22" s="10" t="s">
        <v>43</v>
      </c>
      <c r="L22" s="10">
        <v>3</v>
      </c>
      <c r="N22" s="10">
        <v>1</v>
      </c>
      <c r="O22" s="10">
        <v>1</v>
      </c>
      <c r="P22" s="10">
        <v>0.9</v>
      </c>
      <c r="Q22" s="46">
        <f t="shared" si="0"/>
        <v>0.95</v>
      </c>
      <c r="R22" s="10">
        <v>10.4</v>
      </c>
      <c r="S22" s="10">
        <v>128</v>
      </c>
      <c r="T22" s="25">
        <f t="shared" si="1"/>
        <v>27</v>
      </c>
      <c r="U22" s="10">
        <v>138</v>
      </c>
      <c r="V22" s="24">
        <f t="shared" si="2"/>
        <v>3726</v>
      </c>
      <c r="W22" s="10">
        <v>1</v>
      </c>
      <c r="X22" s="10" t="s">
        <v>63</v>
      </c>
      <c r="Y22" s="10" t="s">
        <v>46</v>
      </c>
      <c r="Z22" s="10" t="s">
        <v>45</v>
      </c>
      <c r="AA22" s="10" t="s">
        <v>54</v>
      </c>
      <c r="AB22" s="10" t="s">
        <v>166</v>
      </c>
      <c r="AP22" s="61" t="s">
        <v>238</v>
      </c>
      <c r="AR22" s="57" t="s">
        <v>142</v>
      </c>
      <c r="AV22" s="61"/>
    </row>
    <row r="23" spans="1:48">
      <c r="A23" s="10" t="s">
        <v>55</v>
      </c>
      <c r="B23" s="10" t="s">
        <v>184</v>
      </c>
      <c r="C23" s="10">
        <v>2020</v>
      </c>
      <c r="D23" s="45" t="s">
        <v>185</v>
      </c>
      <c r="E23" s="10" t="s">
        <v>189</v>
      </c>
      <c r="F23" s="10" t="s">
        <v>191</v>
      </c>
      <c r="G23" s="10" t="s">
        <v>39</v>
      </c>
      <c r="H23" s="10" t="s">
        <v>40</v>
      </c>
      <c r="I23" s="10" t="s">
        <v>41</v>
      </c>
      <c r="J23" s="10" t="s">
        <v>42</v>
      </c>
      <c r="K23" s="10" t="s">
        <v>43</v>
      </c>
      <c r="L23" s="10">
        <v>1</v>
      </c>
      <c r="N23" s="10">
        <v>1</v>
      </c>
      <c r="O23" s="10">
        <v>1</v>
      </c>
      <c r="P23" s="10">
        <v>0.85</v>
      </c>
      <c r="Q23" s="46">
        <f t="shared" si="0"/>
        <v>0.92500000000000004</v>
      </c>
      <c r="R23" s="10">
        <v>10.4</v>
      </c>
      <c r="S23" s="10">
        <v>126</v>
      </c>
      <c r="T23" s="24">
        <f t="shared" si="1"/>
        <v>27</v>
      </c>
      <c r="U23" s="10">
        <v>138</v>
      </c>
      <c r="V23" s="24">
        <f t="shared" si="2"/>
        <v>3726</v>
      </c>
      <c r="W23" s="10">
        <v>1</v>
      </c>
      <c r="X23" s="10" t="s">
        <v>63</v>
      </c>
      <c r="Y23" s="10" t="s">
        <v>46</v>
      </c>
      <c r="Z23" s="10" t="s">
        <v>45</v>
      </c>
      <c r="AA23" s="10" t="s">
        <v>54</v>
      </c>
      <c r="AB23" s="10" t="s">
        <v>166</v>
      </c>
      <c r="AP23" s="61" t="s">
        <v>239</v>
      </c>
      <c r="AR23" s="62" t="s">
        <v>240</v>
      </c>
      <c r="AV23" s="62"/>
    </row>
    <row r="24" spans="1:48">
      <c r="A24" s="10" t="s">
        <v>55</v>
      </c>
      <c r="B24" s="10" t="s">
        <v>184</v>
      </c>
      <c r="C24" s="10">
        <v>2020</v>
      </c>
      <c r="D24" s="45" t="s">
        <v>185</v>
      </c>
      <c r="E24" s="10" t="s">
        <v>189</v>
      </c>
      <c r="F24" s="10" t="s">
        <v>191</v>
      </c>
      <c r="G24" s="10" t="s">
        <v>39</v>
      </c>
      <c r="H24" s="10" t="s">
        <v>40</v>
      </c>
      <c r="I24" s="10" t="s">
        <v>41</v>
      </c>
      <c r="J24" s="10" t="s">
        <v>42</v>
      </c>
      <c r="K24" s="10" t="s">
        <v>43</v>
      </c>
      <c r="L24" s="10">
        <v>2</v>
      </c>
      <c r="N24" s="10">
        <v>1</v>
      </c>
      <c r="O24" s="10">
        <v>0.95</v>
      </c>
      <c r="P24" s="10">
        <v>0.95</v>
      </c>
      <c r="Q24" s="46">
        <f t="shared" si="0"/>
        <v>0.95</v>
      </c>
      <c r="R24" s="10">
        <v>11.7</v>
      </c>
      <c r="S24" s="10">
        <v>129</v>
      </c>
      <c r="T24" s="24">
        <f t="shared" si="1"/>
        <v>25</v>
      </c>
      <c r="U24" s="10">
        <v>138</v>
      </c>
      <c r="V24" s="24">
        <f t="shared" si="2"/>
        <v>3450</v>
      </c>
      <c r="W24" s="10">
        <v>1</v>
      </c>
      <c r="X24" s="10" t="s">
        <v>63</v>
      </c>
      <c r="Y24" s="10" t="s">
        <v>46</v>
      </c>
      <c r="Z24" s="10" t="s">
        <v>45</v>
      </c>
      <c r="AA24" s="10" t="s">
        <v>54</v>
      </c>
      <c r="AB24" s="10" t="s">
        <v>166</v>
      </c>
      <c r="AP24" s="61" t="s">
        <v>241</v>
      </c>
    </row>
    <row r="25" spans="1:48">
      <c r="A25" s="10" t="s">
        <v>55</v>
      </c>
      <c r="B25" s="10" t="s">
        <v>184</v>
      </c>
      <c r="C25" s="10">
        <v>2020</v>
      </c>
      <c r="D25" s="45" t="s">
        <v>185</v>
      </c>
      <c r="E25" s="10" t="s">
        <v>189</v>
      </c>
      <c r="F25" s="10" t="s">
        <v>191</v>
      </c>
      <c r="G25" s="10" t="s">
        <v>39</v>
      </c>
      <c r="H25" s="10" t="s">
        <v>40</v>
      </c>
      <c r="I25" s="10" t="s">
        <v>41</v>
      </c>
      <c r="J25" s="10" t="s">
        <v>42</v>
      </c>
      <c r="K25" s="10" t="s">
        <v>43</v>
      </c>
      <c r="L25" s="10">
        <v>3</v>
      </c>
      <c r="N25" s="10">
        <v>1</v>
      </c>
      <c r="O25" s="10">
        <v>0.8</v>
      </c>
      <c r="P25" s="10">
        <v>0.95</v>
      </c>
      <c r="Q25" s="46">
        <f t="shared" si="0"/>
        <v>0.875</v>
      </c>
      <c r="R25" s="10">
        <v>9.1999999999999993</v>
      </c>
      <c r="S25" s="10">
        <v>128</v>
      </c>
      <c r="T25" s="24">
        <f t="shared" si="1"/>
        <v>27</v>
      </c>
      <c r="U25" s="10">
        <v>138</v>
      </c>
      <c r="V25" s="24">
        <f t="shared" si="2"/>
        <v>3726</v>
      </c>
      <c r="W25" s="10">
        <v>1</v>
      </c>
      <c r="X25" s="10" t="s">
        <v>63</v>
      </c>
      <c r="Y25" s="10" t="s">
        <v>46</v>
      </c>
      <c r="Z25" s="10" t="s">
        <v>45</v>
      </c>
      <c r="AA25" s="10" t="s">
        <v>54</v>
      </c>
      <c r="AB25" s="10" t="s">
        <v>166</v>
      </c>
      <c r="AP25" s="10" t="s">
        <v>242</v>
      </c>
    </row>
    <row r="26" spans="1:48">
      <c r="A26" s="10" t="s">
        <v>55</v>
      </c>
      <c r="B26" s="10" t="s">
        <v>184</v>
      </c>
      <c r="C26" s="10">
        <v>2020</v>
      </c>
      <c r="D26" s="45" t="s">
        <v>185</v>
      </c>
      <c r="E26" s="10" t="s">
        <v>189</v>
      </c>
      <c r="F26" s="10" t="s">
        <v>191</v>
      </c>
      <c r="G26" s="10" t="s">
        <v>39</v>
      </c>
      <c r="H26" s="10" t="s">
        <v>188</v>
      </c>
      <c r="I26" s="10" t="s">
        <v>41</v>
      </c>
      <c r="J26" s="10" t="s">
        <v>91</v>
      </c>
      <c r="K26" s="10" t="s">
        <v>86</v>
      </c>
      <c r="L26" s="10">
        <v>1</v>
      </c>
      <c r="N26" s="10">
        <v>4</v>
      </c>
      <c r="O26" s="10">
        <v>0.8</v>
      </c>
      <c r="P26" s="10">
        <v>0.85</v>
      </c>
      <c r="Q26" s="46">
        <f t="shared" si="0"/>
        <v>0.82499999999999996</v>
      </c>
      <c r="R26" s="10">
        <v>12.2</v>
      </c>
      <c r="S26" s="10">
        <v>115</v>
      </c>
      <c r="T26" s="25">
        <f t="shared" si="1"/>
        <v>30</v>
      </c>
      <c r="U26" s="10">
        <v>398</v>
      </c>
      <c r="V26" s="25">
        <f t="shared" si="2"/>
        <v>2985</v>
      </c>
      <c r="W26" s="10">
        <v>1</v>
      </c>
      <c r="X26" s="10" t="s">
        <v>63</v>
      </c>
      <c r="Y26" s="10" t="s">
        <v>46</v>
      </c>
      <c r="Z26" s="10" t="s">
        <v>45</v>
      </c>
      <c r="AA26" s="10" t="s">
        <v>54</v>
      </c>
      <c r="AB26" s="10" t="s">
        <v>166</v>
      </c>
      <c r="AP26" s="10" t="s">
        <v>225</v>
      </c>
    </row>
    <row r="27" spans="1:48">
      <c r="A27" s="10" t="s">
        <v>55</v>
      </c>
      <c r="B27" s="10" t="s">
        <v>184</v>
      </c>
      <c r="C27" s="10">
        <v>2020</v>
      </c>
      <c r="D27" s="45" t="s">
        <v>185</v>
      </c>
      <c r="E27" s="10" t="s">
        <v>189</v>
      </c>
      <c r="F27" s="10" t="s">
        <v>191</v>
      </c>
      <c r="G27" s="10" t="s">
        <v>39</v>
      </c>
      <c r="H27" s="10" t="s">
        <v>188</v>
      </c>
      <c r="I27" s="10" t="s">
        <v>41</v>
      </c>
      <c r="J27" s="10" t="s">
        <v>91</v>
      </c>
      <c r="K27" s="10" t="s">
        <v>86</v>
      </c>
      <c r="L27" s="10">
        <v>2</v>
      </c>
      <c r="N27" s="10">
        <v>4</v>
      </c>
      <c r="O27" s="10">
        <v>0.65</v>
      </c>
      <c r="P27" s="10">
        <v>0.7</v>
      </c>
      <c r="Q27" s="46">
        <f t="shared" si="0"/>
        <v>0.67500000000000004</v>
      </c>
      <c r="R27" s="10">
        <v>10.199999999999999</v>
      </c>
      <c r="S27" s="10">
        <v>117</v>
      </c>
      <c r="T27" s="25">
        <f t="shared" si="1"/>
        <v>30</v>
      </c>
      <c r="U27" s="10">
        <v>398</v>
      </c>
      <c r="V27" s="25">
        <f t="shared" si="2"/>
        <v>2985</v>
      </c>
      <c r="W27" s="10">
        <v>1</v>
      </c>
      <c r="X27" s="10" t="s">
        <v>63</v>
      </c>
      <c r="Y27" s="10" t="s">
        <v>46</v>
      </c>
      <c r="Z27" s="10" t="s">
        <v>45</v>
      </c>
      <c r="AA27" s="10" t="s">
        <v>54</v>
      </c>
      <c r="AB27" s="10" t="s">
        <v>166</v>
      </c>
      <c r="AP27" s="10" t="s">
        <v>243</v>
      </c>
    </row>
    <row r="28" spans="1:48">
      <c r="A28" s="10" t="s">
        <v>55</v>
      </c>
      <c r="B28" s="10" t="s">
        <v>184</v>
      </c>
      <c r="C28" s="10">
        <v>2020</v>
      </c>
      <c r="D28" s="45" t="s">
        <v>185</v>
      </c>
      <c r="E28" s="10" t="s">
        <v>189</v>
      </c>
      <c r="F28" s="10" t="s">
        <v>191</v>
      </c>
      <c r="G28" s="10" t="s">
        <v>39</v>
      </c>
      <c r="H28" s="10" t="s">
        <v>188</v>
      </c>
      <c r="I28" s="10" t="s">
        <v>41</v>
      </c>
      <c r="J28" s="10" t="s">
        <v>91</v>
      </c>
      <c r="K28" s="10" t="s">
        <v>86</v>
      </c>
      <c r="L28" s="10">
        <v>3</v>
      </c>
      <c r="N28" s="10">
        <v>4</v>
      </c>
      <c r="O28" s="10">
        <v>0.9</v>
      </c>
      <c r="P28" s="10">
        <v>0.85</v>
      </c>
      <c r="Q28" s="46">
        <f t="shared" si="0"/>
        <v>0.875</v>
      </c>
      <c r="R28" s="10">
        <v>11.7</v>
      </c>
      <c r="S28" s="10">
        <v>118</v>
      </c>
      <c r="T28" s="25">
        <f t="shared" si="1"/>
        <v>30</v>
      </c>
      <c r="U28" s="10">
        <v>398</v>
      </c>
      <c r="V28" s="25">
        <f t="shared" si="2"/>
        <v>2985</v>
      </c>
      <c r="W28" s="10">
        <v>1</v>
      </c>
      <c r="X28" s="10" t="s">
        <v>63</v>
      </c>
      <c r="Y28" s="10" t="s">
        <v>46</v>
      </c>
      <c r="Z28" s="10" t="s">
        <v>45</v>
      </c>
      <c r="AA28" s="10" t="s">
        <v>54</v>
      </c>
      <c r="AB28" s="10" t="s">
        <v>166</v>
      </c>
      <c r="AP28" s="10" t="s">
        <v>244</v>
      </c>
    </row>
    <row r="29" spans="1:48">
      <c r="A29" s="10" t="s">
        <v>55</v>
      </c>
      <c r="B29" s="10" t="s">
        <v>184</v>
      </c>
      <c r="C29" s="10">
        <v>2020</v>
      </c>
      <c r="D29" s="45" t="s">
        <v>185</v>
      </c>
      <c r="E29" s="10" t="s">
        <v>189</v>
      </c>
      <c r="F29" s="10" t="s">
        <v>191</v>
      </c>
      <c r="G29" s="10" t="s">
        <v>39</v>
      </c>
      <c r="H29" s="10" t="s">
        <v>40</v>
      </c>
      <c r="I29" s="10" t="s">
        <v>41</v>
      </c>
      <c r="J29" s="10" t="s">
        <v>42</v>
      </c>
      <c r="K29" s="10" t="s">
        <v>43</v>
      </c>
      <c r="L29" s="10">
        <v>1</v>
      </c>
      <c r="N29" s="10">
        <v>8</v>
      </c>
      <c r="O29" s="10">
        <v>0.95</v>
      </c>
      <c r="P29" s="10">
        <v>0.85</v>
      </c>
      <c r="Q29" s="46">
        <f t="shared" si="0"/>
        <v>0.89999999999999991</v>
      </c>
      <c r="R29" s="10">
        <v>12.5</v>
      </c>
      <c r="S29" s="10">
        <v>110</v>
      </c>
      <c r="T29" s="24">
        <f t="shared" si="1"/>
        <v>33</v>
      </c>
      <c r="U29" s="10">
        <v>680</v>
      </c>
      <c r="V29" s="24">
        <f t="shared" si="2"/>
        <v>2805</v>
      </c>
      <c r="W29" s="10">
        <v>1</v>
      </c>
      <c r="X29" s="10" t="s">
        <v>63</v>
      </c>
      <c r="Y29" s="10" t="s">
        <v>46</v>
      </c>
      <c r="Z29" s="10" t="s">
        <v>45</v>
      </c>
      <c r="AA29" s="10" t="s">
        <v>54</v>
      </c>
      <c r="AB29" s="10" t="s">
        <v>166</v>
      </c>
    </row>
    <row r="30" spans="1:48">
      <c r="A30" s="10" t="s">
        <v>55</v>
      </c>
      <c r="B30" s="10" t="s">
        <v>184</v>
      </c>
      <c r="C30" s="10">
        <v>2020</v>
      </c>
      <c r="D30" s="45" t="s">
        <v>185</v>
      </c>
      <c r="E30" s="10" t="s">
        <v>189</v>
      </c>
      <c r="F30" s="10" t="s">
        <v>191</v>
      </c>
      <c r="G30" s="10" t="s">
        <v>39</v>
      </c>
      <c r="H30" s="10" t="s">
        <v>40</v>
      </c>
      <c r="I30" s="10" t="s">
        <v>41</v>
      </c>
      <c r="J30" s="10" t="s">
        <v>42</v>
      </c>
      <c r="K30" s="10" t="s">
        <v>43</v>
      </c>
      <c r="L30" s="10">
        <v>2</v>
      </c>
      <c r="N30" s="10">
        <v>8</v>
      </c>
      <c r="O30" s="10">
        <v>0.5</v>
      </c>
      <c r="P30" s="10">
        <v>0.65</v>
      </c>
      <c r="Q30" s="46">
        <f t="shared" si="0"/>
        <v>0.57499999999999996</v>
      </c>
      <c r="R30" s="10">
        <v>12</v>
      </c>
      <c r="S30" s="10">
        <v>113</v>
      </c>
      <c r="T30" s="24">
        <f t="shared" si="1"/>
        <v>30</v>
      </c>
      <c r="U30" s="10">
        <v>680</v>
      </c>
      <c r="V30" s="24">
        <f t="shared" si="2"/>
        <v>2550</v>
      </c>
      <c r="W30" s="10">
        <v>1</v>
      </c>
      <c r="X30" s="10" t="s">
        <v>63</v>
      </c>
      <c r="Y30" s="10" t="s">
        <v>46</v>
      </c>
      <c r="Z30" s="10" t="s">
        <v>45</v>
      </c>
      <c r="AA30" s="10" t="s">
        <v>54</v>
      </c>
      <c r="AB30" s="10" t="s">
        <v>166</v>
      </c>
    </row>
    <row r="31" spans="1:48">
      <c r="A31" s="10" t="s">
        <v>55</v>
      </c>
      <c r="B31" s="10" t="s">
        <v>184</v>
      </c>
      <c r="C31" s="10">
        <v>2020</v>
      </c>
      <c r="D31" s="45" t="s">
        <v>185</v>
      </c>
      <c r="E31" s="10" t="s">
        <v>189</v>
      </c>
      <c r="F31" s="10" t="s">
        <v>191</v>
      </c>
      <c r="G31" s="10" t="s">
        <v>39</v>
      </c>
      <c r="H31" s="10" t="s">
        <v>40</v>
      </c>
      <c r="I31" s="10" t="s">
        <v>41</v>
      </c>
      <c r="J31" s="10" t="s">
        <v>42</v>
      </c>
      <c r="K31" s="10" t="s">
        <v>43</v>
      </c>
      <c r="L31" s="10">
        <v>3</v>
      </c>
      <c r="N31" s="10">
        <v>8</v>
      </c>
      <c r="O31" s="10">
        <v>0.55000000000000004</v>
      </c>
      <c r="P31" s="10">
        <v>0.65</v>
      </c>
      <c r="Q31" s="46">
        <f t="shared" si="0"/>
        <v>0.60000000000000009</v>
      </c>
      <c r="R31" s="10">
        <v>11.8</v>
      </c>
      <c r="S31" s="10">
        <v>108</v>
      </c>
      <c r="T31" s="24">
        <f t="shared" si="1"/>
        <v>33</v>
      </c>
      <c r="U31" s="10">
        <v>680</v>
      </c>
      <c r="V31" s="24">
        <f t="shared" si="2"/>
        <v>2805</v>
      </c>
      <c r="W31" s="10">
        <v>1</v>
      </c>
      <c r="X31" s="10" t="s">
        <v>63</v>
      </c>
      <c r="Y31" s="10" t="s">
        <v>46</v>
      </c>
      <c r="Z31" s="10" t="s">
        <v>45</v>
      </c>
      <c r="AA31" s="10" t="s">
        <v>54</v>
      </c>
      <c r="AB31" s="10" t="s">
        <v>166</v>
      </c>
    </row>
    <row r="32" spans="1:48">
      <c r="A32" s="10" t="s">
        <v>55</v>
      </c>
      <c r="B32" s="10" t="s">
        <v>184</v>
      </c>
      <c r="C32" s="10">
        <v>2020</v>
      </c>
      <c r="D32" s="45" t="s">
        <v>185</v>
      </c>
      <c r="E32" s="10" t="s">
        <v>197</v>
      </c>
      <c r="F32" s="10" t="s">
        <v>187</v>
      </c>
      <c r="G32" s="10" t="s">
        <v>39</v>
      </c>
      <c r="H32" s="10" t="s">
        <v>40</v>
      </c>
      <c r="I32" s="10" t="s">
        <v>41</v>
      </c>
      <c r="J32" s="10" t="s">
        <v>42</v>
      </c>
      <c r="K32" s="10" t="s">
        <v>43</v>
      </c>
      <c r="L32" s="10">
        <v>1</v>
      </c>
      <c r="N32" s="10">
        <v>1</v>
      </c>
      <c r="O32" s="10">
        <v>0.5</v>
      </c>
      <c r="P32" s="10">
        <v>0.65</v>
      </c>
      <c r="Q32" s="46">
        <f t="shared" si="0"/>
        <v>0.57499999999999996</v>
      </c>
      <c r="R32" s="10">
        <v>13.2</v>
      </c>
      <c r="S32" s="10">
        <v>124</v>
      </c>
      <c r="T32" s="24">
        <f t="shared" si="1"/>
        <v>27</v>
      </c>
      <c r="U32" s="10">
        <v>100</v>
      </c>
      <c r="V32" s="24">
        <f t="shared" si="2"/>
        <v>2700</v>
      </c>
      <c r="W32" s="10">
        <v>1</v>
      </c>
      <c r="X32" s="10" t="s">
        <v>63</v>
      </c>
      <c r="Y32" s="10" t="s">
        <v>46</v>
      </c>
      <c r="Z32" s="10" t="s">
        <v>54</v>
      </c>
      <c r="AA32" s="10" t="s">
        <v>45</v>
      </c>
      <c r="AB32" s="10" t="s">
        <v>166</v>
      </c>
    </row>
    <row r="33" spans="1:28">
      <c r="A33" s="10" t="s">
        <v>55</v>
      </c>
      <c r="B33" s="10" t="s">
        <v>184</v>
      </c>
      <c r="C33" s="10">
        <v>2020</v>
      </c>
      <c r="D33" s="45" t="s">
        <v>185</v>
      </c>
      <c r="E33" s="10" t="s">
        <v>197</v>
      </c>
      <c r="F33" s="10" t="s">
        <v>187</v>
      </c>
      <c r="G33" s="10" t="s">
        <v>39</v>
      </c>
      <c r="H33" s="10" t="s">
        <v>40</v>
      </c>
      <c r="I33" s="10" t="s">
        <v>41</v>
      </c>
      <c r="J33" s="10" t="s">
        <v>42</v>
      </c>
      <c r="K33" s="10" t="s">
        <v>43</v>
      </c>
      <c r="L33" s="10">
        <v>2</v>
      </c>
      <c r="N33" s="10">
        <v>1</v>
      </c>
      <c r="O33" s="10">
        <v>0.5</v>
      </c>
      <c r="P33" s="10">
        <v>0.55000000000000004</v>
      </c>
      <c r="Q33" s="46">
        <f t="shared" si="0"/>
        <v>0.52500000000000002</v>
      </c>
      <c r="R33" s="10">
        <v>12.7</v>
      </c>
      <c r="S33" s="10">
        <v>126</v>
      </c>
      <c r="T33" s="24">
        <f t="shared" si="1"/>
        <v>27</v>
      </c>
      <c r="U33" s="10">
        <v>100</v>
      </c>
      <c r="V33" s="24">
        <f t="shared" si="2"/>
        <v>2700</v>
      </c>
      <c r="W33" s="10">
        <v>1</v>
      </c>
      <c r="X33" s="10" t="s">
        <v>63</v>
      </c>
      <c r="Y33" s="10" t="s">
        <v>46</v>
      </c>
      <c r="Z33" s="10" t="s">
        <v>54</v>
      </c>
      <c r="AA33" s="10" t="s">
        <v>45</v>
      </c>
      <c r="AB33" s="10" t="s">
        <v>166</v>
      </c>
    </row>
    <row r="34" spans="1:28">
      <c r="A34" s="10" t="s">
        <v>55</v>
      </c>
      <c r="B34" s="10" t="s">
        <v>184</v>
      </c>
      <c r="C34" s="10">
        <v>2020</v>
      </c>
      <c r="D34" s="45" t="s">
        <v>185</v>
      </c>
      <c r="E34" s="10" t="s">
        <v>197</v>
      </c>
      <c r="F34" s="10" t="s">
        <v>187</v>
      </c>
      <c r="G34" s="10" t="s">
        <v>39</v>
      </c>
      <c r="H34" s="10" t="s">
        <v>40</v>
      </c>
      <c r="I34" s="10" t="s">
        <v>41</v>
      </c>
      <c r="J34" s="10" t="s">
        <v>42</v>
      </c>
      <c r="K34" s="10" t="s">
        <v>43</v>
      </c>
      <c r="L34" s="10">
        <v>3</v>
      </c>
      <c r="N34" s="10">
        <v>1</v>
      </c>
      <c r="O34" s="10">
        <v>0.65</v>
      </c>
      <c r="P34" s="10">
        <v>0.4</v>
      </c>
      <c r="Q34" s="46">
        <f t="shared" si="0"/>
        <v>0.52500000000000002</v>
      </c>
      <c r="R34" s="10">
        <v>12.6</v>
      </c>
      <c r="S34" s="10">
        <v>123</v>
      </c>
      <c r="T34" s="24">
        <f t="shared" si="1"/>
        <v>27</v>
      </c>
      <c r="U34" s="10">
        <v>100</v>
      </c>
      <c r="V34" s="24">
        <f t="shared" si="2"/>
        <v>2700</v>
      </c>
      <c r="W34" s="10">
        <v>1</v>
      </c>
      <c r="X34" s="10" t="s">
        <v>63</v>
      </c>
      <c r="Y34" s="10" t="s">
        <v>46</v>
      </c>
      <c r="Z34" s="10" t="s">
        <v>54</v>
      </c>
      <c r="AA34" s="10" t="s">
        <v>45</v>
      </c>
      <c r="AB34" s="10" t="s">
        <v>166</v>
      </c>
    </row>
    <row r="35" spans="1:28">
      <c r="A35" s="10" t="s">
        <v>55</v>
      </c>
      <c r="B35" s="10" t="s">
        <v>184</v>
      </c>
      <c r="C35" s="10">
        <v>2020</v>
      </c>
      <c r="D35" s="45" t="s">
        <v>185</v>
      </c>
      <c r="E35" s="10" t="s">
        <v>197</v>
      </c>
      <c r="F35" s="10" t="s">
        <v>187</v>
      </c>
      <c r="G35" s="10" t="s">
        <v>39</v>
      </c>
      <c r="H35" s="10" t="s">
        <v>40</v>
      </c>
      <c r="I35" s="10" t="s">
        <v>41</v>
      </c>
      <c r="J35" s="10" t="s">
        <v>42</v>
      </c>
      <c r="K35" s="10" t="s">
        <v>43</v>
      </c>
      <c r="L35" s="10">
        <v>1</v>
      </c>
      <c r="N35" s="10">
        <v>8</v>
      </c>
      <c r="O35" s="10">
        <v>0.5</v>
      </c>
      <c r="P35" s="10">
        <v>0.6</v>
      </c>
      <c r="Q35" s="46">
        <f t="shared" si="0"/>
        <v>0.55000000000000004</v>
      </c>
      <c r="R35" s="10">
        <v>13.2</v>
      </c>
      <c r="S35" s="10">
        <v>90</v>
      </c>
      <c r="T35" s="24">
        <f t="shared" si="1"/>
        <v>36</v>
      </c>
      <c r="U35" s="10">
        <v>598</v>
      </c>
      <c r="V35" s="24">
        <f t="shared" si="2"/>
        <v>2691</v>
      </c>
      <c r="W35" s="10">
        <v>1</v>
      </c>
      <c r="X35" s="10" t="s">
        <v>63</v>
      </c>
      <c r="Y35" s="10" t="s">
        <v>46</v>
      </c>
      <c r="Z35" s="10" t="s">
        <v>54</v>
      </c>
      <c r="AA35" s="10" t="s">
        <v>45</v>
      </c>
      <c r="AB35" s="10" t="s">
        <v>166</v>
      </c>
    </row>
    <row r="36" spans="1:28">
      <c r="A36" s="10" t="s">
        <v>55</v>
      </c>
      <c r="B36" s="10" t="s">
        <v>184</v>
      </c>
      <c r="C36" s="10">
        <v>2020</v>
      </c>
      <c r="D36" s="45" t="s">
        <v>185</v>
      </c>
      <c r="E36" s="10" t="s">
        <v>197</v>
      </c>
      <c r="F36" s="10" t="s">
        <v>187</v>
      </c>
      <c r="G36" s="10" t="s">
        <v>39</v>
      </c>
      <c r="H36" s="10" t="s">
        <v>40</v>
      </c>
      <c r="I36" s="10" t="s">
        <v>41</v>
      </c>
      <c r="J36" s="10" t="s">
        <v>42</v>
      </c>
      <c r="K36" s="10" t="s">
        <v>43</v>
      </c>
      <c r="L36" s="10">
        <v>2</v>
      </c>
      <c r="N36" s="10">
        <v>8</v>
      </c>
      <c r="O36" s="10">
        <v>0.6</v>
      </c>
      <c r="P36" s="10">
        <v>0.55000000000000004</v>
      </c>
      <c r="Q36" s="46">
        <f t="shared" si="0"/>
        <v>0.57499999999999996</v>
      </c>
      <c r="R36" s="10">
        <v>12</v>
      </c>
      <c r="S36" s="10">
        <v>94</v>
      </c>
      <c r="T36" s="24">
        <f t="shared" si="1"/>
        <v>36</v>
      </c>
      <c r="U36" s="10">
        <v>598</v>
      </c>
      <c r="V36" s="24">
        <f t="shared" si="2"/>
        <v>2691</v>
      </c>
      <c r="W36" s="10">
        <v>1</v>
      </c>
      <c r="X36" s="10" t="s">
        <v>63</v>
      </c>
      <c r="Y36" s="10" t="s">
        <v>46</v>
      </c>
      <c r="Z36" s="10" t="s">
        <v>54</v>
      </c>
      <c r="AA36" s="10" t="s">
        <v>45</v>
      </c>
      <c r="AB36" s="10" t="s">
        <v>166</v>
      </c>
    </row>
    <row r="37" spans="1:28">
      <c r="A37" s="10" t="s">
        <v>55</v>
      </c>
      <c r="B37" s="10" t="s">
        <v>184</v>
      </c>
      <c r="C37" s="10">
        <v>2020</v>
      </c>
      <c r="D37" s="45" t="s">
        <v>185</v>
      </c>
      <c r="E37" s="10" t="s">
        <v>197</v>
      </c>
      <c r="F37" s="10" t="s">
        <v>187</v>
      </c>
      <c r="G37" s="10" t="s">
        <v>39</v>
      </c>
      <c r="H37" s="10" t="s">
        <v>40</v>
      </c>
      <c r="I37" s="10" t="s">
        <v>41</v>
      </c>
      <c r="J37" s="10" t="s">
        <v>42</v>
      </c>
      <c r="K37" s="10" t="s">
        <v>43</v>
      </c>
      <c r="L37" s="10">
        <v>3</v>
      </c>
      <c r="N37" s="10">
        <v>8</v>
      </c>
      <c r="O37" s="10">
        <v>0.55000000000000004</v>
      </c>
      <c r="P37" s="10">
        <v>0.7</v>
      </c>
      <c r="Q37" s="46">
        <f t="shared" si="0"/>
        <v>0.625</v>
      </c>
      <c r="R37" s="10">
        <v>14.2</v>
      </c>
      <c r="S37" s="10">
        <v>93</v>
      </c>
      <c r="T37" s="24">
        <f t="shared" si="1"/>
        <v>36</v>
      </c>
      <c r="U37" s="10">
        <v>598</v>
      </c>
      <c r="V37" s="24">
        <f t="shared" si="2"/>
        <v>2691</v>
      </c>
      <c r="W37" s="10">
        <v>1</v>
      </c>
      <c r="X37" s="10" t="s">
        <v>63</v>
      </c>
      <c r="Y37" s="10" t="s">
        <v>46</v>
      </c>
      <c r="Z37" s="10" t="s">
        <v>54</v>
      </c>
      <c r="AA37" s="10" t="s">
        <v>45</v>
      </c>
      <c r="AB37" s="10" t="s">
        <v>166</v>
      </c>
    </row>
    <row r="38" spans="1:28">
      <c r="A38" s="10" t="s">
        <v>55</v>
      </c>
      <c r="B38" s="10" t="s">
        <v>184</v>
      </c>
      <c r="C38" s="10">
        <v>2020</v>
      </c>
      <c r="D38" s="45" t="s">
        <v>185</v>
      </c>
      <c r="E38" s="10" t="s">
        <v>197</v>
      </c>
      <c r="F38" s="10" t="s">
        <v>199</v>
      </c>
      <c r="G38" s="10" t="s">
        <v>39</v>
      </c>
      <c r="H38" s="10" t="s">
        <v>40</v>
      </c>
      <c r="I38" s="10" t="s">
        <v>41</v>
      </c>
      <c r="J38" s="10" t="s">
        <v>42</v>
      </c>
      <c r="K38" s="10" t="s">
        <v>43</v>
      </c>
      <c r="L38" s="10">
        <v>1</v>
      </c>
      <c r="N38" s="10">
        <v>1</v>
      </c>
      <c r="O38" s="10">
        <v>0.5</v>
      </c>
      <c r="P38" s="10">
        <v>0.65</v>
      </c>
      <c r="Q38" s="46">
        <f t="shared" si="0"/>
        <v>0.57499999999999996</v>
      </c>
      <c r="R38" s="10">
        <v>14.6</v>
      </c>
      <c r="S38" s="10">
        <v>124</v>
      </c>
      <c r="T38" s="24">
        <f t="shared" si="1"/>
        <v>27</v>
      </c>
      <c r="U38" s="10">
        <v>100</v>
      </c>
      <c r="V38" s="24">
        <f t="shared" si="2"/>
        <v>2700</v>
      </c>
      <c r="W38" s="10">
        <v>1</v>
      </c>
      <c r="X38" s="10" t="s">
        <v>63</v>
      </c>
      <c r="Y38" s="10" t="s">
        <v>46</v>
      </c>
      <c r="Z38" s="10" t="s">
        <v>54</v>
      </c>
      <c r="AA38" s="10" t="s">
        <v>45</v>
      </c>
      <c r="AB38" s="10" t="s">
        <v>166</v>
      </c>
    </row>
    <row r="39" spans="1:28">
      <c r="A39" s="10" t="s">
        <v>55</v>
      </c>
      <c r="B39" s="10" t="s">
        <v>184</v>
      </c>
      <c r="C39" s="10">
        <v>2020</v>
      </c>
      <c r="D39" s="45" t="s">
        <v>185</v>
      </c>
      <c r="E39" s="10" t="s">
        <v>197</v>
      </c>
      <c r="F39" s="10" t="s">
        <v>199</v>
      </c>
      <c r="G39" s="10" t="s">
        <v>39</v>
      </c>
      <c r="H39" s="10" t="s">
        <v>40</v>
      </c>
      <c r="I39" s="10" t="s">
        <v>41</v>
      </c>
      <c r="J39" s="10" t="s">
        <v>42</v>
      </c>
      <c r="K39" s="10" t="s">
        <v>43</v>
      </c>
      <c r="L39" s="10">
        <v>2</v>
      </c>
      <c r="N39" s="10">
        <v>1</v>
      </c>
      <c r="O39" s="10">
        <v>0.6</v>
      </c>
      <c r="P39" s="10">
        <v>0.55000000000000004</v>
      </c>
      <c r="Q39" s="46">
        <f t="shared" si="0"/>
        <v>0.57499999999999996</v>
      </c>
      <c r="R39" s="10">
        <v>12.6</v>
      </c>
      <c r="S39" s="10">
        <v>126</v>
      </c>
      <c r="T39" s="24">
        <f t="shared" si="1"/>
        <v>27</v>
      </c>
      <c r="U39" s="10">
        <v>100</v>
      </c>
      <c r="V39" s="24">
        <f t="shared" si="2"/>
        <v>2700</v>
      </c>
      <c r="W39" s="10">
        <v>1</v>
      </c>
      <c r="X39" s="10" t="s">
        <v>63</v>
      </c>
      <c r="Y39" s="10" t="s">
        <v>46</v>
      </c>
      <c r="Z39" s="10" t="s">
        <v>54</v>
      </c>
      <c r="AA39" s="10" t="s">
        <v>45</v>
      </c>
      <c r="AB39" s="10" t="s">
        <v>166</v>
      </c>
    </row>
    <row r="40" spans="1:28">
      <c r="A40" s="10" t="s">
        <v>55</v>
      </c>
      <c r="B40" s="10" t="s">
        <v>184</v>
      </c>
      <c r="C40" s="10">
        <v>2020</v>
      </c>
      <c r="D40" s="45" t="s">
        <v>185</v>
      </c>
      <c r="E40" s="10" t="s">
        <v>197</v>
      </c>
      <c r="F40" s="10" t="s">
        <v>199</v>
      </c>
      <c r="G40" s="10" t="s">
        <v>39</v>
      </c>
      <c r="H40" s="10" t="s">
        <v>40</v>
      </c>
      <c r="I40" s="10" t="s">
        <v>41</v>
      </c>
      <c r="J40" s="10" t="s">
        <v>42</v>
      </c>
      <c r="K40" s="10" t="s">
        <v>43</v>
      </c>
      <c r="L40" s="10">
        <v>3</v>
      </c>
      <c r="N40" s="10">
        <v>1</v>
      </c>
      <c r="O40" s="10">
        <v>0.7</v>
      </c>
      <c r="P40" s="10">
        <v>0.65</v>
      </c>
      <c r="Q40" s="46">
        <f t="shared" si="0"/>
        <v>0.67500000000000004</v>
      </c>
      <c r="R40" s="10">
        <v>12.8</v>
      </c>
      <c r="S40" s="10">
        <v>128</v>
      </c>
      <c r="T40" s="24">
        <f t="shared" si="1"/>
        <v>27</v>
      </c>
      <c r="U40" s="10">
        <v>100</v>
      </c>
      <c r="V40" s="24">
        <f t="shared" si="2"/>
        <v>2700</v>
      </c>
      <c r="W40" s="10">
        <v>1</v>
      </c>
      <c r="X40" s="10" t="s">
        <v>63</v>
      </c>
      <c r="Y40" s="10" t="s">
        <v>46</v>
      </c>
      <c r="Z40" s="10" t="s">
        <v>54</v>
      </c>
      <c r="AA40" s="10" t="s">
        <v>45</v>
      </c>
      <c r="AB40" s="10" t="s">
        <v>166</v>
      </c>
    </row>
    <row r="41" spans="1:28">
      <c r="A41" s="10" t="s">
        <v>55</v>
      </c>
      <c r="B41" s="10" t="s">
        <v>184</v>
      </c>
      <c r="C41" s="10">
        <v>2020</v>
      </c>
      <c r="D41" s="45" t="s">
        <v>185</v>
      </c>
      <c r="E41" s="10" t="s">
        <v>197</v>
      </c>
      <c r="F41" s="10" t="s">
        <v>199</v>
      </c>
      <c r="G41" s="10" t="s">
        <v>39</v>
      </c>
      <c r="H41" s="10" t="s">
        <v>40</v>
      </c>
      <c r="I41" s="10" t="s">
        <v>41</v>
      </c>
      <c r="J41" s="10" t="s">
        <v>42</v>
      </c>
      <c r="K41" s="10" t="s">
        <v>43</v>
      </c>
      <c r="L41" s="10">
        <v>1</v>
      </c>
      <c r="N41" s="10">
        <v>4</v>
      </c>
      <c r="O41" s="10">
        <v>0.6</v>
      </c>
      <c r="P41" s="10">
        <v>0.65</v>
      </c>
      <c r="Q41" s="46">
        <f t="shared" si="0"/>
        <v>0.625</v>
      </c>
      <c r="R41" s="10">
        <v>13</v>
      </c>
      <c r="S41" s="10">
        <v>115</v>
      </c>
      <c r="T41" s="24">
        <f t="shared" si="1"/>
        <v>30</v>
      </c>
      <c r="U41" s="10">
        <v>398</v>
      </c>
      <c r="V41" s="24">
        <f t="shared" si="2"/>
        <v>2985</v>
      </c>
      <c r="W41" s="10">
        <v>1</v>
      </c>
      <c r="X41" s="10" t="s">
        <v>63</v>
      </c>
      <c r="Y41" s="10" t="s">
        <v>46</v>
      </c>
      <c r="Z41" s="10" t="s">
        <v>54</v>
      </c>
      <c r="AA41" s="10" t="s">
        <v>45</v>
      </c>
      <c r="AB41" s="10" t="s">
        <v>166</v>
      </c>
    </row>
    <row r="42" spans="1:28">
      <c r="A42" s="10" t="s">
        <v>55</v>
      </c>
      <c r="B42" s="10" t="s">
        <v>184</v>
      </c>
      <c r="C42" s="10">
        <v>2020</v>
      </c>
      <c r="D42" s="45" t="s">
        <v>185</v>
      </c>
      <c r="E42" s="10" t="s">
        <v>197</v>
      </c>
      <c r="F42" s="10" t="s">
        <v>199</v>
      </c>
      <c r="G42" s="10" t="s">
        <v>39</v>
      </c>
      <c r="H42" s="10" t="s">
        <v>40</v>
      </c>
      <c r="I42" s="10" t="s">
        <v>41</v>
      </c>
      <c r="J42" s="10" t="s">
        <v>42</v>
      </c>
      <c r="K42" s="10" t="s">
        <v>43</v>
      </c>
      <c r="L42" s="10">
        <v>2</v>
      </c>
      <c r="N42" s="10">
        <v>4</v>
      </c>
      <c r="O42" s="10">
        <v>0.8</v>
      </c>
      <c r="P42" s="10">
        <v>0.85</v>
      </c>
      <c r="Q42" s="46">
        <f t="shared" si="0"/>
        <v>0.82499999999999996</v>
      </c>
      <c r="R42" s="10">
        <v>12.7</v>
      </c>
      <c r="S42" s="10">
        <v>114</v>
      </c>
      <c r="T42" s="24">
        <f t="shared" si="1"/>
        <v>30</v>
      </c>
      <c r="U42" s="10">
        <v>398</v>
      </c>
      <c r="V42" s="24">
        <f t="shared" si="2"/>
        <v>2985</v>
      </c>
      <c r="W42" s="10">
        <v>1</v>
      </c>
      <c r="X42" s="10" t="s">
        <v>63</v>
      </c>
      <c r="Y42" s="10" t="s">
        <v>46</v>
      </c>
      <c r="Z42" s="10" t="s">
        <v>54</v>
      </c>
      <c r="AA42" s="10" t="s">
        <v>45</v>
      </c>
      <c r="AB42" s="10" t="s">
        <v>166</v>
      </c>
    </row>
    <row r="43" spans="1:28">
      <c r="A43" s="10" t="s">
        <v>55</v>
      </c>
      <c r="B43" s="10" t="s">
        <v>184</v>
      </c>
      <c r="C43" s="10">
        <v>2020</v>
      </c>
      <c r="D43" s="45" t="s">
        <v>185</v>
      </c>
      <c r="E43" s="10" t="s">
        <v>197</v>
      </c>
      <c r="F43" s="10" t="s">
        <v>199</v>
      </c>
      <c r="G43" s="10" t="s">
        <v>39</v>
      </c>
      <c r="H43" s="10" t="s">
        <v>40</v>
      </c>
      <c r="I43" s="10" t="s">
        <v>41</v>
      </c>
      <c r="J43" s="10" t="s">
        <v>42</v>
      </c>
      <c r="K43" s="10" t="s">
        <v>43</v>
      </c>
      <c r="L43" s="10">
        <v>3</v>
      </c>
      <c r="N43" s="10">
        <v>4</v>
      </c>
      <c r="O43" s="10">
        <v>0.9</v>
      </c>
      <c r="P43" s="10">
        <v>0.65</v>
      </c>
      <c r="Q43" s="46">
        <f t="shared" si="0"/>
        <v>0.77500000000000002</v>
      </c>
      <c r="R43" s="10">
        <v>11.8</v>
      </c>
      <c r="S43" s="10">
        <v>115</v>
      </c>
      <c r="T43" s="24">
        <f t="shared" si="1"/>
        <v>30</v>
      </c>
      <c r="U43" s="10">
        <v>398</v>
      </c>
      <c r="V43" s="24">
        <f t="shared" si="2"/>
        <v>2985</v>
      </c>
      <c r="W43" s="10">
        <v>1</v>
      </c>
      <c r="X43" s="10" t="s">
        <v>63</v>
      </c>
      <c r="Y43" s="10" t="s">
        <v>46</v>
      </c>
      <c r="Z43" s="10" t="s">
        <v>54</v>
      </c>
      <c r="AA43" s="10" t="s">
        <v>45</v>
      </c>
      <c r="AB43" s="10" t="s">
        <v>166</v>
      </c>
    </row>
    <row r="44" spans="1:28">
      <c r="A44" s="10" t="s">
        <v>55</v>
      </c>
      <c r="B44" s="10" t="s">
        <v>184</v>
      </c>
      <c r="C44" s="10">
        <v>2020</v>
      </c>
      <c r="D44" s="45" t="s">
        <v>185</v>
      </c>
      <c r="E44" s="10" t="s">
        <v>197</v>
      </c>
      <c r="F44" s="10" t="s">
        <v>199</v>
      </c>
      <c r="G44" s="10" t="s">
        <v>39</v>
      </c>
      <c r="H44" s="10" t="s">
        <v>40</v>
      </c>
      <c r="I44" s="10" t="s">
        <v>41</v>
      </c>
      <c r="J44" s="10" t="s">
        <v>42</v>
      </c>
      <c r="K44" s="10" t="s">
        <v>43</v>
      </c>
      <c r="L44" s="10">
        <v>1</v>
      </c>
      <c r="N44" s="10">
        <v>8</v>
      </c>
      <c r="O44" s="10">
        <v>0.35</v>
      </c>
      <c r="P44" s="10">
        <v>0.4</v>
      </c>
      <c r="Q44" s="46">
        <f t="shared" si="0"/>
        <v>0.375</v>
      </c>
      <c r="R44" s="10">
        <v>12.8</v>
      </c>
      <c r="S44" s="10">
        <v>90</v>
      </c>
      <c r="T44" s="24">
        <f t="shared" si="1"/>
        <v>36</v>
      </c>
      <c r="U44" s="10">
        <v>398</v>
      </c>
      <c r="V44" s="24">
        <f t="shared" si="2"/>
        <v>1791</v>
      </c>
      <c r="W44" s="10">
        <v>3</v>
      </c>
      <c r="X44" s="10" t="s">
        <v>63</v>
      </c>
      <c r="Y44" s="10" t="s">
        <v>46</v>
      </c>
      <c r="Z44" s="10" t="s">
        <v>45</v>
      </c>
      <c r="AA44" s="10" t="s">
        <v>160</v>
      </c>
      <c r="AB44" s="10" t="s">
        <v>166</v>
      </c>
    </row>
    <row r="45" spans="1:28">
      <c r="A45" s="10" t="s">
        <v>55</v>
      </c>
      <c r="B45" s="10" t="s">
        <v>184</v>
      </c>
      <c r="C45" s="10">
        <v>2020</v>
      </c>
      <c r="D45" s="45" t="s">
        <v>185</v>
      </c>
      <c r="E45" s="10" t="s">
        <v>197</v>
      </c>
      <c r="F45" s="10" t="s">
        <v>199</v>
      </c>
      <c r="G45" s="10" t="s">
        <v>39</v>
      </c>
      <c r="H45" s="10" t="s">
        <v>40</v>
      </c>
      <c r="I45" s="10" t="s">
        <v>41</v>
      </c>
      <c r="J45" s="10" t="s">
        <v>42</v>
      </c>
      <c r="K45" s="10" t="s">
        <v>43</v>
      </c>
      <c r="L45" s="10">
        <v>2</v>
      </c>
      <c r="N45" s="10">
        <v>8</v>
      </c>
      <c r="O45" s="10">
        <v>0.4</v>
      </c>
      <c r="P45" s="10">
        <v>0.35</v>
      </c>
      <c r="Q45" s="46">
        <f t="shared" si="0"/>
        <v>0.375</v>
      </c>
      <c r="R45" s="10">
        <v>13.8</v>
      </c>
      <c r="S45" s="10">
        <v>85</v>
      </c>
      <c r="T45" s="24">
        <f t="shared" si="1"/>
        <v>36</v>
      </c>
      <c r="U45" s="10">
        <v>398</v>
      </c>
      <c r="V45" s="24">
        <f t="shared" si="2"/>
        <v>1791</v>
      </c>
      <c r="W45" s="10">
        <v>3</v>
      </c>
      <c r="X45" s="10" t="s">
        <v>63</v>
      </c>
      <c r="Y45" s="10" t="s">
        <v>46</v>
      </c>
      <c r="Z45" s="10" t="s">
        <v>45</v>
      </c>
      <c r="AA45" s="10" t="s">
        <v>160</v>
      </c>
      <c r="AB45" s="10" t="s">
        <v>166</v>
      </c>
    </row>
    <row r="46" spans="1:28">
      <c r="A46" s="10" t="s">
        <v>55</v>
      </c>
      <c r="B46" s="10" t="s">
        <v>184</v>
      </c>
      <c r="C46" s="10">
        <v>2020</v>
      </c>
      <c r="D46" s="45" t="s">
        <v>185</v>
      </c>
      <c r="E46" s="10" t="s">
        <v>197</v>
      </c>
      <c r="F46" s="10" t="s">
        <v>199</v>
      </c>
      <c r="G46" s="10" t="s">
        <v>39</v>
      </c>
      <c r="H46" s="10" t="s">
        <v>40</v>
      </c>
      <c r="I46" s="10" t="s">
        <v>41</v>
      </c>
      <c r="J46" s="10" t="s">
        <v>42</v>
      </c>
      <c r="K46" s="10" t="s">
        <v>43</v>
      </c>
      <c r="L46" s="10">
        <v>3</v>
      </c>
      <c r="N46" s="10">
        <v>8</v>
      </c>
      <c r="O46" s="10">
        <v>0.3</v>
      </c>
      <c r="P46" s="10">
        <v>0.3</v>
      </c>
      <c r="Q46" s="46">
        <f t="shared" si="0"/>
        <v>0.3</v>
      </c>
      <c r="R46" s="10">
        <v>14.7</v>
      </c>
      <c r="S46" s="10">
        <v>93</v>
      </c>
      <c r="T46" s="24">
        <f t="shared" si="1"/>
        <v>36</v>
      </c>
      <c r="U46" s="10">
        <v>398</v>
      </c>
      <c r="V46" s="24">
        <f t="shared" si="2"/>
        <v>1791</v>
      </c>
      <c r="W46" s="10">
        <v>3</v>
      </c>
      <c r="X46" s="10" t="s">
        <v>63</v>
      </c>
      <c r="Y46" s="10" t="s">
        <v>46</v>
      </c>
      <c r="Z46" s="10" t="s">
        <v>45</v>
      </c>
      <c r="AA46" s="10" t="s">
        <v>160</v>
      </c>
      <c r="AB46" s="10" t="s">
        <v>166</v>
      </c>
    </row>
    <row r="47" spans="1:28">
      <c r="A47" s="10" t="s">
        <v>55</v>
      </c>
      <c r="B47" s="10" t="s">
        <v>184</v>
      </c>
      <c r="C47" s="10">
        <v>2020</v>
      </c>
      <c r="D47" s="45" t="s">
        <v>185</v>
      </c>
      <c r="E47" s="10" t="s">
        <v>203</v>
      </c>
      <c r="F47" s="10" t="s">
        <v>204</v>
      </c>
      <c r="G47" s="10" t="s">
        <v>39</v>
      </c>
      <c r="H47" s="10" t="s">
        <v>40</v>
      </c>
      <c r="I47" s="10" t="s">
        <v>41</v>
      </c>
      <c r="J47" s="10" t="s">
        <v>42</v>
      </c>
      <c r="K47" s="10" t="s">
        <v>43</v>
      </c>
      <c r="L47" s="10">
        <v>1</v>
      </c>
      <c r="N47" s="10">
        <v>1</v>
      </c>
      <c r="O47" s="10">
        <v>1.05</v>
      </c>
      <c r="P47" s="10">
        <v>1.2</v>
      </c>
      <c r="Q47" s="46">
        <f t="shared" ref="Q47:Q61" si="3">IF(OR(O47="",P47=""),"",AVERAGE(O47,P47))</f>
        <v>1.125</v>
      </c>
      <c r="R47" s="10">
        <v>12.5</v>
      </c>
      <c r="S47" s="10">
        <v>130</v>
      </c>
      <c r="T47" s="24">
        <f t="shared" ref="T47:T61" si="4">IF(H47="","",IF(OR(H47="GREEN",H47="GK"),IF(S47&gt;=$AX$2,VLOOKUP(S47,$AX$2:$AY$10,2,1),""),IF(S47&gt;=$AZ$2,VLOOKUP(S47,$AZ$2:$BA$10,2,1),"")))</f>
        <v>25</v>
      </c>
      <c r="U47" s="10">
        <v>98</v>
      </c>
      <c r="V47" s="24">
        <f t="shared" ref="V47:V61" si="5">IF(OR(N47="",U47="",T47=""),"",U47/N47*T47)</f>
        <v>2450</v>
      </c>
      <c r="W47" s="10">
        <v>1</v>
      </c>
      <c r="X47" s="10" t="s">
        <v>63</v>
      </c>
      <c r="Y47" s="10" t="s">
        <v>46</v>
      </c>
      <c r="Z47" s="10" t="s">
        <v>45</v>
      </c>
      <c r="AA47" s="10" t="s">
        <v>160</v>
      </c>
      <c r="AB47" s="10" t="s">
        <v>166</v>
      </c>
    </row>
    <row r="48" spans="1:28">
      <c r="A48" s="10" t="s">
        <v>55</v>
      </c>
      <c r="B48" s="10" t="s">
        <v>184</v>
      </c>
      <c r="C48" s="10">
        <v>2020</v>
      </c>
      <c r="D48" s="45" t="s">
        <v>185</v>
      </c>
      <c r="E48" s="10" t="s">
        <v>203</v>
      </c>
      <c r="F48" s="10" t="s">
        <v>204</v>
      </c>
      <c r="G48" s="10" t="s">
        <v>39</v>
      </c>
      <c r="H48" s="10" t="s">
        <v>40</v>
      </c>
      <c r="I48" s="10" t="s">
        <v>41</v>
      </c>
      <c r="J48" s="10" t="s">
        <v>42</v>
      </c>
      <c r="K48" s="10" t="s">
        <v>43</v>
      </c>
      <c r="L48" s="10">
        <v>2</v>
      </c>
      <c r="N48" s="10">
        <v>1</v>
      </c>
      <c r="O48" s="10">
        <v>1.3</v>
      </c>
      <c r="P48" s="10">
        <v>1</v>
      </c>
      <c r="Q48" s="46">
        <f t="shared" si="3"/>
        <v>1.1499999999999999</v>
      </c>
      <c r="R48" s="10">
        <v>9.8000000000000007</v>
      </c>
      <c r="S48" s="10">
        <v>132</v>
      </c>
      <c r="T48" s="24">
        <f t="shared" si="4"/>
        <v>25</v>
      </c>
      <c r="U48" s="10">
        <v>98</v>
      </c>
      <c r="V48" s="24">
        <f t="shared" si="5"/>
        <v>2450</v>
      </c>
      <c r="W48" s="10">
        <v>1</v>
      </c>
      <c r="X48" s="10" t="s">
        <v>63</v>
      </c>
      <c r="Y48" s="10" t="s">
        <v>46</v>
      </c>
      <c r="Z48" s="10" t="s">
        <v>45</v>
      </c>
      <c r="AA48" s="10" t="s">
        <v>160</v>
      </c>
      <c r="AB48" s="10" t="s">
        <v>166</v>
      </c>
    </row>
    <row r="49" spans="1:28">
      <c r="A49" s="10" t="s">
        <v>55</v>
      </c>
      <c r="B49" s="10" t="s">
        <v>184</v>
      </c>
      <c r="C49" s="10">
        <v>2020</v>
      </c>
      <c r="D49" s="45" t="s">
        <v>185</v>
      </c>
      <c r="E49" s="10" t="s">
        <v>203</v>
      </c>
      <c r="F49" s="10" t="s">
        <v>204</v>
      </c>
      <c r="G49" s="10" t="s">
        <v>39</v>
      </c>
      <c r="H49" s="10" t="s">
        <v>40</v>
      </c>
      <c r="I49" s="10" t="s">
        <v>41</v>
      </c>
      <c r="J49" s="10" t="s">
        <v>42</v>
      </c>
      <c r="K49" s="10" t="s">
        <v>43</v>
      </c>
      <c r="L49" s="10">
        <v>3</v>
      </c>
      <c r="N49" s="10">
        <v>1</v>
      </c>
      <c r="O49" s="10">
        <v>1.2</v>
      </c>
      <c r="P49" s="10">
        <v>1.2</v>
      </c>
      <c r="Q49" s="46">
        <f t="shared" si="3"/>
        <v>1.2</v>
      </c>
      <c r="R49" s="10">
        <v>10.7</v>
      </c>
      <c r="S49" s="10">
        <v>132</v>
      </c>
      <c r="T49" s="24">
        <f t="shared" si="4"/>
        <v>25</v>
      </c>
      <c r="U49" s="10">
        <v>98</v>
      </c>
      <c r="V49" s="24">
        <f t="shared" si="5"/>
        <v>2450</v>
      </c>
      <c r="W49" s="10">
        <v>1</v>
      </c>
      <c r="X49" s="10" t="s">
        <v>63</v>
      </c>
      <c r="Y49" s="10" t="s">
        <v>46</v>
      </c>
      <c r="Z49" s="10" t="s">
        <v>45</v>
      </c>
      <c r="AA49" s="10" t="s">
        <v>160</v>
      </c>
      <c r="AB49" s="10" t="s">
        <v>166</v>
      </c>
    </row>
    <row r="50" spans="1:28">
      <c r="A50" s="10" t="s">
        <v>55</v>
      </c>
      <c r="B50" s="10" t="s">
        <v>184</v>
      </c>
      <c r="C50" s="10">
        <v>2020</v>
      </c>
      <c r="D50" s="45" t="s">
        <v>185</v>
      </c>
      <c r="E50" s="10" t="s">
        <v>203</v>
      </c>
      <c r="F50" s="10" t="s">
        <v>212</v>
      </c>
      <c r="G50" s="10" t="s">
        <v>39</v>
      </c>
      <c r="H50" s="10" t="s">
        <v>40</v>
      </c>
      <c r="I50" s="10" t="s">
        <v>41</v>
      </c>
      <c r="J50" s="10" t="s">
        <v>42</v>
      </c>
      <c r="K50" s="10" t="s">
        <v>43</v>
      </c>
      <c r="L50" s="10">
        <v>1</v>
      </c>
      <c r="N50" s="10">
        <v>1</v>
      </c>
      <c r="O50" s="10">
        <v>1</v>
      </c>
      <c r="P50" s="10">
        <v>1.05</v>
      </c>
      <c r="Q50" s="46">
        <f t="shared" si="3"/>
        <v>1.0249999999999999</v>
      </c>
      <c r="R50" s="10">
        <v>10</v>
      </c>
      <c r="S50" s="10">
        <v>130</v>
      </c>
      <c r="T50" s="25">
        <f t="shared" si="4"/>
        <v>25</v>
      </c>
      <c r="U50" s="10">
        <v>98</v>
      </c>
      <c r="V50" s="25">
        <f t="shared" si="5"/>
        <v>2450</v>
      </c>
      <c r="W50" s="10">
        <v>1</v>
      </c>
      <c r="X50" s="10" t="s">
        <v>63</v>
      </c>
      <c r="Y50" s="10" t="s">
        <v>46</v>
      </c>
      <c r="Z50" s="10" t="s">
        <v>45</v>
      </c>
      <c r="AA50" s="10" t="s">
        <v>160</v>
      </c>
      <c r="AB50" s="10" t="s">
        <v>166</v>
      </c>
    </row>
    <row r="51" spans="1:28">
      <c r="A51" s="10" t="s">
        <v>55</v>
      </c>
      <c r="B51" s="10" t="s">
        <v>184</v>
      </c>
      <c r="C51" s="10">
        <v>2020</v>
      </c>
      <c r="D51" s="45" t="s">
        <v>185</v>
      </c>
      <c r="E51" s="10" t="s">
        <v>203</v>
      </c>
      <c r="F51" s="10" t="s">
        <v>212</v>
      </c>
      <c r="G51" s="10" t="s">
        <v>39</v>
      </c>
      <c r="H51" s="10" t="s">
        <v>40</v>
      </c>
      <c r="I51" s="10" t="s">
        <v>41</v>
      </c>
      <c r="J51" s="10" t="s">
        <v>42</v>
      </c>
      <c r="K51" s="10" t="s">
        <v>43</v>
      </c>
      <c r="L51" s="10">
        <v>2</v>
      </c>
      <c r="N51" s="10">
        <v>1</v>
      </c>
      <c r="O51" s="10">
        <v>1.2</v>
      </c>
      <c r="P51" s="10">
        <v>1.2</v>
      </c>
      <c r="Q51" s="46">
        <f t="shared" si="3"/>
        <v>1.2</v>
      </c>
      <c r="R51" s="10">
        <v>8.4</v>
      </c>
      <c r="S51" s="10">
        <v>128</v>
      </c>
      <c r="T51" s="25">
        <f t="shared" si="4"/>
        <v>27</v>
      </c>
      <c r="U51" s="10">
        <v>98</v>
      </c>
      <c r="V51" s="25">
        <f t="shared" si="5"/>
        <v>2646</v>
      </c>
      <c r="W51" s="10">
        <v>1</v>
      </c>
      <c r="X51" s="10" t="s">
        <v>63</v>
      </c>
      <c r="Y51" s="10" t="s">
        <v>46</v>
      </c>
      <c r="Z51" s="10" t="s">
        <v>45</v>
      </c>
      <c r="AA51" s="10" t="s">
        <v>160</v>
      </c>
      <c r="AB51" s="10" t="s">
        <v>166</v>
      </c>
    </row>
    <row r="52" spans="1:28">
      <c r="A52" s="10" t="s">
        <v>55</v>
      </c>
      <c r="B52" s="10" t="s">
        <v>184</v>
      </c>
      <c r="C52" s="10">
        <v>2020</v>
      </c>
      <c r="D52" s="45" t="s">
        <v>185</v>
      </c>
      <c r="E52" s="10" t="s">
        <v>203</v>
      </c>
      <c r="F52" s="10" t="s">
        <v>212</v>
      </c>
      <c r="G52" s="10" t="s">
        <v>39</v>
      </c>
      <c r="H52" s="10" t="s">
        <v>40</v>
      </c>
      <c r="I52" s="10" t="s">
        <v>41</v>
      </c>
      <c r="J52" s="10" t="s">
        <v>42</v>
      </c>
      <c r="K52" s="10" t="s">
        <v>43</v>
      </c>
      <c r="L52" s="10">
        <v>3</v>
      </c>
      <c r="N52" s="10">
        <v>1</v>
      </c>
      <c r="O52" s="10">
        <v>1</v>
      </c>
      <c r="P52" s="10">
        <v>1.1000000000000001</v>
      </c>
      <c r="Q52" s="46">
        <f t="shared" si="3"/>
        <v>1.05</v>
      </c>
      <c r="R52" s="10">
        <v>9.8000000000000007</v>
      </c>
      <c r="S52" s="10">
        <v>129</v>
      </c>
      <c r="T52" s="25">
        <f t="shared" si="4"/>
        <v>25</v>
      </c>
      <c r="U52" s="10">
        <v>98</v>
      </c>
      <c r="V52" s="25">
        <f t="shared" si="5"/>
        <v>2450</v>
      </c>
      <c r="W52" s="10">
        <v>1</v>
      </c>
      <c r="X52" s="10" t="s">
        <v>63</v>
      </c>
      <c r="Y52" s="10" t="s">
        <v>46</v>
      </c>
      <c r="Z52" s="10" t="s">
        <v>45</v>
      </c>
      <c r="AA52" s="10" t="s">
        <v>160</v>
      </c>
      <c r="AB52" s="10" t="s">
        <v>166</v>
      </c>
    </row>
    <row r="53" spans="1:28">
      <c r="A53" s="10" t="s">
        <v>55</v>
      </c>
      <c r="B53" s="10" t="s">
        <v>184</v>
      </c>
      <c r="C53" s="10">
        <v>2020</v>
      </c>
      <c r="D53" s="45" t="s">
        <v>185</v>
      </c>
      <c r="E53" s="10" t="s">
        <v>207</v>
      </c>
      <c r="F53" s="10" t="s">
        <v>208</v>
      </c>
      <c r="G53" s="10" t="s">
        <v>39</v>
      </c>
      <c r="H53" s="10" t="s">
        <v>40</v>
      </c>
      <c r="I53" s="10" t="s">
        <v>41</v>
      </c>
      <c r="J53" s="10" t="s">
        <v>42</v>
      </c>
      <c r="K53" s="10" t="s">
        <v>43</v>
      </c>
      <c r="L53" s="10">
        <v>1</v>
      </c>
      <c r="N53" s="10">
        <v>4</v>
      </c>
      <c r="O53" s="10">
        <v>0.6</v>
      </c>
      <c r="P53" s="10">
        <v>0.65</v>
      </c>
      <c r="Q53" s="46">
        <f t="shared" si="3"/>
        <v>0.625</v>
      </c>
      <c r="R53" s="10">
        <v>10.199999999999999</v>
      </c>
      <c r="S53" s="10">
        <v>113</v>
      </c>
      <c r="T53" s="24">
        <f t="shared" si="4"/>
        <v>30</v>
      </c>
      <c r="U53" s="10">
        <v>397</v>
      </c>
      <c r="V53" s="24">
        <f t="shared" si="5"/>
        <v>2977.5</v>
      </c>
      <c r="W53" s="10">
        <v>1</v>
      </c>
      <c r="X53" s="10" t="s">
        <v>63</v>
      </c>
      <c r="Y53" s="10" t="s">
        <v>46</v>
      </c>
      <c r="Z53" s="10" t="s">
        <v>45</v>
      </c>
      <c r="AA53" s="10" t="s">
        <v>160</v>
      </c>
      <c r="AB53" s="10" t="s">
        <v>166</v>
      </c>
    </row>
    <row r="54" spans="1:28">
      <c r="A54" s="10" t="s">
        <v>55</v>
      </c>
      <c r="B54" s="10" t="s">
        <v>184</v>
      </c>
      <c r="C54" s="10">
        <v>2020</v>
      </c>
      <c r="D54" s="45" t="s">
        <v>185</v>
      </c>
      <c r="E54" s="10" t="s">
        <v>207</v>
      </c>
      <c r="F54" s="10" t="s">
        <v>208</v>
      </c>
      <c r="G54" s="10" t="s">
        <v>39</v>
      </c>
      <c r="H54" s="10" t="s">
        <v>40</v>
      </c>
      <c r="I54" s="10" t="s">
        <v>41</v>
      </c>
      <c r="J54" s="10" t="s">
        <v>42</v>
      </c>
      <c r="K54" s="10" t="s">
        <v>43</v>
      </c>
      <c r="L54" s="10">
        <v>2</v>
      </c>
      <c r="N54" s="10">
        <v>4</v>
      </c>
      <c r="O54" s="10">
        <v>0.8</v>
      </c>
      <c r="P54" s="10">
        <v>0.75</v>
      </c>
      <c r="Q54" s="46">
        <f t="shared" si="3"/>
        <v>0.77500000000000002</v>
      </c>
      <c r="R54" s="10">
        <v>12</v>
      </c>
      <c r="S54" s="10">
        <v>110</v>
      </c>
      <c r="T54" s="24">
        <f t="shared" si="4"/>
        <v>33</v>
      </c>
      <c r="U54" s="10">
        <v>397</v>
      </c>
      <c r="V54" s="24">
        <f t="shared" si="5"/>
        <v>3275.25</v>
      </c>
      <c r="W54" s="10">
        <v>1</v>
      </c>
      <c r="X54" s="10" t="s">
        <v>63</v>
      </c>
      <c r="Y54" s="10" t="s">
        <v>46</v>
      </c>
      <c r="Z54" s="10" t="s">
        <v>45</v>
      </c>
      <c r="AA54" s="10" t="s">
        <v>160</v>
      </c>
      <c r="AB54" s="10" t="s">
        <v>166</v>
      </c>
    </row>
    <row r="55" spans="1:28">
      <c r="A55" s="10" t="s">
        <v>55</v>
      </c>
      <c r="B55" s="10" t="s">
        <v>184</v>
      </c>
      <c r="C55" s="10">
        <v>2020</v>
      </c>
      <c r="D55" s="45" t="s">
        <v>185</v>
      </c>
      <c r="E55" s="10" t="s">
        <v>207</v>
      </c>
      <c r="F55" s="10" t="s">
        <v>208</v>
      </c>
      <c r="G55" s="10" t="s">
        <v>39</v>
      </c>
      <c r="H55" s="10" t="s">
        <v>40</v>
      </c>
      <c r="I55" s="10" t="s">
        <v>41</v>
      </c>
      <c r="J55" s="10" t="s">
        <v>42</v>
      </c>
      <c r="K55" s="10" t="s">
        <v>43</v>
      </c>
      <c r="L55" s="10">
        <v>3</v>
      </c>
      <c r="N55" s="10">
        <v>4</v>
      </c>
      <c r="O55" s="10">
        <v>0.8</v>
      </c>
      <c r="P55" s="10">
        <v>0.65</v>
      </c>
      <c r="Q55" s="46">
        <f t="shared" si="3"/>
        <v>0.72500000000000009</v>
      </c>
      <c r="R55" s="10">
        <v>11.2</v>
      </c>
      <c r="S55" s="10">
        <v>113</v>
      </c>
      <c r="T55" s="24">
        <f t="shared" si="4"/>
        <v>30</v>
      </c>
      <c r="U55" s="10">
        <v>397</v>
      </c>
      <c r="V55" s="24">
        <f t="shared" si="5"/>
        <v>2977.5</v>
      </c>
      <c r="W55" s="10">
        <v>1</v>
      </c>
      <c r="X55" s="10" t="s">
        <v>63</v>
      </c>
      <c r="Y55" s="10" t="s">
        <v>46</v>
      </c>
      <c r="Z55" s="10" t="s">
        <v>45</v>
      </c>
      <c r="AA55" s="10" t="s">
        <v>160</v>
      </c>
      <c r="AB55" s="10" t="s">
        <v>166</v>
      </c>
    </row>
    <row r="56" spans="1:28">
      <c r="A56" s="10" t="s">
        <v>55</v>
      </c>
      <c r="B56" s="10" t="s">
        <v>184</v>
      </c>
      <c r="C56" s="10">
        <v>2020</v>
      </c>
      <c r="D56" s="45" t="s">
        <v>185</v>
      </c>
      <c r="E56" s="10" t="s">
        <v>207</v>
      </c>
      <c r="F56" s="10" t="s">
        <v>208</v>
      </c>
      <c r="G56" s="10" t="s">
        <v>39</v>
      </c>
      <c r="H56" s="10" t="s">
        <v>40</v>
      </c>
      <c r="I56" s="10" t="s">
        <v>41</v>
      </c>
      <c r="J56" s="10" t="s">
        <v>42</v>
      </c>
      <c r="K56" s="10" t="s">
        <v>43</v>
      </c>
      <c r="L56" s="10">
        <v>1</v>
      </c>
      <c r="N56" s="10">
        <v>1</v>
      </c>
      <c r="O56" s="10">
        <v>0.45</v>
      </c>
      <c r="P56" s="10">
        <v>0.5</v>
      </c>
      <c r="Q56" s="46">
        <f t="shared" si="3"/>
        <v>0.47499999999999998</v>
      </c>
      <c r="R56" s="10">
        <v>13.5</v>
      </c>
      <c r="S56" s="10">
        <v>124</v>
      </c>
      <c r="T56" s="24">
        <f t="shared" si="4"/>
        <v>27</v>
      </c>
      <c r="U56" s="10">
        <v>97</v>
      </c>
      <c r="V56" s="24">
        <f t="shared" si="5"/>
        <v>2619</v>
      </c>
      <c r="W56" s="10">
        <v>1</v>
      </c>
      <c r="X56" s="10" t="s">
        <v>63</v>
      </c>
      <c r="Y56" s="10" t="s">
        <v>46</v>
      </c>
      <c r="Z56" s="10" t="s">
        <v>45</v>
      </c>
      <c r="AA56" s="10" t="s">
        <v>160</v>
      </c>
      <c r="AB56" s="10" t="s">
        <v>166</v>
      </c>
    </row>
    <row r="57" spans="1:28">
      <c r="A57" s="10" t="s">
        <v>55</v>
      </c>
      <c r="B57" s="10" t="s">
        <v>184</v>
      </c>
      <c r="C57" s="10">
        <v>2020</v>
      </c>
      <c r="D57" s="45" t="s">
        <v>185</v>
      </c>
      <c r="E57" s="10" t="s">
        <v>207</v>
      </c>
      <c r="F57" s="10" t="s">
        <v>208</v>
      </c>
      <c r="G57" s="10" t="s">
        <v>39</v>
      </c>
      <c r="H57" s="10" t="s">
        <v>40</v>
      </c>
      <c r="I57" s="10" t="s">
        <v>41</v>
      </c>
      <c r="J57" s="10" t="s">
        <v>42</v>
      </c>
      <c r="K57" s="10" t="s">
        <v>43</v>
      </c>
      <c r="L57" s="10">
        <v>2</v>
      </c>
      <c r="N57" s="10">
        <v>1</v>
      </c>
      <c r="O57" s="10">
        <v>0.5</v>
      </c>
      <c r="P57" s="10">
        <v>0.6</v>
      </c>
      <c r="Q57" s="46">
        <f t="shared" si="3"/>
        <v>0.55000000000000004</v>
      </c>
      <c r="R57" s="10">
        <v>12.7</v>
      </c>
      <c r="S57" s="10">
        <v>126</v>
      </c>
      <c r="T57" s="24">
        <f t="shared" si="4"/>
        <v>27</v>
      </c>
      <c r="U57" s="10">
        <v>97</v>
      </c>
      <c r="V57" s="24">
        <f t="shared" si="5"/>
        <v>2619</v>
      </c>
      <c r="W57" s="10">
        <v>1</v>
      </c>
      <c r="X57" s="10" t="s">
        <v>63</v>
      </c>
      <c r="Y57" s="10" t="s">
        <v>46</v>
      </c>
      <c r="Z57" s="10" t="s">
        <v>45</v>
      </c>
      <c r="AA57" s="10" t="s">
        <v>160</v>
      </c>
      <c r="AB57" s="10" t="s">
        <v>166</v>
      </c>
    </row>
    <row r="58" spans="1:28">
      <c r="A58" s="10" t="s">
        <v>55</v>
      </c>
      <c r="B58" s="10" t="s">
        <v>184</v>
      </c>
      <c r="C58" s="10">
        <v>2020</v>
      </c>
      <c r="D58" s="45" t="s">
        <v>185</v>
      </c>
      <c r="E58" s="10" t="s">
        <v>207</v>
      </c>
      <c r="F58" s="10" t="s">
        <v>208</v>
      </c>
      <c r="G58" s="10" t="s">
        <v>39</v>
      </c>
      <c r="H58" s="10" t="s">
        <v>40</v>
      </c>
      <c r="I58" s="10" t="s">
        <v>41</v>
      </c>
      <c r="J58" s="10" t="s">
        <v>42</v>
      </c>
      <c r="K58" s="10" t="s">
        <v>43</v>
      </c>
      <c r="L58" s="10">
        <v>3</v>
      </c>
      <c r="N58" s="10">
        <v>1</v>
      </c>
      <c r="O58" s="10">
        <v>0.65</v>
      </c>
      <c r="P58" s="10">
        <v>0.7</v>
      </c>
      <c r="Q58" s="46">
        <f t="shared" si="3"/>
        <v>0.67500000000000004</v>
      </c>
      <c r="R58" s="10">
        <v>12.1</v>
      </c>
      <c r="S58" s="10">
        <v>128</v>
      </c>
      <c r="T58" s="24">
        <f t="shared" si="4"/>
        <v>27</v>
      </c>
      <c r="U58" s="10">
        <v>97</v>
      </c>
      <c r="V58" s="24">
        <f t="shared" si="5"/>
        <v>2619</v>
      </c>
      <c r="W58" s="10">
        <v>1</v>
      </c>
      <c r="X58" s="10" t="s">
        <v>63</v>
      </c>
      <c r="Y58" s="10" t="s">
        <v>46</v>
      </c>
      <c r="Z58" s="10" t="s">
        <v>45</v>
      </c>
      <c r="AA58" s="10" t="s">
        <v>160</v>
      </c>
      <c r="AB58" s="10" t="s">
        <v>166</v>
      </c>
    </row>
    <row r="59" spans="1:28">
      <c r="A59" s="10" t="s">
        <v>55</v>
      </c>
      <c r="B59" s="10" t="s">
        <v>184</v>
      </c>
      <c r="C59" s="10">
        <v>2020</v>
      </c>
      <c r="D59" s="45" t="s">
        <v>185</v>
      </c>
      <c r="E59" s="10" t="s">
        <v>214</v>
      </c>
      <c r="F59" s="10" t="s">
        <v>215</v>
      </c>
      <c r="G59" s="10" t="s">
        <v>39</v>
      </c>
      <c r="H59" s="10" t="s">
        <v>40</v>
      </c>
      <c r="I59" s="10" t="s">
        <v>41</v>
      </c>
      <c r="J59" s="10" t="s">
        <v>42</v>
      </c>
      <c r="K59" s="10" t="s">
        <v>43</v>
      </c>
      <c r="L59" s="10">
        <v>1</v>
      </c>
      <c r="N59" s="10">
        <v>1</v>
      </c>
      <c r="O59" s="10">
        <v>0.75</v>
      </c>
      <c r="P59" s="10">
        <v>0.8</v>
      </c>
      <c r="Q59" s="46">
        <f t="shared" si="3"/>
        <v>0.77500000000000002</v>
      </c>
      <c r="R59" s="10">
        <v>13.8</v>
      </c>
      <c r="S59" s="10">
        <v>126</v>
      </c>
      <c r="T59" s="24">
        <f t="shared" si="4"/>
        <v>27</v>
      </c>
      <c r="U59" s="68">
        <v>89</v>
      </c>
      <c r="V59" s="24">
        <f t="shared" si="5"/>
        <v>2403</v>
      </c>
      <c r="W59" s="10">
        <v>1</v>
      </c>
      <c r="X59" s="10" t="s">
        <v>63</v>
      </c>
      <c r="Y59" s="10" t="s">
        <v>46</v>
      </c>
      <c r="Z59" s="10" t="s">
        <v>45</v>
      </c>
      <c r="AA59" s="10" t="s">
        <v>160</v>
      </c>
      <c r="AB59" s="10" t="s">
        <v>166</v>
      </c>
    </row>
    <row r="60" spans="1:28">
      <c r="A60" s="10" t="s">
        <v>55</v>
      </c>
      <c r="B60" s="10" t="s">
        <v>184</v>
      </c>
      <c r="C60" s="10">
        <v>2020</v>
      </c>
      <c r="D60" s="45" t="s">
        <v>185</v>
      </c>
      <c r="E60" s="10" t="s">
        <v>214</v>
      </c>
      <c r="F60" s="10" t="s">
        <v>215</v>
      </c>
      <c r="G60" s="10" t="s">
        <v>39</v>
      </c>
      <c r="H60" s="10" t="s">
        <v>40</v>
      </c>
      <c r="I60" s="10" t="s">
        <v>41</v>
      </c>
      <c r="J60" s="10" t="s">
        <v>42</v>
      </c>
      <c r="K60" s="10" t="s">
        <v>43</v>
      </c>
      <c r="L60" s="10">
        <v>2</v>
      </c>
      <c r="N60" s="10">
        <v>1</v>
      </c>
      <c r="O60" s="10">
        <v>0.85</v>
      </c>
      <c r="P60" s="10">
        <v>0.75</v>
      </c>
      <c r="Q60" s="46">
        <f t="shared" si="3"/>
        <v>0.8</v>
      </c>
      <c r="R60" s="10">
        <v>11.4</v>
      </c>
      <c r="S60" s="10">
        <v>127</v>
      </c>
      <c r="T60" s="24">
        <f t="shared" si="4"/>
        <v>27</v>
      </c>
      <c r="U60" s="68">
        <v>89</v>
      </c>
      <c r="V60" s="24">
        <f t="shared" si="5"/>
        <v>2403</v>
      </c>
      <c r="W60" s="10">
        <v>1</v>
      </c>
      <c r="X60" s="10" t="s">
        <v>63</v>
      </c>
      <c r="Y60" s="10" t="s">
        <v>46</v>
      </c>
      <c r="Z60" s="10" t="s">
        <v>45</v>
      </c>
      <c r="AA60" s="10" t="s">
        <v>160</v>
      </c>
      <c r="AB60" s="10" t="s">
        <v>166</v>
      </c>
    </row>
    <row r="61" spans="1:28">
      <c r="A61" s="10" t="s">
        <v>55</v>
      </c>
      <c r="B61" s="10" t="s">
        <v>184</v>
      </c>
      <c r="C61" s="10">
        <v>2020</v>
      </c>
      <c r="D61" s="45" t="s">
        <v>185</v>
      </c>
      <c r="E61" s="10" t="s">
        <v>214</v>
      </c>
      <c r="F61" s="10" t="s">
        <v>215</v>
      </c>
      <c r="G61" s="10" t="s">
        <v>39</v>
      </c>
      <c r="H61" s="10" t="s">
        <v>40</v>
      </c>
      <c r="I61" s="10" t="s">
        <v>41</v>
      </c>
      <c r="J61" s="10" t="s">
        <v>42</v>
      </c>
      <c r="K61" s="10" t="s">
        <v>43</v>
      </c>
      <c r="L61" s="10">
        <v>3</v>
      </c>
      <c r="N61" s="10">
        <v>1</v>
      </c>
      <c r="O61" s="10">
        <v>0.8</v>
      </c>
      <c r="P61" s="10">
        <v>0.8</v>
      </c>
      <c r="Q61" s="46">
        <f t="shared" si="3"/>
        <v>0.8</v>
      </c>
      <c r="R61" s="10">
        <v>10.7</v>
      </c>
      <c r="S61" s="10">
        <v>125</v>
      </c>
      <c r="T61" s="24">
        <f t="shared" si="4"/>
        <v>27</v>
      </c>
      <c r="U61" s="68">
        <v>89</v>
      </c>
      <c r="V61" s="24">
        <f t="shared" si="5"/>
        <v>2403</v>
      </c>
      <c r="W61" s="10">
        <v>1</v>
      </c>
      <c r="X61" s="10" t="s">
        <v>63</v>
      </c>
      <c r="Y61" s="10" t="s">
        <v>46</v>
      </c>
      <c r="Z61" s="10" t="s">
        <v>45</v>
      </c>
      <c r="AA61" s="10" t="s">
        <v>160</v>
      </c>
      <c r="AB61" s="10" t="s">
        <v>166</v>
      </c>
    </row>
  </sheetData>
  <autoFilter ref="A1:AB61" xr:uid="{00000000-0009-0000-0000-000001000000}"/>
  <phoneticPr fontId="3"/>
  <dataValidations count="19">
    <dataValidation type="list" allowBlank="1" showInputMessage="1" showErrorMessage="1" sqref="Y62:AA181" xr:uid="{3E795684-39BF-406A-8E0D-D1FBBC05CAB3}">
      <formula1>$AV$2:$AV$16</formula1>
    </dataValidation>
    <dataValidation type="list" allowBlank="1" showInputMessage="1" showErrorMessage="1" sqref="J62:J181" xr:uid="{87F6C9CC-F85E-4D5D-89FC-C90709106CE0}">
      <formula1>$AP$2:$AP$19</formula1>
    </dataValidation>
    <dataValidation type="list" allowBlank="1" showInputMessage="1" showErrorMessage="1" sqref="F62:F181" xr:uid="{CBA23C67-4A77-4737-B610-BEDD5E1FC984}">
      <formula1>$AH$2:$AH$9</formula1>
    </dataValidation>
    <dataValidation type="list" allowBlank="1" showInputMessage="1" showErrorMessage="1" sqref="E62:E181" xr:uid="{607A6CBB-D0DB-4B7B-9908-6987E4080AAA}">
      <formula1>$AG$2:$AG$10</formula1>
    </dataValidation>
    <dataValidation type="list" allowBlank="1" showInputMessage="1" showErrorMessage="1" sqref="A62:A181" xr:uid="{3B6E8CB6-6363-4607-AFFD-BA6B6D6C554E}">
      <formula1>$AE$2:$AE$16</formula1>
    </dataValidation>
    <dataValidation type="list" allowBlank="1" showInputMessage="1" showErrorMessage="1" sqref="K53:K61" xr:uid="{DE463C97-D02B-4695-9485-87E63A8CBC9A}">
      <formula1>$AR$2:$AR$25</formula1>
    </dataValidation>
    <dataValidation type="list" allowBlank="1" showInputMessage="1" showErrorMessage="1" sqref="K62:K181" xr:uid="{E331D131-64C3-41BC-82BB-1FE4EB790730}">
      <formula1>$AR$2:$AR$19</formula1>
    </dataValidation>
    <dataValidation type="list" allowBlank="1" showInputMessage="1" showErrorMessage="1" sqref="A3:A7 A9:A13 A15:A19 A21:A26 A28:A34 A36:A40 A42:A46 A47:A49 A51:A61" xr:uid="{6158AE0D-722A-4757-9786-F9B3B2500741}">
      <formula1>$AE$2:$AE$19</formula1>
    </dataValidation>
    <dataValidation type="list" allowBlank="1" showInputMessage="1" showErrorMessage="1" sqref="X2:X181" xr:uid="{242AEB1C-BE09-4249-B96B-02FD36B22462}">
      <formula1>$AT$2:$AT$3</formula1>
    </dataValidation>
    <dataValidation type="decimal" allowBlank="1" showInputMessage="1" showErrorMessage="1" error="硬度を正しく入力して下さい。" sqref="O2:P181" xr:uid="{AC2AAFAA-7D9F-4622-8902-9AB5BC126A46}">
      <formula1>0</formula1>
      <formula2>7</formula2>
    </dataValidation>
    <dataValidation type="list" allowBlank="1" showInputMessage="1" showErrorMessage="1" sqref="G2:G181" xr:uid="{732B08EF-9145-41B3-9674-F7CACE8D7CDE}">
      <formula1>$AJ$2:$AJ$4</formula1>
    </dataValidation>
    <dataValidation type="list" allowBlank="1" showInputMessage="1" showErrorMessage="1" sqref="Y2:AA61" xr:uid="{4B167B0A-3D1E-4B83-9621-F46054A605F5}">
      <formula1>$AV$2:$AV$23</formula1>
    </dataValidation>
    <dataValidation type="list" allowBlank="1" showInputMessage="1" showErrorMessage="1" sqref="E2:E61" xr:uid="{EEC1E340-2A5B-4DE8-859D-E4DF58588AD8}">
      <formula1>$AG$2:$AG$11</formula1>
    </dataValidation>
    <dataValidation allowBlank="1" showInputMessage="1" showErrorMessage="1" sqref="B3:B49" xr:uid="{55F75A75-11BE-4F23-B6C7-2A28E3E09AB3}"/>
    <dataValidation type="list" allowBlank="1" showInputMessage="1" showErrorMessage="1" sqref="K2:K52" xr:uid="{7DFA2349-6DD9-4A71-B145-B0B3A4556C9A}">
      <formula1>$AR$2:$AR$26</formula1>
    </dataValidation>
    <dataValidation type="list" allowBlank="1" showInputMessage="1" showErrorMessage="1" sqref="F2:F61" xr:uid="{251F2EF7-1008-43CE-BEE9-A580C0F8E24F}">
      <formula1>$AH$2:$AH$11</formula1>
    </dataValidation>
    <dataValidation type="list" allowBlank="1" showInputMessage="1" showErrorMessage="1" sqref="J2:J61" xr:uid="{930F3C60-9E34-4774-80BF-F678140C5079}">
      <formula1>$AP$2:$AP$27</formula1>
    </dataValidation>
    <dataValidation type="list" allowBlank="1" showInputMessage="1" showErrorMessage="1" sqref="H2:H1122" xr:uid="{96867280-4140-4D03-9B5C-C8EB1F2A3E33}">
      <formula1>$AL$2:$AL$9</formula1>
    </dataValidation>
    <dataValidation type="list" allowBlank="1" showInputMessage="1" showErrorMessage="1" sqref="I2:I181" xr:uid="{BBB5BEE0-0910-4060-B34C-5459BF79576E}">
      <formula1>$AN$5:$AN$6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C2A2-CEBA-434D-AF6F-9813B9D3B685}">
  <dimension ref="A1:BA154"/>
  <sheetViews>
    <sheetView zoomScale="85" zoomScaleNormal="85" workbookViewId="0">
      <pane ySplit="1" topLeftCell="A2" activePane="bottomLeft" state="frozen"/>
      <selection pane="bottomLeft" activeCell="A2" sqref="A2"/>
    </sheetView>
  </sheetViews>
  <sheetFormatPr defaultColWidth="9" defaultRowHeight="13.5"/>
  <cols>
    <col min="1" max="3" width="9" style="10"/>
    <col min="4" max="4" width="10.5" style="10" customWidth="1"/>
    <col min="5" max="13" width="9" style="10"/>
    <col min="14" max="14" width="9.5" style="10" customWidth="1"/>
    <col min="15" max="16" width="9" style="10"/>
    <col min="17" max="17" width="9" style="24"/>
    <col min="18" max="19" width="9" style="10"/>
    <col min="20" max="20" width="9" style="24"/>
    <col min="21" max="21" width="9" style="10"/>
    <col min="22" max="22" width="9" style="24"/>
    <col min="23" max="32" width="9" style="10"/>
    <col min="33" max="33" width="15.875" style="10" customWidth="1"/>
    <col min="34" max="34" width="11.375" style="10" customWidth="1"/>
    <col min="35" max="259" width="9" style="10"/>
    <col min="260" max="260" width="10.5" style="10" customWidth="1"/>
    <col min="261" max="269" width="9" style="10"/>
    <col min="270" max="270" width="9.5" style="10" customWidth="1"/>
    <col min="271" max="288" width="9" style="10"/>
    <col min="289" max="289" width="15.875" style="10" customWidth="1"/>
    <col min="290" max="290" width="11.375" style="10" customWidth="1"/>
    <col min="291" max="515" width="9" style="10"/>
    <col min="516" max="516" width="10.5" style="10" customWidth="1"/>
    <col min="517" max="525" width="9" style="10"/>
    <col min="526" max="526" width="9.5" style="10" customWidth="1"/>
    <col min="527" max="544" width="9" style="10"/>
    <col min="545" max="545" width="15.875" style="10" customWidth="1"/>
    <col min="546" max="546" width="11.375" style="10" customWidth="1"/>
    <col min="547" max="771" width="9" style="10"/>
    <col min="772" max="772" width="10.5" style="10" customWidth="1"/>
    <col min="773" max="781" width="9" style="10"/>
    <col min="782" max="782" width="9.5" style="10" customWidth="1"/>
    <col min="783" max="800" width="9" style="10"/>
    <col min="801" max="801" width="15.875" style="10" customWidth="1"/>
    <col min="802" max="802" width="11.375" style="10" customWidth="1"/>
    <col min="803" max="1027" width="9" style="10"/>
    <col min="1028" max="1028" width="10.5" style="10" customWidth="1"/>
    <col min="1029" max="1037" width="9" style="10"/>
    <col min="1038" max="1038" width="9.5" style="10" customWidth="1"/>
    <col min="1039" max="1056" width="9" style="10"/>
    <col min="1057" max="1057" width="15.875" style="10" customWidth="1"/>
    <col min="1058" max="1058" width="11.375" style="10" customWidth="1"/>
    <col min="1059" max="1283" width="9" style="10"/>
    <col min="1284" max="1284" width="10.5" style="10" customWidth="1"/>
    <col min="1285" max="1293" width="9" style="10"/>
    <col min="1294" max="1294" width="9.5" style="10" customWidth="1"/>
    <col min="1295" max="1312" width="9" style="10"/>
    <col min="1313" max="1313" width="15.875" style="10" customWidth="1"/>
    <col min="1314" max="1314" width="11.375" style="10" customWidth="1"/>
    <col min="1315" max="1539" width="9" style="10"/>
    <col min="1540" max="1540" width="10.5" style="10" customWidth="1"/>
    <col min="1541" max="1549" width="9" style="10"/>
    <col min="1550" max="1550" width="9.5" style="10" customWidth="1"/>
    <col min="1551" max="1568" width="9" style="10"/>
    <col min="1569" max="1569" width="15.875" style="10" customWidth="1"/>
    <col min="1570" max="1570" width="11.375" style="10" customWidth="1"/>
    <col min="1571" max="1795" width="9" style="10"/>
    <col min="1796" max="1796" width="10.5" style="10" customWidth="1"/>
    <col min="1797" max="1805" width="9" style="10"/>
    <col min="1806" max="1806" width="9.5" style="10" customWidth="1"/>
    <col min="1807" max="1824" width="9" style="10"/>
    <col min="1825" max="1825" width="15.875" style="10" customWidth="1"/>
    <col min="1826" max="1826" width="11.375" style="10" customWidth="1"/>
    <col min="1827" max="2051" width="9" style="10"/>
    <col min="2052" max="2052" width="10.5" style="10" customWidth="1"/>
    <col min="2053" max="2061" width="9" style="10"/>
    <col min="2062" max="2062" width="9.5" style="10" customWidth="1"/>
    <col min="2063" max="2080" width="9" style="10"/>
    <col min="2081" max="2081" width="15.875" style="10" customWidth="1"/>
    <col min="2082" max="2082" width="11.375" style="10" customWidth="1"/>
    <col min="2083" max="2307" width="9" style="10"/>
    <col min="2308" max="2308" width="10.5" style="10" customWidth="1"/>
    <col min="2309" max="2317" width="9" style="10"/>
    <col min="2318" max="2318" width="9.5" style="10" customWidth="1"/>
    <col min="2319" max="2336" width="9" style="10"/>
    <col min="2337" max="2337" width="15.875" style="10" customWidth="1"/>
    <col min="2338" max="2338" width="11.375" style="10" customWidth="1"/>
    <col min="2339" max="2563" width="9" style="10"/>
    <col min="2564" max="2564" width="10.5" style="10" customWidth="1"/>
    <col min="2565" max="2573" width="9" style="10"/>
    <col min="2574" max="2574" width="9.5" style="10" customWidth="1"/>
    <col min="2575" max="2592" width="9" style="10"/>
    <col min="2593" max="2593" width="15.875" style="10" customWidth="1"/>
    <col min="2594" max="2594" width="11.375" style="10" customWidth="1"/>
    <col min="2595" max="2819" width="9" style="10"/>
    <col min="2820" max="2820" width="10.5" style="10" customWidth="1"/>
    <col min="2821" max="2829" width="9" style="10"/>
    <col min="2830" max="2830" width="9.5" style="10" customWidth="1"/>
    <col min="2831" max="2848" width="9" style="10"/>
    <col min="2849" max="2849" width="15.875" style="10" customWidth="1"/>
    <col min="2850" max="2850" width="11.375" style="10" customWidth="1"/>
    <col min="2851" max="3075" width="9" style="10"/>
    <col min="3076" max="3076" width="10.5" style="10" customWidth="1"/>
    <col min="3077" max="3085" width="9" style="10"/>
    <col min="3086" max="3086" width="9.5" style="10" customWidth="1"/>
    <col min="3087" max="3104" width="9" style="10"/>
    <col min="3105" max="3105" width="15.875" style="10" customWidth="1"/>
    <col min="3106" max="3106" width="11.375" style="10" customWidth="1"/>
    <col min="3107" max="3331" width="9" style="10"/>
    <col min="3332" max="3332" width="10.5" style="10" customWidth="1"/>
    <col min="3333" max="3341" width="9" style="10"/>
    <col min="3342" max="3342" width="9.5" style="10" customWidth="1"/>
    <col min="3343" max="3360" width="9" style="10"/>
    <col min="3361" max="3361" width="15.875" style="10" customWidth="1"/>
    <col min="3362" max="3362" width="11.375" style="10" customWidth="1"/>
    <col min="3363" max="3587" width="9" style="10"/>
    <col min="3588" max="3588" width="10.5" style="10" customWidth="1"/>
    <col min="3589" max="3597" width="9" style="10"/>
    <col min="3598" max="3598" width="9.5" style="10" customWidth="1"/>
    <col min="3599" max="3616" width="9" style="10"/>
    <col min="3617" max="3617" width="15.875" style="10" customWidth="1"/>
    <col min="3618" max="3618" width="11.375" style="10" customWidth="1"/>
    <col min="3619" max="3843" width="9" style="10"/>
    <col min="3844" max="3844" width="10.5" style="10" customWidth="1"/>
    <col min="3845" max="3853" width="9" style="10"/>
    <col min="3854" max="3854" width="9.5" style="10" customWidth="1"/>
    <col min="3855" max="3872" width="9" style="10"/>
    <col min="3873" max="3873" width="15.875" style="10" customWidth="1"/>
    <col min="3874" max="3874" width="11.375" style="10" customWidth="1"/>
    <col min="3875" max="4099" width="9" style="10"/>
    <col min="4100" max="4100" width="10.5" style="10" customWidth="1"/>
    <col min="4101" max="4109" width="9" style="10"/>
    <col min="4110" max="4110" width="9.5" style="10" customWidth="1"/>
    <col min="4111" max="4128" width="9" style="10"/>
    <col min="4129" max="4129" width="15.875" style="10" customWidth="1"/>
    <col min="4130" max="4130" width="11.375" style="10" customWidth="1"/>
    <col min="4131" max="4355" width="9" style="10"/>
    <col min="4356" max="4356" width="10.5" style="10" customWidth="1"/>
    <col min="4357" max="4365" width="9" style="10"/>
    <col min="4366" max="4366" width="9.5" style="10" customWidth="1"/>
    <col min="4367" max="4384" width="9" style="10"/>
    <col min="4385" max="4385" width="15.875" style="10" customWidth="1"/>
    <col min="4386" max="4386" width="11.375" style="10" customWidth="1"/>
    <col min="4387" max="4611" width="9" style="10"/>
    <col min="4612" max="4612" width="10.5" style="10" customWidth="1"/>
    <col min="4613" max="4621" width="9" style="10"/>
    <col min="4622" max="4622" width="9.5" style="10" customWidth="1"/>
    <col min="4623" max="4640" width="9" style="10"/>
    <col min="4641" max="4641" width="15.875" style="10" customWidth="1"/>
    <col min="4642" max="4642" width="11.375" style="10" customWidth="1"/>
    <col min="4643" max="4867" width="9" style="10"/>
    <col min="4868" max="4868" width="10.5" style="10" customWidth="1"/>
    <col min="4869" max="4877" width="9" style="10"/>
    <col min="4878" max="4878" width="9.5" style="10" customWidth="1"/>
    <col min="4879" max="4896" width="9" style="10"/>
    <col min="4897" max="4897" width="15.875" style="10" customWidth="1"/>
    <col min="4898" max="4898" width="11.375" style="10" customWidth="1"/>
    <col min="4899" max="5123" width="9" style="10"/>
    <col min="5124" max="5124" width="10.5" style="10" customWidth="1"/>
    <col min="5125" max="5133" width="9" style="10"/>
    <col min="5134" max="5134" width="9.5" style="10" customWidth="1"/>
    <col min="5135" max="5152" width="9" style="10"/>
    <col min="5153" max="5153" width="15.875" style="10" customWidth="1"/>
    <col min="5154" max="5154" width="11.375" style="10" customWidth="1"/>
    <col min="5155" max="5379" width="9" style="10"/>
    <col min="5380" max="5380" width="10.5" style="10" customWidth="1"/>
    <col min="5381" max="5389" width="9" style="10"/>
    <col min="5390" max="5390" width="9.5" style="10" customWidth="1"/>
    <col min="5391" max="5408" width="9" style="10"/>
    <col min="5409" max="5409" width="15.875" style="10" customWidth="1"/>
    <col min="5410" max="5410" width="11.375" style="10" customWidth="1"/>
    <col min="5411" max="5635" width="9" style="10"/>
    <col min="5636" max="5636" width="10.5" style="10" customWidth="1"/>
    <col min="5637" max="5645" width="9" style="10"/>
    <col min="5646" max="5646" width="9.5" style="10" customWidth="1"/>
    <col min="5647" max="5664" width="9" style="10"/>
    <col min="5665" max="5665" width="15.875" style="10" customWidth="1"/>
    <col min="5666" max="5666" width="11.375" style="10" customWidth="1"/>
    <col min="5667" max="5891" width="9" style="10"/>
    <col min="5892" max="5892" width="10.5" style="10" customWidth="1"/>
    <col min="5893" max="5901" width="9" style="10"/>
    <col min="5902" max="5902" width="9.5" style="10" customWidth="1"/>
    <col min="5903" max="5920" width="9" style="10"/>
    <col min="5921" max="5921" width="15.875" style="10" customWidth="1"/>
    <col min="5922" max="5922" width="11.375" style="10" customWidth="1"/>
    <col min="5923" max="6147" width="9" style="10"/>
    <col min="6148" max="6148" width="10.5" style="10" customWidth="1"/>
    <col min="6149" max="6157" width="9" style="10"/>
    <col min="6158" max="6158" width="9.5" style="10" customWidth="1"/>
    <col min="6159" max="6176" width="9" style="10"/>
    <col min="6177" max="6177" width="15.875" style="10" customWidth="1"/>
    <col min="6178" max="6178" width="11.375" style="10" customWidth="1"/>
    <col min="6179" max="6403" width="9" style="10"/>
    <col min="6404" max="6404" width="10.5" style="10" customWidth="1"/>
    <col min="6405" max="6413" width="9" style="10"/>
    <col min="6414" max="6414" width="9.5" style="10" customWidth="1"/>
    <col min="6415" max="6432" width="9" style="10"/>
    <col min="6433" max="6433" width="15.875" style="10" customWidth="1"/>
    <col min="6434" max="6434" width="11.375" style="10" customWidth="1"/>
    <col min="6435" max="6659" width="9" style="10"/>
    <col min="6660" max="6660" width="10.5" style="10" customWidth="1"/>
    <col min="6661" max="6669" width="9" style="10"/>
    <col min="6670" max="6670" width="9.5" style="10" customWidth="1"/>
    <col min="6671" max="6688" width="9" style="10"/>
    <col min="6689" max="6689" width="15.875" style="10" customWidth="1"/>
    <col min="6690" max="6690" width="11.375" style="10" customWidth="1"/>
    <col min="6691" max="6915" width="9" style="10"/>
    <col min="6916" max="6916" width="10.5" style="10" customWidth="1"/>
    <col min="6917" max="6925" width="9" style="10"/>
    <col min="6926" max="6926" width="9.5" style="10" customWidth="1"/>
    <col min="6927" max="6944" width="9" style="10"/>
    <col min="6945" max="6945" width="15.875" style="10" customWidth="1"/>
    <col min="6946" max="6946" width="11.375" style="10" customWidth="1"/>
    <col min="6947" max="7171" width="9" style="10"/>
    <col min="7172" max="7172" width="10.5" style="10" customWidth="1"/>
    <col min="7173" max="7181" width="9" style="10"/>
    <col min="7182" max="7182" width="9.5" style="10" customWidth="1"/>
    <col min="7183" max="7200" width="9" style="10"/>
    <col min="7201" max="7201" width="15.875" style="10" customWidth="1"/>
    <col min="7202" max="7202" width="11.375" style="10" customWidth="1"/>
    <col min="7203" max="7427" width="9" style="10"/>
    <col min="7428" max="7428" width="10.5" style="10" customWidth="1"/>
    <col min="7429" max="7437" width="9" style="10"/>
    <col min="7438" max="7438" width="9.5" style="10" customWidth="1"/>
    <col min="7439" max="7456" width="9" style="10"/>
    <col min="7457" max="7457" width="15.875" style="10" customWidth="1"/>
    <col min="7458" max="7458" width="11.375" style="10" customWidth="1"/>
    <col min="7459" max="7683" width="9" style="10"/>
    <col min="7684" max="7684" width="10.5" style="10" customWidth="1"/>
    <col min="7685" max="7693" width="9" style="10"/>
    <col min="7694" max="7694" width="9.5" style="10" customWidth="1"/>
    <col min="7695" max="7712" width="9" style="10"/>
    <col min="7713" max="7713" width="15.875" style="10" customWidth="1"/>
    <col min="7714" max="7714" width="11.375" style="10" customWidth="1"/>
    <col min="7715" max="7939" width="9" style="10"/>
    <col min="7940" max="7940" width="10.5" style="10" customWidth="1"/>
    <col min="7941" max="7949" width="9" style="10"/>
    <col min="7950" max="7950" width="9.5" style="10" customWidth="1"/>
    <col min="7951" max="7968" width="9" style="10"/>
    <col min="7969" max="7969" width="15.875" style="10" customWidth="1"/>
    <col min="7970" max="7970" width="11.375" style="10" customWidth="1"/>
    <col min="7971" max="8195" width="9" style="10"/>
    <col min="8196" max="8196" width="10.5" style="10" customWidth="1"/>
    <col min="8197" max="8205" width="9" style="10"/>
    <col min="8206" max="8206" width="9.5" style="10" customWidth="1"/>
    <col min="8207" max="8224" width="9" style="10"/>
    <col min="8225" max="8225" width="15.875" style="10" customWidth="1"/>
    <col min="8226" max="8226" width="11.375" style="10" customWidth="1"/>
    <col min="8227" max="8451" width="9" style="10"/>
    <col min="8452" max="8452" width="10.5" style="10" customWidth="1"/>
    <col min="8453" max="8461" width="9" style="10"/>
    <col min="8462" max="8462" width="9.5" style="10" customWidth="1"/>
    <col min="8463" max="8480" width="9" style="10"/>
    <col min="8481" max="8481" width="15.875" style="10" customWidth="1"/>
    <col min="8482" max="8482" width="11.375" style="10" customWidth="1"/>
    <col min="8483" max="8707" width="9" style="10"/>
    <col min="8708" max="8708" width="10.5" style="10" customWidth="1"/>
    <col min="8709" max="8717" width="9" style="10"/>
    <col min="8718" max="8718" width="9.5" style="10" customWidth="1"/>
    <col min="8719" max="8736" width="9" style="10"/>
    <col min="8737" max="8737" width="15.875" style="10" customWidth="1"/>
    <col min="8738" max="8738" width="11.375" style="10" customWidth="1"/>
    <col min="8739" max="8963" width="9" style="10"/>
    <col min="8964" max="8964" width="10.5" style="10" customWidth="1"/>
    <col min="8965" max="8973" width="9" style="10"/>
    <col min="8974" max="8974" width="9.5" style="10" customWidth="1"/>
    <col min="8975" max="8992" width="9" style="10"/>
    <col min="8993" max="8993" width="15.875" style="10" customWidth="1"/>
    <col min="8994" max="8994" width="11.375" style="10" customWidth="1"/>
    <col min="8995" max="9219" width="9" style="10"/>
    <col min="9220" max="9220" width="10.5" style="10" customWidth="1"/>
    <col min="9221" max="9229" width="9" style="10"/>
    <col min="9230" max="9230" width="9.5" style="10" customWidth="1"/>
    <col min="9231" max="9248" width="9" style="10"/>
    <col min="9249" max="9249" width="15.875" style="10" customWidth="1"/>
    <col min="9250" max="9250" width="11.375" style="10" customWidth="1"/>
    <col min="9251" max="9475" width="9" style="10"/>
    <col min="9476" max="9476" width="10.5" style="10" customWidth="1"/>
    <col min="9477" max="9485" width="9" style="10"/>
    <col min="9486" max="9486" width="9.5" style="10" customWidth="1"/>
    <col min="9487" max="9504" width="9" style="10"/>
    <col min="9505" max="9505" width="15.875" style="10" customWidth="1"/>
    <col min="9506" max="9506" width="11.375" style="10" customWidth="1"/>
    <col min="9507" max="9731" width="9" style="10"/>
    <col min="9732" max="9732" width="10.5" style="10" customWidth="1"/>
    <col min="9733" max="9741" width="9" style="10"/>
    <col min="9742" max="9742" width="9.5" style="10" customWidth="1"/>
    <col min="9743" max="9760" width="9" style="10"/>
    <col min="9761" max="9761" width="15.875" style="10" customWidth="1"/>
    <col min="9762" max="9762" width="11.375" style="10" customWidth="1"/>
    <col min="9763" max="9987" width="9" style="10"/>
    <col min="9988" max="9988" width="10.5" style="10" customWidth="1"/>
    <col min="9989" max="9997" width="9" style="10"/>
    <col min="9998" max="9998" width="9.5" style="10" customWidth="1"/>
    <col min="9999" max="10016" width="9" style="10"/>
    <col min="10017" max="10017" width="15.875" style="10" customWidth="1"/>
    <col min="10018" max="10018" width="11.375" style="10" customWidth="1"/>
    <col min="10019" max="10243" width="9" style="10"/>
    <col min="10244" max="10244" width="10.5" style="10" customWidth="1"/>
    <col min="10245" max="10253" width="9" style="10"/>
    <col min="10254" max="10254" width="9.5" style="10" customWidth="1"/>
    <col min="10255" max="10272" width="9" style="10"/>
    <col min="10273" max="10273" width="15.875" style="10" customWidth="1"/>
    <col min="10274" max="10274" width="11.375" style="10" customWidth="1"/>
    <col min="10275" max="10499" width="9" style="10"/>
    <col min="10500" max="10500" width="10.5" style="10" customWidth="1"/>
    <col min="10501" max="10509" width="9" style="10"/>
    <col min="10510" max="10510" width="9.5" style="10" customWidth="1"/>
    <col min="10511" max="10528" width="9" style="10"/>
    <col min="10529" max="10529" width="15.875" style="10" customWidth="1"/>
    <col min="10530" max="10530" width="11.375" style="10" customWidth="1"/>
    <col min="10531" max="10755" width="9" style="10"/>
    <col min="10756" max="10756" width="10.5" style="10" customWidth="1"/>
    <col min="10757" max="10765" width="9" style="10"/>
    <col min="10766" max="10766" width="9.5" style="10" customWidth="1"/>
    <col min="10767" max="10784" width="9" style="10"/>
    <col min="10785" max="10785" width="15.875" style="10" customWidth="1"/>
    <col min="10786" max="10786" width="11.375" style="10" customWidth="1"/>
    <col min="10787" max="11011" width="9" style="10"/>
    <col min="11012" max="11012" width="10.5" style="10" customWidth="1"/>
    <col min="11013" max="11021" width="9" style="10"/>
    <col min="11022" max="11022" width="9.5" style="10" customWidth="1"/>
    <col min="11023" max="11040" width="9" style="10"/>
    <col min="11041" max="11041" width="15.875" style="10" customWidth="1"/>
    <col min="11042" max="11042" width="11.375" style="10" customWidth="1"/>
    <col min="11043" max="11267" width="9" style="10"/>
    <col min="11268" max="11268" width="10.5" style="10" customWidth="1"/>
    <col min="11269" max="11277" width="9" style="10"/>
    <col min="11278" max="11278" width="9.5" style="10" customWidth="1"/>
    <col min="11279" max="11296" width="9" style="10"/>
    <col min="11297" max="11297" width="15.875" style="10" customWidth="1"/>
    <col min="11298" max="11298" width="11.375" style="10" customWidth="1"/>
    <col min="11299" max="11523" width="9" style="10"/>
    <col min="11524" max="11524" width="10.5" style="10" customWidth="1"/>
    <col min="11525" max="11533" width="9" style="10"/>
    <col min="11534" max="11534" width="9.5" style="10" customWidth="1"/>
    <col min="11535" max="11552" width="9" style="10"/>
    <col min="11553" max="11553" width="15.875" style="10" customWidth="1"/>
    <col min="11554" max="11554" width="11.375" style="10" customWidth="1"/>
    <col min="11555" max="11779" width="9" style="10"/>
    <col min="11780" max="11780" width="10.5" style="10" customWidth="1"/>
    <col min="11781" max="11789" width="9" style="10"/>
    <col min="11790" max="11790" width="9.5" style="10" customWidth="1"/>
    <col min="11791" max="11808" width="9" style="10"/>
    <col min="11809" max="11809" width="15.875" style="10" customWidth="1"/>
    <col min="11810" max="11810" width="11.375" style="10" customWidth="1"/>
    <col min="11811" max="12035" width="9" style="10"/>
    <col min="12036" max="12036" width="10.5" style="10" customWidth="1"/>
    <col min="12037" max="12045" width="9" style="10"/>
    <col min="12046" max="12046" width="9.5" style="10" customWidth="1"/>
    <col min="12047" max="12064" width="9" style="10"/>
    <col min="12065" max="12065" width="15.875" style="10" customWidth="1"/>
    <col min="12066" max="12066" width="11.375" style="10" customWidth="1"/>
    <col min="12067" max="12291" width="9" style="10"/>
    <col min="12292" max="12292" width="10.5" style="10" customWidth="1"/>
    <col min="12293" max="12301" width="9" style="10"/>
    <col min="12302" max="12302" width="9.5" style="10" customWidth="1"/>
    <col min="12303" max="12320" width="9" style="10"/>
    <col min="12321" max="12321" width="15.875" style="10" customWidth="1"/>
    <col min="12322" max="12322" width="11.375" style="10" customWidth="1"/>
    <col min="12323" max="12547" width="9" style="10"/>
    <col min="12548" max="12548" width="10.5" style="10" customWidth="1"/>
    <col min="12549" max="12557" width="9" style="10"/>
    <col min="12558" max="12558" width="9.5" style="10" customWidth="1"/>
    <col min="12559" max="12576" width="9" style="10"/>
    <col min="12577" max="12577" width="15.875" style="10" customWidth="1"/>
    <col min="12578" max="12578" width="11.375" style="10" customWidth="1"/>
    <col min="12579" max="12803" width="9" style="10"/>
    <col min="12804" max="12804" width="10.5" style="10" customWidth="1"/>
    <col min="12805" max="12813" width="9" style="10"/>
    <col min="12814" max="12814" width="9.5" style="10" customWidth="1"/>
    <col min="12815" max="12832" width="9" style="10"/>
    <col min="12833" max="12833" width="15.875" style="10" customWidth="1"/>
    <col min="12834" max="12834" width="11.375" style="10" customWidth="1"/>
    <col min="12835" max="13059" width="9" style="10"/>
    <col min="13060" max="13060" width="10.5" style="10" customWidth="1"/>
    <col min="13061" max="13069" width="9" style="10"/>
    <col min="13070" max="13070" width="9.5" style="10" customWidth="1"/>
    <col min="13071" max="13088" width="9" style="10"/>
    <col min="13089" max="13089" width="15.875" style="10" customWidth="1"/>
    <col min="13090" max="13090" width="11.375" style="10" customWidth="1"/>
    <col min="13091" max="13315" width="9" style="10"/>
    <col min="13316" max="13316" width="10.5" style="10" customWidth="1"/>
    <col min="13317" max="13325" width="9" style="10"/>
    <col min="13326" max="13326" width="9.5" style="10" customWidth="1"/>
    <col min="13327" max="13344" width="9" style="10"/>
    <col min="13345" max="13345" width="15.875" style="10" customWidth="1"/>
    <col min="13346" max="13346" width="11.375" style="10" customWidth="1"/>
    <col min="13347" max="13571" width="9" style="10"/>
    <col min="13572" max="13572" width="10.5" style="10" customWidth="1"/>
    <col min="13573" max="13581" width="9" style="10"/>
    <col min="13582" max="13582" width="9.5" style="10" customWidth="1"/>
    <col min="13583" max="13600" width="9" style="10"/>
    <col min="13601" max="13601" width="15.875" style="10" customWidth="1"/>
    <col min="13602" max="13602" width="11.375" style="10" customWidth="1"/>
    <col min="13603" max="13827" width="9" style="10"/>
    <col min="13828" max="13828" width="10.5" style="10" customWidth="1"/>
    <col min="13829" max="13837" width="9" style="10"/>
    <col min="13838" max="13838" width="9.5" style="10" customWidth="1"/>
    <col min="13839" max="13856" width="9" style="10"/>
    <col min="13857" max="13857" width="15.875" style="10" customWidth="1"/>
    <col min="13858" max="13858" width="11.375" style="10" customWidth="1"/>
    <col min="13859" max="14083" width="9" style="10"/>
    <col min="14084" max="14084" width="10.5" style="10" customWidth="1"/>
    <col min="14085" max="14093" width="9" style="10"/>
    <col min="14094" max="14094" width="9.5" style="10" customWidth="1"/>
    <col min="14095" max="14112" width="9" style="10"/>
    <col min="14113" max="14113" width="15.875" style="10" customWidth="1"/>
    <col min="14114" max="14114" width="11.375" style="10" customWidth="1"/>
    <col min="14115" max="14339" width="9" style="10"/>
    <col min="14340" max="14340" width="10.5" style="10" customWidth="1"/>
    <col min="14341" max="14349" width="9" style="10"/>
    <col min="14350" max="14350" width="9.5" style="10" customWidth="1"/>
    <col min="14351" max="14368" width="9" style="10"/>
    <col min="14369" max="14369" width="15.875" style="10" customWidth="1"/>
    <col min="14370" max="14370" width="11.375" style="10" customWidth="1"/>
    <col min="14371" max="14595" width="9" style="10"/>
    <col min="14596" max="14596" width="10.5" style="10" customWidth="1"/>
    <col min="14597" max="14605" width="9" style="10"/>
    <col min="14606" max="14606" width="9.5" style="10" customWidth="1"/>
    <col min="14607" max="14624" width="9" style="10"/>
    <col min="14625" max="14625" width="15.875" style="10" customWidth="1"/>
    <col min="14626" max="14626" width="11.375" style="10" customWidth="1"/>
    <col min="14627" max="14851" width="9" style="10"/>
    <col min="14852" max="14852" width="10.5" style="10" customWidth="1"/>
    <col min="14853" max="14861" width="9" style="10"/>
    <col min="14862" max="14862" width="9.5" style="10" customWidth="1"/>
    <col min="14863" max="14880" width="9" style="10"/>
    <col min="14881" max="14881" width="15.875" style="10" customWidth="1"/>
    <col min="14882" max="14882" width="11.375" style="10" customWidth="1"/>
    <col min="14883" max="15107" width="9" style="10"/>
    <col min="15108" max="15108" width="10.5" style="10" customWidth="1"/>
    <col min="15109" max="15117" width="9" style="10"/>
    <col min="15118" max="15118" width="9.5" style="10" customWidth="1"/>
    <col min="15119" max="15136" width="9" style="10"/>
    <col min="15137" max="15137" width="15.875" style="10" customWidth="1"/>
    <col min="15138" max="15138" width="11.375" style="10" customWidth="1"/>
    <col min="15139" max="15363" width="9" style="10"/>
    <col min="15364" max="15364" width="10.5" style="10" customWidth="1"/>
    <col min="15365" max="15373" width="9" style="10"/>
    <col min="15374" max="15374" width="9.5" style="10" customWidth="1"/>
    <col min="15375" max="15392" width="9" style="10"/>
    <col min="15393" max="15393" width="15.875" style="10" customWidth="1"/>
    <col min="15394" max="15394" width="11.375" style="10" customWidth="1"/>
    <col min="15395" max="15619" width="9" style="10"/>
    <col min="15620" max="15620" width="10.5" style="10" customWidth="1"/>
    <col min="15621" max="15629" width="9" style="10"/>
    <col min="15630" max="15630" width="9.5" style="10" customWidth="1"/>
    <col min="15631" max="15648" width="9" style="10"/>
    <col min="15649" max="15649" width="15.875" style="10" customWidth="1"/>
    <col min="15650" max="15650" width="11.375" style="10" customWidth="1"/>
    <col min="15651" max="15875" width="9" style="10"/>
    <col min="15876" max="15876" width="10.5" style="10" customWidth="1"/>
    <col min="15877" max="15885" width="9" style="10"/>
    <col min="15886" max="15886" width="9.5" style="10" customWidth="1"/>
    <col min="15887" max="15904" width="9" style="10"/>
    <col min="15905" max="15905" width="15.875" style="10" customWidth="1"/>
    <col min="15906" max="15906" width="11.375" style="10" customWidth="1"/>
    <col min="15907" max="16131" width="9" style="10"/>
    <col min="16132" max="16132" width="10.5" style="10" customWidth="1"/>
    <col min="16133" max="16141" width="9" style="10"/>
    <col min="16142" max="16142" width="9.5" style="10" customWidth="1"/>
    <col min="16143" max="16160" width="9" style="10"/>
    <col min="16161" max="16161" width="15.875" style="10" customWidth="1"/>
    <col min="16162" max="16162" width="11.375" style="10" customWidth="1"/>
    <col min="16163" max="16384" width="9" style="10"/>
  </cols>
  <sheetData>
    <row r="1" spans="1:53" ht="45">
      <c r="A1" s="76" t="s">
        <v>0</v>
      </c>
      <c r="B1" s="2" t="s">
        <v>168</v>
      </c>
      <c r="C1" s="2" t="s">
        <v>169</v>
      </c>
      <c r="D1" s="3" t="s">
        <v>3</v>
      </c>
      <c r="E1" s="77" t="s">
        <v>4</v>
      </c>
      <c r="F1" s="77" t="s">
        <v>5</v>
      </c>
      <c r="G1" s="77" t="s">
        <v>6</v>
      </c>
      <c r="H1" s="77" t="s">
        <v>7</v>
      </c>
      <c r="I1" s="77" t="s">
        <v>8</v>
      </c>
      <c r="J1" s="77" t="s">
        <v>9</v>
      </c>
      <c r="K1" s="77" t="s">
        <v>10</v>
      </c>
      <c r="L1" s="3" t="s">
        <v>170</v>
      </c>
      <c r="M1" s="3" t="s">
        <v>171</v>
      </c>
      <c r="N1" s="3" t="s">
        <v>13</v>
      </c>
      <c r="O1" s="3" t="s">
        <v>172</v>
      </c>
      <c r="P1" s="3" t="s">
        <v>173</v>
      </c>
      <c r="Q1" s="5" t="s">
        <v>174</v>
      </c>
      <c r="R1" s="3" t="s">
        <v>175</v>
      </c>
      <c r="S1" s="3" t="s">
        <v>176</v>
      </c>
      <c r="T1" s="5" t="s">
        <v>19</v>
      </c>
      <c r="U1" s="69" t="s">
        <v>20</v>
      </c>
      <c r="V1" s="7" t="s">
        <v>21</v>
      </c>
      <c r="W1" s="3" t="s">
        <v>177</v>
      </c>
      <c r="X1" s="77" t="s">
        <v>23</v>
      </c>
      <c r="Y1" s="77" t="s">
        <v>24</v>
      </c>
      <c r="Z1" s="77" t="s">
        <v>25</v>
      </c>
      <c r="AA1" s="78" t="s">
        <v>26</v>
      </c>
      <c r="AB1" s="9" t="s">
        <v>178</v>
      </c>
      <c r="AE1" s="11" t="s">
        <v>0</v>
      </c>
      <c r="AF1" s="12"/>
      <c r="AG1" s="11" t="s">
        <v>4</v>
      </c>
      <c r="AH1" s="11" t="s">
        <v>5</v>
      </c>
      <c r="AI1" s="12"/>
      <c r="AJ1" s="11" t="s">
        <v>6</v>
      </c>
      <c r="AK1" s="12"/>
      <c r="AL1" s="16" t="s">
        <v>7</v>
      </c>
      <c r="AM1" s="12"/>
      <c r="AN1" s="16" t="s">
        <v>8</v>
      </c>
      <c r="AO1" s="12"/>
      <c r="AP1" s="16" t="s">
        <v>28</v>
      </c>
      <c r="AQ1" s="12"/>
      <c r="AR1" s="16" t="s">
        <v>10</v>
      </c>
      <c r="AS1" s="12"/>
      <c r="AT1" s="17" t="s">
        <v>179</v>
      </c>
      <c r="AU1" s="12"/>
      <c r="AV1" s="16" t="s">
        <v>30</v>
      </c>
      <c r="AX1" s="18" t="s">
        <v>375</v>
      </c>
      <c r="AY1" s="19" t="s">
        <v>181</v>
      </c>
      <c r="AZ1" s="19" t="s">
        <v>376</v>
      </c>
      <c r="BA1" s="20" t="s">
        <v>183</v>
      </c>
    </row>
    <row r="2" spans="1:53" s="126" customFormat="1" ht="13.5" customHeight="1">
      <c r="A2" s="126" t="s">
        <v>80</v>
      </c>
      <c r="B2" s="126" t="s">
        <v>184</v>
      </c>
      <c r="C2" s="126">
        <v>2020</v>
      </c>
      <c r="D2" s="151" t="s">
        <v>377</v>
      </c>
      <c r="E2" s="126" t="s">
        <v>378</v>
      </c>
      <c r="F2" s="126" t="s">
        <v>379</v>
      </c>
      <c r="G2" s="126" t="s">
        <v>58</v>
      </c>
      <c r="H2" s="126" t="s">
        <v>188</v>
      </c>
      <c r="I2" s="126" t="s">
        <v>196</v>
      </c>
      <c r="J2" s="126" t="s">
        <v>380</v>
      </c>
      <c r="K2" s="126" t="s">
        <v>233</v>
      </c>
      <c r="L2" s="126">
        <v>1</v>
      </c>
      <c r="N2" s="126">
        <v>8</v>
      </c>
      <c r="O2" s="126">
        <v>0.5</v>
      </c>
      <c r="P2" s="126">
        <v>0.5</v>
      </c>
      <c r="Q2" s="152">
        <f t="shared" ref="Q2:Q65" si="0">IF(OR(O2="",P2=""),"",AVERAGE(O2,P2))</f>
        <v>0.5</v>
      </c>
      <c r="R2" s="126">
        <v>14.6</v>
      </c>
      <c r="S2" s="126">
        <v>46</v>
      </c>
      <c r="T2" s="138">
        <f t="shared" ref="T2:T65" si="1">IF(H2="","",IF(OR(H2="GREEN",H2="GK"),IF(S2&gt;=$AX$2,VLOOKUP(S2,$AX$2:$AY$10,2,1),""),IF(S2&gt;=$AZ$2,VLOOKUP(S2,$AZ$2:$BA$10,2,1),"")))</f>
        <v>50</v>
      </c>
      <c r="U2" s="126">
        <v>599</v>
      </c>
      <c r="V2" s="138">
        <f t="shared" ref="V2:V65" si="2">IF(OR(N2="",U2="",T2=""),"",U2/N2*T2)</f>
        <v>3743.75</v>
      </c>
      <c r="W2" s="126">
        <v>2</v>
      </c>
      <c r="X2" s="126" t="s">
        <v>44</v>
      </c>
      <c r="Y2" s="126" t="s">
        <v>46</v>
      </c>
      <c r="Z2" s="126" t="s">
        <v>54</v>
      </c>
      <c r="AA2" s="126" t="s">
        <v>45</v>
      </c>
      <c r="AB2" s="126" t="s">
        <v>166</v>
      </c>
      <c r="AE2" s="33" t="s">
        <v>49</v>
      </c>
      <c r="AG2" s="139" t="s">
        <v>381</v>
      </c>
      <c r="AH2" s="153" t="s">
        <v>382</v>
      </c>
      <c r="AJ2" s="132" t="s">
        <v>39</v>
      </c>
      <c r="AL2" s="132" t="s">
        <v>188</v>
      </c>
      <c r="AN2" s="132" t="s">
        <v>52</v>
      </c>
      <c r="AP2" s="132" t="s">
        <v>42</v>
      </c>
      <c r="AR2" s="132" t="s">
        <v>43</v>
      </c>
      <c r="AT2" s="132" t="s">
        <v>44</v>
      </c>
      <c r="AV2" s="132" t="s">
        <v>54</v>
      </c>
      <c r="AX2" s="134">
        <v>1</v>
      </c>
      <c r="AY2" s="135">
        <v>50</v>
      </c>
      <c r="AZ2" s="135">
        <v>1</v>
      </c>
      <c r="BA2" s="136">
        <v>50</v>
      </c>
    </row>
    <row r="3" spans="1:53" s="126" customFormat="1" ht="13.5" customHeight="1">
      <c r="A3" s="126" t="s">
        <v>80</v>
      </c>
      <c r="B3" s="126" t="s">
        <v>184</v>
      </c>
      <c r="C3" s="126">
        <v>2020</v>
      </c>
      <c r="D3" s="151" t="s">
        <v>377</v>
      </c>
      <c r="E3" s="126" t="s">
        <v>378</v>
      </c>
      <c r="F3" s="126" t="s">
        <v>379</v>
      </c>
      <c r="G3" s="126" t="s">
        <v>58</v>
      </c>
      <c r="H3" s="126" t="s">
        <v>188</v>
      </c>
      <c r="I3" s="126" t="s">
        <v>196</v>
      </c>
      <c r="J3" s="126" t="s">
        <v>380</v>
      </c>
      <c r="K3" s="126" t="s">
        <v>233</v>
      </c>
      <c r="L3" s="126">
        <v>2</v>
      </c>
      <c r="N3" s="126">
        <v>8</v>
      </c>
      <c r="O3" s="126">
        <v>0.6</v>
      </c>
      <c r="P3" s="126">
        <v>0.55000000000000004</v>
      </c>
      <c r="Q3" s="152">
        <f t="shared" si="0"/>
        <v>0.57499999999999996</v>
      </c>
      <c r="R3" s="126">
        <v>14</v>
      </c>
      <c r="S3" s="126">
        <v>53</v>
      </c>
      <c r="T3" s="138">
        <f t="shared" si="1"/>
        <v>50</v>
      </c>
      <c r="U3" s="126">
        <v>599</v>
      </c>
      <c r="V3" s="138">
        <f t="shared" si="2"/>
        <v>3743.75</v>
      </c>
      <c r="W3" s="126">
        <v>2</v>
      </c>
      <c r="X3" s="126" t="s">
        <v>44</v>
      </c>
      <c r="Y3" s="126" t="s">
        <v>46</v>
      </c>
      <c r="Z3" s="126" t="s">
        <v>54</v>
      </c>
      <c r="AA3" s="126" t="s">
        <v>45</v>
      </c>
      <c r="AB3" s="126" t="s">
        <v>166</v>
      </c>
      <c r="AE3" s="34" t="s">
        <v>55</v>
      </c>
      <c r="AG3" s="139" t="s">
        <v>383</v>
      </c>
      <c r="AH3" s="153" t="s">
        <v>384</v>
      </c>
      <c r="AJ3" s="139" t="s">
        <v>58</v>
      </c>
      <c r="AL3" s="139" t="s">
        <v>190</v>
      </c>
      <c r="AN3" s="139" t="s">
        <v>60</v>
      </c>
      <c r="AP3" s="139" t="s">
        <v>61</v>
      </c>
      <c r="AR3" s="139" t="s">
        <v>62</v>
      </c>
      <c r="AT3" s="139" t="s">
        <v>63</v>
      </c>
      <c r="AV3" s="139" t="s">
        <v>64</v>
      </c>
      <c r="AX3" s="140">
        <v>72</v>
      </c>
      <c r="AY3" s="141">
        <v>46</v>
      </c>
      <c r="AZ3" s="141">
        <v>71</v>
      </c>
      <c r="BA3" s="142">
        <v>42</v>
      </c>
    </row>
    <row r="4" spans="1:53" s="126" customFormat="1" ht="13.5" customHeight="1">
      <c r="A4" s="126" t="s">
        <v>80</v>
      </c>
      <c r="B4" s="126" t="s">
        <v>184</v>
      </c>
      <c r="C4" s="126">
        <v>2020</v>
      </c>
      <c r="D4" s="151" t="s">
        <v>377</v>
      </c>
      <c r="E4" s="126" t="s">
        <v>378</v>
      </c>
      <c r="F4" s="126" t="s">
        <v>379</v>
      </c>
      <c r="G4" s="126" t="s">
        <v>58</v>
      </c>
      <c r="H4" s="126" t="s">
        <v>188</v>
      </c>
      <c r="I4" s="126" t="s">
        <v>196</v>
      </c>
      <c r="J4" s="126" t="s">
        <v>380</v>
      </c>
      <c r="K4" s="126" t="s">
        <v>233</v>
      </c>
      <c r="L4" s="126">
        <v>3</v>
      </c>
      <c r="N4" s="126">
        <v>8</v>
      </c>
      <c r="O4" s="126">
        <v>0.6</v>
      </c>
      <c r="P4" s="126">
        <v>0.6</v>
      </c>
      <c r="Q4" s="152">
        <f t="shared" si="0"/>
        <v>0.6</v>
      </c>
      <c r="R4" s="126">
        <v>14.1</v>
      </c>
      <c r="S4" s="126">
        <v>46</v>
      </c>
      <c r="T4" s="138">
        <f t="shared" si="1"/>
        <v>50</v>
      </c>
      <c r="U4" s="126">
        <v>599</v>
      </c>
      <c r="V4" s="138">
        <f t="shared" si="2"/>
        <v>3743.75</v>
      </c>
      <c r="W4" s="126">
        <v>2</v>
      </c>
      <c r="X4" s="126" t="s">
        <v>44</v>
      </c>
      <c r="Y4" s="126" t="s">
        <v>46</v>
      </c>
      <c r="Z4" s="126" t="s">
        <v>54</v>
      </c>
      <c r="AA4" s="126" t="s">
        <v>45</v>
      </c>
      <c r="AB4" s="126" t="s">
        <v>166</v>
      </c>
      <c r="AE4" s="34" t="s">
        <v>35</v>
      </c>
      <c r="AG4" s="139" t="s">
        <v>385</v>
      </c>
      <c r="AH4" s="153" t="s">
        <v>386</v>
      </c>
      <c r="AJ4" s="143" t="s">
        <v>67</v>
      </c>
      <c r="AL4" s="143" t="s">
        <v>192</v>
      </c>
      <c r="AN4" s="144" t="s">
        <v>193</v>
      </c>
      <c r="AP4" s="139" t="s">
        <v>194</v>
      </c>
      <c r="AR4" s="139" t="s">
        <v>195</v>
      </c>
      <c r="AT4" s="144"/>
      <c r="AV4" s="139" t="s">
        <v>47</v>
      </c>
      <c r="AX4" s="140">
        <v>75</v>
      </c>
      <c r="AY4" s="141">
        <v>42</v>
      </c>
      <c r="AZ4" s="141">
        <v>76</v>
      </c>
      <c r="BA4" s="142">
        <v>39</v>
      </c>
    </row>
    <row r="5" spans="1:53" s="126" customFormat="1" ht="13.5" customHeight="1">
      <c r="A5" s="126" t="s">
        <v>80</v>
      </c>
      <c r="B5" s="126" t="s">
        <v>184</v>
      </c>
      <c r="C5" s="126">
        <v>2020</v>
      </c>
      <c r="D5" s="151" t="s">
        <v>377</v>
      </c>
      <c r="E5" s="126" t="s">
        <v>383</v>
      </c>
      <c r="F5" s="126" t="s">
        <v>384</v>
      </c>
      <c r="G5" s="126" t="s">
        <v>39</v>
      </c>
      <c r="H5" s="126" t="s">
        <v>40</v>
      </c>
      <c r="I5" s="126" t="s">
        <v>41</v>
      </c>
      <c r="J5" s="126" t="s">
        <v>42</v>
      </c>
      <c r="K5" s="126" t="s">
        <v>43</v>
      </c>
      <c r="L5" s="126">
        <v>1</v>
      </c>
      <c r="M5" s="154"/>
      <c r="N5" s="126">
        <v>8</v>
      </c>
      <c r="O5" s="126">
        <v>0.5</v>
      </c>
      <c r="P5" s="126">
        <v>0.5</v>
      </c>
      <c r="Q5" s="152">
        <f t="shared" si="0"/>
        <v>0.5</v>
      </c>
      <c r="R5" s="126">
        <v>14.6</v>
      </c>
      <c r="S5" s="126">
        <v>84</v>
      </c>
      <c r="T5" s="138">
        <f t="shared" si="1"/>
        <v>36</v>
      </c>
      <c r="U5" s="126">
        <v>398</v>
      </c>
      <c r="V5" s="138">
        <f t="shared" si="2"/>
        <v>1791</v>
      </c>
      <c r="W5" s="126">
        <v>6</v>
      </c>
      <c r="X5" s="126" t="s">
        <v>63</v>
      </c>
      <c r="Y5" s="126" t="s">
        <v>46</v>
      </c>
      <c r="Z5" s="126" t="s">
        <v>54</v>
      </c>
      <c r="AA5" s="126" t="s">
        <v>45</v>
      </c>
      <c r="AB5" s="126" t="s">
        <v>166</v>
      </c>
      <c r="AE5" s="34" t="s">
        <v>72</v>
      </c>
      <c r="AG5" s="139" t="s">
        <v>387</v>
      </c>
      <c r="AH5" s="153" t="s">
        <v>379</v>
      </c>
      <c r="AJ5" s="144"/>
      <c r="AL5" s="145" t="s">
        <v>40</v>
      </c>
      <c r="AN5" s="145" t="s">
        <v>41</v>
      </c>
      <c r="AP5" s="139" t="s">
        <v>198</v>
      </c>
      <c r="AR5" s="139" t="s">
        <v>78</v>
      </c>
      <c r="AV5" s="139" t="s">
        <v>79</v>
      </c>
      <c r="AX5" s="140">
        <v>84</v>
      </c>
      <c r="AY5" s="141">
        <v>39</v>
      </c>
      <c r="AZ5" s="141">
        <v>84</v>
      </c>
      <c r="BA5" s="142">
        <v>36</v>
      </c>
    </row>
    <row r="6" spans="1:53" s="126" customFormat="1" ht="13.5" customHeight="1">
      <c r="A6" s="126" t="s">
        <v>80</v>
      </c>
      <c r="B6" s="126" t="s">
        <v>184</v>
      </c>
      <c r="C6" s="126">
        <v>2020</v>
      </c>
      <c r="D6" s="151" t="s">
        <v>377</v>
      </c>
      <c r="E6" s="126" t="s">
        <v>383</v>
      </c>
      <c r="F6" s="126" t="s">
        <v>384</v>
      </c>
      <c r="G6" s="126" t="s">
        <v>39</v>
      </c>
      <c r="H6" s="126" t="s">
        <v>40</v>
      </c>
      <c r="I6" s="126" t="s">
        <v>41</v>
      </c>
      <c r="J6" s="126" t="s">
        <v>42</v>
      </c>
      <c r="K6" s="126" t="s">
        <v>43</v>
      </c>
      <c r="L6" s="126">
        <v>2</v>
      </c>
      <c r="M6" s="154"/>
      <c r="N6" s="126">
        <v>8</v>
      </c>
      <c r="O6" s="126">
        <v>0.55000000000000004</v>
      </c>
      <c r="P6" s="126">
        <v>0.55000000000000004</v>
      </c>
      <c r="Q6" s="152">
        <f t="shared" si="0"/>
        <v>0.55000000000000004</v>
      </c>
      <c r="R6" s="126">
        <v>15.5</v>
      </c>
      <c r="S6" s="126">
        <v>88</v>
      </c>
      <c r="T6" s="138">
        <f t="shared" si="1"/>
        <v>36</v>
      </c>
      <c r="U6" s="126">
        <v>398</v>
      </c>
      <c r="V6" s="138">
        <f t="shared" si="2"/>
        <v>1791</v>
      </c>
      <c r="W6" s="126">
        <v>6</v>
      </c>
      <c r="X6" s="126" t="s">
        <v>63</v>
      </c>
      <c r="Y6" s="126" t="s">
        <v>46</v>
      </c>
      <c r="Z6" s="126" t="s">
        <v>54</v>
      </c>
      <c r="AA6" s="126" t="s">
        <v>45</v>
      </c>
      <c r="AB6" s="126" t="s">
        <v>166</v>
      </c>
      <c r="AE6" s="34" t="s">
        <v>80</v>
      </c>
      <c r="AG6" s="139" t="s">
        <v>388</v>
      </c>
      <c r="AH6" s="153" t="s">
        <v>379</v>
      </c>
      <c r="AL6" s="145" t="s">
        <v>156</v>
      </c>
      <c r="AN6" s="145" t="s">
        <v>196</v>
      </c>
      <c r="AP6" s="139" t="s">
        <v>85</v>
      </c>
      <c r="AR6" s="139" t="s">
        <v>86</v>
      </c>
      <c r="AV6" s="139" t="s">
        <v>87</v>
      </c>
      <c r="AX6" s="140">
        <v>97</v>
      </c>
      <c r="AY6" s="141">
        <v>36</v>
      </c>
      <c r="AZ6" s="141">
        <v>99</v>
      </c>
      <c r="BA6" s="142">
        <v>33</v>
      </c>
    </row>
    <row r="7" spans="1:53" s="126" customFormat="1" ht="13.5" customHeight="1">
      <c r="A7" s="126" t="s">
        <v>80</v>
      </c>
      <c r="B7" s="126" t="s">
        <v>184</v>
      </c>
      <c r="C7" s="126">
        <v>2020</v>
      </c>
      <c r="D7" s="151" t="s">
        <v>377</v>
      </c>
      <c r="E7" s="126" t="s">
        <v>383</v>
      </c>
      <c r="F7" s="126" t="s">
        <v>384</v>
      </c>
      <c r="G7" s="126" t="s">
        <v>39</v>
      </c>
      <c r="H7" s="126" t="s">
        <v>40</v>
      </c>
      <c r="I7" s="126" t="s">
        <v>41</v>
      </c>
      <c r="J7" s="126" t="s">
        <v>42</v>
      </c>
      <c r="K7" s="126" t="s">
        <v>43</v>
      </c>
      <c r="L7" s="126">
        <v>3</v>
      </c>
      <c r="M7" s="154"/>
      <c r="N7" s="126">
        <v>8</v>
      </c>
      <c r="O7" s="126">
        <v>0.5</v>
      </c>
      <c r="P7" s="126">
        <v>0.5</v>
      </c>
      <c r="Q7" s="152">
        <f t="shared" si="0"/>
        <v>0.5</v>
      </c>
      <c r="R7" s="126">
        <v>15.8</v>
      </c>
      <c r="S7" s="126">
        <v>87</v>
      </c>
      <c r="T7" s="138">
        <f t="shared" si="1"/>
        <v>36</v>
      </c>
      <c r="U7" s="126">
        <v>398</v>
      </c>
      <c r="V7" s="138">
        <f t="shared" si="2"/>
        <v>1791</v>
      </c>
      <c r="W7" s="126">
        <v>6</v>
      </c>
      <c r="X7" s="126" t="s">
        <v>63</v>
      </c>
      <c r="Y7" s="126" t="s">
        <v>46</v>
      </c>
      <c r="Z7" s="126" t="s">
        <v>54</v>
      </c>
      <c r="AA7" s="126" t="s">
        <v>45</v>
      </c>
      <c r="AB7" s="126" t="s">
        <v>166</v>
      </c>
      <c r="AE7" s="34" t="s">
        <v>88</v>
      </c>
      <c r="AG7" s="139" t="s">
        <v>308</v>
      </c>
      <c r="AH7" s="153" t="s">
        <v>389</v>
      </c>
      <c r="AL7" s="155" t="s">
        <v>201</v>
      </c>
      <c r="AP7" s="139" t="s">
        <v>91</v>
      </c>
      <c r="AR7" s="139" t="s">
        <v>202</v>
      </c>
      <c r="AV7" s="139" t="s">
        <v>93</v>
      </c>
      <c r="AX7" s="140">
        <v>109</v>
      </c>
      <c r="AY7" s="141">
        <v>33</v>
      </c>
      <c r="AZ7" s="141">
        <v>113</v>
      </c>
      <c r="BA7" s="142">
        <v>30</v>
      </c>
    </row>
    <row r="8" spans="1:53" s="126" customFormat="1" ht="13.5" customHeight="1">
      <c r="A8" s="126" t="s">
        <v>80</v>
      </c>
      <c r="B8" s="126" t="s">
        <v>184</v>
      </c>
      <c r="C8" s="126">
        <v>2020</v>
      </c>
      <c r="D8" s="151" t="s">
        <v>377</v>
      </c>
      <c r="E8" s="126" t="s">
        <v>308</v>
      </c>
      <c r="F8" s="126" t="s">
        <v>379</v>
      </c>
      <c r="G8" s="126" t="s">
        <v>39</v>
      </c>
      <c r="H8" s="126" t="s">
        <v>40</v>
      </c>
      <c r="I8" s="126" t="s">
        <v>41</v>
      </c>
      <c r="J8" s="126" t="s">
        <v>42</v>
      </c>
      <c r="K8" s="126" t="s">
        <v>43</v>
      </c>
      <c r="L8" s="126">
        <v>1</v>
      </c>
      <c r="M8" s="154"/>
      <c r="N8" s="126">
        <v>1</v>
      </c>
      <c r="O8" s="126">
        <v>1</v>
      </c>
      <c r="P8" s="126">
        <v>1</v>
      </c>
      <c r="Q8" s="152">
        <f t="shared" si="0"/>
        <v>1</v>
      </c>
      <c r="R8" s="126">
        <v>14.6</v>
      </c>
      <c r="S8" s="126">
        <v>107</v>
      </c>
      <c r="T8" s="138">
        <f t="shared" si="1"/>
        <v>33</v>
      </c>
      <c r="U8" s="126">
        <v>98</v>
      </c>
      <c r="V8" s="138">
        <f t="shared" si="2"/>
        <v>3234</v>
      </c>
      <c r="W8" s="126">
        <v>1</v>
      </c>
      <c r="X8" s="126" t="s">
        <v>44</v>
      </c>
      <c r="Y8" s="126" t="s">
        <v>46</v>
      </c>
      <c r="Z8" s="126" t="s">
        <v>45</v>
      </c>
      <c r="AA8" s="126" t="s">
        <v>54</v>
      </c>
      <c r="AB8" s="126" t="s">
        <v>166</v>
      </c>
      <c r="AE8" s="34" t="s">
        <v>86</v>
      </c>
      <c r="AG8" s="139" t="s">
        <v>390</v>
      </c>
      <c r="AH8" s="153" t="s">
        <v>389</v>
      </c>
      <c r="AL8" s="155" t="s">
        <v>205</v>
      </c>
      <c r="AP8" s="139" t="s">
        <v>97</v>
      </c>
      <c r="AR8" s="139" t="s">
        <v>98</v>
      </c>
      <c r="AV8" s="139" t="s">
        <v>99</v>
      </c>
      <c r="AX8" s="140">
        <v>119</v>
      </c>
      <c r="AY8" s="141">
        <v>30</v>
      </c>
      <c r="AZ8" s="141">
        <v>121</v>
      </c>
      <c r="BA8" s="142">
        <v>27</v>
      </c>
    </row>
    <row r="9" spans="1:53" s="126" customFormat="1" ht="13.5" customHeight="1">
      <c r="A9" s="126" t="s">
        <v>80</v>
      </c>
      <c r="B9" s="126" t="s">
        <v>184</v>
      </c>
      <c r="C9" s="126">
        <v>2020</v>
      </c>
      <c r="D9" s="151" t="s">
        <v>377</v>
      </c>
      <c r="E9" s="126" t="s">
        <v>308</v>
      </c>
      <c r="F9" s="126" t="s">
        <v>379</v>
      </c>
      <c r="G9" s="126" t="s">
        <v>39</v>
      </c>
      <c r="H9" s="126" t="s">
        <v>40</v>
      </c>
      <c r="I9" s="126" t="s">
        <v>41</v>
      </c>
      <c r="J9" s="126" t="s">
        <v>42</v>
      </c>
      <c r="K9" s="126" t="s">
        <v>43</v>
      </c>
      <c r="L9" s="126">
        <v>2</v>
      </c>
      <c r="M9" s="154"/>
      <c r="N9" s="126">
        <v>1</v>
      </c>
      <c r="O9" s="126">
        <v>0.95</v>
      </c>
      <c r="P9" s="126">
        <v>1</v>
      </c>
      <c r="Q9" s="152">
        <f t="shared" si="0"/>
        <v>0.97499999999999998</v>
      </c>
      <c r="R9" s="126">
        <v>13.8</v>
      </c>
      <c r="S9" s="126">
        <v>110</v>
      </c>
      <c r="T9" s="138">
        <f t="shared" si="1"/>
        <v>33</v>
      </c>
      <c r="U9" s="126">
        <v>98</v>
      </c>
      <c r="V9" s="138">
        <f t="shared" si="2"/>
        <v>3234</v>
      </c>
      <c r="W9" s="126">
        <v>1</v>
      </c>
      <c r="X9" s="126" t="s">
        <v>44</v>
      </c>
      <c r="Y9" s="126" t="s">
        <v>46</v>
      </c>
      <c r="Z9" s="126" t="s">
        <v>45</v>
      </c>
      <c r="AA9" s="126" t="s">
        <v>54</v>
      </c>
      <c r="AB9" s="126" t="s">
        <v>166</v>
      </c>
      <c r="AE9" s="34" t="s">
        <v>206</v>
      </c>
      <c r="AG9" s="139" t="s">
        <v>378</v>
      </c>
      <c r="AH9" s="139" t="s">
        <v>384</v>
      </c>
      <c r="AL9" s="145" t="s">
        <v>209</v>
      </c>
      <c r="AP9" s="139" t="s">
        <v>103</v>
      </c>
      <c r="AR9" s="139" t="s">
        <v>210</v>
      </c>
      <c r="AV9" s="139" t="s">
        <v>105</v>
      </c>
      <c r="AX9" s="140">
        <v>128</v>
      </c>
      <c r="AY9" s="141">
        <v>27</v>
      </c>
      <c r="AZ9" s="141">
        <v>129</v>
      </c>
      <c r="BA9" s="142">
        <v>25</v>
      </c>
    </row>
    <row r="10" spans="1:53" s="126" customFormat="1" ht="13.5" customHeight="1">
      <c r="A10" s="126" t="s">
        <v>80</v>
      </c>
      <c r="B10" s="126" t="s">
        <v>184</v>
      </c>
      <c r="C10" s="126">
        <v>2020</v>
      </c>
      <c r="D10" s="151" t="s">
        <v>377</v>
      </c>
      <c r="E10" s="126" t="s">
        <v>308</v>
      </c>
      <c r="F10" s="126" t="s">
        <v>379</v>
      </c>
      <c r="G10" s="126" t="s">
        <v>39</v>
      </c>
      <c r="H10" s="126" t="s">
        <v>40</v>
      </c>
      <c r="I10" s="126" t="s">
        <v>41</v>
      </c>
      <c r="J10" s="126" t="s">
        <v>42</v>
      </c>
      <c r="K10" s="126" t="s">
        <v>43</v>
      </c>
      <c r="L10" s="126">
        <v>3</v>
      </c>
      <c r="M10" s="154"/>
      <c r="N10" s="126">
        <v>1</v>
      </c>
      <c r="O10" s="126">
        <v>0.8</v>
      </c>
      <c r="P10" s="126">
        <v>0.85</v>
      </c>
      <c r="Q10" s="152">
        <f t="shared" si="0"/>
        <v>0.82499999999999996</v>
      </c>
      <c r="R10" s="126">
        <v>13.6</v>
      </c>
      <c r="S10" s="126">
        <v>102</v>
      </c>
      <c r="T10" s="138">
        <f t="shared" si="1"/>
        <v>33</v>
      </c>
      <c r="U10" s="126">
        <v>98</v>
      </c>
      <c r="V10" s="138">
        <f t="shared" si="2"/>
        <v>3234</v>
      </c>
      <c r="W10" s="126">
        <v>1</v>
      </c>
      <c r="X10" s="126" t="s">
        <v>44</v>
      </c>
      <c r="Y10" s="126" t="s">
        <v>46</v>
      </c>
      <c r="Z10" s="126" t="s">
        <v>45</v>
      </c>
      <c r="AA10" s="126" t="s">
        <v>54</v>
      </c>
      <c r="AB10" s="126" t="s">
        <v>166</v>
      </c>
      <c r="AE10" s="34" t="s">
        <v>211</v>
      </c>
      <c r="AG10" s="139" t="s">
        <v>308</v>
      </c>
      <c r="AH10" s="153" t="s">
        <v>379</v>
      </c>
      <c r="AL10" s="155"/>
      <c r="AP10" s="139" t="s">
        <v>109</v>
      </c>
      <c r="AR10" s="139" t="s">
        <v>213</v>
      </c>
      <c r="AV10" s="139" t="s">
        <v>111</v>
      </c>
      <c r="AX10" s="140">
        <v>138</v>
      </c>
      <c r="AY10" s="141">
        <v>25</v>
      </c>
      <c r="AZ10" s="141">
        <v>138</v>
      </c>
      <c r="BA10" s="142">
        <v>22</v>
      </c>
    </row>
    <row r="11" spans="1:53" s="126" customFormat="1" ht="13.5" customHeight="1">
      <c r="A11" s="126" t="s">
        <v>80</v>
      </c>
      <c r="B11" s="126" t="s">
        <v>184</v>
      </c>
      <c r="C11" s="126">
        <v>2020</v>
      </c>
      <c r="D11" s="151" t="s">
        <v>377</v>
      </c>
      <c r="E11" s="126" t="s">
        <v>308</v>
      </c>
      <c r="F11" s="126" t="s">
        <v>379</v>
      </c>
      <c r="G11" s="126" t="s">
        <v>39</v>
      </c>
      <c r="H11" s="126" t="s">
        <v>40</v>
      </c>
      <c r="I11" s="126" t="s">
        <v>41</v>
      </c>
      <c r="J11" s="126" t="s">
        <v>42</v>
      </c>
      <c r="K11" s="126" t="s">
        <v>43</v>
      </c>
      <c r="L11" s="126">
        <v>1</v>
      </c>
      <c r="M11" s="154"/>
      <c r="N11" s="126">
        <v>8</v>
      </c>
      <c r="O11" s="126">
        <v>0.7</v>
      </c>
      <c r="P11" s="126">
        <v>0.7</v>
      </c>
      <c r="Q11" s="152">
        <f t="shared" si="0"/>
        <v>0.7</v>
      </c>
      <c r="R11" s="126">
        <v>15</v>
      </c>
      <c r="S11" s="126">
        <v>86</v>
      </c>
      <c r="T11" s="138">
        <f t="shared" si="1"/>
        <v>36</v>
      </c>
      <c r="U11" s="126">
        <v>398</v>
      </c>
      <c r="V11" s="138">
        <f t="shared" si="2"/>
        <v>1791</v>
      </c>
      <c r="W11" s="126">
        <v>1</v>
      </c>
      <c r="X11" s="126" t="s">
        <v>44</v>
      </c>
      <c r="Y11" s="126" t="s">
        <v>46</v>
      </c>
      <c r="Z11" s="126" t="s">
        <v>45</v>
      </c>
      <c r="AA11" s="126" t="s">
        <v>54</v>
      </c>
      <c r="AB11" s="126" t="s">
        <v>166</v>
      </c>
      <c r="AE11" s="34" t="s">
        <v>139</v>
      </c>
      <c r="AG11" s="139" t="s">
        <v>388</v>
      </c>
      <c r="AH11" s="153" t="s">
        <v>379</v>
      </c>
      <c r="AJ11" s="155"/>
      <c r="AP11" s="139" t="s">
        <v>216</v>
      </c>
      <c r="AR11" s="139" t="s">
        <v>217</v>
      </c>
      <c r="AV11" s="139" t="s">
        <v>160</v>
      </c>
    </row>
    <row r="12" spans="1:53" s="126" customFormat="1" ht="13.5" customHeight="1">
      <c r="A12" s="126" t="s">
        <v>80</v>
      </c>
      <c r="B12" s="126" t="s">
        <v>184</v>
      </c>
      <c r="C12" s="126">
        <v>2020</v>
      </c>
      <c r="D12" s="151" t="s">
        <v>377</v>
      </c>
      <c r="E12" s="126" t="s">
        <v>308</v>
      </c>
      <c r="F12" s="126" t="s">
        <v>379</v>
      </c>
      <c r="G12" s="126" t="s">
        <v>39</v>
      </c>
      <c r="H12" s="126" t="s">
        <v>40</v>
      </c>
      <c r="I12" s="126" t="s">
        <v>41</v>
      </c>
      <c r="J12" s="126" t="s">
        <v>42</v>
      </c>
      <c r="K12" s="126" t="s">
        <v>43</v>
      </c>
      <c r="L12" s="126">
        <v>2</v>
      </c>
      <c r="M12" s="154"/>
      <c r="N12" s="126">
        <v>8</v>
      </c>
      <c r="O12" s="126">
        <v>0.7</v>
      </c>
      <c r="P12" s="126">
        <v>0.8</v>
      </c>
      <c r="Q12" s="152">
        <f t="shared" si="0"/>
        <v>0.75</v>
      </c>
      <c r="R12" s="126">
        <v>13.6</v>
      </c>
      <c r="S12" s="126">
        <v>84</v>
      </c>
      <c r="T12" s="138">
        <f t="shared" si="1"/>
        <v>36</v>
      </c>
      <c r="U12" s="126">
        <v>398</v>
      </c>
      <c r="V12" s="138">
        <f t="shared" si="2"/>
        <v>1791</v>
      </c>
      <c r="W12" s="126">
        <v>1</v>
      </c>
      <c r="X12" s="126" t="s">
        <v>44</v>
      </c>
      <c r="Y12" s="126" t="s">
        <v>46</v>
      </c>
      <c r="Z12" s="126" t="s">
        <v>45</v>
      </c>
      <c r="AA12" s="126" t="s">
        <v>54</v>
      </c>
      <c r="AB12" s="126" t="s">
        <v>166</v>
      </c>
      <c r="AE12" s="34" t="s">
        <v>218</v>
      </c>
      <c r="AG12" s="139" t="s">
        <v>383</v>
      </c>
      <c r="AH12" s="153" t="s">
        <v>379</v>
      </c>
      <c r="AJ12" s="155"/>
      <c r="AP12" s="139" t="s">
        <v>219</v>
      </c>
      <c r="AR12" s="139" t="s">
        <v>220</v>
      </c>
      <c r="AV12" s="139" t="s">
        <v>221</v>
      </c>
    </row>
    <row r="13" spans="1:53" s="126" customFormat="1" ht="13.5" customHeight="1">
      <c r="A13" s="126" t="s">
        <v>80</v>
      </c>
      <c r="B13" s="126" t="s">
        <v>184</v>
      </c>
      <c r="C13" s="126">
        <v>2020</v>
      </c>
      <c r="D13" s="151" t="s">
        <v>377</v>
      </c>
      <c r="E13" s="126" t="s">
        <v>308</v>
      </c>
      <c r="F13" s="126" t="s">
        <v>379</v>
      </c>
      <c r="G13" s="126" t="s">
        <v>39</v>
      </c>
      <c r="H13" s="126" t="s">
        <v>40</v>
      </c>
      <c r="I13" s="126" t="s">
        <v>41</v>
      </c>
      <c r="J13" s="126" t="s">
        <v>42</v>
      </c>
      <c r="K13" s="126" t="s">
        <v>43</v>
      </c>
      <c r="L13" s="126">
        <v>3</v>
      </c>
      <c r="M13" s="154"/>
      <c r="N13" s="126">
        <v>8</v>
      </c>
      <c r="O13" s="126">
        <v>0.65</v>
      </c>
      <c r="P13" s="126">
        <v>0.6</v>
      </c>
      <c r="Q13" s="152">
        <f t="shared" si="0"/>
        <v>0.625</v>
      </c>
      <c r="R13" s="126">
        <v>12.2</v>
      </c>
      <c r="S13" s="126">
        <v>85</v>
      </c>
      <c r="T13" s="138">
        <f t="shared" si="1"/>
        <v>36</v>
      </c>
      <c r="U13" s="126">
        <v>398</v>
      </c>
      <c r="V13" s="138">
        <f t="shared" si="2"/>
        <v>1791</v>
      </c>
      <c r="W13" s="126">
        <v>1</v>
      </c>
      <c r="X13" s="126" t="s">
        <v>44</v>
      </c>
      <c r="Y13" s="126" t="s">
        <v>46</v>
      </c>
      <c r="Z13" s="126" t="s">
        <v>45</v>
      </c>
      <c r="AA13" s="126" t="s">
        <v>54</v>
      </c>
      <c r="AB13" s="126" t="s">
        <v>166</v>
      </c>
      <c r="AE13" s="34" t="s">
        <v>222</v>
      </c>
      <c r="AP13" s="139" t="s">
        <v>223</v>
      </c>
      <c r="AR13" s="139" t="s">
        <v>211</v>
      </c>
      <c r="AV13" s="139" t="s">
        <v>224</v>
      </c>
    </row>
    <row r="14" spans="1:53" s="126" customFormat="1" ht="13.5" customHeight="1">
      <c r="A14" s="126" t="s">
        <v>80</v>
      </c>
      <c r="B14" s="126" t="s">
        <v>184</v>
      </c>
      <c r="C14" s="126">
        <v>2020</v>
      </c>
      <c r="D14" s="151" t="s">
        <v>377</v>
      </c>
      <c r="E14" s="126" t="s">
        <v>308</v>
      </c>
      <c r="F14" s="126" t="s">
        <v>379</v>
      </c>
      <c r="G14" s="126" t="s">
        <v>39</v>
      </c>
      <c r="H14" s="126" t="s">
        <v>188</v>
      </c>
      <c r="I14" s="126" t="s">
        <v>41</v>
      </c>
      <c r="J14" s="126" t="s">
        <v>232</v>
      </c>
      <c r="K14" s="126" t="s">
        <v>136</v>
      </c>
      <c r="L14" s="126">
        <v>1</v>
      </c>
      <c r="M14" s="154"/>
      <c r="N14" s="126">
        <v>8</v>
      </c>
      <c r="O14" s="126">
        <v>0.5</v>
      </c>
      <c r="P14" s="126">
        <v>0.5</v>
      </c>
      <c r="Q14" s="152">
        <f t="shared" si="0"/>
        <v>0.5</v>
      </c>
      <c r="R14" s="126">
        <v>15.9</v>
      </c>
      <c r="S14" s="126">
        <v>32</v>
      </c>
      <c r="T14" s="138">
        <f t="shared" si="1"/>
        <v>50</v>
      </c>
      <c r="U14" s="126">
        <v>498</v>
      </c>
      <c r="V14" s="138">
        <f t="shared" si="2"/>
        <v>3112.5</v>
      </c>
      <c r="W14" s="126">
        <v>1</v>
      </c>
      <c r="X14" s="126" t="s">
        <v>44</v>
      </c>
      <c r="Y14" s="126" t="s">
        <v>46</v>
      </c>
      <c r="Z14" s="126" t="s">
        <v>45</v>
      </c>
      <c r="AA14" s="126" t="s">
        <v>54</v>
      </c>
      <c r="AB14" s="126" t="s">
        <v>166</v>
      </c>
      <c r="AE14" s="34" t="s">
        <v>126</v>
      </c>
      <c r="AP14" s="139" t="s">
        <v>113</v>
      </c>
      <c r="AR14" s="139" t="s">
        <v>226</v>
      </c>
      <c r="AV14" s="139" t="s">
        <v>115</v>
      </c>
    </row>
    <row r="15" spans="1:53" s="126" customFormat="1" ht="13.5" customHeight="1">
      <c r="A15" s="126" t="s">
        <v>80</v>
      </c>
      <c r="B15" s="126" t="s">
        <v>184</v>
      </c>
      <c r="C15" s="126">
        <v>2020</v>
      </c>
      <c r="D15" s="151" t="s">
        <v>377</v>
      </c>
      <c r="E15" s="126" t="s">
        <v>308</v>
      </c>
      <c r="F15" s="126" t="s">
        <v>379</v>
      </c>
      <c r="G15" s="126" t="s">
        <v>39</v>
      </c>
      <c r="H15" s="126" t="s">
        <v>188</v>
      </c>
      <c r="I15" s="126" t="s">
        <v>41</v>
      </c>
      <c r="J15" s="126" t="s">
        <v>232</v>
      </c>
      <c r="K15" s="126" t="s">
        <v>136</v>
      </c>
      <c r="L15" s="126">
        <v>2</v>
      </c>
      <c r="M15" s="154"/>
      <c r="N15" s="126">
        <v>8</v>
      </c>
      <c r="O15" s="126">
        <v>0.5</v>
      </c>
      <c r="P15" s="126">
        <v>0.5</v>
      </c>
      <c r="Q15" s="152">
        <f t="shared" si="0"/>
        <v>0.5</v>
      </c>
      <c r="R15" s="126">
        <v>16.7</v>
      </c>
      <c r="S15" s="126">
        <v>41</v>
      </c>
      <c r="T15" s="138">
        <f t="shared" si="1"/>
        <v>50</v>
      </c>
      <c r="U15" s="126">
        <v>498</v>
      </c>
      <c r="V15" s="138">
        <f t="shared" si="2"/>
        <v>3112.5</v>
      </c>
      <c r="W15" s="126">
        <v>1</v>
      </c>
      <c r="X15" s="126" t="s">
        <v>44</v>
      </c>
      <c r="Y15" s="126" t="s">
        <v>46</v>
      </c>
      <c r="Z15" s="126" t="s">
        <v>45</v>
      </c>
      <c r="AA15" s="126" t="s">
        <v>54</v>
      </c>
      <c r="AB15" s="126" t="s">
        <v>166</v>
      </c>
      <c r="AE15" s="34" t="s">
        <v>227</v>
      </c>
      <c r="AP15" s="139" t="s">
        <v>117</v>
      </c>
      <c r="AR15" s="139" t="s">
        <v>121</v>
      </c>
      <c r="AV15" s="139" t="s">
        <v>119</v>
      </c>
    </row>
    <row r="16" spans="1:53" s="126" customFormat="1" ht="13.5" customHeight="1">
      <c r="A16" s="126" t="s">
        <v>80</v>
      </c>
      <c r="B16" s="126" t="s">
        <v>184</v>
      </c>
      <c r="C16" s="126">
        <v>2020</v>
      </c>
      <c r="D16" s="151" t="s">
        <v>377</v>
      </c>
      <c r="E16" s="126" t="s">
        <v>308</v>
      </c>
      <c r="F16" s="126" t="s">
        <v>379</v>
      </c>
      <c r="G16" s="126" t="s">
        <v>39</v>
      </c>
      <c r="H16" s="126" t="s">
        <v>188</v>
      </c>
      <c r="I16" s="126" t="s">
        <v>41</v>
      </c>
      <c r="J16" s="126" t="s">
        <v>232</v>
      </c>
      <c r="K16" s="126" t="s">
        <v>136</v>
      </c>
      <c r="L16" s="126">
        <v>3</v>
      </c>
      <c r="M16" s="154"/>
      <c r="N16" s="126">
        <v>8</v>
      </c>
      <c r="O16" s="126">
        <v>0.5</v>
      </c>
      <c r="P16" s="126">
        <v>0.5</v>
      </c>
      <c r="Q16" s="152">
        <f t="shared" si="0"/>
        <v>0.5</v>
      </c>
      <c r="R16" s="126">
        <v>16.899999999999999</v>
      </c>
      <c r="S16" s="126">
        <v>57</v>
      </c>
      <c r="T16" s="138">
        <f t="shared" si="1"/>
        <v>50</v>
      </c>
      <c r="U16" s="126">
        <v>498</v>
      </c>
      <c r="V16" s="138">
        <f t="shared" si="2"/>
        <v>3112.5</v>
      </c>
      <c r="W16" s="126">
        <v>1</v>
      </c>
      <c r="X16" s="126" t="s">
        <v>44</v>
      </c>
      <c r="Y16" s="126" t="s">
        <v>46</v>
      </c>
      <c r="Z16" s="126" t="s">
        <v>45</v>
      </c>
      <c r="AA16" s="126" t="s">
        <v>54</v>
      </c>
      <c r="AB16" s="126" t="s">
        <v>166</v>
      </c>
      <c r="AE16" s="34" t="s">
        <v>228</v>
      </c>
      <c r="AP16" s="139" t="s">
        <v>121</v>
      </c>
      <c r="AR16" s="139" t="s">
        <v>122</v>
      </c>
      <c r="AV16" s="139" t="s">
        <v>46</v>
      </c>
    </row>
    <row r="17" spans="1:48" s="126" customFormat="1" ht="13.5" customHeight="1">
      <c r="A17" s="126" t="s">
        <v>80</v>
      </c>
      <c r="B17" s="126" t="s">
        <v>184</v>
      </c>
      <c r="C17" s="126">
        <v>2020</v>
      </c>
      <c r="D17" s="151" t="s">
        <v>377</v>
      </c>
      <c r="E17" s="126" t="s">
        <v>308</v>
      </c>
      <c r="F17" s="126" t="s">
        <v>379</v>
      </c>
      <c r="G17" s="126" t="s">
        <v>39</v>
      </c>
      <c r="H17" s="126" t="s">
        <v>190</v>
      </c>
      <c r="I17" s="126" t="s">
        <v>41</v>
      </c>
      <c r="J17" s="126" t="s">
        <v>121</v>
      </c>
      <c r="K17" s="126" t="s">
        <v>122</v>
      </c>
      <c r="L17" s="126">
        <v>1</v>
      </c>
      <c r="M17" s="154"/>
      <c r="N17" s="126">
        <v>6</v>
      </c>
      <c r="O17" s="126">
        <v>0.6</v>
      </c>
      <c r="P17" s="126">
        <v>0.75</v>
      </c>
      <c r="Q17" s="152">
        <f t="shared" si="0"/>
        <v>0.67500000000000004</v>
      </c>
      <c r="R17" s="126">
        <v>17</v>
      </c>
      <c r="S17" s="126">
        <v>52</v>
      </c>
      <c r="T17" s="138">
        <f t="shared" si="1"/>
        <v>50</v>
      </c>
      <c r="U17" s="126">
        <v>398</v>
      </c>
      <c r="V17" s="138">
        <f t="shared" si="2"/>
        <v>3316.6666666666665</v>
      </c>
      <c r="W17" s="126">
        <v>1</v>
      </c>
      <c r="X17" s="126" t="s">
        <v>44</v>
      </c>
      <c r="Y17" s="126" t="s">
        <v>46</v>
      </c>
      <c r="Z17" s="126" t="s">
        <v>45</v>
      </c>
      <c r="AA17" s="126" t="s">
        <v>54</v>
      </c>
      <c r="AB17" s="126" t="s">
        <v>166</v>
      </c>
      <c r="AE17" s="34" t="s">
        <v>229</v>
      </c>
      <c r="AP17" s="143" t="s">
        <v>230</v>
      </c>
      <c r="AR17" s="139" t="s">
        <v>126</v>
      </c>
      <c r="AV17" s="139" t="s">
        <v>127</v>
      </c>
    </row>
    <row r="18" spans="1:48" s="126" customFormat="1" ht="13.5" customHeight="1">
      <c r="A18" s="126" t="s">
        <v>80</v>
      </c>
      <c r="B18" s="126" t="s">
        <v>184</v>
      </c>
      <c r="C18" s="126">
        <v>2020</v>
      </c>
      <c r="D18" s="151" t="s">
        <v>377</v>
      </c>
      <c r="E18" s="126" t="s">
        <v>308</v>
      </c>
      <c r="F18" s="126" t="s">
        <v>379</v>
      </c>
      <c r="G18" s="126" t="s">
        <v>39</v>
      </c>
      <c r="H18" s="126" t="s">
        <v>190</v>
      </c>
      <c r="I18" s="126" t="s">
        <v>41</v>
      </c>
      <c r="J18" s="126" t="s">
        <v>121</v>
      </c>
      <c r="K18" s="126" t="s">
        <v>122</v>
      </c>
      <c r="L18" s="126">
        <v>2</v>
      </c>
      <c r="M18" s="154"/>
      <c r="N18" s="126">
        <v>6</v>
      </c>
      <c r="O18" s="126">
        <v>0.55000000000000004</v>
      </c>
      <c r="P18" s="126">
        <v>0.5</v>
      </c>
      <c r="Q18" s="152">
        <f t="shared" si="0"/>
        <v>0.52500000000000002</v>
      </c>
      <c r="R18" s="126">
        <v>17</v>
      </c>
      <c r="S18" s="126">
        <v>58</v>
      </c>
      <c r="T18" s="138">
        <f t="shared" si="1"/>
        <v>50</v>
      </c>
      <c r="U18" s="126">
        <v>398</v>
      </c>
      <c r="V18" s="138">
        <f t="shared" si="2"/>
        <v>3316.6666666666665</v>
      </c>
      <c r="W18" s="126">
        <v>1</v>
      </c>
      <c r="X18" s="126" t="s">
        <v>44</v>
      </c>
      <c r="Y18" s="126" t="s">
        <v>46</v>
      </c>
      <c r="Z18" s="126" t="s">
        <v>45</v>
      </c>
      <c r="AA18" s="126" t="s">
        <v>54</v>
      </c>
      <c r="AB18" s="126" t="s">
        <v>166</v>
      </c>
      <c r="AE18" s="34" t="s">
        <v>217</v>
      </c>
      <c r="AP18" s="143" t="s">
        <v>231</v>
      </c>
      <c r="AR18" s="139" t="s">
        <v>130</v>
      </c>
      <c r="AV18" s="139" t="s">
        <v>131</v>
      </c>
    </row>
    <row r="19" spans="1:48" s="126" customFormat="1" ht="13.5" customHeight="1">
      <c r="A19" s="126" t="s">
        <v>80</v>
      </c>
      <c r="B19" s="126" t="s">
        <v>184</v>
      </c>
      <c r="C19" s="126">
        <v>2020</v>
      </c>
      <c r="D19" s="151" t="s">
        <v>377</v>
      </c>
      <c r="E19" s="126" t="s">
        <v>308</v>
      </c>
      <c r="F19" s="126" t="s">
        <v>379</v>
      </c>
      <c r="G19" s="126" t="s">
        <v>39</v>
      </c>
      <c r="H19" s="126" t="s">
        <v>190</v>
      </c>
      <c r="I19" s="126" t="s">
        <v>41</v>
      </c>
      <c r="J19" s="126" t="s">
        <v>121</v>
      </c>
      <c r="K19" s="126" t="s">
        <v>122</v>
      </c>
      <c r="L19" s="126">
        <v>3</v>
      </c>
      <c r="M19" s="154"/>
      <c r="N19" s="126">
        <v>6</v>
      </c>
      <c r="O19" s="126">
        <v>0.6</v>
      </c>
      <c r="P19" s="126">
        <v>0.5</v>
      </c>
      <c r="Q19" s="152">
        <f t="shared" si="0"/>
        <v>0.55000000000000004</v>
      </c>
      <c r="R19" s="126">
        <v>17.100000000000001</v>
      </c>
      <c r="S19" s="126">
        <v>59</v>
      </c>
      <c r="T19" s="138">
        <f t="shared" si="1"/>
        <v>50</v>
      </c>
      <c r="U19" s="126">
        <v>398</v>
      </c>
      <c r="V19" s="138">
        <f t="shared" si="2"/>
        <v>3316.6666666666665</v>
      </c>
      <c r="W19" s="126">
        <v>1</v>
      </c>
      <c r="X19" s="126" t="s">
        <v>44</v>
      </c>
      <c r="Y19" s="126" t="s">
        <v>46</v>
      </c>
      <c r="Z19" s="126" t="s">
        <v>45</v>
      </c>
      <c r="AA19" s="126" t="s">
        <v>54</v>
      </c>
      <c r="AB19" s="126" t="s">
        <v>166</v>
      </c>
      <c r="AE19" s="35" t="s">
        <v>210</v>
      </c>
      <c r="AP19" s="143" t="s">
        <v>232</v>
      </c>
      <c r="AR19" s="139" t="s">
        <v>233</v>
      </c>
      <c r="AV19" s="139" t="s">
        <v>45</v>
      </c>
    </row>
    <row r="20" spans="1:48" s="126" customFormat="1" ht="13.5" customHeight="1">
      <c r="A20" s="126" t="s">
        <v>80</v>
      </c>
      <c r="B20" s="126" t="s">
        <v>184</v>
      </c>
      <c r="C20" s="126">
        <v>2020</v>
      </c>
      <c r="D20" s="151" t="s">
        <v>377</v>
      </c>
      <c r="E20" s="126" t="s">
        <v>385</v>
      </c>
      <c r="F20" s="126" t="s">
        <v>386</v>
      </c>
      <c r="G20" s="126" t="s">
        <v>39</v>
      </c>
      <c r="H20" s="126" t="s">
        <v>40</v>
      </c>
      <c r="I20" s="126" t="s">
        <v>41</v>
      </c>
      <c r="J20" s="126" t="s">
        <v>42</v>
      </c>
      <c r="K20" s="126" t="s">
        <v>43</v>
      </c>
      <c r="L20" s="126">
        <v>1</v>
      </c>
      <c r="M20" s="154"/>
      <c r="N20" s="126">
        <v>1</v>
      </c>
      <c r="O20" s="126">
        <v>0.6</v>
      </c>
      <c r="P20" s="126">
        <v>0.6</v>
      </c>
      <c r="Q20" s="152">
        <f t="shared" si="0"/>
        <v>0.6</v>
      </c>
      <c r="R20" s="126">
        <v>15.7</v>
      </c>
      <c r="S20" s="126">
        <v>118</v>
      </c>
      <c r="T20" s="138">
        <f t="shared" si="1"/>
        <v>30</v>
      </c>
      <c r="U20" s="126">
        <v>108</v>
      </c>
      <c r="V20" s="138">
        <f t="shared" si="2"/>
        <v>3240</v>
      </c>
      <c r="W20" s="126">
        <v>2</v>
      </c>
      <c r="X20" s="126" t="s">
        <v>63</v>
      </c>
      <c r="Y20" s="126" t="s">
        <v>46</v>
      </c>
      <c r="Z20" s="126" t="s">
        <v>45</v>
      </c>
      <c r="AA20" s="126" t="s">
        <v>54</v>
      </c>
      <c r="AB20" s="126" t="s">
        <v>166</v>
      </c>
      <c r="AP20" s="143" t="s">
        <v>234</v>
      </c>
      <c r="AR20" s="139" t="s">
        <v>136</v>
      </c>
      <c r="AV20" s="143" t="s">
        <v>235</v>
      </c>
    </row>
    <row r="21" spans="1:48" s="126" customFormat="1" ht="13.5" customHeight="1">
      <c r="A21" s="126" t="s">
        <v>80</v>
      </c>
      <c r="B21" s="126" t="s">
        <v>184</v>
      </c>
      <c r="C21" s="126">
        <v>2020</v>
      </c>
      <c r="D21" s="151" t="s">
        <v>377</v>
      </c>
      <c r="E21" s="126" t="s">
        <v>385</v>
      </c>
      <c r="F21" s="126" t="s">
        <v>386</v>
      </c>
      <c r="G21" s="126" t="s">
        <v>39</v>
      </c>
      <c r="H21" s="126" t="s">
        <v>40</v>
      </c>
      <c r="I21" s="126" t="s">
        <v>41</v>
      </c>
      <c r="J21" s="126" t="s">
        <v>42</v>
      </c>
      <c r="K21" s="126" t="s">
        <v>43</v>
      </c>
      <c r="L21" s="126">
        <v>2</v>
      </c>
      <c r="M21" s="154"/>
      <c r="N21" s="126">
        <v>1</v>
      </c>
      <c r="O21" s="126">
        <v>0.65</v>
      </c>
      <c r="P21" s="126">
        <v>0.6</v>
      </c>
      <c r="Q21" s="152">
        <f t="shared" si="0"/>
        <v>0.625</v>
      </c>
      <c r="R21" s="126">
        <v>15.4</v>
      </c>
      <c r="S21" s="126">
        <v>113</v>
      </c>
      <c r="T21" s="138">
        <f t="shared" si="1"/>
        <v>30</v>
      </c>
      <c r="U21" s="126">
        <v>108</v>
      </c>
      <c r="V21" s="138">
        <f t="shared" si="2"/>
        <v>3240</v>
      </c>
      <c r="W21" s="126">
        <v>2</v>
      </c>
      <c r="X21" s="126" t="s">
        <v>63</v>
      </c>
      <c r="Y21" s="126" t="s">
        <v>46</v>
      </c>
      <c r="Z21" s="126" t="s">
        <v>45</v>
      </c>
      <c r="AA21" s="126" t="s">
        <v>54</v>
      </c>
      <c r="AB21" s="126" t="s">
        <v>166</v>
      </c>
      <c r="AP21" s="143" t="s">
        <v>236</v>
      </c>
      <c r="AR21" s="139" t="s">
        <v>139</v>
      </c>
      <c r="AV21" s="144" t="s">
        <v>237</v>
      </c>
    </row>
    <row r="22" spans="1:48" s="126" customFormat="1" ht="13.5" customHeight="1">
      <c r="A22" s="126" t="s">
        <v>80</v>
      </c>
      <c r="B22" s="126" t="s">
        <v>184</v>
      </c>
      <c r="C22" s="126">
        <v>2020</v>
      </c>
      <c r="D22" s="151" t="s">
        <v>377</v>
      </c>
      <c r="E22" s="126" t="s">
        <v>385</v>
      </c>
      <c r="F22" s="126" t="s">
        <v>386</v>
      </c>
      <c r="G22" s="126" t="s">
        <v>39</v>
      </c>
      <c r="H22" s="126" t="s">
        <v>40</v>
      </c>
      <c r="I22" s="126" t="s">
        <v>41</v>
      </c>
      <c r="J22" s="126" t="s">
        <v>42</v>
      </c>
      <c r="K22" s="126" t="s">
        <v>43</v>
      </c>
      <c r="L22" s="126">
        <v>3</v>
      </c>
      <c r="M22" s="154"/>
      <c r="N22" s="126">
        <v>1</v>
      </c>
      <c r="O22" s="126">
        <v>0.7</v>
      </c>
      <c r="P22" s="126">
        <v>0.7</v>
      </c>
      <c r="Q22" s="152">
        <f t="shared" si="0"/>
        <v>0.7</v>
      </c>
      <c r="R22" s="126">
        <v>14.2</v>
      </c>
      <c r="S22" s="126">
        <v>121</v>
      </c>
      <c r="T22" s="138">
        <f t="shared" si="1"/>
        <v>27</v>
      </c>
      <c r="U22" s="126">
        <v>108</v>
      </c>
      <c r="V22" s="138">
        <f t="shared" si="2"/>
        <v>2916</v>
      </c>
      <c r="W22" s="126">
        <v>2</v>
      </c>
      <c r="X22" s="126" t="s">
        <v>63</v>
      </c>
      <c r="Y22" s="126" t="s">
        <v>46</v>
      </c>
      <c r="Z22" s="126" t="s">
        <v>45</v>
      </c>
      <c r="AA22" s="126" t="s">
        <v>54</v>
      </c>
      <c r="AB22" s="126" t="s">
        <v>166</v>
      </c>
      <c r="AP22" s="143" t="s">
        <v>238</v>
      </c>
      <c r="AR22" s="139" t="s">
        <v>142</v>
      </c>
    </row>
    <row r="23" spans="1:48" s="126" customFormat="1" ht="13.5" customHeight="1">
      <c r="A23" s="126" t="s">
        <v>80</v>
      </c>
      <c r="B23" s="126" t="s">
        <v>184</v>
      </c>
      <c r="C23" s="126">
        <v>2020</v>
      </c>
      <c r="D23" s="151" t="s">
        <v>377</v>
      </c>
      <c r="E23" s="126" t="s">
        <v>385</v>
      </c>
      <c r="F23" s="126" t="s">
        <v>386</v>
      </c>
      <c r="G23" s="126" t="s">
        <v>39</v>
      </c>
      <c r="H23" s="126" t="s">
        <v>40</v>
      </c>
      <c r="I23" s="126" t="s">
        <v>41</v>
      </c>
      <c r="J23" s="126" t="s">
        <v>42</v>
      </c>
      <c r="K23" s="126" t="s">
        <v>43</v>
      </c>
      <c r="L23" s="126">
        <v>1</v>
      </c>
      <c r="M23" s="154"/>
      <c r="N23" s="126">
        <v>5</v>
      </c>
      <c r="O23" s="126">
        <v>0.75</v>
      </c>
      <c r="P23" s="126">
        <v>0.75</v>
      </c>
      <c r="Q23" s="152">
        <f t="shared" si="0"/>
        <v>0.75</v>
      </c>
      <c r="R23" s="126">
        <v>15.8</v>
      </c>
      <c r="S23" s="126">
        <v>83</v>
      </c>
      <c r="T23" s="138">
        <f t="shared" si="1"/>
        <v>39</v>
      </c>
      <c r="U23" s="126">
        <v>398</v>
      </c>
      <c r="V23" s="138">
        <f t="shared" si="2"/>
        <v>3104.3999999999996</v>
      </c>
      <c r="W23" s="126">
        <v>2</v>
      </c>
      <c r="X23" s="126" t="s">
        <v>63</v>
      </c>
      <c r="Y23" s="126" t="s">
        <v>46</v>
      </c>
      <c r="Z23" s="126" t="s">
        <v>45</v>
      </c>
      <c r="AA23" s="126" t="s">
        <v>54</v>
      </c>
      <c r="AB23" s="126" t="s">
        <v>166</v>
      </c>
      <c r="AP23" s="143" t="s">
        <v>244</v>
      </c>
      <c r="AR23" s="139" t="s">
        <v>88</v>
      </c>
    </row>
    <row r="24" spans="1:48" s="126" customFormat="1" ht="13.5" customHeight="1">
      <c r="A24" s="126" t="s">
        <v>80</v>
      </c>
      <c r="B24" s="126" t="s">
        <v>184</v>
      </c>
      <c r="C24" s="126">
        <v>2020</v>
      </c>
      <c r="D24" s="151" t="s">
        <v>377</v>
      </c>
      <c r="E24" s="126" t="s">
        <v>385</v>
      </c>
      <c r="F24" s="126" t="s">
        <v>386</v>
      </c>
      <c r="G24" s="126" t="s">
        <v>39</v>
      </c>
      <c r="H24" s="126" t="s">
        <v>40</v>
      </c>
      <c r="I24" s="126" t="s">
        <v>41</v>
      </c>
      <c r="J24" s="126" t="s">
        <v>42</v>
      </c>
      <c r="K24" s="126" t="s">
        <v>43</v>
      </c>
      <c r="L24" s="126">
        <v>2</v>
      </c>
      <c r="M24" s="154"/>
      <c r="N24" s="126">
        <v>5</v>
      </c>
      <c r="O24" s="126">
        <v>0.6</v>
      </c>
      <c r="P24" s="126">
        <v>0.65</v>
      </c>
      <c r="Q24" s="152">
        <f t="shared" si="0"/>
        <v>0.625</v>
      </c>
      <c r="R24" s="126">
        <v>14.9</v>
      </c>
      <c r="S24" s="126">
        <v>91</v>
      </c>
      <c r="T24" s="138">
        <f t="shared" si="1"/>
        <v>36</v>
      </c>
      <c r="U24" s="126">
        <v>398</v>
      </c>
      <c r="V24" s="138">
        <f t="shared" si="2"/>
        <v>2865.6</v>
      </c>
      <c r="W24" s="126">
        <v>2</v>
      </c>
      <c r="X24" s="126" t="s">
        <v>63</v>
      </c>
      <c r="Y24" s="126" t="s">
        <v>46</v>
      </c>
      <c r="Z24" s="126" t="s">
        <v>45</v>
      </c>
      <c r="AA24" s="126" t="s">
        <v>54</v>
      </c>
      <c r="AB24" s="126" t="s">
        <v>166</v>
      </c>
      <c r="AP24" s="143" t="s">
        <v>391</v>
      </c>
      <c r="AR24" s="139" t="s">
        <v>328</v>
      </c>
    </row>
    <row r="25" spans="1:48" s="126" customFormat="1" ht="13.5" customHeight="1">
      <c r="A25" s="126" t="s">
        <v>80</v>
      </c>
      <c r="B25" s="126" t="s">
        <v>184</v>
      </c>
      <c r="C25" s="126">
        <v>2020</v>
      </c>
      <c r="D25" s="151" t="s">
        <v>377</v>
      </c>
      <c r="E25" s="126" t="s">
        <v>385</v>
      </c>
      <c r="F25" s="126" t="s">
        <v>386</v>
      </c>
      <c r="G25" s="126" t="s">
        <v>39</v>
      </c>
      <c r="H25" s="126" t="s">
        <v>40</v>
      </c>
      <c r="I25" s="126" t="s">
        <v>41</v>
      </c>
      <c r="J25" s="126" t="s">
        <v>42</v>
      </c>
      <c r="K25" s="126" t="s">
        <v>43</v>
      </c>
      <c r="L25" s="126">
        <v>3</v>
      </c>
      <c r="M25" s="154"/>
      <c r="N25" s="126">
        <v>5</v>
      </c>
      <c r="O25" s="126">
        <v>0.75</v>
      </c>
      <c r="P25" s="126">
        <v>0.65</v>
      </c>
      <c r="Q25" s="152">
        <f t="shared" si="0"/>
        <v>0.7</v>
      </c>
      <c r="R25" s="126">
        <v>14.8</v>
      </c>
      <c r="S25" s="126">
        <v>83</v>
      </c>
      <c r="T25" s="138">
        <f t="shared" si="1"/>
        <v>39</v>
      </c>
      <c r="U25" s="126">
        <v>398</v>
      </c>
      <c r="V25" s="138">
        <f t="shared" si="2"/>
        <v>3104.3999999999996</v>
      </c>
      <c r="W25" s="126">
        <v>2</v>
      </c>
      <c r="X25" s="126" t="s">
        <v>63</v>
      </c>
      <c r="Y25" s="126" t="s">
        <v>46</v>
      </c>
      <c r="Z25" s="126" t="s">
        <v>45</v>
      </c>
      <c r="AA25" s="126" t="s">
        <v>54</v>
      </c>
      <c r="AB25" s="126" t="s">
        <v>166</v>
      </c>
      <c r="AP25" s="143" t="s">
        <v>392</v>
      </c>
      <c r="AR25" s="143" t="s">
        <v>72</v>
      </c>
    </row>
    <row r="26" spans="1:48" s="126" customFormat="1" ht="13.5" customHeight="1">
      <c r="A26" s="126" t="s">
        <v>80</v>
      </c>
      <c r="B26" s="126" t="s">
        <v>184</v>
      </c>
      <c r="C26" s="126">
        <v>2020</v>
      </c>
      <c r="D26" s="151" t="s">
        <v>377</v>
      </c>
      <c r="E26" s="126" t="s">
        <v>385</v>
      </c>
      <c r="F26" s="126" t="s">
        <v>386</v>
      </c>
      <c r="G26" s="126" t="s">
        <v>39</v>
      </c>
      <c r="H26" s="126" t="s">
        <v>156</v>
      </c>
      <c r="I26" s="126" t="s">
        <v>41</v>
      </c>
      <c r="J26" s="126" t="s">
        <v>42</v>
      </c>
      <c r="K26" s="126" t="s">
        <v>78</v>
      </c>
      <c r="L26" s="126">
        <v>1</v>
      </c>
      <c r="M26" s="154"/>
      <c r="N26" s="126">
        <v>1</v>
      </c>
      <c r="O26" s="126">
        <v>0.55000000000000004</v>
      </c>
      <c r="P26" s="126">
        <v>0.6</v>
      </c>
      <c r="Q26" s="152">
        <f t="shared" si="0"/>
        <v>0.57499999999999996</v>
      </c>
      <c r="R26" s="126">
        <v>17.8</v>
      </c>
      <c r="S26" s="126">
        <v>97</v>
      </c>
      <c r="T26" s="138">
        <f t="shared" si="1"/>
        <v>36</v>
      </c>
      <c r="U26" s="126">
        <v>138</v>
      </c>
      <c r="V26" s="138">
        <f t="shared" si="2"/>
        <v>4968</v>
      </c>
      <c r="W26" s="126">
        <v>2</v>
      </c>
      <c r="X26" s="126" t="s">
        <v>63</v>
      </c>
      <c r="Y26" s="126" t="s">
        <v>46</v>
      </c>
      <c r="Z26" s="126" t="s">
        <v>45</v>
      </c>
      <c r="AA26" s="126" t="s">
        <v>54</v>
      </c>
      <c r="AB26" s="126" t="s">
        <v>166</v>
      </c>
      <c r="AP26" s="143" t="s">
        <v>239</v>
      </c>
      <c r="AR26" s="126" t="s">
        <v>240</v>
      </c>
    </row>
    <row r="27" spans="1:48" s="126" customFormat="1" ht="13.5" customHeight="1">
      <c r="A27" s="126" t="s">
        <v>80</v>
      </c>
      <c r="B27" s="126" t="s">
        <v>184</v>
      </c>
      <c r="C27" s="126">
        <v>2020</v>
      </c>
      <c r="D27" s="151" t="s">
        <v>377</v>
      </c>
      <c r="E27" s="126" t="s">
        <v>385</v>
      </c>
      <c r="F27" s="126" t="s">
        <v>386</v>
      </c>
      <c r="G27" s="126" t="s">
        <v>39</v>
      </c>
      <c r="H27" s="126" t="s">
        <v>156</v>
      </c>
      <c r="I27" s="126" t="s">
        <v>41</v>
      </c>
      <c r="J27" s="126" t="s">
        <v>42</v>
      </c>
      <c r="K27" s="126" t="s">
        <v>78</v>
      </c>
      <c r="L27" s="126">
        <v>2</v>
      </c>
      <c r="M27" s="154"/>
      <c r="N27" s="126">
        <v>1</v>
      </c>
      <c r="O27" s="126">
        <v>0.65</v>
      </c>
      <c r="P27" s="126">
        <v>0.65</v>
      </c>
      <c r="Q27" s="152">
        <f t="shared" si="0"/>
        <v>0.65</v>
      </c>
      <c r="R27" s="126">
        <v>16.100000000000001</v>
      </c>
      <c r="S27" s="126">
        <v>96</v>
      </c>
      <c r="T27" s="138">
        <f t="shared" si="1"/>
        <v>39</v>
      </c>
      <c r="U27" s="126">
        <v>138</v>
      </c>
      <c r="V27" s="138">
        <f t="shared" si="2"/>
        <v>5382</v>
      </c>
      <c r="W27" s="126">
        <v>2</v>
      </c>
      <c r="X27" s="126" t="s">
        <v>63</v>
      </c>
      <c r="Y27" s="126" t="s">
        <v>46</v>
      </c>
      <c r="Z27" s="126" t="s">
        <v>45</v>
      </c>
      <c r="AA27" s="126" t="s">
        <v>54</v>
      </c>
      <c r="AB27" s="126" t="s">
        <v>166</v>
      </c>
      <c r="AP27" s="143" t="s">
        <v>241</v>
      </c>
    </row>
    <row r="28" spans="1:48" s="126" customFormat="1" ht="13.5" customHeight="1">
      <c r="A28" s="126" t="s">
        <v>80</v>
      </c>
      <c r="B28" s="126" t="s">
        <v>184</v>
      </c>
      <c r="C28" s="126">
        <v>2020</v>
      </c>
      <c r="D28" s="151" t="s">
        <v>377</v>
      </c>
      <c r="E28" s="126" t="s">
        <v>385</v>
      </c>
      <c r="F28" s="126" t="s">
        <v>386</v>
      </c>
      <c r="G28" s="126" t="s">
        <v>39</v>
      </c>
      <c r="H28" s="126" t="s">
        <v>156</v>
      </c>
      <c r="I28" s="126" t="s">
        <v>41</v>
      </c>
      <c r="J28" s="126" t="s">
        <v>42</v>
      </c>
      <c r="K28" s="126" t="s">
        <v>78</v>
      </c>
      <c r="L28" s="126">
        <v>3</v>
      </c>
      <c r="M28" s="154"/>
      <c r="N28" s="126">
        <v>1</v>
      </c>
      <c r="O28" s="126">
        <v>0.55000000000000004</v>
      </c>
      <c r="P28" s="126">
        <v>0.55000000000000004</v>
      </c>
      <c r="Q28" s="152">
        <f t="shared" si="0"/>
        <v>0.55000000000000004</v>
      </c>
      <c r="R28" s="126">
        <v>15.3</v>
      </c>
      <c r="S28" s="126">
        <v>97</v>
      </c>
      <c r="T28" s="138">
        <f t="shared" si="1"/>
        <v>36</v>
      </c>
      <c r="U28" s="126">
        <v>138</v>
      </c>
      <c r="V28" s="138">
        <f t="shared" si="2"/>
        <v>4968</v>
      </c>
      <c r="W28" s="126">
        <v>2</v>
      </c>
      <c r="X28" s="126" t="s">
        <v>63</v>
      </c>
      <c r="Y28" s="126" t="s">
        <v>46</v>
      </c>
      <c r="Z28" s="126" t="s">
        <v>45</v>
      </c>
      <c r="AA28" s="126" t="s">
        <v>54</v>
      </c>
      <c r="AB28" s="126" t="s">
        <v>166</v>
      </c>
      <c r="AP28" s="126" t="s">
        <v>393</v>
      </c>
    </row>
    <row r="29" spans="1:48" s="126" customFormat="1" ht="13.5" customHeight="1">
      <c r="A29" s="126" t="s">
        <v>80</v>
      </c>
      <c r="B29" s="126" t="s">
        <v>184</v>
      </c>
      <c r="C29" s="126">
        <v>2020</v>
      </c>
      <c r="D29" s="151" t="s">
        <v>377</v>
      </c>
      <c r="E29" s="126" t="s">
        <v>385</v>
      </c>
      <c r="F29" s="126" t="s">
        <v>386</v>
      </c>
      <c r="G29" s="126" t="s">
        <v>39</v>
      </c>
      <c r="H29" s="126" t="s">
        <v>156</v>
      </c>
      <c r="I29" s="126" t="s">
        <v>41</v>
      </c>
      <c r="J29" s="126" t="s">
        <v>42</v>
      </c>
      <c r="K29" s="126" t="s">
        <v>217</v>
      </c>
      <c r="L29" s="126">
        <v>1</v>
      </c>
      <c r="M29" s="154"/>
      <c r="N29" s="126">
        <v>5</v>
      </c>
      <c r="O29" s="126">
        <v>0.7</v>
      </c>
      <c r="P29" s="126">
        <v>0.7</v>
      </c>
      <c r="Q29" s="152">
        <f t="shared" si="0"/>
        <v>0.7</v>
      </c>
      <c r="R29" s="126">
        <v>17.2</v>
      </c>
      <c r="S29" s="126">
        <v>82</v>
      </c>
      <c r="T29" s="138">
        <f t="shared" si="1"/>
        <v>42</v>
      </c>
      <c r="U29" s="126">
        <v>598</v>
      </c>
      <c r="V29" s="138">
        <f t="shared" si="2"/>
        <v>5023.2</v>
      </c>
      <c r="W29" s="126">
        <v>4</v>
      </c>
      <c r="X29" s="126" t="s">
        <v>63</v>
      </c>
      <c r="Y29" s="126" t="s">
        <v>46</v>
      </c>
      <c r="Z29" s="126" t="s">
        <v>45</v>
      </c>
      <c r="AA29" s="126" t="s">
        <v>54</v>
      </c>
      <c r="AB29" s="126" t="s">
        <v>166</v>
      </c>
      <c r="AP29" s="126" t="s">
        <v>380</v>
      </c>
    </row>
    <row r="30" spans="1:48" s="126" customFormat="1" ht="13.5" customHeight="1">
      <c r="A30" s="126" t="s">
        <v>80</v>
      </c>
      <c r="B30" s="126" t="s">
        <v>184</v>
      </c>
      <c r="C30" s="126">
        <v>2020</v>
      </c>
      <c r="D30" s="151" t="s">
        <v>377</v>
      </c>
      <c r="E30" s="126" t="s">
        <v>385</v>
      </c>
      <c r="F30" s="126" t="s">
        <v>386</v>
      </c>
      <c r="G30" s="126" t="s">
        <v>39</v>
      </c>
      <c r="H30" s="126" t="s">
        <v>156</v>
      </c>
      <c r="I30" s="126" t="s">
        <v>41</v>
      </c>
      <c r="J30" s="126" t="s">
        <v>42</v>
      </c>
      <c r="K30" s="126" t="s">
        <v>217</v>
      </c>
      <c r="L30" s="126">
        <v>2</v>
      </c>
      <c r="M30" s="154"/>
      <c r="N30" s="126">
        <v>5</v>
      </c>
      <c r="O30" s="126">
        <v>0.6</v>
      </c>
      <c r="P30" s="126">
        <v>0.6</v>
      </c>
      <c r="Q30" s="152">
        <f t="shared" si="0"/>
        <v>0.6</v>
      </c>
      <c r="R30" s="126">
        <v>15.7</v>
      </c>
      <c r="S30" s="126">
        <v>84</v>
      </c>
      <c r="T30" s="138">
        <f t="shared" si="1"/>
        <v>39</v>
      </c>
      <c r="U30" s="126">
        <v>598</v>
      </c>
      <c r="V30" s="138">
        <f t="shared" si="2"/>
        <v>4664.3999999999996</v>
      </c>
      <c r="W30" s="126">
        <v>4</v>
      </c>
      <c r="X30" s="126" t="s">
        <v>63</v>
      </c>
      <c r="Y30" s="126" t="s">
        <v>46</v>
      </c>
      <c r="Z30" s="126" t="s">
        <v>45</v>
      </c>
      <c r="AA30" s="126" t="s">
        <v>54</v>
      </c>
      <c r="AB30" s="126" t="s">
        <v>166</v>
      </c>
    </row>
    <row r="31" spans="1:48" s="126" customFormat="1" ht="13.5" customHeight="1">
      <c r="A31" s="126" t="s">
        <v>80</v>
      </c>
      <c r="B31" s="126" t="s">
        <v>184</v>
      </c>
      <c r="C31" s="126">
        <v>2020</v>
      </c>
      <c r="D31" s="151" t="s">
        <v>377</v>
      </c>
      <c r="E31" s="126" t="s">
        <v>385</v>
      </c>
      <c r="F31" s="126" t="s">
        <v>386</v>
      </c>
      <c r="G31" s="126" t="s">
        <v>39</v>
      </c>
      <c r="H31" s="126" t="s">
        <v>156</v>
      </c>
      <c r="I31" s="126" t="s">
        <v>41</v>
      </c>
      <c r="J31" s="126" t="s">
        <v>42</v>
      </c>
      <c r="K31" s="126" t="s">
        <v>217</v>
      </c>
      <c r="L31" s="126">
        <v>3</v>
      </c>
      <c r="M31" s="154"/>
      <c r="N31" s="126">
        <v>5</v>
      </c>
      <c r="O31" s="126">
        <v>0.55000000000000004</v>
      </c>
      <c r="P31" s="126">
        <v>0.5</v>
      </c>
      <c r="Q31" s="152">
        <f t="shared" si="0"/>
        <v>0.52500000000000002</v>
      </c>
      <c r="R31" s="126">
        <v>16.899999999999999</v>
      </c>
      <c r="S31" s="126">
        <v>79</v>
      </c>
      <c r="T31" s="138">
        <f t="shared" si="1"/>
        <v>42</v>
      </c>
      <c r="U31" s="126">
        <v>598</v>
      </c>
      <c r="V31" s="138">
        <f t="shared" si="2"/>
        <v>5023.2</v>
      </c>
      <c r="W31" s="126">
        <v>4</v>
      </c>
      <c r="X31" s="126" t="s">
        <v>63</v>
      </c>
      <c r="Y31" s="126" t="s">
        <v>46</v>
      </c>
      <c r="Z31" s="126" t="s">
        <v>45</v>
      </c>
      <c r="AA31" s="126" t="s">
        <v>54</v>
      </c>
      <c r="AB31" s="126" t="s">
        <v>166</v>
      </c>
    </row>
    <row r="32" spans="1:48" s="126" customFormat="1" ht="13.5" customHeight="1">
      <c r="A32" s="126" t="s">
        <v>80</v>
      </c>
      <c r="B32" s="126" t="s">
        <v>184</v>
      </c>
      <c r="C32" s="126">
        <v>2020</v>
      </c>
      <c r="D32" s="151" t="s">
        <v>377</v>
      </c>
      <c r="E32" s="126" t="s">
        <v>387</v>
      </c>
      <c r="F32" s="126" t="s">
        <v>379</v>
      </c>
      <c r="G32" s="126" t="s">
        <v>58</v>
      </c>
      <c r="H32" s="126" t="s">
        <v>40</v>
      </c>
      <c r="I32" s="126" t="s">
        <v>41</v>
      </c>
      <c r="J32" s="126" t="s">
        <v>42</v>
      </c>
      <c r="K32" s="126" t="s">
        <v>43</v>
      </c>
      <c r="L32" s="126">
        <v>1</v>
      </c>
      <c r="M32" s="154"/>
      <c r="N32" s="126">
        <v>8</v>
      </c>
      <c r="O32" s="126">
        <v>0.65</v>
      </c>
      <c r="P32" s="126">
        <v>0.55000000000000004</v>
      </c>
      <c r="Q32" s="138">
        <f t="shared" si="0"/>
        <v>0.60000000000000009</v>
      </c>
      <c r="R32" s="126">
        <v>14.7</v>
      </c>
      <c r="S32" s="126">
        <v>87</v>
      </c>
      <c r="T32" s="138">
        <f t="shared" si="1"/>
        <v>36</v>
      </c>
      <c r="U32" s="126">
        <v>297</v>
      </c>
      <c r="V32" s="138">
        <f t="shared" si="2"/>
        <v>1336.5</v>
      </c>
      <c r="W32" s="126">
        <v>2</v>
      </c>
      <c r="X32" s="126" t="s">
        <v>44</v>
      </c>
      <c r="Y32" s="126" t="s">
        <v>46</v>
      </c>
      <c r="Z32" s="126" t="s">
        <v>54</v>
      </c>
      <c r="AA32" s="126" t="s">
        <v>45</v>
      </c>
      <c r="AB32" s="126" t="s">
        <v>166</v>
      </c>
    </row>
    <row r="33" spans="1:28" s="126" customFormat="1" ht="13.5" customHeight="1">
      <c r="A33" s="126" t="s">
        <v>80</v>
      </c>
      <c r="B33" s="126" t="s">
        <v>184</v>
      </c>
      <c r="C33" s="126">
        <v>2020</v>
      </c>
      <c r="D33" s="151" t="s">
        <v>377</v>
      </c>
      <c r="E33" s="126" t="s">
        <v>387</v>
      </c>
      <c r="F33" s="126" t="s">
        <v>379</v>
      </c>
      <c r="G33" s="126" t="s">
        <v>58</v>
      </c>
      <c r="H33" s="126" t="s">
        <v>40</v>
      </c>
      <c r="I33" s="126" t="s">
        <v>41</v>
      </c>
      <c r="J33" s="126" t="s">
        <v>42</v>
      </c>
      <c r="K33" s="126" t="s">
        <v>43</v>
      </c>
      <c r="L33" s="126">
        <v>2</v>
      </c>
      <c r="M33" s="154"/>
      <c r="N33" s="126">
        <v>8</v>
      </c>
      <c r="O33" s="126">
        <v>0.65</v>
      </c>
      <c r="P33" s="126">
        <v>0.7</v>
      </c>
      <c r="Q33" s="138">
        <f t="shared" si="0"/>
        <v>0.67500000000000004</v>
      </c>
      <c r="R33" s="126">
        <v>14.1</v>
      </c>
      <c r="S33" s="126">
        <v>94</v>
      </c>
      <c r="T33" s="138">
        <f t="shared" si="1"/>
        <v>36</v>
      </c>
      <c r="U33" s="126">
        <v>297</v>
      </c>
      <c r="V33" s="138">
        <f t="shared" si="2"/>
        <v>1336.5</v>
      </c>
      <c r="W33" s="126">
        <v>2</v>
      </c>
      <c r="X33" s="126" t="s">
        <v>44</v>
      </c>
      <c r="Y33" s="126" t="s">
        <v>46</v>
      </c>
      <c r="Z33" s="126" t="s">
        <v>54</v>
      </c>
      <c r="AA33" s="126" t="s">
        <v>45</v>
      </c>
      <c r="AB33" s="126" t="s">
        <v>166</v>
      </c>
    </row>
    <row r="34" spans="1:28" s="126" customFormat="1" ht="13.5" customHeight="1">
      <c r="A34" s="126" t="s">
        <v>80</v>
      </c>
      <c r="B34" s="126" t="s">
        <v>184</v>
      </c>
      <c r="C34" s="126">
        <v>2020</v>
      </c>
      <c r="D34" s="151" t="s">
        <v>377</v>
      </c>
      <c r="E34" s="126" t="s">
        <v>387</v>
      </c>
      <c r="F34" s="126" t="s">
        <v>379</v>
      </c>
      <c r="G34" s="126" t="s">
        <v>58</v>
      </c>
      <c r="H34" s="126" t="s">
        <v>40</v>
      </c>
      <c r="I34" s="126" t="s">
        <v>41</v>
      </c>
      <c r="J34" s="126" t="s">
        <v>42</v>
      </c>
      <c r="K34" s="126" t="s">
        <v>43</v>
      </c>
      <c r="L34" s="126">
        <v>3</v>
      </c>
      <c r="M34" s="154"/>
      <c r="N34" s="126">
        <v>8</v>
      </c>
      <c r="O34" s="126">
        <v>0.8</v>
      </c>
      <c r="P34" s="126">
        <v>0.85</v>
      </c>
      <c r="Q34" s="138">
        <f t="shared" si="0"/>
        <v>0.82499999999999996</v>
      </c>
      <c r="R34" s="126">
        <v>15.3</v>
      </c>
      <c r="S34" s="126">
        <v>88</v>
      </c>
      <c r="T34" s="138">
        <f t="shared" si="1"/>
        <v>36</v>
      </c>
      <c r="U34" s="126">
        <v>297</v>
      </c>
      <c r="V34" s="138">
        <f t="shared" si="2"/>
        <v>1336.5</v>
      </c>
      <c r="W34" s="126">
        <v>2</v>
      </c>
      <c r="X34" s="126" t="s">
        <v>44</v>
      </c>
      <c r="Y34" s="126" t="s">
        <v>46</v>
      </c>
      <c r="Z34" s="126" t="s">
        <v>54</v>
      </c>
      <c r="AA34" s="126" t="s">
        <v>45</v>
      </c>
      <c r="AB34" s="126" t="s">
        <v>166</v>
      </c>
    </row>
    <row r="35" spans="1:28" s="126" customFormat="1" ht="13.5" customHeight="1">
      <c r="A35" s="126" t="s">
        <v>80</v>
      </c>
      <c r="B35" s="126" t="s">
        <v>184</v>
      </c>
      <c r="C35" s="126">
        <v>2020</v>
      </c>
      <c r="D35" s="151" t="s">
        <v>377</v>
      </c>
      <c r="E35" s="126" t="s">
        <v>387</v>
      </c>
      <c r="F35" s="126" t="s">
        <v>379</v>
      </c>
      <c r="G35" s="126" t="s">
        <v>58</v>
      </c>
      <c r="H35" s="126" t="s">
        <v>190</v>
      </c>
      <c r="I35" s="126" t="s">
        <v>41</v>
      </c>
      <c r="J35" s="126" t="s">
        <v>121</v>
      </c>
      <c r="K35" s="126" t="s">
        <v>122</v>
      </c>
      <c r="L35" s="126">
        <v>1</v>
      </c>
      <c r="M35" s="154"/>
      <c r="N35" s="126">
        <v>4</v>
      </c>
      <c r="O35" s="126">
        <v>0.6</v>
      </c>
      <c r="P35" s="126">
        <v>0.7</v>
      </c>
      <c r="Q35" s="138">
        <f t="shared" si="0"/>
        <v>0.64999999999999991</v>
      </c>
      <c r="R35" s="126">
        <v>15.1</v>
      </c>
      <c r="S35" s="126">
        <v>63</v>
      </c>
      <c r="T35" s="138">
        <f t="shared" si="1"/>
        <v>50</v>
      </c>
      <c r="U35" s="126">
        <v>257</v>
      </c>
      <c r="V35" s="138">
        <f t="shared" si="2"/>
        <v>3212.5</v>
      </c>
      <c r="W35" s="126">
        <v>2</v>
      </c>
      <c r="X35" s="126" t="s">
        <v>44</v>
      </c>
      <c r="Y35" s="126" t="s">
        <v>46</v>
      </c>
      <c r="Z35" s="126" t="s">
        <v>54</v>
      </c>
      <c r="AA35" s="126" t="s">
        <v>45</v>
      </c>
      <c r="AB35" s="126" t="s">
        <v>166</v>
      </c>
    </row>
    <row r="36" spans="1:28" s="126" customFormat="1" ht="13.5" customHeight="1">
      <c r="A36" s="126" t="s">
        <v>80</v>
      </c>
      <c r="B36" s="126" t="s">
        <v>184</v>
      </c>
      <c r="C36" s="126">
        <v>2020</v>
      </c>
      <c r="D36" s="151" t="s">
        <v>377</v>
      </c>
      <c r="E36" s="126" t="s">
        <v>387</v>
      </c>
      <c r="F36" s="126" t="s">
        <v>379</v>
      </c>
      <c r="G36" s="126" t="s">
        <v>58</v>
      </c>
      <c r="H36" s="126" t="s">
        <v>190</v>
      </c>
      <c r="I36" s="126" t="s">
        <v>41</v>
      </c>
      <c r="J36" s="126" t="s">
        <v>121</v>
      </c>
      <c r="K36" s="126" t="s">
        <v>122</v>
      </c>
      <c r="L36" s="126">
        <v>2</v>
      </c>
      <c r="M36" s="154"/>
      <c r="N36" s="126">
        <v>4</v>
      </c>
      <c r="O36" s="126">
        <v>0.55000000000000004</v>
      </c>
      <c r="P36" s="126">
        <v>0.6</v>
      </c>
      <c r="Q36" s="138">
        <f t="shared" si="0"/>
        <v>0.57499999999999996</v>
      </c>
      <c r="R36" s="126">
        <v>17.2</v>
      </c>
      <c r="S36" s="126">
        <v>83</v>
      </c>
      <c r="T36" s="138">
        <f t="shared" si="1"/>
        <v>39</v>
      </c>
      <c r="U36" s="126">
        <v>257</v>
      </c>
      <c r="V36" s="138">
        <f t="shared" si="2"/>
        <v>2505.75</v>
      </c>
      <c r="W36" s="126">
        <v>2</v>
      </c>
      <c r="X36" s="126" t="s">
        <v>44</v>
      </c>
      <c r="Y36" s="126" t="s">
        <v>46</v>
      </c>
      <c r="Z36" s="126" t="s">
        <v>54</v>
      </c>
      <c r="AA36" s="126" t="s">
        <v>45</v>
      </c>
      <c r="AB36" s="126" t="s">
        <v>166</v>
      </c>
    </row>
    <row r="37" spans="1:28" s="126" customFormat="1" ht="13.5" customHeight="1">
      <c r="A37" s="126" t="s">
        <v>80</v>
      </c>
      <c r="B37" s="126" t="s">
        <v>184</v>
      </c>
      <c r="C37" s="126">
        <v>2020</v>
      </c>
      <c r="D37" s="151" t="s">
        <v>377</v>
      </c>
      <c r="E37" s="126" t="s">
        <v>387</v>
      </c>
      <c r="F37" s="126" t="s">
        <v>379</v>
      </c>
      <c r="G37" s="126" t="s">
        <v>58</v>
      </c>
      <c r="H37" s="126" t="s">
        <v>190</v>
      </c>
      <c r="I37" s="126" t="s">
        <v>41</v>
      </c>
      <c r="J37" s="126" t="s">
        <v>121</v>
      </c>
      <c r="K37" s="126" t="s">
        <v>122</v>
      </c>
      <c r="L37" s="126">
        <v>3</v>
      </c>
      <c r="M37" s="154"/>
      <c r="N37" s="126">
        <v>4</v>
      </c>
      <c r="O37" s="126">
        <v>0.7</v>
      </c>
      <c r="P37" s="126">
        <v>0.7</v>
      </c>
      <c r="Q37" s="138">
        <f t="shared" si="0"/>
        <v>0.7</v>
      </c>
      <c r="R37" s="126">
        <v>17.399999999999999</v>
      </c>
      <c r="S37" s="126">
        <v>92</v>
      </c>
      <c r="T37" s="138">
        <f t="shared" si="1"/>
        <v>36</v>
      </c>
      <c r="U37" s="126">
        <v>257</v>
      </c>
      <c r="V37" s="138">
        <f t="shared" si="2"/>
        <v>2313</v>
      </c>
      <c r="W37" s="126">
        <v>2</v>
      </c>
      <c r="X37" s="126" t="s">
        <v>44</v>
      </c>
      <c r="Y37" s="126" t="s">
        <v>46</v>
      </c>
      <c r="Z37" s="126" t="s">
        <v>54</v>
      </c>
      <c r="AA37" s="126" t="s">
        <v>45</v>
      </c>
      <c r="AB37" s="126" t="s">
        <v>166</v>
      </c>
    </row>
    <row r="38" spans="1:28" s="126" customFormat="1" ht="13.5" customHeight="1">
      <c r="A38" s="126" t="s">
        <v>80</v>
      </c>
      <c r="B38" s="126" t="s">
        <v>184</v>
      </c>
      <c r="C38" s="126">
        <v>2020</v>
      </c>
      <c r="D38" s="151" t="s">
        <v>377</v>
      </c>
      <c r="E38" s="126" t="s">
        <v>387</v>
      </c>
      <c r="F38" s="126" t="s">
        <v>379</v>
      </c>
      <c r="G38" s="126" t="s">
        <v>58</v>
      </c>
      <c r="H38" s="126" t="s">
        <v>190</v>
      </c>
      <c r="I38" s="126" t="s">
        <v>41</v>
      </c>
      <c r="J38" s="126" t="s">
        <v>121</v>
      </c>
      <c r="K38" s="126" t="s">
        <v>122</v>
      </c>
      <c r="L38" s="126">
        <v>1</v>
      </c>
      <c r="M38" s="154"/>
      <c r="N38" s="126">
        <v>9</v>
      </c>
      <c r="O38" s="126">
        <v>0.5</v>
      </c>
      <c r="P38" s="126">
        <v>0.55000000000000004</v>
      </c>
      <c r="Q38" s="138">
        <f t="shared" si="0"/>
        <v>0.52500000000000002</v>
      </c>
      <c r="R38" s="126">
        <v>16.8</v>
      </c>
      <c r="S38" s="126">
        <v>75</v>
      </c>
      <c r="T38" s="138">
        <f t="shared" si="1"/>
        <v>42</v>
      </c>
      <c r="U38" s="126">
        <v>297</v>
      </c>
      <c r="V38" s="138">
        <f t="shared" si="2"/>
        <v>1386</v>
      </c>
      <c r="W38" s="126">
        <v>2</v>
      </c>
      <c r="X38" s="126" t="s">
        <v>44</v>
      </c>
      <c r="Y38" s="126" t="s">
        <v>46</v>
      </c>
      <c r="Z38" s="126" t="s">
        <v>54</v>
      </c>
      <c r="AA38" s="126" t="s">
        <v>45</v>
      </c>
      <c r="AB38" s="126" t="s">
        <v>166</v>
      </c>
    </row>
    <row r="39" spans="1:28" s="126" customFormat="1" ht="13.5" customHeight="1">
      <c r="A39" s="126" t="s">
        <v>80</v>
      </c>
      <c r="B39" s="126" t="s">
        <v>184</v>
      </c>
      <c r="C39" s="126">
        <v>2020</v>
      </c>
      <c r="D39" s="151" t="s">
        <v>377</v>
      </c>
      <c r="E39" s="126" t="s">
        <v>387</v>
      </c>
      <c r="F39" s="126" t="s">
        <v>379</v>
      </c>
      <c r="G39" s="126" t="s">
        <v>58</v>
      </c>
      <c r="H39" s="126" t="s">
        <v>190</v>
      </c>
      <c r="I39" s="126" t="s">
        <v>41</v>
      </c>
      <c r="J39" s="126" t="s">
        <v>121</v>
      </c>
      <c r="K39" s="126" t="s">
        <v>122</v>
      </c>
      <c r="L39" s="126">
        <v>2</v>
      </c>
      <c r="M39" s="154"/>
      <c r="N39" s="126">
        <v>9</v>
      </c>
      <c r="O39" s="126">
        <v>0.65</v>
      </c>
      <c r="P39" s="126">
        <v>0.6</v>
      </c>
      <c r="Q39" s="138">
        <f t="shared" si="0"/>
        <v>0.625</v>
      </c>
      <c r="R39" s="126">
        <v>17.5</v>
      </c>
      <c r="S39" s="126">
        <v>77</v>
      </c>
      <c r="T39" s="138">
        <f t="shared" si="1"/>
        <v>39</v>
      </c>
      <c r="U39" s="126">
        <v>297</v>
      </c>
      <c r="V39" s="138">
        <f t="shared" si="2"/>
        <v>1287</v>
      </c>
      <c r="W39" s="126">
        <v>2</v>
      </c>
      <c r="X39" s="126" t="s">
        <v>44</v>
      </c>
      <c r="Y39" s="126" t="s">
        <v>46</v>
      </c>
      <c r="Z39" s="126" t="s">
        <v>54</v>
      </c>
      <c r="AA39" s="126" t="s">
        <v>45</v>
      </c>
      <c r="AB39" s="126" t="s">
        <v>166</v>
      </c>
    </row>
    <row r="40" spans="1:28" s="126" customFormat="1" ht="13.5" customHeight="1">
      <c r="A40" s="126" t="s">
        <v>80</v>
      </c>
      <c r="B40" s="126" t="s">
        <v>184</v>
      </c>
      <c r="C40" s="126">
        <v>2020</v>
      </c>
      <c r="D40" s="151" t="s">
        <v>377</v>
      </c>
      <c r="E40" s="126" t="s">
        <v>387</v>
      </c>
      <c r="F40" s="126" t="s">
        <v>379</v>
      </c>
      <c r="G40" s="126" t="s">
        <v>58</v>
      </c>
      <c r="H40" s="126" t="s">
        <v>190</v>
      </c>
      <c r="I40" s="126" t="s">
        <v>41</v>
      </c>
      <c r="J40" s="126" t="s">
        <v>121</v>
      </c>
      <c r="K40" s="126" t="s">
        <v>122</v>
      </c>
      <c r="L40" s="126">
        <v>3</v>
      </c>
      <c r="M40" s="154"/>
      <c r="N40" s="126">
        <v>9</v>
      </c>
      <c r="O40" s="126">
        <v>0.55000000000000004</v>
      </c>
      <c r="P40" s="126">
        <v>0.5</v>
      </c>
      <c r="Q40" s="138">
        <f t="shared" si="0"/>
        <v>0.52500000000000002</v>
      </c>
      <c r="R40" s="126">
        <v>17.5</v>
      </c>
      <c r="S40" s="126">
        <v>71</v>
      </c>
      <c r="T40" s="138">
        <f t="shared" si="1"/>
        <v>42</v>
      </c>
      <c r="U40" s="126">
        <v>297</v>
      </c>
      <c r="V40" s="138">
        <f t="shared" si="2"/>
        <v>1386</v>
      </c>
      <c r="W40" s="126">
        <v>2</v>
      </c>
      <c r="X40" s="126" t="s">
        <v>44</v>
      </c>
      <c r="Y40" s="126" t="s">
        <v>46</v>
      </c>
      <c r="Z40" s="126" t="s">
        <v>54</v>
      </c>
      <c r="AA40" s="126" t="s">
        <v>45</v>
      </c>
      <c r="AB40" s="126" t="s">
        <v>166</v>
      </c>
    </row>
    <row r="41" spans="1:28" s="126" customFormat="1" ht="13.5" customHeight="1">
      <c r="A41" s="126" t="s">
        <v>80</v>
      </c>
      <c r="B41" s="126" t="s">
        <v>184</v>
      </c>
      <c r="C41" s="126">
        <v>2020</v>
      </c>
      <c r="D41" s="151" t="s">
        <v>377</v>
      </c>
      <c r="E41" s="126" t="s">
        <v>308</v>
      </c>
      <c r="F41" s="126" t="s">
        <v>389</v>
      </c>
      <c r="G41" s="126" t="s">
        <v>39</v>
      </c>
      <c r="H41" s="126" t="s">
        <v>40</v>
      </c>
      <c r="I41" s="126" t="s">
        <v>41</v>
      </c>
      <c r="J41" s="126" t="s">
        <v>42</v>
      </c>
      <c r="K41" s="126" t="s">
        <v>43</v>
      </c>
      <c r="L41" s="126">
        <v>1</v>
      </c>
      <c r="M41" s="154"/>
      <c r="N41" s="126">
        <v>1</v>
      </c>
      <c r="O41" s="126">
        <v>0.7</v>
      </c>
      <c r="P41" s="126">
        <v>0.75</v>
      </c>
      <c r="Q41" s="138">
        <f t="shared" si="0"/>
        <v>0.72499999999999998</v>
      </c>
      <c r="R41" s="126">
        <v>12.3</v>
      </c>
      <c r="S41" s="126">
        <v>106</v>
      </c>
      <c r="T41" s="138">
        <f t="shared" si="1"/>
        <v>33</v>
      </c>
      <c r="U41" s="126">
        <v>98</v>
      </c>
      <c r="V41" s="138">
        <f t="shared" si="2"/>
        <v>3234</v>
      </c>
      <c r="W41" s="126">
        <v>1</v>
      </c>
      <c r="X41" s="126" t="s">
        <v>44</v>
      </c>
      <c r="Y41" s="126" t="s">
        <v>46</v>
      </c>
      <c r="Z41" s="126" t="s">
        <v>54</v>
      </c>
      <c r="AA41" s="126" t="s">
        <v>45</v>
      </c>
      <c r="AB41" s="126" t="s">
        <v>166</v>
      </c>
    </row>
    <row r="42" spans="1:28" s="126" customFormat="1" ht="13.5" customHeight="1">
      <c r="A42" s="126" t="s">
        <v>80</v>
      </c>
      <c r="B42" s="126" t="s">
        <v>184</v>
      </c>
      <c r="C42" s="126">
        <v>2020</v>
      </c>
      <c r="D42" s="151" t="s">
        <v>377</v>
      </c>
      <c r="E42" s="126" t="s">
        <v>308</v>
      </c>
      <c r="F42" s="126" t="s">
        <v>389</v>
      </c>
      <c r="G42" s="126" t="s">
        <v>39</v>
      </c>
      <c r="H42" s="126" t="s">
        <v>40</v>
      </c>
      <c r="I42" s="126" t="s">
        <v>41</v>
      </c>
      <c r="J42" s="126" t="s">
        <v>42</v>
      </c>
      <c r="K42" s="126" t="s">
        <v>43</v>
      </c>
      <c r="L42" s="126">
        <v>2</v>
      </c>
      <c r="M42" s="154"/>
      <c r="N42" s="126">
        <v>1</v>
      </c>
      <c r="O42" s="126">
        <v>0.5</v>
      </c>
      <c r="P42" s="126">
        <v>0.5</v>
      </c>
      <c r="Q42" s="138">
        <f t="shared" si="0"/>
        <v>0.5</v>
      </c>
      <c r="R42" s="126">
        <v>14.4</v>
      </c>
      <c r="S42" s="126">
        <v>108</v>
      </c>
      <c r="T42" s="138">
        <f t="shared" si="1"/>
        <v>33</v>
      </c>
      <c r="U42" s="126">
        <v>98</v>
      </c>
      <c r="V42" s="138">
        <f t="shared" si="2"/>
        <v>3234</v>
      </c>
      <c r="W42" s="126">
        <v>1</v>
      </c>
      <c r="X42" s="126" t="s">
        <v>44</v>
      </c>
      <c r="Y42" s="126" t="s">
        <v>46</v>
      </c>
      <c r="Z42" s="126" t="s">
        <v>54</v>
      </c>
      <c r="AA42" s="126" t="s">
        <v>45</v>
      </c>
      <c r="AB42" s="126" t="s">
        <v>166</v>
      </c>
    </row>
    <row r="43" spans="1:28" s="126" customFormat="1" ht="13.5" customHeight="1">
      <c r="A43" s="126" t="s">
        <v>80</v>
      </c>
      <c r="B43" s="126" t="s">
        <v>184</v>
      </c>
      <c r="C43" s="126">
        <v>2020</v>
      </c>
      <c r="D43" s="151" t="s">
        <v>377</v>
      </c>
      <c r="E43" s="126" t="s">
        <v>308</v>
      </c>
      <c r="F43" s="126" t="s">
        <v>389</v>
      </c>
      <c r="G43" s="126" t="s">
        <v>39</v>
      </c>
      <c r="H43" s="126" t="s">
        <v>40</v>
      </c>
      <c r="I43" s="126" t="s">
        <v>41</v>
      </c>
      <c r="J43" s="126" t="s">
        <v>42</v>
      </c>
      <c r="K43" s="126" t="s">
        <v>43</v>
      </c>
      <c r="L43" s="126">
        <v>3</v>
      </c>
      <c r="M43" s="154"/>
      <c r="N43" s="126">
        <v>1</v>
      </c>
      <c r="O43" s="126">
        <v>0.7</v>
      </c>
      <c r="P43" s="126">
        <v>0.65</v>
      </c>
      <c r="Q43" s="138">
        <f t="shared" si="0"/>
        <v>0.67500000000000004</v>
      </c>
      <c r="R43" s="126">
        <v>14</v>
      </c>
      <c r="S43" s="126">
        <v>109</v>
      </c>
      <c r="T43" s="138">
        <f t="shared" si="1"/>
        <v>33</v>
      </c>
      <c r="U43" s="126">
        <v>98</v>
      </c>
      <c r="V43" s="138">
        <f t="shared" si="2"/>
        <v>3234</v>
      </c>
      <c r="W43" s="126">
        <v>1</v>
      </c>
      <c r="X43" s="126" t="s">
        <v>44</v>
      </c>
      <c r="Y43" s="126" t="s">
        <v>46</v>
      </c>
      <c r="Z43" s="126" t="s">
        <v>54</v>
      </c>
      <c r="AA43" s="126" t="s">
        <v>45</v>
      </c>
      <c r="AB43" s="126" t="s">
        <v>166</v>
      </c>
    </row>
    <row r="44" spans="1:28" s="126" customFormat="1" ht="13.5" customHeight="1">
      <c r="A44" s="126" t="s">
        <v>80</v>
      </c>
      <c r="B44" s="126" t="s">
        <v>184</v>
      </c>
      <c r="C44" s="126">
        <v>2020</v>
      </c>
      <c r="D44" s="151" t="s">
        <v>377</v>
      </c>
      <c r="E44" s="126" t="s">
        <v>308</v>
      </c>
      <c r="F44" s="126" t="s">
        <v>389</v>
      </c>
      <c r="G44" s="126" t="s">
        <v>39</v>
      </c>
      <c r="H44" s="126" t="s">
        <v>40</v>
      </c>
      <c r="I44" s="126" t="s">
        <v>41</v>
      </c>
      <c r="J44" s="126" t="s">
        <v>42</v>
      </c>
      <c r="K44" s="126" t="s">
        <v>43</v>
      </c>
      <c r="L44" s="126">
        <v>1</v>
      </c>
      <c r="M44" s="154"/>
      <c r="N44" s="126">
        <v>5</v>
      </c>
      <c r="O44" s="126">
        <v>0.9</v>
      </c>
      <c r="P44" s="126">
        <v>0.95</v>
      </c>
      <c r="Q44" s="138">
        <f t="shared" si="0"/>
        <v>0.92500000000000004</v>
      </c>
      <c r="R44" s="126">
        <v>13.7</v>
      </c>
      <c r="S44" s="126">
        <v>82</v>
      </c>
      <c r="T44" s="138">
        <f t="shared" si="1"/>
        <v>39</v>
      </c>
      <c r="U44" s="126">
        <v>298</v>
      </c>
      <c r="V44" s="138">
        <f t="shared" si="2"/>
        <v>2324.4</v>
      </c>
      <c r="W44" s="126">
        <v>1</v>
      </c>
      <c r="X44" s="126" t="s">
        <v>44</v>
      </c>
      <c r="Y44" s="126" t="s">
        <v>46</v>
      </c>
      <c r="Z44" s="126" t="s">
        <v>54</v>
      </c>
      <c r="AA44" s="126" t="s">
        <v>45</v>
      </c>
      <c r="AB44" s="126" t="s">
        <v>166</v>
      </c>
    </row>
    <row r="45" spans="1:28" s="126" customFormat="1" ht="13.5" customHeight="1">
      <c r="A45" s="126" t="s">
        <v>80</v>
      </c>
      <c r="B45" s="126" t="s">
        <v>184</v>
      </c>
      <c r="C45" s="126">
        <v>2020</v>
      </c>
      <c r="D45" s="151" t="s">
        <v>377</v>
      </c>
      <c r="E45" s="126" t="s">
        <v>308</v>
      </c>
      <c r="F45" s="126" t="s">
        <v>389</v>
      </c>
      <c r="G45" s="126" t="s">
        <v>39</v>
      </c>
      <c r="H45" s="126" t="s">
        <v>40</v>
      </c>
      <c r="I45" s="126" t="s">
        <v>41</v>
      </c>
      <c r="J45" s="126" t="s">
        <v>42</v>
      </c>
      <c r="K45" s="126" t="s">
        <v>43</v>
      </c>
      <c r="L45" s="126">
        <v>2</v>
      </c>
      <c r="M45" s="154"/>
      <c r="N45" s="126">
        <v>5</v>
      </c>
      <c r="O45" s="126">
        <v>0.7</v>
      </c>
      <c r="P45" s="126">
        <v>0.7</v>
      </c>
      <c r="Q45" s="138">
        <f t="shared" si="0"/>
        <v>0.7</v>
      </c>
      <c r="R45" s="126">
        <v>11.3</v>
      </c>
      <c r="S45" s="126">
        <v>79</v>
      </c>
      <c r="T45" s="138">
        <f t="shared" si="1"/>
        <v>39</v>
      </c>
      <c r="U45" s="126">
        <v>298</v>
      </c>
      <c r="V45" s="138">
        <f t="shared" si="2"/>
        <v>2324.4</v>
      </c>
      <c r="W45" s="126">
        <v>1</v>
      </c>
      <c r="X45" s="126" t="s">
        <v>44</v>
      </c>
      <c r="Y45" s="126" t="s">
        <v>46</v>
      </c>
      <c r="Z45" s="126" t="s">
        <v>54</v>
      </c>
      <c r="AA45" s="126" t="s">
        <v>45</v>
      </c>
      <c r="AB45" s="126" t="s">
        <v>166</v>
      </c>
    </row>
    <row r="46" spans="1:28" s="126" customFormat="1" ht="13.5" customHeight="1">
      <c r="A46" s="126" t="s">
        <v>80</v>
      </c>
      <c r="B46" s="126" t="s">
        <v>184</v>
      </c>
      <c r="C46" s="126">
        <v>2020</v>
      </c>
      <c r="D46" s="151" t="s">
        <v>377</v>
      </c>
      <c r="E46" s="126" t="s">
        <v>308</v>
      </c>
      <c r="F46" s="126" t="s">
        <v>389</v>
      </c>
      <c r="G46" s="126" t="s">
        <v>39</v>
      </c>
      <c r="H46" s="126" t="s">
        <v>40</v>
      </c>
      <c r="I46" s="126" t="s">
        <v>41</v>
      </c>
      <c r="J46" s="126" t="s">
        <v>42</v>
      </c>
      <c r="K46" s="126" t="s">
        <v>43</v>
      </c>
      <c r="L46" s="126">
        <v>3</v>
      </c>
      <c r="M46" s="154"/>
      <c r="N46" s="126">
        <v>5</v>
      </c>
      <c r="O46" s="126">
        <v>0.75</v>
      </c>
      <c r="P46" s="126">
        <v>0.85</v>
      </c>
      <c r="Q46" s="138">
        <f t="shared" si="0"/>
        <v>0.8</v>
      </c>
      <c r="R46" s="126">
        <v>12.8</v>
      </c>
      <c r="S46" s="126">
        <v>88</v>
      </c>
      <c r="T46" s="138">
        <f t="shared" si="1"/>
        <v>36</v>
      </c>
      <c r="U46" s="126">
        <v>298</v>
      </c>
      <c r="V46" s="138">
        <f t="shared" si="2"/>
        <v>2145.6</v>
      </c>
      <c r="W46" s="126">
        <v>1</v>
      </c>
      <c r="X46" s="126" t="s">
        <v>44</v>
      </c>
      <c r="Y46" s="126" t="s">
        <v>46</v>
      </c>
      <c r="Z46" s="126" t="s">
        <v>54</v>
      </c>
      <c r="AA46" s="126" t="s">
        <v>45</v>
      </c>
      <c r="AB46" s="126" t="s">
        <v>166</v>
      </c>
    </row>
    <row r="47" spans="1:28" s="126" customFormat="1" ht="13.5" customHeight="1">
      <c r="A47" s="126" t="s">
        <v>80</v>
      </c>
      <c r="B47" s="126" t="s">
        <v>184</v>
      </c>
      <c r="C47" s="126">
        <v>2020</v>
      </c>
      <c r="D47" s="151" t="s">
        <v>377</v>
      </c>
      <c r="E47" s="126" t="s">
        <v>308</v>
      </c>
      <c r="F47" s="126" t="s">
        <v>389</v>
      </c>
      <c r="G47" s="126" t="s">
        <v>39</v>
      </c>
      <c r="H47" s="126" t="s">
        <v>190</v>
      </c>
      <c r="I47" s="126" t="s">
        <v>41</v>
      </c>
      <c r="J47" s="126" t="s">
        <v>121</v>
      </c>
      <c r="K47" s="126" t="s">
        <v>122</v>
      </c>
      <c r="L47" s="126">
        <v>1</v>
      </c>
      <c r="M47" s="154"/>
      <c r="N47" s="126">
        <v>6</v>
      </c>
      <c r="O47" s="126">
        <v>0.65</v>
      </c>
      <c r="P47" s="126">
        <v>0.65</v>
      </c>
      <c r="Q47" s="138">
        <f t="shared" si="0"/>
        <v>0.65</v>
      </c>
      <c r="R47" s="126">
        <v>17.399999999999999</v>
      </c>
      <c r="S47" s="126">
        <v>71</v>
      </c>
      <c r="T47" s="138">
        <f t="shared" si="1"/>
        <v>42</v>
      </c>
      <c r="U47" s="126">
        <v>298</v>
      </c>
      <c r="V47" s="138">
        <f t="shared" si="2"/>
        <v>2086</v>
      </c>
      <c r="W47" s="126">
        <v>1</v>
      </c>
      <c r="X47" s="126" t="s">
        <v>44</v>
      </c>
      <c r="Y47" s="126" t="s">
        <v>46</v>
      </c>
      <c r="Z47" s="126" t="s">
        <v>54</v>
      </c>
      <c r="AA47" s="126" t="s">
        <v>45</v>
      </c>
      <c r="AB47" s="126" t="s">
        <v>166</v>
      </c>
    </row>
    <row r="48" spans="1:28" s="126" customFormat="1" ht="13.5" customHeight="1">
      <c r="A48" s="126" t="s">
        <v>80</v>
      </c>
      <c r="B48" s="126" t="s">
        <v>184</v>
      </c>
      <c r="C48" s="126">
        <v>2020</v>
      </c>
      <c r="D48" s="151" t="s">
        <v>377</v>
      </c>
      <c r="E48" s="126" t="s">
        <v>308</v>
      </c>
      <c r="F48" s="126" t="s">
        <v>389</v>
      </c>
      <c r="G48" s="126" t="s">
        <v>39</v>
      </c>
      <c r="H48" s="126" t="s">
        <v>190</v>
      </c>
      <c r="I48" s="126" t="s">
        <v>41</v>
      </c>
      <c r="J48" s="126" t="s">
        <v>121</v>
      </c>
      <c r="K48" s="126" t="s">
        <v>122</v>
      </c>
      <c r="L48" s="126">
        <v>2</v>
      </c>
      <c r="M48" s="154"/>
      <c r="N48" s="126">
        <v>6</v>
      </c>
      <c r="O48" s="126">
        <v>0.55000000000000004</v>
      </c>
      <c r="P48" s="126">
        <v>0.6</v>
      </c>
      <c r="Q48" s="138">
        <f t="shared" si="0"/>
        <v>0.57499999999999996</v>
      </c>
      <c r="R48" s="126">
        <v>18.3</v>
      </c>
      <c r="S48" s="126">
        <v>66</v>
      </c>
      <c r="T48" s="138">
        <f t="shared" si="1"/>
        <v>50</v>
      </c>
      <c r="U48" s="126">
        <v>298</v>
      </c>
      <c r="V48" s="138">
        <f t="shared" si="2"/>
        <v>2483.333333333333</v>
      </c>
      <c r="W48" s="126">
        <v>1</v>
      </c>
      <c r="X48" s="126" t="s">
        <v>44</v>
      </c>
      <c r="Y48" s="126" t="s">
        <v>46</v>
      </c>
      <c r="Z48" s="126" t="s">
        <v>54</v>
      </c>
      <c r="AA48" s="126" t="s">
        <v>45</v>
      </c>
      <c r="AB48" s="126" t="s">
        <v>166</v>
      </c>
    </row>
    <row r="49" spans="1:28" s="126" customFormat="1" ht="13.5" customHeight="1">
      <c r="A49" s="126" t="s">
        <v>80</v>
      </c>
      <c r="B49" s="126" t="s">
        <v>184</v>
      </c>
      <c r="C49" s="126">
        <v>2020</v>
      </c>
      <c r="D49" s="151" t="s">
        <v>377</v>
      </c>
      <c r="E49" s="126" t="s">
        <v>308</v>
      </c>
      <c r="F49" s="126" t="s">
        <v>389</v>
      </c>
      <c r="G49" s="126" t="s">
        <v>39</v>
      </c>
      <c r="H49" s="126" t="s">
        <v>190</v>
      </c>
      <c r="I49" s="126" t="s">
        <v>41</v>
      </c>
      <c r="J49" s="126" t="s">
        <v>121</v>
      </c>
      <c r="K49" s="126" t="s">
        <v>122</v>
      </c>
      <c r="L49" s="126">
        <v>3</v>
      </c>
      <c r="M49" s="154"/>
      <c r="N49" s="126">
        <v>6</v>
      </c>
      <c r="O49" s="126">
        <v>0.5</v>
      </c>
      <c r="P49" s="126">
        <v>0.5</v>
      </c>
      <c r="Q49" s="138">
        <f t="shared" si="0"/>
        <v>0.5</v>
      </c>
      <c r="R49" s="126">
        <v>17.100000000000001</v>
      </c>
      <c r="S49" s="126">
        <v>60</v>
      </c>
      <c r="T49" s="138">
        <f t="shared" si="1"/>
        <v>50</v>
      </c>
      <c r="U49" s="126">
        <v>298</v>
      </c>
      <c r="V49" s="138">
        <f t="shared" si="2"/>
        <v>2483.333333333333</v>
      </c>
      <c r="W49" s="126">
        <v>1</v>
      </c>
      <c r="X49" s="126" t="s">
        <v>44</v>
      </c>
      <c r="Y49" s="126" t="s">
        <v>46</v>
      </c>
      <c r="Z49" s="126" t="s">
        <v>54</v>
      </c>
      <c r="AA49" s="126" t="s">
        <v>45</v>
      </c>
      <c r="AB49" s="126" t="s">
        <v>166</v>
      </c>
    </row>
    <row r="50" spans="1:28" s="126" customFormat="1" ht="13.5" customHeight="1">
      <c r="A50" s="126" t="s">
        <v>80</v>
      </c>
      <c r="B50" s="126" t="s">
        <v>184</v>
      </c>
      <c r="C50" s="126">
        <v>2020</v>
      </c>
      <c r="D50" s="151" t="s">
        <v>377</v>
      </c>
      <c r="E50" s="126" t="s">
        <v>390</v>
      </c>
      <c r="F50" s="126" t="s">
        <v>389</v>
      </c>
      <c r="G50" s="126" t="s">
        <v>58</v>
      </c>
      <c r="H50" s="126" t="s">
        <v>188</v>
      </c>
      <c r="I50" s="126" t="s">
        <v>41</v>
      </c>
      <c r="J50" s="126" t="s">
        <v>85</v>
      </c>
      <c r="K50" s="126" t="s">
        <v>78</v>
      </c>
      <c r="L50" s="126">
        <v>1</v>
      </c>
      <c r="M50" s="154"/>
      <c r="N50" s="126">
        <v>1</v>
      </c>
      <c r="O50" s="126">
        <v>0.65</v>
      </c>
      <c r="P50" s="126">
        <v>0.8</v>
      </c>
      <c r="Q50" s="138">
        <f t="shared" si="0"/>
        <v>0.72500000000000009</v>
      </c>
      <c r="R50" s="126">
        <v>16.7</v>
      </c>
      <c r="S50" s="126">
        <v>131</v>
      </c>
      <c r="T50" s="138">
        <f t="shared" si="1"/>
        <v>25</v>
      </c>
      <c r="U50" s="126">
        <v>146</v>
      </c>
      <c r="V50" s="138">
        <f t="shared" si="2"/>
        <v>3650</v>
      </c>
      <c r="W50" s="126">
        <v>1</v>
      </c>
      <c r="X50" s="126" t="s">
        <v>44</v>
      </c>
      <c r="Y50" s="126" t="s">
        <v>46</v>
      </c>
      <c r="Z50" s="126" t="s">
        <v>54</v>
      </c>
      <c r="AA50" s="126" t="s">
        <v>45</v>
      </c>
      <c r="AB50" s="126" t="s">
        <v>166</v>
      </c>
    </row>
    <row r="51" spans="1:28" s="126" customFormat="1" ht="13.5" customHeight="1">
      <c r="A51" s="126" t="s">
        <v>80</v>
      </c>
      <c r="B51" s="126" t="s">
        <v>184</v>
      </c>
      <c r="C51" s="126">
        <v>2020</v>
      </c>
      <c r="D51" s="151" t="s">
        <v>377</v>
      </c>
      <c r="E51" s="126" t="s">
        <v>390</v>
      </c>
      <c r="F51" s="126" t="s">
        <v>389</v>
      </c>
      <c r="G51" s="126" t="s">
        <v>58</v>
      </c>
      <c r="H51" s="126" t="s">
        <v>188</v>
      </c>
      <c r="I51" s="126" t="s">
        <v>41</v>
      </c>
      <c r="J51" s="126" t="s">
        <v>85</v>
      </c>
      <c r="K51" s="126" t="s">
        <v>78</v>
      </c>
      <c r="L51" s="126">
        <v>2</v>
      </c>
      <c r="M51" s="154"/>
      <c r="N51" s="126">
        <v>1</v>
      </c>
      <c r="O51" s="126">
        <v>0.5</v>
      </c>
      <c r="P51" s="126">
        <v>0.5</v>
      </c>
      <c r="Q51" s="138">
        <f t="shared" si="0"/>
        <v>0.5</v>
      </c>
      <c r="R51" s="126">
        <v>14.2</v>
      </c>
      <c r="S51" s="126">
        <v>130</v>
      </c>
      <c r="T51" s="138">
        <f t="shared" si="1"/>
        <v>25</v>
      </c>
      <c r="U51" s="126">
        <v>146</v>
      </c>
      <c r="V51" s="138">
        <f t="shared" si="2"/>
        <v>3650</v>
      </c>
      <c r="W51" s="126">
        <v>1</v>
      </c>
      <c r="X51" s="126" t="s">
        <v>44</v>
      </c>
      <c r="Y51" s="126" t="s">
        <v>46</v>
      </c>
      <c r="Z51" s="126" t="s">
        <v>54</v>
      </c>
      <c r="AA51" s="126" t="s">
        <v>45</v>
      </c>
      <c r="AB51" s="126" t="s">
        <v>166</v>
      </c>
    </row>
    <row r="52" spans="1:28" s="126" customFormat="1" ht="13.5" customHeight="1">
      <c r="A52" s="126" t="s">
        <v>80</v>
      </c>
      <c r="B52" s="126" t="s">
        <v>184</v>
      </c>
      <c r="C52" s="126">
        <v>2020</v>
      </c>
      <c r="D52" s="151" t="s">
        <v>377</v>
      </c>
      <c r="E52" s="126" t="s">
        <v>390</v>
      </c>
      <c r="F52" s="126" t="s">
        <v>389</v>
      </c>
      <c r="G52" s="126" t="s">
        <v>58</v>
      </c>
      <c r="H52" s="126" t="s">
        <v>188</v>
      </c>
      <c r="I52" s="126" t="s">
        <v>41</v>
      </c>
      <c r="J52" s="126" t="s">
        <v>85</v>
      </c>
      <c r="K52" s="126" t="s">
        <v>78</v>
      </c>
      <c r="L52" s="126">
        <v>3</v>
      </c>
      <c r="M52" s="154"/>
      <c r="N52" s="126">
        <v>1</v>
      </c>
      <c r="O52" s="126">
        <v>0.5</v>
      </c>
      <c r="P52" s="126">
        <v>0.55000000000000004</v>
      </c>
      <c r="Q52" s="138">
        <f t="shared" si="0"/>
        <v>0.52500000000000002</v>
      </c>
      <c r="R52" s="126">
        <v>10.7</v>
      </c>
      <c r="S52" s="126">
        <v>129</v>
      </c>
      <c r="T52" s="138">
        <f t="shared" si="1"/>
        <v>25</v>
      </c>
      <c r="U52" s="126">
        <v>146</v>
      </c>
      <c r="V52" s="138">
        <f t="shared" si="2"/>
        <v>3650</v>
      </c>
      <c r="W52" s="126">
        <v>1</v>
      </c>
      <c r="X52" s="126" t="s">
        <v>44</v>
      </c>
      <c r="Y52" s="126" t="s">
        <v>46</v>
      </c>
      <c r="Z52" s="126" t="s">
        <v>54</v>
      </c>
      <c r="AA52" s="126" t="s">
        <v>45</v>
      </c>
      <c r="AB52" s="126" t="s">
        <v>166</v>
      </c>
    </row>
    <row r="53" spans="1:28" s="126" customFormat="1" ht="13.5" customHeight="1">
      <c r="A53" s="126" t="s">
        <v>80</v>
      </c>
      <c r="B53" s="126" t="s">
        <v>184</v>
      </c>
      <c r="C53" s="126">
        <v>2020</v>
      </c>
      <c r="D53" s="151" t="s">
        <v>377</v>
      </c>
      <c r="E53" s="126" t="s">
        <v>381</v>
      </c>
      <c r="F53" s="126" t="s">
        <v>382</v>
      </c>
      <c r="G53" s="126" t="s">
        <v>58</v>
      </c>
      <c r="H53" s="126" t="s">
        <v>40</v>
      </c>
      <c r="I53" s="126" t="s">
        <v>41</v>
      </c>
      <c r="J53" s="126" t="s">
        <v>42</v>
      </c>
      <c r="K53" s="126" t="s">
        <v>43</v>
      </c>
      <c r="L53" s="126">
        <v>1</v>
      </c>
      <c r="M53" s="154"/>
      <c r="N53" s="126">
        <v>8</v>
      </c>
      <c r="O53" s="126">
        <v>0.65</v>
      </c>
      <c r="P53" s="126">
        <v>0.7</v>
      </c>
      <c r="Q53" s="138">
        <f t="shared" si="0"/>
        <v>0.67500000000000004</v>
      </c>
      <c r="R53" s="126">
        <v>16.899999999999999</v>
      </c>
      <c r="S53" s="126">
        <v>83</v>
      </c>
      <c r="T53" s="138">
        <f t="shared" si="1"/>
        <v>39</v>
      </c>
      <c r="U53" s="126">
        <v>297</v>
      </c>
      <c r="V53" s="138">
        <f t="shared" si="2"/>
        <v>1447.875</v>
      </c>
      <c r="W53" s="126">
        <v>1</v>
      </c>
      <c r="X53" s="126" t="s">
        <v>44</v>
      </c>
      <c r="Y53" s="126" t="s">
        <v>46</v>
      </c>
      <c r="Z53" s="126" t="s">
        <v>45</v>
      </c>
      <c r="AA53" s="126" t="s">
        <v>54</v>
      </c>
      <c r="AB53" s="126" t="s">
        <v>166</v>
      </c>
    </row>
    <row r="54" spans="1:28" s="126" customFormat="1" ht="13.5" customHeight="1">
      <c r="A54" s="126" t="s">
        <v>80</v>
      </c>
      <c r="B54" s="126" t="s">
        <v>184</v>
      </c>
      <c r="C54" s="126">
        <v>2020</v>
      </c>
      <c r="D54" s="151" t="s">
        <v>377</v>
      </c>
      <c r="E54" s="126" t="s">
        <v>381</v>
      </c>
      <c r="F54" s="126" t="s">
        <v>382</v>
      </c>
      <c r="G54" s="126" t="s">
        <v>58</v>
      </c>
      <c r="H54" s="126" t="s">
        <v>40</v>
      </c>
      <c r="I54" s="126" t="s">
        <v>41</v>
      </c>
      <c r="J54" s="126" t="s">
        <v>42</v>
      </c>
      <c r="K54" s="126" t="s">
        <v>43</v>
      </c>
      <c r="L54" s="126">
        <v>2</v>
      </c>
      <c r="M54" s="154"/>
      <c r="N54" s="126">
        <v>8</v>
      </c>
      <c r="O54" s="126">
        <v>0.55000000000000004</v>
      </c>
      <c r="P54" s="126">
        <v>0.6</v>
      </c>
      <c r="Q54" s="138">
        <f t="shared" si="0"/>
        <v>0.57499999999999996</v>
      </c>
      <c r="R54" s="126">
        <v>15.1</v>
      </c>
      <c r="S54" s="126">
        <v>87</v>
      </c>
      <c r="T54" s="138">
        <f t="shared" si="1"/>
        <v>36</v>
      </c>
      <c r="U54" s="126">
        <v>297</v>
      </c>
      <c r="V54" s="138">
        <f t="shared" si="2"/>
        <v>1336.5</v>
      </c>
      <c r="W54" s="126">
        <v>1</v>
      </c>
      <c r="X54" s="126" t="s">
        <v>44</v>
      </c>
      <c r="Y54" s="126" t="s">
        <v>46</v>
      </c>
      <c r="Z54" s="126" t="s">
        <v>45</v>
      </c>
      <c r="AA54" s="126" t="s">
        <v>54</v>
      </c>
      <c r="AB54" s="126" t="s">
        <v>166</v>
      </c>
    </row>
    <row r="55" spans="1:28" s="126" customFormat="1" ht="13.5" customHeight="1">
      <c r="A55" s="126" t="s">
        <v>80</v>
      </c>
      <c r="B55" s="126" t="s">
        <v>184</v>
      </c>
      <c r="C55" s="126">
        <v>2020</v>
      </c>
      <c r="D55" s="151" t="s">
        <v>377</v>
      </c>
      <c r="E55" s="126" t="s">
        <v>381</v>
      </c>
      <c r="F55" s="126" t="s">
        <v>382</v>
      </c>
      <c r="G55" s="126" t="s">
        <v>58</v>
      </c>
      <c r="H55" s="126" t="s">
        <v>40</v>
      </c>
      <c r="I55" s="126" t="s">
        <v>41</v>
      </c>
      <c r="J55" s="126" t="s">
        <v>42</v>
      </c>
      <c r="K55" s="126" t="s">
        <v>43</v>
      </c>
      <c r="L55" s="126">
        <v>3</v>
      </c>
      <c r="M55" s="154"/>
      <c r="N55" s="126">
        <v>8</v>
      </c>
      <c r="O55" s="126">
        <v>0.5</v>
      </c>
      <c r="P55" s="126">
        <v>0.5</v>
      </c>
      <c r="Q55" s="138">
        <f t="shared" si="0"/>
        <v>0.5</v>
      </c>
      <c r="R55" s="126">
        <v>13.8</v>
      </c>
      <c r="S55" s="126">
        <v>86</v>
      </c>
      <c r="T55" s="138">
        <f t="shared" si="1"/>
        <v>36</v>
      </c>
      <c r="U55" s="126">
        <v>297</v>
      </c>
      <c r="V55" s="138">
        <f t="shared" si="2"/>
        <v>1336.5</v>
      </c>
      <c r="W55" s="126">
        <v>1</v>
      </c>
      <c r="X55" s="126" t="s">
        <v>44</v>
      </c>
      <c r="Y55" s="126" t="s">
        <v>46</v>
      </c>
      <c r="Z55" s="126" t="s">
        <v>45</v>
      </c>
      <c r="AA55" s="126" t="s">
        <v>54</v>
      </c>
      <c r="AB55" s="126" t="s">
        <v>166</v>
      </c>
    </row>
    <row r="56" spans="1:28" s="126" customFormat="1" ht="13.5" customHeight="1">
      <c r="A56" s="126" t="s">
        <v>80</v>
      </c>
      <c r="B56" s="126" t="s">
        <v>184</v>
      </c>
      <c r="C56" s="126">
        <v>2020</v>
      </c>
      <c r="D56" s="151" t="s">
        <v>377</v>
      </c>
      <c r="E56" s="126" t="s">
        <v>381</v>
      </c>
      <c r="F56" s="126" t="s">
        <v>382</v>
      </c>
      <c r="G56" s="126" t="s">
        <v>58</v>
      </c>
      <c r="H56" s="126" t="s">
        <v>190</v>
      </c>
      <c r="I56" s="126" t="s">
        <v>41</v>
      </c>
      <c r="J56" s="126" t="s">
        <v>121</v>
      </c>
      <c r="K56" s="126" t="s">
        <v>122</v>
      </c>
      <c r="L56" s="126">
        <v>1</v>
      </c>
      <c r="M56" s="154"/>
      <c r="N56" s="126">
        <v>4</v>
      </c>
      <c r="O56" s="126">
        <v>1.05</v>
      </c>
      <c r="P56" s="126">
        <v>1</v>
      </c>
      <c r="Q56" s="138">
        <f t="shared" si="0"/>
        <v>1.0249999999999999</v>
      </c>
      <c r="R56" s="126">
        <v>16.3</v>
      </c>
      <c r="S56" s="126">
        <v>90</v>
      </c>
      <c r="T56" s="138">
        <f t="shared" si="1"/>
        <v>36</v>
      </c>
      <c r="U56" s="126">
        <v>197</v>
      </c>
      <c r="V56" s="138">
        <f t="shared" si="2"/>
        <v>1773</v>
      </c>
      <c r="W56" s="126">
        <v>1</v>
      </c>
      <c r="X56" s="126" t="s">
        <v>44</v>
      </c>
      <c r="Y56" s="126" t="s">
        <v>46</v>
      </c>
      <c r="Z56" s="126" t="s">
        <v>45</v>
      </c>
      <c r="AA56" s="126" t="s">
        <v>54</v>
      </c>
      <c r="AB56" s="126" t="s">
        <v>166</v>
      </c>
    </row>
    <row r="57" spans="1:28" s="126" customFormat="1" ht="13.5" customHeight="1">
      <c r="A57" s="126" t="s">
        <v>80</v>
      </c>
      <c r="B57" s="126" t="s">
        <v>184</v>
      </c>
      <c r="C57" s="126">
        <v>2020</v>
      </c>
      <c r="D57" s="151" t="s">
        <v>377</v>
      </c>
      <c r="E57" s="126" t="s">
        <v>381</v>
      </c>
      <c r="F57" s="126" t="s">
        <v>382</v>
      </c>
      <c r="G57" s="126" t="s">
        <v>58</v>
      </c>
      <c r="H57" s="126" t="s">
        <v>190</v>
      </c>
      <c r="I57" s="126" t="s">
        <v>41</v>
      </c>
      <c r="J57" s="126" t="s">
        <v>121</v>
      </c>
      <c r="K57" s="126" t="s">
        <v>122</v>
      </c>
      <c r="L57" s="126">
        <v>2</v>
      </c>
      <c r="M57" s="154"/>
      <c r="N57" s="126">
        <v>4</v>
      </c>
      <c r="O57" s="126">
        <v>0.65</v>
      </c>
      <c r="P57" s="126">
        <v>0.65</v>
      </c>
      <c r="Q57" s="138">
        <f t="shared" si="0"/>
        <v>0.65</v>
      </c>
      <c r="R57" s="126">
        <v>17.100000000000001</v>
      </c>
      <c r="S57" s="126">
        <v>88</v>
      </c>
      <c r="T57" s="138">
        <f t="shared" si="1"/>
        <v>36</v>
      </c>
      <c r="U57" s="126">
        <v>197</v>
      </c>
      <c r="V57" s="138">
        <f t="shared" si="2"/>
        <v>1773</v>
      </c>
      <c r="W57" s="126">
        <v>1</v>
      </c>
      <c r="X57" s="126" t="s">
        <v>44</v>
      </c>
      <c r="Y57" s="126" t="s">
        <v>46</v>
      </c>
      <c r="Z57" s="126" t="s">
        <v>45</v>
      </c>
      <c r="AA57" s="126" t="s">
        <v>54</v>
      </c>
      <c r="AB57" s="126" t="s">
        <v>166</v>
      </c>
    </row>
    <row r="58" spans="1:28" s="126" customFormat="1" ht="13.5" customHeight="1">
      <c r="A58" s="126" t="s">
        <v>80</v>
      </c>
      <c r="B58" s="126" t="s">
        <v>184</v>
      </c>
      <c r="C58" s="126">
        <v>2020</v>
      </c>
      <c r="D58" s="151" t="s">
        <v>377</v>
      </c>
      <c r="E58" s="126" t="s">
        <v>381</v>
      </c>
      <c r="F58" s="126" t="s">
        <v>382</v>
      </c>
      <c r="G58" s="126" t="s">
        <v>58</v>
      </c>
      <c r="H58" s="126" t="s">
        <v>190</v>
      </c>
      <c r="I58" s="126" t="s">
        <v>41</v>
      </c>
      <c r="J58" s="126" t="s">
        <v>121</v>
      </c>
      <c r="K58" s="126" t="s">
        <v>122</v>
      </c>
      <c r="L58" s="126">
        <v>3</v>
      </c>
      <c r="M58" s="154"/>
      <c r="N58" s="126">
        <v>4</v>
      </c>
      <c r="O58" s="126">
        <v>0.7</v>
      </c>
      <c r="P58" s="126">
        <v>0.75</v>
      </c>
      <c r="Q58" s="138">
        <f t="shared" si="0"/>
        <v>0.72499999999999998</v>
      </c>
      <c r="R58" s="126">
        <v>16.5</v>
      </c>
      <c r="S58" s="126">
        <v>70</v>
      </c>
      <c r="T58" s="138">
        <f t="shared" si="1"/>
        <v>50</v>
      </c>
      <c r="U58" s="126">
        <v>197</v>
      </c>
      <c r="V58" s="138">
        <f t="shared" si="2"/>
        <v>2462.5</v>
      </c>
      <c r="W58" s="126">
        <v>1</v>
      </c>
      <c r="X58" s="126" t="s">
        <v>44</v>
      </c>
      <c r="Y58" s="126" t="s">
        <v>46</v>
      </c>
      <c r="Z58" s="126" t="s">
        <v>45</v>
      </c>
      <c r="AA58" s="126" t="s">
        <v>54</v>
      </c>
      <c r="AB58" s="126" t="s">
        <v>166</v>
      </c>
    </row>
    <row r="59" spans="1:28" s="126" customFormat="1" ht="13.5" customHeight="1">
      <c r="A59" s="126" t="s">
        <v>80</v>
      </c>
      <c r="B59" s="126" t="s">
        <v>184</v>
      </c>
      <c r="C59" s="126">
        <v>2020</v>
      </c>
      <c r="D59" s="151" t="s">
        <v>377</v>
      </c>
      <c r="E59" s="126" t="s">
        <v>381</v>
      </c>
      <c r="F59" s="126" t="s">
        <v>382</v>
      </c>
      <c r="G59" s="126" t="s">
        <v>58</v>
      </c>
      <c r="H59" s="126" t="s">
        <v>190</v>
      </c>
      <c r="I59" s="126" t="s">
        <v>41</v>
      </c>
      <c r="J59" s="126" t="s">
        <v>121</v>
      </c>
      <c r="K59" s="126" t="s">
        <v>122</v>
      </c>
      <c r="L59" s="126">
        <v>1</v>
      </c>
      <c r="M59" s="154"/>
      <c r="N59" s="126">
        <v>8</v>
      </c>
      <c r="O59" s="126">
        <v>0.55000000000000004</v>
      </c>
      <c r="P59" s="126">
        <v>0.6</v>
      </c>
      <c r="Q59" s="138">
        <f t="shared" si="0"/>
        <v>0.57499999999999996</v>
      </c>
      <c r="R59" s="126">
        <v>16.5</v>
      </c>
      <c r="S59" s="126">
        <v>65</v>
      </c>
      <c r="T59" s="138">
        <f t="shared" si="1"/>
        <v>50</v>
      </c>
      <c r="U59" s="126">
        <v>297</v>
      </c>
      <c r="V59" s="138">
        <f t="shared" si="2"/>
        <v>1856.25</v>
      </c>
      <c r="W59" s="126">
        <v>1</v>
      </c>
      <c r="X59" s="126" t="s">
        <v>44</v>
      </c>
      <c r="Y59" s="126" t="s">
        <v>46</v>
      </c>
      <c r="Z59" s="126" t="s">
        <v>45</v>
      </c>
      <c r="AA59" s="126" t="s">
        <v>54</v>
      </c>
      <c r="AB59" s="126" t="s">
        <v>166</v>
      </c>
    </row>
    <row r="60" spans="1:28" s="126" customFormat="1" ht="13.5" customHeight="1">
      <c r="A60" s="126" t="s">
        <v>80</v>
      </c>
      <c r="B60" s="126" t="s">
        <v>184</v>
      </c>
      <c r="C60" s="126">
        <v>2020</v>
      </c>
      <c r="D60" s="151" t="s">
        <v>377</v>
      </c>
      <c r="E60" s="126" t="s">
        <v>381</v>
      </c>
      <c r="F60" s="126" t="s">
        <v>382</v>
      </c>
      <c r="G60" s="126" t="s">
        <v>58</v>
      </c>
      <c r="H60" s="126" t="s">
        <v>190</v>
      </c>
      <c r="I60" s="126" t="s">
        <v>41</v>
      </c>
      <c r="J60" s="126" t="s">
        <v>121</v>
      </c>
      <c r="K60" s="126" t="s">
        <v>122</v>
      </c>
      <c r="L60" s="126">
        <v>2</v>
      </c>
      <c r="M60" s="154"/>
      <c r="N60" s="126">
        <v>8</v>
      </c>
      <c r="O60" s="126">
        <v>0.6</v>
      </c>
      <c r="P60" s="126">
        <v>0.55000000000000004</v>
      </c>
      <c r="Q60" s="138">
        <f t="shared" si="0"/>
        <v>0.57499999999999996</v>
      </c>
      <c r="R60" s="126">
        <v>15.9</v>
      </c>
      <c r="S60" s="126">
        <v>61</v>
      </c>
      <c r="T60" s="138">
        <f t="shared" si="1"/>
        <v>50</v>
      </c>
      <c r="U60" s="126">
        <v>297</v>
      </c>
      <c r="V60" s="138">
        <f t="shared" si="2"/>
        <v>1856.25</v>
      </c>
      <c r="W60" s="126">
        <v>1</v>
      </c>
      <c r="X60" s="126" t="s">
        <v>44</v>
      </c>
      <c r="Y60" s="126" t="s">
        <v>46</v>
      </c>
      <c r="Z60" s="126" t="s">
        <v>45</v>
      </c>
      <c r="AA60" s="126" t="s">
        <v>54</v>
      </c>
      <c r="AB60" s="126" t="s">
        <v>166</v>
      </c>
    </row>
    <row r="61" spans="1:28" s="126" customFormat="1" ht="13.5" customHeight="1">
      <c r="A61" s="126" t="s">
        <v>80</v>
      </c>
      <c r="B61" s="126" t="s">
        <v>184</v>
      </c>
      <c r="C61" s="126">
        <v>2020</v>
      </c>
      <c r="D61" s="151" t="s">
        <v>377</v>
      </c>
      <c r="E61" s="126" t="s">
        <v>381</v>
      </c>
      <c r="F61" s="126" t="s">
        <v>382</v>
      </c>
      <c r="G61" s="126" t="s">
        <v>58</v>
      </c>
      <c r="H61" s="126" t="s">
        <v>190</v>
      </c>
      <c r="I61" s="126" t="s">
        <v>41</v>
      </c>
      <c r="J61" s="126" t="s">
        <v>121</v>
      </c>
      <c r="K61" s="126" t="s">
        <v>122</v>
      </c>
      <c r="L61" s="126">
        <v>3</v>
      </c>
      <c r="M61" s="154"/>
      <c r="N61" s="126">
        <v>8</v>
      </c>
      <c r="O61" s="126">
        <v>0.6</v>
      </c>
      <c r="P61" s="126">
        <v>0.55000000000000004</v>
      </c>
      <c r="Q61" s="138">
        <f t="shared" si="0"/>
        <v>0.57499999999999996</v>
      </c>
      <c r="R61" s="126">
        <v>16.100000000000001</v>
      </c>
      <c r="S61" s="126">
        <v>66</v>
      </c>
      <c r="T61" s="138">
        <f t="shared" si="1"/>
        <v>50</v>
      </c>
      <c r="U61" s="126">
        <v>297</v>
      </c>
      <c r="V61" s="138">
        <f t="shared" si="2"/>
        <v>1856.25</v>
      </c>
      <c r="W61" s="126">
        <v>1</v>
      </c>
      <c r="X61" s="126" t="s">
        <v>44</v>
      </c>
      <c r="Y61" s="126" t="s">
        <v>46</v>
      </c>
      <c r="Z61" s="126" t="s">
        <v>45</v>
      </c>
      <c r="AA61" s="126" t="s">
        <v>54</v>
      </c>
      <c r="AB61" s="126" t="s">
        <v>166</v>
      </c>
    </row>
    <row r="62" spans="1:28" s="126" customFormat="1" ht="13.5" customHeight="1">
      <c r="A62" s="126" t="s">
        <v>80</v>
      </c>
      <c r="B62" s="126" t="s">
        <v>184</v>
      </c>
      <c r="C62" s="126">
        <v>2020</v>
      </c>
      <c r="D62" s="151" t="s">
        <v>377</v>
      </c>
      <c r="E62" s="126" t="s">
        <v>383</v>
      </c>
      <c r="F62" s="126" t="s">
        <v>379</v>
      </c>
      <c r="G62" s="126" t="s">
        <v>39</v>
      </c>
      <c r="H62" s="126" t="s">
        <v>40</v>
      </c>
      <c r="I62" s="126" t="s">
        <v>41</v>
      </c>
      <c r="J62" s="126" t="s">
        <v>42</v>
      </c>
      <c r="K62" s="126" t="s">
        <v>43</v>
      </c>
      <c r="L62" s="126">
        <v>1</v>
      </c>
      <c r="M62" s="154"/>
      <c r="N62" s="126">
        <v>1</v>
      </c>
      <c r="O62" s="126">
        <v>0.5</v>
      </c>
      <c r="P62" s="126">
        <v>0.5</v>
      </c>
      <c r="Q62" s="138">
        <f t="shared" si="0"/>
        <v>0.5</v>
      </c>
      <c r="R62" s="126">
        <v>13.9</v>
      </c>
      <c r="S62" s="126">
        <v>114</v>
      </c>
      <c r="T62" s="138">
        <f t="shared" si="1"/>
        <v>30</v>
      </c>
      <c r="U62" s="126">
        <v>98</v>
      </c>
      <c r="V62" s="138">
        <f t="shared" si="2"/>
        <v>2940</v>
      </c>
      <c r="W62" s="126">
        <v>4</v>
      </c>
      <c r="X62" s="126" t="s">
        <v>63</v>
      </c>
      <c r="Y62" s="126" t="s">
        <v>46</v>
      </c>
      <c r="Z62" s="126" t="s">
        <v>45</v>
      </c>
      <c r="AA62" s="126" t="s">
        <v>54</v>
      </c>
      <c r="AB62" s="126" t="s">
        <v>166</v>
      </c>
    </row>
    <row r="63" spans="1:28" s="126" customFormat="1" ht="13.5" customHeight="1">
      <c r="A63" s="126" t="s">
        <v>80</v>
      </c>
      <c r="B63" s="126" t="s">
        <v>184</v>
      </c>
      <c r="C63" s="126">
        <v>2020</v>
      </c>
      <c r="D63" s="151" t="s">
        <v>377</v>
      </c>
      <c r="E63" s="126" t="s">
        <v>383</v>
      </c>
      <c r="F63" s="126" t="s">
        <v>379</v>
      </c>
      <c r="G63" s="126" t="s">
        <v>39</v>
      </c>
      <c r="H63" s="126" t="s">
        <v>40</v>
      </c>
      <c r="I63" s="126" t="s">
        <v>41</v>
      </c>
      <c r="J63" s="126" t="s">
        <v>42</v>
      </c>
      <c r="K63" s="126" t="s">
        <v>43</v>
      </c>
      <c r="L63" s="126">
        <v>2</v>
      </c>
      <c r="M63" s="154"/>
      <c r="N63" s="126">
        <v>1</v>
      </c>
      <c r="O63" s="126">
        <v>0.5</v>
      </c>
      <c r="P63" s="126">
        <v>0.5</v>
      </c>
      <c r="Q63" s="138">
        <f t="shared" si="0"/>
        <v>0.5</v>
      </c>
      <c r="R63" s="126">
        <v>15.5</v>
      </c>
      <c r="S63" s="126">
        <v>118</v>
      </c>
      <c r="T63" s="138">
        <f t="shared" si="1"/>
        <v>30</v>
      </c>
      <c r="U63" s="126">
        <v>98</v>
      </c>
      <c r="V63" s="138">
        <f t="shared" si="2"/>
        <v>2940</v>
      </c>
      <c r="W63" s="126">
        <v>4</v>
      </c>
      <c r="X63" s="126" t="s">
        <v>63</v>
      </c>
      <c r="Y63" s="126" t="s">
        <v>46</v>
      </c>
      <c r="Z63" s="126" t="s">
        <v>45</v>
      </c>
      <c r="AA63" s="126" t="s">
        <v>54</v>
      </c>
      <c r="AB63" s="126" t="s">
        <v>166</v>
      </c>
    </row>
    <row r="64" spans="1:28" s="126" customFormat="1" ht="13.5" customHeight="1">
      <c r="A64" s="126" t="s">
        <v>80</v>
      </c>
      <c r="B64" s="126" t="s">
        <v>184</v>
      </c>
      <c r="C64" s="126">
        <v>2020</v>
      </c>
      <c r="D64" s="151" t="s">
        <v>377</v>
      </c>
      <c r="E64" s="126" t="s">
        <v>383</v>
      </c>
      <c r="F64" s="126" t="s">
        <v>379</v>
      </c>
      <c r="G64" s="126" t="s">
        <v>39</v>
      </c>
      <c r="H64" s="126" t="s">
        <v>40</v>
      </c>
      <c r="I64" s="126" t="s">
        <v>41</v>
      </c>
      <c r="J64" s="126" t="s">
        <v>42</v>
      </c>
      <c r="K64" s="126" t="s">
        <v>43</v>
      </c>
      <c r="L64" s="126">
        <v>3</v>
      </c>
      <c r="M64" s="154"/>
      <c r="N64" s="126">
        <v>1</v>
      </c>
      <c r="O64" s="126">
        <v>0.5</v>
      </c>
      <c r="P64" s="126">
        <v>0.5</v>
      </c>
      <c r="Q64" s="138">
        <f t="shared" si="0"/>
        <v>0.5</v>
      </c>
      <c r="R64" s="126">
        <v>15.7</v>
      </c>
      <c r="S64" s="126">
        <v>115</v>
      </c>
      <c r="T64" s="138">
        <f t="shared" si="1"/>
        <v>30</v>
      </c>
      <c r="U64" s="126">
        <v>98</v>
      </c>
      <c r="V64" s="138">
        <f t="shared" si="2"/>
        <v>2940</v>
      </c>
      <c r="W64" s="126">
        <v>4</v>
      </c>
      <c r="X64" s="126" t="s">
        <v>63</v>
      </c>
      <c r="Y64" s="126" t="s">
        <v>46</v>
      </c>
      <c r="Z64" s="126" t="s">
        <v>45</v>
      </c>
      <c r="AA64" s="126" t="s">
        <v>54</v>
      </c>
      <c r="AB64" s="126" t="s">
        <v>166</v>
      </c>
    </row>
    <row r="65" spans="1:28" s="126" customFormat="1" ht="13.5" customHeight="1">
      <c r="A65" s="126" t="s">
        <v>80</v>
      </c>
      <c r="B65" s="126" t="s">
        <v>184</v>
      </c>
      <c r="C65" s="126">
        <v>2020</v>
      </c>
      <c r="D65" s="151" t="s">
        <v>377</v>
      </c>
      <c r="E65" s="126" t="s">
        <v>388</v>
      </c>
      <c r="F65" s="126" t="s">
        <v>379</v>
      </c>
      <c r="G65" s="126" t="s">
        <v>39</v>
      </c>
      <c r="H65" s="126" t="s">
        <v>40</v>
      </c>
      <c r="I65" s="126" t="s">
        <v>41</v>
      </c>
      <c r="J65" s="126" t="s">
        <v>42</v>
      </c>
      <c r="K65" s="126" t="s">
        <v>43</v>
      </c>
      <c r="L65" s="126">
        <v>1</v>
      </c>
      <c r="M65" s="154"/>
      <c r="N65" s="126">
        <v>5</v>
      </c>
      <c r="O65" s="126">
        <v>0.5</v>
      </c>
      <c r="P65" s="126">
        <v>0.5</v>
      </c>
      <c r="Q65" s="138">
        <f t="shared" si="0"/>
        <v>0.5</v>
      </c>
      <c r="R65" s="126">
        <v>14.8</v>
      </c>
      <c r="S65" s="126">
        <v>97</v>
      </c>
      <c r="T65" s="138">
        <f t="shared" si="1"/>
        <v>36</v>
      </c>
      <c r="U65" s="126">
        <v>398</v>
      </c>
      <c r="V65" s="138">
        <f t="shared" si="2"/>
        <v>2865.6</v>
      </c>
      <c r="W65" s="126">
        <v>4</v>
      </c>
      <c r="X65" s="126" t="s">
        <v>63</v>
      </c>
      <c r="Y65" s="126" t="s">
        <v>46</v>
      </c>
      <c r="Z65" s="126" t="s">
        <v>54</v>
      </c>
      <c r="AA65" s="126" t="s">
        <v>45</v>
      </c>
      <c r="AB65" s="126" t="s">
        <v>166</v>
      </c>
    </row>
    <row r="66" spans="1:28" s="126" customFormat="1" ht="13.5" customHeight="1">
      <c r="A66" s="126" t="s">
        <v>80</v>
      </c>
      <c r="B66" s="126" t="s">
        <v>184</v>
      </c>
      <c r="C66" s="126">
        <v>2020</v>
      </c>
      <c r="D66" s="151" t="s">
        <v>377</v>
      </c>
      <c r="E66" s="126" t="s">
        <v>388</v>
      </c>
      <c r="F66" s="126" t="s">
        <v>379</v>
      </c>
      <c r="G66" s="126" t="s">
        <v>39</v>
      </c>
      <c r="H66" s="126" t="s">
        <v>40</v>
      </c>
      <c r="I66" s="126" t="s">
        <v>41</v>
      </c>
      <c r="J66" s="126" t="s">
        <v>42</v>
      </c>
      <c r="K66" s="126" t="s">
        <v>43</v>
      </c>
      <c r="L66" s="126">
        <v>2</v>
      </c>
      <c r="M66" s="154"/>
      <c r="N66" s="126">
        <v>5</v>
      </c>
      <c r="O66" s="126">
        <v>0.7</v>
      </c>
      <c r="P66" s="126">
        <v>0.75</v>
      </c>
      <c r="Q66" s="138">
        <f t="shared" ref="Q66:Q97" si="3">IF(OR(O66="",P66=""),"",AVERAGE(O66,P66))</f>
        <v>0.72499999999999998</v>
      </c>
      <c r="R66" s="126">
        <v>14.4</v>
      </c>
      <c r="S66" s="126">
        <v>100</v>
      </c>
      <c r="T66" s="138">
        <f t="shared" ref="T66:T73" si="4">IF(H66="","",IF(OR(H66="GREEN",H66="GK"),IF(S66&gt;=$AX$2,VLOOKUP(S66,$AX$2:$AY$10,2,1),""),IF(S66&gt;=$AZ$2,VLOOKUP(S66,$AZ$2:$BA$10,2,1),"")))</f>
        <v>33</v>
      </c>
      <c r="U66" s="126">
        <v>398</v>
      </c>
      <c r="V66" s="138">
        <f t="shared" ref="V66:V97" si="5">IF(OR(N66="",U66="",T66=""),"",U66/N66*T66)</f>
        <v>2626.7999999999997</v>
      </c>
      <c r="W66" s="126">
        <v>4</v>
      </c>
      <c r="X66" s="126" t="s">
        <v>63</v>
      </c>
      <c r="Y66" s="126" t="s">
        <v>46</v>
      </c>
      <c r="Z66" s="126" t="s">
        <v>54</v>
      </c>
      <c r="AA66" s="126" t="s">
        <v>45</v>
      </c>
      <c r="AB66" s="126" t="s">
        <v>166</v>
      </c>
    </row>
    <row r="67" spans="1:28" s="126" customFormat="1" ht="13.5" customHeight="1">
      <c r="A67" s="126" t="s">
        <v>80</v>
      </c>
      <c r="B67" s="126" t="s">
        <v>184</v>
      </c>
      <c r="C67" s="126">
        <v>2020</v>
      </c>
      <c r="D67" s="151" t="s">
        <v>377</v>
      </c>
      <c r="E67" s="126" t="s">
        <v>388</v>
      </c>
      <c r="F67" s="126" t="s">
        <v>379</v>
      </c>
      <c r="G67" s="126" t="s">
        <v>39</v>
      </c>
      <c r="H67" s="126" t="s">
        <v>40</v>
      </c>
      <c r="I67" s="126" t="s">
        <v>41</v>
      </c>
      <c r="J67" s="126" t="s">
        <v>42</v>
      </c>
      <c r="K67" s="126" t="s">
        <v>43</v>
      </c>
      <c r="L67" s="126">
        <v>3</v>
      </c>
      <c r="M67" s="154"/>
      <c r="N67" s="126">
        <v>5</v>
      </c>
      <c r="O67" s="126">
        <v>0.5</v>
      </c>
      <c r="P67" s="126">
        <v>0.5</v>
      </c>
      <c r="Q67" s="138">
        <f t="shared" si="3"/>
        <v>0.5</v>
      </c>
      <c r="R67" s="126">
        <v>14.8</v>
      </c>
      <c r="S67" s="126">
        <v>101</v>
      </c>
      <c r="T67" s="138">
        <f t="shared" si="4"/>
        <v>33</v>
      </c>
      <c r="U67" s="126">
        <v>398</v>
      </c>
      <c r="V67" s="138">
        <f t="shared" si="5"/>
        <v>2626.7999999999997</v>
      </c>
      <c r="W67" s="126">
        <v>4</v>
      </c>
      <c r="X67" s="126" t="s">
        <v>63</v>
      </c>
      <c r="Y67" s="126" t="s">
        <v>46</v>
      </c>
      <c r="Z67" s="126" t="s">
        <v>54</v>
      </c>
      <c r="AA67" s="126" t="s">
        <v>45</v>
      </c>
      <c r="AB67" s="126" t="s">
        <v>166</v>
      </c>
    </row>
    <row r="68" spans="1:28" s="126" customFormat="1" ht="13.5" customHeight="1">
      <c r="A68" s="126" t="s">
        <v>80</v>
      </c>
      <c r="B68" s="126" t="s">
        <v>184</v>
      </c>
      <c r="C68" s="126">
        <v>2020</v>
      </c>
      <c r="D68" s="151" t="s">
        <v>377</v>
      </c>
      <c r="E68" s="126" t="s">
        <v>388</v>
      </c>
      <c r="F68" s="126" t="s">
        <v>379</v>
      </c>
      <c r="G68" s="126" t="s">
        <v>39</v>
      </c>
      <c r="H68" s="126" t="s">
        <v>156</v>
      </c>
      <c r="I68" s="126" t="s">
        <v>41</v>
      </c>
      <c r="J68" s="126" t="s">
        <v>42</v>
      </c>
      <c r="K68" s="126" t="s">
        <v>217</v>
      </c>
      <c r="L68" s="126">
        <v>1</v>
      </c>
      <c r="M68" s="154"/>
      <c r="N68" s="126">
        <v>1</v>
      </c>
      <c r="O68" s="126">
        <v>0.6</v>
      </c>
      <c r="P68" s="126">
        <v>0.55000000000000004</v>
      </c>
      <c r="Q68" s="138">
        <f t="shared" si="3"/>
        <v>0.57499999999999996</v>
      </c>
      <c r="R68" s="126">
        <v>16.100000000000001</v>
      </c>
      <c r="S68" s="126">
        <v>130</v>
      </c>
      <c r="T68" s="138">
        <f t="shared" si="4"/>
        <v>27</v>
      </c>
      <c r="U68" s="126">
        <v>258</v>
      </c>
      <c r="V68" s="138">
        <f t="shared" si="5"/>
        <v>6966</v>
      </c>
      <c r="W68" s="126">
        <v>1</v>
      </c>
      <c r="X68" s="126" t="s">
        <v>63</v>
      </c>
      <c r="Y68" s="126" t="s">
        <v>46</v>
      </c>
      <c r="Z68" s="126" t="s">
        <v>54</v>
      </c>
      <c r="AA68" s="126" t="s">
        <v>45</v>
      </c>
      <c r="AB68" s="126" t="s">
        <v>166</v>
      </c>
    </row>
    <row r="69" spans="1:28" s="126" customFormat="1" ht="13.5" customHeight="1">
      <c r="A69" s="126" t="s">
        <v>80</v>
      </c>
      <c r="B69" s="126" t="s">
        <v>184</v>
      </c>
      <c r="C69" s="126">
        <v>2020</v>
      </c>
      <c r="D69" s="151" t="s">
        <v>377</v>
      </c>
      <c r="E69" s="126" t="s">
        <v>388</v>
      </c>
      <c r="F69" s="126" t="s">
        <v>379</v>
      </c>
      <c r="G69" s="126" t="s">
        <v>39</v>
      </c>
      <c r="H69" s="126" t="s">
        <v>156</v>
      </c>
      <c r="I69" s="126" t="s">
        <v>41</v>
      </c>
      <c r="J69" s="126" t="s">
        <v>42</v>
      </c>
      <c r="K69" s="126" t="s">
        <v>217</v>
      </c>
      <c r="L69" s="126">
        <v>2</v>
      </c>
      <c r="M69" s="154"/>
      <c r="N69" s="126">
        <v>1</v>
      </c>
      <c r="O69" s="126">
        <v>0.55000000000000004</v>
      </c>
      <c r="P69" s="126">
        <v>0.6</v>
      </c>
      <c r="Q69" s="138">
        <f t="shared" si="3"/>
        <v>0.57499999999999996</v>
      </c>
      <c r="R69" s="126">
        <v>16.3</v>
      </c>
      <c r="S69" s="126">
        <v>128</v>
      </c>
      <c r="T69" s="138">
        <f t="shared" si="4"/>
        <v>27</v>
      </c>
      <c r="U69" s="126">
        <v>258</v>
      </c>
      <c r="V69" s="138">
        <f t="shared" si="5"/>
        <v>6966</v>
      </c>
      <c r="W69" s="126">
        <v>1</v>
      </c>
      <c r="X69" s="126" t="s">
        <v>63</v>
      </c>
      <c r="Y69" s="126" t="s">
        <v>46</v>
      </c>
      <c r="Z69" s="126" t="s">
        <v>54</v>
      </c>
      <c r="AA69" s="126" t="s">
        <v>45</v>
      </c>
      <c r="AB69" s="126" t="s">
        <v>166</v>
      </c>
    </row>
    <row r="70" spans="1:28" s="126" customFormat="1" ht="13.5" customHeight="1">
      <c r="A70" s="126" t="s">
        <v>80</v>
      </c>
      <c r="B70" s="126" t="s">
        <v>184</v>
      </c>
      <c r="C70" s="126">
        <v>2020</v>
      </c>
      <c r="D70" s="151" t="s">
        <v>377</v>
      </c>
      <c r="E70" s="126" t="s">
        <v>388</v>
      </c>
      <c r="F70" s="126" t="s">
        <v>379</v>
      </c>
      <c r="G70" s="126" t="s">
        <v>39</v>
      </c>
      <c r="H70" s="126" t="s">
        <v>156</v>
      </c>
      <c r="I70" s="126" t="s">
        <v>41</v>
      </c>
      <c r="J70" s="126" t="s">
        <v>42</v>
      </c>
      <c r="K70" s="126" t="s">
        <v>217</v>
      </c>
      <c r="L70" s="126">
        <v>3</v>
      </c>
      <c r="M70" s="154"/>
      <c r="N70" s="126">
        <v>1</v>
      </c>
      <c r="O70" s="126">
        <v>0.55000000000000004</v>
      </c>
      <c r="P70" s="126">
        <v>0.55000000000000004</v>
      </c>
      <c r="Q70" s="138">
        <f t="shared" si="3"/>
        <v>0.55000000000000004</v>
      </c>
      <c r="R70" s="126">
        <v>14.8</v>
      </c>
      <c r="S70" s="126">
        <v>132</v>
      </c>
      <c r="T70" s="138">
        <f t="shared" si="4"/>
        <v>27</v>
      </c>
      <c r="U70" s="126">
        <v>258</v>
      </c>
      <c r="V70" s="138">
        <f t="shared" si="5"/>
        <v>6966</v>
      </c>
      <c r="W70" s="126">
        <v>1</v>
      </c>
      <c r="X70" s="126" t="s">
        <v>63</v>
      </c>
      <c r="Y70" s="126" t="s">
        <v>46</v>
      </c>
      <c r="Z70" s="126" t="s">
        <v>54</v>
      </c>
      <c r="AA70" s="126" t="s">
        <v>45</v>
      </c>
      <c r="AB70" s="126" t="s">
        <v>166</v>
      </c>
    </row>
    <row r="71" spans="1:28" s="126" customFormat="1" ht="13.5" customHeight="1">
      <c r="A71" s="126" t="s">
        <v>80</v>
      </c>
      <c r="B71" s="126" t="s">
        <v>184</v>
      </c>
      <c r="C71" s="126">
        <v>2020</v>
      </c>
      <c r="D71" s="151" t="s">
        <v>377</v>
      </c>
      <c r="E71" s="126" t="s">
        <v>388</v>
      </c>
      <c r="F71" s="126" t="s">
        <v>379</v>
      </c>
      <c r="G71" s="126" t="s">
        <v>39</v>
      </c>
      <c r="H71" s="126" t="s">
        <v>156</v>
      </c>
      <c r="I71" s="126" t="s">
        <v>41</v>
      </c>
      <c r="J71" s="126" t="s">
        <v>42</v>
      </c>
      <c r="K71" s="126" t="s">
        <v>217</v>
      </c>
      <c r="L71" s="126">
        <v>1</v>
      </c>
      <c r="M71" s="154"/>
      <c r="N71" s="126">
        <v>5</v>
      </c>
      <c r="O71" s="126">
        <v>0.6</v>
      </c>
      <c r="P71" s="126">
        <v>0.6</v>
      </c>
      <c r="Q71" s="138">
        <f t="shared" si="3"/>
        <v>0.6</v>
      </c>
      <c r="R71" s="126">
        <v>14.9</v>
      </c>
      <c r="S71" s="126">
        <v>88</v>
      </c>
      <c r="T71" s="138">
        <f t="shared" si="4"/>
        <v>39</v>
      </c>
      <c r="U71" s="126">
        <v>598</v>
      </c>
      <c r="V71" s="138">
        <f t="shared" si="5"/>
        <v>4664.3999999999996</v>
      </c>
      <c r="W71" s="126">
        <v>4</v>
      </c>
      <c r="X71" s="126" t="s">
        <v>63</v>
      </c>
      <c r="Y71" s="126" t="s">
        <v>46</v>
      </c>
      <c r="Z71" s="126" t="s">
        <v>54</v>
      </c>
      <c r="AA71" s="126" t="s">
        <v>45</v>
      </c>
      <c r="AB71" s="126" t="s">
        <v>166</v>
      </c>
    </row>
    <row r="72" spans="1:28" s="126" customFormat="1" ht="13.5" customHeight="1">
      <c r="A72" s="126" t="s">
        <v>80</v>
      </c>
      <c r="B72" s="126" t="s">
        <v>184</v>
      </c>
      <c r="C72" s="126">
        <v>2020</v>
      </c>
      <c r="D72" s="151" t="s">
        <v>377</v>
      </c>
      <c r="E72" s="126" t="s">
        <v>388</v>
      </c>
      <c r="F72" s="126" t="s">
        <v>379</v>
      </c>
      <c r="G72" s="126" t="s">
        <v>39</v>
      </c>
      <c r="H72" s="126" t="s">
        <v>156</v>
      </c>
      <c r="I72" s="126" t="s">
        <v>41</v>
      </c>
      <c r="J72" s="126" t="s">
        <v>42</v>
      </c>
      <c r="K72" s="126" t="s">
        <v>217</v>
      </c>
      <c r="L72" s="126">
        <v>2</v>
      </c>
      <c r="M72" s="154"/>
      <c r="N72" s="126">
        <v>5</v>
      </c>
      <c r="O72" s="126">
        <v>0.55000000000000004</v>
      </c>
      <c r="P72" s="126">
        <v>0.6</v>
      </c>
      <c r="Q72" s="138">
        <f t="shared" si="3"/>
        <v>0.57499999999999996</v>
      </c>
      <c r="R72" s="126">
        <v>14.4</v>
      </c>
      <c r="S72" s="126">
        <v>83</v>
      </c>
      <c r="T72" s="138">
        <f t="shared" si="4"/>
        <v>42</v>
      </c>
      <c r="U72" s="126">
        <v>598</v>
      </c>
      <c r="V72" s="138">
        <f t="shared" si="5"/>
        <v>5023.2</v>
      </c>
      <c r="W72" s="126">
        <v>4</v>
      </c>
      <c r="X72" s="126" t="s">
        <v>63</v>
      </c>
      <c r="Y72" s="126" t="s">
        <v>46</v>
      </c>
      <c r="Z72" s="126" t="s">
        <v>54</v>
      </c>
      <c r="AA72" s="126" t="s">
        <v>45</v>
      </c>
      <c r="AB72" s="126" t="s">
        <v>166</v>
      </c>
    </row>
    <row r="73" spans="1:28" s="126" customFormat="1" ht="13.5" customHeight="1">
      <c r="A73" s="126" t="s">
        <v>80</v>
      </c>
      <c r="B73" s="126" t="s">
        <v>184</v>
      </c>
      <c r="C73" s="126">
        <v>2020</v>
      </c>
      <c r="D73" s="151" t="s">
        <v>377</v>
      </c>
      <c r="E73" s="126" t="s">
        <v>388</v>
      </c>
      <c r="F73" s="126" t="s">
        <v>379</v>
      </c>
      <c r="G73" s="126" t="s">
        <v>39</v>
      </c>
      <c r="H73" s="126" t="s">
        <v>156</v>
      </c>
      <c r="I73" s="126" t="s">
        <v>41</v>
      </c>
      <c r="J73" s="126" t="s">
        <v>42</v>
      </c>
      <c r="K73" s="126" t="s">
        <v>217</v>
      </c>
      <c r="L73" s="126">
        <v>3</v>
      </c>
      <c r="M73" s="154"/>
      <c r="N73" s="126">
        <v>5</v>
      </c>
      <c r="O73" s="126">
        <v>0.6</v>
      </c>
      <c r="P73" s="126">
        <v>0.55000000000000004</v>
      </c>
      <c r="Q73" s="138">
        <f t="shared" si="3"/>
        <v>0.57499999999999996</v>
      </c>
      <c r="R73" s="126">
        <v>15.1</v>
      </c>
      <c r="S73" s="126">
        <v>77</v>
      </c>
      <c r="T73" s="138">
        <f t="shared" si="4"/>
        <v>42</v>
      </c>
      <c r="U73" s="126">
        <v>598</v>
      </c>
      <c r="V73" s="138">
        <f t="shared" si="5"/>
        <v>5023.2</v>
      </c>
      <c r="W73" s="126">
        <v>4</v>
      </c>
      <c r="X73" s="126" t="s">
        <v>63</v>
      </c>
      <c r="Y73" s="126" t="s">
        <v>46</v>
      </c>
      <c r="Z73" s="126" t="s">
        <v>54</v>
      </c>
      <c r="AA73" s="126" t="s">
        <v>45</v>
      </c>
      <c r="AB73" s="126" t="s">
        <v>166</v>
      </c>
    </row>
    <row r="74" spans="1:28" ht="18.75">
      <c r="D74" s="79"/>
      <c r="M74" s="80"/>
    </row>
    <row r="75" spans="1:28" ht="18.75">
      <c r="D75" s="79"/>
      <c r="M75" s="80"/>
    </row>
    <row r="76" spans="1:28" ht="18.75">
      <c r="D76" s="79"/>
      <c r="M76" s="80"/>
    </row>
    <row r="77" spans="1:28" ht="18.75">
      <c r="D77" s="79"/>
      <c r="M77" s="80"/>
    </row>
    <row r="78" spans="1:28" ht="18.75">
      <c r="D78" s="79"/>
      <c r="M78" s="80"/>
    </row>
    <row r="79" spans="1:28" ht="18.75">
      <c r="D79" s="79"/>
      <c r="M79" s="80"/>
    </row>
    <row r="80" spans="1:28" ht="18.75">
      <c r="D80" s="79"/>
      <c r="M80" s="80"/>
    </row>
    <row r="81" spans="4:13" ht="18.75">
      <c r="D81" s="79"/>
      <c r="M81" s="80"/>
    </row>
    <row r="82" spans="4:13" ht="18.75">
      <c r="D82" s="79"/>
      <c r="M82" s="80"/>
    </row>
    <row r="83" spans="4:13" ht="18.75">
      <c r="D83" s="79"/>
      <c r="M83" s="80"/>
    </row>
    <row r="84" spans="4:13" ht="18.75">
      <c r="D84" s="79"/>
      <c r="M84" s="80"/>
    </row>
    <row r="85" spans="4:13" ht="18.75">
      <c r="D85" s="79"/>
      <c r="M85" s="80"/>
    </row>
    <row r="86" spans="4:13" ht="18.75">
      <c r="D86" s="79"/>
      <c r="M86" s="80"/>
    </row>
    <row r="87" spans="4:13" ht="18.75">
      <c r="D87" s="79"/>
      <c r="M87" s="80"/>
    </row>
    <row r="88" spans="4:13" ht="18.75">
      <c r="D88" s="79"/>
      <c r="M88" s="80"/>
    </row>
    <row r="89" spans="4:13" ht="18.75">
      <c r="D89" s="79"/>
      <c r="M89" s="80"/>
    </row>
    <row r="90" spans="4:13" ht="18.75">
      <c r="D90" s="79"/>
      <c r="M90" s="80"/>
    </row>
    <row r="91" spans="4:13" ht="18.75">
      <c r="D91" s="79"/>
      <c r="M91" s="80"/>
    </row>
    <row r="92" spans="4:13" ht="18.75">
      <c r="D92" s="79"/>
      <c r="M92" s="80"/>
    </row>
    <row r="93" spans="4:13" ht="18.75">
      <c r="D93" s="79"/>
      <c r="M93" s="80"/>
    </row>
    <row r="94" spans="4:13" ht="18.75">
      <c r="D94" s="79"/>
      <c r="M94" s="80"/>
    </row>
    <row r="95" spans="4:13" ht="18.75">
      <c r="D95" s="79"/>
      <c r="M95" s="80"/>
    </row>
    <row r="96" spans="4:13" ht="18.75">
      <c r="D96" s="79"/>
      <c r="M96" s="80"/>
    </row>
    <row r="97" spans="4:13" ht="18.75">
      <c r="D97" s="79"/>
      <c r="M97" s="80"/>
    </row>
    <row r="98" spans="4:13" ht="18.75">
      <c r="D98" s="79"/>
      <c r="M98" s="80"/>
    </row>
    <row r="99" spans="4:13" ht="18.75">
      <c r="D99" s="79"/>
      <c r="M99" s="80"/>
    </row>
    <row r="100" spans="4:13" ht="18.75">
      <c r="D100" s="79"/>
      <c r="M100" s="80"/>
    </row>
    <row r="101" spans="4:13" ht="18.75">
      <c r="D101" s="79"/>
      <c r="M101" s="80"/>
    </row>
    <row r="102" spans="4:13" ht="18.75">
      <c r="D102" s="79"/>
      <c r="M102" s="80"/>
    </row>
    <row r="103" spans="4:13" ht="18.75">
      <c r="D103" s="79"/>
      <c r="M103" s="80"/>
    </row>
    <row r="104" spans="4:13" ht="18.75">
      <c r="D104" s="79"/>
      <c r="M104" s="80"/>
    </row>
    <row r="105" spans="4:13" ht="18.75">
      <c r="D105" s="79"/>
      <c r="M105" s="80"/>
    </row>
    <row r="106" spans="4:13" ht="18.75">
      <c r="D106" s="79"/>
      <c r="M106" s="80"/>
    </row>
    <row r="107" spans="4:13" ht="18.75">
      <c r="D107" s="79"/>
      <c r="M107" s="80"/>
    </row>
    <row r="108" spans="4:13" ht="18.75">
      <c r="D108" s="79"/>
      <c r="M108" s="80"/>
    </row>
    <row r="109" spans="4:13" ht="18.75">
      <c r="D109" s="79"/>
      <c r="M109" s="80"/>
    </row>
    <row r="110" spans="4:13" ht="18.75">
      <c r="D110" s="79"/>
      <c r="M110" s="80"/>
    </row>
    <row r="111" spans="4:13" ht="18.75">
      <c r="D111" s="79"/>
      <c r="M111" s="80"/>
    </row>
    <row r="112" spans="4:13" ht="18.75">
      <c r="D112" s="79"/>
      <c r="M112" s="80"/>
    </row>
    <row r="113" spans="4:13" ht="18.75">
      <c r="D113" s="79"/>
      <c r="M113" s="80"/>
    </row>
    <row r="114" spans="4:13" ht="18.75">
      <c r="D114" s="79"/>
      <c r="M114" s="80"/>
    </row>
    <row r="115" spans="4:13" ht="18.75">
      <c r="D115" s="79"/>
      <c r="M115" s="80"/>
    </row>
    <row r="116" spans="4:13" ht="18.75">
      <c r="D116" s="79"/>
      <c r="M116" s="80"/>
    </row>
    <row r="117" spans="4:13" ht="18.75">
      <c r="D117" s="79"/>
      <c r="M117" s="80"/>
    </row>
    <row r="118" spans="4:13" ht="18.75">
      <c r="D118" s="79"/>
      <c r="M118" s="80"/>
    </row>
    <row r="119" spans="4:13" ht="18.75">
      <c r="D119" s="79"/>
      <c r="M119" s="80"/>
    </row>
    <row r="120" spans="4:13" ht="18.75">
      <c r="D120" s="79"/>
      <c r="M120" s="80"/>
    </row>
    <row r="121" spans="4:13" ht="18.75">
      <c r="D121" s="79"/>
      <c r="M121" s="80"/>
    </row>
    <row r="122" spans="4:13" ht="18.75">
      <c r="D122" s="79"/>
      <c r="M122" s="80"/>
    </row>
    <row r="123" spans="4:13" ht="18.75">
      <c r="D123" s="79"/>
      <c r="M123" s="80"/>
    </row>
    <row r="124" spans="4:13" ht="18.75">
      <c r="D124" s="79"/>
      <c r="M124" s="80"/>
    </row>
    <row r="125" spans="4:13" ht="18.75">
      <c r="D125" s="79"/>
      <c r="M125" s="80"/>
    </row>
    <row r="126" spans="4:13" ht="18.75">
      <c r="D126" s="79"/>
      <c r="M126" s="80"/>
    </row>
    <row r="127" spans="4:13" ht="18.75">
      <c r="D127" s="79"/>
      <c r="M127" s="80"/>
    </row>
    <row r="128" spans="4:13" ht="18.75">
      <c r="D128" s="79"/>
      <c r="M128" s="80"/>
    </row>
    <row r="129" spans="4:13" ht="18.75">
      <c r="D129" s="79"/>
      <c r="M129" s="80"/>
    </row>
    <row r="130" spans="4:13" ht="18.75">
      <c r="D130" s="79"/>
      <c r="M130" s="80"/>
    </row>
    <row r="131" spans="4:13" ht="18.75">
      <c r="D131" s="79"/>
      <c r="M131" s="80"/>
    </row>
    <row r="132" spans="4:13" ht="18.75">
      <c r="D132" s="79"/>
      <c r="M132" s="80"/>
    </row>
    <row r="133" spans="4:13" ht="18.75">
      <c r="D133" s="79"/>
      <c r="M133" s="80"/>
    </row>
    <row r="134" spans="4:13" ht="18.75">
      <c r="D134" s="79"/>
      <c r="M134" s="80"/>
    </row>
    <row r="135" spans="4:13" ht="18.75">
      <c r="D135" s="79"/>
      <c r="M135" s="80"/>
    </row>
    <row r="136" spans="4:13" ht="18.75">
      <c r="D136" s="79"/>
      <c r="M136" s="80"/>
    </row>
    <row r="137" spans="4:13" ht="18.75">
      <c r="D137" s="79"/>
      <c r="M137" s="80"/>
    </row>
    <row r="138" spans="4:13" ht="18.75">
      <c r="D138" s="79"/>
      <c r="M138" s="80"/>
    </row>
    <row r="139" spans="4:13" ht="18.75">
      <c r="D139" s="79"/>
      <c r="M139" s="80"/>
    </row>
    <row r="140" spans="4:13" ht="18.75">
      <c r="D140" s="79"/>
      <c r="M140" s="80"/>
    </row>
    <row r="141" spans="4:13" ht="18.75">
      <c r="D141" s="79"/>
      <c r="M141" s="80"/>
    </row>
    <row r="142" spans="4:13" ht="18.75">
      <c r="D142" s="79"/>
      <c r="M142" s="80"/>
    </row>
    <row r="143" spans="4:13" ht="18.75">
      <c r="M143" s="80"/>
    </row>
    <row r="144" spans="4:13" ht="18.75">
      <c r="M144" s="80"/>
    </row>
    <row r="145" spans="13:13" ht="18.75">
      <c r="M145" s="80"/>
    </row>
    <row r="146" spans="13:13" ht="18.75">
      <c r="M146" s="80"/>
    </row>
    <row r="147" spans="13:13" ht="18.75">
      <c r="M147" s="80"/>
    </row>
    <row r="148" spans="13:13" ht="18.75">
      <c r="M148" s="80"/>
    </row>
    <row r="149" spans="13:13" ht="18.75">
      <c r="M149" s="80"/>
    </row>
    <row r="150" spans="13:13" ht="18.75">
      <c r="M150" s="80"/>
    </row>
    <row r="151" spans="13:13" ht="18.75">
      <c r="M151" s="80"/>
    </row>
    <row r="152" spans="13:13" ht="18.75">
      <c r="M152" s="80"/>
    </row>
    <row r="153" spans="13:13" ht="18.75">
      <c r="M153" s="80"/>
    </row>
    <row r="154" spans="13:13" ht="18.75">
      <c r="M154" s="80"/>
    </row>
  </sheetData>
  <autoFilter ref="A1:AB130" xr:uid="{00000000-0009-0000-0000-000002000000}"/>
  <phoneticPr fontId="3"/>
  <dataValidations count="21">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E1098595-17E1-4817-9BB9-D1EB911AAFA6}">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CC25BBCD-4BBB-4C89-ADDD-A4C41D2779B0}">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84A0C8EC-9C4B-48A8-A023-1F66606176C7}">
      <formula1>$AP$2:$AP$12</formula1>
    </dataValidation>
    <dataValidation type="list" allowBlank="1" showInputMessage="1" showErrorMessage="1" sqref="J131: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766C354E-770D-4C98-9433-82C9A20DE8D4}">
      <formula1>$AP$2:$AP$27</formula1>
    </dataValidation>
    <dataValidation type="list" allowBlank="1" showInputMessage="1" showErrorMessage="1" sqref="J113:J130" xr:uid="{5F117538-E8F0-42B2-A3DF-FCC1D313BF0E}">
      <formula1>$AP$2:$AP$28</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81741D27-E8B7-44B5-A0A4-5C5BD6978236}">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BE6E6995-693A-48BB-AA94-BD1013B1443A}">
      <formula1>$AL$5:$AL$12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8B2749D4-03B8-49F0-925D-C60D7937A771}"/>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2AF02565-C14D-4181-AA32-CF1B403E0D93}">
      <formula1>$AE$2:$AE$19</formula1>
    </dataValidation>
    <dataValidation type="list" allowBlank="1" showInputMessage="1" showErrorMessage="1" sqref="J2:J112" xr:uid="{159E4159-C6D5-45A2-A667-82EB5A273A77}">
      <formula1>$AP$2:$AP$29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E36D3EC7-AC3C-4466-B6FD-79E1BA5DBED7}">
      <formula1>$AV$2:$AV$21</formula1>
    </dataValidation>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0AB35BEA-81F7-49B5-B14C-99D556F15F42}">
      <formula1>0</formula1>
      <formula2>7</formula2>
    </dataValidation>
    <dataValidation type="list" allowBlank="1" showInputMessage="1" showErrorMessage="1" sqref="K2:K450" xr:uid="{1953C65E-A021-4A61-9FD7-AE9244A71E68}">
      <formula1>$AR$2:$AR$26</formula1>
    </dataValidation>
    <dataValidation type="list" allowBlank="1" showInputMessage="1" showErrorMessage="1" sqref="H2:H1254" xr:uid="{6C9A29BC-24EB-4CD4-82C7-793FBC8F1F93}">
      <formula1>$AL$2:$AL$9</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3EAEDE74-8742-45A7-BD8F-0D0219F94E4F}">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0299A566-75AF-4593-A371-E8F2C7E7731E}">
      <formula1>$AG$2:$AG$12</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7CD70024-3D62-4311-A897-4C5C6ECE9ABE}">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346E2E25-2983-469E-B387-10A942C5EB72}">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E4182958-EEDA-4B66-BDEB-8030509F8035}">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3333D6A2-6938-44D4-96EB-3C80F97AFBBE}">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B3BD4B6E-72D9-4CB6-A749-E7EAE45990A5}">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739F5-A74F-46AF-BB39-923B990BC96E}">
  <dimension ref="A1:BA1000"/>
  <sheetViews>
    <sheetView zoomScaleNormal="100" workbookViewId="0">
      <pane ySplit="1" topLeftCell="A2" activePane="bottomLeft" state="frozen"/>
      <selection pane="bottomLeft" activeCell="A2" sqref="A2"/>
    </sheetView>
  </sheetViews>
  <sheetFormatPr defaultColWidth="12.625" defaultRowHeight="15" customHeight="1"/>
  <cols>
    <col min="1" max="3" width="7.875" style="98" customWidth="1"/>
    <col min="4" max="4" width="9.125" style="98" customWidth="1"/>
    <col min="5" max="18" width="7.875" style="98" customWidth="1"/>
    <col min="19" max="19" width="8.25" style="98" customWidth="1"/>
    <col min="20" max="22" width="7.875" style="98" customWidth="1"/>
    <col min="23" max="23" width="9.125" style="98" customWidth="1"/>
    <col min="24" max="32" width="7.875" style="98" customWidth="1"/>
    <col min="33" max="33" width="17.125" style="98" customWidth="1"/>
    <col min="34" max="34" width="8.25" style="98" customWidth="1"/>
    <col min="35" max="53" width="7.875" style="98" customWidth="1"/>
    <col min="54" max="16384" width="12.625" style="98"/>
  </cols>
  <sheetData>
    <row r="1" spans="1:53" ht="45">
      <c r="A1" s="81" t="s">
        <v>0</v>
      </c>
      <c r="B1" s="82" t="s">
        <v>168</v>
      </c>
      <c r="C1" s="82" t="s">
        <v>169</v>
      </c>
      <c r="D1" s="83" t="s">
        <v>3</v>
      </c>
      <c r="E1" s="84" t="s">
        <v>4</v>
      </c>
      <c r="F1" s="84" t="s">
        <v>5</v>
      </c>
      <c r="G1" s="84" t="s">
        <v>6</v>
      </c>
      <c r="H1" s="84" t="s">
        <v>7</v>
      </c>
      <c r="I1" s="84" t="s">
        <v>8</v>
      </c>
      <c r="J1" s="85" t="s">
        <v>9</v>
      </c>
      <c r="K1" s="85" t="s">
        <v>10</v>
      </c>
      <c r="L1" s="83" t="s">
        <v>170</v>
      </c>
      <c r="M1" s="83" t="s">
        <v>171</v>
      </c>
      <c r="N1" s="83" t="s">
        <v>13</v>
      </c>
      <c r="O1" s="83" t="s">
        <v>172</v>
      </c>
      <c r="P1" s="83" t="s">
        <v>173</v>
      </c>
      <c r="Q1" s="86" t="s">
        <v>174</v>
      </c>
      <c r="R1" s="83" t="s">
        <v>175</v>
      </c>
      <c r="S1" s="83" t="s">
        <v>176</v>
      </c>
      <c r="T1" s="86" t="s">
        <v>19</v>
      </c>
      <c r="U1" s="87" t="s">
        <v>20</v>
      </c>
      <c r="V1" s="86" t="s">
        <v>21</v>
      </c>
      <c r="W1" s="83" t="s">
        <v>177</v>
      </c>
      <c r="X1" s="84" t="s">
        <v>23</v>
      </c>
      <c r="Y1" s="84" t="s">
        <v>24</v>
      </c>
      <c r="Z1" s="84" t="s">
        <v>25</v>
      </c>
      <c r="AA1" s="88" t="s">
        <v>26</v>
      </c>
      <c r="AB1" s="89" t="s">
        <v>178</v>
      </c>
      <c r="AC1" s="90"/>
      <c r="AD1" s="90"/>
      <c r="AE1" s="91" t="s">
        <v>0</v>
      </c>
      <c r="AF1" s="92"/>
      <c r="AG1" s="91" t="s">
        <v>4</v>
      </c>
      <c r="AH1" s="91" t="s">
        <v>5</v>
      </c>
      <c r="AI1" s="92"/>
      <c r="AJ1" s="91" t="s">
        <v>6</v>
      </c>
      <c r="AK1" s="92"/>
      <c r="AL1" s="93" t="s">
        <v>7</v>
      </c>
      <c r="AM1" s="92"/>
      <c r="AN1" s="93" t="s">
        <v>8</v>
      </c>
      <c r="AO1" s="92"/>
      <c r="AP1" s="93" t="s">
        <v>28</v>
      </c>
      <c r="AQ1" s="92"/>
      <c r="AR1" s="93" t="s">
        <v>10</v>
      </c>
      <c r="AS1" s="92"/>
      <c r="AT1" s="94" t="s">
        <v>179</v>
      </c>
      <c r="AU1" s="92"/>
      <c r="AV1" s="93" t="s">
        <v>30</v>
      </c>
      <c r="AW1" s="90"/>
      <c r="AX1" s="95" t="s">
        <v>375</v>
      </c>
      <c r="AY1" s="96" t="s">
        <v>181</v>
      </c>
      <c r="AZ1" s="96" t="s">
        <v>376</v>
      </c>
      <c r="BA1" s="97" t="s">
        <v>183</v>
      </c>
    </row>
    <row r="2" spans="1:53" ht="13.5" customHeight="1">
      <c r="A2" s="90" t="s">
        <v>72</v>
      </c>
      <c r="B2" s="90" t="s">
        <v>184</v>
      </c>
      <c r="C2" s="90">
        <v>2021</v>
      </c>
      <c r="D2" s="99" t="s">
        <v>394</v>
      </c>
      <c r="E2" s="90" t="s">
        <v>395</v>
      </c>
      <c r="F2" s="90" t="s">
        <v>396</v>
      </c>
      <c r="G2" s="90" t="s">
        <v>39</v>
      </c>
      <c r="H2" s="90" t="s">
        <v>40</v>
      </c>
      <c r="I2" s="90" t="s">
        <v>41</v>
      </c>
      <c r="J2" s="90" t="s">
        <v>42</v>
      </c>
      <c r="K2" s="90" t="s">
        <v>43</v>
      </c>
      <c r="L2" s="90">
        <v>1</v>
      </c>
      <c r="M2" s="90"/>
      <c r="N2" s="90">
        <v>1</v>
      </c>
      <c r="O2" s="90">
        <v>0.7</v>
      </c>
      <c r="P2" s="90">
        <v>0.65</v>
      </c>
      <c r="Q2" s="100">
        <f t="shared" ref="Q2:Q115" si="0">IF(OR(O2="",P2=""),"",AVERAGE(O2,P2))</f>
        <v>0.67500000000000004</v>
      </c>
      <c r="R2" s="101">
        <v>14.5</v>
      </c>
      <c r="S2" s="101">
        <v>112</v>
      </c>
      <c r="T2" s="102">
        <f t="shared" ref="T2:T115" si="1">IF(H2="","",IF(OR(H2="GREEN",H2="GK"),IF(S2&gt;=$AX$2,VLOOKUP(S2,$AX$2:$AY$12,2,1),""),IF(S2&gt;=$AZ$2,VLOOKUP(S2,$AZ$2:$BA$12,2,1),"")))</f>
        <v>33</v>
      </c>
      <c r="U2" s="101">
        <v>98</v>
      </c>
      <c r="V2" s="103">
        <f t="shared" ref="V2:V115" si="2">IF(OR(N2="",U2="",T2=""),"",U2/N2*T2)</f>
        <v>3234</v>
      </c>
      <c r="W2" s="101">
        <v>8</v>
      </c>
      <c r="X2" s="90" t="s">
        <v>63</v>
      </c>
      <c r="Y2" s="90" t="s">
        <v>46</v>
      </c>
      <c r="Z2" s="90" t="s">
        <v>45</v>
      </c>
      <c r="AA2" s="90" t="s">
        <v>160</v>
      </c>
      <c r="AB2" s="90" t="s">
        <v>166</v>
      </c>
      <c r="AC2" s="90"/>
      <c r="AD2" s="90"/>
      <c r="AE2" s="104" t="s">
        <v>49</v>
      </c>
      <c r="AF2" s="90"/>
      <c r="AG2" s="105" t="s">
        <v>214</v>
      </c>
      <c r="AH2" s="105" t="s">
        <v>397</v>
      </c>
      <c r="AI2" s="90"/>
      <c r="AJ2" s="105" t="s">
        <v>39</v>
      </c>
      <c r="AK2" s="90"/>
      <c r="AL2" s="106" t="s">
        <v>188</v>
      </c>
      <c r="AM2" s="90"/>
      <c r="AN2" s="105" t="s">
        <v>52</v>
      </c>
      <c r="AO2" s="90"/>
      <c r="AP2" s="105" t="s">
        <v>42</v>
      </c>
      <c r="AQ2" s="90"/>
      <c r="AR2" s="105" t="s">
        <v>43</v>
      </c>
      <c r="AS2" s="90"/>
      <c r="AT2" s="105" t="s">
        <v>44</v>
      </c>
      <c r="AU2" s="90"/>
      <c r="AV2" s="105" t="s">
        <v>54</v>
      </c>
      <c r="AW2" s="90"/>
      <c r="AX2" s="107">
        <v>1</v>
      </c>
      <c r="AY2" s="108">
        <v>50</v>
      </c>
      <c r="AZ2" s="108">
        <v>1</v>
      </c>
      <c r="BA2" s="109">
        <v>50</v>
      </c>
    </row>
    <row r="3" spans="1:53" ht="13.5" customHeight="1">
      <c r="A3" s="90" t="s">
        <v>72</v>
      </c>
      <c r="B3" s="90" t="s">
        <v>184</v>
      </c>
      <c r="C3" s="90">
        <v>2021</v>
      </c>
      <c r="D3" s="99" t="s">
        <v>394</v>
      </c>
      <c r="E3" s="90" t="s">
        <v>395</v>
      </c>
      <c r="F3" s="90" t="s">
        <v>396</v>
      </c>
      <c r="G3" s="90" t="s">
        <v>39</v>
      </c>
      <c r="H3" s="90" t="s">
        <v>40</v>
      </c>
      <c r="I3" s="90" t="s">
        <v>41</v>
      </c>
      <c r="J3" s="90" t="s">
        <v>42</v>
      </c>
      <c r="K3" s="90" t="s">
        <v>43</v>
      </c>
      <c r="L3" s="90">
        <v>2</v>
      </c>
      <c r="M3" s="90"/>
      <c r="N3" s="90">
        <v>1</v>
      </c>
      <c r="O3" s="90">
        <v>0.75</v>
      </c>
      <c r="P3" s="90">
        <v>0.7</v>
      </c>
      <c r="Q3" s="100">
        <f t="shared" si="0"/>
        <v>0.72499999999999998</v>
      </c>
      <c r="R3" s="101">
        <v>14</v>
      </c>
      <c r="S3" s="101">
        <v>110</v>
      </c>
      <c r="T3" s="102">
        <f t="shared" si="1"/>
        <v>33</v>
      </c>
      <c r="U3" s="101">
        <v>98</v>
      </c>
      <c r="V3" s="103">
        <f t="shared" si="2"/>
        <v>3234</v>
      </c>
      <c r="W3" s="101">
        <v>8</v>
      </c>
      <c r="X3" s="90" t="s">
        <v>63</v>
      </c>
      <c r="Y3" s="90" t="s">
        <v>46</v>
      </c>
      <c r="Z3" s="90" t="s">
        <v>45</v>
      </c>
      <c r="AA3" s="90" t="s">
        <v>160</v>
      </c>
      <c r="AB3" s="90" t="s">
        <v>166</v>
      </c>
      <c r="AC3" s="90"/>
      <c r="AD3" s="90"/>
      <c r="AE3" s="110" t="s">
        <v>55</v>
      </c>
      <c r="AF3" s="90"/>
      <c r="AG3" s="105" t="s">
        <v>398</v>
      </c>
      <c r="AH3" s="105" t="s">
        <v>399</v>
      </c>
      <c r="AI3" s="90"/>
      <c r="AJ3" s="111" t="s">
        <v>58</v>
      </c>
      <c r="AK3" s="90"/>
      <c r="AL3" s="111" t="s">
        <v>190</v>
      </c>
      <c r="AM3" s="90"/>
      <c r="AN3" s="111" t="s">
        <v>60</v>
      </c>
      <c r="AO3" s="90"/>
      <c r="AP3" s="111" t="s">
        <v>61</v>
      </c>
      <c r="AQ3" s="90"/>
      <c r="AR3" s="111" t="s">
        <v>62</v>
      </c>
      <c r="AS3" s="90"/>
      <c r="AT3" s="111" t="s">
        <v>63</v>
      </c>
      <c r="AU3" s="90"/>
      <c r="AV3" s="111" t="s">
        <v>64</v>
      </c>
      <c r="AW3" s="90"/>
      <c r="AX3" s="112">
        <v>72</v>
      </c>
      <c r="AY3" s="113">
        <v>46</v>
      </c>
      <c r="AZ3" s="113">
        <v>71</v>
      </c>
      <c r="BA3" s="114">
        <v>42</v>
      </c>
    </row>
    <row r="4" spans="1:53" ht="13.5" customHeight="1">
      <c r="A4" s="90" t="s">
        <v>72</v>
      </c>
      <c r="B4" s="90" t="s">
        <v>184</v>
      </c>
      <c r="C4" s="90">
        <v>2021</v>
      </c>
      <c r="D4" s="99" t="s">
        <v>394</v>
      </c>
      <c r="E4" s="90" t="s">
        <v>395</v>
      </c>
      <c r="F4" s="90" t="s">
        <v>396</v>
      </c>
      <c r="G4" s="90" t="s">
        <v>39</v>
      </c>
      <c r="H4" s="90" t="s">
        <v>40</v>
      </c>
      <c r="I4" s="90" t="s">
        <v>41</v>
      </c>
      <c r="J4" s="90" t="s">
        <v>42</v>
      </c>
      <c r="K4" s="90" t="s">
        <v>43</v>
      </c>
      <c r="L4" s="90">
        <v>3</v>
      </c>
      <c r="M4" s="90"/>
      <c r="N4" s="90">
        <v>1</v>
      </c>
      <c r="O4" s="90">
        <v>0.8</v>
      </c>
      <c r="P4" s="90">
        <v>0.8</v>
      </c>
      <c r="Q4" s="100">
        <f t="shared" si="0"/>
        <v>0.8</v>
      </c>
      <c r="R4" s="101">
        <v>14.3</v>
      </c>
      <c r="S4" s="101">
        <v>112</v>
      </c>
      <c r="T4" s="102">
        <f t="shared" si="1"/>
        <v>33</v>
      </c>
      <c r="U4" s="101">
        <v>98</v>
      </c>
      <c r="V4" s="103">
        <f t="shared" si="2"/>
        <v>3234</v>
      </c>
      <c r="W4" s="101">
        <v>8</v>
      </c>
      <c r="X4" s="90" t="s">
        <v>63</v>
      </c>
      <c r="Y4" s="90" t="s">
        <v>46</v>
      </c>
      <c r="Z4" s="90" t="s">
        <v>45</v>
      </c>
      <c r="AA4" s="90" t="s">
        <v>160</v>
      </c>
      <c r="AB4" s="90" t="s">
        <v>166</v>
      </c>
      <c r="AC4" s="90"/>
      <c r="AD4" s="90"/>
      <c r="AE4" s="110" t="s">
        <v>35</v>
      </c>
      <c r="AF4" s="90"/>
      <c r="AG4" s="105" t="s">
        <v>400</v>
      </c>
      <c r="AH4" s="105" t="s">
        <v>401</v>
      </c>
      <c r="AI4" s="90"/>
      <c r="AJ4" s="115" t="s">
        <v>67</v>
      </c>
      <c r="AK4" s="90"/>
      <c r="AL4" s="111" t="s">
        <v>192</v>
      </c>
      <c r="AM4" s="90"/>
      <c r="AN4" s="116" t="s">
        <v>193</v>
      </c>
      <c r="AO4" s="90"/>
      <c r="AP4" s="111" t="s">
        <v>194</v>
      </c>
      <c r="AQ4" s="90"/>
      <c r="AR4" s="111" t="s">
        <v>195</v>
      </c>
      <c r="AS4" s="90"/>
      <c r="AT4" s="116"/>
      <c r="AU4" s="90"/>
      <c r="AV4" s="111" t="s">
        <v>47</v>
      </c>
      <c r="AW4" s="90"/>
      <c r="AX4" s="112">
        <v>75</v>
      </c>
      <c r="AY4" s="113">
        <v>42</v>
      </c>
      <c r="AZ4" s="113">
        <v>76</v>
      </c>
      <c r="BA4" s="114">
        <v>39</v>
      </c>
    </row>
    <row r="5" spans="1:53" ht="13.5" customHeight="1">
      <c r="A5" s="90" t="s">
        <v>72</v>
      </c>
      <c r="B5" s="90" t="s">
        <v>184</v>
      </c>
      <c r="C5" s="90">
        <v>2021</v>
      </c>
      <c r="D5" s="99" t="s">
        <v>394</v>
      </c>
      <c r="E5" s="90" t="s">
        <v>395</v>
      </c>
      <c r="F5" s="90" t="s">
        <v>396</v>
      </c>
      <c r="G5" s="90" t="s">
        <v>39</v>
      </c>
      <c r="H5" s="90" t="s">
        <v>40</v>
      </c>
      <c r="I5" s="90" t="s">
        <v>41</v>
      </c>
      <c r="J5" s="90" t="s">
        <v>42</v>
      </c>
      <c r="K5" s="90" t="s">
        <v>43</v>
      </c>
      <c r="L5" s="90">
        <v>1</v>
      </c>
      <c r="M5" s="90"/>
      <c r="N5" s="99">
        <v>8</v>
      </c>
      <c r="O5" s="90">
        <v>0.8</v>
      </c>
      <c r="P5" s="90">
        <v>0.65</v>
      </c>
      <c r="Q5" s="100">
        <f t="shared" si="0"/>
        <v>0.72500000000000009</v>
      </c>
      <c r="R5" s="101">
        <v>14.2</v>
      </c>
      <c r="S5" s="101">
        <v>95</v>
      </c>
      <c r="T5" s="102">
        <f t="shared" si="1"/>
        <v>36</v>
      </c>
      <c r="U5" s="101">
        <v>598</v>
      </c>
      <c r="V5" s="103">
        <f t="shared" si="2"/>
        <v>2691</v>
      </c>
      <c r="W5" s="101">
        <v>8</v>
      </c>
      <c r="X5" s="90" t="s">
        <v>63</v>
      </c>
      <c r="Y5" s="90" t="s">
        <v>46</v>
      </c>
      <c r="Z5" s="90" t="s">
        <v>45</v>
      </c>
      <c r="AA5" s="90" t="s">
        <v>160</v>
      </c>
      <c r="AB5" s="90" t="s">
        <v>166</v>
      </c>
      <c r="AC5" s="90"/>
      <c r="AD5" s="90"/>
      <c r="AE5" s="110" t="s">
        <v>72</v>
      </c>
      <c r="AF5" s="90"/>
      <c r="AG5" s="105" t="s">
        <v>143</v>
      </c>
      <c r="AH5" s="105" t="s">
        <v>402</v>
      </c>
      <c r="AI5" s="90"/>
      <c r="AJ5" s="116"/>
      <c r="AK5" s="90"/>
      <c r="AL5" s="111" t="s">
        <v>40</v>
      </c>
      <c r="AM5" s="90"/>
      <c r="AN5" s="117" t="s">
        <v>41</v>
      </c>
      <c r="AO5" s="90"/>
      <c r="AP5" s="111" t="s">
        <v>198</v>
      </c>
      <c r="AQ5" s="90"/>
      <c r="AR5" s="111" t="s">
        <v>78</v>
      </c>
      <c r="AS5" s="90"/>
      <c r="AT5" s="90"/>
      <c r="AU5" s="90"/>
      <c r="AV5" s="111" t="s">
        <v>79</v>
      </c>
      <c r="AW5" s="90"/>
      <c r="AX5" s="112">
        <v>84</v>
      </c>
      <c r="AY5" s="113">
        <v>39</v>
      </c>
      <c r="AZ5" s="113">
        <v>84</v>
      </c>
      <c r="BA5" s="114">
        <v>36</v>
      </c>
    </row>
    <row r="6" spans="1:53" ht="13.5" customHeight="1">
      <c r="A6" s="90" t="s">
        <v>72</v>
      </c>
      <c r="B6" s="90" t="s">
        <v>184</v>
      </c>
      <c r="C6" s="90">
        <v>2021</v>
      </c>
      <c r="D6" s="99" t="s">
        <v>394</v>
      </c>
      <c r="E6" s="90" t="s">
        <v>395</v>
      </c>
      <c r="F6" s="90" t="s">
        <v>396</v>
      </c>
      <c r="G6" s="90" t="s">
        <v>39</v>
      </c>
      <c r="H6" s="90" t="s">
        <v>40</v>
      </c>
      <c r="I6" s="90" t="s">
        <v>41</v>
      </c>
      <c r="J6" s="90" t="s">
        <v>42</v>
      </c>
      <c r="K6" s="90" t="s">
        <v>43</v>
      </c>
      <c r="L6" s="90">
        <v>2</v>
      </c>
      <c r="M6" s="90"/>
      <c r="N6" s="99">
        <v>8</v>
      </c>
      <c r="O6" s="90">
        <v>0.75</v>
      </c>
      <c r="P6" s="90">
        <v>0.7</v>
      </c>
      <c r="Q6" s="100">
        <f t="shared" si="0"/>
        <v>0.72499999999999998</v>
      </c>
      <c r="R6" s="101">
        <v>14</v>
      </c>
      <c r="S6" s="101">
        <v>87</v>
      </c>
      <c r="T6" s="102">
        <f t="shared" si="1"/>
        <v>36</v>
      </c>
      <c r="U6" s="101">
        <v>598</v>
      </c>
      <c r="V6" s="103">
        <f t="shared" si="2"/>
        <v>2691</v>
      </c>
      <c r="W6" s="101">
        <v>8</v>
      </c>
      <c r="X6" s="90" t="s">
        <v>63</v>
      </c>
      <c r="Y6" s="90" t="s">
        <v>46</v>
      </c>
      <c r="Z6" s="90" t="s">
        <v>45</v>
      </c>
      <c r="AA6" s="90" t="s">
        <v>160</v>
      </c>
      <c r="AB6" s="90" t="s">
        <v>166</v>
      </c>
      <c r="AC6" s="90"/>
      <c r="AD6" s="90"/>
      <c r="AE6" s="110" t="s">
        <v>80</v>
      </c>
      <c r="AF6" s="90"/>
      <c r="AG6" s="105" t="s">
        <v>403</v>
      </c>
      <c r="AH6" s="105" t="s">
        <v>404</v>
      </c>
      <c r="AI6" s="90"/>
      <c r="AJ6" s="90"/>
      <c r="AK6" s="90"/>
      <c r="AL6" s="111" t="s">
        <v>156</v>
      </c>
      <c r="AM6" s="90"/>
      <c r="AN6" s="117" t="s">
        <v>196</v>
      </c>
      <c r="AO6" s="90"/>
      <c r="AP6" s="111" t="s">
        <v>85</v>
      </c>
      <c r="AQ6" s="90"/>
      <c r="AR6" s="111" t="s">
        <v>86</v>
      </c>
      <c r="AS6" s="90"/>
      <c r="AT6" s="90"/>
      <c r="AU6" s="90"/>
      <c r="AV6" s="111" t="s">
        <v>87</v>
      </c>
      <c r="AW6" s="90"/>
      <c r="AX6" s="112">
        <v>97</v>
      </c>
      <c r="AY6" s="113">
        <v>36</v>
      </c>
      <c r="AZ6" s="113">
        <v>99</v>
      </c>
      <c r="BA6" s="114">
        <v>33</v>
      </c>
    </row>
    <row r="7" spans="1:53" ht="13.5" customHeight="1">
      <c r="A7" s="90" t="s">
        <v>72</v>
      </c>
      <c r="B7" s="90" t="s">
        <v>184</v>
      </c>
      <c r="C7" s="90">
        <v>2021</v>
      </c>
      <c r="D7" s="99" t="s">
        <v>394</v>
      </c>
      <c r="E7" s="90" t="s">
        <v>395</v>
      </c>
      <c r="F7" s="90" t="s">
        <v>396</v>
      </c>
      <c r="G7" s="90" t="s">
        <v>39</v>
      </c>
      <c r="H7" s="90" t="s">
        <v>40</v>
      </c>
      <c r="I7" s="90" t="s">
        <v>41</v>
      </c>
      <c r="J7" s="90" t="s">
        <v>42</v>
      </c>
      <c r="K7" s="90" t="s">
        <v>43</v>
      </c>
      <c r="L7" s="90">
        <v>3</v>
      </c>
      <c r="M7" s="90"/>
      <c r="N7" s="99">
        <v>8</v>
      </c>
      <c r="O7" s="90">
        <v>0.7</v>
      </c>
      <c r="P7" s="90">
        <v>0.65</v>
      </c>
      <c r="Q7" s="100">
        <f t="shared" si="0"/>
        <v>0.67500000000000004</v>
      </c>
      <c r="R7" s="101">
        <v>14.6</v>
      </c>
      <c r="S7" s="101">
        <v>88</v>
      </c>
      <c r="T7" s="102">
        <f t="shared" si="1"/>
        <v>36</v>
      </c>
      <c r="U7" s="101">
        <v>598</v>
      </c>
      <c r="V7" s="103">
        <f t="shared" si="2"/>
        <v>2691</v>
      </c>
      <c r="W7" s="101">
        <v>8</v>
      </c>
      <c r="X7" s="90" t="s">
        <v>63</v>
      </c>
      <c r="Y7" s="90" t="s">
        <v>46</v>
      </c>
      <c r="Z7" s="90" t="s">
        <v>45</v>
      </c>
      <c r="AA7" s="90" t="s">
        <v>160</v>
      </c>
      <c r="AB7" s="90" t="s">
        <v>166</v>
      </c>
      <c r="AC7" s="90"/>
      <c r="AD7" s="90"/>
      <c r="AE7" s="110" t="s">
        <v>88</v>
      </c>
      <c r="AF7" s="90"/>
      <c r="AG7" s="105" t="s">
        <v>405</v>
      </c>
      <c r="AH7" s="105" t="s">
        <v>397</v>
      </c>
      <c r="AI7" s="90"/>
      <c r="AJ7" s="90"/>
      <c r="AK7" s="90"/>
      <c r="AL7" s="111" t="s">
        <v>201</v>
      </c>
      <c r="AM7" s="90"/>
      <c r="AN7" s="90"/>
      <c r="AO7" s="90"/>
      <c r="AP7" s="111" t="s">
        <v>91</v>
      </c>
      <c r="AQ7" s="90"/>
      <c r="AR7" s="111" t="s">
        <v>202</v>
      </c>
      <c r="AS7" s="90"/>
      <c r="AT7" s="90"/>
      <c r="AU7" s="90"/>
      <c r="AV7" s="111" t="s">
        <v>93</v>
      </c>
      <c r="AW7" s="90"/>
      <c r="AX7" s="112">
        <v>109</v>
      </c>
      <c r="AY7" s="113">
        <v>33</v>
      </c>
      <c r="AZ7" s="113">
        <v>113</v>
      </c>
      <c r="BA7" s="114">
        <v>30</v>
      </c>
    </row>
    <row r="8" spans="1:53" ht="13.5" customHeight="1">
      <c r="A8" s="90" t="s">
        <v>72</v>
      </c>
      <c r="B8" s="90" t="s">
        <v>184</v>
      </c>
      <c r="C8" s="90">
        <v>2021</v>
      </c>
      <c r="D8" s="99" t="s">
        <v>394</v>
      </c>
      <c r="E8" s="90" t="s">
        <v>395</v>
      </c>
      <c r="F8" s="90" t="s">
        <v>396</v>
      </c>
      <c r="G8" s="90" t="s">
        <v>39</v>
      </c>
      <c r="H8" s="90" t="s">
        <v>156</v>
      </c>
      <c r="I8" s="90" t="s">
        <v>41</v>
      </c>
      <c r="J8" s="90" t="s">
        <v>42</v>
      </c>
      <c r="K8" s="90" t="s">
        <v>78</v>
      </c>
      <c r="L8" s="90">
        <v>1</v>
      </c>
      <c r="M8" s="90"/>
      <c r="N8" s="101">
        <v>1</v>
      </c>
      <c r="O8" s="90">
        <v>0.7</v>
      </c>
      <c r="P8" s="90">
        <v>0.65</v>
      </c>
      <c r="Q8" s="100">
        <f t="shared" si="0"/>
        <v>0.67500000000000004</v>
      </c>
      <c r="R8" s="101">
        <v>15.7</v>
      </c>
      <c r="S8" s="101">
        <v>110</v>
      </c>
      <c r="T8" s="102">
        <f t="shared" si="1"/>
        <v>33</v>
      </c>
      <c r="U8" s="101">
        <v>138</v>
      </c>
      <c r="V8" s="103">
        <f t="shared" si="2"/>
        <v>4554</v>
      </c>
      <c r="W8" s="101">
        <v>8</v>
      </c>
      <c r="X8" s="90" t="s">
        <v>63</v>
      </c>
      <c r="Y8" s="90" t="s">
        <v>46</v>
      </c>
      <c r="Z8" s="90" t="s">
        <v>45</v>
      </c>
      <c r="AA8" s="90" t="s">
        <v>160</v>
      </c>
      <c r="AB8" s="90" t="s">
        <v>166</v>
      </c>
      <c r="AC8" s="90"/>
      <c r="AD8" s="90"/>
      <c r="AE8" s="110" t="s">
        <v>86</v>
      </c>
      <c r="AF8" s="90"/>
      <c r="AG8" s="105" t="s">
        <v>406</v>
      </c>
      <c r="AH8" s="105" t="s">
        <v>407</v>
      </c>
      <c r="AI8" s="90"/>
      <c r="AJ8" s="90"/>
      <c r="AK8" s="90"/>
      <c r="AL8" s="111" t="s">
        <v>205</v>
      </c>
      <c r="AM8" s="90"/>
      <c r="AN8" s="90"/>
      <c r="AO8" s="90"/>
      <c r="AP8" s="111" t="s">
        <v>97</v>
      </c>
      <c r="AQ8" s="90"/>
      <c r="AR8" s="111" t="s">
        <v>98</v>
      </c>
      <c r="AS8" s="90"/>
      <c r="AT8" s="90"/>
      <c r="AU8" s="90"/>
      <c r="AV8" s="111" t="s">
        <v>99</v>
      </c>
      <c r="AW8" s="90"/>
      <c r="AX8" s="112">
        <v>119</v>
      </c>
      <c r="AY8" s="113">
        <v>30</v>
      </c>
      <c r="AZ8" s="113">
        <v>121</v>
      </c>
      <c r="BA8" s="114">
        <v>27</v>
      </c>
    </row>
    <row r="9" spans="1:53" ht="13.5" customHeight="1">
      <c r="A9" s="90" t="s">
        <v>72</v>
      </c>
      <c r="B9" s="90" t="s">
        <v>184</v>
      </c>
      <c r="C9" s="90">
        <v>2021</v>
      </c>
      <c r="D9" s="99" t="s">
        <v>394</v>
      </c>
      <c r="E9" s="90" t="s">
        <v>395</v>
      </c>
      <c r="F9" s="90" t="s">
        <v>396</v>
      </c>
      <c r="G9" s="90" t="s">
        <v>39</v>
      </c>
      <c r="H9" s="90" t="s">
        <v>156</v>
      </c>
      <c r="I9" s="90" t="s">
        <v>41</v>
      </c>
      <c r="J9" s="90" t="s">
        <v>42</v>
      </c>
      <c r="K9" s="90" t="s">
        <v>78</v>
      </c>
      <c r="L9" s="90">
        <v>2</v>
      </c>
      <c r="M9" s="90"/>
      <c r="N9" s="101">
        <v>1</v>
      </c>
      <c r="O9" s="90">
        <v>0.65</v>
      </c>
      <c r="P9" s="90">
        <v>0.65</v>
      </c>
      <c r="Q9" s="100">
        <f t="shared" si="0"/>
        <v>0.65</v>
      </c>
      <c r="R9" s="101">
        <v>15.2</v>
      </c>
      <c r="S9" s="101">
        <v>104</v>
      </c>
      <c r="T9" s="102">
        <f t="shared" si="1"/>
        <v>36</v>
      </c>
      <c r="U9" s="101">
        <v>138</v>
      </c>
      <c r="V9" s="103">
        <f t="shared" si="2"/>
        <v>4968</v>
      </c>
      <c r="W9" s="101">
        <v>8</v>
      </c>
      <c r="X9" s="90" t="s">
        <v>63</v>
      </c>
      <c r="Y9" s="90" t="s">
        <v>46</v>
      </c>
      <c r="Z9" s="90" t="s">
        <v>45</v>
      </c>
      <c r="AA9" s="90" t="s">
        <v>160</v>
      </c>
      <c r="AB9" s="90" t="s">
        <v>166</v>
      </c>
      <c r="AC9" s="90"/>
      <c r="AD9" s="90"/>
      <c r="AE9" s="110" t="s">
        <v>206</v>
      </c>
      <c r="AF9" s="90"/>
      <c r="AG9" s="105" t="s">
        <v>408</v>
      </c>
      <c r="AH9" s="105" t="s">
        <v>409</v>
      </c>
      <c r="AI9" s="90"/>
      <c r="AJ9" s="90"/>
      <c r="AK9" s="90"/>
      <c r="AL9" s="111" t="s">
        <v>209</v>
      </c>
      <c r="AM9" s="90"/>
      <c r="AN9" s="90"/>
      <c r="AO9" s="90"/>
      <c r="AP9" s="111" t="s">
        <v>103</v>
      </c>
      <c r="AQ9" s="90"/>
      <c r="AR9" s="111" t="s">
        <v>210</v>
      </c>
      <c r="AS9" s="90"/>
      <c r="AT9" s="90"/>
      <c r="AU9" s="90"/>
      <c r="AV9" s="111" t="s">
        <v>105</v>
      </c>
      <c r="AW9" s="90"/>
      <c r="AX9" s="112">
        <v>128</v>
      </c>
      <c r="AY9" s="113">
        <v>27</v>
      </c>
      <c r="AZ9" s="113">
        <v>129</v>
      </c>
      <c r="BA9" s="114">
        <v>25</v>
      </c>
    </row>
    <row r="10" spans="1:53" ht="13.5" customHeight="1">
      <c r="A10" s="90" t="s">
        <v>72</v>
      </c>
      <c r="B10" s="90" t="s">
        <v>184</v>
      </c>
      <c r="C10" s="90">
        <v>2021</v>
      </c>
      <c r="D10" s="99" t="s">
        <v>394</v>
      </c>
      <c r="E10" s="90" t="s">
        <v>395</v>
      </c>
      <c r="F10" s="90" t="s">
        <v>396</v>
      </c>
      <c r="G10" s="90" t="s">
        <v>39</v>
      </c>
      <c r="H10" s="90" t="s">
        <v>156</v>
      </c>
      <c r="I10" s="90" t="s">
        <v>41</v>
      </c>
      <c r="J10" s="90" t="s">
        <v>42</v>
      </c>
      <c r="K10" s="90" t="s">
        <v>78</v>
      </c>
      <c r="L10" s="90">
        <v>3</v>
      </c>
      <c r="M10" s="90"/>
      <c r="N10" s="101">
        <v>1</v>
      </c>
      <c r="O10" s="90">
        <v>0.7</v>
      </c>
      <c r="P10" s="90">
        <v>0.6</v>
      </c>
      <c r="Q10" s="100">
        <f t="shared" si="0"/>
        <v>0.64999999999999991</v>
      </c>
      <c r="R10" s="101">
        <v>15.5</v>
      </c>
      <c r="S10" s="101">
        <v>104</v>
      </c>
      <c r="T10" s="102">
        <f t="shared" si="1"/>
        <v>36</v>
      </c>
      <c r="U10" s="101">
        <v>138</v>
      </c>
      <c r="V10" s="103">
        <f t="shared" si="2"/>
        <v>4968</v>
      </c>
      <c r="W10" s="101">
        <v>8</v>
      </c>
      <c r="X10" s="90" t="s">
        <v>63</v>
      </c>
      <c r="Y10" s="90" t="s">
        <v>46</v>
      </c>
      <c r="Z10" s="90" t="s">
        <v>45</v>
      </c>
      <c r="AA10" s="90" t="s">
        <v>160</v>
      </c>
      <c r="AB10" s="90" t="s">
        <v>166</v>
      </c>
      <c r="AC10" s="90"/>
      <c r="AD10" s="90"/>
      <c r="AE10" s="110" t="s">
        <v>211</v>
      </c>
      <c r="AF10" s="90"/>
      <c r="AG10" s="105" t="s">
        <v>410</v>
      </c>
      <c r="AH10" s="111" t="s">
        <v>409</v>
      </c>
      <c r="AI10" s="90"/>
      <c r="AJ10" s="90"/>
      <c r="AK10" s="90"/>
      <c r="AL10" s="90"/>
      <c r="AM10" s="90"/>
      <c r="AN10" s="90"/>
      <c r="AO10" s="90"/>
      <c r="AP10" s="111" t="s">
        <v>109</v>
      </c>
      <c r="AQ10" s="90"/>
      <c r="AR10" s="111" t="s">
        <v>213</v>
      </c>
      <c r="AS10" s="90"/>
      <c r="AT10" s="90"/>
      <c r="AU10" s="90"/>
      <c r="AV10" s="111" t="s">
        <v>111</v>
      </c>
      <c r="AW10" s="90"/>
      <c r="AX10" s="112">
        <v>138</v>
      </c>
      <c r="AY10" s="113">
        <v>25</v>
      </c>
      <c r="AZ10" s="113">
        <v>138</v>
      </c>
      <c r="BA10" s="114">
        <v>22</v>
      </c>
    </row>
    <row r="11" spans="1:53" ht="13.5" customHeight="1">
      <c r="A11" s="90" t="s">
        <v>72</v>
      </c>
      <c r="B11" s="90" t="s">
        <v>184</v>
      </c>
      <c r="C11" s="90">
        <v>2021</v>
      </c>
      <c r="D11" s="99" t="s">
        <v>394</v>
      </c>
      <c r="E11" s="90" t="s">
        <v>395</v>
      </c>
      <c r="F11" s="90" t="s">
        <v>396</v>
      </c>
      <c r="G11" s="90" t="s">
        <v>39</v>
      </c>
      <c r="H11" s="90" t="s">
        <v>156</v>
      </c>
      <c r="I11" s="90" t="s">
        <v>41</v>
      </c>
      <c r="J11" s="90" t="s">
        <v>42</v>
      </c>
      <c r="K11" s="90" t="s">
        <v>78</v>
      </c>
      <c r="L11" s="90">
        <v>1</v>
      </c>
      <c r="M11" s="90"/>
      <c r="N11" s="101">
        <v>4</v>
      </c>
      <c r="O11" s="90">
        <v>0.65</v>
      </c>
      <c r="P11" s="90">
        <v>0.65</v>
      </c>
      <c r="Q11" s="100">
        <f t="shared" si="0"/>
        <v>0.65</v>
      </c>
      <c r="R11" s="101">
        <v>17.2</v>
      </c>
      <c r="S11" s="101">
        <v>88</v>
      </c>
      <c r="T11" s="102">
        <f t="shared" si="1"/>
        <v>39</v>
      </c>
      <c r="U11" s="101">
        <v>598</v>
      </c>
      <c r="V11" s="103">
        <f t="shared" si="2"/>
        <v>5830.5</v>
      </c>
      <c r="W11" s="101">
        <v>8</v>
      </c>
      <c r="X11" s="90" t="s">
        <v>63</v>
      </c>
      <c r="Y11" s="90" t="s">
        <v>46</v>
      </c>
      <c r="Z11" s="90" t="s">
        <v>45</v>
      </c>
      <c r="AA11" s="90" t="s">
        <v>160</v>
      </c>
      <c r="AB11" s="90" t="s">
        <v>166</v>
      </c>
      <c r="AC11" s="90"/>
      <c r="AD11" s="90"/>
      <c r="AE11" s="110" t="s">
        <v>139</v>
      </c>
      <c r="AF11" s="90"/>
      <c r="AG11" s="105" t="s">
        <v>395</v>
      </c>
      <c r="AH11" s="111" t="s">
        <v>396</v>
      </c>
      <c r="AI11" s="90"/>
      <c r="AJ11" s="90"/>
      <c r="AK11" s="90"/>
      <c r="AL11" s="90"/>
      <c r="AM11" s="90"/>
      <c r="AN11" s="90"/>
      <c r="AO11" s="90"/>
      <c r="AP11" s="111" t="s">
        <v>216</v>
      </c>
      <c r="AQ11" s="90"/>
      <c r="AR11" s="111" t="s">
        <v>217</v>
      </c>
      <c r="AS11" s="90"/>
      <c r="AT11" s="90"/>
      <c r="AU11" s="90"/>
      <c r="AV11" s="111" t="s">
        <v>160</v>
      </c>
      <c r="AW11" s="90"/>
      <c r="AX11" s="112">
        <v>151</v>
      </c>
      <c r="AY11" s="113">
        <v>22</v>
      </c>
      <c r="AZ11" s="113">
        <v>152</v>
      </c>
      <c r="BA11" s="114">
        <v>18</v>
      </c>
    </row>
    <row r="12" spans="1:53" ht="13.5" customHeight="1">
      <c r="A12" s="90" t="s">
        <v>72</v>
      </c>
      <c r="B12" s="90" t="s">
        <v>184</v>
      </c>
      <c r="C12" s="90">
        <v>2021</v>
      </c>
      <c r="D12" s="99" t="s">
        <v>394</v>
      </c>
      <c r="E12" s="90" t="s">
        <v>395</v>
      </c>
      <c r="F12" s="90" t="s">
        <v>396</v>
      </c>
      <c r="G12" s="90" t="s">
        <v>39</v>
      </c>
      <c r="H12" s="90" t="s">
        <v>156</v>
      </c>
      <c r="I12" s="90" t="s">
        <v>41</v>
      </c>
      <c r="J12" s="90" t="s">
        <v>42</v>
      </c>
      <c r="K12" s="90" t="s">
        <v>78</v>
      </c>
      <c r="L12" s="90">
        <v>2</v>
      </c>
      <c r="M12" s="90"/>
      <c r="N12" s="101">
        <v>4</v>
      </c>
      <c r="O12" s="90">
        <v>0.6</v>
      </c>
      <c r="P12" s="90">
        <v>0.6</v>
      </c>
      <c r="Q12" s="100">
        <f t="shared" si="0"/>
        <v>0.6</v>
      </c>
      <c r="R12" s="101">
        <v>17.7</v>
      </c>
      <c r="S12" s="101">
        <v>96</v>
      </c>
      <c r="T12" s="102">
        <f t="shared" si="1"/>
        <v>39</v>
      </c>
      <c r="U12" s="101">
        <v>598</v>
      </c>
      <c r="V12" s="103">
        <f t="shared" si="2"/>
        <v>5830.5</v>
      </c>
      <c r="W12" s="101">
        <v>8</v>
      </c>
      <c r="X12" s="90" t="s">
        <v>63</v>
      </c>
      <c r="Y12" s="90" t="s">
        <v>46</v>
      </c>
      <c r="Z12" s="90" t="s">
        <v>45</v>
      </c>
      <c r="AA12" s="90" t="s">
        <v>160</v>
      </c>
      <c r="AB12" s="90" t="s">
        <v>166</v>
      </c>
      <c r="AC12" s="90"/>
      <c r="AD12" s="90"/>
      <c r="AE12" s="110" t="s">
        <v>218</v>
      </c>
      <c r="AF12" s="90"/>
      <c r="AG12" s="111"/>
      <c r="AH12" s="111"/>
      <c r="AI12" s="90"/>
      <c r="AJ12" s="90"/>
      <c r="AK12" s="90"/>
      <c r="AL12" s="90"/>
      <c r="AM12" s="90"/>
      <c r="AN12" s="90"/>
      <c r="AO12" s="90"/>
      <c r="AP12" s="111" t="s">
        <v>219</v>
      </c>
      <c r="AQ12" s="90"/>
      <c r="AR12" s="111" t="s">
        <v>220</v>
      </c>
      <c r="AS12" s="90"/>
      <c r="AT12" s="90"/>
      <c r="AU12" s="90"/>
      <c r="AV12" s="111" t="s">
        <v>221</v>
      </c>
      <c r="AW12" s="90"/>
      <c r="AX12" s="118">
        <v>180</v>
      </c>
      <c r="AY12" s="119">
        <v>18</v>
      </c>
      <c r="AZ12" s="119">
        <v>181</v>
      </c>
      <c r="BA12" s="120">
        <v>16</v>
      </c>
    </row>
    <row r="13" spans="1:53" ht="13.5" customHeight="1">
      <c r="A13" s="90" t="s">
        <v>72</v>
      </c>
      <c r="B13" s="90" t="s">
        <v>184</v>
      </c>
      <c r="C13" s="90">
        <v>2021</v>
      </c>
      <c r="D13" s="99" t="s">
        <v>394</v>
      </c>
      <c r="E13" s="90" t="s">
        <v>395</v>
      </c>
      <c r="F13" s="90" t="s">
        <v>396</v>
      </c>
      <c r="G13" s="90" t="s">
        <v>39</v>
      </c>
      <c r="H13" s="90" t="s">
        <v>156</v>
      </c>
      <c r="I13" s="90" t="s">
        <v>41</v>
      </c>
      <c r="J13" s="90" t="s">
        <v>42</v>
      </c>
      <c r="K13" s="90" t="s">
        <v>78</v>
      </c>
      <c r="L13" s="90">
        <v>3</v>
      </c>
      <c r="M13" s="90"/>
      <c r="N13" s="101">
        <v>4</v>
      </c>
      <c r="O13" s="90">
        <v>0.7</v>
      </c>
      <c r="P13" s="90">
        <v>0.65</v>
      </c>
      <c r="Q13" s="100">
        <f t="shared" si="0"/>
        <v>0.67500000000000004</v>
      </c>
      <c r="R13" s="101">
        <v>17.399999999999999</v>
      </c>
      <c r="S13" s="101">
        <v>95</v>
      </c>
      <c r="T13" s="102">
        <f t="shared" si="1"/>
        <v>39</v>
      </c>
      <c r="U13" s="101">
        <v>598</v>
      </c>
      <c r="V13" s="103">
        <f t="shared" si="2"/>
        <v>5830.5</v>
      </c>
      <c r="W13" s="101">
        <v>8</v>
      </c>
      <c r="X13" s="90" t="s">
        <v>63</v>
      </c>
      <c r="Y13" s="90" t="s">
        <v>46</v>
      </c>
      <c r="Z13" s="90" t="s">
        <v>45</v>
      </c>
      <c r="AA13" s="90" t="s">
        <v>160</v>
      </c>
      <c r="AB13" s="90" t="s">
        <v>166</v>
      </c>
      <c r="AC13" s="90"/>
      <c r="AD13" s="90"/>
      <c r="AE13" s="110" t="s">
        <v>222</v>
      </c>
      <c r="AF13" s="90"/>
      <c r="AG13" s="111"/>
      <c r="AH13" s="111"/>
      <c r="AI13" s="90"/>
      <c r="AJ13" s="90"/>
      <c r="AK13" s="90"/>
      <c r="AL13" s="90"/>
      <c r="AM13" s="90"/>
      <c r="AN13" s="90"/>
      <c r="AO13" s="90"/>
      <c r="AP13" s="111" t="s">
        <v>223</v>
      </c>
      <c r="AQ13" s="90"/>
      <c r="AR13" s="111" t="s">
        <v>211</v>
      </c>
      <c r="AS13" s="90"/>
      <c r="AT13" s="90"/>
      <c r="AU13" s="90"/>
      <c r="AV13" s="111" t="s">
        <v>224</v>
      </c>
      <c r="AW13" s="90"/>
      <c r="AX13" s="90"/>
      <c r="AY13" s="90"/>
      <c r="AZ13" s="90"/>
      <c r="BA13" s="90"/>
    </row>
    <row r="14" spans="1:53" ht="13.5" customHeight="1">
      <c r="A14" s="90" t="s">
        <v>72</v>
      </c>
      <c r="B14" s="90" t="s">
        <v>184</v>
      </c>
      <c r="C14" s="90">
        <v>2021</v>
      </c>
      <c r="D14" s="99" t="s">
        <v>394</v>
      </c>
      <c r="E14" s="90" t="s">
        <v>214</v>
      </c>
      <c r="F14" s="90" t="s">
        <v>397</v>
      </c>
      <c r="G14" s="90" t="s">
        <v>39</v>
      </c>
      <c r="H14" s="90" t="s">
        <v>40</v>
      </c>
      <c r="I14" s="90" t="s">
        <v>41</v>
      </c>
      <c r="J14" s="90" t="s">
        <v>42</v>
      </c>
      <c r="K14" s="90" t="s">
        <v>43</v>
      </c>
      <c r="L14" s="90">
        <v>1</v>
      </c>
      <c r="M14" s="90"/>
      <c r="N14" s="101">
        <v>1</v>
      </c>
      <c r="O14" s="90">
        <v>1.1000000000000001</v>
      </c>
      <c r="P14" s="90">
        <v>1</v>
      </c>
      <c r="Q14" s="100">
        <f t="shared" si="0"/>
        <v>1.05</v>
      </c>
      <c r="R14" s="101">
        <v>13.9</v>
      </c>
      <c r="S14" s="101">
        <v>122</v>
      </c>
      <c r="T14" s="102">
        <f t="shared" si="1"/>
        <v>27</v>
      </c>
      <c r="U14" s="101">
        <v>87</v>
      </c>
      <c r="V14" s="103">
        <f t="shared" si="2"/>
        <v>2349</v>
      </c>
      <c r="W14" s="101">
        <v>6</v>
      </c>
      <c r="X14" s="90" t="s">
        <v>63</v>
      </c>
      <c r="Y14" s="90" t="s">
        <v>46</v>
      </c>
      <c r="Z14" s="90" t="s">
        <v>54</v>
      </c>
      <c r="AA14" s="90" t="s">
        <v>160</v>
      </c>
      <c r="AB14" s="90" t="s">
        <v>166</v>
      </c>
      <c r="AC14" s="90"/>
      <c r="AD14" s="90"/>
      <c r="AE14" s="110" t="s">
        <v>126</v>
      </c>
      <c r="AF14" s="90"/>
      <c r="AG14" s="111"/>
      <c r="AH14" s="111"/>
      <c r="AI14" s="90"/>
      <c r="AJ14" s="90"/>
      <c r="AK14" s="90"/>
      <c r="AL14" s="90"/>
      <c r="AM14" s="90"/>
      <c r="AN14" s="90"/>
      <c r="AO14" s="90"/>
      <c r="AP14" s="111" t="s">
        <v>113</v>
      </c>
      <c r="AQ14" s="90"/>
      <c r="AR14" s="111" t="s">
        <v>226</v>
      </c>
      <c r="AS14" s="90"/>
      <c r="AT14" s="90"/>
      <c r="AU14" s="90"/>
      <c r="AV14" s="111" t="s">
        <v>115</v>
      </c>
      <c r="AW14" s="90"/>
      <c r="AX14" s="90"/>
      <c r="AY14" s="90"/>
      <c r="AZ14" s="90"/>
      <c r="BA14" s="90"/>
    </row>
    <row r="15" spans="1:53" ht="13.5" customHeight="1">
      <c r="A15" s="90" t="s">
        <v>72</v>
      </c>
      <c r="B15" s="90" t="s">
        <v>184</v>
      </c>
      <c r="C15" s="90">
        <v>2021</v>
      </c>
      <c r="D15" s="99" t="s">
        <v>394</v>
      </c>
      <c r="E15" s="90" t="s">
        <v>214</v>
      </c>
      <c r="F15" s="90" t="s">
        <v>397</v>
      </c>
      <c r="G15" s="90" t="s">
        <v>39</v>
      </c>
      <c r="H15" s="90" t="s">
        <v>40</v>
      </c>
      <c r="I15" s="90" t="s">
        <v>41</v>
      </c>
      <c r="J15" s="90" t="s">
        <v>42</v>
      </c>
      <c r="K15" s="90" t="s">
        <v>43</v>
      </c>
      <c r="L15" s="90">
        <v>2</v>
      </c>
      <c r="M15" s="90"/>
      <c r="N15" s="101">
        <v>1</v>
      </c>
      <c r="O15" s="90">
        <v>1</v>
      </c>
      <c r="P15" s="90">
        <v>1.05</v>
      </c>
      <c r="Q15" s="100">
        <f t="shared" si="0"/>
        <v>1.0249999999999999</v>
      </c>
      <c r="R15" s="101">
        <v>13.5</v>
      </c>
      <c r="S15" s="101">
        <v>120</v>
      </c>
      <c r="T15" s="102">
        <f t="shared" si="1"/>
        <v>30</v>
      </c>
      <c r="U15" s="101">
        <v>87</v>
      </c>
      <c r="V15" s="103">
        <f t="shared" si="2"/>
        <v>2610</v>
      </c>
      <c r="W15" s="101">
        <v>6</v>
      </c>
      <c r="X15" s="90" t="s">
        <v>63</v>
      </c>
      <c r="Y15" s="90" t="s">
        <v>46</v>
      </c>
      <c r="Z15" s="90" t="s">
        <v>54</v>
      </c>
      <c r="AA15" s="90" t="s">
        <v>160</v>
      </c>
      <c r="AB15" s="90" t="s">
        <v>166</v>
      </c>
      <c r="AC15" s="90"/>
      <c r="AD15" s="90"/>
      <c r="AE15" s="110" t="s">
        <v>227</v>
      </c>
      <c r="AF15" s="90"/>
      <c r="AG15" s="111"/>
      <c r="AH15" s="111"/>
      <c r="AI15" s="90"/>
      <c r="AJ15" s="90"/>
      <c r="AK15" s="90"/>
      <c r="AL15" s="90"/>
      <c r="AM15" s="90"/>
      <c r="AN15" s="90"/>
      <c r="AO15" s="90"/>
      <c r="AP15" s="111" t="s">
        <v>117</v>
      </c>
      <c r="AQ15" s="90"/>
      <c r="AR15" s="111" t="s">
        <v>121</v>
      </c>
      <c r="AS15" s="90"/>
      <c r="AT15" s="90"/>
      <c r="AU15" s="90"/>
      <c r="AV15" s="111" t="s">
        <v>119</v>
      </c>
      <c r="AW15" s="90"/>
      <c r="AX15" s="90"/>
      <c r="AY15" s="90"/>
      <c r="AZ15" s="90"/>
      <c r="BA15" s="90"/>
    </row>
    <row r="16" spans="1:53" ht="13.5" customHeight="1">
      <c r="A16" s="90" t="s">
        <v>72</v>
      </c>
      <c r="B16" s="90" t="s">
        <v>184</v>
      </c>
      <c r="C16" s="90">
        <v>2021</v>
      </c>
      <c r="D16" s="99" t="s">
        <v>394</v>
      </c>
      <c r="E16" s="90" t="s">
        <v>214</v>
      </c>
      <c r="F16" s="90" t="s">
        <v>397</v>
      </c>
      <c r="G16" s="90" t="s">
        <v>39</v>
      </c>
      <c r="H16" s="90" t="s">
        <v>40</v>
      </c>
      <c r="I16" s="90" t="s">
        <v>41</v>
      </c>
      <c r="J16" s="90" t="s">
        <v>42</v>
      </c>
      <c r="K16" s="90" t="s">
        <v>43</v>
      </c>
      <c r="L16" s="90">
        <v>3</v>
      </c>
      <c r="M16" s="90"/>
      <c r="N16" s="101">
        <v>1</v>
      </c>
      <c r="O16" s="90">
        <v>0.95</v>
      </c>
      <c r="P16" s="90">
        <v>1</v>
      </c>
      <c r="Q16" s="100">
        <f t="shared" si="0"/>
        <v>0.97499999999999998</v>
      </c>
      <c r="R16" s="101">
        <v>13.7</v>
      </c>
      <c r="S16" s="101">
        <v>120</v>
      </c>
      <c r="T16" s="102">
        <f t="shared" si="1"/>
        <v>30</v>
      </c>
      <c r="U16" s="101">
        <v>87</v>
      </c>
      <c r="V16" s="103">
        <f t="shared" si="2"/>
        <v>2610</v>
      </c>
      <c r="W16" s="101">
        <v>6</v>
      </c>
      <c r="X16" s="90" t="s">
        <v>63</v>
      </c>
      <c r="Y16" s="90" t="s">
        <v>46</v>
      </c>
      <c r="Z16" s="90" t="s">
        <v>54</v>
      </c>
      <c r="AA16" s="90" t="s">
        <v>160</v>
      </c>
      <c r="AB16" s="90" t="s">
        <v>166</v>
      </c>
      <c r="AC16" s="90"/>
      <c r="AD16" s="90"/>
      <c r="AE16" s="110" t="s">
        <v>228</v>
      </c>
      <c r="AF16" s="90"/>
      <c r="AG16" s="116"/>
      <c r="AH16" s="116"/>
      <c r="AI16" s="90"/>
      <c r="AJ16" s="90"/>
      <c r="AK16" s="90"/>
      <c r="AL16" s="90"/>
      <c r="AM16" s="90"/>
      <c r="AN16" s="90"/>
      <c r="AO16" s="90"/>
      <c r="AP16" s="111" t="s">
        <v>121</v>
      </c>
      <c r="AQ16" s="90"/>
      <c r="AR16" s="111" t="s">
        <v>122</v>
      </c>
      <c r="AS16" s="90"/>
      <c r="AT16" s="90"/>
      <c r="AU16" s="90"/>
      <c r="AV16" s="111" t="s">
        <v>46</v>
      </c>
      <c r="AW16" s="90"/>
      <c r="AX16" s="90"/>
      <c r="AY16" s="90"/>
      <c r="AZ16" s="90"/>
      <c r="BA16" s="90"/>
    </row>
    <row r="17" spans="1:53" ht="13.5" customHeight="1">
      <c r="A17" s="90" t="s">
        <v>72</v>
      </c>
      <c r="B17" s="90" t="s">
        <v>184</v>
      </c>
      <c r="C17" s="90">
        <v>2021</v>
      </c>
      <c r="D17" s="99" t="s">
        <v>394</v>
      </c>
      <c r="E17" s="90" t="s">
        <v>214</v>
      </c>
      <c r="F17" s="90" t="s">
        <v>397</v>
      </c>
      <c r="G17" s="90" t="s">
        <v>39</v>
      </c>
      <c r="H17" s="90" t="s">
        <v>40</v>
      </c>
      <c r="I17" s="90" t="s">
        <v>41</v>
      </c>
      <c r="J17" s="90" t="s">
        <v>42</v>
      </c>
      <c r="K17" s="90" t="s">
        <v>43</v>
      </c>
      <c r="L17" s="90">
        <v>1</v>
      </c>
      <c r="M17" s="90"/>
      <c r="N17" s="101">
        <v>5</v>
      </c>
      <c r="O17" s="90">
        <v>0.8</v>
      </c>
      <c r="P17" s="90">
        <v>0.8</v>
      </c>
      <c r="Q17" s="100">
        <f t="shared" si="0"/>
        <v>0.8</v>
      </c>
      <c r="R17" s="101">
        <v>15.5</v>
      </c>
      <c r="S17" s="101">
        <v>79</v>
      </c>
      <c r="T17" s="102">
        <f t="shared" si="1"/>
        <v>39</v>
      </c>
      <c r="U17" s="101">
        <v>377</v>
      </c>
      <c r="V17" s="103">
        <f t="shared" si="2"/>
        <v>2940.6000000000004</v>
      </c>
      <c r="W17" s="101">
        <v>6</v>
      </c>
      <c r="X17" s="90" t="s">
        <v>63</v>
      </c>
      <c r="Y17" s="90" t="s">
        <v>46</v>
      </c>
      <c r="Z17" s="90" t="s">
        <v>54</v>
      </c>
      <c r="AA17" s="90" t="s">
        <v>160</v>
      </c>
      <c r="AB17" s="90" t="s">
        <v>166</v>
      </c>
      <c r="AC17" s="90"/>
      <c r="AD17" s="90"/>
      <c r="AE17" s="110" t="s">
        <v>229</v>
      </c>
      <c r="AF17" s="90"/>
      <c r="AG17" s="90"/>
      <c r="AH17" s="90"/>
      <c r="AI17" s="90"/>
      <c r="AJ17" s="90"/>
      <c r="AK17" s="90"/>
      <c r="AL17" s="90"/>
      <c r="AM17" s="90"/>
      <c r="AN17" s="90"/>
      <c r="AO17" s="90"/>
      <c r="AP17" s="115" t="s">
        <v>230</v>
      </c>
      <c r="AQ17" s="90"/>
      <c r="AR17" s="111" t="s">
        <v>126</v>
      </c>
      <c r="AS17" s="90"/>
      <c r="AT17" s="90"/>
      <c r="AU17" s="90"/>
      <c r="AV17" s="111" t="s">
        <v>127</v>
      </c>
      <c r="AW17" s="90"/>
      <c r="AX17" s="90"/>
      <c r="AY17" s="90"/>
      <c r="AZ17" s="90"/>
      <c r="BA17" s="90"/>
    </row>
    <row r="18" spans="1:53" ht="13.5" customHeight="1">
      <c r="A18" s="90" t="s">
        <v>72</v>
      </c>
      <c r="B18" s="90" t="s">
        <v>184</v>
      </c>
      <c r="C18" s="90">
        <v>2021</v>
      </c>
      <c r="D18" s="99" t="s">
        <v>394</v>
      </c>
      <c r="E18" s="90" t="s">
        <v>214</v>
      </c>
      <c r="F18" s="90" t="s">
        <v>397</v>
      </c>
      <c r="G18" s="90" t="s">
        <v>39</v>
      </c>
      <c r="H18" s="90" t="s">
        <v>40</v>
      </c>
      <c r="I18" s="90" t="s">
        <v>41</v>
      </c>
      <c r="J18" s="90" t="s">
        <v>42</v>
      </c>
      <c r="K18" s="90" t="s">
        <v>43</v>
      </c>
      <c r="L18" s="90">
        <v>2</v>
      </c>
      <c r="M18" s="90"/>
      <c r="N18" s="101">
        <v>5</v>
      </c>
      <c r="O18" s="90">
        <v>0.7</v>
      </c>
      <c r="P18" s="90">
        <v>0.7</v>
      </c>
      <c r="Q18" s="100">
        <f t="shared" si="0"/>
        <v>0.7</v>
      </c>
      <c r="R18" s="101">
        <v>16.3</v>
      </c>
      <c r="S18" s="101">
        <v>80</v>
      </c>
      <c r="T18" s="102">
        <f t="shared" si="1"/>
        <v>39</v>
      </c>
      <c r="U18" s="101">
        <v>377</v>
      </c>
      <c r="V18" s="103">
        <f t="shared" si="2"/>
        <v>2940.6000000000004</v>
      </c>
      <c r="W18" s="101">
        <v>6</v>
      </c>
      <c r="X18" s="90" t="s">
        <v>63</v>
      </c>
      <c r="Y18" s="90" t="s">
        <v>46</v>
      </c>
      <c r="Z18" s="90" t="s">
        <v>54</v>
      </c>
      <c r="AA18" s="90" t="s">
        <v>160</v>
      </c>
      <c r="AB18" s="90" t="s">
        <v>166</v>
      </c>
      <c r="AC18" s="90"/>
      <c r="AD18" s="90"/>
      <c r="AE18" s="110" t="s">
        <v>217</v>
      </c>
      <c r="AF18" s="90"/>
      <c r="AG18" s="90"/>
      <c r="AH18" s="90"/>
      <c r="AI18" s="90"/>
      <c r="AJ18" s="90"/>
      <c r="AK18" s="90"/>
      <c r="AL18" s="90"/>
      <c r="AM18" s="90"/>
      <c r="AN18" s="90"/>
      <c r="AO18" s="90"/>
      <c r="AP18" s="115" t="s">
        <v>231</v>
      </c>
      <c r="AQ18" s="90"/>
      <c r="AR18" s="111" t="s">
        <v>130</v>
      </c>
      <c r="AS18" s="90"/>
      <c r="AT18" s="90"/>
      <c r="AU18" s="90"/>
      <c r="AV18" s="111" t="s">
        <v>131</v>
      </c>
      <c r="AW18" s="90"/>
      <c r="AX18" s="90"/>
      <c r="AY18" s="90"/>
      <c r="AZ18" s="90"/>
      <c r="BA18" s="90"/>
    </row>
    <row r="19" spans="1:53" ht="13.5" customHeight="1">
      <c r="A19" s="90" t="s">
        <v>72</v>
      </c>
      <c r="B19" s="90" t="s">
        <v>184</v>
      </c>
      <c r="C19" s="90">
        <v>2021</v>
      </c>
      <c r="D19" s="99" t="s">
        <v>394</v>
      </c>
      <c r="E19" s="90" t="s">
        <v>214</v>
      </c>
      <c r="F19" s="90" t="s">
        <v>397</v>
      </c>
      <c r="G19" s="90" t="s">
        <v>39</v>
      </c>
      <c r="H19" s="90" t="s">
        <v>40</v>
      </c>
      <c r="I19" s="90" t="s">
        <v>41</v>
      </c>
      <c r="J19" s="90" t="s">
        <v>42</v>
      </c>
      <c r="K19" s="90" t="s">
        <v>43</v>
      </c>
      <c r="L19" s="90">
        <v>3</v>
      </c>
      <c r="M19" s="90"/>
      <c r="N19" s="101">
        <v>5</v>
      </c>
      <c r="O19" s="90">
        <v>0.8</v>
      </c>
      <c r="P19" s="90">
        <v>0.75</v>
      </c>
      <c r="Q19" s="100">
        <f t="shared" si="0"/>
        <v>0.77500000000000002</v>
      </c>
      <c r="R19" s="101">
        <v>15.8</v>
      </c>
      <c r="S19" s="101">
        <v>75</v>
      </c>
      <c r="T19" s="102">
        <f t="shared" si="1"/>
        <v>42</v>
      </c>
      <c r="U19" s="101">
        <v>377</v>
      </c>
      <c r="V19" s="103">
        <f t="shared" si="2"/>
        <v>3166.8</v>
      </c>
      <c r="W19" s="101">
        <v>6</v>
      </c>
      <c r="X19" s="90" t="s">
        <v>63</v>
      </c>
      <c r="Y19" s="90" t="s">
        <v>46</v>
      </c>
      <c r="Z19" s="90" t="s">
        <v>54</v>
      </c>
      <c r="AA19" s="90" t="s">
        <v>160</v>
      </c>
      <c r="AB19" s="90" t="s">
        <v>166</v>
      </c>
      <c r="AC19" s="90"/>
      <c r="AD19" s="90"/>
      <c r="AE19" s="121" t="s">
        <v>210</v>
      </c>
      <c r="AF19" s="90"/>
      <c r="AG19" s="90"/>
      <c r="AH19" s="90"/>
      <c r="AI19" s="90"/>
      <c r="AJ19" s="90"/>
      <c r="AK19" s="90"/>
      <c r="AL19" s="90"/>
      <c r="AM19" s="90"/>
      <c r="AN19" s="90"/>
      <c r="AO19" s="90"/>
      <c r="AP19" s="115" t="s">
        <v>232</v>
      </c>
      <c r="AQ19" s="90"/>
      <c r="AR19" s="111" t="s">
        <v>233</v>
      </c>
      <c r="AS19" s="90"/>
      <c r="AT19" s="90"/>
      <c r="AU19" s="90"/>
      <c r="AV19" s="111" t="s">
        <v>45</v>
      </c>
      <c r="AW19" s="90"/>
      <c r="AX19" s="90"/>
      <c r="AY19" s="90"/>
      <c r="AZ19" s="90"/>
      <c r="BA19" s="90"/>
    </row>
    <row r="20" spans="1:53" ht="13.5" customHeight="1">
      <c r="A20" s="90" t="s">
        <v>72</v>
      </c>
      <c r="B20" s="90" t="s">
        <v>184</v>
      </c>
      <c r="C20" s="90">
        <v>2021</v>
      </c>
      <c r="D20" s="99" t="s">
        <v>394</v>
      </c>
      <c r="E20" s="90" t="s">
        <v>214</v>
      </c>
      <c r="F20" s="90" t="s">
        <v>397</v>
      </c>
      <c r="G20" s="90" t="s">
        <v>39</v>
      </c>
      <c r="H20" s="90" t="s">
        <v>188</v>
      </c>
      <c r="I20" s="90" t="s">
        <v>41</v>
      </c>
      <c r="J20" s="90" t="s">
        <v>216</v>
      </c>
      <c r="K20" s="90" t="s">
        <v>213</v>
      </c>
      <c r="L20" s="90">
        <v>1</v>
      </c>
      <c r="M20" s="90"/>
      <c r="N20" s="101">
        <v>6</v>
      </c>
      <c r="O20" s="90">
        <v>1.55</v>
      </c>
      <c r="P20" s="90">
        <v>1.35</v>
      </c>
      <c r="Q20" s="100">
        <f t="shared" si="0"/>
        <v>1.4500000000000002</v>
      </c>
      <c r="R20" s="101">
        <v>16.2</v>
      </c>
      <c r="S20" s="101">
        <v>79</v>
      </c>
      <c r="T20" s="102">
        <f t="shared" si="1"/>
        <v>39</v>
      </c>
      <c r="U20" s="101">
        <v>397</v>
      </c>
      <c r="V20" s="103">
        <f t="shared" si="2"/>
        <v>2580.5</v>
      </c>
      <c r="W20" s="101">
        <v>6</v>
      </c>
      <c r="X20" s="90" t="s">
        <v>63</v>
      </c>
      <c r="Y20" s="90" t="s">
        <v>46</v>
      </c>
      <c r="Z20" s="90" t="s">
        <v>54</v>
      </c>
      <c r="AA20" s="90" t="s">
        <v>160</v>
      </c>
      <c r="AB20" s="90" t="s">
        <v>166</v>
      </c>
      <c r="AC20" s="90"/>
      <c r="AD20" s="90"/>
      <c r="AE20" s="121"/>
      <c r="AF20" s="90"/>
      <c r="AG20" s="90"/>
      <c r="AH20" s="90"/>
      <c r="AI20" s="90"/>
      <c r="AJ20" s="90"/>
      <c r="AK20" s="90"/>
      <c r="AL20" s="90"/>
      <c r="AM20" s="90"/>
      <c r="AN20" s="90"/>
      <c r="AO20" s="90"/>
      <c r="AP20" s="115" t="s">
        <v>234</v>
      </c>
      <c r="AQ20" s="90"/>
      <c r="AR20" s="111" t="s">
        <v>136</v>
      </c>
      <c r="AS20" s="90"/>
      <c r="AT20" s="90"/>
      <c r="AU20" s="90"/>
      <c r="AV20" s="115" t="s">
        <v>235</v>
      </c>
      <c r="AW20" s="90"/>
      <c r="AX20" s="90"/>
      <c r="AY20" s="90"/>
      <c r="AZ20" s="90"/>
      <c r="BA20" s="90"/>
    </row>
    <row r="21" spans="1:53" ht="13.5" customHeight="1">
      <c r="A21" s="90" t="s">
        <v>72</v>
      </c>
      <c r="B21" s="90" t="s">
        <v>184</v>
      </c>
      <c r="C21" s="90">
        <v>2021</v>
      </c>
      <c r="D21" s="99" t="s">
        <v>394</v>
      </c>
      <c r="E21" s="90" t="s">
        <v>214</v>
      </c>
      <c r="F21" s="90" t="s">
        <v>397</v>
      </c>
      <c r="G21" s="90" t="s">
        <v>39</v>
      </c>
      <c r="H21" s="90" t="s">
        <v>188</v>
      </c>
      <c r="I21" s="90" t="s">
        <v>41</v>
      </c>
      <c r="J21" s="90" t="s">
        <v>216</v>
      </c>
      <c r="K21" s="90" t="s">
        <v>213</v>
      </c>
      <c r="L21" s="90">
        <v>2</v>
      </c>
      <c r="M21" s="90"/>
      <c r="N21" s="101">
        <v>6</v>
      </c>
      <c r="O21" s="90">
        <v>1.25</v>
      </c>
      <c r="P21" s="90">
        <v>1.45</v>
      </c>
      <c r="Q21" s="100">
        <f t="shared" si="0"/>
        <v>1.35</v>
      </c>
      <c r="R21" s="101">
        <v>16.5</v>
      </c>
      <c r="S21" s="101">
        <v>80</v>
      </c>
      <c r="T21" s="102">
        <f t="shared" si="1"/>
        <v>39</v>
      </c>
      <c r="U21" s="101">
        <v>397</v>
      </c>
      <c r="V21" s="103">
        <f t="shared" si="2"/>
        <v>2580.5</v>
      </c>
      <c r="W21" s="101">
        <v>6</v>
      </c>
      <c r="X21" s="90" t="s">
        <v>63</v>
      </c>
      <c r="Y21" s="90" t="s">
        <v>46</v>
      </c>
      <c r="Z21" s="90" t="s">
        <v>54</v>
      </c>
      <c r="AA21" s="90" t="s">
        <v>160</v>
      </c>
      <c r="AB21" s="90" t="s">
        <v>166</v>
      </c>
      <c r="AC21" s="90"/>
      <c r="AD21" s="90"/>
      <c r="AE21" s="116"/>
      <c r="AF21" s="90"/>
      <c r="AG21" s="90"/>
      <c r="AH21" s="90"/>
      <c r="AI21" s="90"/>
      <c r="AJ21" s="90"/>
      <c r="AK21" s="90"/>
      <c r="AL21" s="90"/>
      <c r="AM21" s="90"/>
      <c r="AN21" s="90"/>
      <c r="AO21" s="90"/>
      <c r="AP21" s="115" t="s">
        <v>236</v>
      </c>
      <c r="AQ21" s="90"/>
      <c r="AR21" s="111" t="s">
        <v>139</v>
      </c>
      <c r="AS21" s="90"/>
      <c r="AT21" s="90"/>
      <c r="AU21" s="90"/>
      <c r="AV21" s="115" t="s">
        <v>237</v>
      </c>
      <c r="AW21" s="90"/>
      <c r="AX21" s="90"/>
      <c r="AY21" s="90"/>
      <c r="AZ21" s="90"/>
      <c r="BA21" s="90"/>
    </row>
    <row r="22" spans="1:53" ht="13.5" customHeight="1">
      <c r="A22" s="90" t="s">
        <v>72</v>
      </c>
      <c r="B22" s="90" t="s">
        <v>184</v>
      </c>
      <c r="C22" s="90">
        <v>2021</v>
      </c>
      <c r="D22" s="99" t="s">
        <v>394</v>
      </c>
      <c r="E22" s="90" t="s">
        <v>214</v>
      </c>
      <c r="F22" s="90" t="s">
        <v>397</v>
      </c>
      <c r="G22" s="90" t="s">
        <v>39</v>
      </c>
      <c r="H22" s="90" t="s">
        <v>188</v>
      </c>
      <c r="I22" s="90" t="s">
        <v>41</v>
      </c>
      <c r="J22" s="90" t="s">
        <v>216</v>
      </c>
      <c r="K22" s="90" t="s">
        <v>213</v>
      </c>
      <c r="L22" s="90">
        <v>3</v>
      </c>
      <c r="M22" s="90"/>
      <c r="N22" s="101">
        <v>6</v>
      </c>
      <c r="O22" s="90">
        <v>1.65</v>
      </c>
      <c r="P22" s="90">
        <v>1.4</v>
      </c>
      <c r="Q22" s="100">
        <f t="shared" si="0"/>
        <v>1.5249999999999999</v>
      </c>
      <c r="R22" s="101">
        <v>15.8</v>
      </c>
      <c r="S22" s="101">
        <v>70</v>
      </c>
      <c r="T22" s="102">
        <f t="shared" si="1"/>
        <v>50</v>
      </c>
      <c r="U22" s="101">
        <v>397</v>
      </c>
      <c r="V22" s="103">
        <f t="shared" si="2"/>
        <v>3308.3333333333335</v>
      </c>
      <c r="W22" s="101">
        <v>6</v>
      </c>
      <c r="X22" s="90" t="s">
        <v>63</v>
      </c>
      <c r="Y22" s="90" t="s">
        <v>46</v>
      </c>
      <c r="Z22" s="90" t="s">
        <v>54</v>
      </c>
      <c r="AA22" s="90" t="s">
        <v>160</v>
      </c>
      <c r="AB22" s="90" t="s">
        <v>166</v>
      </c>
      <c r="AC22" s="90"/>
      <c r="AD22" s="90"/>
      <c r="AE22" s="90"/>
      <c r="AF22" s="90"/>
      <c r="AG22" s="90"/>
      <c r="AH22" s="90"/>
      <c r="AI22" s="90"/>
      <c r="AJ22" s="90"/>
      <c r="AK22" s="90"/>
      <c r="AL22" s="90"/>
      <c r="AM22" s="90"/>
      <c r="AN22" s="90"/>
      <c r="AO22" s="90"/>
      <c r="AP22" s="115" t="s">
        <v>238</v>
      </c>
      <c r="AQ22" s="90"/>
      <c r="AR22" s="111" t="s">
        <v>142</v>
      </c>
      <c r="AS22" s="90"/>
      <c r="AT22" s="90"/>
      <c r="AU22" s="90"/>
      <c r="AV22" s="115"/>
      <c r="AW22" s="90"/>
      <c r="AX22" s="90"/>
      <c r="AY22" s="90"/>
      <c r="AZ22" s="90"/>
      <c r="BA22" s="90"/>
    </row>
    <row r="23" spans="1:53" ht="13.5" customHeight="1">
      <c r="A23" s="90" t="s">
        <v>72</v>
      </c>
      <c r="B23" s="90" t="s">
        <v>184</v>
      </c>
      <c r="C23" s="90">
        <v>2021</v>
      </c>
      <c r="D23" s="99" t="s">
        <v>394</v>
      </c>
      <c r="E23" s="90" t="s">
        <v>214</v>
      </c>
      <c r="F23" s="90" t="s">
        <v>397</v>
      </c>
      <c r="G23" s="90" t="s">
        <v>39</v>
      </c>
      <c r="H23" s="90" t="s">
        <v>156</v>
      </c>
      <c r="I23" s="90" t="s">
        <v>41</v>
      </c>
      <c r="J23" s="90" t="s">
        <v>42</v>
      </c>
      <c r="K23" s="90" t="s">
        <v>78</v>
      </c>
      <c r="L23" s="90">
        <v>1</v>
      </c>
      <c r="M23" s="90"/>
      <c r="N23" s="101">
        <v>1</v>
      </c>
      <c r="O23" s="90">
        <v>0.75</v>
      </c>
      <c r="P23" s="90">
        <v>1</v>
      </c>
      <c r="Q23" s="100">
        <f t="shared" si="0"/>
        <v>0.875</v>
      </c>
      <c r="R23" s="101">
        <v>14.6</v>
      </c>
      <c r="S23" s="101">
        <v>116</v>
      </c>
      <c r="T23" s="102">
        <f t="shared" si="1"/>
        <v>33</v>
      </c>
      <c r="U23" s="101">
        <v>147</v>
      </c>
      <c r="V23" s="103">
        <f t="shared" si="2"/>
        <v>4851</v>
      </c>
      <c r="W23" s="101">
        <v>6</v>
      </c>
      <c r="X23" s="90" t="s">
        <v>63</v>
      </c>
      <c r="Y23" s="90" t="s">
        <v>46</v>
      </c>
      <c r="Z23" s="90" t="s">
        <v>54</v>
      </c>
      <c r="AA23" s="90" t="s">
        <v>160</v>
      </c>
      <c r="AB23" s="90" t="s">
        <v>166</v>
      </c>
      <c r="AC23" s="90"/>
      <c r="AD23" s="90"/>
      <c r="AE23" s="90"/>
      <c r="AF23" s="90"/>
      <c r="AG23" s="90"/>
      <c r="AH23" s="90"/>
      <c r="AI23" s="90"/>
      <c r="AJ23" s="90"/>
      <c r="AK23" s="90"/>
      <c r="AL23" s="90"/>
      <c r="AM23" s="90"/>
      <c r="AN23" s="90"/>
      <c r="AO23" s="90"/>
      <c r="AP23" s="115" t="s">
        <v>244</v>
      </c>
      <c r="AQ23" s="90"/>
      <c r="AR23" s="111" t="s">
        <v>88</v>
      </c>
      <c r="AS23" s="90"/>
      <c r="AT23" s="90"/>
      <c r="AU23" s="90"/>
      <c r="AV23" s="90"/>
      <c r="AW23" s="90"/>
      <c r="AX23" s="90"/>
      <c r="AY23" s="90"/>
      <c r="AZ23" s="90"/>
      <c r="BA23" s="90"/>
    </row>
    <row r="24" spans="1:53" ht="13.5" customHeight="1">
      <c r="A24" s="90" t="s">
        <v>72</v>
      </c>
      <c r="B24" s="90" t="s">
        <v>184</v>
      </c>
      <c r="C24" s="90">
        <v>2021</v>
      </c>
      <c r="D24" s="99" t="s">
        <v>394</v>
      </c>
      <c r="E24" s="90" t="s">
        <v>214</v>
      </c>
      <c r="F24" s="90" t="s">
        <v>397</v>
      </c>
      <c r="G24" s="90" t="s">
        <v>39</v>
      </c>
      <c r="H24" s="90" t="s">
        <v>156</v>
      </c>
      <c r="I24" s="90" t="s">
        <v>41</v>
      </c>
      <c r="J24" s="90" t="s">
        <v>42</v>
      </c>
      <c r="K24" s="90" t="s">
        <v>78</v>
      </c>
      <c r="L24" s="90">
        <v>2</v>
      </c>
      <c r="M24" s="90"/>
      <c r="N24" s="101">
        <v>1</v>
      </c>
      <c r="O24" s="90">
        <v>0.8</v>
      </c>
      <c r="P24" s="90">
        <v>0.85</v>
      </c>
      <c r="Q24" s="100">
        <f t="shared" si="0"/>
        <v>0.82499999999999996</v>
      </c>
      <c r="R24" s="101">
        <v>14.6</v>
      </c>
      <c r="S24" s="101">
        <v>122</v>
      </c>
      <c r="T24" s="102">
        <f t="shared" si="1"/>
        <v>30</v>
      </c>
      <c r="U24" s="101">
        <v>147</v>
      </c>
      <c r="V24" s="103">
        <f t="shared" si="2"/>
        <v>4410</v>
      </c>
      <c r="W24" s="101">
        <v>6</v>
      </c>
      <c r="X24" s="90" t="s">
        <v>63</v>
      </c>
      <c r="Y24" s="90" t="s">
        <v>46</v>
      </c>
      <c r="Z24" s="90" t="s">
        <v>54</v>
      </c>
      <c r="AA24" s="90" t="s">
        <v>160</v>
      </c>
      <c r="AB24" s="90" t="s">
        <v>166</v>
      </c>
      <c r="AC24" s="90"/>
      <c r="AD24" s="90"/>
      <c r="AE24" s="90"/>
      <c r="AF24" s="90"/>
      <c r="AG24" s="90"/>
      <c r="AH24" s="90"/>
      <c r="AI24" s="90"/>
      <c r="AJ24" s="90"/>
      <c r="AK24" s="90"/>
      <c r="AL24" s="90"/>
      <c r="AM24" s="90"/>
      <c r="AN24" s="90"/>
      <c r="AO24" s="90"/>
      <c r="AP24" s="115" t="s">
        <v>391</v>
      </c>
      <c r="AQ24" s="90"/>
      <c r="AR24" s="111" t="s">
        <v>328</v>
      </c>
      <c r="AS24" s="90"/>
      <c r="AT24" s="90"/>
      <c r="AU24" s="90"/>
      <c r="AV24" s="90"/>
      <c r="AW24" s="90"/>
      <c r="AX24" s="90"/>
      <c r="AY24" s="90"/>
      <c r="AZ24" s="90"/>
      <c r="BA24" s="90"/>
    </row>
    <row r="25" spans="1:53" ht="13.5" customHeight="1">
      <c r="A25" s="90" t="s">
        <v>72</v>
      </c>
      <c r="B25" s="90" t="s">
        <v>184</v>
      </c>
      <c r="C25" s="90">
        <v>2021</v>
      </c>
      <c r="D25" s="99" t="s">
        <v>394</v>
      </c>
      <c r="E25" s="90" t="s">
        <v>214</v>
      </c>
      <c r="F25" s="90" t="s">
        <v>397</v>
      </c>
      <c r="G25" s="90" t="s">
        <v>39</v>
      </c>
      <c r="H25" s="90" t="s">
        <v>156</v>
      </c>
      <c r="I25" s="90" t="s">
        <v>41</v>
      </c>
      <c r="J25" s="90" t="s">
        <v>42</v>
      </c>
      <c r="K25" s="90" t="s">
        <v>78</v>
      </c>
      <c r="L25" s="90">
        <v>3</v>
      </c>
      <c r="M25" s="90"/>
      <c r="N25" s="101">
        <v>1</v>
      </c>
      <c r="O25" s="90">
        <v>0.9</v>
      </c>
      <c r="P25" s="90">
        <v>0.8</v>
      </c>
      <c r="Q25" s="100">
        <f t="shared" si="0"/>
        <v>0.85000000000000009</v>
      </c>
      <c r="R25" s="101">
        <v>15.5</v>
      </c>
      <c r="S25" s="101">
        <v>124</v>
      </c>
      <c r="T25" s="102">
        <f t="shared" si="1"/>
        <v>30</v>
      </c>
      <c r="U25" s="101">
        <v>147</v>
      </c>
      <c r="V25" s="103">
        <f t="shared" si="2"/>
        <v>4410</v>
      </c>
      <c r="W25" s="101">
        <v>6</v>
      </c>
      <c r="X25" s="90" t="s">
        <v>63</v>
      </c>
      <c r="Y25" s="90" t="s">
        <v>46</v>
      </c>
      <c r="Z25" s="90" t="s">
        <v>54</v>
      </c>
      <c r="AA25" s="90" t="s">
        <v>160</v>
      </c>
      <c r="AB25" s="90" t="s">
        <v>166</v>
      </c>
      <c r="AC25" s="90"/>
      <c r="AD25" s="90"/>
      <c r="AE25" s="90"/>
      <c r="AF25" s="90"/>
      <c r="AG25" s="90"/>
      <c r="AH25" s="90"/>
      <c r="AI25" s="90"/>
      <c r="AJ25" s="90"/>
      <c r="AK25" s="90"/>
      <c r="AL25" s="90"/>
      <c r="AM25" s="90"/>
      <c r="AN25" s="90"/>
      <c r="AO25" s="90"/>
      <c r="AP25" s="115" t="s">
        <v>392</v>
      </c>
      <c r="AQ25" s="90"/>
      <c r="AR25" s="115" t="s">
        <v>72</v>
      </c>
      <c r="AS25" s="90"/>
      <c r="AT25" s="90"/>
      <c r="AU25" s="90"/>
      <c r="AV25" s="90"/>
      <c r="AW25" s="90"/>
      <c r="AX25" s="90"/>
      <c r="AY25" s="90"/>
      <c r="AZ25" s="90"/>
      <c r="BA25" s="90"/>
    </row>
    <row r="26" spans="1:53" ht="13.5" customHeight="1">
      <c r="A26" s="90" t="s">
        <v>72</v>
      </c>
      <c r="B26" s="90" t="s">
        <v>184</v>
      </c>
      <c r="C26" s="90">
        <v>2021</v>
      </c>
      <c r="D26" s="99" t="s">
        <v>394</v>
      </c>
      <c r="E26" s="90" t="s">
        <v>408</v>
      </c>
      <c r="F26" s="90" t="s">
        <v>409</v>
      </c>
      <c r="G26" s="90" t="s">
        <v>39</v>
      </c>
      <c r="H26" s="90" t="s">
        <v>40</v>
      </c>
      <c r="I26" s="90" t="s">
        <v>41</v>
      </c>
      <c r="J26" s="90" t="s">
        <v>42</v>
      </c>
      <c r="K26" s="90" t="s">
        <v>43</v>
      </c>
      <c r="L26" s="90">
        <v>1</v>
      </c>
      <c r="M26" s="90"/>
      <c r="N26" s="101">
        <v>1</v>
      </c>
      <c r="O26" s="90">
        <v>0.55000000000000004</v>
      </c>
      <c r="P26" s="90">
        <v>0.6</v>
      </c>
      <c r="Q26" s="100">
        <f t="shared" si="0"/>
        <v>0.57499999999999996</v>
      </c>
      <c r="R26" s="101">
        <v>16.8</v>
      </c>
      <c r="S26" s="101">
        <v>110</v>
      </c>
      <c r="T26" s="102">
        <f t="shared" si="1"/>
        <v>33</v>
      </c>
      <c r="U26" s="101">
        <v>98</v>
      </c>
      <c r="V26" s="103">
        <f t="shared" si="2"/>
        <v>3234</v>
      </c>
      <c r="W26" s="101">
        <v>4</v>
      </c>
      <c r="X26" s="90" t="s">
        <v>63</v>
      </c>
      <c r="Y26" s="90" t="s">
        <v>46</v>
      </c>
      <c r="Z26" s="90" t="s">
        <v>45</v>
      </c>
      <c r="AA26" s="90" t="s">
        <v>160</v>
      </c>
      <c r="AB26" s="90" t="s">
        <v>166</v>
      </c>
      <c r="AC26" s="90"/>
      <c r="AD26" s="90"/>
      <c r="AE26" s="90"/>
      <c r="AF26" s="90"/>
      <c r="AG26" s="90"/>
      <c r="AH26" s="90"/>
      <c r="AI26" s="90"/>
      <c r="AJ26" s="90"/>
      <c r="AK26" s="90"/>
      <c r="AL26" s="90"/>
      <c r="AM26" s="90"/>
      <c r="AN26" s="90"/>
      <c r="AO26" s="90"/>
      <c r="AP26" s="115" t="s">
        <v>239</v>
      </c>
      <c r="AQ26" s="90"/>
      <c r="AR26" s="90" t="s">
        <v>240</v>
      </c>
      <c r="AS26" s="90"/>
      <c r="AT26" s="90"/>
      <c r="AU26" s="90"/>
      <c r="AV26" s="90"/>
      <c r="AW26" s="90"/>
      <c r="AX26" s="90"/>
      <c r="AY26" s="90"/>
      <c r="AZ26" s="90"/>
      <c r="BA26" s="90"/>
    </row>
    <row r="27" spans="1:53" ht="13.5" customHeight="1">
      <c r="A27" s="90" t="s">
        <v>72</v>
      </c>
      <c r="B27" s="90" t="s">
        <v>184</v>
      </c>
      <c r="C27" s="90">
        <v>2021</v>
      </c>
      <c r="D27" s="99" t="s">
        <v>394</v>
      </c>
      <c r="E27" s="90" t="s">
        <v>408</v>
      </c>
      <c r="F27" s="90" t="s">
        <v>409</v>
      </c>
      <c r="G27" s="90" t="s">
        <v>39</v>
      </c>
      <c r="H27" s="90" t="s">
        <v>40</v>
      </c>
      <c r="I27" s="90" t="s">
        <v>41</v>
      </c>
      <c r="J27" s="90" t="s">
        <v>42</v>
      </c>
      <c r="K27" s="90" t="s">
        <v>43</v>
      </c>
      <c r="L27" s="90">
        <v>2</v>
      </c>
      <c r="M27" s="90"/>
      <c r="N27" s="101">
        <v>1</v>
      </c>
      <c r="O27" s="90">
        <v>0.5</v>
      </c>
      <c r="P27" s="90">
        <v>0.25</v>
      </c>
      <c r="Q27" s="100">
        <f t="shared" si="0"/>
        <v>0.375</v>
      </c>
      <c r="R27" s="101">
        <v>17.5</v>
      </c>
      <c r="S27" s="101">
        <v>108</v>
      </c>
      <c r="T27" s="102">
        <f t="shared" si="1"/>
        <v>33</v>
      </c>
      <c r="U27" s="101">
        <v>98</v>
      </c>
      <c r="V27" s="103">
        <f t="shared" si="2"/>
        <v>3234</v>
      </c>
      <c r="W27" s="101">
        <v>4</v>
      </c>
      <c r="X27" s="90" t="s">
        <v>63</v>
      </c>
      <c r="Y27" s="90" t="s">
        <v>46</v>
      </c>
      <c r="Z27" s="90" t="s">
        <v>45</v>
      </c>
      <c r="AA27" s="90" t="s">
        <v>160</v>
      </c>
      <c r="AB27" s="90" t="s">
        <v>166</v>
      </c>
      <c r="AC27" s="90"/>
      <c r="AD27" s="90"/>
      <c r="AE27" s="90"/>
      <c r="AF27" s="90"/>
      <c r="AG27" s="90"/>
      <c r="AH27" s="90"/>
      <c r="AI27" s="90"/>
      <c r="AJ27" s="90"/>
      <c r="AK27" s="90"/>
      <c r="AL27" s="90"/>
      <c r="AM27" s="90"/>
      <c r="AN27" s="90"/>
      <c r="AO27" s="90"/>
      <c r="AP27" s="115" t="s">
        <v>241</v>
      </c>
      <c r="AQ27" s="90"/>
      <c r="AR27" s="111" t="s">
        <v>411</v>
      </c>
      <c r="AS27" s="90"/>
      <c r="AT27" s="90"/>
      <c r="AU27" s="90"/>
      <c r="AV27" s="90"/>
      <c r="AW27" s="90"/>
      <c r="AX27" s="90"/>
      <c r="AY27" s="90"/>
      <c r="AZ27" s="90"/>
      <c r="BA27" s="90"/>
    </row>
    <row r="28" spans="1:53" ht="13.5" customHeight="1">
      <c r="A28" s="90" t="s">
        <v>72</v>
      </c>
      <c r="B28" s="90" t="s">
        <v>184</v>
      </c>
      <c r="C28" s="90">
        <v>2021</v>
      </c>
      <c r="D28" s="99" t="s">
        <v>394</v>
      </c>
      <c r="E28" s="90" t="s">
        <v>408</v>
      </c>
      <c r="F28" s="90" t="s">
        <v>409</v>
      </c>
      <c r="G28" s="90" t="s">
        <v>39</v>
      </c>
      <c r="H28" s="90" t="s">
        <v>40</v>
      </c>
      <c r="I28" s="90" t="s">
        <v>41</v>
      </c>
      <c r="J28" s="90" t="s">
        <v>42</v>
      </c>
      <c r="K28" s="90" t="s">
        <v>43</v>
      </c>
      <c r="L28" s="90">
        <v>3</v>
      </c>
      <c r="M28" s="90"/>
      <c r="N28" s="101">
        <v>1</v>
      </c>
      <c r="O28" s="90">
        <v>0.65</v>
      </c>
      <c r="P28" s="90">
        <v>0.65</v>
      </c>
      <c r="Q28" s="100">
        <f t="shared" si="0"/>
        <v>0.65</v>
      </c>
      <c r="R28" s="101">
        <v>17.100000000000001</v>
      </c>
      <c r="S28" s="101">
        <v>110</v>
      </c>
      <c r="T28" s="102">
        <f t="shared" si="1"/>
        <v>33</v>
      </c>
      <c r="U28" s="101">
        <v>98</v>
      </c>
      <c r="V28" s="103">
        <f t="shared" si="2"/>
        <v>3234</v>
      </c>
      <c r="W28" s="101">
        <v>4</v>
      </c>
      <c r="X28" s="90" t="s">
        <v>63</v>
      </c>
      <c r="Y28" s="90" t="s">
        <v>46</v>
      </c>
      <c r="Z28" s="90" t="s">
        <v>45</v>
      </c>
      <c r="AA28" s="90" t="s">
        <v>160</v>
      </c>
      <c r="AB28" s="90" t="s">
        <v>166</v>
      </c>
      <c r="AC28" s="90"/>
      <c r="AD28" s="90"/>
      <c r="AE28" s="90"/>
      <c r="AF28" s="90"/>
      <c r="AG28" s="90"/>
      <c r="AH28" s="90"/>
      <c r="AI28" s="90"/>
      <c r="AJ28" s="90"/>
      <c r="AK28" s="90"/>
      <c r="AL28" s="90"/>
      <c r="AM28" s="90"/>
      <c r="AN28" s="90"/>
      <c r="AO28" s="90"/>
      <c r="AP28" s="115" t="s">
        <v>412</v>
      </c>
      <c r="AQ28" s="90"/>
      <c r="AR28" s="111" t="s">
        <v>413</v>
      </c>
      <c r="AS28" s="90"/>
      <c r="AT28" s="90"/>
      <c r="AU28" s="90"/>
      <c r="AV28" s="90"/>
      <c r="AW28" s="90"/>
      <c r="AX28" s="90"/>
      <c r="AY28" s="90"/>
      <c r="AZ28" s="90"/>
      <c r="BA28" s="90"/>
    </row>
    <row r="29" spans="1:53" ht="13.5" customHeight="1">
      <c r="A29" s="90" t="s">
        <v>72</v>
      </c>
      <c r="B29" s="90" t="s">
        <v>184</v>
      </c>
      <c r="C29" s="90">
        <v>2021</v>
      </c>
      <c r="D29" s="99" t="s">
        <v>394</v>
      </c>
      <c r="E29" s="90" t="s">
        <v>408</v>
      </c>
      <c r="F29" s="90" t="s">
        <v>409</v>
      </c>
      <c r="G29" s="90" t="s">
        <v>39</v>
      </c>
      <c r="H29" s="90" t="s">
        <v>40</v>
      </c>
      <c r="I29" s="90" t="s">
        <v>41</v>
      </c>
      <c r="J29" s="90" t="s">
        <v>42</v>
      </c>
      <c r="K29" s="90" t="s">
        <v>43</v>
      </c>
      <c r="L29" s="90">
        <v>1</v>
      </c>
      <c r="M29" s="90"/>
      <c r="N29" s="101">
        <v>8</v>
      </c>
      <c r="O29" s="90">
        <v>0.7</v>
      </c>
      <c r="P29" s="90">
        <v>0.5</v>
      </c>
      <c r="Q29" s="100">
        <f t="shared" si="0"/>
        <v>0.6</v>
      </c>
      <c r="R29" s="101">
        <v>17.3</v>
      </c>
      <c r="S29" s="101">
        <v>83</v>
      </c>
      <c r="T29" s="102">
        <f t="shared" si="1"/>
        <v>39</v>
      </c>
      <c r="U29" s="101">
        <v>598</v>
      </c>
      <c r="V29" s="103">
        <f t="shared" si="2"/>
        <v>2915.25</v>
      </c>
      <c r="W29" s="101">
        <v>4</v>
      </c>
      <c r="X29" s="90" t="s">
        <v>63</v>
      </c>
      <c r="Y29" s="90" t="s">
        <v>46</v>
      </c>
      <c r="Z29" s="90" t="s">
        <v>45</v>
      </c>
      <c r="AA29" s="90" t="s">
        <v>160</v>
      </c>
      <c r="AB29" s="90" t="s">
        <v>166</v>
      </c>
      <c r="AC29" s="90"/>
      <c r="AD29" s="90"/>
      <c r="AE29" s="90"/>
      <c r="AF29" s="90"/>
      <c r="AG29" s="90"/>
      <c r="AH29" s="90"/>
      <c r="AI29" s="90"/>
      <c r="AJ29" s="90"/>
      <c r="AK29" s="90"/>
      <c r="AL29" s="90"/>
      <c r="AM29" s="90"/>
      <c r="AN29" s="90"/>
      <c r="AO29" s="90"/>
      <c r="AP29" s="115" t="s">
        <v>414</v>
      </c>
      <c r="AQ29" s="90"/>
      <c r="AR29" s="116"/>
      <c r="AS29" s="90"/>
      <c r="AT29" s="90"/>
      <c r="AU29" s="90"/>
      <c r="AV29" s="90"/>
      <c r="AW29" s="90"/>
      <c r="AX29" s="90"/>
      <c r="AY29" s="90"/>
      <c r="AZ29" s="90"/>
      <c r="BA29" s="90"/>
    </row>
    <row r="30" spans="1:53" ht="13.5" customHeight="1">
      <c r="A30" s="90" t="s">
        <v>72</v>
      </c>
      <c r="B30" s="90" t="s">
        <v>184</v>
      </c>
      <c r="C30" s="90">
        <v>2021</v>
      </c>
      <c r="D30" s="99" t="s">
        <v>394</v>
      </c>
      <c r="E30" s="90" t="s">
        <v>408</v>
      </c>
      <c r="F30" s="90" t="s">
        <v>409</v>
      </c>
      <c r="G30" s="90" t="s">
        <v>39</v>
      </c>
      <c r="H30" s="90" t="s">
        <v>40</v>
      </c>
      <c r="I30" s="90" t="s">
        <v>41</v>
      </c>
      <c r="J30" s="90" t="s">
        <v>42</v>
      </c>
      <c r="K30" s="90" t="s">
        <v>43</v>
      </c>
      <c r="L30" s="90">
        <v>2</v>
      </c>
      <c r="M30" s="90"/>
      <c r="N30" s="101">
        <v>8</v>
      </c>
      <c r="O30" s="90">
        <v>0.6</v>
      </c>
      <c r="P30" s="90">
        <v>0.55000000000000004</v>
      </c>
      <c r="Q30" s="100">
        <f t="shared" si="0"/>
        <v>0.57499999999999996</v>
      </c>
      <c r="R30" s="101">
        <v>16.7</v>
      </c>
      <c r="S30" s="101">
        <v>80</v>
      </c>
      <c r="T30" s="102">
        <f t="shared" si="1"/>
        <v>39</v>
      </c>
      <c r="U30" s="101">
        <v>598</v>
      </c>
      <c r="V30" s="103">
        <f t="shared" si="2"/>
        <v>2915.25</v>
      </c>
      <c r="W30" s="101">
        <v>4</v>
      </c>
      <c r="X30" s="90" t="s">
        <v>63</v>
      </c>
      <c r="Y30" s="90" t="s">
        <v>46</v>
      </c>
      <c r="Z30" s="90" t="s">
        <v>45</v>
      </c>
      <c r="AA30" s="90" t="s">
        <v>160</v>
      </c>
      <c r="AB30" s="90" t="s">
        <v>166</v>
      </c>
      <c r="AC30" s="90"/>
      <c r="AD30" s="90"/>
      <c r="AE30" s="90"/>
      <c r="AF30" s="90"/>
      <c r="AG30" s="90"/>
      <c r="AH30" s="90"/>
      <c r="AI30" s="90"/>
      <c r="AJ30" s="90"/>
      <c r="AK30" s="90"/>
      <c r="AL30" s="90"/>
      <c r="AM30" s="90"/>
      <c r="AN30" s="90"/>
      <c r="AO30" s="90"/>
      <c r="AP30" s="90" t="s">
        <v>242</v>
      </c>
      <c r="AQ30" s="90"/>
      <c r="AR30" s="90"/>
      <c r="AS30" s="90"/>
      <c r="AT30" s="90"/>
      <c r="AU30" s="90"/>
      <c r="AV30" s="90"/>
      <c r="AW30" s="90"/>
      <c r="AX30" s="90"/>
      <c r="AY30" s="90"/>
      <c r="AZ30" s="90"/>
      <c r="BA30" s="90"/>
    </row>
    <row r="31" spans="1:53" ht="13.5" customHeight="1">
      <c r="A31" s="90" t="s">
        <v>72</v>
      </c>
      <c r="B31" s="90" t="s">
        <v>184</v>
      </c>
      <c r="C31" s="90">
        <v>2021</v>
      </c>
      <c r="D31" s="99" t="s">
        <v>394</v>
      </c>
      <c r="E31" s="90" t="s">
        <v>408</v>
      </c>
      <c r="F31" s="90" t="s">
        <v>409</v>
      </c>
      <c r="G31" s="90" t="s">
        <v>39</v>
      </c>
      <c r="H31" s="90" t="s">
        <v>40</v>
      </c>
      <c r="I31" s="90" t="s">
        <v>41</v>
      </c>
      <c r="J31" s="90" t="s">
        <v>42</v>
      </c>
      <c r="K31" s="90" t="s">
        <v>43</v>
      </c>
      <c r="L31" s="90">
        <v>3</v>
      </c>
      <c r="M31" s="90"/>
      <c r="N31" s="101">
        <v>8</v>
      </c>
      <c r="O31" s="90">
        <v>0.55000000000000004</v>
      </c>
      <c r="P31" s="90">
        <v>0.5</v>
      </c>
      <c r="Q31" s="100">
        <f t="shared" si="0"/>
        <v>0.52500000000000002</v>
      </c>
      <c r="R31" s="101">
        <v>16.399999999999999</v>
      </c>
      <c r="S31" s="101">
        <v>75</v>
      </c>
      <c r="T31" s="102">
        <f t="shared" si="1"/>
        <v>42</v>
      </c>
      <c r="U31" s="101">
        <v>598</v>
      </c>
      <c r="V31" s="103">
        <f t="shared" si="2"/>
        <v>3139.5</v>
      </c>
      <c r="W31" s="101">
        <v>4</v>
      </c>
      <c r="X31" s="90" t="s">
        <v>63</v>
      </c>
      <c r="Y31" s="90" t="s">
        <v>46</v>
      </c>
      <c r="Z31" s="90" t="s">
        <v>45</v>
      </c>
      <c r="AA31" s="90" t="s">
        <v>160</v>
      </c>
      <c r="AB31" s="90" t="s">
        <v>166</v>
      </c>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row>
    <row r="32" spans="1:53" ht="13.5" customHeight="1">
      <c r="A32" s="90" t="s">
        <v>72</v>
      </c>
      <c r="B32" s="90" t="s">
        <v>184</v>
      </c>
      <c r="C32" s="90">
        <v>2021</v>
      </c>
      <c r="D32" s="99" t="s">
        <v>394</v>
      </c>
      <c r="E32" s="90" t="s">
        <v>408</v>
      </c>
      <c r="F32" s="90" t="s">
        <v>409</v>
      </c>
      <c r="G32" s="90" t="s">
        <v>39</v>
      </c>
      <c r="H32" s="90" t="s">
        <v>40</v>
      </c>
      <c r="I32" s="90" t="s">
        <v>196</v>
      </c>
      <c r="J32" s="90" t="s">
        <v>42</v>
      </c>
      <c r="K32" s="90" t="s">
        <v>43</v>
      </c>
      <c r="L32" s="90">
        <v>1</v>
      </c>
      <c r="M32" s="90"/>
      <c r="N32" s="101">
        <v>7</v>
      </c>
      <c r="O32" s="90">
        <v>0.5</v>
      </c>
      <c r="P32" s="90">
        <v>0.25</v>
      </c>
      <c r="Q32" s="100">
        <f t="shared" si="0"/>
        <v>0.375</v>
      </c>
      <c r="R32" s="101">
        <v>16.3</v>
      </c>
      <c r="S32" s="101">
        <v>87</v>
      </c>
      <c r="T32" s="102">
        <f t="shared" si="1"/>
        <v>36</v>
      </c>
      <c r="U32" s="101">
        <v>398</v>
      </c>
      <c r="V32" s="103">
        <f t="shared" si="2"/>
        <v>2046.8571428571427</v>
      </c>
      <c r="W32" s="101">
        <v>4</v>
      </c>
      <c r="X32" s="90" t="s">
        <v>63</v>
      </c>
      <c r="Y32" s="90" t="s">
        <v>46</v>
      </c>
      <c r="Z32" s="90" t="s">
        <v>45</v>
      </c>
      <c r="AA32" s="90" t="s">
        <v>160</v>
      </c>
      <c r="AB32" s="90" t="s">
        <v>166</v>
      </c>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row>
    <row r="33" spans="1:53" ht="13.5" customHeight="1">
      <c r="A33" s="90" t="s">
        <v>72</v>
      </c>
      <c r="B33" s="90" t="s">
        <v>184</v>
      </c>
      <c r="C33" s="90">
        <v>2021</v>
      </c>
      <c r="D33" s="99" t="s">
        <v>394</v>
      </c>
      <c r="E33" s="90" t="s">
        <v>408</v>
      </c>
      <c r="F33" s="90" t="s">
        <v>409</v>
      </c>
      <c r="G33" s="90" t="s">
        <v>39</v>
      </c>
      <c r="H33" s="90" t="s">
        <v>40</v>
      </c>
      <c r="I33" s="90" t="s">
        <v>196</v>
      </c>
      <c r="J33" s="90" t="s">
        <v>42</v>
      </c>
      <c r="K33" s="90" t="s">
        <v>43</v>
      </c>
      <c r="L33" s="90">
        <v>2</v>
      </c>
      <c r="M33" s="90"/>
      <c r="N33" s="101">
        <v>7</v>
      </c>
      <c r="O33" s="90">
        <v>0.5</v>
      </c>
      <c r="P33" s="90">
        <v>0.5</v>
      </c>
      <c r="Q33" s="100">
        <f t="shared" si="0"/>
        <v>0.5</v>
      </c>
      <c r="R33" s="101">
        <v>16.600000000000001</v>
      </c>
      <c r="S33" s="101">
        <v>90</v>
      </c>
      <c r="T33" s="102">
        <f t="shared" si="1"/>
        <v>36</v>
      </c>
      <c r="U33" s="101">
        <v>398</v>
      </c>
      <c r="V33" s="103">
        <f t="shared" si="2"/>
        <v>2046.8571428571427</v>
      </c>
      <c r="W33" s="101">
        <v>4</v>
      </c>
      <c r="X33" s="90" t="s">
        <v>63</v>
      </c>
      <c r="Y33" s="90" t="s">
        <v>46</v>
      </c>
      <c r="Z33" s="90" t="s">
        <v>45</v>
      </c>
      <c r="AA33" s="90" t="s">
        <v>160</v>
      </c>
      <c r="AB33" s="90" t="s">
        <v>166</v>
      </c>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row>
    <row r="34" spans="1:53" ht="13.5" customHeight="1">
      <c r="A34" s="90" t="s">
        <v>72</v>
      </c>
      <c r="B34" s="90" t="s">
        <v>184</v>
      </c>
      <c r="C34" s="90">
        <v>2021</v>
      </c>
      <c r="D34" s="99" t="s">
        <v>394</v>
      </c>
      <c r="E34" s="90" t="s">
        <v>408</v>
      </c>
      <c r="F34" s="90" t="s">
        <v>409</v>
      </c>
      <c r="G34" s="90" t="s">
        <v>39</v>
      </c>
      <c r="H34" s="90" t="s">
        <v>40</v>
      </c>
      <c r="I34" s="90" t="s">
        <v>196</v>
      </c>
      <c r="J34" s="90" t="s">
        <v>42</v>
      </c>
      <c r="K34" s="90" t="s">
        <v>43</v>
      </c>
      <c r="L34" s="90">
        <v>3</v>
      </c>
      <c r="M34" s="90"/>
      <c r="N34" s="101">
        <v>7</v>
      </c>
      <c r="O34" s="90">
        <v>0.25</v>
      </c>
      <c r="P34" s="90">
        <v>0.25</v>
      </c>
      <c r="Q34" s="100">
        <f t="shared" si="0"/>
        <v>0.25</v>
      </c>
      <c r="R34" s="101">
        <v>15.9</v>
      </c>
      <c r="S34" s="101">
        <v>80</v>
      </c>
      <c r="T34" s="102">
        <f t="shared" si="1"/>
        <v>39</v>
      </c>
      <c r="U34" s="101">
        <v>398</v>
      </c>
      <c r="V34" s="103">
        <f t="shared" si="2"/>
        <v>2217.4285714285711</v>
      </c>
      <c r="W34" s="101">
        <v>4</v>
      </c>
      <c r="X34" s="90" t="s">
        <v>63</v>
      </c>
      <c r="Y34" s="90" t="s">
        <v>46</v>
      </c>
      <c r="Z34" s="90" t="s">
        <v>45</v>
      </c>
      <c r="AA34" s="90" t="s">
        <v>160</v>
      </c>
      <c r="AB34" s="90" t="s">
        <v>166</v>
      </c>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row>
    <row r="35" spans="1:53" ht="13.5" customHeight="1">
      <c r="A35" s="90" t="s">
        <v>72</v>
      </c>
      <c r="B35" s="90" t="s">
        <v>184</v>
      </c>
      <c r="C35" s="90">
        <v>2021</v>
      </c>
      <c r="D35" s="99" t="s">
        <v>394</v>
      </c>
      <c r="E35" s="90" t="s">
        <v>408</v>
      </c>
      <c r="F35" s="90" t="s">
        <v>409</v>
      </c>
      <c r="G35" s="90" t="s">
        <v>39</v>
      </c>
      <c r="H35" s="90" t="s">
        <v>156</v>
      </c>
      <c r="I35" s="90" t="s">
        <v>41</v>
      </c>
      <c r="J35" s="90" t="s">
        <v>42</v>
      </c>
      <c r="K35" s="90" t="s">
        <v>78</v>
      </c>
      <c r="L35" s="90">
        <v>1</v>
      </c>
      <c r="M35" s="90"/>
      <c r="N35" s="101">
        <v>4</v>
      </c>
      <c r="O35" s="90">
        <v>0.7</v>
      </c>
      <c r="P35" s="90">
        <v>0.65</v>
      </c>
      <c r="Q35" s="100">
        <f t="shared" si="0"/>
        <v>0.67500000000000004</v>
      </c>
      <c r="R35" s="101">
        <v>16.8</v>
      </c>
      <c r="S35" s="101">
        <v>96</v>
      </c>
      <c r="T35" s="102">
        <f t="shared" si="1"/>
        <v>39</v>
      </c>
      <c r="U35" s="101">
        <v>598</v>
      </c>
      <c r="V35" s="103">
        <f t="shared" si="2"/>
        <v>5830.5</v>
      </c>
      <c r="W35" s="101">
        <v>4</v>
      </c>
      <c r="X35" s="90" t="s">
        <v>63</v>
      </c>
      <c r="Y35" s="90" t="s">
        <v>46</v>
      </c>
      <c r="Z35" s="90" t="s">
        <v>45</v>
      </c>
      <c r="AA35" s="90" t="s">
        <v>160</v>
      </c>
      <c r="AB35" s="90" t="s">
        <v>166</v>
      </c>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row>
    <row r="36" spans="1:53" ht="13.5" customHeight="1">
      <c r="A36" s="90" t="s">
        <v>72</v>
      </c>
      <c r="B36" s="90" t="s">
        <v>184</v>
      </c>
      <c r="C36" s="90">
        <v>2021</v>
      </c>
      <c r="D36" s="99" t="s">
        <v>394</v>
      </c>
      <c r="E36" s="90" t="s">
        <v>408</v>
      </c>
      <c r="F36" s="90" t="s">
        <v>409</v>
      </c>
      <c r="G36" s="90" t="s">
        <v>39</v>
      </c>
      <c r="H36" s="90" t="s">
        <v>156</v>
      </c>
      <c r="I36" s="90" t="s">
        <v>41</v>
      </c>
      <c r="J36" s="90" t="s">
        <v>42</v>
      </c>
      <c r="K36" s="90" t="s">
        <v>78</v>
      </c>
      <c r="L36" s="90">
        <v>2</v>
      </c>
      <c r="M36" s="90"/>
      <c r="N36" s="101">
        <v>4</v>
      </c>
      <c r="O36" s="90">
        <v>0.5</v>
      </c>
      <c r="P36" s="90">
        <v>0.7</v>
      </c>
      <c r="Q36" s="100">
        <f t="shared" si="0"/>
        <v>0.6</v>
      </c>
      <c r="R36" s="101">
        <v>17</v>
      </c>
      <c r="S36" s="101">
        <v>87</v>
      </c>
      <c r="T36" s="102">
        <f t="shared" si="1"/>
        <v>39</v>
      </c>
      <c r="U36" s="101">
        <v>598</v>
      </c>
      <c r="V36" s="103">
        <f t="shared" si="2"/>
        <v>5830.5</v>
      </c>
      <c r="W36" s="101">
        <v>4</v>
      </c>
      <c r="X36" s="90" t="s">
        <v>63</v>
      </c>
      <c r="Y36" s="90" t="s">
        <v>46</v>
      </c>
      <c r="Z36" s="90" t="s">
        <v>45</v>
      </c>
      <c r="AA36" s="90" t="s">
        <v>160</v>
      </c>
      <c r="AB36" s="90" t="s">
        <v>166</v>
      </c>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row>
    <row r="37" spans="1:53" ht="13.5" customHeight="1">
      <c r="A37" s="90" t="s">
        <v>72</v>
      </c>
      <c r="B37" s="90" t="s">
        <v>184</v>
      </c>
      <c r="C37" s="90">
        <v>2021</v>
      </c>
      <c r="D37" s="99" t="s">
        <v>394</v>
      </c>
      <c r="E37" s="90" t="s">
        <v>408</v>
      </c>
      <c r="F37" s="90" t="s">
        <v>409</v>
      </c>
      <c r="G37" s="90" t="s">
        <v>39</v>
      </c>
      <c r="H37" s="90" t="s">
        <v>156</v>
      </c>
      <c r="I37" s="90" t="s">
        <v>41</v>
      </c>
      <c r="J37" s="90" t="s">
        <v>42</v>
      </c>
      <c r="K37" s="90" t="s">
        <v>78</v>
      </c>
      <c r="L37" s="90">
        <v>3</v>
      </c>
      <c r="M37" s="90"/>
      <c r="N37" s="101">
        <v>4</v>
      </c>
      <c r="O37" s="90">
        <v>0.65</v>
      </c>
      <c r="P37" s="90">
        <v>0.65</v>
      </c>
      <c r="Q37" s="100">
        <f t="shared" si="0"/>
        <v>0.65</v>
      </c>
      <c r="R37" s="101">
        <v>17.5</v>
      </c>
      <c r="S37" s="101">
        <v>97</v>
      </c>
      <c r="T37" s="102">
        <f t="shared" si="1"/>
        <v>36</v>
      </c>
      <c r="U37" s="101">
        <v>598</v>
      </c>
      <c r="V37" s="103">
        <f t="shared" si="2"/>
        <v>5382</v>
      </c>
      <c r="W37" s="101">
        <v>4</v>
      </c>
      <c r="X37" s="90" t="s">
        <v>63</v>
      </c>
      <c r="Y37" s="90" t="s">
        <v>46</v>
      </c>
      <c r="Z37" s="90" t="s">
        <v>45</v>
      </c>
      <c r="AA37" s="90" t="s">
        <v>160</v>
      </c>
      <c r="AB37" s="90" t="s">
        <v>166</v>
      </c>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row>
    <row r="38" spans="1:53" ht="13.5" customHeight="1">
      <c r="A38" s="90"/>
      <c r="B38" s="90"/>
      <c r="C38" s="90"/>
      <c r="D38" s="101"/>
      <c r="E38" s="90"/>
      <c r="F38" s="90"/>
      <c r="G38" s="90"/>
      <c r="H38" s="90"/>
      <c r="I38" s="90"/>
      <c r="J38" s="90"/>
      <c r="K38" s="90"/>
      <c r="L38" s="90"/>
      <c r="M38" s="90"/>
      <c r="N38" s="101"/>
      <c r="O38" s="90"/>
      <c r="P38" s="90"/>
      <c r="Q38" s="100" t="str">
        <f t="shared" si="0"/>
        <v/>
      </c>
      <c r="R38" s="101"/>
      <c r="S38" s="101"/>
      <c r="T38" s="102" t="str">
        <f t="shared" si="1"/>
        <v/>
      </c>
      <c r="U38" s="101"/>
      <c r="V38" s="103" t="str">
        <f t="shared" si="2"/>
        <v/>
      </c>
      <c r="W38" s="101"/>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row>
    <row r="39" spans="1:53" ht="13.5" customHeight="1">
      <c r="A39" s="90"/>
      <c r="B39" s="90"/>
      <c r="C39" s="90"/>
      <c r="D39" s="101"/>
      <c r="E39" s="90"/>
      <c r="F39" s="90"/>
      <c r="G39" s="90"/>
      <c r="H39" s="90"/>
      <c r="I39" s="90"/>
      <c r="J39" s="90"/>
      <c r="K39" s="90"/>
      <c r="L39" s="90"/>
      <c r="M39" s="90"/>
      <c r="N39" s="101"/>
      <c r="O39" s="90"/>
      <c r="P39" s="90"/>
      <c r="Q39" s="100" t="str">
        <f t="shared" si="0"/>
        <v/>
      </c>
      <c r="R39" s="101"/>
      <c r="S39" s="101"/>
      <c r="T39" s="102" t="str">
        <f t="shared" si="1"/>
        <v/>
      </c>
      <c r="U39" s="101"/>
      <c r="V39" s="103" t="str">
        <f t="shared" si="2"/>
        <v/>
      </c>
      <c r="W39" s="101"/>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row>
    <row r="40" spans="1:53" ht="13.5" customHeight="1">
      <c r="A40" s="90"/>
      <c r="B40" s="90"/>
      <c r="C40" s="90"/>
      <c r="D40" s="101"/>
      <c r="E40" s="90"/>
      <c r="F40" s="90"/>
      <c r="G40" s="90"/>
      <c r="H40" s="90"/>
      <c r="I40" s="90"/>
      <c r="J40" s="90"/>
      <c r="K40" s="90"/>
      <c r="L40" s="90"/>
      <c r="M40" s="90"/>
      <c r="N40" s="101"/>
      <c r="O40" s="90"/>
      <c r="P40" s="90"/>
      <c r="Q40" s="100" t="str">
        <f t="shared" si="0"/>
        <v/>
      </c>
      <c r="R40" s="101"/>
      <c r="S40" s="101"/>
      <c r="T40" s="102" t="str">
        <f t="shared" si="1"/>
        <v/>
      </c>
      <c r="U40" s="101"/>
      <c r="V40" s="103" t="str">
        <f t="shared" si="2"/>
        <v/>
      </c>
      <c r="W40" s="101"/>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row>
    <row r="41" spans="1:53" ht="13.5" customHeight="1">
      <c r="A41" s="90"/>
      <c r="B41" s="90"/>
      <c r="C41" s="90"/>
      <c r="D41" s="101"/>
      <c r="E41" s="90"/>
      <c r="F41" s="90"/>
      <c r="G41" s="90"/>
      <c r="H41" s="90"/>
      <c r="I41" s="90"/>
      <c r="J41" s="90"/>
      <c r="K41" s="90"/>
      <c r="L41" s="90"/>
      <c r="M41" s="90"/>
      <c r="N41" s="101"/>
      <c r="O41" s="90"/>
      <c r="P41" s="90"/>
      <c r="Q41" s="100" t="str">
        <f t="shared" si="0"/>
        <v/>
      </c>
      <c r="R41" s="101"/>
      <c r="S41" s="101"/>
      <c r="T41" s="102" t="str">
        <f t="shared" si="1"/>
        <v/>
      </c>
      <c r="U41" s="101"/>
      <c r="V41" s="103" t="str">
        <f t="shared" si="2"/>
        <v/>
      </c>
      <c r="W41" s="101"/>
      <c r="X41" s="90"/>
      <c r="Y41" s="90"/>
      <c r="Z41" s="90"/>
      <c r="AA41" s="90"/>
      <c r="AB41" s="101"/>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row>
    <row r="42" spans="1:53" ht="13.5" customHeight="1">
      <c r="A42" s="90"/>
      <c r="B42" s="90"/>
      <c r="C42" s="90"/>
      <c r="D42" s="101"/>
      <c r="E42" s="90"/>
      <c r="F42" s="90"/>
      <c r="G42" s="90"/>
      <c r="H42" s="90"/>
      <c r="I42" s="90"/>
      <c r="J42" s="90"/>
      <c r="K42" s="90"/>
      <c r="L42" s="90"/>
      <c r="M42" s="90"/>
      <c r="N42" s="101"/>
      <c r="O42" s="90"/>
      <c r="P42" s="90"/>
      <c r="Q42" s="100" t="str">
        <f t="shared" si="0"/>
        <v/>
      </c>
      <c r="R42" s="101"/>
      <c r="S42" s="101"/>
      <c r="T42" s="102" t="str">
        <f t="shared" si="1"/>
        <v/>
      </c>
      <c r="U42" s="101"/>
      <c r="V42" s="103" t="str">
        <f t="shared" si="2"/>
        <v/>
      </c>
      <c r="W42" s="101"/>
      <c r="X42" s="90"/>
      <c r="Y42" s="90"/>
      <c r="Z42" s="90"/>
      <c r="AA42" s="90"/>
      <c r="AB42" s="101"/>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row>
    <row r="43" spans="1:53" ht="13.5" customHeight="1">
      <c r="A43" s="90"/>
      <c r="B43" s="90"/>
      <c r="C43" s="90"/>
      <c r="D43" s="101"/>
      <c r="E43" s="90"/>
      <c r="F43" s="90"/>
      <c r="G43" s="90"/>
      <c r="H43" s="90"/>
      <c r="I43" s="90"/>
      <c r="J43" s="90"/>
      <c r="K43" s="90"/>
      <c r="L43" s="90"/>
      <c r="M43" s="90"/>
      <c r="N43" s="101"/>
      <c r="O43" s="90"/>
      <c r="P43" s="90"/>
      <c r="Q43" s="100" t="str">
        <f t="shared" si="0"/>
        <v/>
      </c>
      <c r="R43" s="101"/>
      <c r="S43" s="101"/>
      <c r="T43" s="102" t="str">
        <f t="shared" si="1"/>
        <v/>
      </c>
      <c r="U43" s="101"/>
      <c r="V43" s="103" t="str">
        <f t="shared" si="2"/>
        <v/>
      </c>
      <c r="W43" s="101"/>
      <c r="X43" s="90"/>
      <c r="Y43" s="90"/>
      <c r="Z43" s="90"/>
      <c r="AA43" s="90"/>
      <c r="AB43" s="101"/>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row>
    <row r="44" spans="1:53" ht="13.5" customHeight="1">
      <c r="A44" s="90"/>
      <c r="B44" s="90"/>
      <c r="C44" s="90"/>
      <c r="D44" s="101"/>
      <c r="E44" s="90"/>
      <c r="F44" s="90"/>
      <c r="G44" s="90"/>
      <c r="H44" s="90"/>
      <c r="I44" s="90"/>
      <c r="J44" s="90"/>
      <c r="K44" s="90"/>
      <c r="L44" s="90"/>
      <c r="M44" s="90"/>
      <c r="N44" s="101"/>
      <c r="O44" s="90"/>
      <c r="P44" s="90"/>
      <c r="Q44" s="100" t="str">
        <f t="shared" si="0"/>
        <v/>
      </c>
      <c r="R44" s="101"/>
      <c r="S44" s="101"/>
      <c r="T44" s="102" t="str">
        <f t="shared" si="1"/>
        <v/>
      </c>
      <c r="U44" s="101"/>
      <c r="V44" s="103" t="str">
        <f t="shared" si="2"/>
        <v/>
      </c>
      <c r="W44" s="101"/>
      <c r="X44" s="90"/>
      <c r="Y44" s="90"/>
      <c r="Z44" s="90"/>
      <c r="AA44" s="90"/>
      <c r="AB44" s="101"/>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row>
    <row r="45" spans="1:53" ht="13.5" customHeight="1">
      <c r="A45" s="90"/>
      <c r="B45" s="90"/>
      <c r="C45" s="90"/>
      <c r="D45" s="101"/>
      <c r="E45" s="90"/>
      <c r="F45" s="90"/>
      <c r="G45" s="90"/>
      <c r="H45" s="90"/>
      <c r="I45" s="90"/>
      <c r="J45" s="90"/>
      <c r="K45" s="90"/>
      <c r="L45" s="90"/>
      <c r="M45" s="90"/>
      <c r="N45" s="101"/>
      <c r="O45" s="90"/>
      <c r="P45" s="90"/>
      <c r="Q45" s="100" t="str">
        <f t="shared" si="0"/>
        <v/>
      </c>
      <c r="R45" s="101"/>
      <c r="S45" s="101"/>
      <c r="T45" s="102" t="str">
        <f t="shared" si="1"/>
        <v/>
      </c>
      <c r="U45" s="101"/>
      <c r="V45" s="103" t="str">
        <f t="shared" si="2"/>
        <v/>
      </c>
      <c r="W45" s="101"/>
      <c r="X45" s="90"/>
      <c r="Y45" s="90"/>
      <c r="Z45" s="90"/>
      <c r="AA45" s="90"/>
      <c r="AB45" s="101"/>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row>
    <row r="46" spans="1:53" ht="13.5" customHeight="1">
      <c r="A46" s="90"/>
      <c r="B46" s="90"/>
      <c r="C46" s="90"/>
      <c r="D46" s="101"/>
      <c r="E46" s="90"/>
      <c r="F46" s="90"/>
      <c r="G46" s="90"/>
      <c r="H46" s="90"/>
      <c r="I46" s="90"/>
      <c r="J46" s="90"/>
      <c r="K46" s="90"/>
      <c r="L46" s="90"/>
      <c r="M46" s="90"/>
      <c r="N46" s="101"/>
      <c r="O46" s="90"/>
      <c r="P46" s="90"/>
      <c r="Q46" s="100" t="str">
        <f t="shared" si="0"/>
        <v/>
      </c>
      <c r="R46" s="101"/>
      <c r="S46" s="101"/>
      <c r="T46" s="102" t="str">
        <f t="shared" si="1"/>
        <v/>
      </c>
      <c r="U46" s="101"/>
      <c r="V46" s="103" t="str">
        <f t="shared" si="2"/>
        <v/>
      </c>
      <c r="W46" s="101"/>
      <c r="X46" s="90"/>
      <c r="Y46" s="90"/>
      <c r="Z46" s="90"/>
      <c r="AA46" s="90"/>
      <c r="AB46" s="101"/>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row>
    <row r="47" spans="1:53" ht="13.5" customHeight="1">
      <c r="A47" s="90"/>
      <c r="B47" s="90"/>
      <c r="C47" s="90"/>
      <c r="D47" s="101"/>
      <c r="E47" s="90"/>
      <c r="F47" s="90"/>
      <c r="G47" s="90"/>
      <c r="H47" s="90"/>
      <c r="I47" s="90"/>
      <c r="J47" s="90"/>
      <c r="K47" s="90"/>
      <c r="L47" s="90"/>
      <c r="M47" s="90"/>
      <c r="N47" s="101"/>
      <c r="O47" s="90"/>
      <c r="P47" s="90"/>
      <c r="Q47" s="100" t="str">
        <f t="shared" si="0"/>
        <v/>
      </c>
      <c r="R47" s="101"/>
      <c r="S47" s="101"/>
      <c r="T47" s="102" t="str">
        <f t="shared" si="1"/>
        <v/>
      </c>
      <c r="U47" s="101"/>
      <c r="V47" s="103" t="str">
        <f t="shared" si="2"/>
        <v/>
      </c>
      <c r="W47" s="101"/>
      <c r="X47" s="90"/>
      <c r="Y47" s="90"/>
      <c r="Z47" s="90"/>
      <c r="AA47" s="90"/>
      <c r="AB47" s="101"/>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row>
    <row r="48" spans="1:53" ht="13.5" customHeight="1">
      <c r="A48" s="90"/>
      <c r="B48" s="90"/>
      <c r="C48" s="90"/>
      <c r="D48" s="101"/>
      <c r="E48" s="90"/>
      <c r="F48" s="90"/>
      <c r="G48" s="90"/>
      <c r="H48" s="90"/>
      <c r="I48" s="90"/>
      <c r="J48" s="90"/>
      <c r="K48" s="90"/>
      <c r="L48" s="90"/>
      <c r="M48" s="90"/>
      <c r="N48" s="101"/>
      <c r="O48" s="90"/>
      <c r="P48" s="90"/>
      <c r="Q48" s="100" t="str">
        <f t="shared" si="0"/>
        <v/>
      </c>
      <c r="R48" s="101"/>
      <c r="S48" s="101"/>
      <c r="T48" s="102" t="str">
        <f t="shared" si="1"/>
        <v/>
      </c>
      <c r="U48" s="101"/>
      <c r="V48" s="103" t="str">
        <f t="shared" si="2"/>
        <v/>
      </c>
      <c r="W48" s="101"/>
      <c r="X48" s="90"/>
      <c r="Y48" s="90"/>
      <c r="Z48" s="90"/>
      <c r="AA48" s="90"/>
      <c r="AB48" s="101"/>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row>
    <row r="49" spans="1:53" ht="13.5" customHeight="1">
      <c r="A49" s="90"/>
      <c r="B49" s="90"/>
      <c r="C49" s="90"/>
      <c r="D49" s="101"/>
      <c r="E49" s="90"/>
      <c r="F49" s="90"/>
      <c r="G49" s="90"/>
      <c r="H49" s="90"/>
      <c r="I49" s="90"/>
      <c r="J49" s="90"/>
      <c r="K49" s="90"/>
      <c r="L49" s="90"/>
      <c r="M49" s="90"/>
      <c r="N49" s="101"/>
      <c r="O49" s="90"/>
      <c r="P49" s="90"/>
      <c r="Q49" s="100" t="str">
        <f t="shared" si="0"/>
        <v/>
      </c>
      <c r="R49" s="101"/>
      <c r="S49" s="101"/>
      <c r="T49" s="102" t="str">
        <f t="shared" si="1"/>
        <v/>
      </c>
      <c r="U49" s="101"/>
      <c r="V49" s="103" t="str">
        <f t="shared" si="2"/>
        <v/>
      </c>
      <c r="W49" s="101"/>
      <c r="X49" s="90"/>
      <c r="Y49" s="90"/>
      <c r="Z49" s="90"/>
      <c r="AA49" s="90"/>
      <c r="AB49" s="101"/>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row>
    <row r="50" spans="1:53" ht="13.5" customHeight="1">
      <c r="A50" s="90"/>
      <c r="B50" s="90"/>
      <c r="C50" s="90"/>
      <c r="D50" s="101"/>
      <c r="E50" s="90"/>
      <c r="F50" s="90"/>
      <c r="G50" s="90"/>
      <c r="H50" s="90"/>
      <c r="I50" s="90"/>
      <c r="J50" s="90"/>
      <c r="K50" s="90"/>
      <c r="L50" s="90"/>
      <c r="M50" s="90"/>
      <c r="N50" s="101"/>
      <c r="O50" s="90"/>
      <c r="P50" s="90"/>
      <c r="Q50" s="100" t="str">
        <f t="shared" si="0"/>
        <v/>
      </c>
      <c r="R50" s="101"/>
      <c r="S50" s="101"/>
      <c r="T50" s="102" t="str">
        <f t="shared" si="1"/>
        <v/>
      </c>
      <c r="U50" s="101"/>
      <c r="V50" s="103" t="str">
        <f t="shared" si="2"/>
        <v/>
      </c>
      <c r="W50" s="101"/>
      <c r="X50" s="90"/>
      <c r="Y50" s="90"/>
      <c r="Z50" s="90"/>
      <c r="AA50" s="90"/>
      <c r="AB50" s="101"/>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row>
    <row r="51" spans="1:53" ht="13.5" customHeight="1">
      <c r="A51" s="90"/>
      <c r="B51" s="90"/>
      <c r="C51" s="90"/>
      <c r="D51" s="101"/>
      <c r="E51" s="90"/>
      <c r="F51" s="90"/>
      <c r="G51" s="90"/>
      <c r="H51" s="90"/>
      <c r="I51" s="90"/>
      <c r="J51" s="90"/>
      <c r="K51" s="90"/>
      <c r="L51" s="90"/>
      <c r="M51" s="90"/>
      <c r="N51" s="101"/>
      <c r="O51" s="90"/>
      <c r="P51" s="90"/>
      <c r="Q51" s="100" t="str">
        <f t="shared" si="0"/>
        <v/>
      </c>
      <c r="R51" s="101"/>
      <c r="S51" s="101"/>
      <c r="T51" s="102" t="str">
        <f t="shared" si="1"/>
        <v/>
      </c>
      <c r="U51" s="101"/>
      <c r="V51" s="103" t="str">
        <f t="shared" si="2"/>
        <v/>
      </c>
      <c r="W51" s="101"/>
      <c r="X51" s="90"/>
      <c r="Y51" s="90"/>
      <c r="Z51" s="90"/>
      <c r="AA51" s="90"/>
      <c r="AB51" s="101"/>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row>
    <row r="52" spans="1:53" ht="13.5" customHeight="1">
      <c r="A52" s="90"/>
      <c r="B52" s="90"/>
      <c r="C52" s="90"/>
      <c r="D52" s="101"/>
      <c r="E52" s="90"/>
      <c r="F52" s="90"/>
      <c r="G52" s="90"/>
      <c r="H52" s="90"/>
      <c r="I52" s="90"/>
      <c r="J52" s="90"/>
      <c r="K52" s="90"/>
      <c r="L52" s="90"/>
      <c r="M52" s="90"/>
      <c r="N52" s="101"/>
      <c r="O52" s="90"/>
      <c r="P52" s="90"/>
      <c r="Q52" s="100" t="str">
        <f t="shared" si="0"/>
        <v/>
      </c>
      <c r="R52" s="101"/>
      <c r="S52" s="101"/>
      <c r="T52" s="102" t="str">
        <f t="shared" si="1"/>
        <v/>
      </c>
      <c r="U52" s="101"/>
      <c r="V52" s="103" t="str">
        <f t="shared" si="2"/>
        <v/>
      </c>
      <c r="W52" s="101"/>
      <c r="X52" s="90"/>
      <c r="Y52" s="90"/>
      <c r="Z52" s="90"/>
      <c r="AA52" s="90"/>
      <c r="AB52" s="101"/>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row>
    <row r="53" spans="1:53" ht="13.5" customHeight="1">
      <c r="A53" s="90"/>
      <c r="B53" s="90"/>
      <c r="C53" s="90"/>
      <c r="D53" s="101"/>
      <c r="E53" s="90"/>
      <c r="F53" s="90"/>
      <c r="G53" s="90"/>
      <c r="H53" s="90"/>
      <c r="I53" s="90"/>
      <c r="J53" s="90"/>
      <c r="K53" s="90"/>
      <c r="L53" s="90"/>
      <c r="M53" s="90"/>
      <c r="N53" s="101"/>
      <c r="O53" s="90"/>
      <c r="P53" s="90"/>
      <c r="Q53" s="100" t="str">
        <f t="shared" si="0"/>
        <v/>
      </c>
      <c r="R53" s="101"/>
      <c r="S53" s="101"/>
      <c r="T53" s="102" t="str">
        <f t="shared" si="1"/>
        <v/>
      </c>
      <c r="U53" s="101"/>
      <c r="V53" s="103" t="str">
        <f t="shared" si="2"/>
        <v/>
      </c>
      <c r="W53" s="101"/>
      <c r="X53" s="90"/>
      <c r="Y53" s="90"/>
      <c r="Z53" s="90"/>
      <c r="AA53" s="90"/>
      <c r="AB53" s="101"/>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row>
    <row r="54" spans="1:53" ht="13.5" customHeight="1">
      <c r="A54" s="90"/>
      <c r="B54" s="90"/>
      <c r="C54" s="90"/>
      <c r="D54" s="101"/>
      <c r="E54" s="90"/>
      <c r="F54" s="90"/>
      <c r="G54" s="90"/>
      <c r="H54" s="90"/>
      <c r="I54" s="90"/>
      <c r="J54" s="90"/>
      <c r="K54" s="90"/>
      <c r="L54" s="90"/>
      <c r="M54" s="90"/>
      <c r="N54" s="101"/>
      <c r="O54" s="90"/>
      <c r="P54" s="90"/>
      <c r="Q54" s="100" t="str">
        <f t="shared" si="0"/>
        <v/>
      </c>
      <c r="R54" s="101"/>
      <c r="S54" s="101"/>
      <c r="T54" s="102" t="str">
        <f t="shared" si="1"/>
        <v/>
      </c>
      <c r="U54" s="101"/>
      <c r="V54" s="103" t="str">
        <f t="shared" si="2"/>
        <v/>
      </c>
      <c r="W54" s="101"/>
      <c r="X54" s="90"/>
      <c r="Y54" s="90"/>
      <c r="Z54" s="90"/>
      <c r="AA54" s="90"/>
      <c r="AB54" s="101"/>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row>
    <row r="55" spans="1:53" ht="13.5" customHeight="1">
      <c r="A55" s="90"/>
      <c r="B55" s="90"/>
      <c r="C55" s="90"/>
      <c r="D55" s="101"/>
      <c r="E55" s="90"/>
      <c r="F55" s="90"/>
      <c r="G55" s="90"/>
      <c r="H55" s="90"/>
      <c r="I55" s="90"/>
      <c r="J55" s="90"/>
      <c r="K55" s="90"/>
      <c r="L55" s="90"/>
      <c r="M55" s="90"/>
      <c r="N55" s="101"/>
      <c r="O55" s="90"/>
      <c r="P55" s="90"/>
      <c r="Q55" s="100" t="str">
        <f t="shared" si="0"/>
        <v/>
      </c>
      <c r="R55" s="101"/>
      <c r="S55" s="101"/>
      <c r="T55" s="102" t="str">
        <f t="shared" si="1"/>
        <v/>
      </c>
      <c r="U55" s="101"/>
      <c r="V55" s="103" t="str">
        <f t="shared" si="2"/>
        <v/>
      </c>
      <c r="W55" s="101"/>
      <c r="X55" s="90"/>
      <c r="Y55" s="90"/>
      <c r="Z55" s="90"/>
      <c r="AA55" s="90"/>
      <c r="AB55" s="101"/>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row>
    <row r="56" spans="1:53" ht="13.5" customHeight="1">
      <c r="A56" s="90"/>
      <c r="B56" s="90"/>
      <c r="C56" s="90"/>
      <c r="D56" s="101"/>
      <c r="E56" s="90"/>
      <c r="F56" s="90"/>
      <c r="G56" s="90"/>
      <c r="H56" s="90"/>
      <c r="I56" s="90"/>
      <c r="J56" s="90"/>
      <c r="K56" s="90"/>
      <c r="L56" s="90"/>
      <c r="M56" s="90"/>
      <c r="N56" s="101"/>
      <c r="O56" s="90"/>
      <c r="P56" s="90"/>
      <c r="Q56" s="100" t="str">
        <f t="shared" si="0"/>
        <v/>
      </c>
      <c r="R56" s="101"/>
      <c r="S56" s="101"/>
      <c r="T56" s="102" t="str">
        <f t="shared" si="1"/>
        <v/>
      </c>
      <c r="U56" s="101"/>
      <c r="V56" s="103" t="str">
        <f t="shared" si="2"/>
        <v/>
      </c>
      <c r="W56" s="101"/>
      <c r="X56" s="90"/>
      <c r="Y56" s="90"/>
      <c r="Z56" s="90"/>
      <c r="AA56" s="90"/>
      <c r="AB56" s="101"/>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row>
    <row r="57" spans="1:53" ht="13.5" customHeight="1">
      <c r="A57" s="90"/>
      <c r="B57" s="90"/>
      <c r="C57" s="90"/>
      <c r="D57" s="101"/>
      <c r="E57" s="90"/>
      <c r="F57" s="90"/>
      <c r="G57" s="90"/>
      <c r="H57" s="90"/>
      <c r="I57" s="90"/>
      <c r="J57" s="90"/>
      <c r="K57" s="90"/>
      <c r="L57" s="90"/>
      <c r="M57" s="90"/>
      <c r="N57" s="101"/>
      <c r="O57" s="90"/>
      <c r="P57" s="90"/>
      <c r="Q57" s="100" t="str">
        <f t="shared" si="0"/>
        <v/>
      </c>
      <c r="R57" s="101"/>
      <c r="S57" s="101"/>
      <c r="T57" s="102" t="str">
        <f t="shared" si="1"/>
        <v/>
      </c>
      <c r="U57" s="101"/>
      <c r="V57" s="103" t="str">
        <f t="shared" si="2"/>
        <v/>
      </c>
      <c r="W57" s="101"/>
      <c r="X57" s="90"/>
      <c r="Y57" s="90"/>
      <c r="Z57" s="90"/>
      <c r="AA57" s="90"/>
      <c r="AB57" s="101"/>
      <c r="AC57" s="90"/>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row>
    <row r="58" spans="1:53" ht="13.5" customHeight="1">
      <c r="A58" s="90"/>
      <c r="B58" s="90"/>
      <c r="C58" s="90"/>
      <c r="D58" s="101"/>
      <c r="E58" s="90"/>
      <c r="F58" s="90"/>
      <c r="G58" s="90"/>
      <c r="H58" s="90"/>
      <c r="I58" s="90"/>
      <c r="J58" s="90"/>
      <c r="K58" s="90"/>
      <c r="L58" s="90"/>
      <c r="M58" s="90"/>
      <c r="N58" s="101"/>
      <c r="O58" s="90"/>
      <c r="P58" s="90"/>
      <c r="Q58" s="100" t="str">
        <f t="shared" si="0"/>
        <v/>
      </c>
      <c r="R58" s="101"/>
      <c r="S58" s="101"/>
      <c r="T58" s="102" t="str">
        <f t="shared" si="1"/>
        <v/>
      </c>
      <c r="U58" s="101"/>
      <c r="V58" s="103" t="str">
        <f t="shared" si="2"/>
        <v/>
      </c>
      <c r="W58" s="101"/>
      <c r="X58" s="90"/>
      <c r="Y58" s="90"/>
      <c r="Z58" s="90"/>
      <c r="AA58" s="90"/>
      <c r="AB58" s="101"/>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row>
    <row r="59" spans="1:53" ht="13.5" customHeight="1">
      <c r="A59" s="90"/>
      <c r="B59" s="90"/>
      <c r="C59" s="90"/>
      <c r="D59" s="101"/>
      <c r="E59" s="90"/>
      <c r="F59" s="90"/>
      <c r="G59" s="90"/>
      <c r="H59" s="90"/>
      <c r="I59" s="90"/>
      <c r="J59" s="90"/>
      <c r="K59" s="90"/>
      <c r="L59" s="90"/>
      <c r="M59" s="90"/>
      <c r="N59" s="101"/>
      <c r="O59" s="90"/>
      <c r="P59" s="90"/>
      <c r="Q59" s="100" t="str">
        <f t="shared" si="0"/>
        <v/>
      </c>
      <c r="R59" s="101"/>
      <c r="S59" s="101"/>
      <c r="T59" s="102" t="str">
        <f t="shared" si="1"/>
        <v/>
      </c>
      <c r="U59" s="101"/>
      <c r="V59" s="103" t="str">
        <f t="shared" si="2"/>
        <v/>
      </c>
      <c r="W59" s="101"/>
      <c r="X59" s="90"/>
      <c r="Y59" s="90"/>
      <c r="Z59" s="90"/>
      <c r="AA59" s="90"/>
      <c r="AB59" s="101"/>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row>
    <row r="60" spans="1:53" ht="13.5" customHeight="1">
      <c r="A60" s="90"/>
      <c r="B60" s="90"/>
      <c r="C60" s="90"/>
      <c r="D60" s="101"/>
      <c r="E60" s="90"/>
      <c r="F60" s="90"/>
      <c r="G60" s="90"/>
      <c r="H60" s="90"/>
      <c r="I60" s="90"/>
      <c r="J60" s="90"/>
      <c r="K60" s="90"/>
      <c r="L60" s="90"/>
      <c r="M60" s="90"/>
      <c r="N60" s="101"/>
      <c r="O60" s="90"/>
      <c r="P60" s="90"/>
      <c r="Q60" s="100" t="str">
        <f t="shared" si="0"/>
        <v/>
      </c>
      <c r="R60" s="101"/>
      <c r="S60" s="101"/>
      <c r="T60" s="102" t="str">
        <f t="shared" si="1"/>
        <v/>
      </c>
      <c r="U60" s="101"/>
      <c r="V60" s="103" t="str">
        <f t="shared" si="2"/>
        <v/>
      </c>
      <c r="W60" s="101"/>
      <c r="X60" s="90"/>
      <c r="Y60" s="90"/>
      <c r="Z60" s="90"/>
      <c r="AA60" s="90"/>
      <c r="AB60" s="101"/>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row>
    <row r="61" spans="1:53" ht="13.5" customHeight="1">
      <c r="A61" s="90"/>
      <c r="B61" s="90"/>
      <c r="C61" s="90"/>
      <c r="D61" s="101"/>
      <c r="E61" s="90"/>
      <c r="F61" s="90"/>
      <c r="G61" s="90"/>
      <c r="H61" s="90"/>
      <c r="I61" s="90"/>
      <c r="J61" s="90"/>
      <c r="K61" s="90"/>
      <c r="L61" s="90"/>
      <c r="M61" s="90"/>
      <c r="N61" s="101"/>
      <c r="O61" s="90"/>
      <c r="P61" s="90"/>
      <c r="Q61" s="100" t="str">
        <f t="shared" si="0"/>
        <v/>
      </c>
      <c r="R61" s="101"/>
      <c r="S61" s="101"/>
      <c r="T61" s="102" t="str">
        <f t="shared" si="1"/>
        <v/>
      </c>
      <c r="U61" s="101"/>
      <c r="V61" s="103" t="str">
        <f t="shared" si="2"/>
        <v/>
      </c>
      <c r="W61" s="101"/>
      <c r="X61" s="90"/>
      <c r="Y61" s="90"/>
      <c r="Z61" s="90"/>
      <c r="AA61" s="90"/>
      <c r="AB61" s="101"/>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row>
    <row r="62" spans="1:53" ht="13.5" customHeight="1">
      <c r="A62" s="90"/>
      <c r="B62" s="90"/>
      <c r="C62" s="90"/>
      <c r="D62" s="101"/>
      <c r="E62" s="90"/>
      <c r="F62" s="90"/>
      <c r="G62" s="90"/>
      <c r="H62" s="90"/>
      <c r="I62" s="90"/>
      <c r="J62" s="90"/>
      <c r="K62" s="90"/>
      <c r="L62" s="90"/>
      <c r="M62" s="90"/>
      <c r="N62" s="101"/>
      <c r="O62" s="90"/>
      <c r="P62" s="90"/>
      <c r="Q62" s="100" t="str">
        <f t="shared" si="0"/>
        <v/>
      </c>
      <c r="R62" s="101"/>
      <c r="S62" s="101"/>
      <c r="T62" s="102" t="str">
        <f t="shared" si="1"/>
        <v/>
      </c>
      <c r="U62" s="101"/>
      <c r="V62" s="103" t="str">
        <f t="shared" si="2"/>
        <v/>
      </c>
      <c r="W62" s="101"/>
      <c r="X62" s="90"/>
      <c r="Y62" s="90"/>
      <c r="Z62" s="90"/>
      <c r="AA62" s="90"/>
      <c r="AB62" s="101"/>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row>
    <row r="63" spans="1:53" ht="13.5" customHeight="1">
      <c r="A63" s="90"/>
      <c r="B63" s="90"/>
      <c r="C63" s="90"/>
      <c r="D63" s="101"/>
      <c r="E63" s="90"/>
      <c r="F63" s="90"/>
      <c r="G63" s="90"/>
      <c r="H63" s="90"/>
      <c r="I63" s="90"/>
      <c r="J63" s="90"/>
      <c r="K63" s="90"/>
      <c r="L63" s="90"/>
      <c r="M63" s="90"/>
      <c r="N63" s="101"/>
      <c r="O63" s="90"/>
      <c r="P63" s="90"/>
      <c r="Q63" s="100" t="str">
        <f t="shared" si="0"/>
        <v/>
      </c>
      <c r="R63" s="101"/>
      <c r="S63" s="101"/>
      <c r="T63" s="102" t="str">
        <f t="shared" si="1"/>
        <v/>
      </c>
      <c r="U63" s="101"/>
      <c r="V63" s="103" t="str">
        <f t="shared" si="2"/>
        <v/>
      </c>
      <c r="W63" s="101"/>
      <c r="X63" s="90"/>
      <c r="Y63" s="90"/>
      <c r="Z63" s="90"/>
      <c r="AA63" s="90"/>
      <c r="AB63" s="101"/>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row>
    <row r="64" spans="1:53" ht="13.5" customHeight="1">
      <c r="A64" s="90"/>
      <c r="B64" s="90"/>
      <c r="C64" s="90"/>
      <c r="D64" s="101"/>
      <c r="E64" s="90"/>
      <c r="F64" s="90"/>
      <c r="G64" s="90"/>
      <c r="H64" s="90"/>
      <c r="I64" s="90"/>
      <c r="J64" s="90"/>
      <c r="K64" s="90"/>
      <c r="L64" s="90"/>
      <c r="M64" s="90"/>
      <c r="N64" s="101"/>
      <c r="O64" s="90"/>
      <c r="P64" s="90"/>
      <c r="Q64" s="100" t="str">
        <f t="shared" si="0"/>
        <v/>
      </c>
      <c r="R64" s="101"/>
      <c r="S64" s="101"/>
      <c r="T64" s="102" t="str">
        <f t="shared" si="1"/>
        <v/>
      </c>
      <c r="U64" s="101"/>
      <c r="V64" s="103" t="str">
        <f t="shared" si="2"/>
        <v/>
      </c>
      <c r="W64" s="101"/>
      <c r="X64" s="90"/>
      <c r="Y64" s="90"/>
      <c r="Z64" s="90"/>
      <c r="AA64" s="90"/>
      <c r="AB64" s="101"/>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row>
    <row r="65" spans="1:53" ht="13.5" customHeight="1">
      <c r="A65" s="90"/>
      <c r="B65" s="90"/>
      <c r="C65" s="90"/>
      <c r="D65" s="101"/>
      <c r="E65" s="90"/>
      <c r="F65" s="90"/>
      <c r="G65" s="90"/>
      <c r="H65" s="90"/>
      <c r="I65" s="90"/>
      <c r="J65" s="90"/>
      <c r="K65" s="90"/>
      <c r="L65" s="90"/>
      <c r="M65" s="90"/>
      <c r="N65" s="101"/>
      <c r="O65" s="90"/>
      <c r="P65" s="90"/>
      <c r="Q65" s="102" t="str">
        <f t="shared" si="0"/>
        <v/>
      </c>
      <c r="R65" s="101"/>
      <c r="S65" s="101"/>
      <c r="T65" s="102" t="str">
        <f t="shared" si="1"/>
        <v/>
      </c>
      <c r="U65" s="101"/>
      <c r="V65" s="102" t="str">
        <f t="shared" si="2"/>
        <v/>
      </c>
      <c r="W65" s="101"/>
      <c r="X65" s="90"/>
      <c r="Y65" s="90"/>
      <c r="Z65" s="90"/>
      <c r="AA65" s="90"/>
      <c r="AB65" s="101"/>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row>
    <row r="66" spans="1:53" ht="13.5" customHeight="1">
      <c r="A66" s="90"/>
      <c r="B66" s="90"/>
      <c r="C66" s="90"/>
      <c r="D66" s="101"/>
      <c r="E66" s="90"/>
      <c r="F66" s="90"/>
      <c r="G66" s="90"/>
      <c r="H66" s="90"/>
      <c r="I66" s="90"/>
      <c r="J66" s="90"/>
      <c r="K66" s="90"/>
      <c r="L66" s="90"/>
      <c r="M66" s="90"/>
      <c r="N66" s="101"/>
      <c r="O66" s="90"/>
      <c r="P66" s="90"/>
      <c r="Q66" s="102" t="str">
        <f t="shared" si="0"/>
        <v/>
      </c>
      <c r="R66" s="101"/>
      <c r="S66" s="101"/>
      <c r="T66" s="102" t="str">
        <f t="shared" si="1"/>
        <v/>
      </c>
      <c r="U66" s="101"/>
      <c r="V66" s="102" t="str">
        <f t="shared" si="2"/>
        <v/>
      </c>
      <c r="W66" s="101"/>
      <c r="X66" s="90"/>
      <c r="Y66" s="90"/>
      <c r="Z66" s="90"/>
      <c r="AA66" s="90"/>
      <c r="AB66" s="101"/>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row>
    <row r="67" spans="1:53" ht="13.5" customHeight="1">
      <c r="A67" s="90"/>
      <c r="B67" s="90"/>
      <c r="C67" s="90"/>
      <c r="D67" s="101"/>
      <c r="E67" s="90"/>
      <c r="F67" s="90"/>
      <c r="G67" s="90"/>
      <c r="H67" s="90"/>
      <c r="I67" s="90"/>
      <c r="J67" s="90"/>
      <c r="K67" s="90"/>
      <c r="L67" s="90"/>
      <c r="M67" s="90"/>
      <c r="N67" s="101"/>
      <c r="O67" s="90"/>
      <c r="P67" s="90"/>
      <c r="Q67" s="102" t="str">
        <f t="shared" si="0"/>
        <v/>
      </c>
      <c r="R67" s="101"/>
      <c r="S67" s="101"/>
      <c r="T67" s="102" t="str">
        <f t="shared" si="1"/>
        <v/>
      </c>
      <c r="U67" s="101"/>
      <c r="V67" s="102" t="str">
        <f t="shared" si="2"/>
        <v/>
      </c>
      <c r="W67" s="101"/>
      <c r="X67" s="90"/>
      <c r="Y67" s="90"/>
      <c r="Z67" s="90"/>
      <c r="AA67" s="90"/>
      <c r="AB67" s="101"/>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row>
    <row r="68" spans="1:53" ht="13.5" customHeight="1">
      <c r="A68" s="90"/>
      <c r="B68" s="90"/>
      <c r="C68" s="90"/>
      <c r="D68" s="101"/>
      <c r="E68" s="90"/>
      <c r="F68" s="90"/>
      <c r="G68" s="90"/>
      <c r="H68" s="90"/>
      <c r="I68" s="90"/>
      <c r="J68" s="90"/>
      <c r="K68" s="90"/>
      <c r="L68" s="90"/>
      <c r="M68" s="90"/>
      <c r="N68" s="101"/>
      <c r="O68" s="90"/>
      <c r="P68" s="90"/>
      <c r="Q68" s="102" t="str">
        <f t="shared" si="0"/>
        <v/>
      </c>
      <c r="R68" s="101"/>
      <c r="S68" s="101"/>
      <c r="T68" s="102" t="str">
        <f t="shared" si="1"/>
        <v/>
      </c>
      <c r="U68" s="101"/>
      <c r="V68" s="102" t="str">
        <f t="shared" si="2"/>
        <v/>
      </c>
      <c r="W68" s="101"/>
      <c r="X68" s="90"/>
      <c r="Y68" s="90"/>
      <c r="Z68" s="90"/>
      <c r="AA68" s="90"/>
      <c r="AB68" s="101"/>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row>
    <row r="69" spans="1:53" ht="13.5" customHeight="1">
      <c r="A69" s="90"/>
      <c r="B69" s="90"/>
      <c r="C69" s="90"/>
      <c r="D69" s="101"/>
      <c r="E69" s="90"/>
      <c r="F69" s="90"/>
      <c r="G69" s="90"/>
      <c r="H69" s="90"/>
      <c r="I69" s="90"/>
      <c r="J69" s="90"/>
      <c r="K69" s="90"/>
      <c r="L69" s="90"/>
      <c r="M69" s="90"/>
      <c r="N69" s="101"/>
      <c r="O69" s="90"/>
      <c r="P69" s="90"/>
      <c r="Q69" s="102" t="str">
        <f t="shared" si="0"/>
        <v/>
      </c>
      <c r="R69" s="101"/>
      <c r="S69" s="101"/>
      <c r="T69" s="102" t="str">
        <f t="shared" si="1"/>
        <v/>
      </c>
      <c r="U69" s="101"/>
      <c r="V69" s="102" t="str">
        <f t="shared" si="2"/>
        <v/>
      </c>
      <c r="W69" s="101"/>
      <c r="X69" s="90"/>
      <c r="Y69" s="90"/>
      <c r="Z69" s="90"/>
      <c r="AA69" s="90"/>
      <c r="AB69" s="101"/>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row>
    <row r="70" spans="1:53" ht="13.5" customHeight="1">
      <c r="A70" s="90"/>
      <c r="B70" s="90"/>
      <c r="C70" s="90"/>
      <c r="D70" s="101"/>
      <c r="E70" s="90"/>
      <c r="F70" s="90"/>
      <c r="G70" s="90"/>
      <c r="H70" s="90"/>
      <c r="I70" s="90"/>
      <c r="J70" s="90"/>
      <c r="K70" s="90"/>
      <c r="L70" s="90"/>
      <c r="M70" s="90"/>
      <c r="N70" s="101"/>
      <c r="O70" s="90"/>
      <c r="P70" s="90"/>
      <c r="Q70" s="102" t="str">
        <f t="shared" si="0"/>
        <v/>
      </c>
      <c r="R70" s="101"/>
      <c r="S70" s="101"/>
      <c r="T70" s="102" t="str">
        <f t="shared" si="1"/>
        <v/>
      </c>
      <c r="U70" s="101"/>
      <c r="V70" s="102" t="str">
        <f t="shared" si="2"/>
        <v/>
      </c>
      <c r="W70" s="101"/>
      <c r="X70" s="90"/>
      <c r="Y70" s="90"/>
      <c r="Z70" s="90"/>
      <c r="AA70" s="90"/>
      <c r="AB70" s="101"/>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row>
    <row r="71" spans="1:53" ht="13.5" customHeight="1">
      <c r="A71" s="90"/>
      <c r="B71" s="90"/>
      <c r="C71" s="90"/>
      <c r="D71" s="101"/>
      <c r="E71" s="90"/>
      <c r="F71" s="90"/>
      <c r="G71" s="90"/>
      <c r="H71" s="90"/>
      <c r="I71" s="90"/>
      <c r="J71" s="90"/>
      <c r="K71" s="90"/>
      <c r="L71" s="90"/>
      <c r="M71" s="90"/>
      <c r="N71" s="101"/>
      <c r="O71" s="90"/>
      <c r="P71" s="90"/>
      <c r="Q71" s="102" t="str">
        <f t="shared" si="0"/>
        <v/>
      </c>
      <c r="R71" s="101"/>
      <c r="S71" s="101"/>
      <c r="T71" s="102" t="str">
        <f t="shared" si="1"/>
        <v/>
      </c>
      <c r="U71" s="101"/>
      <c r="V71" s="102" t="str">
        <f t="shared" si="2"/>
        <v/>
      </c>
      <c r="W71" s="101"/>
      <c r="X71" s="90"/>
      <c r="Y71" s="90"/>
      <c r="Z71" s="90"/>
      <c r="AA71" s="90"/>
      <c r="AB71" s="101"/>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row>
    <row r="72" spans="1:53" ht="13.5" customHeight="1">
      <c r="A72" s="90"/>
      <c r="B72" s="90"/>
      <c r="C72" s="90"/>
      <c r="D72" s="101"/>
      <c r="E72" s="90"/>
      <c r="F72" s="90"/>
      <c r="G72" s="90"/>
      <c r="H72" s="90"/>
      <c r="I72" s="90"/>
      <c r="J72" s="90"/>
      <c r="K72" s="90"/>
      <c r="L72" s="90"/>
      <c r="M72" s="90"/>
      <c r="N72" s="101"/>
      <c r="O72" s="90"/>
      <c r="P72" s="90"/>
      <c r="Q72" s="102" t="str">
        <f t="shared" si="0"/>
        <v/>
      </c>
      <c r="R72" s="101"/>
      <c r="S72" s="101"/>
      <c r="T72" s="102" t="str">
        <f t="shared" si="1"/>
        <v/>
      </c>
      <c r="U72" s="101"/>
      <c r="V72" s="102" t="str">
        <f t="shared" si="2"/>
        <v/>
      </c>
      <c r="W72" s="101"/>
      <c r="X72" s="90"/>
      <c r="Y72" s="90"/>
      <c r="Z72" s="90"/>
      <c r="AA72" s="90"/>
      <c r="AB72" s="101"/>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row>
    <row r="73" spans="1:53" ht="13.5" customHeight="1">
      <c r="A73" s="90"/>
      <c r="B73" s="90"/>
      <c r="C73" s="90"/>
      <c r="D73" s="101"/>
      <c r="E73" s="90"/>
      <c r="F73" s="90"/>
      <c r="G73" s="90"/>
      <c r="H73" s="90"/>
      <c r="I73" s="90"/>
      <c r="J73" s="90"/>
      <c r="K73" s="90"/>
      <c r="L73" s="90"/>
      <c r="M73" s="90"/>
      <c r="N73" s="101"/>
      <c r="O73" s="90"/>
      <c r="P73" s="90"/>
      <c r="Q73" s="102" t="str">
        <f t="shared" si="0"/>
        <v/>
      </c>
      <c r="R73" s="101"/>
      <c r="S73" s="101"/>
      <c r="T73" s="102" t="str">
        <f t="shared" si="1"/>
        <v/>
      </c>
      <c r="U73" s="101"/>
      <c r="V73" s="102" t="str">
        <f t="shared" si="2"/>
        <v/>
      </c>
      <c r="W73" s="101"/>
      <c r="X73" s="90"/>
      <c r="Y73" s="90"/>
      <c r="Z73" s="90"/>
      <c r="AA73" s="90"/>
      <c r="AB73" s="101"/>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row>
    <row r="74" spans="1:53" ht="13.5" customHeight="1">
      <c r="A74" s="90"/>
      <c r="B74" s="90"/>
      <c r="C74" s="90"/>
      <c r="D74" s="101"/>
      <c r="E74" s="90"/>
      <c r="F74" s="90"/>
      <c r="G74" s="90"/>
      <c r="H74" s="90"/>
      <c r="I74" s="90"/>
      <c r="J74" s="90"/>
      <c r="K74" s="90"/>
      <c r="L74" s="90"/>
      <c r="M74" s="90"/>
      <c r="N74" s="101"/>
      <c r="O74" s="90"/>
      <c r="P74" s="90"/>
      <c r="Q74" s="102" t="str">
        <f t="shared" si="0"/>
        <v/>
      </c>
      <c r="R74" s="101"/>
      <c r="S74" s="101"/>
      <c r="T74" s="102" t="str">
        <f t="shared" si="1"/>
        <v/>
      </c>
      <c r="U74" s="101"/>
      <c r="V74" s="102" t="str">
        <f t="shared" si="2"/>
        <v/>
      </c>
      <c r="W74" s="101"/>
      <c r="X74" s="90"/>
      <c r="Y74" s="90"/>
      <c r="Z74" s="90"/>
      <c r="AA74" s="90"/>
      <c r="AB74" s="101"/>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row>
    <row r="75" spans="1:53" ht="13.5" customHeight="1">
      <c r="A75" s="90"/>
      <c r="B75" s="90"/>
      <c r="C75" s="90"/>
      <c r="D75" s="101"/>
      <c r="E75" s="90"/>
      <c r="F75" s="90"/>
      <c r="G75" s="90"/>
      <c r="H75" s="90"/>
      <c r="I75" s="90"/>
      <c r="J75" s="90"/>
      <c r="K75" s="90"/>
      <c r="L75" s="90"/>
      <c r="M75" s="90"/>
      <c r="N75" s="101"/>
      <c r="O75" s="90"/>
      <c r="P75" s="90"/>
      <c r="Q75" s="102" t="str">
        <f t="shared" si="0"/>
        <v/>
      </c>
      <c r="R75" s="101"/>
      <c r="S75" s="101"/>
      <c r="T75" s="102" t="str">
        <f t="shared" si="1"/>
        <v/>
      </c>
      <c r="U75" s="101"/>
      <c r="V75" s="102" t="str">
        <f t="shared" si="2"/>
        <v/>
      </c>
      <c r="W75" s="101"/>
      <c r="X75" s="90"/>
      <c r="Y75" s="90"/>
      <c r="Z75" s="90"/>
      <c r="AA75" s="90"/>
      <c r="AB75" s="101"/>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row>
    <row r="76" spans="1:53" ht="13.5" customHeight="1">
      <c r="A76" s="90"/>
      <c r="B76" s="90"/>
      <c r="C76" s="90"/>
      <c r="D76" s="101"/>
      <c r="E76" s="90"/>
      <c r="F76" s="90"/>
      <c r="G76" s="90"/>
      <c r="H76" s="90"/>
      <c r="I76" s="90"/>
      <c r="J76" s="90"/>
      <c r="K76" s="90"/>
      <c r="L76" s="90"/>
      <c r="M76" s="90"/>
      <c r="N76" s="101"/>
      <c r="O76" s="90"/>
      <c r="P76" s="90"/>
      <c r="Q76" s="102" t="str">
        <f t="shared" si="0"/>
        <v/>
      </c>
      <c r="R76" s="101"/>
      <c r="S76" s="101"/>
      <c r="T76" s="102" t="str">
        <f t="shared" si="1"/>
        <v/>
      </c>
      <c r="U76" s="101"/>
      <c r="V76" s="102" t="str">
        <f t="shared" si="2"/>
        <v/>
      </c>
      <c r="W76" s="101"/>
      <c r="X76" s="90"/>
      <c r="Y76" s="90"/>
      <c r="Z76" s="90"/>
      <c r="AA76" s="90"/>
      <c r="AB76" s="101"/>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row>
    <row r="77" spans="1:53" ht="13.5" customHeight="1">
      <c r="A77" s="90"/>
      <c r="B77" s="90"/>
      <c r="C77" s="90"/>
      <c r="D77" s="101"/>
      <c r="E77" s="90"/>
      <c r="F77" s="90"/>
      <c r="G77" s="90"/>
      <c r="H77" s="90"/>
      <c r="I77" s="90"/>
      <c r="J77" s="90"/>
      <c r="K77" s="90"/>
      <c r="L77" s="90"/>
      <c r="M77" s="90"/>
      <c r="N77" s="101"/>
      <c r="O77" s="90"/>
      <c r="P77" s="90"/>
      <c r="Q77" s="102" t="str">
        <f t="shared" si="0"/>
        <v/>
      </c>
      <c r="R77" s="101"/>
      <c r="S77" s="101"/>
      <c r="T77" s="102" t="str">
        <f t="shared" si="1"/>
        <v/>
      </c>
      <c r="U77" s="101"/>
      <c r="V77" s="102" t="str">
        <f t="shared" si="2"/>
        <v/>
      </c>
      <c r="W77" s="101"/>
      <c r="X77" s="90"/>
      <c r="Y77" s="90"/>
      <c r="Z77" s="90"/>
      <c r="AA77" s="90"/>
      <c r="AB77" s="101"/>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row>
    <row r="78" spans="1:53" ht="13.5" customHeight="1">
      <c r="A78" s="90"/>
      <c r="B78" s="90"/>
      <c r="C78" s="90"/>
      <c r="D78" s="101"/>
      <c r="E78" s="90"/>
      <c r="F78" s="90"/>
      <c r="G78" s="90"/>
      <c r="H78" s="90"/>
      <c r="I78" s="90"/>
      <c r="J78" s="90"/>
      <c r="K78" s="90"/>
      <c r="L78" s="90"/>
      <c r="M78" s="90"/>
      <c r="N78" s="101"/>
      <c r="O78" s="90"/>
      <c r="P78" s="90"/>
      <c r="Q78" s="102" t="str">
        <f t="shared" si="0"/>
        <v/>
      </c>
      <c r="R78" s="101"/>
      <c r="S78" s="101"/>
      <c r="T78" s="102" t="str">
        <f t="shared" si="1"/>
        <v/>
      </c>
      <c r="U78" s="101"/>
      <c r="V78" s="102" t="str">
        <f t="shared" si="2"/>
        <v/>
      </c>
      <c r="W78" s="101"/>
      <c r="X78" s="90"/>
      <c r="Y78" s="90"/>
      <c r="Z78" s="90"/>
      <c r="AA78" s="90"/>
      <c r="AB78" s="101"/>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row>
    <row r="79" spans="1:53" ht="13.5" customHeight="1">
      <c r="A79" s="90"/>
      <c r="B79" s="90"/>
      <c r="C79" s="90"/>
      <c r="D79" s="101"/>
      <c r="E79" s="90"/>
      <c r="F79" s="90"/>
      <c r="G79" s="90"/>
      <c r="H79" s="90"/>
      <c r="I79" s="90"/>
      <c r="J79" s="90"/>
      <c r="K79" s="90"/>
      <c r="L79" s="90"/>
      <c r="M79" s="90"/>
      <c r="N79" s="101"/>
      <c r="O79" s="90"/>
      <c r="P79" s="90"/>
      <c r="Q79" s="102" t="str">
        <f t="shared" si="0"/>
        <v/>
      </c>
      <c r="R79" s="101"/>
      <c r="S79" s="101"/>
      <c r="T79" s="102" t="str">
        <f t="shared" si="1"/>
        <v/>
      </c>
      <c r="U79" s="101"/>
      <c r="V79" s="102" t="str">
        <f t="shared" si="2"/>
        <v/>
      </c>
      <c r="W79" s="101"/>
      <c r="X79" s="90"/>
      <c r="Y79" s="90"/>
      <c r="Z79" s="90"/>
      <c r="AA79" s="90"/>
      <c r="AB79" s="101"/>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row>
    <row r="80" spans="1:53" ht="13.5" customHeight="1">
      <c r="A80" s="90"/>
      <c r="B80" s="90"/>
      <c r="C80" s="90"/>
      <c r="D80" s="101"/>
      <c r="E80" s="90"/>
      <c r="F80" s="90"/>
      <c r="G80" s="90"/>
      <c r="H80" s="90"/>
      <c r="I80" s="90"/>
      <c r="J80" s="90"/>
      <c r="K80" s="90"/>
      <c r="L80" s="90"/>
      <c r="M80" s="90"/>
      <c r="N80" s="101"/>
      <c r="O80" s="90"/>
      <c r="P80" s="90"/>
      <c r="Q80" s="102" t="str">
        <f t="shared" si="0"/>
        <v/>
      </c>
      <c r="R80" s="101"/>
      <c r="S80" s="101"/>
      <c r="T80" s="102" t="str">
        <f t="shared" si="1"/>
        <v/>
      </c>
      <c r="U80" s="101"/>
      <c r="V80" s="102" t="str">
        <f t="shared" si="2"/>
        <v/>
      </c>
      <c r="W80" s="101"/>
      <c r="X80" s="90"/>
      <c r="Y80" s="90"/>
      <c r="Z80" s="90"/>
      <c r="AA80" s="90"/>
      <c r="AB80" s="101"/>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row>
    <row r="81" spans="1:53" ht="13.5" customHeight="1">
      <c r="A81" s="90"/>
      <c r="B81" s="90"/>
      <c r="C81" s="90"/>
      <c r="D81" s="101"/>
      <c r="E81" s="90"/>
      <c r="F81" s="90"/>
      <c r="G81" s="90"/>
      <c r="H81" s="90"/>
      <c r="I81" s="90"/>
      <c r="J81" s="90"/>
      <c r="K81" s="90"/>
      <c r="L81" s="90"/>
      <c r="M81" s="90"/>
      <c r="N81" s="101"/>
      <c r="O81" s="90"/>
      <c r="P81" s="90"/>
      <c r="Q81" s="102" t="str">
        <f t="shared" si="0"/>
        <v/>
      </c>
      <c r="R81" s="101"/>
      <c r="S81" s="101"/>
      <c r="T81" s="102" t="str">
        <f t="shared" si="1"/>
        <v/>
      </c>
      <c r="U81" s="101"/>
      <c r="V81" s="102" t="str">
        <f t="shared" si="2"/>
        <v/>
      </c>
      <c r="W81" s="101"/>
      <c r="X81" s="90"/>
      <c r="Y81" s="90"/>
      <c r="Z81" s="90"/>
      <c r="AA81" s="90"/>
      <c r="AB81" s="101"/>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row>
    <row r="82" spans="1:53" ht="13.5" customHeight="1">
      <c r="A82" s="90"/>
      <c r="B82" s="90"/>
      <c r="C82" s="90"/>
      <c r="D82" s="101"/>
      <c r="E82" s="90"/>
      <c r="F82" s="90"/>
      <c r="G82" s="90"/>
      <c r="H82" s="90"/>
      <c r="I82" s="90"/>
      <c r="J82" s="90"/>
      <c r="K82" s="90"/>
      <c r="L82" s="90"/>
      <c r="M82" s="90"/>
      <c r="N82" s="101"/>
      <c r="O82" s="90"/>
      <c r="P82" s="90"/>
      <c r="Q82" s="102" t="str">
        <f t="shared" si="0"/>
        <v/>
      </c>
      <c r="R82" s="101"/>
      <c r="S82" s="101"/>
      <c r="T82" s="102" t="str">
        <f t="shared" si="1"/>
        <v/>
      </c>
      <c r="U82" s="101"/>
      <c r="V82" s="102" t="str">
        <f t="shared" si="2"/>
        <v/>
      </c>
      <c r="W82" s="101"/>
      <c r="X82" s="90"/>
      <c r="Y82" s="90"/>
      <c r="Z82" s="90"/>
      <c r="AA82" s="90"/>
      <c r="AB82" s="101"/>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row>
    <row r="83" spans="1:53" ht="13.5" customHeight="1">
      <c r="A83" s="90"/>
      <c r="B83" s="90"/>
      <c r="C83" s="90"/>
      <c r="D83" s="101"/>
      <c r="E83" s="90"/>
      <c r="F83" s="90"/>
      <c r="G83" s="90"/>
      <c r="H83" s="90"/>
      <c r="I83" s="90"/>
      <c r="J83" s="90"/>
      <c r="K83" s="90"/>
      <c r="L83" s="90"/>
      <c r="M83" s="90"/>
      <c r="N83" s="101"/>
      <c r="O83" s="90"/>
      <c r="P83" s="90"/>
      <c r="Q83" s="102" t="str">
        <f t="shared" si="0"/>
        <v/>
      </c>
      <c r="R83" s="101"/>
      <c r="S83" s="101"/>
      <c r="T83" s="102" t="str">
        <f t="shared" si="1"/>
        <v/>
      </c>
      <c r="U83" s="101"/>
      <c r="V83" s="102" t="str">
        <f t="shared" si="2"/>
        <v/>
      </c>
      <c r="W83" s="101"/>
      <c r="X83" s="90"/>
      <c r="Y83" s="90"/>
      <c r="Z83" s="90"/>
      <c r="AA83" s="90"/>
      <c r="AB83" s="101"/>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row>
    <row r="84" spans="1:53" ht="13.5" customHeight="1">
      <c r="A84" s="90"/>
      <c r="B84" s="90"/>
      <c r="C84" s="90"/>
      <c r="D84" s="101"/>
      <c r="E84" s="90"/>
      <c r="F84" s="90"/>
      <c r="G84" s="90"/>
      <c r="H84" s="90"/>
      <c r="I84" s="90"/>
      <c r="J84" s="90"/>
      <c r="K84" s="90"/>
      <c r="L84" s="90"/>
      <c r="M84" s="90"/>
      <c r="N84" s="101"/>
      <c r="O84" s="90"/>
      <c r="P84" s="90"/>
      <c r="Q84" s="102" t="str">
        <f t="shared" si="0"/>
        <v/>
      </c>
      <c r="R84" s="101"/>
      <c r="S84" s="101"/>
      <c r="T84" s="102" t="str">
        <f t="shared" si="1"/>
        <v/>
      </c>
      <c r="U84" s="101"/>
      <c r="V84" s="102" t="str">
        <f t="shared" si="2"/>
        <v/>
      </c>
      <c r="W84" s="101"/>
      <c r="X84" s="90"/>
      <c r="Y84" s="90"/>
      <c r="Z84" s="90"/>
      <c r="AA84" s="90"/>
      <c r="AB84" s="101"/>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row>
    <row r="85" spans="1:53" ht="13.5" customHeight="1">
      <c r="A85" s="90"/>
      <c r="B85" s="90"/>
      <c r="C85" s="90"/>
      <c r="D85" s="101"/>
      <c r="E85" s="90"/>
      <c r="F85" s="90"/>
      <c r="G85" s="90"/>
      <c r="H85" s="90"/>
      <c r="I85" s="90"/>
      <c r="J85" s="90"/>
      <c r="K85" s="90"/>
      <c r="L85" s="90"/>
      <c r="M85" s="90"/>
      <c r="N85" s="101"/>
      <c r="O85" s="90"/>
      <c r="P85" s="90"/>
      <c r="Q85" s="102" t="str">
        <f t="shared" si="0"/>
        <v/>
      </c>
      <c r="R85" s="101"/>
      <c r="S85" s="101"/>
      <c r="T85" s="102" t="str">
        <f t="shared" si="1"/>
        <v/>
      </c>
      <c r="U85" s="101"/>
      <c r="V85" s="102" t="str">
        <f t="shared" si="2"/>
        <v/>
      </c>
      <c r="W85" s="101"/>
      <c r="X85" s="90"/>
      <c r="Y85" s="90"/>
      <c r="Z85" s="90"/>
      <c r="AA85" s="90"/>
      <c r="AB85" s="101"/>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row>
    <row r="86" spans="1:53" ht="13.5" customHeight="1">
      <c r="A86" s="90"/>
      <c r="B86" s="90"/>
      <c r="C86" s="90"/>
      <c r="D86" s="101"/>
      <c r="E86" s="90"/>
      <c r="F86" s="90"/>
      <c r="G86" s="90"/>
      <c r="H86" s="90"/>
      <c r="I86" s="90"/>
      <c r="J86" s="90"/>
      <c r="K86" s="90"/>
      <c r="L86" s="90"/>
      <c r="M86" s="90"/>
      <c r="N86" s="101"/>
      <c r="O86" s="90"/>
      <c r="P86" s="90"/>
      <c r="Q86" s="102" t="str">
        <f t="shared" si="0"/>
        <v/>
      </c>
      <c r="R86" s="101"/>
      <c r="S86" s="101"/>
      <c r="T86" s="102" t="str">
        <f t="shared" si="1"/>
        <v/>
      </c>
      <c r="U86" s="101"/>
      <c r="V86" s="102" t="str">
        <f t="shared" si="2"/>
        <v/>
      </c>
      <c r="W86" s="101"/>
      <c r="X86" s="90"/>
      <c r="Y86" s="90"/>
      <c r="Z86" s="90"/>
      <c r="AA86" s="90"/>
      <c r="AB86" s="101"/>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row>
    <row r="87" spans="1:53" ht="13.5" customHeight="1">
      <c r="A87" s="90"/>
      <c r="B87" s="90"/>
      <c r="C87" s="90"/>
      <c r="D87" s="101"/>
      <c r="E87" s="90"/>
      <c r="F87" s="90"/>
      <c r="G87" s="90"/>
      <c r="H87" s="90"/>
      <c r="I87" s="90"/>
      <c r="J87" s="90"/>
      <c r="K87" s="90"/>
      <c r="L87" s="90"/>
      <c r="M87" s="90"/>
      <c r="N87" s="101"/>
      <c r="O87" s="90"/>
      <c r="P87" s="90"/>
      <c r="Q87" s="102" t="str">
        <f t="shared" si="0"/>
        <v/>
      </c>
      <c r="R87" s="101"/>
      <c r="S87" s="101"/>
      <c r="T87" s="102" t="str">
        <f t="shared" si="1"/>
        <v/>
      </c>
      <c r="U87" s="101"/>
      <c r="V87" s="102" t="str">
        <f t="shared" si="2"/>
        <v/>
      </c>
      <c r="W87" s="101"/>
      <c r="X87" s="90"/>
      <c r="Y87" s="90"/>
      <c r="Z87" s="90"/>
      <c r="AA87" s="90"/>
      <c r="AB87" s="101"/>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row>
    <row r="88" spans="1:53" ht="13.5" customHeight="1">
      <c r="A88" s="90"/>
      <c r="B88" s="90"/>
      <c r="C88" s="90"/>
      <c r="D88" s="101"/>
      <c r="E88" s="90"/>
      <c r="F88" s="90"/>
      <c r="G88" s="90"/>
      <c r="H88" s="90"/>
      <c r="I88" s="90"/>
      <c r="J88" s="90"/>
      <c r="K88" s="90"/>
      <c r="L88" s="90"/>
      <c r="M88" s="90"/>
      <c r="N88" s="101"/>
      <c r="O88" s="90"/>
      <c r="P88" s="90"/>
      <c r="Q88" s="102" t="str">
        <f t="shared" si="0"/>
        <v/>
      </c>
      <c r="R88" s="101"/>
      <c r="S88" s="101"/>
      <c r="T88" s="102" t="str">
        <f t="shared" si="1"/>
        <v/>
      </c>
      <c r="U88" s="101"/>
      <c r="V88" s="102" t="str">
        <f t="shared" si="2"/>
        <v/>
      </c>
      <c r="W88" s="101"/>
      <c r="X88" s="90"/>
      <c r="Y88" s="90"/>
      <c r="Z88" s="90"/>
      <c r="AA88" s="90"/>
      <c r="AB88" s="101"/>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row>
    <row r="89" spans="1:53" ht="13.5" customHeight="1">
      <c r="A89" s="90"/>
      <c r="B89" s="90"/>
      <c r="C89" s="90"/>
      <c r="D89" s="101"/>
      <c r="E89" s="90"/>
      <c r="F89" s="90"/>
      <c r="G89" s="90"/>
      <c r="H89" s="90"/>
      <c r="I89" s="90"/>
      <c r="J89" s="90"/>
      <c r="K89" s="90"/>
      <c r="L89" s="90"/>
      <c r="M89" s="90"/>
      <c r="N89" s="101"/>
      <c r="O89" s="90"/>
      <c r="P89" s="90"/>
      <c r="Q89" s="102" t="str">
        <f t="shared" si="0"/>
        <v/>
      </c>
      <c r="R89" s="101"/>
      <c r="S89" s="101"/>
      <c r="T89" s="102" t="str">
        <f t="shared" si="1"/>
        <v/>
      </c>
      <c r="U89" s="101"/>
      <c r="V89" s="102" t="str">
        <f t="shared" si="2"/>
        <v/>
      </c>
      <c r="W89" s="101"/>
      <c r="X89" s="90"/>
      <c r="Y89" s="90"/>
      <c r="Z89" s="90"/>
      <c r="AA89" s="90"/>
      <c r="AB89" s="101"/>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row>
    <row r="90" spans="1:53" ht="13.5" customHeight="1">
      <c r="A90" s="90"/>
      <c r="B90" s="90"/>
      <c r="C90" s="90"/>
      <c r="D90" s="101"/>
      <c r="E90" s="90"/>
      <c r="F90" s="90"/>
      <c r="G90" s="90"/>
      <c r="H90" s="90"/>
      <c r="I90" s="90"/>
      <c r="J90" s="90"/>
      <c r="K90" s="90"/>
      <c r="L90" s="90"/>
      <c r="M90" s="90"/>
      <c r="N90" s="101"/>
      <c r="O90" s="90"/>
      <c r="P90" s="90"/>
      <c r="Q90" s="102" t="str">
        <f t="shared" si="0"/>
        <v/>
      </c>
      <c r="R90" s="101"/>
      <c r="S90" s="101"/>
      <c r="T90" s="102" t="str">
        <f t="shared" si="1"/>
        <v/>
      </c>
      <c r="U90" s="101"/>
      <c r="V90" s="102" t="str">
        <f t="shared" si="2"/>
        <v/>
      </c>
      <c r="W90" s="101"/>
      <c r="X90" s="90"/>
      <c r="Y90" s="90"/>
      <c r="Z90" s="90"/>
      <c r="AA90" s="90"/>
      <c r="AB90" s="101"/>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row>
    <row r="91" spans="1:53" ht="13.5" customHeight="1">
      <c r="A91" s="90"/>
      <c r="B91" s="90"/>
      <c r="C91" s="90"/>
      <c r="D91" s="101"/>
      <c r="E91" s="90"/>
      <c r="F91" s="90"/>
      <c r="G91" s="90"/>
      <c r="H91" s="90"/>
      <c r="I91" s="90"/>
      <c r="J91" s="90"/>
      <c r="K91" s="90"/>
      <c r="L91" s="90"/>
      <c r="M91" s="90"/>
      <c r="N91" s="101"/>
      <c r="O91" s="90"/>
      <c r="P91" s="90"/>
      <c r="Q91" s="102" t="str">
        <f t="shared" si="0"/>
        <v/>
      </c>
      <c r="R91" s="101"/>
      <c r="S91" s="101"/>
      <c r="T91" s="102" t="str">
        <f t="shared" si="1"/>
        <v/>
      </c>
      <c r="U91" s="101"/>
      <c r="V91" s="102" t="str">
        <f t="shared" si="2"/>
        <v/>
      </c>
      <c r="W91" s="101"/>
      <c r="X91" s="90"/>
      <c r="Y91" s="90"/>
      <c r="Z91" s="90"/>
      <c r="AA91" s="90"/>
      <c r="AB91" s="101"/>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row>
    <row r="92" spans="1:53" ht="13.5" customHeight="1">
      <c r="A92" s="90"/>
      <c r="B92" s="90"/>
      <c r="C92" s="90"/>
      <c r="D92" s="101"/>
      <c r="E92" s="90"/>
      <c r="F92" s="90"/>
      <c r="G92" s="90"/>
      <c r="H92" s="90"/>
      <c r="I92" s="90"/>
      <c r="J92" s="90"/>
      <c r="K92" s="90"/>
      <c r="L92" s="90"/>
      <c r="M92" s="90"/>
      <c r="N92" s="101"/>
      <c r="O92" s="90"/>
      <c r="P92" s="90"/>
      <c r="Q92" s="102" t="str">
        <f t="shared" si="0"/>
        <v/>
      </c>
      <c r="R92" s="101"/>
      <c r="S92" s="101"/>
      <c r="T92" s="102" t="str">
        <f t="shared" si="1"/>
        <v/>
      </c>
      <c r="U92" s="101"/>
      <c r="V92" s="102" t="str">
        <f t="shared" si="2"/>
        <v/>
      </c>
      <c r="W92" s="101"/>
      <c r="X92" s="90"/>
      <c r="Y92" s="90"/>
      <c r="Z92" s="90"/>
      <c r="AA92" s="90"/>
      <c r="AB92" s="101"/>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row>
    <row r="93" spans="1:53" ht="13.5" customHeight="1">
      <c r="A93" s="90"/>
      <c r="B93" s="90"/>
      <c r="C93" s="90"/>
      <c r="D93" s="101"/>
      <c r="E93" s="90"/>
      <c r="F93" s="90"/>
      <c r="G93" s="90"/>
      <c r="H93" s="90"/>
      <c r="I93" s="90"/>
      <c r="J93" s="90"/>
      <c r="K93" s="90"/>
      <c r="L93" s="90"/>
      <c r="M93" s="90"/>
      <c r="N93" s="101"/>
      <c r="O93" s="90"/>
      <c r="P93" s="90"/>
      <c r="Q93" s="102" t="str">
        <f t="shared" si="0"/>
        <v/>
      </c>
      <c r="R93" s="101"/>
      <c r="S93" s="101"/>
      <c r="T93" s="102" t="str">
        <f t="shared" si="1"/>
        <v/>
      </c>
      <c r="U93" s="101"/>
      <c r="V93" s="102" t="str">
        <f t="shared" si="2"/>
        <v/>
      </c>
      <c r="W93" s="101"/>
      <c r="X93" s="90"/>
      <c r="Y93" s="90"/>
      <c r="Z93" s="90"/>
      <c r="AA93" s="90"/>
      <c r="AB93" s="101"/>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row>
    <row r="94" spans="1:53" ht="13.5" customHeight="1">
      <c r="A94" s="90"/>
      <c r="B94" s="90"/>
      <c r="C94" s="90"/>
      <c r="D94" s="101"/>
      <c r="E94" s="90"/>
      <c r="F94" s="90"/>
      <c r="G94" s="90"/>
      <c r="H94" s="90"/>
      <c r="I94" s="90"/>
      <c r="J94" s="90"/>
      <c r="K94" s="90"/>
      <c r="L94" s="90"/>
      <c r="M94" s="90"/>
      <c r="N94" s="101"/>
      <c r="O94" s="90"/>
      <c r="P94" s="90"/>
      <c r="Q94" s="102" t="str">
        <f t="shared" si="0"/>
        <v/>
      </c>
      <c r="R94" s="101"/>
      <c r="S94" s="101"/>
      <c r="T94" s="102" t="str">
        <f t="shared" si="1"/>
        <v/>
      </c>
      <c r="U94" s="101"/>
      <c r="V94" s="102" t="str">
        <f t="shared" si="2"/>
        <v/>
      </c>
      <c r="W94" s="101"/>
      <c r="X94" s="90"/>
      <c r="Y94" s="90"/>
      <c r="Z94" s="90"/>
      <c r="AA94" s="90"/>
      <c r="AB94" s="101"/>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row>
    <row r="95" spans="1:53" ht="13.5" customHeight="1">
      <c r="A95" s="90"/>
      <c r="B95" s="90"/>
      <c r="C95" s="90"/>
      <c r="D95" s="101"/>
      <c r="E95" s="90"/>
      <c r="F95" s="90"/>
      <c r="G95" s="90"/>
      <c r="H95" s="90"/>
      <c r="I95" s="90"/>
      <c r="J95" s="90"/>
      <c r="K95" s="90"/>
      <c r="L95" s="90"/>
      <c r="M95" s="90"/>
      <c r="N95" s="101"/>
      <c r="O95" s="90"/>
      <c r="P95" s="90"/>
      <c r="Q95" s="102" t="str">
        <f t="shared" si="0"/>
        <v/>
      </c>
      <c r="R95" s="101"/>
      <c r="S95" s="101"/>
      <c r="T95" s="102" t="str">
        <f t="shared" si="1"/>
        <v/>
      </c>
      <c r="U95" s="101"/>
      <c r="V95" s="102" t="str">
        <f t="shared" si="2"/>
        <v/>
      </c>
      <c r="W95" s="101"/>
      <c r="X95" s="90"/>
      <c r="Y95" s="90"/>
      <c r="Z95" s="90"/>
      <c r="AA95" s="90"/>
      <c r="AB95" s="101"/>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row>
    <row r="96" spans="1:53" ht="13.5" customHeight="1">
      <c r="A96" s="90"/>
      <c r="B96" s="90"/>
      <c r="C96" s="90"/>
      <c r="D96" s="101"/>
      <c r="E96" s="90"/>
      <c r="F96" s="90"/>
      <c r="G96" s="90"/>
      <c r="H96" s="90"/>
      <c r="I96" s="90"/>
      <c r="J96" s="90"/>
      <c r="K96" s="90"/>
      <c r="L96" s="90"/>
      <c r="M96" s="90"/>
      <c r="N96" s="101"/>
      <c r="O96" s="90"/>
      <c r="P96" s="90"/>
      <c r="Q96" s="102" t="str">
        <f t="shared" si="0"/>
        <v/>
      </c>
      <c r="R96" s="101"/>
      <c r="S96" s="101"/>
      <c r="T96" s="102" t="str">
        <f t="shared" si="1"/>
        <v/>
      </c>
      <c r="U96" s="101"/>
      <c r="V96" s="102" t="str">
        <f t="shared" si="2"/>
        <v/>
      </c>
      <c r="W96" s="101"/>
      <c r="X96" s="90"/>
      <c r="Y96" s="90"/>
      <c r="Z96" s="90"/>
      <c r="AA96" s="90"/>
      <c r="AB96" s="101"/>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row>
    <row r="97" spans="1:53" ht="13.5" customHeight="1">
      <c r="A97" s="90"/>
      <c r="B97" s="90"/>
      <c r="C97" s="90"/>
      <c r="D97" s="101"/>
      <c r="E97" s="90"/>
      <c r="F97" s="90"/>
      <c r="G97" s="90"/>
      <c r="H97" s="90"/>
      <c r="I97" s="90"/>
      <c r="J97" s="90"/>
      <c r="K97" s="90"/>
      <c r="L97" s="90"/>
      <c r="M97" s="90"/>
      <c r="N97" s="101"/>
      <c r="O97" s="90"/>
      <c r="P97" s="90"/>
      <c r="Q97" s="102" t="str">
        <f t="shared" si="0"/>
        <v/>
      </c>
      <c r="R97" s="101"/>
      <c r="S97" s="101"/>
      <c r="T97" s="102" t="str">
        <f t="shared" si="1"/>
        <v/>
      </c>
      <c r="U97" s="101"/>
      <c r="V97" s="102" t="str">
        <f t="shared" si="2"/>
        <v/>
      </c>
      <c r="W97" s="101"/>
      <c r="X97" s="90"/>
      <c r="Y97" s="90"/>
      <c r="Z97" s="90"/>
      <c r="AA97" s="90"/>
      <c r="AB97" s="101"/>
      <c r="AC97" s="90"/>
      <c r="AD97" s="90"/>
      <c r="AE97" s="90"/>
      <c r="AF97" s="90"/>
      <c r="AG97" s="90"/>
      <c r="AH97" s="90"/>
      <c r="AI97" s="90"/>
      <c r="AJ97" s="90"/>
      <c r="AK97" s="90"/>
      <c r="AL97" s="90"/>
      <c r="AM97" s="90"/>
      <c r="AN97" s="90"/>
      <c r="AO97" s="90"/>
      <c r="AP97" s="90"/>
      <c r="AQ97" s="90"/>
      <c r="AR97" s="90"/>
      <c r="AS97" s="90"/>
      <c r="AT97" s="90"/>
      <c r="AU97" s="90"/>
      <c r="AV97" s="90"/>
      <c r="AW97" s="90"/>
      <c r="AX97" s="90"/>
      <c r="AY97" s="90"/>
      <c r="AZ97" s="90"/>
      <c r="BA97" s="90"/>
    </row>
    <row r="98" spans="1:53" ht="13.5" customHeight="1">
      <c r="A98" s="90"/>
      <c r="B98" s="90"/>
      <c r="C98" s="90"/>
      <c r="D98" s="101"/>
      <c r="E98" s="90"/>
      <c r="F98" s="90"/>
      <c r="G98" s="90"/>
      <c r="H98" s="90"/>
      <c r="I98" s="90"/>
      <c r="J98" s="90"/>
      <c r="K98" s="90"/>
      <c r="L98" s="90"/>
      <c r="M98" s="90"/>
      <c r="N98" s="101"/>
      <c r="O98" s="90"/>
      <c r="P98" s="90"/>
      <c r="Q98" s="102" t="str">
        <f t="shared" si="0"/>
        <v/>
      </c>
      <c r="R98" s="101"/>
      <c r="S98" s="101"/>
      <c r="T98" s="102" t="str">
        <f t="shared" si="1"/>
        <v/>
      </c>
      <c r="U98" s="101"/>
      <c r="V98" s="102" t="str">
        <f t="shared" si="2"/>
        <v/>
      </c>
      <c r="W98" s="101"/>
      <c r="X98" s="90"/>
      <c r="Y98" s="90"/>
      <c r="Z98" s="90"/>
      <c r="AA98" s="90"/>
      <c r="AB98" s="101"/>
      <c r="AC98" s="90"/>
      <c r="AD98" s="90"/>
      <c r="AE98" s="90"/>
      <c r="AF98" s="90"/>
      <c r="AG98" s="90"/>
      <c r="AH98" s="90"/>
      <c r="AI98" s="90"/>
      <c r="AJ98" s="90"/>
      <c r="AK98" s="90"/>
      <c r="AL98" s="90"/>
      <c r="AM98" s="90"/>
      <c r="AN98" s="90"/>
      <c r="AO98" s="90"/>
      <c r="AP98" s="90"/>
      <c r="AQ98" s="90"/>
      <c r="AR98" s="90"/>
      <c r="AS98" s="90"/>
      <c r="AT98" s="90"/>
      <c r="AU98" s="90"/>
      <c r="AV98" s="90"/>
      <c r="AW98" s="90"/>
      <c r="AX98" s="90"/>
      <c r="AY98" s="90"/>
      <c r="AZ98" s="90"/>
      <c r="BA98" s="90"/>
    </row>
    <row r="99" spans="1:53" ht="13.5" customHeight="1">
      <c r="A99" s="90"/>
      <c r="B99" s="90"/>
      <c r="C99" s="90"/>
      <c r="D99" s="101"/>
      <c r="E99" s="90"/>
      <c r="F99" s="90"/>
      <c r="G99" s="90"/>
      <c r="H99" s="90"/>
      <c r="I99" s="90"/>
      <c r="J99" s="90"/>
      <c r="K99" s="90"/>
      <c r="L99" s="90"/>
      <c r="M99" s="90"/>
      <c r="N99" s="101"/>
      <c r="O99" s="90"/>
      <c r="P99" s="90"/>
      <c r="Q99" s="102" t="str">
        <f t="shared" si="0"/>
        <v/>
      </c>
      <c r="R99" s="101"/>
      <c r="S99" s="101"/>
      <c r="T99" s="102" t="str">
        <f t="shared" si="1"/>
        <v/>
      </c>
      <c r="U99" s="101"/>
      <c r="V99" s="102" t="str">
        <f t="shared" si="2"/>
        <v/>
      </c>
      <c r="W99" s="101"/>
      <c r="X99" s="90"/>
      <c r="Y99" s="90"/>
      <c r="Z99" s="90"/>
      <c r="AA99" s="90"/>
      <c r="AB99" s="101"/>
      <c r="AC99" s="90"/>
      <c r="AD99" s="90"/>
      <c r="AE99" s="90"/>
      <c r="AF99" s="90"/>
      <c r="AG99" s="90"/>
      <c r="AH99" s="90"/>
      <c r="AI99" s="90"/>
      <c r="AJ99" s="90"/>
      <c r="AK99" s="90"/>
      <c r="AL99" s="90"/>
      <c r="AM99" s="90"/>
      <c r="AN99" s="90"/>
      <c r="AO99" s="90"/>
      <c r="AP99" s="90"/>
      <c r="AQ99" s="90"/>
      <c r="AR99" s="90"/>
      <c r="AS99" s="90"/>
      <c r="AT99" s="90"/>
      <c r="AU99" s="90"/>
      <c r="AV99" s="90"/>
      <c r="AW99" s="90"/>
      <c r="AX99" s="90"/>
      <c r="AY99" s="90"/>
      <c r="AZ99" s="90"/>
      <c r="BA99" s="90"/>
    </row>
    <row r="100" spans="1:53" ht="13.5" customHeight="1">
      <c r="A100" s="90"/>
      <c r="B100" s="90"/>
      <c r="C100" s="90"/>
      <c r="D100" s="101"/>
      <c r="E100" s="90"/>
      <c r="F100" s="90"/>
      <c r="G100" s="90"/>
      <c r="H100" s="90"/>
      <c r="I100" s="90"/>
      <c r="J100" s="90"/>
      <c r="K100" s="90"/>
      <c r="L100" s="90"/>
      <c r="M100" s="90"/>
      <c r="N100" s="101"/>
      <c r="O100" s="90"/>
      <c r="P100" s="90"/>
      <c r="Q100" s="102" t="str">
        <f t="shared" si="0"/>
        <v/>
      </c>
      <c r="R100" s="101"/>
      <c r="S100" s="101"/>
      <c r="T100" s="102" t="str">
        <f t="shared" si="1"/>
        <v/>
      </c>
      <c r="U100" s="101"/>
      <c r="V100" s="102" t="str">
        <f t="shared" si="2"/>
        <v/>
      </c>
      <c r="W100" s="101"/>
      <c r="X100" s="90"/>
      <c r="Y100" s="90"/>
      <c r="Z100" s="90"/>
      <c r="AA100" s="90"/>
      <c r="AB100" s="101"/>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c r="AY100" s="90"/>
      <c r="AZ100" s="90"/>
      <c r="BA100" s="90"/>
    </row>
    <row r="101" spans="1:53" ht="13.5" customHeight="1">
      <c r="A101" s="90"/>
      <c r="B101" s="90"/>
      <c r="C101" s="90"/>
      <c r="D101" s="101"/>
      <c r="E101" s="90"/>
      <c r="F101" s="90"/>
      <c r="G101" s="90"/>
      <c r="H101" s="90"/>
      <c r="I101" s="90"/>
      <c r="J101" s="90"/>
      <c r="K101" s="90"/>
      <c r="L101" s="90"/>
      <c r="M101" s="90"/>
      <c r="N101" s="101"/>
      <c r="O101" s="90"/>
      <c r="P101" s="90"/>
      <c r="Q101" s="102" t="str">
        <f t="shared" si="0"/>
        <v/>
      </c>
      <c r="R101" s="101"/>
      <c r="S101" s="101"/>
      <c r="T101" s="102" t="str">
        <f t="shared" si="1"/>
        <v/>
      </c>
      <c r="U101" s="101"/>
      <c r="V101" s="102" t="str">
        <f t="shared" si="2"/>
        <v/>
      </c>
      <c r="W101" s="101"/>
      <c r="X101" s="90"/>
      <c r="Y101" s="90"/>
      <c r="Z101" s="90"/>
      <c r="AA101" s="90"/>
      <c r="AB101" s="101"/>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90"/>
    </row>
    <row r="102" spans="1:53" ht="13.5" customHeight="1">
      <c r="A102" s="90"/>
      <c r="B102" s="90"/>
      <c r="C102" s="90"/>
      <c r="D102" s="101"/>
      <c r="E102" s="90"/>
      <c r="F102" s="90"/>
      <c r="G102" s="90"/>
      <c r="H102" s="90"/>
      <c r="I102" s="90"/>
      <c r="J102" s="90"/>
      <c r="K102" s="90"/>
      <c r="L102" s="90"/>
      <c r="M102" s="90"/>
      <c r="N102" s="101"/>
      <c r="O102" s="90"/>
      <c r="P102" s="90"/>
      <c r="Q102" s="102" t="str">
        <f t="shared" si="0"/>
        <v/>
      </c>
      <c r="R102" s="101"/>
      <c r="S102" s="101"/>
      <c r="T102" s="102" t="str">
        <f t="shared" si="1"/>
        <v/>
      </c>
      <c r="U102" s="101"/>
      <c r="V102" s="102" t="str">
        <f t="shared" si="2"/>
        <v/>
      </c>
      <c r="W102" s="101"/>
      <c r="X102" s="90"/>
      <c r="Y102" s="90"/>
      <c r="Z102" s="90"/>
      <c r="AA102" s="90"/>
      <c r="AB102" s="101"/>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90"/>
      <c r="AZ102" s="90"/>
      <c r="BA102" s="90"/>
    </row>
    <row r="103" spans="1:53" ht="13.5" customHeight="1">
      <c r="A103" s="90"/>
      <c r="B103" s="90"/>
      <c r="C103" s="90"/>
      <c r="D103" s="101"/>
      <c r="E103" s="90"/>
      <c r="F103" s="90"/>
      <c r="G103" s="90"/>
      <c r="H103" s="90"/>
      <c r="I103" s="90"/>
      <c r="J103" s="90"/>
      <c r="K103" s="90"/>
      <c r="L103" s="90"/>
      <c r="M103" s="90"/>
      <c r="N103" s="101"/>
      <c r="O103" s="90"/>
      <c r="P103" s="90"/>
      <c r="Q103" s="102" t="str">
        <f t="shared" si="0"/>
        <v/>
      </c>
      <c r="R103" s="101"/>
      <c r="S103" s="101"/>
      <c r="T103" s="102" t="str">
        <f t="shared" si="1"/>
        <v/>
      </c>
      <c r="U103" s="101"/>
      <c r="V103" s="102" t="str">
        <f t="shared" si="2"/>
        <v/>
      </c>
      <c r="W103" s="101"/>
      <c r="X103" s="90"/>
      <c r="Y103" s="90"/>
      <c r="Z103" s="90"/>
      <c r="AA103" s="90"/>
      <c r="AB103" s="101"/>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c r="AY103" s="90"/>
      <c r="AZ103" s="90"/>
      <c r="BA103" s="90"/>
    </row>
    <row r="104" spans="1:53" ht="13.5" customHeight="1">
      <c r="A104" s="90"/>
      <c r="B104" s="90"/>
      <c r="C104" s="90"/>
      <c r="D104" s="101"/>
      <c r="E104" s="90"/>
      <c r="F104" s="90"/>
      <c r="G104" s="90"/>
      <c r="H104" s="90"/>
      <c r="I104" s="90"/>
      <c r="J104" s="90"/>
      <c r="K104" s="90"/>
      <c r="L104" s="90"/>
      <c r="M104" s="90"/>
      <c r="N104" s="101"/>
      <c r="O104" s="90"/>
      <c r="P104" s="90"/>
      <c r="Q104" s="102" t="str">
        <f t="shared" si="0"/>
        <v/>
      </c>
      <c r="R104" s="101"/>
      <c r="S104" s="101"/>
      <c r="T104" s="102" t="str">
        <f t="shared" si="1"/>
        <v/>
      </c>
      <c r="U104" s="101"/>
      <c r="V104" s="102" t="str">
        <f t="shared" si="2"/>
        <v/>
      </c>
      <c r="W104" s="101"/>
      <c r="X104" s="90"/>
      <c r="Y104" s="90"/>
      <c r="Z104" s="90"/>
      <c r="AA104" s="90"/>
      <c r="AB104" s="101"/>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row>
    <row r="105" spans="1:53" ht="13.5" customHeight="1">
      <c r="A105" s="90"/>
      <c r="B105" s="90"/>
      <c r="C105" s="90"/>
      <c r="D105" s="101"/>
      <c r="E105" s="90"/>
      <c r="F105" s="90"/>
      <c r="G105" s="90"/>
      <c r="H105" s="90"/>
      <c r="I105" s="90"/>
      <c r="J105" s="90"/>
      <c r="K105" s="90"/>
      <c r="L105" s="90"/>
      <c r="M105" s="90"/>
      <c r="N105" s="101"/>
      <c r="O105" s="90"/>
      <c r="P105" s="90"/>
      <c r="Q105" s="102" t="str">
        <f t="shared" si="0"/>
        <v/>
      </c>
      <c r="R105" s="101"/>
      <c r="S105" s="101"/>
      <c r="T105" s="102" t="str">
        <f t="shared" si="1"/>
        <v/>
      </c>
      <c r="U105" s="101"/>
      <c r="V105" s="102" t="str">
        <f t="shared" si="2"/>
        <v/>
      </c>
      <c r="W105" s="101"/>
      <c r="X105" s="90"/>
      <c r="Y105" s="90"/>
      <c r="Z105" s="90"/>
      <c r="AA105" s="90"/>
      <c r="AB105" s="101"/>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c r="AY105" s="90"/>
      <c r="AZ105" s="90"/>
      <c r="BA105" s="90"/>
    </row>
    <row r="106" spans="1:53" ht="13.5" customHeight="1">
      <c r="A106" s="90"/>
      <c r="B106" s="90"/>
      <c r="C106" s="90"/>
      <c r="D106" s="101"/>
      <c r="E106" s="90"/>
      <c r="F106" s="90"/>
      <c r="G106" s="90"/>
      <c r="H106" s="90"/>
      <c r="I106" s="90"/>
      <c r="J106" s="90"/>
      <c r="K106" s="90"/>
      <c r="L106" s="90"/>
      <c r="M106" s="90"/>
      <c r="N106" s="101"/>
      <c r="O106" s="90"/>
      <c r="P106" s="90"/>
      <c r="Q106" s="102" t="str">
        <f t="shared" si="0"/>
        <v/>
      </c>
      <c r="R106" s="101"/>
      <c r="S106" s="101"/>
      <c r="T106" s="102" t="str">
        <f t="shared" si="1"/>
        <v/>
      </c>
      <c r="U106" s="101"/>
      <c r="V106" s="102" t="str">
        <f t="shared" si="2"/>
        <v/>
      </c>
      <c r="W106" s="101"/>
      <c r="X106" s="90"/>
      <c r="Y106" s="90"/>
      <c r="Z106" s="90"/>
      <c r="AA106" s="90"/>
      <c r="AB106" s="101"/>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row>
    <row r="107" spans="1:53" ht="13.5" customHeight="1">
      <c r="A107" s="90"/>
      <c r="B107" s="90"/>
      <c r="C107" s="90"/>
      <c r="D107" s="101"/>
      <c r="E107" s="90"/>
      <c r="F107" s="90"/>
      <c r="G107" s="90"/>
      <c r="H107" s="90"/>
      <c r="I107" s="90"/>
      <c r="J107" s="90"/>
      <c r="K107" s="90"/>
      <c r="L107" s="90"/>
      <c r="M107" s="90"/>
      <c r="N107" s="101"/>
      <c r="O107" s="90"/>
      <c r="P107" s="90"/>
      <c r="Q107" s="102" t="str">
        <f t="shared" si="0"/>
        <v/>
      </c>
      <c r="R107" s="101"/>
      <c r="S107" s="101"/>
      <c r="T107" s="102" t="str">
        <f t="shared" si="1"/>
        <v/>
      </c>
      <c r="U107" s="101"/>
      <c r="V107" s="102" t="str">
        <f t="shared" si="2"/>
        <v/>
      </c>
      <c r="W107" s="101"/>
      <c r="X107" s="90"/>
      <c r="Y107" s="90"/>
      <c r="Z107" s="90"/>
      <c r="AA107" s="90"/>
      <c r="AB107" s="101"/>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c r="AY107" s="90"/>
      <c r="AZ107" s="90"/>
      <c r="BA107" s="90"/>
    </row>
    <row r="108" spans="1:53" ht="13.5" customHeight="1">
      <c r="A108" s="90"/>
      <c r="B108" s="90"/>
      <c r="C108" s="90"/>
      <c r="D108" s="101"/>
      <c r="E108" s="90"/>
      <c r="F108" s="90"/>
      <c r="G108" s="90"/>
      <c r="H108" s="90"/>
      <c r="I108" s="90"/>
      <c r="J108" s="90"/>
      <c r="K108" s="90"/>
      <c r="L108" s="90"/>
      <c r="M108" s="90"/>
      <c r="N108" s="101"/>
      <c r="O108" s="90"/>
      <c r="P108" s="90"/>
      <c r="Q108" s="102" t="str">
        <f t="shared" si="0"/>
        <v/>
      </c>
      <c r="R108" s="101"/>
      <c r="S108" s="101"/>
      <c r="T108" s="102" t="str">
        <f t="shared" si="1"/>
        <v/>
      </c>
      <c r="U108" s="101"/>
      <c r="V108" s="102" t="str">
        <f t="shared" si="2"/>
        <v/>
      </c>
      <c r="W108" s="101"/>
      <c r="X108" s="90"/>
      <c r="Y108" s="90"/>
      <c r="Z108" s="90"/>
      <c r="AA108" s="90"/>
      <c r="AB108" s="101"/>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90"/>
      <c r="AZ108" s="90"/>
      <c r="BA108" s="90"/>
    </row>
    <row r="109" spans="1:53" ht="13.5" customHeight="1">
      <c r="A109" s="90"/>
      <c r="B109" s="90"/>
      <c r="C109" s="90"/>
      <c r="D109" s="101"/>
      <c r="E109" s="90"/>
      <c r="F109" s="90"/>
      <c r="G109" s="90"/>
      <c r="H109" s="90"/>
      <c r="I109" s="90"/>
      <c r="J109" s="90"/>
      <c r="K109" s="90"/>
      <c r="L109" s="90"/>
      <c r="M109" s="90"/>
      <c r="N109" s="101"/>
      <c r="O109" s="90"/>
      <c r="P109" s="90"/>
      <c r="Q109" s="102" t="str">
        <f t="shared" si="0"/>
        <v/>
      </c>
      <c r="R109" s="101"/>
      <c r="S109" s="101"/>
      <c r="T109" s="102" t="str">
        <f t="shared" si="1"/>
        <v/>
      </c>
      <c r="U109" s="101"/>
      <c r="V109" s="102" t="str">
        <f t="shared" si="2"/>
        <v/>
      </c>
      <c r="W109" s="101"/>
      <c r="X109" s="90"/>
      <c r="Y109" s="90"/>
      <c r="Z109" s="90"/>
      <c r="AA109" s="90"/>
      <c r="AB109" s="101"/>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row>
    <row r="110" spans="1:53" ht="13.5" customHeight="1">
      <c r="A110" s="90"/>
      <c r="B110" s="90"/>
      <c r="C110" s="90"/>
      <c r="D110" s="101"/>
      <c r="E110" s="90"/>
      <c r="F110" s="90"/>
      <c r="G110" s="90"/>
      <c r="H110" s="90"/>
      <c r="I110" s="90"/>
      <c r="J110" s="90"/>
      <c r="K110" s="90"/>
      <c r="L110" s="90"/>
      <c r="M110" s="90"/>
      <c r="N110" s="90"/>
      <c r="O110" s="90"/>
      <c r="P110" s="90"/>
      <c r="Q110" s="102" t="str">
        <f t="shared" si="0"/>
        <v/>
      </c>
      <c r="R110" s="90"/>
      <c r="S110" s="90"/>
      <c r="T110" s="102" t="str">
        <f t="shared" si="1"/>
        <v/>
      </c>
      <c r="U110" s="90"/>
      <c r="V110" s="102" t="str">
        <f t="shared" si="2"/>
        <v/>
      </c>
      <c r="W110" s="101"/>
      <c r="X110" s="90"/>
      <c r="Y110" s="90"/>
      <c r="Z110" s="90"/>
      <c r="AA110" s="90"/>
      <c r="AB110" s="101"/>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row>
    <row r="111" spans="1:53" ht="13.5" customHeight="1">
      <c r="A111" s="90"/>
      <c r="B111" s="90"/>
      <c r="C111" s="90"/>
      <c r="D111" s="101"/>
      <c r="E111" s="90"/>
      <c r="F111" s="90"/>
      <c r="G111" s="90"/>
      <c r="H111" s="90"/>
      <c r="I111" s="90"/>
      <c r="J111" s="90"/>
      <c r="K111" s="90"/>
      <c r="L111" s="90"/>
      <c r="M111" s="90"/>
      <c r="N111" s="90"/>
      <c r="O111" s="90"/>
      <c r="P111" s="90"/>
      <c r="Q111" s="102" t="str">
        <f t="shared" si="0"/>
        <v/>
      </c>
      <c r="R111" s="90"/>
      <c r="S111" s="90"/>
      <c r="T111" s="102" t="str">
        <f t="shared" si="1"/>
        <v/>
      </c>
      <c r="U111" s="90"/>
      <c r="V111" s="102" t="str">
        <f t="shared" si="2"/>
        <v/>
      </c>
      <c r="W111" s="101"/>
      <c r="X111" s="90"/>
      <c r="Y111" s="90"/>
      <c r="Z111" s="90"/>
      <c r="AA111" s="90"/>
      <c r="AB111" s="101"/>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c r="AY111" s="90"/>
      <c r="AZ111" s="90"/>
      <c r="BA111" s="90"/>
    </row>
    <row r="112" spans="1:53" ht="13.5" customHeight="1">
      <c r="A112" s="90"/>
      <c r="B112" s="90"/>
      <c r="C112" s="90"/>
      <c r="D112" s="101"/>
      <c r="E112" s="90"/>
      <c r="F112" s="90"/>
      <c r="G112" s="90"/>
      <c r="H112" s="90"/>
      <c r="I112" s="90"/>
      <c r="J112" s="90"/>
      <c r="K112" s="90"/>
      <c r="L112" s="90"/>
      <c r="M112" s="90"/>
      <c r="N112" s="90"/>
      <c r="O112" s="90"/>
      <c r="P112" s="90"/>
      <c r="Q112" s="102" t="str">
        <f t="shared" si="0"/>
        <v/>
      </c>
      <c r="R112" s="90"/>
      <c r="S112" s="90"/>
      <c r="T112" s="102" t="str">
        <f t="shared" si="1"/>
        <v/>
      </c>
      <c r="U112" s="90"/>
      <c r="V112" s="102" t="str">
        <f t="shared" si="2"/>
        <v/>
      </c>
      <c r="W112" s="101"/>
      <c r="X112" s="90"/>
      <c r="Y112" s="90"/>
      <c r="Z112" s="90"/>
      <c r="AA112" s="90"/>
      <c r="AB112" s="101"/>
      <c r="AC112" s="90"/>
      <c r="AD112" s="90"/>
      <c r="AE112" s="90"/>
      <c r="AF112" s="90"/>
      <c r="AG112" s="90"/>
      <c r="AH112" s="90"/>
      <c r="AI112" s="90"/>
      <c r="AJ112" s="90"/>
      <c r="AK112" s="90"/>
      <c r="AL112" s="90"/>
      <c r="AM112" s="90"/>
      <c r="AN112" s="90"/>
      <c r="AO112" s="90"/>
      <c r="AP112" s="90"/>
      <c r="AQ112" s="90"/>
      <c r="AR112" s="90"/>
      <c r="AS112" s="90"/>
      <c r="AT112" s="90"/>
      <c r="AU112" s="90"/>
      <c r="AV112" s="90"/>
      <c r="AW112" s="90"/>
      <c r="AX112" s="90"/>
      <c r="AY112" s="90"/>
      <c r="AZ112" s="90"/>
      <c r="BA112" s="90"/>
    </row>
    <row r="113" spans="1:53" ht="13.5" customHeight="1">
      <c r="A113" s="90"/>
      <c r="B113" s="90"/>
      <c r="C113" s="90"/>
      <c r="D113" s="122"/>
      <c r="E113" s="90"/>
      <c r="F113" s="90"/>
      <c r="G113" s="90"/>
      <c r="H113" s="90"/>
      <c r="I113" s="90"/>
      <c r="J113" s="90"/>
      <c r="K113" s="90"/>
      <c r="L113" s="90"/>
      <c r="M113" s="90"/>
      <c r="N113" s="90"/>
      <c r="O113" s="90"/>
      <c r="P113" s="90"/>
      <c r="Q113" s="102" t="str">
        <f t="shared" si="0"/>
        <v/>
      </c>
      <c r="R113" s="90"/>
      <c r="S113" s="90"/>
      <c r="T113" s="102" t="str">
        <f t="shared" si="1"/>
        <v/>
      </c>
      <c r="U113" s="90"/>
      <c r="V113" s="102" t="str">
        <f t="shared" si="2"/>
        <v/>
      </c>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c r="AW113" s="90"/>
      <c r="AX113" s="90"/>
      <c r="AY113" s="90"/>
      <c r="AZ113" s="90"/>
      <c r="BA113" s="90"/>
    </row>
    <row r="114" spans="1:53" ht="13.5" customHeight="1">
      <c r="A114" s="90"/>
      <c r="B114" s="90"/>
      <c r="C114" s="90"/>
      <c r="D114" s="122"/>
      <c r="E114" s="90"/>
      <c r="F114" s="90"/>
      <c r="G114" s="90"/>
      <c r="H114" s="90"/>
      <c r="I114" s="90"/>
      <c r="J114" s="90"/>
      <c r="K114" s="90"/>
      <c r="L114" s="90"/>
      <c r="M114" s="90"/>
      <c r="N114" s="90"/>
      <c r="O114" s="90"/>
      <c r="P114" s="90"/>
      <c r="Q114" s="102" t="str">
        <f t="shared" si="0"/>
        <v/>
      </c>
      <c r="R114" s="90"/>
      <c r="S114" s="90"/>
      <c r="T114" s="102" t="str">
        <f t="shared" si="1"/>
        <v/>
      </c>
      <c r="U114" s="90"/>
      <c r="V114" s="102" t="str">
        <f t="shared" si="2"/>
        <v/>
      </c>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c r="AW114" s="90"/>
      <c r="AX114" s="90"/>
      <c r="AY114" s="90"/>
      <c r="AZ114" s="90"/>
      <c r="BA114" s="90"/>
    </row>
    <row r="115" spans="1:53" ht="13.5" customHeight="1">
      <c r="A115" s="90"/>
      <c r="B115" s="90"/>
      <c r="C115" s="90"/>
      <c r="D115" s="122"/>
      <c r="E115" s="90"/>
      <c r="F115" s="90"/>
      <c r="G115" s="90"/>
      <c r="H115" s="90"/>
      <c r="I115" s="90"/>
      <c r="J115" s="90"/>
      <c r="K115" s="90"/>
      <c r="L115" s="90"/>
      <c r="M115" s="90"/>
      <c r="N115" s="90"/>
      <c r="O115" s="90"/>
      <c r="P115" s="90"/>
      <c r="Q115" s="102" t="str">
        <f t="shared" si="0"/>
        <v/>
      </c>
      <c r="R115" s="90"/>
      <c r="S115" s="90"/>
      <c r="T115" s="102" t="str">
        <f t="shared" si="1"/>
        <v/>
      </c>
      <c r="U115" s="90"/>
      <c r="V115" s="102" t="str">
        <f t="shared" si="2"/>
        <v/>
      </c>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c r="AY115" s="90"/>
      <c r="AZ115" s="90"/>
      <c r="BA115" s="90"/>
    </row>
    <row r="116" spans="1:53" ht="13.5" customHeight="1">
      <c r="A116" s="90"/>
      <c r="B116" s="90"/>
      <c r="C116" s="90"/>
      <c r="D116" s="90"/>
      <c r="E116" s="90"/>
      <c r="F116" s="90"/>
      <c r="G116" s="90"/>
      <c r="H116" s="90"/>
      <c r="I116" s="90"/>
      <c r="J116" s="90"/>
      <c r="K116" s="90"/>
      <c r="L116" s="90"/>
      <c r="M116" s="90"/>
      <c r="N116" s="90"/>
      <c r="O116" s="90"/>
      <c r="P116" s="90"/>
      <c r="Q116" s="102"/>
      <c r="R116" s="90"/>
      <c r="S116" s="90"/>
      <c r="T116" s="102"/>
      <c r="U116" s="90"/>
      <c r="V116" s="102"/>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c r="AY116" s="90"/>
      <c r="AZ116" s="90"/>
      <c r="BA116" s="90"/>
    </row>
    <row r="117" spans="1:53" ht="13.5" customHeight="1">
      <c r="A117" s="90"/>
      <c r="B117" s="90"/>
      <c r="C117" s="90"/>
      <c r="D117" s="90"/>
      <c r="E117" s="90"/>
      <c r="F117" s="90"/>
      <c r="G117" s="90"/>
      <c r="H117" s="90"/>
      <c r="I117" s="90"/>
      <c r="J117" s="90"/>
      <c r="K117" s="90"/>
      <c r="L117" s="90"/>
      <c r="M117" s="90"/>
      <c r="N117" s="90"/>
      <c r="O117" s="90"/>
      <c r="P117" s="90"/>
      <c r="Q117" s="102"/>
      <c r="R117" s="90"/>
      <c r="S117" s="90"/>
      <c r="T117" s="102"/>
      <c r="U117" s="90"/>
      <c r="V117" s="102"/>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c r="AY117" s="90"/>
      <c r="AZ117" s="90"/>
      <c r="BA117" s="90"/>
    </row>
    <row r="118" spans="1:53" ht="13.5" customHeight="1">
      <c r="A118" s="90"/>
      <c r="B118" s="90"/>
      <c r="C118" s="90"/>
      <c r="D118" s="90"/>
      <c r="E118" s="90"/>
      <c r="F118" s="90"/>
      <c r="G118" s="90"/>
      <c r="H118" s="90"/>
      <c r="I118" s="90"/>
      <c r="J118" s="90"/>
      <c r="K118" s="90"/>
      <c r="L118" s="90"/>
      <c r="M118" s="90"/>
      <c r="N118" s="90"/>
      <c r="O118" s="90"/>
      <c r="P118" s="90"/>
      <c r="Q118" s="102"/>
      <c r="R118" s="90"/>
      <c r="S118" s="90"/>
      <c r="T118" s="102"/>
      <c r="U118" s="90"/>
      <c r="V118" s="102"/>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c r="AY118" s="90"/>
      <c r="AZ118" s="90"/>
      <c r="BA118" s="90"/>
    </row>
    <row r="119" spans="1:53" ht="13.5" customHeight="1">
      <c r="A119" s="90"/>
      <c r="B119" s="90"/>
      <c r="C119" s="90"/>
      <c r="D119" s="90"/>
      <c r="E119" s="90"/>
      <c r="F119" s="90"/>
      <c r="G119" s="90"/>
      <c r="H119" s="90"/>
      <c r="I119" s="90"/>
      <c r="J119" s="90"/>
      <c r="K119" s="90"/>
      <c r="L119" s="90"/>
      <c r="M119" s="90"/>
      <c r="N119" s="90"/>
      <c r="O119" s="90"/>
      <c r="P119" s="90"/>
      <c r="Q119" s="102"/>
      <c r="R119" s="90"/>
      <c r="S119" s="90"/>
      <c r="T119" s="102"/>
      <c r="U119" s="90"/>
      <c r="V119" s="102"/>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c r="AY119" s="90"/>
      <c r="AZ119" s="90"/>
      <c r="BA119" s="90"/>
    </row>
    <row r="120" spans="1:53" ht="13.5" customHeight="1">
      <c r="A120" s="90"/>
      <c r="B120" s="90"/>
      <c r="C120" s="90"/>
      <c r="D120" s="90"/>
      <c r="E120" s="90"/>
      <c r="F120" s="90"/>
      <c r="G120" s="90"/>
      <c r="H120" s="90"/>
      <c r="I120" s="90"/>
      <c r="J120" s="90"/>
      <c r="K120" s="90"/>
      <c r="L120" s="90"/>
      <c r="M120" s="90"/>
      <c r="N120" s="90"/>
      <c r="O120" s="90"/>
      <c r="P120" s="90"/>
      <c r="Q120" s="102"/>
      <c r="R120" s="90"/>
      <c r="S120" s="90"/>
      <c r="T120" s="102"/>
      <c r="U120" s="90"/>
      <c r="V120" s="102"/>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row>
    <row r="121" spans="1:53" ht="13.5" customHeight="1">
      <c r="A121" s="90"/>
      <c r="B121" s="90"/>
      <c r="C121" s="90"/>
      <c r="D121" s="90"/>
      <c r="E121" s="90"/>
      <c r="F121" s="90"/>
      <c r="G121" s="90"/>
      <c r="H121" s="90"/>
      <c r="I121" s="90"/>
      <c r="J121" s="90"/>
      <c r="K121" s="90"/>
      <c r="L121" s="90"/>
      <c r="M121" s="90"/>
      <c r="N121" s="90"/>
      <c r="O121" s="90"/>
      <c r="P121" s="90"/>
      <c r="Q121" s="102"/>
      <c r="R121" s="90"/>
      <c r="S121" s="90"/>
      <c r="T121" s="102"/>
      <c r="U121" s="90"/>
      <c r="V121" s="102"/>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row>
    <row r="122" spans="1:53" ht="13.5" customHeight="1">
      <c r="A122" s="90"/>
      <c r="B122" s="90"/>
      <c r="C122" s="90"/>
      <c r="D122" s="90"/>
      <c r="E122" s="90"/>
      <c r="F122" s="90"/>
      <c r="G122" s="90"/>
      <c r="H122" s="90"/>
      <c r="I122" s="90"/>
      <c r="J122" s="90"/>
      <c r="K122" s="90"/>
      <c r="L122" s="90"/>
      <c r="M122" s="90"/>
      <c r="N122" s="90"/>
      <c r="O122" s="90"/>
      <c r="P122" s="90"/>
      <c r="Q122" s="102"/>
      <c r="R122" s="90"/>
      <c r="S122" s="90"/>
      <c r="T122" s="102"/>
      <c r="U122" s="90"/>
      <c r="V122" s="102"/>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90"/>
      <c r="AZ122" s="90"/>
      <c r="BA122" s="90"/>
    </row>
    <row r="123" spans="1:53" ht="13.5" customHeight="1">
      <c r="A123" s="90"/>
      <c r="B123" s="90"/>
      <c r="C123" s="90"/>
      <c r="D123" s="90"/>
      <c r="E123" s="90"/>
      <c r="F123" s="90"/>
      <c r="G123" s="90"/>
      <c r="H123" s="90"/>
      <c r="I123" s="90"/>
      <c r="J123" s="90"/>
      <c r="K123" s="90"/>
      <c r="L123" s="90"/>
      <c r="M123" s="90"/>
      <c r="N123" s="90"/>
      <c r="O123" s="90"/>
      <c r="P123" s="90"/>
      <c r="Q123" s="102"/>
      <c r="R123" s="90"/>
      <c r="S123" s="90"/>
      <c r="T123" s="102"/>
      <c r="U123" s="90"/>
      <c r="V123" s="102"/>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c r="AY123" s="90"/>
      <c r="AZ123" s="90"/>
      <c r="BA123" s="90"/>
    </row>
    <row r="124" spans="1:53" ht="13.5" customHeight="1">
      <c r="A124" s="90"/>
      <c r="B124" s="90"/>
      <c r="C124" s="90"/>
      <c r="D124" s="90"/>
      <c r="E124" s="90"/>
      <c r="F124" s="90"/>
      <c r="G124" s="90"/>
      <c r="H124" s="90"/>
      <c r="I124" s="90"/>
      <c r="J124" s="90"/>
      <c r="K124" s="90"/>
      <c r="L124" s="90"/>
      <c r="M124" s="90"/>
      <c r="N124" s="90"/>
      <c r="O124" s="90"/>
      <c r="P124" s="90"/>
      <c r="Q124" s="102"/>
      <c r="R124" s="90"/>
      <c r="S124" s="90"/>
      <c r="T124" s="102"/>
      <c r="U124" s="90"/>
      <c r="V124" s="102"/>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0"/>
      <c r="BA124" s="90"/>
    </row>
    <row r="125" spans="1:53" ht="13.5" customHeight="1">
      <c r="A125" s="90"/>
      <c r="B125" s="90"/>
      <c r="C125" s="90"/>
      <c r="D125" s="90"/>
      <c r="E125" s="90"/>
      <c r="F125" s="90"/>
      <c r="G125" s="90"/>
      <c r="H125" s="90"/>
      <c r="I125" s="90"/>
      <c r="J125" s="90"/>
      <c r="K125" s="90"/>
      <c r="L125" s="90"/>
      <c r="M125" s="90"/>
      <c r="N125" s="90"/>
      <c r="O125" s="90"/>
      <c r="P125" s="90"/>
      <c r="Q125" s="102"/>
      <c r="R125" s="90"/>
      <c r="S125" s="90"/>
      <c r="T125" s="102"/>
      <c r="U125" s="90"/>
      <c r="V125" s="102"/>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c r="AW125" s="90"/>
      <c r="AX125" s="90"/>
      <c r="AY125" s="90"/>
      <c r="AZ125" s="90"/>
      <c r="BA125" s="90"/>
    </row>
    <row r="126" spans="1:53" ht="13.5" customHeight="1">
      <c r="A126" s="90"/>
      <c r="B126" s="90"/>
      <c r="C126" s="90"/>
      <c r="D126" s="90"/>
      <c r="E126" s="90"/>
      <c r="F126" s="90"/>
      <c r="G126" s="90"/>
      <c r="H126" s="90"/>
      <c r="I126" s="90"/>
      <c r="J126" s="90"/>
      <c r="K126" s="90"/>
      <c r="L126" s="90"/>
      <c r="M126" s="90"/>
      <c r="N126" s="90"/>
      <c r="O126" s="90"/>
      <c r="P126" s="90"/>
      <c r="Q126" s="102"/>
      <c r="R126" s="90"/>
      <c r="S126" s="90"/>
      <c r="T126" s="102"/>
      <c r="U126" s="90"/>
      <c r="V126" s="102"/>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c r="AY126" s="90"/>
      <c r="AZ126" s="90"/>
      <c r="BA126" s="90"/>
    </row>
    <row r="127" spans="1:53" ht="13.5" customHeight="1">
      <c r="A127" s="90"/>
      <c r="B127" s="90"/>
      <c r="C127" s="90"/>
      <c r="D127" s="90"/>
      <c r="E127" s="90"/>
      <c r="F127" s="90"/>
      <c r="G127" s="90"/>
      <c r="H127" s="90"/>
      <c r="I127" s="90"/>
      <c r="J127" s="90"/>
      <c r="K127" s="90"/>
      <c r="L127" s="90"/>
      <c r="M127" s="90"/>
      <c r="N127" s="90"/>
      <c r="O127" s="90"/>
      <c r="P127" s="90"/>
      <c r="Q127" s="102"/>
      <c r="R127" s="90"/>
      <c r="S127" s="90"/>
      <c r="T127" s="102"/>
      <c r="U127" s="90"/>
      <c r="V127" s="102"/>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c r="AW127" s="90"/>
      <c r="AX127" s="90"/>
      <c r="AY127" s="90"/>
      <c r="AZ127" s="90"/>
      <c r="BA127" s="90"/>
    </row>
    <row r="128" spans="1:53" ht="13.5" customHeight="1">
      <c r="A128" s="90"/>
      <c r="B128" s="90"/>
      <c r="C128" s="90"/>
      <c r="D128" s="90"/>
      <c r="E128" s="90"/>
      <c r="F128" s="90"/>
      <c r="G128" s="90"/>
      <c r="H128" s="90"/>
      <c r="I128" s="90"/>
      <c r="J128" s="90"/>
      <c r="K128" s="90"/>
      <c r="L128" s="90"/>
      <c r="M128" s="90"/>
      <c r="N128" s="90"/>
      <c r="O128" s="90"/>
      <c r="P128" s="90"/>
      <c r="Q128" s="102"/>
      <c r="R128" s="90"/>
      <c r="S128" s="90"/>
      <c r="T128" s="102"/>
      <c r="U128" s="90"/>
      <c r="V128" s="102"/>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c r="AW128" s="90"/>
      <c r="AX128" s="90"/>
      <c r="AY128" s="90"/>
      <c r="AZ128" s="90"/>
      <c r="BA128" s="90"/>
    </row>
    <row r="129" spans="1:53" ht="13.5" customHeight="1">
      <c r="A129" s="90"/>
      <c r="B129" s="90"/>
      <c r="C129" s="90"/>
      <c r="D129" s="90"/>
      <c r="E129" s="90"/>
      <c r="F129" s="90"/>
      <c r="G129" s="90"/>
      <c r="H129" s="90"/>
      <c r="I129" s="90"/>
      <c r="J129" s="90"/>
      <c r="K129" s="90"/>
      <c r="L129" s="90"/>
      <c r="M129" s="90"/>
      <c r="N129" s="90"/>
      <c r="O129" s="90"/>
      <c r="P129" s="90"/>
      <c r="Q129" s="102"/>
      <c r="R129" s="90"/>
      <c r="S129" s="90"/>
      <c r="T129" s="102"/>
      <c r="U129" s="90"/>
      <c r="V129" s="102"/>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c r="AW129" s="90"/>
      <c r="AX129" s="90"/>
      <c r="AY129" s="90"/>
      <c r="AZ129" s="90"/>
      <c r="BA129" s="90"/>
    </row>
    <row r="130" spans="1:53" ht="13.5" customHeight="1">
      <c r="A130" s="90"/>
      <c r="B130" s="90"/>
      <c r="C130" s="90"/>
      <c r="D130" s="90"/>
      <c r="E130" s="90"/>
      <c r="F130" s="90"/>
      <c r="G130" s="90"/>
      <c r="H130" s="90"/>
      <c r="I130" s="90"/>
      <c r="J130" s="90"/>
      <c r="K130" s="90"/>
      <c r="L130" s="90"/>
      <c r="M130" s="90"/>
      <c r="N130" s="90"/>
      <c r="O130" s="90"/>
      <c r="P130" s="90"/>
      <c r="Q130" s="102"/>
      <c r="R130" s="90"/>
      <c r="S130" s="90"/>
      <c r="T130" s="102"/>
      <c r="U130" s="90"/>
      <c r="V130" s="102"/>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c r="AW130" s="90"/>
      <c r="AX130" s="90"/>
      <c r="AY130" s="90"/>
      <c r="AZ130" s="90"/>
      <c r="BA130" s="90"/>
    </row>
    <row r="131" spans="1:53" ht="13.5" customHeight="1">
      <c r="A131" s="90"/>
      <c r="B131" s="90"/>
      <c r="C131" s="90"/>
      <c r="D131" s="90"/>
      <c r="E131" s="90"/>
      <c r="F131" s="90"/>
      <c r="G131" s="90"/>
      <c r="H131" s="90"/>
      <c r="I131" s="90"/>
      <c r="J131" s="90"/>
      <c r="K131" s="90"/>
      <c r="L131" s="90"/>
      <c r="M131" s="90"/>
      <c r="N131" s="90"/>
      <c r="O131" s="90"/>
      <c r="P131" s="90"/>
      <c r="Q131" s="102"/>
      <c r="R131" s="90"/>
      <c r="S131" s="90"/>
      <c r="T131" s="102"/>
      <c r="U131" s="90"/>
      <c r="V131" s="102"/>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c r="AY131" s="90"/>
      <c r="AZ131" s="90"/>
      <c r="BA131" s="90"/>
    </row>
    <row r="132" spans="1:53" ht="13.5" customHeight="1">
      <c r="A132" s="90"/>
      <c r="B132" s="90"/>
      <c r="C132" s="90"/>
      <c r="D132" s="90"/>
      <c r="E132" s="90"/>
      <c r="F132" s="90"/>
      <c r="G132" s="90"/>
      <c r="H132" s="90"/>
      <c r="I132" s="90"/>
      <c r="J132" s="90"/>
      <c r="K132" s="90"/>
      <c r="L132" s="90"/>
      <c r="M132" s="90"/>
      <c r="N132" s="90"/>
      <c r="O132" s="90"/>
      <c r="P132" s="90"/>
      <c r="Q132" s="102"/>
      <c r="R132" s="90"/>
      <c r="S132" s="90"/>
      <c r="T132" s="102"/>
      <c r="U132" s="90"/>
      <c r="V132" s="102"/>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c r="AW132" s="90"/>
      <c r="AX132" s="90"/>
      <c r="AY132" s="90"/>
      <c r="AZ132" s="90"/>
      <c r="BA132" s="90"/>
    </row>
    <row r="133" spans="1:53" ht="13.5" customHeight="1">
      <c r="A133" s="90"/>
      <c r="B133" s="90"/>
      <c r="C133" s="90"/>
      <c r="D133" s="90"/>
      <c r="E133" s="90"/>
      <c r="F133" s="90"/>
      <c r="G133" s="90"/>
      <c r="H133" s="90"/>
      <c r="I133" s="90"/>
      <c r="J133" s="90"/>
      <c r="K133" s="90"/>
      <c r="L133" s="90"/>
      <c r="M133" s="90"/>
      <c r="N133" s="90"/>
      <c r="O133" s="90"/>
      <c r="P133" s="90"/>
      <c r="Q133" s="102"/>
      <c r="R133" s="90"/>
      <c r="S133" s="90"/>
      <c r="T133" s="102"/>
      <c r="U133" s="90"/>
      <c r="V133" s="102"/>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c r="AY133" s="90"/>
      <c r="AZ133" s="90"/>
      <c r="BA133" s="90"/>
    </row>
    <row r="134" spans="1:53" ht="13.5" customHeight="1">
      <c r="A134" s="90"/>
      <c r="B134" s="90"/>
      <c r="C134" s="90"/>
      <c r="D134" s="90"/>
      <c r="E134" s="90"/>
      <c r="F134" s="90"/>
      <c r="G134" s="90"/>
      <c r="H134" s="90"/>
      <c r="I134" s="90"/>
      <c r="J134" s="90"/>
      <c r="K134" s="90"/>
      <c r="L134" s="90"/>
      <c r="M134" s="90"/>
      <c r="N134" s="90"/>
      <c r="O134" s="90"/>
      <c r="P134" s="90"/>
      <c r="Q134" s="102"/>
      <c r="R134" s="90"/>
      <c r="S134" s="90"/>
      <c r="T134" s="102"/>
      <c r="U134" s="90"/>
      <c r="V134" s="102"/>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c r="AW134" s="90"/>
      <c r="AX134" s="90"/>
      <c r="AY134" s="90"/>
      <c r="AZ134" s="90"/>
      <c r="BA134" s="90"/>
    </row>
    <row r="135" spans="1:53" ht="13.5" customHeight="1">
      <c r="A135" s="90"/>
      <c r="B135" s="90"/>
      <c r="C135" s="90"/>
      <c r="D135" s="90"/>
      <c r="E135" s="90"/>
      <c r="F135" s="90"/>
      <c r="G135" s="90"/>
      <c r="H135" s="90"/>
      <c r="I135" s="90"/>
      <c r="J135" s="90"/>
      <c r="K135" s="90"/>
      <c r="L135" s="90"/>
      <c r="M135" s="90"/>
      <c r="N135" s="90"/>
      <c r="O135" s="90"/>
      <c r="P135" s="90"/>
      <c r="Q135" s="102"/>
      <c r="R135" s="90"/>
      <c r="S135" s="90"/>
      <c r="T135" s="102"/>
      <c r="U135" s="90"/>
      <c r="V135" s="102"/>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c r="AW135" s="90"/>
      <c r="AX135" s="90"/>
      <c r="AY135" s="90"/>
      <c r="AZ135" s="90"/>
      <c r="BA135" s="90"/>
    </row>
    <row r="136" spans="1:53" ht="13.5" customHeight="1">
      <c r="A136" s="90"/>
      <c r="B136" s="90"/>
      <c r="C136" s="90"/>
      <c r="D136" s="90"/>
      <c r="E136" s="90"/>
      <c r="F136" s="90"/>
      <c r="G136" s="90"/>
      <c r="H136" s="90"/>
      <c r="I136" s="90"/>
      <c r="J136" s="90"/>
      <c r="K136" s="90"/>
      <c r="L136" s="90"/>
      <c r="M136" s="90"/>
      <c r="N136" s="90"/>
      <c r="O136" s="90"/>
      <c r="P136" s="90"/>
      <c r="Q136" s="102"/>
      <c r="R136" s="90"/>
      <c r="S136" s="90"/>
      <c r="T136" s="102"/>
      <c r="U136" s="90"/>
      <c r="V136" s="102"/>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c r="AW136" s="90"/>
      <c r="AX136" s="90"/>
      <c r="AY136" s="90"/>
      <c r="AZ136" s="90"/>
      <c r="BA136" s="90"/>
    </row>
    <row r="137" spans="1:53" ht="13.5" customHeight="1">
      <c r="A137" s="90"/>
      <c r="B137" s="90"/>
      <c r="C137" s="90"/>
      <c r="D137" s="90"/>
      <c r="E137" s="90"/>
      <c r="F137" s="90"/>
      <c r="G137" s="90"/>
      <c r="H137" s="90"/>
      <c r="I137" s="90"/>
      <c r="J137" s="90"/>
      <c r="K137" s="90"/>
      <c r="L137" s="90"/>
      <c r="M137" s="90"/>
      <c r="N137" s="90"/>
      <c r="O137" s="90"/>
      <c r="P137" s="90"/>
      <c r="Q137" s="102"/>
      <c r="R137" s="90"/>
      <c r="S137" s="90"/>
      <c r="T137" s="102"/>
      <c r="U137" s="90"/>
      <c r="V137" s="102"/>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c r="AY137" s="90"/>
      <c r="AZ137" s="90"/>
      <c r="BA137" s="90"/>
    </row>
    <row r="138" spans="1:53" ht="13.5" customHeight="1">
      <c r="A138" s="90"/>
      <c r="B138" s="90"/>
      <c r="C138" s="90"/>
      <c r="D138" s="90"/>
      <c r="E138" s="90"/>
      <c r="F138" s="90"/>
      <c r="G138" s="90"/>
      <c r="H138" s="90"/>
      <c r="I138" s="90"/>
      <c r="J138" s="90"/>
      <c r="K138" s="90"/>
      <c r="L138" s="90"/>
      <c r="M138" s="90"/>
      <c r="N138" s="90"/>
      <c r="O138" s="90"/>
      <c r="P138" s="90"/>
      <c r="Q138" s="102"/>
      <c r="R138" s="90"/>
      <c r="S138" s="90"/>
      <c r="T138" s="102"/>
      <c r="U138" s="90"/>
      <c r="V138" s="102"/>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c r="AW138" s="90"/>
      <c r="AX138" s="90"/>
      <c r="AY138" s="90"/>
      <c r="AZ138" s="90"/>
      <c r="BA138" s="90"/>
    </row>
    <row r="139" spans="1:53" ht="13.5" customHeight="1">
      <c r="A139" s="90"/>
      <c r="B139" s="90"/>
      <c r="C139" s="90"/>
      <c r="D139" s="90"/>
      <c r="E139" s="90"/>
      <c r="F139" s="90"/>
      <c r="G139" s="90"/>
      <c r="H139" s="90"/>
      <c r="I139" s="90"/>
      <c r="J139" s="90"/>
      <c r="K139" s="90"/>
      <c r="L139" s="90"/>
      <c r="M139" s="90"/>
      <c r="N139" s="90"/>
      <c r="O139" s="90"/>
      <c r="P139" s="90"/>
      <c r="Q139" s="102"/>
      <c r="R139" s="90"/>
      <c r="S139" s="90"/>
      <c r="T139" s="102"/>
      <c r="U139" s="90"/>
      <c r="V139" s="102"/>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c r="AV139" s="90"/>
      <c r="AW139" s="90"/>
      <c r="AX139" s="90"/>
      <c r="AY139" s="90"/>
      <c r="AZ139" s="90"/>
      <c r="BA139" s="90"/>
    </row>
    <row r="140" spans="1:53" ht="13.5" customHeight="1">
      <c r="A140" s="90"/>
      <c r="B140" s="90"/>
      <c r="C140" s="90"/>
      <c r="D140" s="90"/>
      <c r="E140" s="90"/>
      <c r="F140" s="90"/>
      <c r="G140" s="90"/>
      <c r="H140" s="90"/>
      <c r="I140" s="90"/>
      <c r="J140" s="90"/>
      <c r="K140" s="90"/>
      <c r="L140" s="90"/>
      <c r="M140" s="90"/>
      <c r="N140" s="90"/>
      <c r="O140" s="90"/>
      <c r="P140" s="90"/>
      <c r="Q140" s="102"/>
      <c r="R140" s="90"/>
      <c r="S140" s="90"/>
      <c r="T140" s="102"/>
      <c r="U140" s="90"/>
      <c r="V140" s="102"/>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c r="AW140" s="90"/>
      <c r="AX140" s="90"/>
      <c r="AY140" s="90"/>
      <c r="AZ140" s="90"/>
      <c r="BA140" s="90"/>
    </row>
    <row r="141" spans="1:53" ht="13.5" customHeight="1">
      <c r="A141" s="90"/>
      <c r="B141" s="90"/>
      <c r="C141" s="90"/>
      <c r="D141" s="90"/>
      <c r="E141" s="90"/>
      <c r="F141" s="90"/>
      <c r="G141" s="90"/>
      <c r="H141" s="90"/>
      <c r="I141" s="90"/>
      <c r="J141" s="90"/>
      <c r="K141" s="90"/>
      <c r="L141" s="90"/>
      <c r="M141" s="90"/>
      <c r="N141" s="90"/>
      <c r="O141" s="90"/>
      <c r="P141" s="90"/>
      <c r="Q141" s="102"/>
      <c r="R141" s="90"/>
      <c r="S141" s="90"/>
      <c r="T141" s="102"/>
      <c r="U141" s="90"/>
      <c r="V141" s="102"/>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c r="AW141" s="90"/>
      <c r="AX141" s="90"/>
      <c r="AY141" s="90"/>
      <c r="AZ141" s="90"/>
      <c r="BA141" s="90"/>
    </row>
    <row r="142" spans="1:53" ht="13.5" customHeight="1">
      <c r="A142" s="90"/>
      <c r="B142" s="90"/>
      <c r="C142" s="90"/>
      <c r="D142" s="90"/>
      <c r="E142" s="90"/>
      <c r="F142" s="90"/>
      <c r="G142" s="90"/>
      <c r="H142" s="90"/>
      <c r="I142" s="90"/>
      <c r="J142" s="90"/>
      <c r="K142" s="90"/>
      <c r="L142" s="90"/>
      <c r="M142" s="90"/>
      <c r="N142" s="90"/>
      <c r="O142" s="90"/>
      <c r="P142" s="90"/>
      <c r="Q142" s="102"/>
      <c r="R142" s="90"/>
      <c r="S142" s="90"/>
      <c r="T142" s="102"/>
      <c r="U142" s="90"/>
      <c r="V142" s="102"/>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c r="AV142" s="90"/>
      <c r="AW142" s="90"/>
      <c r="AX142" s="90"/>
      <c r="AY142" s="90"/>
      <c r="AZ142" s="90"/>
      <c r="BA142" s="90"/>
    </row>
    <row r="143" spans="1:53" ht="13.5" customHeight="1">
      <c r="A143" s="90"/>
      <c r="B143" s="90"/>
      <c r="C143" s="90"/>
      <c r="D143" s="90"/>
      <c r="E143" s="90"/>
      <c r="F143" s="90"/>
      <c r="G143" s="90"/>
      <c r="H143" s="90"/>
      <c r="I143" s="90"/>
      <c r="J143" s="90"/>
      <c r="K143" s="90"/>
      <c r="L143" s="90"/>
      <c r="M143" s="90"/>
      <c r="N143" s="90"/>
      <c r="O143" s="90"/>
      <c r="P143" s="90"/>
      <c r="Q143" s="102"/>
      <c r="R143" s="90"/>
      <c r="S143" s="90"/>
      <c r="T143" s="102"/>
      <c r="U143" s="90"/>
      <c r="V143" s="102"/>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c r="AV143" s="90"/>
      <c r="AW143" s="90"/>
      <c r="AX143" s="90"/>
      <c r="AY143" s="90"/>
      <c r="AZ143" s="90"/>
      <c r="BA143" s="90"/>
    </row>
    <row r="144" spans="1:53" ht="13.5" customHeight="1">
      <c r="A144" s="90"/>
      <c r="B144" s="90"/>
      <c r="C144" s="90"/>
      <c r="D144" s="90"/>
      <c r="E144" s="90"/>
      <c r="F144" s="90"/>
      <c r="G144" s="90"/>
      <c r="H144" s="90"/>
      <c r="I144" s="90"/>
      <c r="J144" s="90"/>
      <c r="K144" s="90"/>
      <c r="L144" s="90"/>
      <c r="M144" s="90"/>
      <c r="N144" s="90"/>
      <c r="O144" s="90"/>
      <c r="P144" s="90"/>
      <c r="Q144" s="102"/>
      <c r="R144" s="90"/>
      <c r="S144" s="90"/>
      <c r="T144" s="102"/>
      <c r="U144" s="90"/>
      <c r="V144" s="102"/>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c r="AV144" s="90"/>
      <c r="AW144" s="90"/>
      <c r="AX144" s="90"/>
      <c r="AY144" s="90"/>
      <c r="AZ144" s="90"/>
      <c r="BA144" s="90"/>
    </row>
    <row r="145" spans="1:53" ht="13.5" customHeight="1">
      <c r="A145" s="90"/>
      <c r="B145" s="90"/>
      <c r="C145" s="90"/>
      <c r="D145" s="90"/>
      <c r="E145" s="90"/>
      <c r="F145" s="90"/>
      <c r="G145" s="90"/>
      <c r="H145" s="90"/>
      <c r="I145" s="90"/>
      <c r="J145" s="90"/>
      <c r="K145" s="90"/>
      <c r="L145" s="90"/>
      <c r="M145" s="90"/>
      <c r="N145" s="90"/>
      <c r="O145" s="90"/>
      <c r="P145" s="90"/>
      <c r="Q145" s="102"/>
      <c r="R145" s="90"/>
      <c r="S145" s="90"/>
      <c r="T145" s="102"/>
      <c r="U145" s="90"/>
      <c r="V145" s="102"/>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c r="AW145" s="90"/>
      <c r="AX145" s="90"/>
      <c r="AY145" s="90"/>
      <c r="AZ145" s="90"/>
      <c r="BA145" s="90"/>
    </row>
    <row r="146" spans="1:53" ht="13.5" customHeight="1">
      <c r="A146" s="90"/>
      <c r="B146" s="90"/>
      <c r="C146" s="90"/>
      <c r="D146" s="90"/>
      <c r="E146" s="90"/>
      <c r="F146" s="90"/>
      <c r="G146" s="90"/>
      <c r="H146" s="90"/>
      <c r="I146" s="90"/>
      <c r="J146" s="90"/>
      <c r="K146" s="90"/>
      <c r="L146" s="90"/>
      <c r="M146" s="90"/>
      <c r="N146" s="90"/>
      <c r="O146" s="90"/>
      <c r="P146" s="90"/>
      <c r="Q146" s="102"/>
      <c r="R146" s="90"/>
      <c r="S146" s="90"/>
      <c r="T146" s="102"/>
      <c r="U146" s="90"/>
      <c r="V146" s="102"/>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c r="AW146" s="90"/>
      <c r="AX146" s="90"/>
      <c r="AY146" s="90"/>
      <c r="AZ146" s="90"/>
      <c r="BA146" s="90"/>
    </row>
    <row r="147" spans="1:53" ht="13.5" customHeight="1">
      <c r="A147" s="90"/>
      <c r="B147" s="90"/>
      <c r="C147" s="90"/>
      <c r="D147" s="90"/>
      <c r="E147" s="90"/>
      <c r="F147" s="90"/>
      <c r="G147" s="90"/>
      <c r="H147" s="90"/>
      <c r="I147" s="90"/>
      <c r="J147" s="90"/>
      <c r="K147" s="90"/>
      <c r="L147" s="90"/>
      <c r="M147" s="90"/>
      <c r="N147" s="90"/>
      <c r="O147" s="90"/>
      <c r="P147" s="90"/>
      <c r="Q147" s="102"/>
      <c r="R147" s="90"/>
      <c r="S147" s="90"/>
      <c r="T147" s="102"/>
      <c r="U147" s="90"/>
      <c r="V147" s="102"/>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c r="AV147" s="90"/>
      <c r="AW147" s="90"/>
      <c r="AX147" s="90"/>
      <c r="AY147" s="90"/>
      <c r="AZ147" s="90"/>
      <c r="BA147" s="90"/>
    </row>
    <row r="148" spans="1:53" ht="13.5" customHeight="1">
      <c r="A148" s="90"/>
      <c r="B148" s="90"/>
      <c r="C148" s="90"/>
      <c r="D148" s="90"/>
      <c r="E148" s="90"/>
      <c r="F148" s="90"/>
      <c r="G148" s="90"/>
      <c r="H148" s="90"/>
      <c r="I148" s="90"/>
      <c r="J148" s="90"/>
      <c r="K148" s="90"/>
      <c r="L148" s="90"/>
      <c r="M148" s="90"/>
      <c r="N148" s="90"/>
      <c r="O148" s="90"/>
      <c r="P148" s="90"/>
      <c r="Q148" s="102"/>
      <c r="R148" s="90"/>
      <c r="S148" s="90"/>
      <c r="T148" s="102"/>
      <c r="U148" s="90"/>
      <c r="V148" s="102"/>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c r="AY148" s="90"/>
      <c r="AZ148" s="90"/>
      <c r="BA148" s="90"/>
    </row>
    <row r="149" spans="1:53" ht="13.5" customHeight="1">
      <c r="A149" s="90"/>
      <c r="B149" s="90"/>
      <c r="C149" s="90"/>
      <c r="D149" s="90"/>
      <c r="E149" s="90"/>
      <c r="F149" s="90"/>
      <c r="G149" s="90"/>
      <c r="H149" s="90"/>
      <c r="I149" s="90"/>
      <c r="J149" s="90"/>
      <c r="K149" s="90"/>
      <c r="L149" s="90"/>
      <c r="M149" s="90"/>
      <c r="N149" s="90"/>
      <c r="O149" s="90"/>
      <c r="P149" s="90"/>
      <c r="Q149" s="102"/>
      <c r="R149" s="90"/>
      <c r="S149" s="90"/>
      <c r="T149" s="102"/>
      <c r="U149" s="90"/>
      <c r="V149" s="102"/>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c r="AV149" s="90"/>
      <c r="AW149" s="90"/>
      <c r="AX149" s="90"/>
      <c r="AY149" s="90"/>
      <c r="AZ149" s="90"/>
      <c r="BA149" s="90"/>
    </row>
    <row r="150" spans="1:53" ht="13.5" customHeight="1">
      <c r="A150" s="90"/>
      <c r="B150" s="90"/>
      <c r="C150" s="90"/>
      <c r="D150" s="90"/>
      <c r="E150" s="90"/>
      <c r="F150" s="90"/>
      <c r="G150" s="90"/>
      <c r="H150" s="90"/>
      <c r="I150" s="90"/>
      <c r="J150" s="90"/>
      <c r="K150" s="90"/>
      <c r="L150" s="90"/>
      <c r="M150" s="90"/>
      <c r="N150" s="90"/>
      <c r="O150" s="90"/>
      <c r="P150" s="90"/>
      <c r="Q150" s="102"/>
      <c r="R150" s="90"/>
      <c r="S150" s="90"/>
      <c r="T150" s="102"/>
      <c r="U150" s="90"/>
      <c r="V150" s="102"/>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c r="AV150" s="90"/>
      <c r="AW150" s="90"/>
      <c r="AX150" s="90"/>
      <c r="AY150" s="90"/>
      <c r="AZ150" s="90"/>
      <c r="BA150" s="90"/>
    </row>
    <row r="151" spans="1:53" ht="13.5" customHeight="1">
      <c r="A151" s="90"/>
      <c r="B151" s="90"/>
      <c r="C151" s="90"/>
      <c r="D151" s="90"/>
      <c r="E151" s="90"/>
      <c r="F151" s="90"/>
      <c r="G151" s="90"/>
      <c r="H151" s="90"/>
      <c r="I151" s="90"/>
      <c r="J151" s="90"/>
      <c r="K151" s="90"/>
      <c r="L151" s="90"/>
      <c r="M151" s="90"/>
      <c r="N151" s="90"/>
      <c r="O151" s="90"/>
      <c r="P151" s="90"/>
      <c r="Q151" s="102"/>
      <c r="R151" s="90"/>
      <c r="S151" s="90"/>
      <c r="T151" s="102"/>
      <c r="U151" s="90"/>
      <c r="V151" s="102"/>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c r="AV151" s="90"/>
      <c r="AW151" s="90"/>
      <c r="AX151" s="90"/>
      <c r="AY151" s="90"/>
      <c r="AZ151" s="90"/>
      <c r="BA151" s="90"/>
    </row>
    <row r="152" spans="1:53" ht="13.5" customHeight="1">
      <c r="A152" s="90"/>
      <c r="B152" s="90"/>
      <c r="C152" s="90"/>
      <c r="D152" s="90"/>
      <c r="E152" s="90"/>
      <c r="F152" s="90"/>
      <c r="G152" s="90"/>
      <c r="H152" s="90"/>
      <c r="I152" s="90"/>
      <c r="J152" s="90"/>
      <c r="K152" s="90"/>
      <c r="L152" s="90"/>
      <c r="M152" s="90"/>
      <c r="N152" s="90"/>
      <c r="O152" s="90"/>
      <c r="P152" s="90"/>
      <c r="Q152" s="102"/>
      <c r="R152" s="90"/>
      <c r="S152" s="90"/>
      <c r="T152" s="102"/>
      <c r="U152" s="90"/>
      <c r="V152" s="102"/>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c r="AY152" s="90"/>
      <c r="AZ152" s="90"/>
      <c r="BA152" s="90"/>
    </row>
    <row r="153" spans="1:53" ht="13.5" customHeight="1">
      <c r="A153" s="90"/>
      <c r="B153" s="90"/>
      <c r="C153" s="90"/>
      <c r="D153" s="90"/>
      <c r="E153" s="90"/>
      <c r="F153" s="90"/>
      <c r="G153" s="90"/>
      <c r="H153" s="90"/>
      <c r="I153" s="90"/>
      <c r="J153" s="90"/>
      <c r="K153" s="90"/>
      <c r="L153" s="90"/>
      <c r="M153" s="90"/>
      <c r="N153" s="90"/>
      <c r="O153" s="90"/>
      <c r="P153" s="90"/>
      <c r="Q153" s="102"/>
      <c r="R153" s="90"/>
      <c r="S153" s="90"/>
      <c r="T153" s="102"/>
      <c r="U153" s="90"/>
      <c r="V153" s="102"/>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c r="AW153" s="90"/>
      <c r="AX153" s="90"/>
      <c r="AY153" s="90"/>
      <c r="AZ153" s="90"/>
      <c r="BA153" s="90"/>
    </row>
    <row r="154" spans="1:53" ht="13.5" customHeight="1">
      <c r="A154" s="90"/>
      <c r="B154" s="90"/>
      <c r="C154" s="90"/>
      <c r="D154" s="90"/>
      <c r="E154" s="90"/>
      <c r="F154" s="90"/>
      <c r="G154" s="90"/>
      <c r="H154" s="90"/>
      <c r="I154" s="90"/>
      <c r="J154" s="90"/>
      <c r="K154" s="90"/>
      <c r="L154" s="90"/>
      <c r="M154" s="90"/>
      <c r="N154" s="90"/>
      <c r="O154" s="90"/>
      <c r="P154" s="90"/>
      <c r="Q154" s="102"/>
      <c r="R154" s="90"/>
      <c r="S154" s="90"/>
      <c r="T154" s="102"/>
      <c r="U154" s="90"/>
      <c r="V154" s="102"/>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c r="AV154" s="90"/>
      <c r="AW154" s="90"/>
      <c r="AX154" s="90"/>
      <c r="AY154" s="90"/>
      <c r="AZ154" s="90"/>
      <c r="BA154" s="90"/>
    </row>
    <row r="155" spans="1:53" ht="13.5" customHeight="1">
      <c r="A155" s="90"/>
      <c r="B155" s="90"/>
      <c r="C155" s="90"/>
      <c r="D155" s="90"/>
      <c r="E155" s="90"/>
      <c r="F155" s="90"/>
      <c r="G155" s="90"/>
      <c r="H155" s="90"/>
      <c r="I155" s="90"/>
      <c r="J155" s="90"/>
      <c r="K155" s="90"/>
      <c r="L155" s="90"/>
      <c r="M155" s="90"/>
      <c r="N155" s="90"/>
      <c r="O155" s="90"/>
      <c r="P155" s="90"/>
      <c r="Q155" s="102"/>
      <c r="R155" s="90"/>
      <c r="S155" s="90"/>
      <c r="T155" s="102"/>
      <c r="U155" s="90"/>
      <c r="V155" s="102"/>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c r="AW155" s="90"/>
      <c r="AX155" s="90"/>
      <c r="AY155" s="90"/>
      <c r="AZ155" s="90"/>
      <c r="BA155" s="90"/>
    </row>
    <row r="156" spans="1:53" ht="13.5" customHeight="1">
      <c r="A156" s="90"/>
      <c r="B156" s="90"/>
      <c r="C156" s="90"/>
      <c r="D156" s="90"/>
      <c r="E156" s="90"/>
      <c r="F156" s="90"/>
      <c r="G156" s="90"/>
      <c r="H156" s="90"/>
      <c r="I156" s="90"/>
      <c r="J156" s="90"/>
      <c r="K156" s="90"/>
      <c r="L156" s="90"/>
      <c r="M156" s="90"/>
      <c r="N156" s="90"/>
      <c r="O156" s="90"/>
      <c r="P156" s="90"/>
      <c r="Q156" s="102"/>
      <c r="R156" s="90"/>
      <c r="S156" s="90"/>
      <c r="T156" s="102"/>
      <c r="U156" s="90"/>
      <c r="V156" s="102"/>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c r="AV156" s="90"/>
      <c r="AW156" s="90"/>
      <c r="AX156" s="90"/>
      <c r="AY156" s="90"/>
      <c r="AZ156" s="90"/>
      <c r="BA156" s="90"/>
    </row>
    <row r="157" spans="1:53" ht="13.5" customHeight="1">
      <c r="A157" s="90"/>
      <c r="B157" s="90"/>
      <c r="C157" s="90"/>
      <c r="D157" s="90"/>
      <c r="E157" s="90"/>
      <c r="F157" s="90"/>
      <c r="G157" s="90"/>
      <c r="H157" s="90"/>
      <c r="I157" s="90"/>
      <c r="J157" s="90"/>
      <c r="K157" s="90"/>
      <c r="L157" s="90"/>
      <c r="M157" s="90"/>
      <c r="N157" s="90"/>
      <c r="O157" s="90"/>
      <c r="P157" s="90"/>
      <c r="Q157" s="102"/>
      <c r="R157" s="90"/>
      <c r="S157" s="90"/>
      <c r="T157" s="102"/>
      <c r="U157" s="90"/>
      <c r="V157" s="102"/>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c r="AV157" s="90"/>
      <c r="AW157" s="90"/>
      <c r="AX157" s="90"/>
      <c r="AY157" s="90"/>
      <c r="AZ157" s="90"/>
      <c r="BA157" s="90"/>
    </row>
    <row r="158" spans="1:53" ht="13.5" customHeight="1">
      <c r="A158" s="90"/>
      <c r="B158" s="90"/>
      <c r="C158" s="90"/>
      <c r="D158" s="90"/>
      <c r="E158" s="90"/>
      <c r="F158" s="90"/>
      <c r="G158" s="90"/>
      <c r="H158" s="90"/>
      <c r="I158" s="90"/>
      <c r="J158" s="90"/>
      <c r="K158" s="90"/>
      <c r="L158" s="90"/>
      <c r="M158" s="90"/>
      <c r="N158" s="90"/>
      <c r="O158" s="90"/>
      <c r="P158" s="90"/>
      <c r="Q158" s="102"/>
      <c r="R158" s="90"/>
      <c r="S158" s="90"/>
      <c r="T158" s="102"/>
      <c r="U158" s="90"/>
      <c r="V158" s="102"/>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c r="AW158" s="90"/>
      <c r="AX158" s="90"/>
      <c r="AY158" s="90"/>
      <c r="AZ158" s="90"/>
      <c r="BA158" s="90"/>
    </row>
    <row r="159" spans="1:53" ht="13.5" customHeight="1">
      <c r="A159" s="90"/>
      <c r="B159" s="90"/>
      <c r="C159" s="90"/>
      <c r="D159" s="90"/>
      <c r="E159" s="90"/>
      <c r="F159" s="90"/>
      <c r="G159" s="90"/>
      <c r="H159" s="90"/>
      <c r="I159" s="90"/>
      <c r="J159" s="90"/>
      <c r="K159" s="90"/>
      <c r="L159" s="90"/>
      <c r="M159" s="90"/>
      <c r="N159" s="90"/>
      <c r="O159" s="90"/>
      <c r="P159" s="90"/>
      <c r="Q159" s="102"/>
      <c r="R159" s="90"/>
      <c r="S159" s="90"/>
      <c r="T159" s="102"/>
      <c r="U159" s="90"/>
      <c r="V159" s="102"/>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c r="AY159" s="90"/>
      <c r="AZ159" s="90"/>
      <c r="BA159" s="90"/>
    </row>
    <row r="160" spans="1:53" ht="13.5" customHeight="1">
      <c r="A160" s="90"/>
      <c r="B160" s="90"/>
      <c r="C160" s="90"/>
      <c r="D160" s="90"/>
      <c r="E160" s="90"/>
      <c r="F160" s="90"/>
      <c r="G160" s="90"/>
      <c r="H160" s="90"/>
      <c r="I160" s="90"/>
      <c r="J160" s="90"/>
      <c r="K160" s="90"/>
      <c r="L160" s="90"/>
      <c r="M160" s="90"/>
      <c r="N160" s="90"/>
      <c r="O160" s="90"/>
      <c r="P160" s="90"/>
      <c r="Q160" s="102"/>
      <c r="R160" s="90"/>
      <c r="S160" s="90"/>
      <c r="T160" s="102"/>
      <c r="U160" s="90"/>
      <c r="V160" s="102"/>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c r="AY160" s="90"/>
      <c r="AZ160" s="90"/>
      <c r="BA160" s="90"/>
    </row>
    <row r="161" spans="1:53" ht="13.5" customHeight="1">
      <c r="A161" s="90"/>
      <c r="B161" s="90"/>
      <c r="C161" s="90"/>
      <c r="D161" s="90"/>
      <c r="E161" s="90"/>
      <c r="F161" s="90"/>
      <c r="G161" s="90"/>
      <c r="H161" s="90"/>
      <c r="I161" s="90"/>
      <c r="J161" s="90"/>
      <c r="K161" s="90"/>
      <c r="L161" s="90"/>
      <c r="M161" s="90"/>
      <c r="N161" s="90"/>
      <c r="O161" s="90"/>
      <c r="P161" s="90"/>
      <c r="Q161" s="102"/>
      <c r="R161" s="90"/>
      <c r="S161" s="90"/>
      <c r="T161" s="102"/>
      <c r="U161" s="90"/>
      <c r="V161" s="102"/>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c r="AY161" s="90"/>
      <c r="AZ161" s="90"/>
      <c r="BA161" s="90"/>
    </row>
    <row r="162" spans="1:53" ht="13.5" customHeight="1">
      <c r="A162" s="90"/>
      <c r="B162" s="90"/>
      <c r="C162" s="90"/>
      <c r="D162" s="90"/>
      <c r="E162" s="90"/>
      <c r="F162" s="90"/>
      <c r="G162" s="90"/>
      <c r="H162" s="90"/>
      <c r="I162" s="90"/>
      <c r="J162" s="90"/>
      <c r="K162" s="90"/>
      <c r="L162" s="90"/>
      <c r="M162" s="90"/>
      <c r="N162" s="90"/>
      <c r="O162" s="90"/>
      <c r="P162" s="90"/>
      <c r="Q162" s="102"/>
      <c r="R162" s="90"/>
      <c r="S162" s="90"/>
      <c r="T162" s="102"/>
      <c r="U162" s="90"/>
      <c r="V162" s="102"/>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c r="AY162" s="90"/>
      <c r="AZ162" s="90"/>
      <c r="BA162" s="90"/>
    </row>
    <row r="163" spans="1:53" ht="13.5" customHeight="1">
      <c r="A163" s="90"/>
      <c r="B163" s="90"/>
      <c r="C163" s="90"/>
      <c r="D163" s="90"/>
      <c r="E163" s="90"/>
      <c r="F163" s="90"/>
      <c r="G163" s="90"/>
      <c r="H163" s="90"/>
      <c r="I163" s="90"/>
      <c r="J163" s="90"/>
      <c r="K163" s="90"/>
      <c r="L163" s="90"/>
      <c r="M163" s="90"/>
      <c r="N163" s="90"/>
      <c r="O163" s="90"/>
      <c r="P163" s="90"/>
      <c r="Q163" s="102"/>
      <c r="R163" s="90"/>
      <c r="S163" s="90"/>
      <c r="T163" s="102"/>
      <c r="U163" s="90"/>
      <c r="V163" s="102"/>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c r="AY163" s="90"/>
      <c r="AZ163" s="90"/>
      <c r="BA163" s="90"/>
    </row>
    <row r="164" spans="1:53" ht="13.5" customHeight="1">
      <c r="A164" s="90"/>
      <c r="B164" s="90"/>
      <c r="C164" s="90"/>
      <c r="D164" s="90"/>
      <c r="E164" s="90"/>
      <c r="F164" s="90"/>
      <c r="G164" s="90"/>
      <c r="H164" s="90"/>
      <c r="I164" s="90"/>
      <c r="J164" s="90"/>
      <c r="K164" s="90"/>
      <c r="L164" s="90"/>
      <c r="M164" s="90"/>
      <c r="N164" s="90"/>
      <c r="O164" s="90"/>
      <c r="P164" s="90"/>
      <c r="Q164" s="102"/>
      <c r="R164" s="90"/>
      <c r="S164" s="90"/>
      <c r="T164" s="102"/>
      <c r="U164" s="90"/>
      <c r="V164" s="102"/>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c r="AY164" s="90"/>
      <c r="AZ164" s="90"/>
      <c r="BA164" s="90"/>
    </row>
    <row r="165" spans="1:53" ht="13.5" customHeight="1">
      <c r="A165" s="90"/>
      <c r="B165" s="90"/>
      <c r="C165" s="90"/>
      <c r="D165" s="90"/>
      <c r="E165" s="90"/>
      <c r="F165" s="90"/>
      <c r="G165" s="90"/>
      <c r="H165" s="90"/>
      <c r="I165" s="90"/>
      <c r="J165" s="90"/>
      <c r="K165" s="90"/>
      <c r="L165" s="90"/>
      <c r="M165" s="90"/>
      <c r="N165" s="90"/>
      <c r="O165" s="90"/>
      <c r="P165" s="90"/>
      <c r="Q165" s="102"/>
      <c r="R165" s="90"/>
      <c r="S165" s="90"/>
      <c r="T165" s="102"/>
      <c r="U165" s="90"/>
      <c r="V165" s="102"/>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c r="AW165" s="90"/>
      <c r="AX165" s="90"/>
      <c r="AY165" s="90"/>
      <c r="AZ165" s="90"/>
      <c r="BA165" s="90"/>
    </row>
    <row r="166" spans="1:53" ht="13.5" customHeight="1">
      <c r="A166" s="90"/>
      <c r="B166" s="90"/>
      <c r="C166" s="90"/>
      <c r="D166" s="90"/>
      <c r="E166" s="90"/>
      <c r="F166" s="90"/>
      <c r="G166" s="90"/>
      <c r="H166" s="90"/>
      <c r="I166" s="90"/>
      <c r="J166" s="90"/>
      <c r="K166" s="90"/>
      <c r="L166" s="90"/>
      <c r="M166" s="90"/>
      <c r="N166" s="90"/>
      <c r="O166" s="90"/>
      <c r="P166" s="90"/>
      <c r="Q166" s="102"/>
      <c r="R166" s="90"/>
      <c r="S166" s="90"/>
      <c r="T166" s="102"/>
      <c r="U166" s="90"/>
      <c r="V166" s="102"/>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c r="AW166" s="90"/>
      <c r="AX166" s="90"/>
      <c r="AY166" s="90"/>
      <c r="AZ166" s="90"/>
      <c r="BA166" s="90"/>
    </row>
    <row r="167" spans="1:53" ht="13.5" customHeight="1">
      <c r="A167" s="90"/>
      <c r="B167" s="90"/>
      <c r="C167" s="90"/>
      <c r="D167" s="90"/>
      <c r="E167" s="90"/>
      <c r="F167" s="90"/>
      <c r="G167" s="90"/>
      <c r="H167" s="90"/>
      <c r="I167" s="90"/>
      <c r="J167" s="90"/>
      <c r="K167" s="90"/>
      <c r="L167" s="90"/>
      <c r="M167" s="90"/>
      <c r="N167" s="90"/>
      <c r="O167" s="90"/>
      <c r="P167" s="90"/>
      <c r="Q167" s="102"/>
      <c r="R167" s="90"/>
      <c r="S167" s="90"/>
      <c r="T167" s="102"/>
      <c r="U167" s="90"/>
      <c r="V167" s="102"/>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c r="AW167" s="90"/>
      <c r="AX167" s="90"/>
      <c r="AY167" s="90"/>
      <c r="AZ167" s="90"/>
      <c r="BA167" s="90"/>
    </row>
    <row r="168" spans="1:53" ht="13.5" customHeight="1">
      <c r="A168" s="90"/>
      <c r="B168" s="90"/>
      <c r="C168" s="90"/>
      <c r="D168" s="90"/>
      <c r="E168" s="90"/>
      <c r="F168" s="90"/>
      <c r="G168" s="90"/>
      <c r="H168" s="90"/>
      <c r="I168" s="90"/>
      <c r="J168" s="90"/>
      <c r="K168" s="90"/>
      <c r="L168" s="90"/>
      <c r="M168" s="90"/>
      <c r="N168" s="90"/>
      <c r="O168" s="90"/>
      <c r="P168" s="90"/>
      <c r="Q168" s="102"/>
      <c r="R168" s="90"/>
      <c r="S168" s="90"/>
      <c r="T168" s="102"/>
      <c r="U168" s="90"/>
      <c r="V168" s="102"/>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c r="AV168" s="90"/>
      <c r="AW168" s="90"/>
      <c r="AX168" s="90"/>
      <c r="AY168" s="90"/>
      <c r="AZ168" s="90"/>
      <c r="BA168" s="90"/>
    </row>
    <row r="169" spans="1:53" ht="13.5" customHeight="1">
      <c r="A169" s="90"/>
      <c r="B169" s="90"/>
      <c r="C169" s="90"/>
      <c r="D169" s="90"/>
      <c r="E169" s="90"/>
      <c r="F169" s="90"/>
      <c r="G169" s="90"/>
      <c r="H169" s="90"/>
      <c r="I169" s="90"/>
      <c r="J169" s="90"/>
      <c r="K169" s="90"/>
      <c r="L169" s="90"/>
      <c r="M169" s="90"/>
      <c r="N169" s="90"/>
      <c r="O169" s="90"/>
      <c r="P169" s="90"/>
      <c r="Q169" s="102"/>
      <c r="R169" s="90"/>
      <c r="S169" s="90"/>
      <c r="T169" s="102"/>
      <c r="U169" s="90"/>
      <c r="V169" s="102"/>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c r="AV169" s="90"/>
      <c r="AW169" s="90"/>
      <c r="AX169" s="90"/>
      <c r="AY169" s="90"/>
      <c r="AZ169" s="90"/>
      <c r="BA169" s="90"/>
    </row>
    <row r="170" spans="1:53" ht="13.5" customHeight="1">
      <c r="A170" s="90"/>
      <c r="B170" s="90"/>
      <c r="C170" s="90"/>
      <c r="D170" s="90"/>
      <c r="E170" s="90"/>
      <c r="F170" s="90"/>
      <c r="G170" s="90"/>
      <c r="H170" s="90"/>
      <c r="I170" s="90"/>
      <c r="J170" s="90"/>
      <c r="K170" s="90"/>
      <c r="L170" s="90"/>
      <c r="M170" s="90"/>
      <c r="N170" s="90"/>
      <c r="O170" s="90"/>
      <c r="P170" s="90"/>
      <c r="Q170" s="102"/>
      <c r="R170" s="90"/>
      <c r="S170" s="90"/>
      <c r="T170" s="102"/>
      <c r="U170" s="90"/>
      <c r="V170" s="102"/>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c r="AV170" s="90"/>
      <c r="AW170" s="90"/>
      <c r="AX170" s="90"/>
      <c r="AY170" s="90"/>
      <c r="AZ170" s="90"/>
      <c r="BA170" s="90"/>
    </row>
    <row r="171" spans="1:53" ht="13.5" customHeight="1">
      <c r="A171" s="90"/>
      <c r="B171" s="90"/>
      <c r="C171" s="90"/>
      <c r="D171" s="90"/>
      <c r="E171" s="90"/>
      <c r="F171" s="90"/>
      <c r="G171" s="90"/>
      <c r="H171" s="90"/>
      <c r="I171" s="90"/>
      <c r="J171" s="90"/>
      <c r="K171" s="90"/>
      <c r="L171" s="90"/>
      <c r="M171" s="90"/>
      <c r="N171" s="90"/>
      <c r="O171" s="90"/>
      <c r="P171" s="90"/>
      <c r="Q171" s="102"/>
      <c r="R171" s="90"/>
      <c r="S171" s="90"/>
      <c r="T171" s="102"/>
      <c r="U171" s="90"/>
      <c r="V171" s="102"/>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c r="AV171" s="90"/>
      <c r="AW171" s="90"/>
      <c r="AX171" s="90"/>
      <c r="AY171" s="90"/>
      <c r="AZ171" s="90"/>
      <c r="BA171" s="90"/>
    </row>
    <row r="172" spans="1:53" ht="13.5" customHeight="1">
      <c r="A172" s="90"/>
      <c r="B172" s="90"/>
      <c r="C172" s="90"/>
      <c r="D172" s="90"/>
      <c r="E172" s="90"/>
      <c r="F172" s="90"/>
      <c r="G172" s="90"/>
      <c r="H172" s="90"/>
      <c r="I172" s="90"/>
      <c r="J172" s="90"/>
      <c r="K172" s="90"/>
      <c r="L172" s="90"/>
      <c r="M172" s="90"/>
      <c r="N172" s="90"/>
      <c r="O172" s="90"/>
      <c r="P172" s="90"/>
      <c r="Q172" s="102"/>
      <c r="R172" s="90"/>
      <c r="S172" s="90"/>
      <c r="T172" s="102"/>
      <c r="U172" s="90"/>
      <c r="V172" s="102"/>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c r="AV172" s="90"/>
      <c r="AW172" s="90"/>
      <c r="AX172" s="90"/>
      <c r="AY172" s="90"/>
      <c r="AZ172" s="90"/>
      <c r="BA172" s="90"/>
    </row>
    <row r="173" spans="1:53" ht="13.5" customHeight="1">
      <c r="A173" s="90"/>
      <c r="B173" s="90"/>
      <c r="C173" s="90"/>
      <c r="D173" s="90"/>
      <c r="E173" s="90"/>
      <c r="F173" s="90"/>
      <c r="G173" s="90"/>
      <c r="H173" s="90"/>
      <c r="I173" s="90"/>
      <c r="J173" s="90"/>
      <c r="K173" s="90"/>
      <c r="L173" s="90"/>
      <c r="M173" s="90"/>
      <c r="N173" s="90"/>
      <c r="O173" s="90"/>
      <c r="P173" s="90"/>
      <c r="Q173" s="102"/>
      <c r="R173" s="90"/>
      <c r="S173" s="90"/>
      <c r="T173" s="102"/>
      <c r="U173" s="90"/>
      <c r="V173" s="102"/>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c r="AV173" s="90"/>
      <c r="AW173" s="90"/>
      <c r="AX173" s="90"/>
      <c r="AY173" s="90"/>
      <c r="AZ173" s="90"/>
      <c r="BA173" s="90"/>
    </row>
    <row r="174" spans="1:53" ht="13.5" customHeight="1">
      <c r="A174" s="90"/>
      <c r="B174" s="90"/>
      <c r="C174" s="90"/>
      <c r="D174" s="90"/>
      <c r="E174" s="90"/>
      <c r="F174" s="90"/>
      <c r="G174" s="90"/>
      <c r="H174" s="90"/>
      <c r="I174" s="90"/>
      <c r="J174" s="90"/>
      <c r="K174" s="90"/>
      <c r="L174" s="90"/>
      <c r="M174" s="90"/>
      <c r="N174" s="90"/>
      <c r="O174" s="90"/>
      <c r="P174" s="90"/>
      <c r="Q174" s="102"/>
      <c r="R174" s="90"/>
      <c r="S174" s="90"/>
      <c r="T174" s="102"/>
      <c r="U174" s="90"/>
      <c r="V174" s="102"/>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90"/>
      <c r="BA174" s="90"/>
    </row>
    <row r="175" spans="1:53" ht="13.5" customHeight="1">
      <c r="A175" s="90"/>
      <c r="B175" s="90"/>
      <c r="C175" s="90"/>
      <c r="D175" s="90"/>
      <c r="E175" s="90"/>
      <c r="F175" s="90"/>
      <c r="G175" s="90"/>
      <c r="H175" s="90"/>
      <c r="I175" s="90"/>
      <c r="J175" s="90"/>
      <c r="K175" s="90"/>
      <c r="L175" s="90"/>
      <c r="M175" s="90"/>
      <c r="N175" s="90"/>
      <c r="O175" s="90"/>
      <c r="P175" s="90"/>
      <c r="Q175" s="102"/>
      <c r="R175" s="90"/>
      <c r="S175" s="90"/>
      <c r="T175" s="102"/>
      <c r="U175" s="90"/>
      <c r="V175" s="102"/>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c r="AW175" s="90"/>
      <c r="AX175" s="90"/>
      <c r="AY175" s="90"/>
      <c r="AZ175" s="90"/>
      <c r="BA175" s="90"/>
    </row>
    <row r="176" spans="1:53" ht="13.5" customHeight="1">
      <c r="A176" s="90"/>
      <c r="B176" s="90"/>
      <c r="C176" s="90"/>
      <c r="D176" s="90"/>
      <c r="E176" s="90"/>
      <c r="F176" s="90"/>
      <c r="G176" s="90"/>
      <c r="H176" s="90"/>
      <c r="I176" s="90"/>
      <c r="J176" s="90"/>
      <c r="K176" s="90"/>
      <c r="L176" s="90"/>
      <c r="M176" s="90"/>
      <c r="N176" s="90"/>
      <c r="O176" s="90"/>
      <c r="P176" s="90"/>
      <c r="Q176" s="102"/>
      <c r="R176" s="90"/>
      <c r="S176" s="90"/>
      <c r="T176" s="102"/>
      <c r="U176" s="90"/>
      <c r="V176" s="102"/>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c r="AW176" s="90"/>
      <c r="AX176" s="90"/>
      <c r="AY176" s="90"/>
      <c r="AZ176" s="90"/>
      <c r="BA176" s="90"/>
    </row>
    <row r="177" spans="1:53" ht="13.5" customHeight="1">
      <c r="A177" s="90"/>
      <c r="B177" s="90"/>
      <c r="C177" s="90"/>
      <c r="D177" s="90"/>
      <c r="E177" s="90"/>
      <c r="F177" s="90"/>
      <c r="G177" s="90"/>
      <c r="H177" s="90"/>
      <c r="I177" s="90"/>
      <c r="J177" s="90"/>
      <c r="K177" s="90"/>
      <c r="L177" s="90"/>
      <c r="M177" s="90"/>
      <c r="N177" s="90"/>
      <c r="O177" s="90"/>
      <c r="P177" s="90"/>
      <c r="Q177" s="102"/>
      <c r="R177" s="90"/>
      <c r="S177" s="90"/>
      <c r="T177" s="102"/>
      <c r="U177" s="90"/>
      <c r="V177" s="102"/>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c r="AW177" s="90"/>
      <c r="AX177" s="90"/>
      <c r="AY177" s="90"/>
      <c r="AZ177" s="90"/>
      <c r="BA177" s="90"/>
    </row>
    <row r="178" spans="1:53" ht="13.5" customHeight="1">
      <c r="A178" s="90"/>
      <c r="B178" s="90"/>
      <c r="C178" s="90"/>
      <c r="D178" s="90"/>
      <c r="E178" s="90"/>
      <c r="F178" s="90"/>
      <c r="G178" s="90"/>
      <c r="H178" s="90"/>
      <c r="I178" s="90"/>
      <c r="J178" s="90"/>
      <c r="K178" s="90"/>
      <c r="L178" s="90"/>
      <c r="M178" s="90"/>
      <c r="N178" s="90"/>
      <c r="O178" s="90"/>
      <c r="P178" s="90"/>
      <c r="Q178" s="102"/>
      <c r="R178" s="90"/>
      <c r="S178" s="90"/>
      <c r="T178" s="102"/>
      <c r="U178" s="90"/>
      <c r="V178" s="102"/>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c r="AV178" s="90"/>
      <c r="AW178" s="90"/>
      <c r="AX178" s="90"/>
      <c r="AY178" s="90"/>
      <c r="AZ178" s="90"/>
      <c r="BA178" s="90"/>
    </row>
    <row r="179" spans="1:53" ht="13.5" customHeight="1">
      <c r="A179" s="90"/>
      <c r="B179" s="90"/>
      <c r="C179" s="90"/>
      <c r="D179" s="90"/>
      <c r="E179" s="90"/>
      <c r="F179" s="90"/>
      <c r="G179" s="90"/>
      <c r="H179" s="90"/>
      <c r="I179" s="90"/>
      <c r="J179" s="90"/>
      <c r="K179" s="90"/>
      <c r="L179" s="90"/>
      <c r="M179" s="90"/>
      <c r="N179" s="90"/>
      <c r="O179" s="90"/>
      <c r="P179" s="90"/>
      <c r="Q179" s="102"/>
      <c r="R179" s="90"/>
      <c r="S179" s="90"/>
      <c r="T179" s="102"/>
      <c r="U179" s="90"/>
      <c r="V179" s="102"/>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c r="AV179" s="90"/>
      <c r="AW179" s="90"/>
      <c r="AX179" s="90"/>
      <c r="AY179" s="90"/>
      <c r="AZ179" s="90"/>
      <c r="BA179" s="90"/>
    </row>
    <row r="180" spans="1:53" ht="13.5" customHeight="1">
      <c r="A180" s="90"/>
      <c r="B180" s="90"/>
      <c r="C180" s="90"/>
      <c r="D180" s="90"/>
      <c r="E180" s="90"/>
      <c r="F180" s="90"/>
      <c r="G180" s="90"/>
      <c r="H180" s="90"/>
      <c r="I180" s="90"/>
      <c r="J180" s="90"/>
      <c r="K180" s="90"/>
      <c r="L180" s="90"/>
      <c r="M180" s="90"/>
      <c r="N180" s="90"/>
      <c r="O180" s="90"/>
      <c r="P180" s="90"/>
      <c r="Q180" s="102"/>
      <c r="R180" s="90"/>
      <c r="S180" s="90"/>
      <c r="T180" s="102"/>
      <c r="U180" s="90"/>
      <c r="V180" s="102"/>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AV180" s="90"/>
      <c r="AW180" s="90"/>
      <c r="AX180" s="90"/>
      <c r="AY180" s="90"/>
      <c r="AZ180" s="90"/>
      <c r="BA180" s="90"/>
    </row>
    <row r="181" spans="1:53" ht="13.5" customHeight="1">
      <c r="A181" s="90"/>
      <c r="B181" s="90"/>
      <c r="C181" s="90"/>
      <c r="D181" s="90"/>
      <c r="E181" s="90"/>
      <c r="F181" s="90"/>
      <c r="G181" s="90"/>
      <c r="H181" s="90"/>
      <c r="I181" s="90"/>
      <c r="J181" s="90"/>
      <c r="K181" s="90"/>
      <c r="L181" s="90"/>
      <c r="M181" s="90"/>
      <c r="N181" s="90"/>
      <c r="O181" s="90"/>
      <c r="P181" s="90"/>
      <c r="Q181" s="102"/>
      <c r="R181" s="90"/>
      <c r="S181" s="90"/>
      <c r="T181" s="102"/>
      <c r="U181" s="90"/>
      <c r="V181" s="102"/>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AV181" s="90"/>
      <c r="AW181" s="90"/>
      <c r="AX181" s="90"/>
      <c r="AY181" s="90"/>
      <c r="AZ181" s="90"/>
      <c r="BA181" s="90"/>
    </row>
    <row r="182" spans="1:53" ht="13.5" customHeight="1">
      <c r="A182" s="90"/>
      <c r="B182" s="90"/>
      <c r="C182" s="90"/>
      <c r="D182" s="90"/>
      <c r="E182" s="90"/>
      <c r="F182" s="90"/>
      <c r="G182" s="90"/>
      <c r="H182" s="90"/>
      <c r="I182" s="90"/>
      <c r="J182" s="90"/>
      <c r="K182" s="90"/>
      <c r="L182" s="90"/>
      <c r="M182" s="90"/>
      <c r="N182" s="90"/>
      <c r="O182" s="90"/>
      <c r="P182" s="90"/>
      <c r="Q182" s="102"/>
      <c r="R182" s="90"/>
      <c r="S182" s="90"/>
      <c r="T182" s="102"/>
      <c r="U182" s="90"/>
      <c r="V182" s="102"/>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c r="AV182" s="90"/>
      <c r="AW182" s="90"/>
      <c r="AX182" s="90"/>
      <c r="AY182" s="90"/>
      <c r="AZ182" s="90"/>
      <c r="BA182" s="90"/>
    </row>
    <row r="183" spans="1:53" ht="13.5" customHeight="1">
      <c r="A183" s="90"/>
      <c r="B183" s="90"/>
      <c r="C183" s="90"/>
      <c r="D183" s="90"/>
      <c r="E183" s="90"/>
      <c r="F183" s="90"/>
      <c r="G183" s="90"/>
      <c r="H183" s="90"/>
      <c r="I183" s="90"/>
      <c r="J183" s="90"/>
      <c r="K183" s="90"/>
      <c r="L183" s="90"/>
      <c r="M183" s="90"/>
      <c r="N183" s="90"/>
      <c r="O183" s="90"/>
      <c r="P183" s="90"/>
      <c r="Q183" s="102"/>
      <c r="R183" s="90"/>
      <c r="S183" s="90"/>
      <c r="T183" s="102"/>
      <c r="U183" s="90"/>
      <c r="V183" s="102"/>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c r="AW183" s="90"/>
      <c r="AX183" s="90"/>
      <c r="AY183" s="90"/>
      <c r="AZ183" s="90"/>
      <c r="BA183" s="90"/>
    </row>
    <row r="184" spans="1:53" ht="13.5" customHeight="1">
      <c r="A184" s="90"/>
      <c r="B184" s="90"/>
      <c r="C184" s="90"/>
      <c r="D184" s="90"/>
      <c r="E184" s="90"/>
      <c r="F184" s="90"/>
      <c r="G184" s="90"/>
      <c r="H184" s="90"/>
      <c r="I184" s="90"/>
      <c r="J184" s="90"/>
      <c r="K184" s="90"/>
      <c r="L184" s="90"/>
      <c r="M184" s="90"/>
      <c r="N184" s="90"/>
      <c r="O184" s="90"/>
      <c r="P184" s="90"/>
      <c r="Q184" s="102"/>
      <c r="R184" s="90"/>
      <c r="S184" s="90"/>
      <c r="T184" s="102"/>
      <c r="U184" s="90"/>
      <c r="V184" s="102"/>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c r="AV184" s="90"/>
      <c r="AW184" s="90"/>
      <c r="AX184" s="90"/>
      <c r="AY184" s="90"/>
      <c r="AZ184" s="90"/>
      <c r="BA184" s="90"/>
    </row>
    <row r="185" spans="1:53" ht="13.5" customHeight="1">
      <c r="A185" s="90"/>
      <c r="B185" s="90"/>
      <c r="C185" s="90"/>
      <c r="D185" s="90"/>
      <c r="E185" s="90"/>
      <c r="F185" s="90"/>
      <c r="G185" s="90"/>
      <c r="H185" s="90"/>
      <c r="I185" s="90"/>
      <c r="J185" s="90"/>
      <c r="K185" s="90"/>
      <c r="L185" s="90"/>
      <c r="M185" s="90"/>
      <c r="N185" s="90"/>
      <c r="O185" s="90"/>
      <c r="P185" s="90"/>
      <c r="Q185" s="102"/>
      <c r="R185" s="90"/>
      <c r="S185" s="90"/>
      <c r="T185" s="102"/>
      <c r="U185" s="90"/>
      <c r="V185" s="102"/>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c r="AV185" s="90"/>
      <c r="AW185" s="90"/>
      <c r="AX185" s="90"/>
      <c r="AY185" s="90"/>
      <c r="AZ185" s="90"/>
      <c r="BA185" s="90"/>
    </row>
    <row r="186" spans="1:53" ht="13.5" customHeight="1">
      <c r="A186" s="90"/>
      <c r="B186" s="90"/>
      <c r="C186" s="90"/>
      <c r="D186" s="90"/>
      <c r="E186" s="90"/>
      <c r="F186" s="90"/>
      <c r="G186" s="90"/>
      <c r="H186" s="90"/>
      <c r="I186" s="90"/>
      <c r="J186" s="90"/>
      <c r="K186" s="90"/>
      <c r="L186" s="90"/>
      <c r="M186" s="90"/>
      <c r="N186" s="90"/>
      <c r="O186" s="90"/>
      <c r="P186" s="90"/>
      <c r="Q186" s="102"/>
      <c r="R186" s="90"/>
      <c r="S186" s="90"/>
      <c r="T186" s="102"/>
      <c r="U186" s="90"/>
      <c r="V186" s="102"/>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c r="AV186" s="90"/>
      <c r="AW186" s="90"/>
      <c r="AX186" s="90"/>
      <c r="AY186" s="90"/>
      <c r="AZ186" s="90"/>
      <c r="BA186" s="90"/>
    </row>
    <row r="187" spans="1:53" ht="13.5" customHeight="1">
      <c r="A187" s="90"/>
      <c r="B187" s="90"/>
      <c r="C187" s="90"/>
      <c r="D187" s="90"/>
      <c r="E187" s="90"/>
      <c r="F187" s="90"/>
      <c r="G187" s="90"/>
      <c r="H187" s="90"/>
      <c r="I187" s="90"/>
      <c r="J187" s="90"/>
      <c r="K187" s="90"/>
      <c r="L187" s="90"/>
      <c r="M187" s="90"/>
      <c r="N187" s="90"/>
      <c r="O187" s="90"/>
      <c r="P187" s="90"/>
      <c r="Q187" s="102"/>
      <c r="R187" s="90"/>
      <c r="S187" s="90"/>
      <c r="T187" s="102"/>
      <c r="U187" s="90"/>
      <c r="V187" s="102"/>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c r="AV187" s="90"/>
      <c r="AW187" s="90"/>
      <c r="AX187" s="90"/>
      <c r="AY187" s="90"/>
      <c r="AZ187" s="90"/>
      <c r="BA187" s="90"/>
    </row>
    <row r="188" spans="1:53" ht="13.5" customHeight="1">
      <c r="A188" s="90"/>
      <c r="B188" s="90"/>
      <c r="C188" s="90"/>
      <c r="D188" s="90"/>
      <c r="E188" s="90"/>
      <c r="F188" s="90"/>
      <c r="G188" s="90"/>
      <c r="H188" s="90"/>
      <c r="I188" s="90"/>
      <c r="J188" s="90"/>
      <c r="K188" s="90"/>
      <c r="L188" s="90"/>
      <c r="M188" s="90"/>
      <c r="N188" s="90"/>
      <c r="O188" s="90"/>
      <c r="P188" s="90"/>
      <c r="Q188" s="102"/>
      <c r="R188" s="90"/>
      <c r="S188" s="90"/>
      <c r="T188" s="102"/>
      <c r="U188" s="90"/>
      <c r="V188" s="102"/>
      <c r="W188" s="90"/>
      <c r="X188" s="90"/>
      <c r="Y188" s="90"/>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c r="AV188" s="90"/>
      <c r="AW188" s="90"/>
      <c r="AX188" s="90"/>
      <c r="AY188" s="90"/>
      <c r="AZ188" s="90"/>
      <c r="BA188" s="90"/>
    </row>
    <row r="189" spans="1:53" ht="13.5" customHeight="1">
      <c r="A189" s="90"/>
      <c r="B189" s="90"/>
      <c r="C189" s="90"/>
      <c r="D189" s="90"/>
      <c r="E189" s="90"/>
      <c r="F189" s="90"/>
      <c r="G189" s="90"/>
      <c r="H189" s="90"/>
      <c r="I189" s="90"/>
      <c r="J189" s="90"/>
      <c r="K189" s="90"/>
      <c r="L189" s="90"/>
      <c r="M189" s="90"/>
      <c r="N189" s="90"/>
      <c r="O189" s="90"/>
      <c r="P189" s="90"/>
      <c r="Q189" s="102"/>
      <c r="R189" s="90"/>
      <c r="S189" s="90"/>
      <c r="T189" s="102"/>
      <c r="U189" s="90"/>
      <c r="V189" s="102"/>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c r="AV189" s="90"/>
      <c r="AW189" s="90"/>
      <c r="AX189" s="90"/>
      <c r="AY189" s="90"/>
      <c r="AZ189" s="90"/>
      <c r="BA189" s="90"/>
    </row>
    <row r="190" spans="1:53" ht="13.5" customHeight="1">
      <c r="A190" s="90"/>
      <c r="B190" s="90"/>
      <c r="C190" s="90"/>
      <c r="D190" s="90"/>
      <c r="E190" s="90"/>
      <c r="F190" s="90"/>
      <c r="G190" s="90"/>
      <c r="H190" s="90"/>
      <c r="I190" s="90"/>
      <c r="J190" s="90"/>
      <c r="K190" s="90"/>
      <c r="L190" s="90"/>
      <c r="M190" s="90"/>
      <c r="N190" s="90"/>
      <c r="O190" s="90"/>
      <c r="P190" s="90"/>
      <c r="Q190" s="102"/>
      <c r="R190" s="90"/>
      <c r="S190" s="90"/>
      <c r="T190" s="102"/>
      <c r="U190" s="90"/>
      <c r="V190" s="102"/>
      <c r="W190" s="90"/>
      <c r="X190" s="90"/>
      <c r="Y190" s="90"/>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c r="AV190" s="90"/>
      <c r="AW190" s="90"/>
      <c r="AX190" s="90"/>
      <c r="AY190" s="90"/>
      <c r="AZ190" s="90"/>
      <c r="BA190" s="90"/>
    </row>
    <row r="191" spans="1:53" ht="13.5" customHeight="1">
      <c r="A191" s="90"/>
      <c r="B191" s="90"/>
      <c r="C191" s="90"/>
      <c r="D191" s="90"/>
      <c r="E191" s="90"/>
      <c r="F191" s="90"/>
      <c r="G191" s="90"/>
      <c r="H191" s="90"/>
      <c r="I191" s="90"/>
      <c r="J191" s="90"/>
      <c r="K191" s="90"/>
      <c r="L191" s="90"/>
      <c r="M191" s="90"/>
      <c r="N191" s="90"/>
      <c r="O191" s="90"/>
      <c r="P191" s="90"/>
      <c r="Q191" s="102"/>
      <c r="R191" s="90"/>
      <c r="S191" s="90"/>
      <c r="T191" s="102"/>
      <c r="U191" s="90"/>
      <c r="V191" s="102"/>
      <c r="W191" s="90"/>
      <c r="X191" s="90"/>
      <c r="Y191" s="90"/>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c r="AV191" s="90"/>
      <c r="AW191" s="90"/>
      <c r="AX191" s="90"/>
      <c r="AY191" s="90"/>
      <c r="AZ191" s="90"/>
      <c r="BA191" s="90"/>
    </row>
    <row r="192" spans="1:53" ht="13.5" customHeight="1">
      <c r="A192" s="90"/>
      <c r="B192" s="90"/>
      <c r="C192" s="90"/>
      <c r="D192" s="90"/>
      <c r="E192" s="90"/>
      <c r="F192" s="90"/>
      <c r="G192" s="90"/>
      <c r="H192" s="90"/>
      <c r="I192" s="90"/>
      <c r="J192" s="90"/>
      <c r="K192" s="90"/>
      <c r="L192" s="90"/>
      <c r="M192" s="90"/>
      <c r="N192" s="90"/>
      <c r="O192" s="90"/>
      <c r="P192" s="90"/>
      <c r="Q192" s="102"/>
      <c r="R192" s="90"/>
      <c r="S192" s="90"/>
      <c r="T192" s="102"/>
      <c r="U192" s="90"/>
      <c r="V192" s="102"/>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c r="AV192" s="90"/>
      <c r="AW192" s="90"/>
      <c r="AX192" s="90"/>
      <c r="AY192" s="90"/>
      <c r="AZ192" s="90"/>
      <c r="BA192" s="90"/>
    </row>
    <row r="193" spans="1:53" ht="13.5" customHeight="1">
      <c r="A193" s="90"/>
      <c r="B193" s="90"/>
      <c r="C193" s="90"/>
      <c r="D193" s="90"/>
      <c r="E193" s="90"/>
      <c r="F193" s="90"/>
      <c r="G193" s="90"/>
      <c r="H193" s="90"/>
      <c r="I193" s="90"/>
      <c r="J193" s="90"/>
      <c r="K193" s="90"/>
      <c r="L193" s="90"/>
      <c r="M193" s="90"/>
      <c r="N193" s="90"/>
      <c r="O193" s="90"/>
      <c r="P193" s="90"/>
      <c r="Q193" s="102"/>
      <c r="R193" s="90"/>
      <c r="S193" s="90"/>
      <c r="T193" s="102"/>
      <c r="U193" s="90"/>
      <c r="V193" s="102"/>
      <c r="W193" s="90"/>
      <c r="X193" s="90"/>
      <c r="Y193" s="90"/>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c r="AV193" s="90"/>
      <c r="AW193" s="90"/>
      <c r="AX193" s="90"/>
      <c r="AY193" s="90"/>
      <c r="AZ193" s="90"/>
      <c r="BA193" s="90"/>
    </row>
    <row r="194" spans="1:53" ht="13.5" customHeight="1">
      <c r="A194" s="90"/>
      <c r="B194" s="90"/>
      <c r="C194" s="90"/>
      <c r="D194" s="90"/>
      <c r="E194" s="90"/>
      <c r="F194" s="90"/>
      <c r="G194" s="90"/>
      <c r="H194" s="90"/>
      <c r="I194" s="90"/>
      <c r="J194" s="90"/>
      <c r="K194" s="90"/>
      <c r="L194" s="90"/>
      <c r="M194" s="90"/>
      <c r="N194" s="90"/>
      <c r="O194" s="90"/>
      <c r="P194" s="90"/>
      <c r="Q194" s="102"/>
      <c r="R194" s="90"/>
      <c r="S194" s="90"/>
      <c r="T194" s="102"/>
      <c r="U194" s="90"/>
      <c r="V194" s="102"/>
      <c r="W194" s="90"/>
      <c r="X194" s="90"/>
      <c r="Y194" s="90"/>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c r="AV194" s="90"/>
      <c r="AW194" s="90"/>
      <c r="AX194" s="90"/>
      <c r="AY194" s="90"/>
      <c r="AZ194" s="90"/>
      <c r="BA194" s="90"/>
    </row>
    <row r="195" spans="1:53" ht="13.5" customHeight="1">
      <c r="A195" s="90"/>
      <c r="B195" s="90"/>
      <c r="C195" s="90"/>
      <c r="D195" s="90"/>
      <c r="E195" s="90"/>
      <c r="F195" s="90"/>
      <c r="G195" s="90"/>
      <c r="H195" s="90"/>
      <c r="I195" s="90"/>
      <c r="J195" s="90"/>
      <c r="K195" s="90"/>
      <c r="L195" s="90"/>
      <c r="M195" s="90"/>
      <c r="N195" s="90"/>
      <c r="O195" s="90"/>
      <c r="P195" s="90"/>
      <c r="Q195" s="102"/>
      <c r="R195" s="90"/>
      <c r="S195" s="90"/>
      <c r="T195" s="102"/>
      <c r="U195" s="90"/>
      <c r="V195" s="102"/>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c r="AV195" s="90"/>
      <c r="AW195" s="90"/>
      <c r="AX195" s="90"/>
      <c r="AY195" s="90"/>
      <c r="AZ195" s="90"/>
      <c r="BA195" s="90"/>
    </row>
    <row r="196" spans="1:53" ht="13.5" customHeight="1">
      <c r="A196" s="90"/>
      <c r="B196" s="90"/>
      <c r="C196" s="90"/>
      <c r="D196" s="90"/>
      <c r="E196" s="90"/>
      <c r="F196" s="90"/>
      <c r="G196" s="90"/>
      <c r="H196" s="90"/>
      <c r="I196" s="90"/>
      <c r="J196" s="90"/>
      <c r="K196" s="90"/>
      <c r="L196" s="90"/>
      <c r="M196" s="90"/>
      <c r="N196" s="90"/>
      <c r="O196" s="90"/>
      <c r="P196" s="90"/>
      <c r="Q196" s="102"/>
      <c r="R196" s="90"/>
      <c r="S196" s="90"/>
      <c r="T196" s="102"/>
      <c r="U196" s="90"/>
      <c r="V196" s="102"/>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c r="AV196" s="90"/>
      <c r="AW196" s="90"/>
      <c r="AX196" s="90"/>
      <c r="AY196" s="90"/>
      <c r="AZ196" s="90"/>
      <c r="BA196" s="90"/>
    </row>
    <row r="197" spans="1:53" ht="13.5" customHeight="1">
      <c r="A197" s="90"/>
      <c r="B197" s="90"/>
      <c r="C197" s="90"/>
      <c r="D197" s="90"/>
      <c r="E197" s="90"/>
      <c r="F197" s="90"/>
      <c r="G197" s="90"/>
      <c r="H197" s="90"/>
      <c r="I197" s="90"/>
      <c r="J197" s="90"/>
      <c r="K197" s="90"/>
      <c r="L197" s="90"/>
      <c r="M197" s="90"/>
      <c r="N197" s="90"/>
      <c r="O197" s="90"/>
      <c r="P197" s="90"/>
      <c r="Q197" s="102"/>
      <c r="R197" s="90"/>
      <c r="S197" s="90"/>
      <c r="T197" s="102"/>
      <c r="U197" s="90"/>
      <c r="V197" s="102"/>
      <c r="W197" s="90"/>
      <c r="X197" s="90"/>
      <c r="Y197" s="90"/>
      <c r="Z197" s="90"/>
      <c r="AA197" s="90"/>
      <c r="AB197" s="90"/>
      <c r="AC197" s="90"/>
      <c r="AD197" s="90"/>
      <c r="AE197" s="90"/>
      <c r="AF197" s="90"/>
      <c r="AG197" s="90"/>
      <c r="AH197" s="90"/>
      <c r="AI197" s="90"/>
      <c r="AJ197" s="90"/>
      <c r="AK197" s="90"/>
      <c r="AL197" s="90"/>
      <c r="AM197" s="90"/>
      <c r="AN197" s="90"/>
      <c r="AO197" s="90"/>
      <c r="AP197" s="90"/>
      <c r="AQ197" s="90"/>
      <c r="AR197" s="90"/>
      <c r="AS197" s="90"/>
      <c r="AT197" s="90"/>
      <c r="AU197" s="90"/>
      <c r="AV197" s="90"/>
      <c r="AW197" s="90"/>
      <c r="AX197" s="90"/>
      <c r="AY197" s="90"/>
      <c r="AZ197" s="90"/>
      <c r="BA197" s="90"/>
    </row>
    <row r="198" spans="1:53" ht="13.5" customHeight="1">
      <c r="A198" s="90"/>
      <c r="B198" s="90"/>
      <c r="C198" s="90"/>
      <c r="D198" s="90"/>
      <c r="E198" s="90"/>
      <c r="F198" s="90"/>
      <c r="G198" s="90"/>
      <c r="H198" s="90"/>
      <c r="I198" s="90"/>
      <c r="J198" s="90"/>
      <c r="K198" s="90"/>
      <c r="L198" s="90"/>
      <c r="M198" s="90"/>
      <c r="N198" s="90"/>
      <c r="O198" s="90"/>
      <c r="P198" s="90"/>
      <c r="Q198" s="102"/>
      <c r="R198" s="90"/>
      <c r="S198" s="90"/>
      <c r="T198" s="102"/>
      <c r="U198" s="90"/>
      <c r="V198" s="102"/>
      <c r="W198" s="90"/>
      <c r="X198" s="90"/>
      <c r="Y198" s="90"/>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c r="AV198" s="90"/>
      <c r="AW198" s="90"/>
      <c r="AX198" s="90"/>
      <c r="AY198" s="90"/>
      <c r="AZ198" s="90"/>
      <c r="BA198" s="90"/>
    </row>
    <row r="199" spans="1:53" ht="13.5" customHeight="1">
      <c r="A199" s="90"/>
      <c r="B199" s="90"/>
      <c r="C199" s="90"/>
      <c r="D199" s="90"/>
      <c r="E199" s="90"/>
      <c r="F199" s="90"/>
      <c r="G199" s="90"/>
      <c r="H199" s="90"/>
      <c r="I199" s="90"/>
      <c r="J199" s="90"/>
      <c r="K199" s="90"/>
      <c r="L199" s="90"/>
      <c r="M199" s="90"/>
      <c r="N199" s="90"/>
      <c r="O199" s="90"/>
      <c r="P199" s="90"/>
      <c r="Q199" s="102"/>
      <c r="R199" s="90"/>
      <c r="S199" s="90"/>
      <c r="T199" s="102"/>
      <c r="U199" s="90"/>
      <c r="V199" s="102"/>
      <c r="W199" s="90"/>
      <c r="X199" s="90"/>
      <c r="Y199" s="90"/>
      <c r="Z199" s="90"/>
      <c r="AA199" s="90"/>
      <c r="AB199" s="90"/>
      <c r="AC199" s="90"/>
      <c r="AD199" s="90"/>
      <c r="AE199" s="90"/>
      <c r="AF199" s="90"/>
      <c r="AG199" s="90"/>
      <c r="AH199" s="90"/>
      <c r="AI199" s="90"/>
      <c r="AJ199" s="90"/>
      <c r="AK199" s="90"/>
      <c r="AL199" s="90"/>
      <c r="AM199" s="90"/>
      <c r="AN199" s="90"/>
      <c r="AO199" s="90"/>
      <c r="AP199" s="90"/>
      <c r="AQ199" s="90"/>
      <c r="AR199" s="90"/>
      <c r="AS199" s="90"/>
      <c r="AT199" s="90"/>
      <c r="AU199" s="90"/>
      <c r="AV199" s="90"/>
      <c r="AW199" s="90"/>
      <c r="AX199" s="90"/>
      <c r="AY199" s="90"/>
      <c r="AZ199" s="90"/>
      <c r="BA199" s="90"/>
    </row>
    <row r="200" spans="1:53" ht="13.5" customHeight="1">
      <c r="A200" s="90"/>
      <c r="B200" s="90"/>
      <c r="C200" s="90"/>
      <c r="D200" s="90"/>
      <c r="E200" s="90"/>
      <c r="F200" s="90"/>
      <c r="G200" s="90"/>
      <c r="H200" s="90"/>
      <c r="I200" s="90"/>
      <c r="J200" s="90"/>
      <c r="K200" s="90"/>
      <c r="L200" s="90"/>
      <c r="M200" s="90"/>
      <c r="N200" s="90"/>
      <c r="O200" s="90"/>
      <c r="P200" s="90"/>
      <c r="Q200" s="102"/>
      <c r="R200" s="90"/>
      <c r="S200" s="90"/>
      <c r="T200" s="102"/>
      <c r="U200" s="90"/>
      <c r="V200" s="102"/>
      <c r="W200" s="90"/>
      <c r="X200" s="90"/>
      <c r="Y200" s="90"/>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c r="AV200" s="90"/>
      <c r="AW200" s="90"/>
      <c r="AX200" s="90"/>
      <c r="AY200" s="90"/>
      <c r="AZ200" s="90"/>
      <c r="BA200" s="90"/>
    </row>
    <row r="201" spans="1:53" ht="13.5" customHeight="1">
      <c r="A201" s="90"/>
      <c r="B201" s="90"/>
      <c r="C201" s="90"/>
      <c r="D201" s="90"/>
      <c r="E201" s="90"/>
      <c r="F201" s="90"/>
      <c r="G201" s="90"/>
      <c r="H201" s="90"/>
      <c r="I201" s="90"/>
      <c r="J201" s="90"/>
      <c r="K201" s="90"/>
      <c r="L201" s="90"/>
      <c r="M201" s="90"/>
      <c r="N201" s="90"/>
      <c r="O201" s="90"/>
      <c r="P201" s="90"/>
      <c r="Q201" s="102"/>
      <c r="R201" s="90"/>
      <c r="S201" s="90"/>
      <c r="T201" s="102"/>
      <c r="U201" s="90"/>
      <c r="V201" s="102"/>
      <c r="W201" s="90"/>
      <c r="X201" s="90"/>
      <c r="Y201" s="90"/>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c r="AV201" s="90"/>
      <c r="AW201" s="90"/>
      <c r="AX201" s="90"/>
      <c r="AY201" s="90"/>
      <c r="AZ201" s="90"/>
      <c r="BA201" s="90"/>
    </row>
    <row r="202" spans="1:53" ht="13.5" customHeight="1">
      <c r="A202" s="90"/>
      <c r="B202" s="90"/>
      <c r="C202" s="90"/>
      <c r="D202" s="90"/>
      <c r="E202" s="90"/>
      <c r="F202" s="90"/>
      <c r="G202" s="90"/>
      <c r="H202" s="90"/>
      <c r="I202" s="90"/>
      <c r="J202" s="90"/>
      <c r="K202" s="90"/>
      <c r="L202" s="90"/>
      <c r="M202" s="90"/>
      <c r="N202" s="90"/>
      <c r="O202" s="90"/>
      <c r="P202" s="90"/>
      <c r="Q202" s="102"/>
      <c r="R202" s="90"/>
      <c r="S202" s="90"/>
      <c r="T202" s="102"/>
      <c r="U202" s="90"/>
      <c r="V202" s="102"/>
      <c r="W202" s="90"/>
      <c r="X202" s="90"/>
      <c r="Y202" s="90"/>
      <c r="Z202" s="90"/>
      <c r="AA202" s="90"/>
      <c r="AB202" s="90"/>
      <c r="AC202" s="90"/>
      <c r="AD202" s="90"/>
      <c r="AE202" s="90"/>
      <c r="AF202" s="90"/>
      <c r="AG202" s="90"/>
      <c r="AH202" s="90"/>
      <c r="AI202" s="90"/>
      <c r="AJ202" s="90"/>
      <c r="AK202" s="90"/>
      <c r="AL202" s="90"/>
      <c r="AM202" s="90"/>
      <c r="AN202" s="90"/>
      <c r="AO202" s="90"/>
      <c r="AP202" s="90"/>
      <c r="AQ202" s="90"/>
      <c r="AR202" s="90"/>
      <c r="AS202" s="90"/>
      <c r="AT202" s="90"/>
      <c r="AU202" s="90"/>
      <c r="AV202" s="90"/>
      <c r="AW202" s="90"/>
      <c r="AX202" s="90"/>
      <c r="AY202" s="90"/>
      <c r="AZ202" s="90"/>
      <c r="BA202" s="90"/>
    </row>
    <row r="203" spans="1:53" ht="13.5" customHeight="1">
      <c r="A203" s="90"/>
      <c r="B203" s="90"/>
      <c r="C203" s="90"/>
      <c r="D203" s="90"/>
      <c r="E203" s="90"/>
      <c r="F203" s="90"/>
      <c r="G203" s="90"/>
      <c r="H203" s="90"/>
      <c r="I203" s="90"/>
      <c r="J203" s="90"/>
      <c r="K203" s="90"/>
      <c r="L203" s="90"/>
      <c r="M203" s="90"/>
      <c r="N203" s="90"/>
      <c r="O203" s="90"/>
      <c r="P203" s="90"/>
      <c r="Q203" s="102"/>
      <c r="R203" s="90"/>
      <c r="S203" s="90"/>
      <c r="T203" s="102"/>
      <c r="U203" s="90"/>
      <c r="V203" s="102"/>
      <c r="W203" s="90"/>
      <c r="X203" s="90"/>
      <c r="Y203" s="90"/>
      <c r="Z203" s="90"/>
      <c r="AA203" s="90"/>
      <c r="AB203" s="90"/>
      <c r="AC203" s="90"/>
      <c r="AD203" s="90"/>
      <c r="AE203" s="90"/>
      <c r="AF203" s="90"/>
      <c r="AG203" s="90"/>
      <c r="AH203" s="90"/>
      <c r="AI203" s="90"/>
      <c r="AJ203" s="90"/>
      <c r="AK203" s="90"/>
      <c r="AL203" s="90"/>
      <c r="AM203" s="90"/>
      <c r="AN203" s="90"/>
      <c r="AO203" s="90"/>
      <c r="AP203" s="90"/>
      <c r="AQ203" s="90"/>
      <c r="AR203" s="90"/>
      <c r="AS203" s="90"/>
      <c r="AT203" s="90"/>
      <c r="AU203" s="90"/>
      <c r="AV203" s="90"/>
      <c r="AW203" s="90"/>
      <c r="AX203" s="90"/>
      <c r="AY203" s="90"/>
      <c r="AZ203" s="90"/>
      <c r="BA203" s="90"/>
    </row>
    <row r="204" spans="1:53" ht="13.5" customHeight="1">
      <c r="A204" s="90"/>
      <c r="B204" s="90"/>
      <c r="C204" s="90"/>
      <c r="D204" s="90"/>
      <c r="E204" s="90"/>
      <c r="F204" s="90"/>
      <c r="G204" s="90"/>
      <c r="H204" s="90"/>
      <c r="I204" s="90"/>
      <c r="J204" s="90"/>
      <c r="K204" s="90"/>
      <c r="L204" s="90"/>
      <c r="M204" s="90"/>
      <c r="N204" s="90"/>
      <c r="O204" s="90"/>
      <c r="P204" s="90"/>
      <c r="Q204" s="102"/>
      <c r="R204" s="90"/>
      <c r="S204" s="90"/>
      <c r="T204" s="102"/>
      <c r="U204" s="90"/>
      <c r="V204" s="102"/>
      <c r="W204" s="90"/>
      <c r="X204" s="90"/>
      <c r="Y204" s="90"/>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c r="AV204" s="90"/>
      <c r="AW204" s="90"/>
      <c r="AX204" s="90"/>
      <c r="AY204" s="90"/>
      <c r="AZ204" s="90"/>
      <c r="BA204" s="90"/>
    </row>
    <row r="205" spans="1:53" ht="13.5" customHeight="1">
      <c r="A205" s="90"/>
      <c r="B205" s="90"/>
      <c r="C205" s="90"/>
      <c r="D205" s="90"/>
      <c r="E205" s="90"/>
      <c r="F205" s="90"/>
      <c r="G205" s="90"/>
      <c r="H205" s="90"/>
      <c r="I205" s="90"/>
      <c r="J205" s="90"/>
      <c r="K205" s="90"/>
      <c r="L205" s="90"/>
      <c r="M205" s="90"/>
      <c r="N205" s="90"/>
      <c r="O205" s="90"/>
      <c r="P205" s="90"/>
      <c r="Q205" s="102"/>
      <c r="R205" s="90"/>
      <c r="S205" s="90"/>
      <c r="T205" s="102"/>
      <c r="U205" s="90"/>
      <c r="V205" s="102"/>
      <c r="W205" s="90"/>
      <c r="X205" s="90"/>
      <c r="Y205" s="90"/>
      <c r="Z205" s="90"/>
      <c r="AA205" s="90"/>
      <c r="AB205" s="90"/>
      <c r="AC205" s="90"/>
      <c r="AD205" s="90"/>
      <c r="AE205" s="90"/>
      <c r="AF205" s="90"/>
      <c r="AG205" s="90"/>
      <c r="AH205" s="90"/>
      <c r="AI205" s="90"/>
      <c r="AJ205" s="90"/>
      <c r="AK205" s="90"/>
      <c r="AL205" s="90"/>
      <c r="AM205" s="90"/>
      <c r="AN205" s="90"/>
      <c r="AO205" s="90"/>
      <c r="AP205" s="90"/>
      <c r="AQ205" s="90"/>
      <c r="AR205" s="90"/>
      <c r="AS205" s="90"/>
      <c r="AT205" s="90"/>
      <c r="AU205" s="90"/>
      <c r="AV205" s="90"/>
      <c r="AW205" s="90"/>
      <c r="AX205" s="90"/>
      <c r="AY205" s="90"/>
      <c r="AZ205" s="90"/>
      <c r="BA205" s="90"/>
    </row>
    <row r="206" spans="1:53" ht="13.5" customHeight="1">
      <c r="A206" s="90"/>
      <c r="B206" s="90"/>
      <c r="C206" s="90"/>
      <c r="D206" s="90"/>
      <c r="E206" s="90"/>
      <c r="F206" s="90"/>
      <c r="G206" s="90"/>
      <c r="H206" s="90"/>
      <c r="I206" s="90"/>
      <c r="J206" s="90"/>
      <c r="K206" s="90"/>
      <c r="L206" s="90"/>
      <c r="M206" s="90"/>
      <c r="N206" s="90"/>
      <c r="O206" s="90"/>
      <c r="P206" s="90"/>
      <c r="Q206" s="102"/>
      <c r="R206" s="90"/>
      <c r="S206" s="90"/>
      <c r="T206" s="102"/>
      <c r="U206" s="90"/>
      <c r="V206" s="102"/>
      <c r="W206" s="90"/>
      <c r="X206" s="90"/>
      <c r="Y206" s="90"/>
      <c r="Z206" s="90"/>
      <c r="AA206" s="90"/>
      <c r="AB206" s="90"/>
      <c r="AC206" s="90"/>
      <c r="AD206" s="90"/>
      <c r="AE206" s="90"/>
      <c r="AF206" s="90"/>
      <c r="AG206" s="90"/>
      <c r="AH206" s="90"/>
      <c r="AI206" s="90"/>
      <c r="AJ206" s="90"/>
      <c r="AK206" s="90"/>
      <c r="AL206" s="90"/>
      <c r="AM206" s="90"/>
      <c r="AN206" s="90"/>
      <c r="AO206" s="90"/>
      <c r="AP206" s="90"/>
      <c r="AQ206" s="90"/>
      <c r="AR206" s="90"/>
      <c r="AS206" s="90"/>
      <c r="AT206" s="90"/>
      <c r="AU206" s="90"/>
      <c r="AV206" s="90"/>
      <c r="AW206" s="90"/>
      <c r="AX206" s="90"/>
      <c r="AY206" s="90"/>
      <c r="AZ206" s="90"/>
      <c r="BA206" s="90"/>
    </row>
    <row r="207" spans="1:53" ht="13.5" customHeight="1">
      <c r="A207" s="90"/>
      <c r="B207" s="90"/>
      <c r="C207" s="90"/>
      <c r="D207" s="90"/>
      <c r="E207" s="90"/>
      <c r="F207" s="90"/>
      <c r="G207" s="90"/>
      <c r="H207" s="90"/>
      <c r="I207" s="90"/>
      <c r="J207" s="90"/>
      <c r="K207" s="90"/>
      <c r="L207" s="90"/>
      <c r="M207" s="90"/>
      <c r="N207" s="90"/>
      <c r="O207" s="90"/>
      <c r="P207" s="90"/>
      <c r="Q207" s="102"/>
      <c r="R207" s="90"/>
      <c r="S207" s="90"/>
      <c r="T207" s="102"/>
      <c r="U207" s="90"/>
      <c r="V207" s="102"/>
      <c r="W207" s="90"/>
      <c r="X207" s="90"/>
      <c r="Y207" s="90"/>
      <c r="Z207" s="90"/>
      <c r="AA207" s="90"/>
      <c r="AB207" s="90"/>
      <c r="AC207" s="90"/>
      <c r="AD207" s="90"/>
      <c r="AE207" s="90"/>
      <c r="AF207" s="90"/>
      <c r="AG207" s="90"/>
      <c r="AH207" s="90"/>
      <c r="AI207" s="90"/>
      <c r="AJ207" s="90"/>
      <c r="AK207" s="90"/>
      <c r="AL207" s="90"/>
      <c r="AM207" s="90"/>
      <c r="AN207" s="90"/>
      <c r="AO207" s="90"/>
      <c r="AP207" s="90"/>
      <c r="AQ207" s="90"/>
      <c r="AR207" s="90"/>
      <c r="AS207" s="90"/>
      <c r="AT207" s="90"/>
      <c r="AU207" s="90"/>
      <c r="AV207" s="90"/>
      <c r="AW207" s="90"/>
      <c r="AX207" s="90"/>
      <c r="AY207" s="90"/>
      <c r="AZ207" s="90"/>
      <c r="BA207" s="90"/>
    </row>
    <row r="208" spans="1:53" ht="13.5" customHeight="1">
      <c r="A208" s="90"/>
      <c r="B208" s="90"/>
      <c r="C208" s="90"/>
      <c r="D208" s="90"/>
      <c r="E208" s="90"/>
      <c r="F208" s="90"/>
      <c r="G208" s="90"/>
      <c r="H208" s="90"/>
      <c r="I208" s="90"/>
      <c r="J208" s="90"/>
      <c r="K208" s="90"/>
      <c r="L208" s="90"/>
      <c r="M208" s="90"/>
      <c r="N208" s="90"/>
      <c r="O208" s="90"/>
      <c r="P208" s="90"/>
      <c r="Q208" s="102"/>
      <c r="R208" s="90"/>
      <c r="S208" s="90"/>
      <c r="T208" s="102"/>
      <c r="U208" s="90"/>
      <c r="V208" s="102"/>
      <c r="W208" s="90"/>
      <c r="X208" s="90"/>
      <c r="Y208" s="90"/>
      <c r="Z208" s="90"/>
      <c r="AA208" s="90"/>
      <c r="AB208" s="90"/>
      <c r="AC208" s="90"/>
      <c r="AD208" s="90"/>
      <c r="AE208" s="90"/>
      <c r="AF208" s="90"/>
      <c r="AG208" s="90"/>
      <c r="AH208" s="90"/>
      <c r="AI208" s="90"/>
      <c r="AJ208" s="90"/>
      <c r="AK208" s="90"/>
      <c r="AL208" s="90"/>
      <c r="AM208" s="90"/>
      <c r="AN208" s="90"/>
      <c r="AO208" s="90"/>
      <c r="AP208" s="90"/>
      <c r="AQ208" s="90"/>
      <c r="AR208" s="90"/>
      <c r="AS208" s="90"/>
      <c r="AT208" s="90"/>
      <c r="AU208" s="90"/>
      <c r="AV208" s="90"/>
      <c r="AW208" s="90"/>
      <c r="AX208" s="90"/>
      <c r="AY208" s="90"/>
      <c r="AZ208" s="90"/>
      <c r="BA208" s="90"/>
    </row>
    <row r="209" spans="1:53" ht="13.5" customHeight="1">
      <c r="A209" s="90"/>
      <c r="B209" s="90"/>
      <c r="C209" s="90"/>
      <c r="D209" s="90"/>
      <c r="E209" s="90"/>
      <c r="F209" s="90"/>
      <c r="G209" s="90"/>
      <c r="H209" s="90"/>
      <c r="I209" s="90"/>
      <c r="J209" s="90"/>
      <c r="K209" s="90"/>
      <c r="L209" s="90"/>
      <c r="M209" s="90"/>
      <c r="N209" s="90"/>
      <c r="O209" s="90"/>
      <c r="P209" s="90"/>
      <c r="Q209" s="102"/>
      <c r="R209" s="90"/>
      <c r="S209" s="90"/>
      <c r="T209" s="102"/>
      <c r="U209" s="90"/>
      <c r="V209" s="102"/>
      <c r="W209" s="90"/>
      <c r="X209" s="90"/>
      <c r="Y209" s="90"/>
      <c r="Z209" s="90"/>
      <c r="AA209" s="90"/>
      <c r="AB209" s="90"/>
      <c r="AC209" s="90"/>
      <c r="AD209" s="90"/>
      <c r="AE209" s="90"/>
      <c r="AF209" s="90"/>
      <c r="AG209" s="90"/>
      <c r="AH209" s="90"/>
      <c r="AI209" s="90"/>
      <c r="AJ209" s="90"/>
      <c r="AK209" s="90"/>
      <c r="AL209" s="90"/>
      <c r="AM209" s="90"/>
      <c r="AN209" s="90"/>
      <c r="AO209" s="90"/>
      <c r="AP209" s="90"/>
      <c r="AQ209" s="90"/>
      <c r="AR209" s="90"/>
      <c r="AS209" s="90"/>
      <c r="AT209" s="90"/>
      <c r="AU209" s="90"/>
      <c r="AV209" s="90"/>
      <c r="AW209" s="90"/>
      <c r="AX209" s="90"/>
      <c r="AY209" s="90"/>
      <c r="AZ209" s="90"/>
      <c r="BA209" s="90"/>
    </row>
    <row r="210" spans="1:53" ht="13.5" customHeight="1">
      <c r="A210" s="90"/>
      <c r="B210" s="90"/>
      <c r="C210" s="90"/>
      <c r="D210" s="90"/>
      <c r="E210" s="90"/>
      <c r="F210" s="90"/>
      <c r="G210" s="90"/>
      <c r="H210" s="90"/>
      <c r="I210" s="90"/>
      <c r="J210" s="90"/>
      <c r="K210" s="90"/>
      <c r="L210" s="90"/>
      <c r="M210" s="90"/>
      <c r="N210" s="90"/>
      <c r="O210" s="90"/>
      <c r="P210" s="90"/>
      <c r="Q210" s="102"/>
      <c r="R210" s="90"/>
      <c r="S210" s="90"/>
      <c r="T210" s="102"/>
      <c r="U210" s="90"/>
      <c r="V210" s="102"/>
      <c r="W210" s="90"/>
      <c r="X210" s="90"/>
      <c r="Y210" s="90"/>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c r="AV210" s="90"/>
      <c r="AW210" s="90"/>
      <c r="AX210" s="90"/>
      <c r="AY210" s="90"/>
      <c r="AZ210" s="90"/>
      <c r="BA210" s="90"/>
    </row>
    <row r="211" spans="1:53" ht="13.5" customHeight="1">
      <c r="A211" s="90"/>
      <c r="B211" s="90"/>
      <c r="C211" s="90"/>
      <c r="D211" s="90"/>
      <c r="E211" s="90"/>
      <c r="F211" s="90"/>
      <c r="G211" s="90"/>
      <c r="H211" s="90"/>
      <c r="I211" s="90"/>
      <c r="J211" s="90"/>
      <c r="K211" s="90"/>
      <c r="L211" s="90"/>
      <c r="M211" s="90"/>
      <c r="N211" s="90"/>
      <c r="O211" s="90"/>
      <c r="P211" s="90"/>
      <c r="Q211" s="102"/>
      <c r="R211" s="90"/>
      <c r="S211" s="90"/>
      <c r="T211" s="102"/>
      <c r="U211" s="90"/>
      <c r="V211" s="102"/>
      <c r="W211" s="90"/>
      <c r="X211" s="90"/>
      <c r="Y211" s="90"/>
      <c r="Z211" s="90"/>
      <c r="AA211" s="90"/>
      <c r="AB211" s="90"/>
      <c r="AC211" s="90"/>
      <c r="AD211" s="90"/>
      <c r="AE211" s="90"/>
      <c r="AF211" s="90"/>
      <c r="AG211" s="90"/>
      <c r="AH211" s="90"/>
      <c r="AI211" s="90"/>
      <c r="AJ211" s="90"/>
      <c r="AK211" s="90"/>
      <c r="AL211" s="90"/>
      <c r="AM211" s="90"/>
      <c r="AN211" s="90"/>
      <c r="AO211" s="90"/>
      <c r="AP211" s="90"/>
      <c r="AQ211" s="90"/>
      <c r="AR211" s="90"/>
      <c r="AS211" s="90"/>
      <c r="AT211" s="90"/>
      <c r="AU211" s="90"/>
      <c r="AV211" s="90"/>
      <c r="AW211" s="90"/>
      <c r="AX211" s="90"/>
      <c r="AY211" s="90"/>
      <c r="AZ211" s="90"/>
      <c r="BA211" s="90"/>
    </row>
    <row r="212" spans="1:53" ht="13.5" customHeight="1">
      <c r="A212" s="90"/>
      <c r="B212" s="90"/>
      <c r="C212" s="90"/>
      <c r="D212" s="90"/>
      <c r="E212" s="90"/>
      <c r="F212" s="90"/>
      <c r="G212" s="90"/>
      <c r="H212" s="90"/>
      <c r="I212" s="90"/>
      <c r="J212" s="90"/>
      <c r="K212" s="90"/>
      <c r="L212" s="90"/>
      <c r="M212" s="90"/>
      <c r="N212" s="90"/>
      <c r="O212" s="90"/>
      <c r="P212" s="90"/>
      <c r="Q212" s="102"/>
      <c r="R212" s="90"/>
      <c r="S212" s="90"/>
      <c r="T212" s="102"/>
      <c r="U212" s="90"/>
      <c r="V212" s="102"/>
      <c r="W212" s="90"/>
      <c r="X212" s="90"/>
      <c r="Y212" s="90"/>
      <c r="Z212" s="90"/>
      <c r="AA212" s="90"/>
      <c r="AB212" s="90"/>
      <c r="AC212" s="90"/>
      <c r="AD212" s="90"/>
      <c r="AE212" s="90"/>
      <c r="AF212" s="90"/>
      <c r="AG212" s="90"/>
      <c r="AH212" s="90"/>
      <c r="AI212" s="90"/>
      <c r="AJ212" s="90"/>
      <c r="AK212" s="90"/>
      <c r="AL212" s="90"/>
      <c r="AM212" s="90"/>
      <c r="AN212" s="90"/>
      <c r="AO212" s="90"/>
      <c r="AP212" s="90"/>
      <c r="AQ212" s="90"/>
      <c r="AR212" s="90"/>
      <c r="AS212" s="90"/>
      <c r="AT212" s="90"/>
      <c r="AU212" s="90"/>
      <c r="AV212" s="90"/>
      <c r="AW212" s="90"/>
      <c r="AX212" s="90"/>
      <c r="AY212" s="90"/>
      <c r="AZ212" s="90"/>
      <c r="BA212" s="90"/>
    </row>
    <row r="213" spans="1:53" ht="13.5" customHeight="1">
      <c r="A213" s="90"/>
      <c r="B213" s="90"/>
      <c r="C213" s="90"/>
      <c r="D213" s="90"/>
      <c r="E213" s="90"/>
      <c r="F213" s="90"/>
      <c r="G213" s="90"/>
      <c r="H213" s="90"/>
      <c r="I213" s="90"/>
      <c r="J213" s="90"/>
      <c r="K213" s="90"/>
      <c r="L213" s="90"/>
      <c r="M213" s="90"/>
      <c r="N213" s="90"/>
      <c r="O213" s="90"/>
      <c r="P213" s="90"/>
      <c r="Q213" s="102"/>
      <c r="R213" s="90"/>
      <c r="S213" s="90"/>
      <c r="T213" s="102"/>
      <c r="U213" s="90"/>
      <c r="V213" s="102"/>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c r="AW213" s="90"/>
      <c r="AX213" s="90"/>
      <c r="AY213" s="90"/>
      <c r="AZ213" s="90"/>
      <c r="BA213" s="90"/>
    </row>
    <row r="214" spans="1:53" ht="13.5" customHeight="1">
      <c r="A214" s="90"/>
      <c r="B214" s="90"/>
      <c r="C214" s="90"/>
      <c r="D214" s="90"/>
      <c r="E214" s="90"/>
      <c r="F214" s="90"/>
      <c r="G214" s="90"/>
      <c r="H214" s="90"/>
      <c r="I214" s="90"/>
      <c r="J214" s="90"/>
      <c r="K214" s="90"/>
      <c r="L214" s="90"/>
      <c r="M214" s="90"/>
      <c r="N214" s="90"/>
      <c r="O214" s="90"/>
      <c r="P214" s="90"/>
      <c r="Q214" s="102"/>
      <c r="R214" s="90"/>
      <c r="S214" s="90"/>
      <c r="T214" s="102"/>
      <c r="U214" s="90"/>
      <c r="V214" s="102"/>
      <c r="W214" s="90"/>
      <c r="X214" s="90"/>
      <c r="Y214" s="90"/>
      <c r="Z214" s="90"/>
      <c r="AA214" s="90"/>
      <c r="AB214" s="90"/>
      <c r="AC214" s="90"/>
      <c r="AD214" s="90"/>
      <c r="AE214" s="90"/>
      <c r="AF214" s="90"/>
      <c r="AG214" s="90"/>
      <c r="AH214" s="90"/>
      <c r="AI214" s="90"/>
      <c r="AJ214" s="90"/>
      <c r="AK214" s="90"/>
      <c r="AL214" s="90"/>
      <c r="AM214" s="90"/>
      <c r="AN214" s="90"/>
      <c r="AO214" s="90"/>
      <c r="AP214" s="90"/>
      <c r="AQ214" s="90"/>
      <c r="AR214" s="90"/>
      <c r="AS214" s="90"/>
      <c r="AT214" s="90"/>
      <c r="AU214" s="90"/>
      <c r="AV214" s="90"/>
      <c r="AW214" s="90"/>
      <c r="AX214" s="90"/>
      <c r="AY214" s="90"/>
      <c r="AZ214" s="90"/>
      <c r="BA214" s="90"/>
    </row>
    <row r="215" spans="1:53" ht="13.5" customHeight="1">
      <c r="A215" s="90"/>
      <c r="B215" s="90"/>
      <c r="C215" s="90"/>
      <c r="D215" s="90"/>
      <c r="E215" s="90"/>
      <c r="F215" s="90"/>
      <c r="G215" s="90"/>
      <c r="H215" s="90"/>
      <c r="I215" s="90"/>
      <c r="J215" s="90"/>
      <c r="K215" s="90"/>
      <c r="L215" s="90"/>
      <c r="M215" s="90"/>
      <c r="N215" s="90"/>
      <c r="O215" s="90"/>
      <c r="P215" s="90"/>
      <c r="Q215" s="102"/>
      <c r="R215" s="90"/>
      <c r="S215" s="90"/>
      <c r="T215" s="102"/>
      <c r="U215" s="90"/>
      <c r="V215" s="102"/>
      <c r="W215" s="90"/>
      <c r="X215" s="90"/>
      <c r="Y215" s="90"/>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c r="AV215" s="90"/>
      <c r="AW215" s="90"/>
      <c r="AX215" s="90"/>
      <c r="AY215" s="90"/>
      <c r="AZ215" s="90"/>
      <c r="BA215" s="90"/>
    </row>
    <row r="216" spans="1:53" ht="13.5" customHeight="1">
      <c r="A216" s="90"/>
      <c r="B216" s="90"/>
      <c r="C216" s="90"/>
      <c r="D216" s="90"/>
      <c r="E216" s="90"/>
      <c r="F216" s="90"/>
      <c r="G216" s="90"/>
      <c r="H216" s="90"/>
      <c r="I216" s="90"/>
      <c r="J216" s="90"/>
      <c r="K216" s="90"/>
      <c r="L216" s="90"/>
      <c r="M216" s="90"/>
      <c r="N216" s="90"/>
      <c r="O216" s="90"/>
      <c r="P216" s="90"/>
      <c r="Q216" s="102"/>
      <c r="R216" s="90"/>
      <c r="S216" s="90"/>
      <c r="T216" s="102"/>
      <c r="U216" s="90"/>
      <c r="V216" s="102"/>
      <c r="W216" s="90"/>
      <c r="X216" s="90"/>
      <c r="Y216" s="90"/>
      <c r="Z216" s="90"/>
      <c r="AA216" s="90"/>
      <c r="AB216" s="90"/>
      <c r="AC216" s="90"/>
      <c r="AD216" s="90"/>
      <c r="AE216" s="90"/>
      <c r="AF216" s="90"/>
      <c r="AG216" s="90"/>
      <c r="AH216" s="90"/>
      <c r="AI216" s="90"/>
      <c r="AJ216" s="90"/>
      <c r="AK216" s="90"/>
      <c r="AL216" s="90"/>
      <c r="AM216" s="90"/>
      <c r="AN216" s="90"/>
      <c r="AO216" s="90"/>
      <c r="AP216" s="90"/>
      <c r="AQ216" s="90"/>
      <c r="AR216" s="90"/>
      <c r="AS216" s="90"/>
      <c r="AT216" s="90"/>
      <c r="AU216" s="90"/>
      <c r="AV216" s="90"/>
      <c r="AW216" s="90"/>
      <c r="AX216" s="90"/>
      <c r="AY216" s="90"/>
      <c r="AZ216" s="90"/>
      <c r="BA216" s="90"/>
    </row>
    <row r="217" spans="1:53" ht="13.5" customHeight="1">
      <c r="A217" s="90"/>
      <c r="B217" s="90"/>
      <c r="C217" s="90"/>
      <c r="D217" s="90"/>
      <c r="E217" s="90"/>
      <c r="F217" s="90"/>
      <c r="G217" s="90"/>
      <c r="H217" s="90"/>
      <c r="I217" s="90"/>
      <c r="J217" s="90"/>
      <c r="K217" s="90"/>
      <c r="L217" s="90"/>
      <c r="M217" s="90"/>
      <c r="N217" s="90"/>
      <c r="O217" s="90"/>
      <c r="P217" s="90"/>
      <c r="Q217" s="102"/>
      <c r="R217" s="90"/>
      <c r="S217" s="90"/>
      <c r="T217" s="102"/>
      <c r="U217" s="90"/>
      <c r="V217" s="102"/>
      <c r="W217" s="90"/>
      <c r="X217" s="90"/>
      <c r="Y217" s="90"/>
      <c r="Z217" s="90"/>
      <c r="AA217" s="90"/>
      <c r="AB217" s="90"/>
      <c r="AC217" s="90"/>
      <c r="AD217" s="90"/>
      <c r="AE217" s="90"/>
      <c r="AF217" s="90"/>
      <c r="AG217" s="90"/>
      <c r="AH217" s="90"/>
      <c r="AI217" s="90"/>
      <c r="AJ217" s="90"/>
      <c r="AK217" s="90"/>
      <c r="AL217" s="90"/>
      <c r="AM217" s="90"/>
      <c r="AN217" s="90"/>
      <c r="AO217" s="90"/>
      <c r="AP217" s="90"/>
      <c r="AQ217" s="90"/>
      <c r="AR217" s="90"/>
      <c r="AS217" s="90"/>
      <c r="AT217" s="90"/>
      <c r="AU217" s="90"/>
      <c r="AV217" s="90"/>
      <c r="AW217" s="90"/>
      <c r="AX217" s="90"/>
      <c r="AY217" s="90"/>
      <c r="AZ217" s="90"/>
      <c r="BA217" s="90"/>
    </row>
    <row r="218" spans="1:53" ht="13.5" customHeight="1">
      <c r="A218" s="90"/>
      <c r="B218" s="90"/>
      <c r="C218" s="90"/>
      <c r="D218" s="90"/>
      <c r="E218" s="90"/>
      <c r="F218" s="90"/>
      <c r="G218" s="90"/>
      <c r="H218" s="90"/>
      <c r="I218" s="90"/>
      <c r="J218" s="90"/>
      <c r="K218" s="90"/>
      <c r="L218" s="90"/>
      <c r="M218" s="90"/>
      <c r="N218" s="90"/>
      <c r="O218" s="90"/>
      <c r="P218" s="90"/>
      <c r="Q218" s="102"/>
      <c r="R218" s="90"/>
      <c r="S218" s="90"/>
      <c r="T218" s="102"/>
      <c r="U218" s="90"/>
      <c r="V218" s="102"/>
      <c r="W218" s="90"/>
      <c r="X218" s="90"/>
      <c r="Y218" s="90"/>
      <c r="Z218" s="90"/>
      <c r="AA218" s="90"/>
      <c r="AB218" s="90"/>
      <c r="AC218" s="90"/>
      <c r="AD218" s="90"/>
      <c r="AE218" s="90"/>
      <c r="AF218" s="90"/>
      <c r="AG218" s="90"/>
      <c r="AH218" s="90"/>
      <c r="AI218" s="90"/>
      <c r="AJ218" s="90"/>
      <c r="AK218" s="90"/>
      <c r="AL218" s="90"/>
      <c r="AM218" s="90"/>
      <c r="AN218" s="90"/>
      <c r="AO218" s="90"/>
      <c r="AP218" s="90"/>
      <c r="AQ218" s="90"/>
      <c r="AR218" s="90"/>
      <c r="AS218" s="90"/>
      <c r="AT218" s="90"/>
      <c r="AU218" s="90"/>
      <c r="AV218" s="90"/>
      <c r="AW218" s="90"/>
      <c r="AX218" s="90"/>
      <c r="AY218" s="90"/>
      <c r="AZ218" s="90"/>
      <c r="BA218" s="90"/>
    </row>
    <row r="219" spans="1:53" ht="13.5" customHeight="1">
      <c r="A219" s="90"/>
      <c r="B219" s="90"/>
      <c r="C219" s="90"/>
      <c r="D219" s="90"/>
      <c r="E219" s="90"/>
      <c r="F219" s="90"/>
      <c r="G219" s="90"/>
      <c r="H219" s="90"/>
      <c r="I219" s="90"/>
      <c r="J219" s="90"/>
      <c r="K219" s="90"/>
      <c r="L219" s="90"/>
      <c r="M219" s="90"/>
      <c r="N219" s="90"/>
      <c r="O219" s="90"/>
      <c r="P219" s="90"/>
      <c r="Q219" s="102"/>
      <c r="R219" s="90"/>
      <c r="S219" s="90"/>
      <c r="T219" s="102"/>
      <c r="U219" s="90"/>
      <c r="V219" s="102"/>
      <c r="W219" s="90"/>
      <c r="X219" s="90"/>
      <c r="Y219" s="90"/>
      <c r="Z219" s="90"/>
      <c r="AA219" s="90"/>
      <c r="AB219" s="90"/>
      <c r="AC219" s="90"/>
      <c r="AD219" s="90"/>
      <c r="AE219" s="90"/>
      <c r="AF219" s="90"/>
      <c r="AG219" s="90"/>
      <c r="AH219" s="90"/>
      <c r="AI219" s="90"/>
      <c r="AJ219" s="90"/>
      <c r="AK219" s="90"/>
      <c r="AL219" s="90"/>
      <c r="AM219" s="90"/>
      <c r="AN219" s="90"/>
      <c r="AO219" s="90"/>
      <c r="AP219" s="90"/>
      <c r="AQ219" s="90"/>
      <c r="AR219" s="90"/>
      <c r="AS219" s="90"/>
      <c r="AT219" s="90"/>
      <c r="AU219" s="90"/>
      <c r="AV219" s="90"/>
      <c r="AW219" s="90"/>
      <c r="AX219" s="90"/>
      <c r="AY219" s="90"/>
      <c r="AZ219" s="90"/>
      <c r="BA219" s="90"/>
    </row>
    <row r="220" spans="1:53" ht="13.5" customHeight="1">
      <c r="A220" s="90"/>
      <c r="B220" s="90"/>
      <c r="C220" s="90"/>
      <c r="D220" s="90"/>
      <c r="E220" s="90"/>
      <c r="F220" s="90"/>
      <c r="G220" s="90"/>
      <c r="H220" s="90"/>
      <c r="I220" s="90"/>
      <c r="J220" s="90"/>
      <c r="K220" s="90"/>
      <c r="L220" s="90"/>
      <c r="M220" s="90"/>
      <c r="N220" s="90"/>
      <c r="O220" s="90"/>
      <c r="P220" s="90"/>
      <c r="Q220" s="102"/>
      <c r="R220" s="90"/>
      <c r="S220" s="90"/>
      <c r="T220" s="102"/>
      <c r="U220" s="90"/>
      <c r="V220" s="102"/>
      <c r="W220" s="90"/>
      <c r="X220" s="90"/>
      <c r="Y220" s="90"/>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c r="AV220" s="90"/>
      <c r="AW220" s="90"/>
      <c r="AX220" s="90"/>
      <c r="AY220" s="90"/>
      <c r="AZ220" s="90"/>
      <c r="BA220" s="90"/>
    </row>
    <row r="221" spans="1:53" ht="13.5" customHeight="1">
      <c r="A221" s="90"/>
      <c r="B221" s="90"/>
      <c r="C221" s="90"/>
      <c r="D221" s="90"/>
      <c r="E221" s="90"/>
      <c r="F221" s="90"/>
      <c r="G221" s="90"/>
      <c r="H221" s="90"/>
      <c r="I221" s="90"/>
      <c r="J221" s="90"/>
      <c r="K221" s="90"/>
      <c r="L221" s="90"/>
      <c r="M221" s="90"/>
      <c r="N221" s="90"/>
      <c r="O221" s="90"/>
      <c r="P221" s="90"/>
      <c r="Q221" s="102"/>
      <c r="R221" s="90"/>
      <c r="S221" s="90"/>
      <c r="T221" s="102"/>
      <c r="U221" s="90"/>
      <c r="V221" s="102"/>
      <c r="W221" s="90"/>
      <c r="X221" s="90"/>
      <c r="Y221" s="90"/>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c r="AV221" s="90"/>
      <c r="AW221" s="90"/>
      <c r="AX221" s="90"/>
      <c r="AY221" s="90"/>
      <c r="AZ221" s="90"/>
      <c r="BA221" s="90"/>
    </row>
    <row r="222" spans="1:53" ht="13.5" customHeight="1">
      <c r="A222" s="90"/>
      <c r="B222" s="90"/>
      <c r="C222" s="90"/>
      <c r="D222" s="90"/>
      <c r="E222" s="90"/>
      <c r="F222" s="90"/>
      <c r="G222" s="90"/>
      <c r="H222" s="90"/>
      <c r="I222" s="90"/>
      <c r="J222" s="90"/>
      <c r="K222" s="90"/>
      <c r="L222" s="90"/>
      <c r="M222" s="90"/>
      <c r="N222" s="90"/>
      <c r="O222" s="90"/>
      <c r="P222" s="90"/>
      <c r="Q222" s="102"/>
      <c r="R222" s="90"/>
      <c r="S222" s="90"/>
      <c r="T222" s="102"/>
      <c r="U222" s="90"/>
      <c r="V222" s="102"/>
      <c r="W222" s="90"/>
      <c r="X222" s="90"/>
      <c r="Y222" s="90"/>
      <c r="Z222" s="90"/>
      <c r="AA222" s="90"/>
      <c r="AB222" s="90"/>
      <c r="AC222" s="90"/>
      <c r="AD222" s="90"/>
      <c r="AE222" s="90"/>
      <c r="AF222" s="90"/>
      <c r="AG222" s="90"/>
      <c r="AH222" s="90"/>
      <c r="AI222" s="90"/>
      <c r="AJ222" s="90"/>
      <c r="AK222" s="90"/>
      <c r="AL222" s="90"/>
      <c r="AM222" s="90"/>
      <c r="AN222" s="90"/>
      <c r="AO222" s="90"/>
      <c r="AP222" s="90"/>
      <c r="AQ222" s="90"/>
      <c r="AR222" s="90"/>
      <c r="AS222" s="90"/>
      <c r="AT222" s="90"/>
      <c r="AU222" s="90"/>
      <c r="AV222" s="90"/>
      <c r="AW222" s="90"/>
      <c r="AX222" s="90"/>
      <c r="AY222" s="90"/>
      <c r="AZ222" s="90"/>
      <c r="BA222" s="90"/>
    </row>
    <row r="223" spans="1:53" ht="13.5" customHeight="1">
      <c r="A223" s="90"/>
      <c r="B223" s="90"/>
      <c r="C223" s="90"/>
      <c r="D223" s="90"/>
      <c r="E223" s="90"/>
      <c r="F223" s="90"/>
      <c r="G223" s="90"/>
      <c r="H223" s="90"/>
      <c r="I223" s="90"/>
      <c r="J223" s="90"/>
      <c r="K223" s="90"/>
      <c r="L223" s="90"/>
      <c r="M223" s="90"/>
      <c r="N223" s="90"/>
      <c r="O223" s="90"/>
      <c r="P223" s="90"/>
      <c r="Q223" s="102"/>
      <c r="R223" s="90"/>
      <c r="S223" s="90"/>
      <c r="T223" s="102"/>
      <c r="U223" s="90"/>
      <c r="V223" s="102"/>
      <c r="W223" s="90"/>
      <c r="X223" s="90"/>
      <c r="Y223" s="90"/>
      <c r="Z223" s="90"/>
      <c r="AA223" s="90"/>
      <c r="AB223" s="90"/>
      <c r="AC223" s="90"/>
      <c r="AD223" s="90"/>
      <c r="AE223" s="90"/>
      <c r="AF223" s="90"/>
      <c r="AG223" s="90"/>
      <c r="AH223" s="90"/>
      <c r="AI223" s="90"/>
      <c r="AJ223" s="90"/>
      <c r="AK223" s="90"/>
      <c r="AL223" s="90"/>
      <c r="AM223" s="90"/>
      <c r="AN223" s="90"/>
      <c r="AO223" s="90"/>
      <c r="AP223" s="90"/>
      <c r="AQ223" s="90"/>
      <c r="AR223" s="90"/>
      <c r="AS223" s="90"/>
      <c r="AT223" s="90"/>
      <c r="AU223" s="90"/>
      <c r="AV223" s="90"/>
      <c r="AW223" s="90"/>
      <c r="AX223" s="90"/>
      <c r="AY223" s="90"/>
      <c r="AZ223" s="90"/>
      <c r="BA223" s="90"/>
    </row>
    <row r="224" spans="1:53" ht="13.5" customHeight="1">
      <c r="A224" s="90"/>
      <c r="B224" s="90"/>
      <c r="C224" s="90"/>
      <c r="D224" s="90"/>
      <c r="E224" s="90"/>
      <c r="F224" s="90"/>
      <c r="G224" s="90"/>
      <c r="H224" s="90"/>
      <c r="I224" s="90"/>
      <c r="J224" s="90"/>
      <c r="K224" s="90"/>
      <c r="L224" s="90"/>
      <c r="M224" s="90"/>
      <c r="N224" s="90"/>
      <c r="O224" s="90"/>
      <c r="P224" s="90"/>
      <c r="Q224" s="102"/>
      <c r="R224" s="90"/>
      <c r="S224" s="90"/>
      <c r="T224" s="102"/>
      <c r="U224" s="90"/>
      <c r="V224" s="102"/>
      <c r="W224" s="90"/>
      <c r="X224" s="90"/>
      <c r="Y224" s="90"/>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c r="AV224" s="90"/>
      <c r="AW224" s="90"/>
      <c r="AX224" s="90"/>
      <c r="AY224" s="90"/>
      <c r="AZ224" s="90"/>
      <c r="BA224" s="90"/>
    </row>
    <row r="225" spans="1:53" ht="13.5" customHeight="1">
      <c r="A225" s="90"/>
      <c r="B225" s="90"/>
      <c r="C225" s="90"/>
      <c r="D225" s="90"/>
      <c r="E225" s="90"/>
      <c r="F225" s="90"/>
      <c r="G225" s="90"/>
      <c r="H225" s="90"/>
      <c r="I225" s="90"/>
      <c r="J225" s="90"/>
      <c r="K225" s="90"/>
      <c r="L225" s="90"/>
      <c r="M225" s="90"/>
      <c r="N225" s="90"/>
      <c r="O225" s="90"/>
      <c r="P225" s="90"/>
      <c r="Q225" s="102"/>
      <c r="R225" s="90"/>
      <c r="S225" s="90"/>
      <c r="T225" s="102"/>
      <c r="U225" s="90"/>
      <c r="V225" s="102"/>
      <c r="W225" s="90"/>
      <c r="X225" s="90"/>
      <c r="Y225" s="90"/>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c r="AV225" s="90"/>
      <c r="AW225" s="90"/>
      <c r="AX225" s="90"/>
      <c r="AY225" s="90"/>
      <c r="AZ225" s="90"/>
      <c r="BA225" s="90"/>
    </row>
    <row r="226" spans="1:53" ht="13.5" customHeight="1">
      <c r="A226" s="90"/>
      <c r="B226" s="90"/>
      <c r="C226" s="90"/>
      <c r="D226" s="90"/>
      <c r="E226" s="90"/>
      <c r="F226" s="90"/>
      <c r="G226" s="90"/>
      <c r="H226" s="90"/>
      <c r="I226" s="90"/>
      <c r="J226" s="90"/>
      <c r="K226" s="90"/>
      <c r="L226" s="90"/>
      <c r="M226" s="90"/>
      <c r="N226" s="90"/>
      <c r="O226" s="90"/>
      <c r="P226" s="90"/>
      <c r="Q226" s="102"/>
      <c r="R226" s="90"/>
      <c r="S226" s="90"/>
      <c r="T226" s="102"/>
      <c r="U226" s="90"/>
      <c r="V226" s="102"/>
      <c r="W226" s="90"/>
      <c r="X226" s="90"/>
      <c r="Y226" s="90"/>
      <c r="Z226" s="90"/>
      <c r="AA226" s="90"/>
      <c r="AB226" s="90"/>
      <c r="AC226" s="90"/>
      <c r="AD226" s="90"/>
      <c r="AE226" s="90"/>
      <c r="AF226" s="90"/>
      <c r="AG226" s="90"/>
      <c r="AH226" s="90"/>
      <c r="AI226" s="90"/>
      <c r="AJ226" s="90"/>
      <c r="AK226" s="90"/>
      <c r="AL226" s="90"/>
      <c r="AM226" s="90"/>
      <c r="AN226" s="90"/>
      <c r="AO226" s="90"/>
      <c r="AP226" s="90"/>
      <c r="AQ226" s="90"/>
      <c r="AR226" s="90"/>
      <c r="AS226" s="90"/>
      <c r="AT226" s="90"/>
      <c r="AU226" s="90"/>
      <c r="AV226" s="90"/>
      <c r="AW226" s="90"/>
      <c r="AX226" s="90"/>
      <c r="AY226" s="90"/>
      <c r="AZ226" s="90"/>
      <c r="BA226" s="90"/>
    </row>
    <row r="227" spans="1:53" ht="13.5" customHeight="1">
      <c r="A227" s="90"/>
      <c r="B227" s="90"/>
      <c r="C227" s="90"/>
      <c r="D227" s="90"/>
      <c r="E227" s="90"/>
      <c r="F227" s="90"/>
      <c r="G227" s="90"/>
      <c r="H227" s="90"/>
      <c r="I227" s="90"/>
      <c r="J227" s="90"/>
      <c r="K227" s="90"/>
      <c r="L227" s="90"/>
      <c r="M227" s="90"/>
      <c r="N227" s="90"/>
      <c r="O227" s="90"/>
      <c r="P227" s="90"/>
      <c r="Q227" s="102"/>
      <c r="R227" s="90"/>
      <c r="S227" s="90"/>
      <c r="T227" s="102"/>
      <c r="U227" s="90"/>
      <c r="V227" s="102"/>
      <c r="W227" s="90"/>
      <c r="X227" s="90"/>
      <c r="Y227" s="90"/>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c r="AV227" s="90"/>
      <c r="AW227" s="90"/>
      <c r="AX227" s="90"/>
      <c r="AY227" s="90"/>
      <c r="AZ227" s="90"/>
      <c r="BA227" s="90"/>
    </row>
    <row r="228" spans="1:53" ht="13.5" customHeight="1">
      <c r="A228" s="90"/>
      <c r="B228" s="90"/>
      <c r="C228" s="90"/>
      <c r="D228" s="90"/>
      <c r="E228" s="90"/>
      <c r="F228" s="90"/>
      <c r="G228" s="90"/>
      <c r="H228" s="90"/>
      <c r="I228" s="90"/>
      <c r="J228" s="90"/>
      <c r="K228" s="90"/>
      <c r="L228" s="90"/>
      <c r="M228" s="90"/>
      <c r="N228" s="90"/>
      <c r="O228" s="90"/>
      <c r="P228" s="90"/>
      <c r="Q228" s="102"/>
      <c r="R228" s="90"/>
      <c r="S228" s="90"/>
      <c r="T228" s="102"/>
      <c r="U228" s="90"/>
      <c r="V228" s="102"/>
      <c r="W228" s="90"/>
      <c r="X228" s="90"/>
      <c r="Y228" s="90"/>
      <c r="Z228" s="90"/>
      <c r="AA228" s="90"/>
      <c r="AB228" s="90"/>
      <c r="AC228" s="90"/>
      <c r="AD228" s="90"/>
      <c r="AE228" s="90"/>
      <c r="AF228" s="90"/>
      <c r="AG228" s="90"/>
      <c r="AH228" s="90"/>
      <c r="AI228" s="90"/>
      <c r="AJ228" s="90"/>
      <c r="AK228" s="90"/>
      <c r="AL228" s="90"/>
      <c r="AM228" s="90"/>
      <c r="AN228" s="90"/>
      <c r="AO228" s="90"/>
      <c r="AP228" s="90"/>
      <c r="AQ228" s="90"/>
      <c r="AR228" s="90"/>
      <c r="AS228" s="90"/>
      <c r="AT228" s="90"/>
      <c r="AU228" s="90"/>
      <c r="AV228" s="90"/>
      <c r="AW228" s="90"/>
      <c r="AX228" s="90"/>
      <c r="AY228" s="90"/>
      <c r="AZ228" s="90"/>
      <c r="BA228" s="90"/>
    </row>
    <row r="229" spans="1:53" ht="13.5" customHeight="1">
      <c r="A229" s="90"/>
      <c r="B229" s="90"/>
      <c r="C229" s="90"/>
      <c r="D229" s="90"/>
      <c r="E229" s="90"/>
      <c r="F229" s="90"/>
      <c r="G229" s="90"/>
      <c r="H229" s="90"/>
      <c r="I229" s="90"/>
      <c r="J229" s="90"/>
      <c r="K229" s="90"/>
      <c r="L229" s="90"/>
      <c r="M229" s="90"/>
      <c r="N229" s="90"/>
      <c r="O229" s="90"/>
      <c r="P229" s="90"/>
      <c r="Q229" s="102"/>
      <c r="R229" s="90"/>
      <c r="S229" s="90"/>
      <c r="T229" s="102"/>
      <c r="U229" s="90"/>
      <c r="V229" s="102"/>
      <c r="W229" s="90"/>
      <c r="X229" s="90"/>
      <c r="Y229" s="90"/>
      <c r="Z229" s="90"/>
      <c r="AA229" s="90"/>
      <c r="AB229" s="90"/>
      <c r="AC229" s="90"/>
      <c r="AD229" s="90"/>
      <c r="AE229" s="90"/>
      <c r="AF229" s="90"/>
      <c r="AG229" s="90"/>
      <c r="AH229" s="90"/>
      <c r="AI229" s="90"/>
      <c r="AJ229" s="90"/>
      <c r="AK229" s="90"/>
      <c r="AL229" s="90"/>
      <c r="AM229" s="90"/>
      <c r="AN229" s="90"/>
      <c r="AO229" s="90"/>
      <c r="AP229" s="90"/>
      <c r="AQ229" s="90"/>
      <c r="AR229" s="90"/>
      <c r="AS229" s="90"/>
      <c r="AT229" s="90"/>
      <c r="AU229" s="90"/>
      <c r="AV229" s="90"/>
      <c r="AW229" s="90"/>
      <c r="AX229" s="90"/>
      <c r="AY229" s="90"/>
      <c r="AZ229" s="90"/>
      <c r="BA229" s="90"/>
    </row>
    <row r="230" spans="1:53" ht="13.5" customHeight="1">
      <c r="A230" s="90"/>
      <c r="B230" s="90"/>
      <c r="C230" s="90"/>
      <c r="D230" s="90"/>
      <c r="E230" s="90"/>
      <c r="F230" s="90"/>
      <c r="G230" s="90"/>
      <c r="H230" s="90"/>
      <c r="I230" s="90"/>
      <c r="J230" s="90"/>
      <c r="K230" s="90"/>
      <c r="L230" s="90"/>
      <c r="M230" s="90"/>
      <c r="N230" s="90"/>
      <c r="O230" s="90"/>
      <c r="P230" s="90"/>
      <c r="Q230" s="102"/>
      <c r="R230" s="90"/>
      <c r="S230" s="90"/>
      <c r="T230" s="102"/>
      <c r="U230" s="90"/>
      <c r="V230" s="102"/>
      <c r="W230" s="90"/>
      <c r="X230" s="90"/>
      <c r="Y230" s="90"/>
      <c r="Z230" s="90"/>
      <c r="AA230" s="90"/>
      <c r="AB230" s="90"/>
      <c r="AC230" s="90"/>
      <c r="AD230" s="90"/>
      <c r="AE230" s="90"/>
      <c r="AF230" s="90"/>
      <c r="AG230" s="90"/>
      <c r="AH230" s="90"/>
      <c r="AI230" s="90"/>
      <c r="AJ230" s="90"/>
      <c r="AK230" s="90"/>
      <c r="AL230" s="90"/>
      <c r="AM230" s="90"/>
      <c r="AN230" s="90"/>
      <c r="AO230" s="90"/>
      <c r="AP230" s="90"/>
      <c r="AQ230" s="90"/>
      <c r="AR230" s="90"/>
      <c r="AS230" s="90"/>
      <c r="AT230" s="90"/>
      <c r="AU230" s="90"/>
      <c r="AV230" s="90"/>
      <c r="AW230" s="90"/>
      <c r="AX230" s="90"/>
      <c r="AY230" s="90"/>
      <c r="AZ230" s="90"/>
      <c r="BA230" s="90"/>
    </row>
    <row r="231" spans="1:53" ht="13.5" customHeight="1">
      <c r="A231" s="90"/>
      <c r="B231" s="90"/>
      <c r="C231" s="90"/>
      <c r="D231" s="90"/>
      <c r="E231" s="90"/>
      <c r="F231" s="90"/>
      <c r="G231" s="90"/>
      <c r="H231" s="90"/>
      <c r="I231" s="90"/>
      <c r="J231" s="90"/>
      <c r="K231" s="90"/>
      <c r="L231" s="90"/>
      <c r="M231" s="90"/>
      <c r="N231" s="90"/>
      <c r="O231" s="90"/>
      <c r="P231" s="90"/>
      <c r="Q231" s="102"/>
      <c r="R231" s="90"/>
      <c r="S231" s="90"/>
      <c r="T231" s="102"/>
      <c r="U231" s="90"/>
      <c r="V231" s="102"/>
      <c r="W231" s="90"/>
      <c r="X231" s="90"/>
      <c r="Y231" s="90"/>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c r="AW231" s="90"/>
      <c r="AX231" s="90"/>
      <c r="AY231" s="90"/>
      <c r="AZ231" s="90"/>
      <c r="BA231" s="90"/>
    </row>
    <row r="232" spans="1:53" ht="13.5" customHeight="1">
      <c r="A232" s="90"/>
      <c r="B232" s="90"/>
      <c r="C232" s="90"/>
      <c r="D232" s="90"/>
      <c r="E232" s="90"/>
      <c r="F232" s="90"/>
      <c r="G232" s="90"/>
      <c r="H232" s="90"/>
      <c r="I232" s="90"/>
      <c r="J232" s="90"/>
      <c r="K232" s="90"/>
      <c r="L232" s="90"/>
      <c r="M232" s="90"/>
      <c r="N232" s="90"/>
      <c r="O232" s="90"/>
      <c r="P232" s="90"/>
      <c r="Q232" s="102"/>
      <c r="R232" s="90"/>
      <c r="S232" s="90"/>
      <c r="T232" s="102"/>
      <c r="U232" s="90"/>
      <c r="V232" s="102"/>
      <c r="W232" s="90"/>
      <c r="X232" s="90"/>
      <c r="Y232" s="90"/>
      <c r="Z232" s="90"/>
      <c r="AA232" s="90"/>
      <c r="AB232" s="90"/>
      <c r="AC232" s="90"/>
      <c r="AD232" s="90"/>
      <c r="AE232" s="90"/>
      <c r="AF232" s="90"/>
      <c r="AG232" s="90"/>
      <c r="AH232" s="90"/>
      <c r="AI232" s="90"/>
      <c r="AJ232" s="90"/>
      <c r="AK232" s="90"/>
      <c r="AL232" s="90"/>
      <c r="AM232" s="90"/>
      <c r="AN232" s="90"/>
      <c r="AO232" s="90"/>
      <c r="AP232" s="90"/>
      <c r="AQ232" s="90"/>
      <c r="AR232" s="90"/>
      <c r="AS232" s="90"/>
      <c r="AT232" s="90"/>
      <c r="AU232" s="90"/>
      <c r="AV232" s="90"/>
      <c r="AW232" s="90"/>
      <c r="AX232" s="90"/>
      <c r="AY232" s="90"/>
      <c r="AZ232" s="90"/>
      <c r="BA232" s="90"/>
    </row>
    <row r="233" spans="1:53" ht="13.5" customHeight="1">
      <c r="A233" s="90"/>
      <c r="B233" s="90"/>
      <c r="C233" s="90"/>
      <c r="D233" s="90"/>
      <c r="E233" s="90"/>
      <c r="F233" s="90"/>
      <c r="G233" s="90"/>
      <c r="H233" s="90"/>
      <c r="I233" s="90"/>
      <c r="J233" s="90"/>
      <c r="K233" s="90"/>
      <c r="L233" s="90"/>
      <c r="M233" s="90"/>
      <c r="N233" s="90"/>
      <c r="O233" s="90"/>
      <c r="P233" s="90"/>
      <c r="Q233" s="102"/>
      <c r="R233" s="90"/>
      <c r="S233" s="90"/>
      <c r="T233" s="102"/>
      <c r="U233" s="90"/>
      <c r="V233" s="102"/>
      <c r="W233" s="90"/>
      <c r="X233" s="90"/>
      <c r="Y233" s="90"/>
      <c r="Z233" s="90"/>
      <c r="AA233" s="90"/>
      <c r="AB233" s="90"/>
      <c r="AC233" s="90"/>
      <c r="AD233" s="90"/>
      <c r="AE233" s="90"/>
      <c r="AF233" s="90"/>
      <c r="AG233" s="90"/>
      <c r="AH233" s="90"/>
      <c r="AI233" s="90"/>
      <c r="AJ233" s="90"/>
      <c r="AK233" s="90"/>
      <c r="AL233" s="90"/>
      <c r="AM233" s="90"/>
      <c r="AN233" s="90"/>
      <c r="AO233" s="90"/>
      <c r="AP233" s="90"/>
      <c r="AQ233" s="90"/>
      <c r="AR233" s="90"/>
      <c r="AS233" s="90"/>
      <c r="AT233" s="90"/>
      <c r="AU233" s="90"/>
      <c r="AV233" s="90"/>
      <c r="AW233" s="90"/>
      <c r="AX233" s="90"/>
      <c r="AY233" s="90"/>
      <c r="AZ233" s="90"/>
      <c r="BA233" s="90"/>
    </row>
    <row r="234" spans="1:53" ht="13.5" customHeight="1">
      <c r="A234" s="90"/>
      <c r="B234" s="90"/>
      <c r="C234" s="90"/>
      <c r="D234" s="90"/>
      <c r="E234" s="90"/>
      <c r="F234" s="90"/>
      <c r="G234" s="90"/>
      <c r="H234" s="90"/>
      <c r="I234" s="90"/>
      <c r="J234" s="90"/>
      <c r="K234" s="90"/>
      <c r="L234" s="90"/>
      <c r="M234" s="90"/>
      <c r="N234" s="90"/>
      <c r="O234" s="90"/>
      <c r="P234" s="90"/>
      <c r="Q234" s="102"/>
      <c r="R234" s="90"/>
      <c r="S234" s="90"/>
      <c r="T234" s="102"/>
      <c r="U234" s="90"/>
      <c r="V234" s="102"/>
      <c r="W234" s="90"/>
      <c r="X234" s="90"/>
      <c r="Y234" s="90"/>
      <c r="Z234" s="90"/>
      <c r="AA234" s="90"/>
      <c r="AB234" s="90"/>
      <c r="AC234" s="90"/>
      <c r="AD234" s="90"/>
      <c r="AE234" s="90"/>
      <c r="AF234" s="90"/>
      <c r="AG234" s="90"/>
      <c r="AH234" s="90"/>
      <c r="AI234" s="90"/>
      <c r="AJ234" s="90"/>
      <c r="AK234" s="90"/>
      <c r="AL234" s="90"/>
      <c r="AM234" s="90"/>
      <c r="AN234" s="90"/>
      <c r="AO234" s="90"/>
      <c r="AP234" s="90"/>
      <c r="AQ234" s="90"/>
      <c r="AR234" s="90"/>
      <c r="AS234" s="90"/>
      <c r="AT234" s="90"/>
      <c r="AU234" s="90"/>
      <c r="AV234" s="90"/>
      <c r="AW234" s="90"/>
      <c r="AX234" s="90"/>
      <c r="AY234" s="90"/>
      <c r="AZ234" s="90"/>
      <c r="BA234" s="90"/>
    </row>
    <row r="235" spans="1:53" ht="13.5" customHeight="1">
      <c r="A235" s="90"/>
      <c r="B235" s="90"/>
      <c r="C235" s="90"/>
      <c r="D235" s="90"/>
      <c r="E235" s="90"/>
      <c r="F235" s="90"/>
      <c r="G235" s="90"/>
      <c r="H235" s="90"/>
      <c r="I235" s="90"/>
      <c r="J235" s="90"/>
      <c r="K235" s="90"/>
      <c r="L235" s="90"/>
      <c r="M235" s="90"/>
      <c r="N235" s="90"/>
      <c r="O235" s="90"/>
      <c r="P235" s="90"/>
      <c r="Q235" s="102"/>
      <c r="R235" s="90"/>
      <c r="S235" s="90"/>
      <c r="T235" s="102"/>
      <c r="U235" s="90"/>
      <c r="V235" s="102"/>
      <c r="W235" s="90"/>
      <c r="X235" s="90"/>
      <c r="Y235" s="90"/>
      <c r="Z235" s="90"/>
      <c r="AA235" s="90"/>
      <c r="AB235" s="90"/>
      <c r="AC235" s="90"/>
      <c r="AD235" s="90"/>
      <c r="AE235" s="90"/>
      <c r="AF235" s="90"/>
      <c r="AG235" s="90"/>
      <c r="AH235" s="90"/>
      <c r="AI235" s="90"/>
      <c r="AJ235" s="90"/>
      <c r="AK235" s="90"/>
      <c r="AL235" s="90"/>
      <c r="AM235" s="90"/>
      <c r="AN235" s="90"/>
      <c r="AO235" s="90"/>
      <c r="AP235" s="90"/>
      <c r="AQ235" s="90"/>
      <c r="AR235" s="90"/>
      <c r="AS235" s="90"/>
      <c r="AT235" s="90"/>
      <c r="AU235" s="90"/>
      <c r="AV235" s="90"/>
      <c r="AW235" s="90"/>
      <c r="AX235" s="90"/>
      <c r="AY235" s="90"/>
      <c r="AZ235" s="90"/>
      <c r="BA235" s="90"/>
    </row>
    <row r="236" spans="1:53" ht="13.5" customHeight="1">
      <c r="A236" s="90"/>
      <c r="B236" s="90"/>
      <c r="C236" s="90"/>
      <c r="D236" s="90"/>
      <c r="E236" s="90"/>
      <c r="F236" s="90"/>
      <c r="G236" s="90"/>
      <c r="H236" s="90"/>
      <c r="I236" s="90"/>
      <c r="J236" s="90"/>
      <c r="K236" s="90"/>
      <c r="L236" s="90"/>
      <c r="M236" s="90"/>
      <c r="N236" s="90"/>
      <c r="O236" s="90"/>
      <c r="P236" s="90"/>
      <c r="Q236" s="102"/>
      <c r="R236" s="90"/>
      <c r="S236" s="90"/>
      <c r="T236" s="102"/>
      <c r="U236" s="90"/>
      <c r="V236" s="102"/>
      <c r="W236" s="90"/>
      <c r="X236" s="90"/>
      <c r="Y236" s="90"/>
      <c r="Z236" s="90"/>
      <c r="AA236" s="90"/>
      <c r="AB236" s="90"/>
      <c r="AC236" s="90"/>
      <c r="AD236" s="90"/>
      <c r="AE236" s="90"/>
      <c r="AF236" s="90"/>
      <c r="AG236" s="90"/>
      <c r="AH236" s="90"/>
      <c r="AI236" s="90"/>
      <c r="AJ236" s="90"/>
      <c r="AK236" s="90"/>
      <c r="AL236" s="90"/>
      <c r="AM236" s="90"/>
      <c r="AN236" s="90"/>
      <c r="AO236" s="90"/>
      <c r="AP236" s="90"/>
      <c r="AQ236" s="90"/>
      <c r="AR236" s="90"/>
      <c r="AS236" s="90"/>
      <c r="AT236" s="90"/>
      <c r="AU236" s="90"/>
      <c r="AV236" s="90"/>
      <c r="AW236" s="90"/>
      <c r="AX236" s="90"/>
      <c r="AY236" s="90"/>
      <c r="AZ236" s="90"/>
      <c r="BA236" s="90"/>
    </row>
    <row r="237" spans="1:53" ht="13.5" customHeight="1">
      <c r="A237" s="90"/>
      <c r="B237" s="90"/>
      <c r="C237" s="90"/>
      <c r="D237" s="90"/>
      <c r="E237" s="90"/>
      <c r="F237" s="90"/>
      <c r="G237" s="90"/>
      <c r="H237" s="90"/>
      <c r="I237" s="90"/>
      <c r="J237" s="90"/>
      <c r="K237" s="90"/>
      <c r="L237" s="90"/>
      <c r="M237" s="90"/>
      <c r="N237" s="90"/>
      <c r="O237" s="90"/>
      <c r="P237" s="90"/>
      <c r="Q237" s="102"/>
      <c r="R237" s="90"/>
      <c r="S237" s="90"/>
      <c r="T237" s="102"/>
      <c r="U237" s="90"/>
      <c r="V237" s="102"/>
      <c r="W237" s="90"/>
      <c r="X237" s="90"/>
      <c r="Y237" s="90"/>
      <c r="Z237" s="90"/>
      <c r="AA237" s="90"/>
      <c r="AB237" s="90"/>
      <c r="AC237" s="90"/>
      <c r="AD237" s="90"/>
      <c r="AE237" s="90"/>
      <c r="AF237" s="90"/>
      <c r="AG237" s="90"/>
      <c r="AH237" s="90"/>
      <c r="AI237" s="90"/>
      <c r="AJ237" s="90"/>
      <c r="AK237" s="90"/>
      <c r="AL237" s="90"/>
      <c r="AM237" s="90"/>
      <c r="AN237" s="90"/>
      <c r="AO237" s="90"/>
      <c r="AP237" s="90"/>
      <c r="AQ237" s="90"/>
      <c r="AR237" s="90"/>
      <c r="AS237" s="90"/>
      <c r="AT237" s="90"/>
      <c r="AU237" s="90"/>
      <c r="AV237" s="90"/>
      <c r="AW237" s="90"/>
      <c r="AX237" s="90"/>
      <c r="AY237" s="90"/>
      <c r="AZ237" s="90"/>
      <c r="BA237" s="90"/>
    </row>
    <row r="238" spans="1:53" ht="13.5" customHeight="1">
      <c r="A238" s="90"/>
      <c r="B238" s="90"/>
      <c r="C238" s="90"/>
      <c r="D238" s="90"/>
      <c r="E238" s="90"/>
      <c r="F238" s="90"/>
      <c r="G238" s="90"/>
      <c r="H238" s="90"/>
      <c r="I238" s="90"/>
      <c r="J238" s="90"/>
      <c r="K238" s="90"/>
      <c r="L238" s="90"/>
      <c r="M238" s="90"/>
      <c r="N238" s="90"/>
      <c r="O238" s="90"/>
      <c r="P238" s="90"/>
      <c r="Q238" s="102"/>
      <c r="R238" s="90"/>
      <c r="S238" s="90"/>
      <c r="T238" s="102"/>
      <c r="U238" s="90"/>
      <c r="V238" s="102"/>
      <c r="W238" s="90"/>
      <c r="X238" s="90"/>
      <c r="Y238" s="90"/>
      <c r="Z238" s="90"/>
      <c r="AA238" s="90"/>
      <c r="AB238" s="90"/>
      <c r="AC238" s="90"/>
      <c r="AD238" s="90"/>
      <c r="AE238" s="90"/>
      <c r="AF238" s="90"/>
      <c r="AG238" s="90"/>
      <c r="AH238" s="90"/>
      <c r="AI238" s="90"/>
      <c r="AJ238" s="90"/>
      <c r="AK238" s="90"/>
      <c r="AL238" s="90"/>
      <c r="AM238" s="90"/>
      <c r="AN238" s="90"/>
      <c r="AO238" s="90"/>
      <c r="AP238" s="90"/>
      <c r="AQ238" s="90"/>
      <c r="AR238" s="90"/>
      <c r="AS238" s="90"/>
      <c r="AT238" s="90"/>
      <c r="AU238" s="90"/>
      <c r="AV238" s="90"/>
      <c r="AW238" s="90"/>
      <c r="AX238" s="90"/>
      <c r="AY238" s="90"/>
      <c r="AZ238" s="90"/>
      <c r="BA238" s="90"/>
    </row>
    <row r="239" spans="1:53" ht="13.5" customHeight="1">
      <c r="A239" s="90"/>
      <c r="B239" s="90"/>
      <c r="C239" s="90"/>
      <c r="D239" s="90"/>
      <c r="E239" s="90"/>
      <c r="F239" s="90"/>
      <c r="G239" s="90"/>
      <c r="H239" s="90"/>
      <c r="I239" s="90"/>
      <c r="J239" s="90"/>
      <c r="K239" s="90"/>
      <c r="L239" s="90"/>
      <c r="M239" s="90"/>
      <c r="N239" s="90"/>
      <c r="O239" s="90"/>
      <c r="P239" s="90"/>
      <c r="Q239" s="102"/>
      <c r="R239" s="90"/>
      <c r="S239" s="90"/>
      <c r="T239" s="102"/>
      <c r="U239" s="90"/>
      <c r="V239" s="102"/>
      <c r="W239" s="90"/>
      <c r="X239" s="90"/>
      <c r="Y239" s="90"/>
      <c r="Z239" s="90"/>
      <c r="AA239" s="90"/>
      <c r="AB239" s="90"/>
      <c r="AC239" s="90"/>
      <c r="AD239" s="90"/>
      <c r="AE239" s="90"/>
      <c r="AF239" s="90"/>
      <c r="AG239" s="90"/>
      <c r="AH239" s="90"/>
      <c r="AI239" s="90"/>
      <c r="AJ239" s="90"/>
      <c r="AK239" s="90"/>
      <c r="AL239" s="90"/>
      <c r="AM239" s="90"/>
      <c r="AN239" s="90"/>
      <c r="AO239" s="90"/>
      <c r="AP239" s="90"/>
      <c r="AQ239" s="90"/>
      <c r="AR239" s="90"/>
      <c r="AS239" s="90"/>
      <c r="AT239" s="90"/>
      <c r="AU239" s="90"/>
      <c r="AV239" s="90"/>
      <c r="AW239" s="90"/>
      <c r="AX239" s="90"/>
      <c r="AY239" s="90"/>
      <c r="AZ239" s="90"/>
      <c r="BA239" s="90"/>
    </row>
    <row r="240" spans="1:53" ht="13.5" customHeight="1">
      <c r="A240" s="90"/>
      <c r="B240" s="90"/>
      <c r="C240" s="90"/>
      <c r="D240" s="90"/>
      <c r="E240" s="90"/>
      <c r="F240" s="90"/>
      <c r="G240" s="90"/>
      <c r="H240" s="90"/>
      <c r="I240" s="90"/>
      <c r="J240" s="90"/>
      <c r="K240" s="90"/>
      <c r="L240" s="90"/>
      <c r="M240" s="90"/>
      <c r="N240" s="90"/>
      <c r="O240" s="90"/>
      <c r="P240" s="90"/>
      <c r="Q240" s="102"/>
      <c r="R240" s="90"/>
      <c r="S240" s="90"/>
      <c r="T240" s="102"/>
      <c r="U240" s="90"/>
      <c r="V240" s="102"/>
      <c r="W240" s="90"/>
      <c r="X240" s="90"/>
      <c r="Y240" s="90"/>
      <c r="Z240" s="90"/>
      <c r="AA240" s="90"/>
      <c r="AB240" s="90"/>
      <c r="AC240" s="90"/>
      <c r="AD240" s="90"/>
      <c r="AE240" s="90"/>
      <c r="AF240" s="90"/>
      <c r="AG240" s="90"/>
      <c r="AH240" s="90"/>
      <c r="AI240" s="90"/>
      <c r="AJ240" s="90"/>
      <c r="AK240" s="90"/>
      <c r="AL240" s="90"/>
      <c r="AM240" s="90"/>
      <c r="AN240" s="90"/>
      <c r="AO240" s="90"/>
      <c r="AP240" s="90"/>
      <c r="AQ240" s="90"/>
      <c r="AR240" s="90"/>
      <c r="AS240" s="90"/>
      <c r="AT240" s="90"/>
      <c r="AU240" s="90"/>
      <c r="AV240" s="90"/>
      <c r="AW240" s="90"/>
      <c r="AX240" s="90"/>
      <c r="AY240" s="90"/>
      <c r="AZ240" s="90"/>
      <c r="BA240" s="90"/>
    </row>
    <row r="241" spans="1:53" ht="13.5" customHeight="1">
      <c r="A241" s="90"/>
      <c r="B241" s="90"/>
      <c r="C241" s="90"/>
      <c r="D241" s="90"/>
      <c r="E241" s="90"/>
      <c r="F241" s="90"/>
      <c r="G241" s="90"/>
      <c r="H241" s="90"/>
      <c r="I241" s="90"/>
      <c r="J241" s="90"/>
      <c r="K241" s="90"/>
      <c r="L241" s="90"/>
      <c r="M241" s="90"/>
      <c r="N241" s="90"/>
      <c r="O241" s="90"/>
      <c r="P241" s="90"/>
      <c r="Q241" s="102"/>
      <c r="R241" s="90"/>
      <c r="S241" s="90"/>
      <c r="T241" s="102"/>
      <c r="U241" s="90"/>
      <c r="V241" s="102"/>
      <c r="W241" s="90"/>
      <c r="X241" s="90"/>
      <c r="Y241" s="90"/>
      <c r="Z241" s="90"/>
      <c r="AA241" s="90"/>
      <c r="AB241" s="90"/>
      <c r="AC241" s="90"/>
      <c r="AD241" s="90"/>
      <c r="AE241" s="90"/>
      <c r="AF241" s="90"/>
      <c r="AG241" s="90"/>
      <c r="AH241" s="90"/>
      <c r="AI241" s="90"/>
      <c r="AJ241" s="90"/>
      <c r="AK241" s="90"/>
      <c r="AL241" s="90"/>
      <c r="AM241" s="90"/>
      <c r="AN241" s="90"/>
      <c r="AO241" s="90"/>
      <c r="AP241" s="90"/>
      <c r="AQ241" s="90"/>
      <c r="AR241" s="90"/>
      <c r="AS241" s="90"/>
      <c r="AT241" s="90"/>
      <c r="AU241" s="90"/>
      <c r="AV241" s="90"/>
      <c r="AW241" s="90"/>
      <c r="AX241" s="90"/>
      <c r="AY241" s="90"/>
      <c r="AZ241" s="90"/>
      <c r="BA241" s="90"/>
    </row>
    <row r="242" spans="1:53" ht="13.5" customHeight="1">
      <c r="A242" s="90"/>
      <c r="B242" s="90"/>
      <c r="C242" s="90"/>
      <c r="D242" s="90"/>
      <c r="E242" s="90"/>
      <c r="F242" s="90"/>
      <c r="G242" s="90"/>
      <c r="H242" s="90"/>
      <c r="I242" s="90"/>
      <c r="J242" s="90"/>
      <c r="K242" s="90"/>
      <c r="L242" s="90"/>
      <c r="M242" s="90"/>
      <c r="N242" s="90"/>
      <c r="O242" s="90"/>
      <c r="P242" s="90"/>
      <c r="Q242" s="102"/>
      <c r="R242" s="90"/>
      <c r="S242" s="90"/>
      <c r="T242" s="102"/>
      <c r="U242" s="90"/>
      <c r="V242" s="102"/>
      <c r="W242" s="90"/>
      <c r="X242" s="90"/>
      <c r="Y242" s="90"/>
      <c r="Z242" s="90"/>
      <c r="AA242" s="90"/>
      <c r="AB242" s="90"/>
      <c r="AC242" s="90"/>
      <c r="AD242" s="90"/>
      <c r="AE242" s="90"/>
      <c r="AF242" s="90"/>
      <c r="AG242" s="90"/>
      <c r="AH242" s="90"/>
      <c r="AI242" s="90"/>
      <c r="AJ242" s="90"/>
      <c r="AK242" s="90"/>
      <c r="AL242" s="90"/>
      <c r="AM242" s="90"/>
      <c r="AN242" s="90"/>
      <c r="AO242" s="90"/>
      <c r="AP242" s="90"/>
      <c r="AQ242" s="90"/>
      <c r="AR242" s="90"/>
      <c r="AS242" s="90"/>
      <c r="AT242" s="90"/>
      <c r="AU242" s="90"/>
      <c r="AV242" s="90"/>
      <c r="AW242" s="90"/>
      <c r="AX242" s="90"/>
      <c r="AY242" s="90"/>
      <c r="AZ242" s="90"/>
      <c r="BA242" s="90"/>
    </row>
    <row r="243" spans="1:53" ht="13.5" customHeight="1">
      <c r="A243" s="90"/>
      <c r="B243" s="90"/>
      <c r="C243" s="90"/>
      <c r="D243" s="90"/>
      <c r="E243" s="90"/>
      <c r="F243" s="90"/>
      <c r="G243" s="90"/>
      <c r="H243" s="90"/>
      <c r="I243" s="90"/>
      <c r="J243" s="90"/>
      <c r="K243" s="90"/>
      <c r="L243" s="90"/>
      <c r="M243" s="90"/>
      <c r="N243" s="90"/>
      <c r="O243" s="90"/>
      <c r="P243" s="90"/>
      <c r="Q243" s="102"/>
      <c r="R243" s="90"/>
      <c r="S243" s="90"/>
      <c r="T243" s="102"/>
      <c r="U243" s="90"/>
      <c r="V243" s="102"/>
      <c r="W243" s="90"/>
      <c r="X243" s="90"/>
      <c r="Y243" s="90"/>
      <c r="Z243" s="90"/>
      <c r="AA243" s="90"/>
      <c r="AB243" s="90"/>
      <c r="AC243" s="90"/>
      <c r="AD243" s="90"/>
      <c r="AE243" s="90"/>
      <c r="AF243" s="90"/>
      <c r="AG243" s="90"/>
      <c r="AH243" s="90"/>
      <c r="AI243" s="90"/>
      <c r="AJ243" s="90"/>
      <c r="AK243" s="90"/>
      <c r="AL243" s="90"/>
      <c r="AM243" s="90"/>
      <c r="AN243" s="90"/>
      <c r="AO243" s="90"/>
      <c r="AP243" s="90"/>
      <c r="AQ243" s="90"/>
      <c r="AR243" s="90"/>
      <c r="AS243" s="90"/>
      <c r="AT243" s="90"/>
      <c r="AU243" s="90"/>
      <c r="AV243" s="90"/>
      <c r="AW243" s="90"/>
      <c r="AX243" s="90"/>
      <c r="AY243" s="90"/>
      <c r="AZ243" s="90"/>
      <c r="BA243" s="90"/>
    </row>
    <row r="244" spans="1:53" ht="13.5" customHeight="1">
      <c r="A244" s="90"/>
      <c r="B244" s="90"/>
      <c r="C244" s="90"/>
      <c r="D244" s="90"/>
      <c r="E244" s="90"/>
      <c r="F244" s="90"/>
      <c r="G244" s="90"/>
      <c r="H244" s="90"/>
      <c r="I244" s="90"/>
      <c r="J244" s="90"/>
      <c r="K244" s="90"/>
      <c r="L244" s="90"/>
      <c r="M244" s="90"/>
      <c r="N244" s="90"/>
      <c r="O244" s="90"/>
      <c r="P244" s="90"/>
      <c r="Q244" s="102"/>
      <c r="R244" s="90"/>
      <c r="S244" s="90"/>
      <c r="T244" s="102"/>
      <c r="U244" s="90"/>
      <c r="V244" s="102"/>
      <c r="W244" s="90"/>
      <c r="X244" s="90"/>
      <c r="Y244" s="90"/>
      <c r="Z244" s="90"/>
      <c r="AA244" s="90"/>
      <c r="AB244" s="90"/>
      <c r="AC244" s="90"/>
      <c r="AD244" s="90"/>
      <c r="AE244" s="90"/>
      <c r="AF244" s="90"/>
      <c r="AG244" s="90"/>
      <c r="AH244" s="90"/>
      <c r="AI244" s="90"/>
      <c r="AJ244" s="90"/>
      <c r="AK244" s="90"/>
      <c r="AL244" s="90"/>
      <c r="AM244" s="90"/>
      <c r="AN244" s="90"/>
      <c r="AO244" s="90"/>
      <c r="AP244" s="90"/>
      <c r="AQ244" s="90"/>
      <c r="AR244" s="90"/>
      <c r="AS244" s="90"/>
      <c r="AT244" s="90"/>
      <c r="AU244" s="90"/>
      <c r="AV244" s="90"/>
      <c r="AW244" s="90"/>
      <c r="AX244" s="90"/>
      <c r="AY244" s="90"/>
      <c r="AZ244" s="90"/>
      <c r="BA244" s="90"/>
    </row>
    <row r="245" spans="1:53" ht="13.5" customHeight="1">
      <c r="A245" s="90"/>
      <c r="B245" s="90"/>
      <c r="C245" s="90"/>
      <c r="D245" s="90"/>
      <c r="E245" s="90"/>
      <c r="F245" s="90"/>
      <c r="G245" s="90"/>
      <c r="H245" s="90"/>
      <c r="I245" s="90"/>
      <c r="J245" s="90"/>
      <c r="K245" s="90"/>
      <c r="L245" s="90"/>
      <c r="M245" s="90"/>
      <c r="N245" s="90"/>
      <c r="O245" s="90"/>
      <c r="P245" s="90"/>
      <c r="Q245" s="102"/>
      <c r="R245" s="90"/>
      <c r="S245" s="90"/>
      <c r="T245" s="102"/>
      <c r="U245" s="90"/>
      <c r="V245" s="102"/>
      <c r="W245" s="90"/>
      <c r="X245" s="90"/>
      <c r="Y245" s="90"/>
      <c r="Z245" s="90"/>
      <c r="AA245" s="90"/>
      <c r="AB245" s="90"/>
      <c r="AC245" s="90"/>
      <c r="AD245" s="90"/>
      <c r="AE245" s="90"/>
      <c r="AF245" s="90"/>
      <c r="AG245" s="90"/>
      <c r="AH245" s="90"/>
      <c r="AI245" s="90"/>
      <c r="AJ245" s="90"/>
      <c r="AK245" s="90"/>
      <c r="AL245" s="90"/>
      <c r="AM245" s="90"/>
      <c r="AN245" s="90"/>
      <c r="AO245" s="90"/>
      <c r="AP245" s="90"/>
      <c r="AQ245" s="90"/>
      <c r="AR245" s="90"/>
      <c r="AS245" s="90"/>
      <c r="AT245" s="90"/>
      <c r="AU245" s="90"/>
      <c r="AV245" s="90"/>
      <c r="AW245" s="90"/>
      <c r="AX245" s="90"/>
      <c r="AY245" s="90"/>
      <c r="AZ245" s="90"/>
      <c r="BA245" s="90"/>
    </row>
    <row r="246" spans="1:53" ht="13.5" customHeight="1">
      <c r="A246" s="90"/>
      <c r="B246" s="90"/>
      <c r="C246" s="90"/>
      <c r="D246" s="90"/>
      <c r="E246" s="90"/>
      <c r="F246" s="90"/>
      <c r="G246" s="90"/>
      <c r="H246" s="90"/>
      <c r="I246" s="90"/>
      <c r="J246" s="90"/>
      <c r="K246" s="90"/>
      <c r="L246" s="90"/>
      <c r="M246" s="90"/>
      <c r="N246" s="90"/>
      <c r="O246" s="90"/>
      <c r="P246" s="90"/>
      <c r="Q246" s="102"/>
      <c r="R246" s="90"/>
      <c r="S246" s="90"/>
      <c r="T246" s="102"/>
      <c r="U246" s="90"/>
      <c r="V246" s="102"/>
      <c r="W246" s="90"/>
      <c r="X246" s="90"/>
      <c r="Y246" s="90"/>
      <c r="Z246" s="90"/>
      <c r="AA246" s="90"/>
      <c r="AB246" s="90"/>
      <c r="AC246" s="90"/>
      <c r="AD246" s="90"/>
      <c r="AE246" s="90"/>
      <c r="AF246" s="90"/>
      <c r="AG246" s="90"/>
      <c r="AH246" s="90"/>
      <c r="AI246" s="90"/>
      <c r="AJ246" s="90"/>
      <c r="AK246" s="90"/>
      <c r="AL246" s="90"/>
      <c r="AM246" s="90"/>
      <c r="AN246" s="90"/>
      <c r="AO246" s="90"/>
      <c r="AP246" s="90"/>
      <c r="AQ246" s="90"/>
      <c r="AR246" s="90"/>
      <c r="AS246" s="90"/>
      <c r="AT246" s="90"/>
      <c r="AU246" s="90"/>
      <c r="AV246" s="90"/>
      <c r="AW246" s="90"/>
      <c r="AX246" s="90"/>
      <c r="AY246" s="90"/>
      <c r="AZ246" s="90"/>
      <c r="BA246" s="90"/>
    </row>
    <row r="247" spans="1:53" ht="13.5" customHeight="1">
      <c r="A247" s="90"/>
      <c r="B247" s="90"/>
      <c r="C247" s="90"/>
      <c r="D247" s="90"/>
      <c r="E247" s="90"/>
      <c r="F247" s="90"/>
      <c r="G247" s="90"/>
      <c r="H247" s="90"/>
      <c r="I247" s="90"/>
      <c r="J247" s="90"/>
      <c r="K247" s="90"/>
      <c r="L247" s="90"/>
      <c r="M247" s="90"/>
      <c r="N247" s="90"/>
      <c r="O247" s="90"/>
      <c r="P247" s="90"/>
      <c r="Q247" s="102"/>
      <c r="R247" s="90"/>
      <c r="S247" s="90"/>
      <c r="T247" s="102"/>
      <c r="U247" s="90"/>
      <c r="V247" s="102"/>
      <c r="W247" s="90"/>
      <c r="X247" s="90"/>
      <c r="Y247" s="90"/>
      <c r="Z247" s="90"/>
      <c r="AA247" s="90"/>
      <c r="AB247" s="90"/>
      <c r="AC247" s="90"/>
      <c r="AD247" s="90"/>
      <c r="AE247" s="90"/>
      <c r="AF247" s="90"/>
      <c r="AG247" s="90"/>
      <c r="AH247" s="90"/>
      <c r="AI247" s="90"/>
      <c r="AJ247" s="90"/>
      <c r="AK247" s="90"/>
      <c r="AL247" s="90"/>
      <c r="AM247" s="90"/>
      <c r="AN247" s="90"/>
      <c r="AO247" s="90"/>
      <c r="AP247" s="90"/>
      <c r="AQ247" s="90"/>
      <c r="AR247" s="90"/>
      <c r="AS247" s="90"/>
      <c r="AT247" s="90"/>
      <c r="AU247" s="90"/>
      <c r="AV247" s="90"/>
      <c r="AW247" s="90"/>
      <c r="AX247" s="90"/>
      <c r="AY247" s="90"/>
      <c r="AZ247" s="90"/>
      <c r="BA247" s="90"/>
    </row>
    <row r="248" spans="1:53" ht="13.5" customHeight="1">
      <c r="A248" s="90"/>
      <c r="B248" s="90"/>
      <c r="C248" s="90"/>
      <c r="D248" s="90"/>
      <c r="E248" s="90"/>
      <c r="F248" s="90"/>
      <c r="G248" s="90"/>
      <c r="H248" s="90"/>
      <c r="I248" s="90"/>
      <c r="J248" s="90"/>
      <c r="K248" s="90"/>
      <c r="L248" s="90"/>
      <c r="M248" s="90"/>
      <c r="N248" s="90"/>
      <c r="O248" s="90"/>
      <c r="P248" s="90"/>
      <c r="Q248" s="102"/>
      <c r="R248" s="90"/>
      <c r="S248" s="90"/>
      <c r="T248" s="102"/>
      <c r="U248" s="90"/>
      <c r="V248" s="102"/>
      <c r="W248" s="90"/>
      <c r="X248" s="90"/>
      <c r="Y248" s="90"/>
      <c r="Z248" s="90"/>
      <c r="AA248" s="90"/>
      <c r="AB248" s="90"/>
      <c r="AC248" s="90"/>
      <c r="AD248" s="90"/>
      <c r="AE248" s="90"/>
      <c r="AF248" s="90"/>
      <c r="AG248" s="90"/>
      <c r="AH248" s="90"/>
      <c r="AI248" s="90"/>
      <c r="AJ248" s="90"/>
      <c r="AK248" s="90"/>
      <c r="AL248" s="90"/>
      <c r="AM248" s="90"/>
      <c r="AN248" s="90"/>
      <c r="AO248" s="90"/>
      <c r="AP248" s="90"/>
      <c r="AQ248" s="90"/>
      <c r="AR248" s="90"/>
      <c r="AS248" s="90"/>
      <c r="AT248" s="90"/>
      <c r="AU248" s="90"/>
      <c r="AV248" s="90"/>
      <c r="AW248" s="90"/>
      <c r="AX248" s="90"/>
      <c r="AY248" s="90"/>
      <c r="AZ248" s="90"/>
      <c r="BA248" s="90"/>
    </row>
    <row r="249" spans="1:53" ht="13.5" customHeight="1">
      <c r="A249" s="90"/>
      <c r="B249" s="90"/>
      <c r="C249" s="90"/>
      <c r="D249" s="90"/>
      <c r="E249" s="90"/>
      <c r="F249" s="90"/>
      <c r="G249" s="90"/>
      <c r="H249" s="90"/>
      <c r="I249" s="90"/>
      <c r="J249" s="90"/>
      <c r="K249" s="90"/>
      <c r="L249" s="90"/>
      <c r="M249" s="90"/>
      <c r="N249" s="90"/>
      <c r="O249" s="90"/>
      <c r="P249" s="90"/>
      <c r="Q249" s="102"/>
      <c r="R249" s="90"/>
      <c r="S249" s="90"/>
      <c r="T249" s="102"/>
      <c r="U249" s="90"/>
      <c r="V249" s="102"/>
      <c r="W249" s="90"/>
      <c r="X249" s="90"/>
      <c r="Y249" s="90"/>
      <c r="Z249" s="90"/>
      <c r="AA249" s="90"/>
      <c r="AB249" s="90"/>
      <c r="AC249" s="90"/>
      <c r="AD249" s="90"/>
      <c r="AE249" s="90"/>
      <c r="AF249" s="90"/>
      <c r="AG249" s="90"/>
      <c r="AH249" s="90"/>
      <c r="AI249" s="90"/>
      <c r="AJ249" s="90"/>
      <c r="AK249" s="90"/>
      <c r="AL249" s="90"/>
      <c r="AM249" s="90"/>
      <c r="AN249" s="90"/>
      <c r="AO249" s="90"/>
      <c r="AP249" s="90"/>
      <c r="AQ249" s="90"/>
      <c r="AR249" s="90"/>
      <c r="AS249" s="90"/>
      <c r="AT249" s="90"/>
      <c r="AU249" s="90"/>
      <c r="AV249" s="90"/>
      <c r="AW249" s="90"/>
      <c r="AX249" s="90"/>
      <c r="AY249" s="90"/>
      <c r="AZ249" s="90"/>
      <c r="BA249" s="90"/>
    </row>
    <row r="250" spans="1:53" ht="13.5" customHeight="1">
      <c r="A250" s="90"/>
      <c r="B250" s="90"/>
      <c r="C250" s="90"/>
      <c r="D250" s="90"/>
      <c r="E250" s="90"/>
      <c r="F250" s="90"/>
      <c r="G250" s="90"/>
      <c r="H250" s="90"/>
      <c r="I250" s="90"/>
      <c r="J250" s="90"/>
      <c r="K250" s="90"/>
      <c r="L250" s="90"/>
      <c r="M250" s="90"/>
      <c r="N250" s="90"/>
      <c r="O250" s="90"/>
      <c r="P250" s="90"/>
      <c r="Q250" s="102"/>
      <c r="R250" s="90"/>
      <c r="S250" s="90"/>
      <c r="T250" s="102"/>
      <c r="U250" s="90"/>
      <c r="V250" s="102"/>
      <c r="W250" s="90"/>
      <c r="X250" s="90"/>
      <c r="Y250" s="90"/>
      <c r="Z250" s="90"/>
      <c r="AA250" s="90"/>
      <c r="AB250" s="90"/>
      <c r="AC250" s="90"/>
      <c r="AD250" s="90"/>
      <c r="AE250" s="90"/>
      <c r="AF250" s="90"/>
      <c r="AG250" s="90"/>
      <c r="AH250" s="90"/>
      <c r="AI250" s="90"/>
      <c r="AJ250" s="90"/>
      <c r="AK250" s="90"/>
      <c r="AL250" s="90"/>
      <c r="AM250" s="90"/>
      <c r="AN250" s="90"/>
      <c r="AO250" s="90"/>
      <c r="AP250" s="90"/>
      <c r="AQ250" s="90"/>
      <c r="AR250" s="90"/>
      <c r="AS250" s="90"/>
      <c r="AT250" s="90"/>
      <c r="AU250" s="90"/>
      <c r="AV250" s="90"/>
      <c r="AW250" s="90"/>
      <c r="AX250" s="90"/>
      <c r="AY250" s="90"/>
      <c r="AZ250" s="90"/>
      <c r="BA250" s="90"/>
    </row>
    <row r="251" spans="1:53" ht="13.5" customHeight="1">
      <c r="A251" s="90"/>
      <c r="B251" s="90"/>
      <c r="C251" s="90"/>
      <c r="D251" s="90"/>
      <c r="E251" s="90"/>
      <c r="F251" s="90"/>
      <c r="G251" s="90"/>
      <c r="H251" s="90"/>
      <c r="I251" s="90"/>
      <c r="J251" s="90"/>
      <c r="K251" s="90"/>
      <c r="L251" s="90"/>
      <c r="M251" s="90"/>
      <c r="N251" s="90"/>
      <c r="O251" s="90"/>
      <c r="P251" s="90"/>
      <c r="Q251" s="102"/>
      <c r="R251" s="90"/>
      <c r="S251" s="90"/>
      <c r="T251" s="102"/>
      <c r="U251" s="90"/>
      <c r="V251" s="102"/>
      <c r="W251" s="90"/>
      <c r="X251" s="90"/>
      <c r="Y251" s="90"/>
      <c r="Z251" s="90"/>
      <c r="AA251" s="90"/>
      <c r="AB251" s="90"/>
      <c r="AC251" s="90"/>
      <c r="AD251" s="90"/>
      <c r="AE251" s="90"/>
      <c r="AF251" s="90"/>
      <c r="AG251" s="90"/>
      <c r="AH251" s="90"/>
      <c r="AI251" s="90"/>
      <c r="AJ251" s="90"/>
      <c r="AK251" s="90"/>
      <c r="AL251" s="90"/>
      <c r="AM251" s="90"/>
      <c r="AN251" s="90"/>
      <c r="AO251" s="90"/>
      <c r="AP251" s="90"/>
      <c r="AQ251" s="90"/>
      <c r="AR251" s="90"/>
      <c r="AS251" s="90"/>
      <c r="AT251" s="90"/>
      <c r="AU251" s="90"/>
      <c r="AV251" s="90"/>
      <c r="AW251" s="90"/>
      <c r="AX251" s="90"/>
      <c r="AY251" s="90"/>
      <c r="AZ251" s="90"/>
      <c r="BA251" s="90"/>
    </row>
    <row r="252" spans="1:53" ht="13.5" customHeight="1">
      <c r="A252" s="90"/>
      <c r="B252" s="90"/>
      <c r="C252" s="90"/>
      <c r="D252" s="90"/>
      <c r="E252" s="90"/>
      <c r="F252" s="90"/>
      <c r="G252" s="90"/>
      <c r="H252" s="90"/>
      <c r="I252" s="90"/>
      <c r="J252" s="90"/>
      <c r="K252" s="90"/>
      <c r="L252" s="90"/>
      <c r="M252" s="90"/>
      <c r="N252" s="90"/>
      <c r="O252" s="90"/>
      <c r="P252" s="90"/>
      <c r="Q252" s="102"/>
      <c r="R252" s="90"/>
      <c r="S252" s="90"/>
      <c r="T252" s="102"/>
      <c r="U252" s="90"/>
      <c r="V252" s="102"/>
      <c r="W252" s="90"/>
      <c r="X252" s="90"/>
      <c r="Y252" s="90"/>
      <c r="Z252" s="90"/>
      <c r="AA252" s="90"/>
      <c r="AB252" s="90"/>
      <c r="AC252" s="90"/>
      <c r="AD252" s="90"/>
      <c r="AE252" s="90"/>
      <c r="AF252" s="90"/>
      <c r="AG252" s="90"/>
      <c r="AH252" s="90"/>
      <c r="AI252" s="90"/>
      <c r="AJ252" s="90"/>
      <c r="AK252" s="90"/>
      <c r="AL252" s="90"/>
      <c r="AM252" s="90"/>
      <c r="AN252" s="90"/>
      <c r="AO252" s="90"/>
      <c r="AP252" s="90"/>
      <c r="AQ252" s="90"/>
      <c r="AR252" s="90"/>
      <c r="AS252" s="90"/>
      <c r="AT252" s="90"/>
      <c r="AU252" s="90"/>
      <c r="AV252" s="90"/>
      <c r="AW252" s="90"/>
      <c r="AX252" s="90"/>
      <c r="AY252" s="90"/>
      <c r="AZ252" s="90"/>
      <c r="BA252" s="90"/>
    </row>
    <row r="253" spans="1:53" ht="13.5" customHeight="1">
      <c r="A253" s="90"/>
      <c r="B253" s="90"/>
      <c r="C253" s="90"/>
      <c r="D253" s="90"/>
      <c r="E253" s="90"/>
      <c r="F253" s="90"/>
      <c r="G253" s="90"/>
      <c r="H253" s="90"/>
      <c r="I253" s="90"/>
      <c r="J253" s="90"/>
      <c r="K253" s="90"/>
      <c r="L253" s="90"/>
      <c r="M253" s="90"/>
      <c r="N253" s="90"/>
      <c r="O253" s="90"/>
      <c r="P253" s="90"/>
      <c r="Q253" s="102"/>
      <c r="R253" s="90"/>
      <c r="S253" s="90"/>
      <c r="T253" s="102"/>
      <c r="U253" s="90"/>
      <c r="V253" s="102"/>
      <c r="W253" s="90"/>
      <c r="X253" s="90"/>
      <c r="Y253" s="90"/>
      <c r="Z253" s="90"/>
      <c r="AA253" s="90"/>
      <c r="AB253" s="90"/>
      <c r="AC253" s="90"/>
      <c r="AD253" s="90"/>
      <c r="AE253" s="90"/>
      <c r="AF253" s="90"/>
      <c r="AG253" s="90"/>
      <c r="AH253" s="90"/>
      <c r="AI253" s="90"/>
      <c r="AJ253" s="90"/>
      <c r="AK253" s="90"/>
      <c r="AL253" s="90"/>
      <c r="AM253" s="90"/>
      <c r="AN253" s="90"/>
      <c r="AO253" s="90"/>
      <c r="AP253" s="90"/>
      <c r="AQ253" s="90"/>
      <c r="AR253" s="90"/>
      <c r="AS253" s="90"/>
      <c r="AT253" s="90"/>
      <c r="AU253" s="90"/>
      <c r="AV253" s="90"/>
      <c r="AW253" s="90"/>
      <c r="AX253" s="90"/>
      <c r="AY253" s="90"/>
      <c r="AZ253" s="90"/>
      <c r="BA253" s="90"/>
    </row>
    <row r="254" spans="1:53" ht="13.5" customHeight="1">
      <c r="A254" s="90"/>
      <c r="B254" s="90"/>
      <c r="C254" s="90"/>
      <c r="D254" s="90"/>
      <c r="E254" s="90"/>
      <c r="F254" s="90"/>
      <c r="G254" s="90"/>
      <c r="H254" s="90"/>
      <c r="I254" s="90"/>
      <c r="J254" s="90"/>
      <c r="K254" s="90"/>
      <c r="L254" s="90"/>
      <c r="M254" s="90"/>
      <c r="N254" s="90"/>
      <c r="O254" s="90"/>
      <c r="P254" s="90"/>
      <c r="Q254" s="102"/>
      <c r="R254" s="90"/>
      <c r="S254" s="90"/>
      <c r="T254" s="102"/>
      <c r="U254" s="90"/>
      <c r="V254" s="102"/>
      <c r="W254" s="90"/>
      <c r="X254" s="90"/>
      <c r="Y254" s="90"/>
      <c r="Z254" s="90"/>
      <c r="AA254" s="90"/>
      <c r="AB254" s="90"/>
      <c r="AC254" s="90"/>
      <c r="AD254" s="90"/>
      <c r="AE254" s="90"/>
      <c r="AF254" s="90"/>
      <c r="AG254" s="90"/>
      <c r="AH254" s="90"/>
      <c r="AI254" s="90"/>
      <c r="AJ254" s="90"/>
      <c r="AK254" s="90"/>
      <c r="AL254" s="90"/>
      <c r="AM254" s="90"/>
      <c r="AN254" s="90"/>
      <c r="AO254" s="90"/>
      <c r="AP254" s="90"/>
      <c r="AQ254" s="90"/>
      <c r="AR254" s="90"/>
      <c r="AS254" s="90"/>
      <c r="AT254" s="90"/>
      <c r="AU254" s="90"/>
      <c r="AV254" s="90"/>
      <c r="AW254" s="90"/>
      <c r="AX254" s="90"/>
      <c r="AY254" s="90"/>
      <c r="AZ254" s="90"/>
      <c r="BA254" s="90"/>
    </row>
    <row r="255" spans="1:53" ht="13.5" customHeight="1">
      <c r="A255" s="90"/>
      <c r="B255" s="90"/>
      <c r="C255" s="90"/>
      <c r="D255" s="90"/>
      <c r="E255" s="90"/>
      <c r="F255" s="90"/>
      <c r="G255" s="90"/>
      <c r="H255" s="90"/>
      <c r="I255" s="90"/>
      <c r="J255" s="90"/>
      <c r="K255" s="90"/>
      <c r="L255" s="90"/>
      <c r="M255" s="90"/>
      <c r="N255" s="90"/>
      <c r="O255" s="90"/>
      <c r="P255" s="90"/>
      <c r="Q255" s="102"/>
      <c r="R255" s="90"/>
      <c r="S255" s="90"/>
      <c r="T255" s="102"/>
      <c r="U255" s="90"/>
      <c r="V255" s="102"/>
      <c r="W255" s="90"/>
      <c r="X255" s="90"/>
      <c r="Y255" s="90"/>
      <c r="Z255" s="90"/>
      <c r="AA255" s="90"/>
      <c r="AB255" s="90"/>
      <c r="AC255" s="90"/>
      <c r="AD255" s="90"/>
      <c r="AE255" s="90"/>
      <c r="AF255" s="90"/>
      <c r="AG255" s="90"/>
      <c r="AH255" s="90"/>
      <c r="AI255" s="90"/>
      <c r="AJ255" s="90"/>
      <c r="AK255" s="90"/>
      <c r="AL255" s="90"/>
      <c r="AM255" s="90"/>
      <c r="AN255" s="90"/>
      <c r="AO255" s="90"/>
      <c r="AP255" s="90"/>
      <c r="AQ255" s="90"/>
      <c r="AR255" s="90"/>
      <c r="AS255" s="90"/>
      <c r="AT255" s="90"/>
      <c r="AU255" s="90"/>
      <c r="AV255" s="90"/>
      <c r="AW255" s="90"/>
      <c r="AX255" s="90"/>
      <c r="AY255" s="90"/>
      <c r="AZ255" s="90"/>
      <c r="BA255" s="90"/>
    </row>
    <row r="256" spans="1:53" ht="13.5" customHeight="1">
      <c r="A256" s="90"/>
      <c r="B256" s="90"/>
      <c r="C256" s="90"/>
      <c r="D256" s="90"/>
      <c r="E256" s="90"/>
      <c r="F256" s="90"/>
      <c r="G256" s="90"/>
      <c r="H256" s="90"/>
      <c r="I256" s="90"/>
      <c r="J256" s="90"/>
      <c r="K256" s="90"/>
      <c r="L256" s="90"/>
      <c r="M256" s="90"/>
      <c r="N256" s="90"/>
      <c r="O256" s="90"/>
      <c r="P256" s="90"/>
      <c r="Q256" s="102"/>
      <c r="R256" s="90"/>
      <c r="S256" s="90"/>
      <c r="T256" s="102"/>
      <c r="U256" s="90"/>
      <c r="V256" s="102"/>
      <c r="W256" s="90"/>
      <c r="X256" s="90"/>
      <c r="Y256" s="90"/>
      <c r="Z256" s="90"/>
      <c r="AA256" s="90"/>
      <c r="AB256" s="90"/>
      <c r="AC256" s="90"/>
      <c r="AD256" s="90"/>
      <c r="AE256" s="90"/>
      <c r="AF256" s="90"/>
      <c r="AG256" s="90"/>
      <c r="AH256" s="90"/>
      <c r="AI256" s="90"/>
      <c r="AJ256" s="90"/>
      <c r="AK256" s="90"/>
      <c r="AL256" s="90"/>
      <c r="AM256" s="90"/>
      <c r="AN256" s="90"/>
      <c r="AO256" s="90"/>
      <c r="AP256" s="90"/>
      <c r="AQ256" s="90"/>
      <c r="AR256" s="90"/>
      <c r="AS256" s="90"/>
      <c r="AT256" s="90"/>
      <c r="AU256" s="90"/>
      <c r="AV256" s="90"/>
      <c r="AW256" s="90"/>
      <c r="AX256" s="90"/>
      <c r="AY256" s="90"/>
      <c r="AZ256" s="90"/>
      <c r="BA256" s="90"/>
    </row>
    <row r="257" spans="1:53" ht="13.5" customHeight="1">
      <c r="A257" s="90"/>
      <c r="B257" s="90"/>
      <c r="C257" s="90"/>
      <c r="D257" s="90"/>
      <c r="E257" s="90"/>
      <c r="F257" s="90"/>
      <c r="G257" s="90"/>
      <c r="H257" s="90"/>
      <c r="I257" s="90"/>
      <c r="J257" s="90"/>
      <c r="K257" s="90"/>
      <c r="L257" s="90"/>
      <c r="M257" s="90"/>
      <c r="N257" s="90"/>
      <c r="O257" s="90"/>
      <c r="P257" s="90"/>
      <c r="Q257" s="102"/>
      <c r="R257" s="90"/>
      <c r="S257" s="90"/>
      <c r="T257" s="102"/>
      <c r="U257" s="90"/>
      <c r="V257" s="102"/>
      <c r="W257" s="90"/>
      <c r="X257" s="90"/>
      <c r="Y257" s="90"/>
      <c r="Z257" s="90"/>
      <c r="AA257" s="90"/>
      <c r="AB257" s="90"/>
      <c r="AC257" s="90"/>
      <c r="AD257" s="90"/>
      <c r="AE257" s="90"/>
      <c r="AF257" s="90"/>
      <c r="AG257" s="90"/>
      <c r="AH257" s="90"/>
      <c r="AI257" s="90"/>
      <c r="AJ257" s="90"/>
      <c r="AK257" s="90"/>
      <c r="AL257" s="90"/>
      <c r="AM257" s="90"/>
      <c r="AN257" s="90"/>
      <c r="AO257" s="90"/>
      <c r="AP257" s="90"/>
      <c r="AQ257" s="90"/>
      <c r="AR257" s="90"/>
      <c r="AS257" s="90"/>
      <c r="AT257" s="90"/>
      <c r="AU257" s="90"/>
      <c r="AV257" s="90"/>
      <c r="AW257" s="90"/>
      <c r="AX257" s="90"/>
      <c r="AY257" s="90"/>
      <c r="AZ257" s="90"/>
      <c r="BA257" s="90"/>
    </row>
    <row r="258" spans="1:53" ht="13.5" customHeight="1">
      <c r="A258" s="90"/>
      <c r="B258" s="90"/>
      <c r="C258" s="90"/>
      <c r="D258" s="90"/>
      <c r="E258" s="90"/>
      <c r="F258" s="90"/>
      <c r="G258" s="90"/>
      <c r="H258" s="90"/>
      <c r="I258" s="90"/>
      <c r="J258" s="90"/>
      <c r="K258" s="90"/>
      <c r="L258" s="90"/>
      <c r="M258" s="90"/>
      <c r="N258" s="90"/>
      <c r="O258" s="90"/>
      <c r="P258" s="90"/>
      <c r="Q258" s="102"/>
      <c r="R258" s="90"/>
      <c r="S258" s="90"/>
      <c r="T258" s="102"/>
      <c r="U258" s="90"/>
      <c r="V258" s="102"/>
      <c r="W258" s="90"/>
      <c r="X258" s="90"/>
      <c r="Y258" s="90"/>
      <c r="Z258" s="90"/>
      <c r="AA258" s="90"/>
      <c r="AB258" s="90"/>
      <c r="AC258" s="90"/>
      <c r="AD258" s="90"/>
      <c r="AE258" s="90"/>
      <c r="AF258" s="90"/>
      <c r="AG258" s="90"/>
      <c r="AH258" s="90"/>
      <c r="AI258" s="90"/>
      <c r="AJ258" s="90"/>
      <c r="AK258" s="90"/>
      <c r="AL258" s="90"/>
      <c r="AM258" s="90"/>
      <c r="AN258" s="90"/>
      <c r="AO258" s="90"/>
      <c r="AP258" s="90"/>
      <c r="AQ258" s="90"/>
      <c r="AR258" s="90"/>
      <c r="AS258" s="90"/>
      <c r="AT258" s="90"/>
      <c r="AU258" s="90"/>
      <c r="AV258" s="90"/>
      <c r="AW258" s="90"/>
      <c r="AX258" s="90"/>
      <c r="AY258" s="90"/>
      <c r="AZ258" s="90"/>
      <c r="BA258" s="90"/>
    </row>
    <row r="259" spans="1:53" ht="13.5" customHeight="1">
      <c r="A259" s="90"/>
      <c r="B259" s="90"/>
      <c r="C259" s="90"/>
      <c r="D259" s="90"/>
      <c r="E259" s="90"/>
      <c r="F259" s="90"/>
      <c r="G259" s="90"/>
      <c r="H259" s="90"/>
      <c r="I259" s="90"/>
      <c r="J259" s="90"/>
      <c r="K259" s="90"/>
      <c r="L259" s="90"/>
      <c r="M259" s="90"/>
      <c r="N259" s="90"/>
      <c r="O259" s="90"/>
      <c r="P259" s="90"/>
      <c r="Q259" s="102"/>
      <c r="R259" s="90"/>
      <c r="S259" s="90"/>
      <c r="T259" s="102"/>
      <c r="U259" s="90"/>
      <c r="V259" s="102"/>
      <c r="W259" s="90"/>
      <c r="X259" s="90"/>
      <c r="Y259" s="90"/>
      <c r="Z259" s="90"/>
      <c r="AA259" s="90"/>
      <c r="AB259" s="90"/>
      <c r="AC259" s="90"/>
      <c r="AD259" s="90"/>
      <c r="AE259" s="90"/>
      <c r="AF259" s="90"/>
      <c r="AG259" s="90"/>
      <c r="AH259" s="90"/>
      <c r="AI259" s="90"/>
      <c r="AJ259" s="90"/>
      <c r="AK259" s="90"/>
      <c r="AL259" s="90"/>
      <c r="AM259" s="90"/>
      <c r="AN259" s="90"/>
      <c r="AO259" s="90"/>
      <c r="AP259" s="90"/>
      <c r="AQ259" s="90"/>
      <c r="AR259" s="90"/>
      <c r="AS259" s="90"/>
      <c r="AT259" s="90"/>
      <c r="AU259" s="90"/>
      <c r="AV259" s="90"/>
      <c r="AW259" s="90"/>
      <c r="AX259" s="90"/>
      <c r="AY259" s="90"/>
      <c r="AZ259" s="90"/>
      <c r="BA259" s="90"/>
    </row>
    <row r="260" spans="1:53" ht="13.5" customHeight="1">
      <c r="A260" s="90"/>
      <c r="B260" s="90"/>
      <c r="C260" s="90"/>
      <c r="D260" s="90"/>
      <c r="E260" s="90"/>
      <c r="F260" s="90"/>
      <c r="G260" s="90"/>
      <c r="H260" s="90"/>
      <c r="I260" s="90"/>
      <c r="J260" s="90"/>
      <c r="K260" s="90"/>
      <c r="L260" s="90"/>
      <c r="M260" s="90"/>
      <c r="N260" s="90"/>
      <c r="O260" s="90"/>
      <c r="P260" s="90"/>
      <c r="Q260" s="102"/>
      <c r="R260" s="90"/>
      <c r="S260" s="90"/>
      <c r="T260" s="102"/>
      <c r="U260" s="90"/>
      <c r="V260" s="102"/>
      <c r="W260" s="90"/>
      <c r="X260" s="90"/>
      <c r="Y260" s="90"/>
      <c r="Z260" s="90"/>
      <c r="AA260" s="90"/>
      <c r="AB260" s="90"/>
      <c r="AC260" s="90"/>
      <c r="AD260" s="90"/>
      <c r="AE260" s="90"/>
      <c r="AF260" s="90"/>
      <c r="AG260" s="90"/>
      <c r="AH260" s="90"/>
      <c r="AI260" s="90"/>
      <c r="AJ260" s="90"/>
      <c r="AK260" s="90"/>
      <c r="AL260" s="90"/>
      <c r="AM260" s="90"/>
      <c r="AN260" s="90"/>
      <c r="AO260" s="90"/>
      <c r="AP260" s="90"/>
      <c r="AQ260" s="90"/>
      <c r="AR260" s="90"/>
      <c r="AS260" s="90"/>
      <c r="AT260" s="90"/>
      <c r="AU260" s="90"/>
      <c r="AV260" s="90"/>
      <c r="AW260" s="90"/>
      <c r="AX260" s="90"/>
      <c r="AY260" s="90"/>
      <c r="AZ260" s="90"/>
      <c r="BA260" s="90"/>
    </row>
    <row r="261" spans="1:53" ht="13.5" customHeight="1">
      <c r="A261" s="90"/>
      <c r="B261" s="90"/>
      <c r="C261" s="90"/>
      <c r="D261" s="90"/>
      <c r="E261" s="90"/>
      <c r="F261" s="90"/>
      <c r="G261" s="90"/>
      <c r="H261" s="90"/>
      <c r="I261" s="90"/>
      <c r="J261" s="90"/>
      <c r="K261" s="90"/>
      <c r="L261" s="90"/>
      <c r="M261" s="90"/>
      <c r="N261" s="90"/>
      <c r="O261" s="90"/>
      <c r="P261" s="90"/>
      <c r="Q261" s="102"/>
      <c r="R261" s="90"/>
      <c r="S261" s="90"/>
      <c r="T261" s="102"/>
      <c r="U261" s="90"/>
      <c r="V261" s="102"/>
      <c r="W261" s="90"/>
      <c r="X261" s="90"/>
      <c r="Y261" s="90"/>
      <c r="Z261" s="90"/>
      <c r="AA261" s="90"/>
      <c r="AB261" s="90"/>
      <c r="AC261" s="90"/>
      <c r="AD261" s="90"/>
      <c r="AE261" s="90"/>
      <c r="AF261" s="90"/>
      <c r="AG261" s="90"/>
      <c r="AH261" s="90"/>
      <c r="AI261" s="90"/>
      <c r="AJ261" s="90"/>
      <c r="AK261" s="90"/>
      <c r="AL261" s="90"/>
      <c r="AM261" s="90"/>
      <c r="AN261" s="90"/>
      <c r="AO261" s="90"/>
      <c r="AP261" s="90"/>
      <c r="AQ261" s="90"/>
      <c r="AR261" s="90"/>
      <c r="AS261" s="90"/>
      <c r="AT261" s="90"/>
      <c r="AU261" s="90"/>
      <c r="AV261" s="90"/>
      <c r="AW261" s="90"/>
      <c r="AX261" s="90"/>
      <c r="AY261" s="90"/>
      <c r="AZ261" s="90"/>
      <c r="BA261" s="90"/>
    </row>
    <row r="262" spans="1:53" ht="13.5" customHeight="1">
      <c r="A262" s="90"/>
      <c r="B262" s="90"/>
      <c r="C262" s="90"/>
      <c r="D262" s="90"/>
      <c r="E262" s="90"/>
      <c r="F262" s="90"/>
      <c r="G262" s="90"/>
      <c r="H262" s="90"/>
      <c r="I262" s="90"/>
      <c r="J262" s="90"/>
      <c r="K262" s="90"/>
      <c r="L262" s="90"/>
      <c r="M262" s="90"/>
      <c r="N262" s="90"/>
      <c r="O262" s="90"/>
      <c r="P262" s="90"/>
      <c r="Q262" s="102"/>
      <c r="R262" s="90"/>
      <c r="S262" s="90"/>
      <c r="T262" s="102"/>
      <c r="U262" s="90"/>
      <c r="V262" s="102"/>
      <c r="W262" s="90"/>
      <c r="X262" s="90"/>
      <c r="Y262" s="90"/>
      <c r="Z262" s="90"/>
      <c r="AA262" s="90"/>
      <c r="AB262" s="90"/>
      <c r="AC262" s="90"/>
      <c r="AD262" s="90"/>
      <c r="AE262" s="90"/>
      <c r="AF262" s="90"/>
      <c r="AG262" s="90"/>
      <c r="AH262" s="90"/>
      <c r="AI262" s="90"/>
      <c r="AJ262" s="90"/>
      <c r="AK262" s="90"/>
      <c r="AL262" s="90"/>
      <c r="AM262" s="90"/>
      <c r="AN262" s="90"/>
      <c r="AO262" s="90"/>
      <c r="AP262" s="90"/>
      <c r="AQ262" s="90"/>
      <c r="AR262" s="90"/>
      <c r="AS262" s="90"/>
      <c r="AT262" s="90"/>
      <c r="AU262" s="90"/>
      <c r="AV262" s="90"/>
      <c r="AW262" s="90"/>
      <c r="AX262" s="90"/>
      <c r="AY262" s="90"/>
      <c r="AZ262" s="90"/>
      <c r="BA262" s="90"/>
    </row>
    <row r="263" spans="1:53" ht="13.5" customHeight="1">
      <c r="A263" s="90"/>
      <c r="B263" s="90"/>
      <c r="C263" s="90"/>
      <c r="D263" s="90"/>
      <c r="E263" s="90"/>
      <c r="F263" s="90"/>
      <c r="G263" s="90"/>
      <c r="H263" s="90"/>
      <c r="I263" s="90"/>
      <c r="J263" s="90"/>
      <c r="K263" s="90"/>
      <c r="L263" s="90"/>
      <c r="M263" s="90"/>
      <c r="N263" s="90"/>
      <c r="O263" s="90"/>
      <c r="P263" s="90"/>
      <c r="Q263" s="102"/>
      <c r="R263" s="90"/>
      <c r="S263" s="90"/>
      <c r="T263" s="102"/>
      <c r="U263" s="90"/>
      <c r="V263" s="102"/>
      <c r="W263" s="90"/>
      <c r="X263" s="90"/>
      <c r="Y263" s="90"/>
      <c r="Z263" s="90"/>
      <c r="AA263" s="90"/>
      <c r="AB263" s="90"/>
      <c r="AC263" s="90"/>
      <c r="AD263" s="90"/>
      <c r="AE263" s="90"/>
      <c r="AF263" s="90"/>
      <c r="AG263" s="90"/>
      <c r="AH263" s="90"/>
      <c r="AI263" s="90"/>
      <c r="AJ263" s="90"/>
      <c r="AK263" s="90"/>
      <c r="AL263" s="90"/>
      <c r="AM263" s="90"/>
      <c r="AN263" s="90"/>
      <c r="AO263" s="90"/>
      <c r="AP263" s="90"/>
      <c r="AQ263" s="90"/>
      <c r="AR263" s="90"/>
      <c r="AS263" s="90"/>
      <c r="AT263" s="90"/>
      <c r="AU263" s="90"/>
      <c r="AV263" s="90"/>
      <c r="AW263" s="90"/>
      <c r="AX263" s="90"/>
      <c r="AY263" s="90"/>
      <c r="AZ263" s="90"/>
      <c r="BA263" s="90"/>
    </row>
    <row r="264" spans="1:53" ht="13.5" customHeight="1">
      <c r="A264" s="90"/>
      <c r="B264" s="90"/>
      <c r="C264" s="90"/>
      <c r="D264" s="90"/>
      <c r="E264" s="90"/>
      <c r="F264" s="90"/>
      <c r="G264" s="90"/>
      <c r="H264" s="90"/>
      <c r="I264" s="90"/>
      <c r="J264" s="90"/>
      <c r="K264" s="90"/>
      <c r="L264" s="90"/>
      <c r="M264" s="90"/>
      <c r="N264" s="90"/>
      <c r="O264" s="90"/>
      <c r="P264" s="90"/>
      <c r="Q264" s="102"/>
      <c r="R264" s="90"/>
      <c r="S264" s="90"/>
      <c r="T264" s="102"/>
      <c r="U264" s="90"/>
      <c r="V264" s="102"/>
      <c r="W264" s="90"/>
      <c r="X264" s="90"/>
      <c r="Y264" s="90"/>
      <c r="Z264" s="90"/>
      <c r="AA264" s="90"/>
      <c r="AB264" s="90"/>
      <c r="AC264" s="90"/>
      <c r="AD264" s="90"/>
      <c r="AE264" s="90"/>
      <c r="AF264" s="90"/>
      <c r="AG264" s="90"/>
      <c r="AH264" s="90"/>
      <c r="AI264" s="90"/>
      <c r="AJ264" s="90"/>
      <c r="AK264" s="90"/>
      <c r="AL264" s="90"/>
      <c r="AM264" s="90"/>
      <c r="AN264" s="90"/>
      <c r="AO264" s="90"/>
      <c r="AP264" s="90"/>
      <c r="AQ264" s="90"/>
      <c r="AR264" s="90"/>
      <c r="AS264" s="90"/>
      <c r="AT264" s="90"/>
      <c r="AU264" s="90"/>
      <c r="AV264" s="90"/>
      <c r="AW264" s="90"/>
      <c r="AX264" s="90"/>
      <c r="AY264" s="90"/>
      <c r="AZ264" s="90"/>
      <c r="BA264" s="90"/>
    </row>
    <row r="265" spans="1:53" ht="13.5" customHeight="1">
      <c r="A265" s="90"/>
      <c r="B265" s="90"/>
      <c r="C265" s="90"/>
      <c r="D265" s="90"/>
      <c r="E265" s="90"/>
      <c r="F265" s="90"/>
      <c r="G265" s="90"/>
      <c r="H265" s="90"/>
      <c r="I265" s="90"/>
      <c r="J265" s="90"/>
      <c r="K265" s="90"/>
      <c r="L265" s="90"/>
      <c r="M265" s="90"/>
      <c r="N265" s="90"/>
      <c r="O265" s="90"/>
      <c r="P265" s="90"/>
      <c r="Q265" s="102"/>
      <c r="R265" s="90"/>
      <c r="S265" s="90"/>
      <c r="T265" s="102"/>
      <c r="U265" s="90"/>
      <c r="V265" s="102"/>
      <c r="W265" s="90"/>
      <c r="X265" s="90"/>
      <c r="Y265" s="90"/>
      <c r="Z265" s="90"/>
      <c r="AA265" s="90"/>
      <c r="AB265" s="90"/>
      <c r="AC265" s="90"/>
      <c r="AD265" s="90"/>
      <c r="AE265" s="90"/>
      <c r="AF265" s="90"/>
      <c r="AG265" s="90"/>
      <c r="AH265" s="90"/>
      <c r="AI265" s="90"/>
      <c r="AJ265" s="90"/>
      <c r="AK265" s="90"/>
      <c r="AL265" s="90"/>
      <c r="AM265" s="90"/>
      <c r="AN265" s="90"/>
      <c r="AO265" s="90"/>
      <c r="AP265" s="90"/>
      <c r="AQ265" s="90"/>
      <c r="AR265" s="90"/>
      <c r="AS265" s="90"/>
      <c r="AT265" s="90"/>
      <c r="AU265" s="90"/>
      <c r="AV265" s="90"/>
      <c r="AW265" s="90"/>
      <c r="AX265" s="90"/>
      <c r="AY265" s="90"/>
      <c r="AZ265" s="90"/>
      <c r="BA265" s="90"/>
    </row>
    <row r="266" spans="1:53" ht="13.5" customHeight="1">
      <c r="A266" s="90"/>
      <c r="B266" s="90"/>
      <c r="C266" s="90"/>
      <c r="D266" s="90"/>
      <c r="E266" s="90"/>
      <c r="F266" s="90"/>
      <c r="G266" s="90"/>
      <c r="H266" s="90"/>
      <c r="I266" s="90"/>
      <c r="J266" s="90"/>
      <c r="K266" s="90"/>
      <c r="L266" s="90"/>
      <c r="M266" s="90"/>
      <c r="N266" s="90"/>
      <c r="O266" s="90"/>
      <c r="P266" s="90"/>
      <c r="Q266" s="102"/>
      <c r="R266" s="90"/>
      <c r="S266" s="90"/>
      <c r="T266" s="102"/>
      <c r="U266" s="90"/>
      <c r="V266" s="102"/>
      <c r="W266" s="90"/>
      <c r="X266" s="90"/>
      <c r="Y266" s="90"/>
      <c r="Z266" s="90"/>
      <c r="AA266" s="90"/>
      <c r="AB266" s="90"/>
      <c r="AC266" s="90"/>
      <c r="AD266" s="90"/>
      <c r="AE266" s="90"/>
      <c r="AF266" s="90"/>
      <c r="AG266" s="90"/>
      <c r="AH266" s="90"/>
      <c r="AI266" s="90"/>
      <c r="AJ266" s="90"/>
      <c r="AK266" s="90"/>
      <c r="AL266" s="90"/>
      <c r="AM266" s="90"/>
      <c r="AN266" s="90"/>
      <c r="AO266" s="90"/>
      <c r="AP266" s="90"/>
      <c r="AQ266" s="90"/>
      <c r="AR266" s="90"/>
      <c r="AS266" s="90"/>
      <c r="AT266" s="90"/>
      <c r="AU266" s="90"/>
      <c r="AV266" s="90"/>
      <c r="AW266" s="90"/>
      <c r="AX266" s="90"/>
      <c r="AY266" s="90"/>
      <c r="AZ266" s="90"/>
      <c r="BA266" s="90"/>
    </row>
    <row r="267" spans="1:53" ht="13.5" customHeight="1">
      <c r="A267" s="90"/>
      <c r="B267" s="90"/>
      <c r="C267" s="90"/>
      <c r="D267" s="90"/>
      <c r="E267" s="90"/>
      <c r="F267" s="90"/>
      <c r="G267" s="90"/>
      <c r="H267" s="90"/>
      <c r="I267" s="90"/>
      <c r="J267" s="90"/>
      <c r="K267" s="90"/>
      <c r="L267" s="90"/>
      <c r="M267" s="90"/>
      <c r="N267" s="90"/>
      <c r="O267" s="90"/>
      <c r="P267" s="90"/>
      <c r="Q267" s="102"/>
      <c r="R267" s="90"/>
      <c r="S267" s="90"/>
      <c r="T267" s="102"/>
      <c r="U267" s="90"/>
      <c r="V267" s="102"/>
      <c r="W267" s="90"/>
      <c r="X267" s="90"/>
      <c r="Y267" s="90"/>
      <c r="Z267" s="90"/>
      <c r="AA267" s="90"/>
      <c r="AB267" s="90"/>
      <c r="AC267" s="90"/>
      <c r="AD267" s="90"/>
      <c r="AE267" s="90"/>
      <c r="AF267" s="90"/>
      <c r="AG267" s="90"/>
      <c r="AH267" s="90"/>
      <c r="AI267" s="90"/>
      <c r="AJ267" s="90"/>
      <c r="AK267" s="90"/>
      <c r="AL267" s="90"/>
      <c r="AM267" s="90"/>
      <c r="AN267" s="90"/>
      <c r="AO267" s="90"/>
      <c r="AP267" s="90"/>
      <c r="AQ267" s="90"/>
      <c r="AR267" s="90"/>
      <c r="AS267" s="90"/>
      <c r="AT267" s="90"/>
      <c r="AU267" s="90"/>
      <c r="AV267" s="90"/>
      <c r="AW267" s="90"/>
      <c r="AX267" s="90"/>
      <c r="AY267" s="90"/>
      <c r="AZ267" s="90"/>
      <c r="BA267" s="90"/>
    </row>
    <row r="268" spans="1:53" ht="13.5" customHeight="1">
      <c r="A268" s="90"/>
      <c r="B268" s="90"/>
      <c r="C268" s="90"/>
      <c r="D268" s="90"/>
      <c r="E268" s="90"/>
      <c r="F268" s="90"/>
      <c r="G268" s="90"/>
      <c r="H268" s="90"/>
      <c r="I268" s="90"/>
      <c r="J268" s="90"/>
      <c r="K268" s="90"/>
      <c r="L268" s="90"/>
      <c r="M268" s="90"/>
      <c r="N268" s="90"/>
      <c r="O268" s="90"/>
      <c r="P268" s="90"/>
      <c r="Q268" s="102"/>
      <c r="R268" s="90"/>
      <c r="S268" s="90"/>
      <c r="T268" s="102"/>
      <c r="U268" s="90"/>
      <c r="V268" s="102"/>
      <c r="W268" s="90"/>
      <c r="X268" s="90"/>
      <c r="Y268" s="90"/>
      <c r="Z268" s="90"/>
      <c r="AA268" s="90"/>
      <c r="AB268" s="90"/>
      <c r="AC268" s="90"/>
      <c r="AD268" s="90"/>
      <c r="AE268" s="90"/>
      <c r="AF268" s="90"/>
      <c r="AG268" s="90"/>
      <c r="AH268" s="90"/>
      <c r="AI268" s="90"/>
      <c r="AJ268" s="90"/>
      <c r="AK268" s="90"/>
      <c r="AL268" s="90"/>
      <c r="AM268" s="90"/>
      <c r="AN268" s="90"/>
      <c r="AO268" s="90"/>
      <c r="AP268" s="90"/>
      <c r="AQ268" s="90"/>
      <c r="AR268" s="90"/>
      <c r="AS268" s="90"/>
      <c r="AT268" s="90"/>
      <c r="AU268" s="90"/>
      <c r="AV268" s="90"/>
      <c r="AW268" s="90"/>
      <c r="AX268" s="90"/>
      <c r="AY268" s="90"/>
      <c r="AZ268" s="90"/>
      <c r="BA268" s="90"/>
    </row>
    <row r="269" spans="1:53" ht="13.5" customHeight="1">
      <c r="A269" s="90"/>
      <c r="B269" s="90"/>
      <c r="C269" s="90"/>
      <c r="D269" s="90"/>
      <c r="E269" s="90"/>
      <c r="F269" s="90"/>
      <c r="G269" s="90"/>
      <c r="H269" s="90"/>
      <c r="I269" s="90"/>
      <c r="J269" s="90"/>
      <c r="K269" s="90"/>
      <c r="L269" s="90"/>
      <c r="M269" s="90"/>
      <c r="N269" s="90"/>
      <c r="O269" s="90"/>
      <c r="P269" s="90"/>
      <c r="Q269" s="102"/>
      <c r="R269" s="90"/>
      <c r="S269" s="90"/>
      <c r="T269" s="102"/>
      <c r="U269" s="90"/>
      <c r="V269" s="102"/>
      <c r="W269" s="90"/>
      <c r="X269" s="90"/>
      <c r="Y269" s="90"/>
      <c r="Z269" s="90"/>
      <c r="AA269" s="90"/>
      <c r="AB269" s="90"/>
      <c r="AC269" s="90"/>
      <c r="AD269" s="90"/>
      <c r="AE269" s="90"/>
      <c r="AF269" s="90"/>
      <c r="AG269" s="90"/>
      <c r="AH269" s="90"/>
      <c r="AI269" s="90"/>
      <c r="AJ269" s="90"/>
      <c r="AK269" s="90"/>
      <c r="AL269" s="90"/>
      <c r="AM269" s="90"/>
      <c r="AN269" s="90"/>
      <c r="AO269" s="90"/>
      <c r="AP269" s="90"/>
      <c r="AQ269" s="90"/>
      <c r="AR269" s="90"/>
      <c r="AS269" s="90"/>
      <c r="AT269" s="90"/>
      <c r="AU269" s="90"/>
      <c r="AV269" s="90"/>
      <c r="AW269" s="90"/>
      <c r="AX269" s="90"/>
      <c r="AY269" s="90"/>
      <c r="AZ269" s="90"/>
      <c r="BA269" s="90"/>
    </row>
    <row r="270" spans="1:53" ht="13.5" customHeight="1">
      <c r="A270" s="90"/>
      <c r="B270" s="90"/>
      <c r="C270" s="90"/>
      <c r="D270" s="90"/>
      <c r="E270" s="90"/>
      <c r="F270" s="90"/>
      <c r="G270" s="90"/>
      <c r="H270" s="90"/>
      <c r="I270" s="90"/>
      <c r="J270" s="90"/>
      <c r="K270" s="90"/>
      <c r="L270" s="90"/>
      <c r="M270" s="90"/>
      <c r="N270" s="90"/>
      <c r="O270" s="90"/>
      <c r="P270" s="90"/>
      <c r="Q270" s="102"/>
      <c r="R270" s="90"/>
      <c r="S270" s="90"/>
      <c r="T270" s="102"/>
      <c r="U270" s="90"/>
      <c r="V270" s="102"/>
      <c r="W270" s="90"/>
      <c r="X270" s="90"/>
      <c r="Y270" s="90"/>
      <c r="Z270" s="90"/>
      <c r="AA270" s="90"/>
      <c r="AB270" s="90"/>
      <c r="AC270" s="90"/>
      <c r="AD270" s="90"/>
      <c r="AE270" s="90"/>
      <c r="AF270" s="90"/>
      <c r="AG270" s="90"/>
      <c r="AH270" s="90"/>
      <c r="AI270" s="90"/>
      <c r="AJ270" s="90"/>
      <c r="AK270" s="90"/>
      <c r="AL270" s="90"/>
      <c r="AM270" s="90"/>
      <c r="AN270" s="90"/>
      <c r="AO270" s="90"/>
      <c r="AP270" s="90"/>
      <c r="AQ270" s="90"/>
      <c r="AR270" s="90"/>
      <c r="AS270" s="90"/>
      <c r="AT270" s="90"/>
      <c r="AU270" s="90"/>
      <c r="AV270" s="90"/>
      <c r="AW270" s="90"/>
      <c r="AX270" s="90"/>
      <c r="AY270" s="90"/>
      <c r="AZ270" s="90"/>
      <c r="BA270" s="90"/>
    </row>
    <row r="271" spans="1:53" ht="13.5" customHeight="1">
      <c r="A271" s="90"/>
      <c r="B271" s="90"/>
      <c r="C271" s="90"/>
      <c r="D271" s="90"/>
      <c r="E271" s="90"/>
      <c r="F271" s="90"/>
      <c r="G271" s="90"/>
      <c r="H271" s="90"/>
      <c r="I271" s="90"/>
      <c r="J271" s="90"/>
      <c r="K271" s="90"/>
      <c r="L271" s="90"/>
      <c r="M271" s="90"/>
      <c r="N271" s="90"/>
      <c r="O271" s="90"/>
      <c r="P271" s="90"/>
      <c r="Q271" s="102"/>
      <c r="R271" s="90"/>
      <c r="S271" s="90"/>
      <c r="T271" s="102"/>
      <c r="U271" s="90"/>
      <c r="V271" s="102"/>
      <c r="W271" s="90"/>
      <c r="X271" s="90"/>
      <c r="Y271" s="90"/>
      <c r="Z271" s="90"/>
      <c r="AA271" s="90"/>
      <c r="AB271" s="90"/>
      <c r="AC271" s="90"/>
      <c r="AD271" s="90"/>
      <c r="AE271" s="90"/>
      <c r="AF271" s="90"/>
      <c r="AG271" s="90"/>
      <c r="AH271" s="90"/>
      <c r="AI271" s="90"/>
      <c r="AJ271" s="90"/>
      <c r="AK271" s="90"/>
      <c r="AL271" s="90"/>
      <c r="AM271" s="90"/>
      <c r="AN271" s="90"/>
      <c r="AO271" s="90"/>
      <c r="AP271" s="90"/>
      <c r="AQ271" s="90"/>
      <c r="AR271" s="90"/>
      <c r="AS271" s="90"/>
      <c r="AT271" s="90"/>
      <c r="AU271" s="90"/>
      <c r="AV271" s="90"/>
      <c r="AW271" s="90"/>
      <c r="AX271" s="90"/>
      <c r="AY271" s="90"/>
      <c r="AZ271" s="90"/>
      <c r="BA271" s="90"/>
    </row>
    <row r="272" spans="1:53" ht="13.5" customHeight="1">
      <c r="A272" s="90"/>
      <c r="B272" s="90"/>
      <c r="C272" s="90"/>
      <c r="D272" s="90"/>
      <c r="E272" s="90"/>
      <c r="F272" s="90"/>
      <c r="G272" s="90"/>
      <c r="H272" s="90"/>
      <c r="I272" s="90"/>
      <c r="J272" s="90"/>
      <c r="K272" s="90"/>
      <c r="L272" s="90"/>
      <c r="M272" s="90"/>
      <c r="N272" s="90"/>
      <c r="O272" s="90"/>
      <c r="P272" s="90"/>
      <c r="Q272" s="102"/>
      <c r="R272" s="90"/>
      <c r="S272" s="90"/>
      <c r="T272" s="102"/>
      <c r="U272" s="90"/>
      <c r="V272" s="102"/>
      <c r="W272" s="90"/>
      <c r="X272" s="90"/>
      <c r="Y272" s="90"/>
      <c r="Z272" s="90"/>
      <c r="AA272" s="90"/>
      <c r="AB272" s="90"/>
      <c r="AC272" s="90"/>
      <c r="AD272" s="90"/>
      <c r="AE272" s="90"/>
      <c r="AF272" s="90"/>
      <c r="AG272" s="90"/>
      <c r="AH272" s="90"/>
      <c r="AI272" s="90"/>
      <c r="AJ272" s="90"/>
      <c r="AK272" s="90"/>
      <c r="AL272" s="90"/>
      <c r="AM272" s="90"/>
      <c r="AN272" s="90"/>
      <c r="AO272" s="90"/>
      <c r="AP272" s="90"/>
      <c r="AQ272" s="90"/>
      <c r="AR272" s="90"/>
      <c r="AS272" s="90"/>
      <c r="AT272" s="90"/>
      <c r="AU272" s="90"/>
      <c r="AV272" s="90"/>
      <c r="AW272" s="90"/>
      <c r="AX272" s="90"/>
      <c r="AY272" s="90"/>
      <c r="AZ272" s="90"/>
      <c r="BA272" s="90"/>
    </row>
    <row r="273" spans="1:53" ht="13.5" customHeight="1">
      <c r="A273" s="90"/>
      <c r="B273" s="90"/>
      <c r="C273" s="90"/>
      <c r="D273" s="90"/>
      <c r="E273" s="90"/>
      <c r="F273" s="90"/>
      <c r="G273" s="90"/>
      <c r="H273" s="90"/>
      <c r="I273" s="90"/>
      <c r="J273" s="90"/>
      <c r="K273" s="90"/>
      <c r="L273" s="90"/>
      <c r="M273" s="90"/>
      <c r="N273" s="90"/>
      <c r="O273" s="90"/>
      <c r="P273" s="90"/>
      <c r="Q273" s="102"/>
      <c r="R273" s="90"/>
      <c r="S273" s="90"/>
      <c r="T273" s="102"/>
      <c r="U273" s="90"/>
      <c r="V273" s="102"/>
      <c r="W273" s="90"/>
      <c r="X273" s="90"/>
      <c r="Y273" s="90"/>
      <c r="Z273" s="90"/>
      <c r="AA273" s="90"/>
      <c r="AB273" s="90"/>
      <c r="AC273" s="90"/>
      <c r="AD273" s="90"/>
      <c r="AE273" s="90"/>
      <c r="AF273" s="90"/>
      <c r="AG273" s="90"/>
      <c r="AH273" s="90"/>
      <c r="AI273" s="90"/>
      <c r="AJ273" s="90"/>
      <c r="AK273" s="90"/>
      <c r="AL273" s="90"/>
      <c r="AM273" s="90"/>
      <c r="AN273" s="90"/>
      <c r="AO273" s="90"/>
      <c r="AP273" s="90"/>
      <c r="AQ273" s="90"/>
      <c r="AR273" s="90"/>
      <c r="AS273" s="90"/>
      <c r="AT273" s="90"/>
      <c r="AU273" s="90"/>
      <c r="AV273" s="90"/>
      <c r="AW273" s="90"/>
      <c r="AX273" s="90"/>
      <c r="AY273" s="90"/>
      <c r="AZ273" s="90"/>
      <c r="BA273" s="90"/>
    </row>
    <row r="274" spans="1:53" ht="13.5" customHeight="1">
      <c r="A274" s="90"/>
      <c r="B274" s="90"/>
      <c r="C274" s="90"/>
      <c r="D274" s="90"/>
      <c r="E274" s="90"/>
      <c r="F274" s="90"/>
      <c r="G274" s="90"/>
      <c r="H274" s="90"/>
      <c r="I274" s="90"/>
      <c r="J274" s="90"/>
      <c r="K274" s="90"/>
      <c r="L274" s="90"/>
      <c r="M274" s="90"/>
      <c r="N274" s="90"/>
      <c r="O274" s="90"/>
      <c r="P274" s="90"/>
      <c r="Q274" s="102"/>
      <c r="R274" s="90"/>
      <c r="S274" s="90"/>
      <c r="T274" s="102"/>
      <c r="U274" s="90"/>
      <c r="V274" s="102"/>
      <c r="W274" s="90"/>
      <c r="X274" s="90"/>
      <c r="Y274" s="90"/>
      <c r="Z274" s="90"/>
      <c r="AA274" s="90"/>
      <c r="AB274" s="90"/>
      <c r="AC274" s="90"/>
      <c r="AD274" s="90"/>
      <c r="AE274" s="90"/>
      <c r="AF274" s="90"/>
      <c r="AG274" s="90"/>
      <c r="AH274" s="90"/>
      <c r="AI274" s="90"/>
      <c r="AJ274" s="90"/>
      <c r="AK274" s="90"/>
      <c r="AL274" s="90"/>
      <c r="AM274" s="90"/>
      <c r="AN274" s="90"/>
      <c r="AO274" s="90"/>
      <c r="AP274" s="90"/>
      <c r="AQ274" s="90"/>
      <c r="AR274" s="90"/>
      <c r="AS274" s="90"/>
      <c r="AT274" s="90"/>
      <c r="AU274" s="90"/>
      <c r="AV274" s="90"/>
      <c r="AW274" s="90"/>
      <c r="AX274" s="90"/>
      <c r="AY274" s="90"/>
      <c r="AZ274" s="90"/>
      <c r="BA274" s="90"/>
    </row>
    <row r="275" spans="1:53" ht="13.5" customHeight="1">
      <c r="A275" s="90"/>
      <c r="B275" s="90"/>
      <c r="C275" s="90"/>
      <c r="D275" s="90"/>
      <c r="E275" s="90"/>
      <c r="F275" s="90"/>
      <c r="G275" s="90"/>
      <c r="H275" s="90"/>
      <c r="I275" s="90"/>
      <c r="J275" s="90"/>
      <c r="K275" s="90"/>
      <c r="L275" s="90"/>
      <c r="M275" s="90"/>
      <c r="N275" s="90"/>
      <c r="O275" s="90"/>
      <c r="P275" s="90"/>
      <c r="Q275" s="102"/>
      <c r="R275" s="90"/>
      <c r="S275" s="90"/>
      <c r="T275" s="102"/>
      <c r="U275" s="90"/>
      <c r="V275" s="102"/>
      <c r="W275" s="90"/>
      <c r="X275" s="90"/>
      <c r="Y275" s="90"/>
      <c r="Z275" s="90"/>
      <c r="AA275" s="90"/>
      <c r="AB275" s="90"/>
      <c r="AC275" s="90"/>
      <c r="AD275" s="90"/>
      <c r="AE275" s="90"/>
      <c r="AF275" s="90"/>
      <c r="AG275" s="90"/>
      <c r="AH275" s="90"/>
      <c r="AI275" s="90"/>
      <c r="AJ275" s="90"/>
      <c r="AK275" s="90"/>
      <c r="AL275" s="90"/>
      <c r="AM275" s="90"/>
      <c r="AN275" s="90"/>
      <c r="AO275" s="90"/>
      <c r="AP275" s="90"/>
      <c r="AQ275" s="90"/>
      <c r="AR275" s="90"/>
      <c r="AS275" s="90"/>
      <c r="AT275" s="90"/>
      <c r="AU275" s="90"/>
      <c r="AV275" s="90"/>
      <c r="AW275" s="90"/>
      <c r="AX275" s="90"/>
      <c r="AY275" s="90"/>
      <c r="AZ275" s="90"/>
      <c r="BA275" s="90"/>
    </row>
    <row r="276" spans="1:53" ht="13.5" customHeight="1">
      <c r="A276" s="90"/>
      <c r="B276" s="90"/>
      <c r="C276" s="90"/>
      <c r="D276" s="90"/>
      <c r="E276" s="90"/>
      <c r="F276" s="90"/>
      <c r="G276" s="90"/>
      <c r="H276" s="90"/>
      <c r="I276" s="90"/>
      <c r="J276" s="90"/>
      <c r="K276" s="90"/>
      <c r="L276" s="90"/>
      <c r="M276" s="90"/>
      <c r="N276" s="90"/>
      <c r="O276" s="90"/>
      <c r="P276" s="90"/>
      <c r="Q276" s="102"/>
      <c r="R276" s="90"/>
      <c r="S276" s="90"/>
      <c r="T276" s="102"/>
      <c r="U276" s="90"/>
      <c r="V276" s="102"/>
      <c r="W276" s="90"/>
      <c r="X276" s="90"/>
      <c r="Y276" s="90"/>
      <c r="Z276" s="90"/>
      <c r="AA276" s="90"/>
      <c r="AB276" s="90"/>
      <c r="AC276" s="90"/>
      <c r="AD276" s="90"/>
      <c r="AE276" s="90"/>
      <c r="AF276" s="90"/>
      <c r="AG276" s="90"/>
      <c r="AH276" s="90"/>
      <c r="AI276" s="90"/>
      <c r="AJ276" s="90"/>
      <c r="AK276" s="90"/>
      <c r="AL276" s="90"/>
      <c r="AM276" s="90"/>
      <c r="AN276" s="90"/>
      <c r="AO276" s="90"/>
      <c r="AP276" s="90"/>
      <c r="AQ276" s="90"/>
      <c r="AR276" s="90"/>
      <c r="AS276" s="90"/>
      <c r="AT276" s="90"/>
      <c r="AU276" s="90"/>
      <c r="AV276" s="90"/>
      <c r="AW276" s="90"/>
      <c r="AX276" s="90"/>
      <c r="AY276" s="90"/>
      <c r="AZ276" s="90"/>
      <c r="BA276" s="90"/>
    </row>
    <row r="277" spans="1:53" ht="13.5" customHeight="1">
      <c r="A277" s="90"/>
      <c r="B277" s="90"/>
      <c r="C277" s="90"/>
      <c r="D277" s="90"/>
      <c r="E277" s="90"/>
      <c r="F277" s="90"/>
      <c r="G277" s="90"/>
      <c r="H277" s="90"/>
      <c r="I277" s="90"/>
      <c r="J277" s="90"/>
      <c r="K277" s="90"/>
      <c r="L277" s="90"/>
      <c r="M277" s="90"/>
      <c r="N277" s="90"/>
      <c r="O277" s="90"/>
      <c r="P277" s="90"/>
      <c r="Q277" s="102"/>
      <c r="R277" s="90"/>
      <c r="S277" s="90"/>
      <c r="T277" s="102"/>
      <c r="U277" s="90"/>
      <c r="V277" s="102"/>
      <c r="W277" s="90"/>
      <c r="X277" s="90"/>
      <c r="Y277" s="90"/>
      <c r="Z277" s="90"/>
      <c r="AA277" s="90"/>
      <c r="AB277" s="90"/>
      <c r="AC277" s="90"/>
      <c r="AD277" s="90"/>
      <c r="AE277" s="90"/>
      <c r="AF277" s="90"/>
      <c r="AG277" s="90"/>
      <c r="AH277" s="90"/>
      <c r="AI277" s="90"/>
      <c r="AJ277" s="90"/>
      <c r="AK277" s="90"/>
      <c r="AL277" s="90"/>
      <c r="AM277" s="90"/>
      <c r="AN277" s="90"/>
      <c r="AO277" s="90"/>
      <c r="AP277" s="90"/>
      <c r="AQ277" s="90"/>
      <c r="AR277" s="90"/>
      <c r="AS277" s="90"/>
      <c r="AT277" s="90"/>
      <c r="AU277" s="90"/>
      <c r="AV277" s="90"/>
      <c r="AW277" s="90"/>
      <c r="AX277" s="90"/>
      <c r="AY277" s="90"/>
      <c r="AZ277" s="90"/>
      <c r="BA277" s="90"/>
    </row>
    <row r="278" spans="1:53" ht="13.5" customHeight="1">
      <c r="A278" s="90"/>
      <c r="B278" s="90"/>
      <c r="C278" s="90"/>
      <c r="D278" s="90"/>
      <c r="E278" s="90"/>
      <c r="F278" s="90"/>
      <c r="G278" s="90"/>
      <c r="H278" s="90"/>
      <c r="I278" s="90"/>
      <c r="J278" s="90"/>
      <c r="K278" s="90"/>
      <c r="L278" s="90"/>
      <c r="M278" s="90"/>
      <c r="N278" s="90"/>
      <c r="O278" s="90"/>
      <c r="P278" s="90"/>
      <c r="Q278" s="102"/>
      <c r="R278" s="90"/>
      <c r="S278" s="90"/>
      <c r="T278" s="102"/>
      <c r="U278" s="90"/>
      <c r="V278" s="102"/>
      <c r="W278" s="90"/>
      <c r="X278" s="90"/>
      <c r="Y278" s="90"/>
      <c r="Z278" s="90"/>
      <c r="AA278" s="90"/>
      <c r="AB278" s="90"/>
      <c r="AC278" s="90"/>
      <c r="AD278" s="90"/>
      <c r="AE278" s="90"/>
      <c r="AF278" s="90"/>
      <c r="AG278" s="90"/>
      <c r="AH278" s="90"/>
      <c r="AI278" s="90"/>
      <c r="AJ278" s="90"/>
      <c r="AK278" s="90"/>
      <c r="AL278" s="90"/>
      <c r="AM278" s="90"/>
      <c r="AN278" s="90"/>
      <c r="AO278" s="90"/>
      <c r="AP278" s="90"/>
      <c r="AQ278" s="90"/>
      <c r="AR278" s="90"/>
      <c r="AS278" s="90"/>
      <c r="AT278" s="90"/>
      <c r="AU278" s="90"/>
      <c r="AV278" s="90"/>
      <c r="AW278" s="90"/>
      <c r="AX278" s="90"/>
      <c r="AY278" s="90"/>
      <c r="AZ278" s="90"/>
      <c r="BA278" s="90"/>
    </row>
    <row r="279" spans="1:53" ht="13.5" customHeight="1">
      <c r="A279" s="90"/>
      <c r="B279" s="90"/>
      <c r="C279" s="90"/>
      <c r="D279" s="90"/>
      <c r="E279" s="90"/>
      <c r="F279" s="90"/>
      <c r="G279" s="90"/>
      <c r="H279" s="90"/>
      <c r="I279" s="90"/>
      <c r="J279" s="90"/>
      <c r="K279" s="90"/>
      <c r="L279" s="90"/>
      <c r="M279" s="90"/>
      <c r="N279" s="90"/>
      <c r="O279" s="90"/>
      <c r="P279" s="90"/>
      <c r="Q279" s="102"/>
      <c r="R279" s="90"/>
      <c r="S279" s="90"/>
      <c r="T279" s="102"/>
      <c r="U279" s="90"/>
      <c r="V279" s="102"/>
      <c r="W279" s="90"/>
      <c r="X279" s="90"/>
      <c r="Y279" s="90"/>
      <c r="Z279" s="90"/>
      <c r="AA279" s="90"/>
      <c r="AB279" s="90"/>
      <c r="AC279" s="90"/>
      <c r="AD279" s="90"/>
      <c r="AE279" s="90"/>
      <c r="AF279" s="90"/>
      <c r="AG279" s="90"/>
      <c r="AH279" s="90"/>
      <c r="AI279" s="90"/>
      <c r="AJ279" s="90"/>
      <c r="AK279" s="90"/>
      <c r="AL279" s="90"/>
      <c r="AM279" s="90"/>
      <c r="AN279" s="90"/>
      <c r="AO279" s="90"/>
      <c r="AP279" s="90"/>
      <c r="AQ279" s="90"/>
      <c r="AR279" s="90"/>
      <c r="AS279" s="90"/>
      <c r="AT279" s="90"/>
      <c r="AU279" s="90"/>
      <c r="AV279" s="90"/>
      <c r="AW279" s="90"/>
      <c r="AX279" s="90"/>
      <c r="AY279" s="90"/>
      <c r="AZ279" s="90"/>
      <c r="BA279" s="90"/>
    </row>
    <row r="280" spans="1:53" ht="13.5" customHeight="1">
      <c r="A280" s="90"/>
      <c r="B280" s="90"/>
      <c r="C280" s="90"/>
      <c r="D280" s="90"/>
      <c r="E280" s="90"/>
      <c r="F280" s="90"/>
      <c r="G280" s="90"/>
      <c r="H280" s="90"/>
      <c r="I280" s="90"/>
      <c r="J280" s="90"/>
      <c r="K280" s="90"/>
      <c r="L280" s="90"/>
      <c r="M280" s="90"/>
      <c r="N280" s="90"/>
      <c r="O280" s="90"/>
      <c r="P280" s="90"/>
      <c r="Q280" s="102"/>
      <c r="R280" s="90"/>
      <c r="S280" s="90"/>
      <c r="T280" s="102"/>
      <c r="U280" s="90"/>
      <c r="V280" s="102"/>
      <c r="W280" s="90"/>
      <c r="X280" s="90"/>
      <c r="Y280" s="90"/>
      <c r="Z280" s="90"/>
      <c r="AA280" s="90"/>
      <c r="AB280" s="90"/>
      <c r="AC280" s="90"/>
      <c r="AD280" s="90"/>
      <c r="AE280" s="90"/>
      <c r="AF280" s="90"/>
      <c r="AG280" s="90"/>
      <c r="AH280" s="90"/>
      <c r="AI280" s="90"/>
      <c r="AJ280" s="90"/>
      <c r="AK280" s="90"/>
      <c r="AL280" s="90"/>
      <c r="AM280" s="90"/>
      <c r="AN280" s="90"/>
      <c r="AO280" s="90"/>
      <c r="AP280" s="90"/>
      <c r="AQ280" s="90"/>
      <c r="AR280" s="90"/>
      <c r="AS280" s="90"/>
      <c r="AT280" s="90"/>
      <c r="AU280" s="90"/>
      <c r="AV280" s="90"/>
      <c r="AW280" s="90"/>
      <c r="AX280" s="90"/>
      <c r="AY280" s="90"/>
      <c r="AZ280" s="90"/>
      <c r="BA280" s="90"/>
    </row>
    <row r="281" spans="1:53" ht="13.5" customHeight="1">
      <c r="A281" s="90"/>
      <c r="B281" s="90"/>
      <c r="C281" s="90"/>
      <c r="D281" s="90"/>
      <c r="E281" s="90"/>
      <c r="F281" s="90"/>
      <c r="G281" s="90"/>
      <c r="H281" s="90"/>
      <c r="I281" s="90"/>
      <c r="J281" s="90"/>
      <c r="K281" s="90"/>
      <c r="L281" s="90"/>
      <c r="M281" s="90"/>
      <c r="N281" s="90"/>
      <c r="O281" s="90"/>
      <c r="P281" s="90"/>
      <c r="Q281" s="102"/>
      <c r="R281" s="90"/>
      <c r="S281" s="90"/>
      <c r="T281" s="102"/>
      <c r="U281" s="90"/>
      <c r="V281" s="102"/>
      <c r="W281" s="90"/>
      <c r="X281" s="90"/>
      <c r="Y281" s="90"/>
      <c r="Z281" s="90"/>
      <c r="AA281" s="90"/>
      <c r="AB281" s="90"/>
      <c r="AC281" s="90"/>
      <c r="AD281" s="90"/>
      <c r="AE281" s="90"/>
      <c r="AF281" s="90"/>
      <c r="AG281" s="90"/>
      <c r="AH281" s="90"/>
      <c r="AI281" s="90"/>
      <c r="AJ281" s="90"/>
      <c r="AK281" s="90"/>
      <c r="AL281" s="90"/>
      <c r="AM281" s="90"/>
      <c r="AN281" s="90"/>
      <c r="AO281" s="90"/>
      <c r="AP281" s="90"/>
      <c r="AQ281" s="90"/>
      <c r="AR281" s="90"/>
      <c r="AS281" s="90"/>
      <c r="AT281" s="90"/>
      <c r="AU281" s="90"/>
      <c r="AV281" s="90"/>
      <c r="AW281" s="90"/>
      <c r="AX281" s="90"/>
      <c r="AY281" s="90"/>
      <c r="AZ281" s="90"/>
      <c r="BA281" s="90"/>
    </row>
    <row r="282" spans="1:53" ht="13.5" customHeight="1">
      <c r="A282" s="90"/>
      <c r="B282" s="90"/>
      <c r="C282" s="90"/>
      <c r="D282" s="90"/>
      <c r="E282" s="90"/>
      <c r="F282" s="90"/>
      <c r="G282" s="90"/>
      <c r="H282" s="90"/>
      <c r="I282" s="90"/>
      <c r="J282" s="90"/>
      <c r="K282" s="90"/>
      <c r="L282" s="90"/>
      <c r="M282" s="90"/>
      <c r="N282" s="90"/>
      <c r="O282" s="90"/>
      <c r="P282" s="90"/>
      <c r="Q282" s="102"/>
      <c r="R282" s="90"/>
      <c r="S282" s="90"/>
      <c r="T282" s="102"/>
      <c r="U282" s="90"/>
      <c r="V282" s="102"/>
      <c r="W282" s="90"/>
      <c r="X282" s="90"/>
      <c r="Y282" s="90"/>
      <c r="Z282" s="90"/>
      <c r="AA282" s="90"/>
      <c r="AB282" s="90"/>
      <c r="AC282" s="90"/>
      <c r="AD282" s="90"/>
      <c r="AE282" s="90"/>
      <c r="AF282" s="90"/>
      <c r="AG282" s="90"/>
      <c r="AH282" s="90"/>
      <c r="AI282" s="90"/>
      <c r="AJ282" s="90"/>
      <c r="AK282" s="90"/>
      <c r="AL282" s="90"/>
      <c r="AM282" s="90"/>
      <c r="AN282" s="90"/>
      <c r="AO282" s="90"/>
      <c r="AP282" s="90"/>
      <c r="AQ282" s="90"/>
      <c r="AR282" s="90"/>
      <c r="AS282" s="90"/>
      <c r="AT282" s="90"/>
      <c r="AU282" s="90"/>
      <c r="AV282" s="90"/>
      <c r="AW282" s="90"/>
      <c r="AX282" s="90"/>
      <c r="AY282" s="90"/>
      <c r="AZ282" s="90"/>
      <c r="BA282" s="90"/>
    </row>
    <row r="283" spans="1:53" ht="13.5" customHeight="1">
      <c r="A283" s="90"/>
      <c r="B283" s="90"/>
      <c r="C283" s="90"/>
      <c r="D283" s="90"/>
      <c r="E283" s="90"/>
      <c r="F283" s="90"/>
      <c r="G283" s="90"/>
      <c r="H283" s="90"/>
      <c r="I283" s="90"/>
      <c r="J283" s="90"/>
      <c r="K283" s="90"/>
      <c r="L283" s="90"/>
      <c r="M283" s="90"/>
      <c r="N283" s="90"/>
      <c r="O283" s="90"/>
      <c r="P283" s="90"/>
      <c r="Q283" s="102"/>
      <c r="R283" s="90"/>
      <c r="S283" s="90"/>
      <c r="T283" s="102"/>
      <c r="U283" s="90"/>
      <c r="V283" s="102"/>
      <c r="W283" s="90"/>
      <c r="X283" s="90"/>
      <c r="Y283" s="90"/>
      <c r="Z283" s="90"/>
      <c r="AA283" s="90"/>
      <c r="AB283" s="90"/>
      <c r="AC283" s="90"/>
      <c r="AD283" s="90"/>
      <c r="AE283" s="90"/>
      <c r="AF283" s="90"/>
      <c r="AG283" s="90"/>
      <c r="AH283" s="90"/>
      <c r="AI283" s="90"/>
      <c r="AJ283" s="90"/>
      <c r="AK283" s="90"/>
      <c r="AL283" s="90"/>
      <c r="AM283" s="90"/>
      <c r="AN283" s="90"/>
      <c r="AO283" s="90"/>
      <c r="AP283" s="90"/>
      <c r="AQ283" s="90"/>
      <c r="AR283" s="90"/>
      <c r="AS283" s="90"/>
      <c r="AT283" s="90"/>
      <c r="AU283" s="90"/>
      <c r="AV283" s="90"/>
      <c r="AW283" s="90"/>
      <c r="AX283" s="90"/>
      <c r="AY283" s="90"/>
      <c r="AZ283" s="90"/>
      <c r="BA283" s="90"/>
    </row>
    <row r="284" spans="1:53" ht="13.5" customHeight="1">
      <c r="A284" s="90"/>
      <c r="B284" s="90"/>
      <c r="C284" s="90"/>
      <c r="D284" s="90"/>
      <c r="E284" s="90"/>
      <c r="F284" s="90"/>
      <c r="G284" s="90"/>
      <c r="H284" s="90"/>
      <c r="I284" s="90"/>
      <c r="J284" s="90"/>
      <c r="K284" s="90"/>
      <c r="L284" s="90"/>
      <c r="M284" s="90"/>
      <c r="N284" s="90"/>
      <c r="O284" s="90"/>
      <c r="P284" s="90"/>
      <c r="Q284" s="102"/>
      <c r="R284" s="90"/>
      <c r="S284" s="90"/>
      <c r="T284" s="102"/>
      <c r="U284" s="90"/>
      <c r="V284" s="102"/>
      <c r="W284" s="90"/>
      <c r="X284" s="90"/>
      <c r="Y284" s="90"/>
      <c r="Z284" s="90"/>
      <c r="AA284" s="90"/>
      <c r="AB284" s="90"/>
      <c r="AC284" s="90"/>
      <c r="AD284" s="90"/>
      <c r="AE284" s="90"/>
      <c r="AF284" s="90"/>
      <c r="AG284" s="90"/>
      <c r="AH284" s="90"/>
      <c r="AI284" s="90"/>
      <c r="AJ284" s="90"/>
      <c r="AK284" s="90"/>
      <c r="AL284" s="90"/>
      <c r="AM284" s="90"/>
      <c r="AN284" s="90"/>
      <c r="AO284" s="90"/>
      <c r="AP284" s="90"/>
      <c r="AQ284" s="90"/>
      <c r="AR284" s="90"/>
      <c r="AS284" s="90"/>
      <c r="AT284" s="90"/>
      <c r="AU284" s="90"/>
      <c r="AV284" s="90"/>
      <c r="AW284" s="90"/>
      <c r="AX284" s="90"/>
      <c r="AY284" s="90"/>
      <c r="AZ284" s="90"/>
      <c r="BA284" s="90"/>
    </row>
    <row r="285" spans="1:53" ht="13.5" customHeight="1">
      <c r="A285" s="90"/>
      <c r="B285" s="90"/>
      <c r="C285" s="90"/>
      <c r="D285" s="90"/>
      <c r="E285" s="90"/>
      <c r="F285" s="90"/>
      <c r="G285" s="90"/>
      <c r="H285" s="90"/>
      <c r="I285" s="90"/>
      <c r="J285" s="90"/>
      <c r="K285" s="90"/>
      <c r="L285" s="90"/>
      <c r="M285" s="90"/>
      <c r="N285" s="90"/>
      <c r="O285" s="90"/>
      <c r="P285" s="90"/>
      <c r="Q285" s="102"/>
      <c r="R285" s="90"/>
      <c r="S285" s="90"/>
      <c r="T285" s="102"/>
      <c r="U285" s="90"/>
      <c r="V285" s="102"/>
      <c r="W285" s="90"/>
      <c r="X285" s="90"/>
      <c r="Y285" s="90"/>
      <c r="Z285" s="90"/>
      <c r="AA285" s="90"/>
      <c r="AB285" s="90"/>
      <c r="AC285" s="90"/>
      <c r="AD285" s="90"/>
      <c r="AE285" s="90"/>
      <c r="AF285" s="90"/>
      <c r="AG285" s="90"/>
      <c r="AH285" s="90"/>
      <c r="AI285" s="90"/>
      <c r="AJ285" s="90"/>
      <c r="AK285" s="90"/>
      <c r="AL285" s="90"/>
      <c r="AM285" s="90"/>
      <c r="AN285" s="90"/>
      <c r="AO285" s="90"/>
      <c r="AP285" s="90"/>
      <c r="AQ285" s="90"/>
      <c r="AR285" s="90"/>
      <c r="AS285" s="90"/>
      <c r="AT285" s="90"/>
      <c r="AU285" s="90"/>
      <c r="AV285" s="90"/>
      <c r="AW285" s="90"/>
      <c r="AX285" s="90"/>
      <c r="AY285" s="90"/>
      <c r="AZ285" s="90"/>
      <c r="BA285" s="90"/>
    </row>
    <row r="286" spans="1:53" ht="13.5" customHeight="1">
      <c r="A286" s="90"/>
      <c r="B286" s="90"/>
      <c r="C286" s="90"/>
      <c r="D286" s="90"/>
      <c r="E286" s="90"/>
      <c r="F286" s="90"/>
      <c r="G286" s="90"/>
      <c r="H286" s="90"/>
      <c r="I286" s="90"/>
      <c r="J286" s="90"/>
      <c r="K286" s="90"/>
      <c r="L286" s="90"/>
      <c r="M286" s="90"/>
      <c r="N286" s="90"/>
      <c r="O286" s="90"/>
      <c r="P286" s="90"/>
      <c r="Q286" s="102"/>
      <c r="R286" s="90"/>
      <c r="S286" s="90"/>
      <c r="T286" s="102"/>
      <c r="U286" s="90"/>
      <c r="V286" s="102"/>
      <c r="W286" s="90"/>
      <c r="X286" s="90"/>
      <c r="Y286" s="90"/>
      <c r="Z286" s="90"/>
      <c r="AA286" s="90"/>
      <c r="AB286" s="90"/>
      <c r="AC286" s="90"/>
      <c r="AD286" s="90"/>
      <c r="AE286" s="90"/>
      <c r="AF286" s="90"/>
      <c r="AG286" s="90"/>
      <c r="AH286" s="90"/>
      <c r="AI286" s="90"/>
      <c r="AJ286" s="90"/>
      <c r="AK286" s="90"/>
      <c r="AL286" s="90"/>
      <c r="AM286" s="90"/>
      <c r="AN286" s="90"/>
      <c r="AO286" s="90"/>
      <c r="AP286" s="90"/>
      <c r="AQ286" s="90"/>
      <c r="AR286" s="90"/>
      <c r="AS286" s="90"/>
      <c r="AT286" s="90"/>
      <c r="AU286" s="90"/>
      <c r="AV286" s="90"/>
      <c r="AW286" s="90"/>
      <c r="AX286" s="90"/>
      <c r="AY286" s="90"/>
      <c r="AZ286" s="90"/>
      <c r="BA286" s="90"/>
    </row>
    <row r="287" spans="1:53" ht="13.5" customHeight="1">
      <c r="A287" s="90"/>
      <c r="B287" s="90"/>
      <c r="C287" s="90"/>
      <c r="D287" s="90"/>
      <c r="E287" s="90"/>
      <c r="F287" s="90"/>
      <c r="G287" s="90"/>
      <c r="H287" s="90"/>
      <c r="I287" s="90"/>
      <c r="J287" s="90"/>
      <c r="K287" s="90"/>
      <c r="L287" s="90"/>
      <c r="M287" s="90"/>
      <c r="N287" s="90"/>
      <c r="O287" s="90"/>
      <c r="P287" s="90"/>
      <c r="Q287" s="102"/>
      <c r="R287" s="90"/>
      <c r="S287" s="90"/>
      <c r="T287" s="102"/>
      <c r="U287" s="90"/>
      <c r="V287" s="102"/>
      <c r="W287" s="90"/>
      <c r="X287" s="90"/>
      <c r="Y287" s="90"/>
      <c r="Z287" s="90"/>
      <c r="AA287" s="90"/>
      <c r="AB287" s="90"/>
      <c r="AC287" s="90"/>
      <c r="AD287" s="90"/>
      <c r="AE287" s="90"/>
      <c r="AF287" s="90"/>
      <c r="AG287" s="90"/>
      <c r="AH287" s="90"/>
      <c r="AI287" s="90"/>
      <c r="AJ287" s="90"/>
      <c r="AK287" s="90"/>
      <c r="AL287" s="90"/>
      <c r="AM287" s="90"/>
      <c r="AN287" s="90"/>
      <c r="AO287" s="90"/>
      <c r="AP287" s="90"/>
      <c r="AQ287" s="90"/>
      <c r="AR287" s="90"/>
      <c r="AS287" s="90"/>
      <c r="AT287" s="90"/>
      <c r="AU287" s="90"/>
      <c r="AV287" s="90"/>
      <c r="AW287" s="90"/>
      <c r="AX287" s="90"/>
      <c r="AY287" s="90"/>
      <c r="AZ287" s="90"/>
      <c r="BA287" s="90"/>
    </row>
    <row r="288" spans="1:53" ht="13.5" customHeight="1">
      <c r="A288" s="90"/>
      <c r="B288" s="90"/>
      <c r="C288" s="90"/>
      <c r="D288" s="90"/>
      <c r="E288" s="90"/>
      <c r="F288" s="90"/>
      <c r="G288" s="90"/>
      <c r="H288" s="90"/>
      <c r="I288" s="90"/>
      <c r="J288" s="90"/>
      <c r="K288" s="90"/>
      <c r="L288" s="90"/>
      <c r="M288" s="90"/>
      <c r="N288" s="90"/>
      <c r="O288" s="90"/>
      <c r="P288" s="90"/>
      <c r="Q288" s="102"/>
      <c r="R288" s="90"/>
      <c r="S288" s="90"/>
      <c r="T288" s="102"/>
      <c r="U288" s="90"/>
      <c r="V288" s="102"/>
      <c r="W288" s="90"/>
      <c r="X288" s="90"/>
      <c r="Y288" s="90"/>
      <c r="Z288" s="90"/>
      <c r="AA288" s="90"/>
      <c r="AB288" s="90"/>
      <c r="AC288" s="90"/>
      <c r="AD288" s="90"/>
      <c r="AE288" s="90"/>
      <c r="AF288" s="90"/>
      <c r="AG288" s="90"/>
      <c r="AH288" s="90"/>
      <c r="AI288" s="90"/>
      <c r="AJ288" s="90"/>
      <c r="AK288" s="90"/>
      <c r="AL288" s="90"/>
      <c r="AM288" s="90"/>
      <c r="AN288" s="90"/>
      <c r="AO288" s="90"/>
      <c r="AP288" s="90"/>
      <c r="AQ288" s="90"/>
      <c r="AR288" s="90"/>
      <c r="AS288" s="90"/>
      <c r="AT288" s="90"/>
      <c r="AU288" s="90"/>
      <c r="AV288" s="90"/>
      <c r="AW288" s="90"/>
      <c r="AX288" s="90"/>
      <c r="AY288" s="90"/>
      <c r="AZ288" s="90"/>
      <c r="BA288" s="90"/>
    </row>
    <row r="289" spans="1:53" ht="13.5" customHeight="1">
      <c r="A289" s="90"/>
      <c r="B289" s="90"/>
      <c r="C289" s="90"/>
      <c r="D289" s="90"/>
      <c r="E289" s="90"/>
      <c r="F289" s="90"/>
      <c r="G289" s="90"/>
      <c r="H289" s="90"/>
      <c r="I289" s="90"/>
      <c r="J289" s="90"/>
      <c r="K289" s="90"/>
      <c r="L289" s="90"/>
      <c r="M289" s="90"/>
      <c r="N289" s="90"/>
      <c r="O289" s="90"/>
      <c r="P289" s="90"/>
      <c r="Q289" s="102"/>
      <c r="R289" s="90"/>
      <c r="S289" s="90"/>
      <c r="T289" s="102"/>
      <c r="U289" s="90"/>
      <c r="V289" s="102"/>
      <c r="W289" s="90"/>
      <c r="X289" s="90"/>
      <c r="Y289" s="90"/>
      <c r="Z289" s="90"/>
      <c r="AA289" s="90"/>
      <c r="AB289" s="90"/>
      <c r="AC289" s="90"/>
      <c r="AD289" s="90"/>
      <c r="AE289" s="90"/>
      <c r="AF289" s="90"/>
      <c r="AG289" s="90"/>
      <c r="AH289" s="90"/>
      <c r="AI289" s="90"/>
      <c r="AJ289" s="90"/>
      <c r="AK289" s="90"/>
      <c r="AL289" s="90"/>
      <c r="AM289" s="90"/>
      <c r="AN289" s="90"/>
      <c r="AO289" s="90"/>
      <c r="AP289" s="90"/>
      <c r="AQ289" s="90"/>
      <c r="AR289" s="90"/>
      <c r="AS289" s="90"/>
      <c r="AT289" s="90"/>
      <c r="AU289" s="90"/>
      <c r="AV289" s="90"/>
      <c r="AW289" s="90"/>
      <c r="AX289" s="90"/>
      <c r="AY289" s="90"/>
      <c r="AZ289" s="90"/>
      <c r="BA289" s="90"/>
    </row>
    <row r="290" spans="1:53" ht="13.5" customHeight="1">
      <c r="A290" s="90"/>
      <c r="B290" s="90"/>
      <c r="C290" s="90"/>
      <c r="D290" s="90"/>
      <c r="E290" s="90"/>
      <c r="F290" s="90"/>
      <c r="G290" s="90"/>
      <c r="H290" s="90"/>
      <c r="I290" s="90"/>
      <c r="J290" s="90"/>
      <c r="K290" s="90"/>
      <c r="L290" s="90"/>
      <c r="M290" s="90"/>
      <c r="N290" s="90"/>
      <c r="O290" s="90"/>
      <c r="P290" s="90"/>
      <c r="Q290" s="102"/>
      <c r="R290" s="90"/>
      <c r="S290" s="90"/>
      <c r="T290" s="102"/>
      <c r="U290" s="90"/>
      <c r="V290" s="102"/>
      <c r="W290" s="90"/>
      <c r="X290" s="90"/>
      <c r="Y290" s="90"/>
      <c r="Z290" s="90"/>
      <c r="AA290" s="90"/>
      <c r="AB290" s="90"/>
      <c r="AC290" s="90"/>
      <c r="AD290" s="90"/>
      <c r="AE290" s="90"/>
      <c r="AF290" s="90"/>
      <c r="AG290" s="90"/>
      <c r="AH290" s="90"/>
      <c r="AI290" s="90"/>
      <c r="AJ290" s="90"/>
      <c r="AK290" s="90"/>
      <c r="AL290" s="90"/>
      <c r="AM290" s="90"/>
      <c r="AN290" s="90"/>
      <c r="AO290" s="90"/>
      <c r="AP290" s="90"/>
      <c r="AQ290" s="90"/>
      <c r="AR290" s="90"/>
      <c r="AS290" s="90"/>
      <c r="AT290" s="90"/>
      <c r="AU290" s="90"/>
      <c r="AV290" s="90"/>
      <c r="AW290" s="90"/>
      <c r="AX290" s="90"/>
      <c r="AY290" s="90"/>
      <c r="AZ290" s="90"/>
      <c r="BA290" s="90"/>
    </row>
    <row r="291" spans="1:53" ht="13.5" customHeight="1">
      <c r="A291" s="90"/>
      <c r="B291" s="90"/>
      <c r="C291" s="90"/>
      <c r="D291" s="90"/>
      <c r="E291" s="90"/>
      <c r="F291" s="90"/>
      <c r="G291" s="90"/>
      <c r="H291" s="90"/>
      <c r="I291" s="90"/>
      <c r="J291" s="90"/>
      <c r="K291" s="90"/>
      <c r="L291" s="90"/>
      <c r="M291" s="90"/>
      <c r="N291" s="90"/>
      <c r="O291" s="90"/>
      <c r="P291" s="90"/>
      <c r="Q291" s="102"/>
      <c r="R291" s="90"/>
      <c r="S291" s="90"/>
      <c r="T291" s="102"/>
      <c r="U291" s="90"/>
      <c r="V291" s="102"/>
      <c r="W291" s="90"/>
      <c r="X291" s="90"/>
      <c r="Y291" s="90"/>
      <c r="Z291" s="90"/>
      <c r="AA291" s="90"/>
      <c r="AB291" s="90"/>
      <c r="AC291" s="90"/>
      <c r="AD291" s="90"/>
      <c r="AE291" s="90"/>
      <c r="AF291" s="90"/>
      <c r="AG291" s="90"/>
      <c r="AH291" s="90"/>
      <c r="AI291" s="90"/>
      <c r="AJ291" s="90"/>
      <c r="AK291" s="90"/>
      <c r="AL291" s="90"/>
      <c r="AM291" s="90"/>
      <c r="AN291" s="90"/>
      <c r="AO291" s="90"/>
      <c r="AP291" s="90"/>
      <c r="AQ291" s="90"/>
      <c r="AR291" s="90"/>
      <c r="AS291" s="90"/>
      <c r="AT291" s="90"/>
      <c r="AU291" s="90"/>
      <c r="AV291" s="90"/>
      <c r="AW291" s="90"/>
      <c r="AX291" s="90"/>
      <c r="AY291" s="90"/>
      <c r="AZ291" s="90"/>
      <c r="BA291" s="90"/>
    </row>
    <row r="292" spans="1:53" ht="13.5" customHeight="1">
      <c r="A292" s="90"/>
      <c r="B292" s="90"/>
      <c r="C292" s="90"/>
      <c r="D292" s="90"/>
      <c r="E292" s="90"/>
      <c r="F292" s="90"/>
      <c r="G292" s="90"/>
      <c r="H292" s="90"/>
      <c r="I292" s="90"/>
      <c r="J292" s="90"/>
      <c r="K292" s="90"/>
      <c r="L292" s="90"/>
      <c r="M292" s="90"/>
      <c r="N292" s="90"/>
      <c r="O292" s="90"/>
      <c r="P292" s="90"/>
      <c r="Q292" s="102"/>
      <c r="R292" s="90"/>
      <c r="S292" s="90"/>
      <c r="T292" s="102"/>
      <c r="U292" s="90"/>
      <c r="V292" s="102"/>
      <c r="W292" s="90"/>
      <c r="X292" s="90"/>
      <c r="Y292" s="90"/>
      <c r="Z292" s="90"/>
      <c r="AA292" s="90"/>
      <c r="AB292" s="90"/>
      <c r="AC292" s="90"/>
      <c r="AD292" s="90"/>
      <c r="AE292" s="90"/>
      <c r="AF292" s="90"/>
      <c r="AG292" s="90"/>
      <c r="AH292" s="90"/>
      <c r="AI292" s="90"/>
      <c r="AJ292" s="90"/>
      <c r="AK292" s="90"/>
      <c r="AL292" s="90"/>
      <c r="AM292" s="90"/>
      <c r="AN292" s="90"/>
      <c r="AO292" s="90"/>
      <c r="AP292" s="90"/>
      <c r="AQ292" s="90"/>
      <c r="AR292" s="90"/>
      <c r="AS292" s="90"/>
      <c r="AT292" s="90"/>
      <c r="AU292" s="90"/>
      <c r="AV292" s="90"/>
      <c r="AW292" s="90"/>
      <c r="AX292" s="90"/>
      <c r="AY292" s="90"/>
      <c r="AZ292" s="90"/>
      <c r="BA292" s="90"/>
    </row>
    <row r="293" spans="1:53" ht="13.5" customHeight="1">
      <c r="A293" s="90"/>
      <c r="B293" s="90"/>
      <c r="C293" s="90"/>
      <c r="D293" s="90"/>
      <c r="E293" s="90"/>
      <c r="F293" s="90"/>
      <c r="G293" s="90"/>
      <c r="H293" s="90"/>
      <c r="I293" s="90"/>
      <c r="J293" s="90"/>
      <c r="K293" s="90"/>
      <c r="L293" s="90"/>
      <c r="M293" s="90"/>
      <c r="N293" s="90"/>
      <c r="O293" s="90"/>
      <c r="P293" s="90"/>
      <c r="Q293" s="102"/>
      <c r="R293" s="90"/>
      <c r="S293" s="90"/>
      <c r="T293" s="102"/>
      <c r="U293" s="90"/>
      <c r="V293" s="102"/>
      <c r="W293" s="90"/>
      <c r="X293" s="90"/>
      <c r="Y293" s="90"/>
      <c r="Z293" s="90"/>
      <c r="AA293" s="90"/>
      <c r="AB293" s="90"/>
      <c r="AC293" s="90"/>
      <c r="AD293" s="90"/>
      <c r="AE293" s="90"/>
      <c r="AF293" s="90"/>
      <c r="AG293" s="90"/>
      <c r="AH293" s="90"/>
      <c r="AI293" s="90"/>
      <c r="AJ293" s="90"/>
      <c r="AK293" s="90"/>
      <c r="AL293" s="90"/>
      <c r="AM293" s="90"/>
      <c r="AN293" s="90"/>
      <c r="AO293" s="90"/>
      <c r="AP293" s="90"/>
      <c r="AQ293" s="90"/>
      <c r="AR293" s="90"/>
      <c r="AS293" s="90"/>
      <c r="AT293" s="90"/>
      <c r="AU293" s="90"/>
      <c r="AV293" s="90"/>
      <c r="AW293" s="90"/>
      <c r="AX293" s="90"/>
      <c r="AY293" s="90"/>
      <c r="AZ293" s="90"/>
      <c r="BA293" s="90"/>
    </row>
    <row r="294" spans="1:53" ht="13.5" customHeight="1">
      <c r="A294" s="90"/>
      <c r="B294" s="90"/>
      <c r="C294" s="90"/>
      <c r="D294" s="90"/>
      <c r="E294" s="90"/>
      <c r="F294" s="90"/>
      <c r="G294" s="90"/>
      <c r="H294" s="90"/>
      <c r="I294" s="90"/>
      <c r="J294" s="90"/>
      <c r="K294" s="90"/>
      <c r="L294" s="90"/>
      <c r="M294" s="90"/>
      <c r="N294" s="90"/>
      <c r="O294" s="90"/>
      <c r="P294" s="90"/>
      <c r="Q294" s="102"/>
      <c r="R294" s="90"/>
      <c r="S294" s="90"/>
      <c r="T294" s="102"/>
      <c r="U294" s="90"/>
      <c r="V294" s="102"/>
      <c r="W294" s="90"/>
      <c r="X294" s="90"/>
      <c r="Y294" s="90"/>
      <c r="Z294" s="90"/>
      <c r="AA294" s="90"/>
      <c r="AB294" s="90"/>
      <c r="AC294" s="90"/>
      <c r="AD294" s="90"/>
      <c r="AE294" s="90"/>
      <c r="AF294" s="90"/>
      <c r="AG294" s="90"/>
      <c r="AH294" s="90"/>
      <c r="AI294" s="90"/>
      <c r="AJ294" s="90"/>
      <c r="AK294" s="90"/>
      <c r="AL294" s="90"/>
      <c r="AM294" s="90"/>
      <c r="AN294" s="90"/>
      <c r="AO294" s="90"/>
      <c r="AP294" s="90"/>
      <c r="AQ294" s="90"/>
      <c r="AR294" s="90"/>
      <c r="AS294" s="90"/>
      <c r="AT294" s="90"/>
      <c r="AU294" s="90"/>
      <c r="AV294" s="90"/>
      <c r="AW294" s="90"/>
      <c r="AX294" s="90"/>
      <c r="AY294" s="90"/>
      <c r="AZ294" s="90"/>
      <c r="BA294" s="90"/>
    </row>
    <row r="295" spans="1:53" ht="13.5" customHeight="1">
      <c r="A295" s="90"/>
      <c r="B295" s="90"/>
      <c r="C295" s="90"/>
      <c r="D295" s="90"/>
      <c r="E295" s="90"/>
      <c r="F295" s="90"/>
      <c r="G295" s="90"/>
      <c r="H295" s="90"/>
      <c r="I295" s="90"/>
      <c r="J295" s="90"/>
      <c r="K295" s="90"/>
      <c r="L295" s="90"/>
      <c r="M295" s="90"/>
      <c r="N295" s="90"/>
      <c r="O295" s="90"/>
      <c r="P295" s="90"/>
      <c r="Q295" s="102"/>
      <c r="R295" s="90"/>
      <c r="S295" s="90"/>
      <c r="T295" s="102"/>
      <c r="U295" s="90"/>
      <c r="V295" s="102"/>
      <c r="W295" s="90"/>
      <c r="X295" s="90"/>
      <c r="Y295" s="90"/>
      <c r="Z295" s="90"/>
      <c r="AA295" s="90"/>
      <c r="AB295" s="90"/>
      <c r="AC295" s="90"/>
      <c r="AD295" s="90"/>
      <c r="AE295" s="90"/>
      <c r="AF295" s="90"/>
      <c r="AG295" s="90"/>
      <c r="AH295" s="90"/>
      <c r="AI295" s="90"/>
      <c r="AJ295" s="90"/>
      <c r="AK295" s="90"/>
      <c r="AL295" s="90"/>
      <c r="AM295" s="90"/>
      <c r="AN295" s="90"/>
      <c r="AO295" s="90"/>
      <c r="AP295" s="90"/>
      <c r="AQ295" s="90"/>
      <c r="AR295" s="90"/>
      <c r="AS295" s="90"/>
      <c r="AT295" s="90"/>
      <c r="AU295" s="90"/>
      <c r="AV295" s="90"/>
      <c r="AW295" s="90"/>
      <c r="AX295" s="90"/>
      <c r="AY295" s="90"/>
      <c r="AZ295" s="90"/>
      <c r="BA295" s="90"/>
    </row>
    <row r="296" spans="1:53" ht="13.5" customHeight="1">
      <c r="A296" s="90"/>
      <c r="B296" s="90"/>
      <c r="C296" s="90"/>
      <c r="D296" s="90"/>
      <c r="E296" s="90"/>
      <c r="F296" s="90"/>
      <c r="G296" s="90"/>
      <c r="H296" s="90"/>
      <c r="I296" s="90"/>
      <c r="J296" s="90"/>
      <c r="K296" s="90"/>
      <c r="L296" s="90"/>
      <c r="M296" s="90"/>
      <c r="N296" s="90"/>
      <c r="O296" s="90"/>
      <c r="P296" s="90"/>
      <c r="Q296" s="102"/>
      <c r="R296" s="90"/>
      <c r="S296" s="90"/>
      <c r="T296" s="102"/>
      <c r="U296" s="90"/>
      <c r="V296" s="102"/>
      <c r="W296" s="90"/>
      <c r="X296" s="90"/>
      <c r="Y296" s="90"/>
      <c r="Z296" s="90"/>
      <c r="AA296" s="90"/>
      <c r="AB296" s="90"/>
      <c r="AC296" s="90"/>
      <c r="AD296" s="90"/>
      <c r="AE296" s="90"/>
      <c r="AF296" s="90"/>
      <c r="AG296" s="90"/>
      <c r="AH296" s="90"/>
      <c r="AI296" s="90"/>
      <c r="AJ296" s="90"/>
      <c r="AK296" s="90"/>
      <c r="AL296" s="90"/>
      <c r="AM296" s="90"/>
      <c r="AN296" s="90"/>
      <c r="AO296" s="90"/>
      <c r="AP296" s="90"/>
      <c r="AQ296" s="90"/>
      <c r="AR296" s="90"/>
      <c r="AS296" s="90"/>
      <c r="AT296" s="90"/>
      <c r="AU296" s="90"/>
      <c r="AV296" s="90"/>
      <c r="AW296" s="90"/>
      <c r="AX296" s="90"/>
      <c r="AY296" s="90"/>
      <c r="AZ296" s="90"/>
      <c r="BA296" s="90"/>
    </row>
    <row r="297" spans="1:53" ht="13.5" customHeight="1">
      <c r="A297" s="90"/>
      <c r="B297" s="90"/>
      <c r="C297" s="90"/>
      <c r="D297" s="90"/>
      <c r="E297" s="90"/>
      <c r="F297" s="90"/>
      <c r="G297" s="90"/>
      <c r="H297" s="90"/>
      <c r="I297" s="90"/>
      <c r="J297" s="90"/>
      <c r="K297" s="90"/>
      <c r="L297" s="90"/>
      <c r="M297" s="90"/>
      <c r="N297" s="90"/>
      <c r="O297" s="90"/>
      <c r="P297" s="90"/>
      <c r="Q297" s="102"/>
      <c r="R297" s="90"/>
      <c r="S297" s="90"/>
      <c r="T297" s="102"/>
      <c r="U297" s="90"/>
      <c r="V297" s="102"/>
      <c r="W297" s="90"/>
      <c r="X297" s="90"/>
      <c r="Y297" s="90"/>
      <c r="Z297" s="90"/>
      <c r="AA297" s="90"/>
      <c r="AB297" s="90"/>
      <c r="AC297" s="90"/>
      <c r="AD297" s="90"/>
      <c r="AE297" s="90"/>
      <c r="AF297" s="90"/>
      <c r="AG297" s="90"/>
      <c r="AH297" s="90"/>
      <c r="AI297" s="90"/>
      <c r="AJ297" s="90"/>
      <c r="AK297" s="90"/>
      <c r="AL297" s="90"/>
      <c r="AM297" s="90"/>
      <c r="AN297" s="90"/>
      <c r="AO297" s="90"/>
      <c r="AP297" s="90"/>
      <c r="AQ297" s="90"/>
      <c r="AR297" s="90"/>
      <c r="AS297" s="90"/>
      <c r="AT297" s="90"/>
      <c r="AU297" s="90"/>
      <c r="AV297" s="90"/>
      <c r="AW297" s="90"/>
      <c r="AX297" s="90"/>
      <c r="AY297" s="90"/>
      <c r="AZ297" s="90"/>
      <c r="BA297" s="90"/>
    </row>
    <row r="298" spans="1:53" ht="13.5" customHeight="1">
      <c r="A298" s="90"/>
      <c r="B298" s="90"/>
      <c r="C298" s="90"/>
      <c r="D298" s="90"/>
      <c r="E298" s="90"/>
      <c r="F298" s="90"/>
      <c r="G298" s="90"/>
      <c r="H298" s="90"/>
      <c r="I298" s="90"/>
      <c r="J298" s="90"/>
      <c r="K298" s="90"/>
      <c r="L298" s="90"/>
      <c r="M298" s="90"/>
      <c r="N298" s="90"/>
      <c r="O298" s="90"/>
      <c r="P298" s="90"/>
      <c r="Q298" s="102"/>
      <c r="R298" s="90"/>
      <c r="S298" s="90"/>
      <c r="T298" s="102"/>
      <c r="U298" s="90"/>
      <c r="V298" s="102"/>
      <c r="W298" s="90"/>
      <c r="X298" s="90"/>
      <c r="Y298" s="90"/>
      <c r="Z298" s="90"/>
      <c r="AA298" s="90"/>
      <c r="AB298" s="90"/>
      <c r="AC298" s="90"/>
      <c r="AD298" s="90"/>
      <c r="AE298" s="90"/>
      <c r="AF298" s="90"/>
      <c r="AG298" s="90"/>
      <c r="AH298" s="90"/>
      <c r="AI298" s="90"/>
      <c r="AJ298" s="90"/>
      <c r="AK298" s="90"/>
      <c r="AL298" s="90"/>
      <c r="AM298" s="90"/>
      <c r="AN298" s="90"/>
      <c r="AO298" s="90"/>
      <c r="AP298" s="90"/>
      <c r="AQ298" s="90"/>
      <c r="AR298" s="90"/>
      <c r="AS298" s="90"/>
      <c r="AT298" s="90"/>
      <c r="AU298" s="90"/>
      <c r="AV298" s="90"/>
      <c r="AW298" s="90"/>
      <c r="AX298" s="90"/>
      <c r="AY298" s="90"/>
      <c r="AZ298" s="90"/>
      <c r="BA298" s="90"/>
    </row>
    <row r="299" spans="1:53" ht="13.5" customHeight="1">
      <c r="A299" s="90"/>
      <c r="B299" s="90"/>
      <c r="C299" s="90"/>
      <c r="D299" s="90"/>
      <c r="E299" s="90"/>
      <c r="F299" s="90"/>
      <c r="G299" s="90"/>
      <c r="H299" s="90"/>
      <c r="I299" s="90"/>
      <c r="J299" s="90"/>
      <c r="K299" s="90"/>
      <c r="L299" s="90"/>
      <c r="M299" s="90"/>
      <c r="N299" s="90"/>
      <c r="O299" s="90"/>
      <c r="P299" s="90"/>
      <c r="Q299" s="102"/>
      <c r="R299" s="90"/>
      <c r="S299" s="90"/>
      <c r="T299" s="102"/>
      <c r="U299" s="90"/>
      <c r="V299" s="102"/>
      <c r="W299" s="90"/>
      <c r="X299" s="90"/>
      <c r="Y299" s="90"/>
      <c r="Z299" s="90"/>
      <c r="AA299" s="90"/>
      <c r="AB299" s="90"/>
      <c r="AC299" s="90"/>
      <c r="AD299" s="90"/>
      <c r="AE299" s="90"/>
      <c r="AF299" s="90"/>
      <c r="AG299" s="90"/>
      <c r="AH299" s="90"/>
      <c r="AI299" s="90"/>
      <c r="AJ299" s="90"/>
      <c r="AK299" s="90"/>
      <c r="AL299" s="90"/>
      <c r="AM299" s="90"/>
      <c r="AN299" s="90"/>
      <c r="AO299" s="90"/>
      <c r="AP299" s="90"/>
      <c r="AQ299" s="90"/>
      <c r="AR299" s="90"/>
      <c r="AS299" s="90"/>
      <c r="AT299" s="90"/>
      <c r="AU299" s="90"/>
      <c r="AV299" s="90"/>
      <c r="AW299" s="90"/>
      <c r="AX299" s="90"/>
      <c r="AY299" s="90"/>
      <c r="AZ299" s="90"/>
      <c r="BA299" s="90"/>
    </row>
    <row r="300" spans="1:53" ht="13.5" customHeight="1">
      <c r="A300" s="90"/>
      <c r="B300" s="90"/>
      <c r="C300" s="90"/>
      <c r="D300" s="90"/>
      <c r="E300" s="90"/>
      <c r="F300" s="90"/>
      <c r="G300" s="90"/>
      <c r="H300" s="90"/>
      <c r="I300" s="90"/>
      <c r="J300" s="90"/>
      <c r="K300" s="90"/>
      <c r="L300" s="90"/>
      <c r="M300" s="90"/>
      <c r="N300" s="90"/>
      <c r="O300" s="90"/>
      <c r="P300" s="90"/>
      <c r="Q300" s="102"/>
      <c r="R300" s="90"/>
      <c r="S300" s="90"/>
      <c r="T300" s="102"/>
      <c r="U300" s="90"/>
      <c r="V300" s="102"/>
      <c r="W300" s="90"/>
      <c r="X300" s="90"/>
      <c r="Y300" s="90"/>
      <c r="Z300" s="90"/>
      <c r="AA300" s="90"/>
      <c r="AB300" s="90"/>
      <c r="AC300" s="90"/>
      <c r="AD300" s="90"/>
      <c r="AE300" s="90"/>
      <c r="AF300" s="90"/>
      <c r="AG300" s="90"/>
      <c r="AH300" s="90"/>
      <c r="AI300" s="90"/>
      <c r="AJ300" s="90"/>
      <c r="AK300" s="90"/>
      <c r="AL300" s="90"/>
      <c r="AM300" s="90"/>
      <c r="AN300" s="90"/>
      <c r="AO300" s="90"/>
      <c r="AP300" s="90"/>
      <c r="AQ300" s="90"/>
      <c r="AR300" s="90"/>
      <c r="AS300" s="90"/>
      <c r="AT300" s="90"/>
      <c r="AU300" s="90"/>
      <c r="AV300" s="90"/>
      <c r="AW300" s="90"/>
      <c r="AX300" s="90"/>
      <c r="AY300" s="90"/>
      <c r="AZ300" s="90"/>
      <c r="BA300" s="90"/>
    </row>
    <row r="301" spans="1:53" ht="13.5" customHeight="1">
      <c r="A301" s="90"/>
      <c r="B301" s="90"/>
      <c r="C301" s="90"/>
      <c r="D301" s="90"/>
      <c r="E301" s="90"/>
      <c r="F301" s="90"/>
      <c r="G301" s="90"/>
      <c r="H301" s="90"/>
      <c r="I301" s="90"/>
      <c r="J301" s="90"/>
      <c r="K301" s="90"/>
      <c r="L301" s="90"/>
      <c r="M301" s="90"/>
      <c r="N301" s="90"/>
      <c r="O301" s="90"/>
      <c r="P301" s="90"/>
      <c r="Q301" s="102"/>
      <c r="R301" s="90"/>
      <c r="S301" s="90"/>
      <c r="T301" s="102"/>
      <c r="U301" s="90"/>
      <c r="V301" s="102"/>
      <c r="W301" s="90"/>
      <c r="X301" s="90"/>
      <c r="Y301" s="90"/>
      <c r="Z301" s="90"/>
      <c r="AA301" s="90"/>
      <c r="AB301" s="90"/>
      <c r="AC301" s="90"/>
      <c r="AD301" s="90"/>
      <c r="AE301" s="90"/>
      <c r="AF301" s="90"/>
      <c r="AG301" s="90"/>
      <c r="AH301" s="90"/>
      <c r="AI301" s="90"/>
      <c r="AJ301" s="90"/>
      <c r="AK301" s="90"/>
      <c r="AL301" s="90"/>
      <c r="AM301" s="90"/>
      <c r="AN301" s="90"/>
      <c r="AO301" s="90"/>
      <c r="AP301" s="90"/>
      <c r="AQ301" s="90"/>
      <c r="AR301" s="90"/>
      <c r="AS301" s="90"/>
      <c r="AT301" s="90"/>
      <c r="AU301" s="90"/>
      <c r="AV301" s="90"/>
      <c r="AW301" s="90"/>
      <c r="AX301" s="90"/>
      <c r="AY301" s="90"/>
      <c r="AZ301" s="90"/>
      <c r="BA301" s="90"/>
    </row>
    <row r="302" spans="1:53" ht="13.5" customHeight="1">
      <c r="A302" s="90"/>
      <c r="B302" s="90"/>
      <c r="C302" s="90"/>
      <c r="D302" s="90"/>
      <c r="E302" s="90"/>
      <c r="F302" s="90"/>
      <c r="G302" s="90"/>
      <c r="H302" s="90"/>
      <c r="I302" s="90"/>
      <c r="J302" s="90"/>
      <c r="K302" s="90"/>
      <c r="L302" s="90"/>
      <c r="M302" s="90"/>
      <c r="N302" s="90"/>
      <c r="O302" s="90"/>
      <c r="P302" s="90"/>
      <c r="Q302" s="102"/>
      <c r="R302" s="90"/>
      <c r="S302" s="90"/>
      <c r="T302" s="102"/>
      <c r="U302" s="90"/>
      <c r="V302" s="102"/>
      <c r="W302" s="90"/>
      <c r="X302" s="90"/>
      <c r="Y302" s="90"/>
      <c r="Z302" s="90"/>
      <c r="AA302" s="90"/>
      <c r="AB302" s="90"/>
      <c r="AC302" s="90"/>
      <c r="AD302" s="90"/>
      <c r="AE302" s="90"/>
      <c r="AF302" s="90"/>
      <c r="AG302" s="90"/>
      <c r="AH302" s="90"/>
      <c r="AI302" s="90"/>
      <c r="AJ302" s="90"/>
      <c r="AK302" s="90"/>
      <c r="AL302" s="90"/>
      <c r="AM302" s="90"/>
      <c r="AN302" s="90"/>
      <c r="AO302" s="90"/>
      <c r="AP302" s="90"/>
      <c r="AQ302" s="90"/>
      <c r="AR302" s="90"/>
      <c r="AS302" s="90"/>
      <c r="AT302" s="90"/>
      <c r="AU302" s="90"/>
      <c r="AV302" s="90"/>
      <c r="AW302" s="90"/>
      <c r="AX302" s="90"/>
      <c r="AY302" s="90"/>
      <c r="AZ302" s="90"/>
      <c r="BA302" s="90"/>
    </row>
    <row r="303" spans="1:53" ht="13.5" customHeight="1">
      <c r="A303" s="90"/>
      <c r="B303" s="90"/>
      <c r="C303" s="90"/>
      <c r="D303" s="90"/>
      <c r="E303" s="90"/>
      <c r="F303" s="90"/>
      <c r="G303" s="90"/>
      <c r="H303" s="90"/>
      <c r="I303" s="90"/>
      <c r="J303" s="90"/>
      <c r="K303" s="90"/>
      <c r="L303" s="90"/>
      <c r="M303" s="90"/>
      <c r="N303" s="90"/>
      <c r="O303" s="90"/>
      <c r="P303" s="90"/>
      <c r="Q303" s="102"/>
      <c r="R303" s="90"/>
      <c r="S303" s="90"/>
      <c r="T303" s="102"/>
      <c r="U303" s="90"/>
      <c r="V303" s="102"/>
      <c r="W303" s="90"/>
      <c r="X303" s="90"/>
      <c r="Y303" s="90"/>
      <c r="Z303" s="90"/>
      <c r="AA303" s="90"/>
      <c r="AB303" s="90"/>
      <c r="AC303" s="90"/>
      <c r="AD303" s="90"/>
      <c r="AE303" s="90"/>
      <c r="AF303" s="90"/>
      <c r="AG303" s="90"/>
      <c r="AH303" s="90"/>
      <c r="AI303" s="90"/>
      <c r="AJ303" s="90"/>
      <c r="AK303" s="90"/>
      <c r="AL303" s="90"/>
      <c r="AM303" s="90"/>
      <c r="AN303" s="90"/>
      <c r="AO303" s="90"/>
      <c r="AP303" s="90"/>
      <c r="AQ303" s="90"/>
      <c r="AR303" s="90"/>
      <c r="AS303" s="90"/>
      <c r="AT303" s="90"/>
      <c r="AU303" s="90"/>
      <c r="AV303" s="90"/>
      <c r="AW303" s="90"/>
      <c r="AX303" s="90"/>
      <c r="AY303" s="90"/>
      <c r="AZ303" s="90"/>
      <c r="BA303" s="90"/>
    </row>
    <row r="304" spans="1:53" ht="13.5" customHeight="1">
      <c r="A304" s="90"/>
      <c r="B304" s="90"/>
      <c r="C304" s="90"/>
      <c r="D304" s="90"/>
      <c r="E304" s="90"/>
      <c r="F304" s="90"/>
      <c r="G304" s="90"/>
      <c r="H304" s="90"/>
      <c r="I304" s="90"/>
      <c r="J304" s="90"/>
      <c r="K304" s="90"/>
      <c r="L304" s="90"/>
      <c r="M304" s="90"/>
      <c r="N304" s="90"/>
      <c r="O304" s="90"/>
      <c r="P304" s="90"/>
      <c r="Q304" s="102"/>
      <c r="R304" s="90"/>
      <c r="S304" s="90"/>
      <c r="T304" s="102"/>
      <c r="U304" s="90"/>
      <c r="V304" s="102"/>
      <c r="W304" s="90"/>
      <c r="X304" s="90"/>
      <c r="Y304" s="90"/>
      <c r="Z304" s="90"/>
      <c r="AA304" s="90"/>
      <c r="AB304" s="90"/>
      <c r="AC304" s="90"/>
      <c r="AD304" s="90"/>
      <c r="AE304" s="90"/>
      <c r="AF304" s="90"/>
      <c r="AG304" s="90"/>
      <c r="AH304" s="90"/>
      <c r="AI304" s="90"/>
      <c r="AJ304" s="90"/>
      <c r="AK304" s="90"/>
      <c r="AL304" s="90"/>
      <c r="AM304" s="90"/>
      <c r="AN304" s="90"/>
      <c r="AO304" s="90"/>
      <c r="AP304" s="90"/>
      <c r="AQ304" s="90"/>
      <c r="AR304" s="90"/>
      <c r="AS304" s="90"/>
      <c r="AT304" s="90"/>
      <c r="AU304" s="90"/>
      <c r="AV304" s="90"/>
      <c r="AW304" s="90"/>
      <c r="AX304" s="90"/>
      <c r="AY304" s="90"/>
      <c r="AZ304" s="90"/>
      <c r="BA304" s="90"/>
    </row>
    <row r="305" spans="1:53" ht="13.5" customHeight="1">
      <c r="A305" s="90"/>
      <c r="B305" s="90"/>
      <c r="C305" s="90"/>
      <c r="D305" s="90"/>
      <c r="E305" s="90"/>
      <c r="F305" s="90"/>
      <c r="G305" s="90"/>
      <c r="H305" s="90"/>
      <c r="I305" s="90"/>
      <c r="J305" s="90"/>
      <c r="K305" s="90"/>
      <c r="L305" s="90"/>
      <c r="M305" s="90"/>
      <c r="N305" s="90"/>
      <c r="O305" s="90"/>
      <c r="P305" s="90"/>
      <c r="Q305" s="102"/>
      <c r="R305" s="90"/>
      <c r="S305" s="90"/>
      <c r="T305" s="102"/>
      <c r="U305" s="90"/>
      <c r="V305" s="102"/>
      <c r="W305" s="90"/>
      <c r="X305" s="90"/>
      <c r="Y305" s="90"/>
      <c r="Z305" s="90"/>
      <c r="AA305" s="90"/>
      <c r="AB305" s="90"/>
      <c r="AC305" s="90"/>
      <c r="AD305" s="90"/>
      <c r="AE305" s="90"/>
      <c r="AF305" s="90"/>
      <c r="AG305" s="90"/>
      <c r="AH305" s="90"/>
      <c r="AI305" s="90"/>
      <c r="AJ305" s="90"/>
      <c r="AK305" s="90"/>
      <c r="AL305" s="90"/>
      <c r="AM305" s="90"/>
      <c r="AN305" s="90"/>
      <c r="AO305" s="90"/>
      <c r="AP305" s="90"/>
      <c r="AQ305" s="90"/>
      <c r="AR305" s="90"/>
      <c r="AS305" s="90"/>
      <c r="AT305" s="90"/>
      <c r="AU305" s="90"/>
      <c r="AV305" s="90"/>
      <c r="AW305" s="90"/>
      <c r="AX305" s="90"/>
      <c r="AY305" s="90"/>
      <c r="AZ305" s="90"/>
      <c r="BA305" s="90"/>
    </row>
    <row r="306" spans="1:53" ht="13.5" customHeight="1">
      <c r="A306" s="90"/>
      <c r="B306" s="90"/>
      <c r="C306" s="90"/>
      <c r="D306" s="90"/>
      <c r="E306" s="90"/>
      <c r="F306" s="90"/>
      <c r="G306" s="90"/>
      <c r="H306" s="90"/>
      <c r="I306" s="90"/>
      <c r="J306" s="90"/>
      <c r="K306" s="90"/>
      <c r="L306" s="90"/>
      <c r="M306" s="90"/>
      <c r="N306" s="90"/>
      <c r="O306" s="90"/>
      <c r="P306" s="90"/>
      <c r="Q306" s="102"/>
      <c r="R306" s="90"/>
      <c r="S306" s="90"/>
      <c r="T306" s="102"/>
      <c r="U306" s="90"/>
      <c r="V306" s="102"/>
      <c r="W306" s="90"/>
      <c r="X306" s="90"/>
      <c r="Y306" s="90"/>
      <c r="Z306" s="90"/>
      <c r="AA306" s="90"/>
      <c r="AB306" s="90"/>
      <c r="AC306" s="90"/>
      <c r="AD306" s="90"/>
      <c r="AE306" s="90"/>
      <c r="AF306" s="90"/>
      <c r="AG306" s="90"/>
      <c r="AH306" s="90"/>
      <c r="AI306" s="90"/>
      <c r="AJ306" s="90"/>
      <c r="AK306" s="90"/>
      <c r="AL306" s="90"/>
      <c r="AM306" s="90"/>
      <c r="AN306" s="90"/>
      <c r="AO306" s="90"/>
      <c r="AP306" s="90"/>
      <c r="AQ306" s="90"/>
      <c r="AR306" s="90"/>
      <c r="AS306" s="90"/>
      <c r="AT306" s="90"/>
      <c r="AU306" s="90"/>
      <c r="AV306" s="90"/>
      <c r="AW306" s="90"/>
      <c r="AX306" s="90"/>
      <c r="AY306" s="90"/>
      <c r="AZ306" s="90"/>
      <c r="BA306" s="90"/>
    </row>
    <row r="307" spans="1:53" ht="13.5" customHeight="1">
      <c r="A307" s="90"/>
      <c r="B307" s="90"/>
      <c r="C307" s="90"/>
      <c r="D307" s="90"/>
      <c r="E307" s="90"/>
      <c r="F307" s="90"/>
      <c r="G307" s="90"/>
      <c r="H307" s="90"/>
      <c r="I307" s="90"/>
      <c r="J307" s="90"/>
      <c r="K307" s="90"/>
      <c r="L307" s="90"/>
      <c r="M307" s="90"/>
      <c r="N307" s="90"/>
      <c r="O307" s="90"/>
      <c r="P307" s="90"/>
      <c r="Q307" s="102"/>
      <c r="R307" s="90"/>
      <c r="S307" s="90"/>
      <c r="T307" s="102"/>
      <c r="U307" s="90"/>
      <c r="V307" s="102"/>
      <c r="W307" s="90"/>
      <c r="X307" s="90"/>
      <c r="Y307" s="90"/>
      <c r="Z307" s="90"/>
      <c r="AA307" s="90"/>
      <c r="AB307" s="90"/>
      <c r="AC307" s="90"/>
      <c r="AD307" s="90"/>
      <c r="AE307" s="90"/>
      <c r="AF307" s="90"/>
      <c r="AG307" s="90"/>
      <c r="AH307" s="90"/>
      <c r="AI307" s="90"/>
      <c r="AJ307" s="90"/>
      <c r="AK307" s="90"/>
      <c r="AL307" s="90"/>
      <c r="AM307" s="90"/>
      <c r="AN307" s="90"/>
      <c r="AO307" s="90"/>
      <c r="AP307" s="90"/>
      <c r="AQ307" s="90"/>
      <c r="AR307" s="90"/>
      <c r="AS307" s="90"/>
      <c r="AT307" s="90"/>
      <c r="AU307" s="90"/>
      <c r="AV307" s="90"/>
      <c r="AW307" s="90"/>
      <c r="AX307" s="90"/>
      <c r="AY307" s="90"/>
      <c r="AZ307" s="90"/>
      <c r="BA307" s="90"/>
    </row>
    <row r="308" spans="1:53" ht="13.5" customHeight="1">
      <c r="A308" s="90"/>
      <c r="B308" s="90"/>
      <c r="C308" s="90"/>
      <c r="D308" s="90"/>
      <c r="E308" s="90"/>
      <c r="F308" s="90"/>
      <c r="G308" s="90"/>
      <c r="H308" s="90"/>
      <c r="I308" s="90"/>
      <c r="J308" s="90"/>
      <c r="K308" s="90"/>
      <c r="L308" s="90"/>
      <c r="M308" s="90"/>
      <c r="N308" s="90"/>
      <c r="O308" s="90"/>
      <c r="P308" s="90"/>
      <c r="Q308" s="102"/>
      <c r="R308" s="90"/>
      <c r="S308" s="90"/>
      <c r="T308" s="102"/>
      <c r="U308" s="90"/>
      <c r="V308" s="102"/>
      <c r="W308" s="90"/>
      <c r="X308" s="90"/>
      <c r="Y308" s="90"/>
      <c r="Z308" s="90"/>
      <c r="AA308" s="90"/>
      <c r="AB308" s="90"/>
      <c r="AC308" s="90"/>
      <c r="AD308" s="90"/>
      <c r="AE308" s="90"/>
      <c r="AF308" s="90"/>
      <c r="AG308" s="90"/>
      <c r="AH308" s="90"/>
      <c r="AI308" s="90"/>
      <c r="AJ308" s="90"/>
      <c r="AK308" s="90"/>
      <c r="AL308" s="90"/>
      <c r="AM308" s="90"/>
      <c r="AN308" s="90"/>
      <c r="AO308" s="90"/>
      <c r="AP308" s="90"/>
      <c r="AQ308" s="90"/>
      <c r="AR308" s="90"/>
      <c r="AS308" s="90"/>
      <c r="AT308" s="90"/>
      <c r="AU308" s="90"/>
      <c r="AV308" s="90"/>
      <c r="AW308" s="90"/>
      <c r="AX308" s="90"/>
      <c r="AY308" s="90"/>
      <c r="AZ308" s="90"/>
      <c r="BA308" s="90"/>
    </row>
    <row r="309" spans="1:53" ht="13.5" customHeight="1">
      <c r="A309" s="90"/>
      <c r="B309" s="90"/>
      <c r="C309" s="90"/>
      <c r="D309" s="90"/>
      <c r="E309" s="90"/>
      <c r="F309" s="90"/>
      <c r="G309" s="90"/>
      <c r="H309" s="90"/>
      <c r="I309" s="90"/>
      <c r="J309" s="90"/>
      <c r="K309" s="90"/>
      <c r="L309" s="90"/>
      <c r="M309" s="90"/>
      <c r="N309" s="90"/>
      <c r="O309" s="90"/>
      <c r="P309" s="90"/>
      <c r="Q309" s="102"/>
      <c r="R309" s="90"/>
      <c r="S309" s="90"/>
      <c r="T309" s="102"/>
      <c r="U309" s="90"/>
      <c r="V309" s="102"/>
      <c r="W309" s="90"/>
      <c r="X309" s="90"/>
      <c r="Y309" s="90"/>
      <c r="Z309" s="90"/>
      <c r="AA309" s="90"/>
      <c r="AB309" s="90"/>
      <c r="AC309" s="90"/>
      <c r="AD309" s="90"/>
      <c r="AE309" s="90"/>
      <c r="AF309" s="90"/>
      <c r="AG309" s="90"/>
      <c r="AH309" s="90"/>
      <c r="AI309" s="90"/>
      <c r="AJ309" s="90"/>
      <c r="AK309" s="90"/>
      <c r="AL309" s="90"/>
      <c r="AM309" s="90"/>
      <c r="AN309" s="90"/>
      <c r="AO309" s="90"/>
      <c r="AP309" s="90"/>
      <c r="AQ309" s="90"/>
      <c r="AR309" s="90"/>
      <c r="AS309" s="90"/>
      <c r="AT309" s="90"/>
      <c r="AU309" s="90"/>
      <c r="AV309" s="90"/>
      <c r="AW309" s="90"/>
      <c r="AX309" s="90"/>
      <c r="AY309" s="90"/>
      <c r="AZ309" s="90"/>
      <c r="BA309" s="90"/>
    </row>
    <row r="310" spans="1:53" ht="13.5" customHeight="1">
      <c r="A310" s="90"/>
      <c r="B310" s="90"/>
      <c r="C310" s="90"/>
      <c r="D310" s="90"/>
      <c r="E310" s="90"/>
      <c r="F310" s="90"/>
      <c r="G310" s="90"/>
      <c r="H310" s="90"/>
      <c r="I310" s="90"/>
      <c r="J310" s="90"/>
      <c r="K310" s="90"/>
      <c r="L310" s="90"/>
      <c r="M310" s="90"/>
      <c r="N310" s="90"/>
      <c r="O310" s="90"/>
      <c r="P310" s="90"/>
      <c r="Q310" s="102"/>
      <c r="R310" s="90"/>
      <c r="S310" s="90"/>
      <c r="T310" s="102"/>
      <c r="U310" s="90"/>
      <c r="V310" s="102"/>
      <c r="W310" s="90"/>
      <c r="X310" s="90"/>
      <c r="Y310" s="90"/>
      <c r="Z310" s="90"/>
      <c r="AA310" s="90"/>
      <c r="AB310" s="90"/>
      <c r="AC310" s="90"/>
      <c r="AD310" s="90"/>
      <c r="AE310" s="90"/>
      <c r="AF310" s="90"/>
      <c r="AG310" s="90"/>
      <c r="AH310" s="90"/>
      <c r="AI310" s="90"/>
      <c r="AJ310" s="90"/>
      <c r="AK310" s="90"/>
      <c r="AL310" s="90"/>
      <c r="AM310" s="90"/>
      <c r="AN310" s="90"/>
      <c r="AO310" s="90"/>
      <c r="AP310" s="90"/>
      <c r="AQ310" s="90"/>
      <c r="AR310" s="90"/>
      <c r="AS310" s="90"/>
      <c r="AT310" s="90"/>
      <c r="AU310" s="90"/>
      <c r="AV310" s="90"/>
      <c r="AW310" s="90"/>
      <c r="AX310" s="90"/>
      <c r="AY310" s="90"/>
      <c r="AZ310" s="90"/>
      <c r="BA310" s="90"/>
    </row>
    <row r="311" spans="1:53" ht="13.5" customHeight="1">
      <c r="A311" s="90"/>
      <c r="B311" s="90"/>
      <c r="C311" s="90"/>
      <c r="D311" s="90"/>
      <c r="E311" s="90"/>
      <c r="F311" s="90"/>
      <c r="G311" s="90"/>
      <c r="H311" s="90"/>
      <c r="I311" s="90"/>
      <c r="J311" s="90"/>
      <c r="K311" s="90"/>
      <c r="L311" s="90"/>
      <c r="M311" s="90"/>
      <c r="N311" s="90"/>
      <c r="O311" s="90"/>
      <c r="P311" s="90"/>
      <c r="Q311" s="102"/>
      <c r="R311" s="90"/>
      <c r="S311" s="90"/>
      <c r="T311" s="102"/>
      <c r="U311" s="90"/>
      <c r="V311" s="102"/>
      <c r="W311" s="90"/>
      <c r="X311" s="90"/>
      <c r="Y311" s="90"/>
      <c r="Z311" s="90"/>
      <c r="AA311" s="90"/>
      <c r="AB311" s="90"/>
      <c r="AC311" s="90"/>
      <c r="AD311" s="90"/>
      <c r="AE311" s="90"/>
      <c r="AF311" s="90"/>
      <c r="AG311" s="90"/>
      <c r="AH311" s="90"/>
      <c r="AI311" s="90"/>
      <c r="AJ311" s="90"/>
      <c r="AK311" s="90"/>
      <c r="AL311" s="90"/>
      <c r="AM311" s="90"/>
      <c r="AN311" s="90"/>
      <c r="AO311" s="90"/>
      <c r="AP311" s="90"/>
      <c r="AQ311" s="90"/>
      <c r="AR311" s="90"/>
      <c r="AS311" s="90"/>
      <c r="AT311" s="90"/>
      <c r="AU311" s="90"/>
      <c r="AV311" s="90"/>
      <c r="AW311" s="90"/>
      <c r="AX311" s="90"/>
      <c r="AY311" s="90"/>
      <c r="AZ311" s="90"/>
      <c r="BA311" s="90"/>
    </row>
    <row r="312" spans="1:53" ht="13.5" customHeight="1">
      <c r="A312" s="90"/>
      <c r="B312" s="90"/>
      <c r="C312" s="90"/>
      <c r="D312" s="90"/>
      <c r="E312" s="90"/>
      <c r="F312" s="90"/>
      <c r="G312" s="90"/>
      <c r="H312" s="90"/>
      <c r="I312" s="90"/>
      <c r="J312" s="90"/>
      <c r="K312" s="90"/>
      <c r="L312" s="90"/>
      <c r="M312" s="90"/>
      <c r="N312" s="90"/>
      <c r="O312" s="90"/>
      <c r="P312" s="90"/>
      <c r="Q312" s="102"/>
      <c r="R312" s="90"/>
      <c r="S312" s="90"/>
      <c r="T312" s="102"/>
      <c r="U312" s="90"/>
      <c r="V312" s="102"/>
      <c r="W312" s="90"/>
      <c r="X312" s="90"/>
      <c r="Y312" s="90"/>
      <c r="Z312" s="90"/>
      <c r="AA312" s="90"/>
      <c r="AB312" s="90"/>
      <c r="AC312" s="90"/>
      <c r="AD312" s="90"/>
      <c r="AE312" s="90"/>
      <c r="AF312" s="90"/>
      <c r="AG312" s="90"/>
      <c r="AH312" s="90"/>
      <c r="AI312" s="90"/>
      <c r="AJ312" s="90"/>
      <c r="AK312" s="90"/>
      <c r="AL312" s="90"/>
      <c r="AM312" s="90"/>
      <c r="AN312" s="90"/>
      <c r="AO312" s="90"/>
      <c r="AP312" s="90"/>
      <c r="AQ312" s="90"/>
      <c r="AR312" s="90"/>
      <c r="AS312" s="90"/>
      <c r="AT312" s="90"/>
      <c r="AU312" s="90"/>
      <c r="AV312" s="90"/>
      <c r="AW312" s="90"/>
      <c r="AX312" s="90"/>
      <c r="AY312" s="90"/>
      <c r="AZ312" s="90"/>
      <c r="BA312" s="90"/>
    </row>
    <row r="313" spans="1:53" ht="13.5" customHeight="1">
      <c r="A313" s="90"/>
      <c r="B313" s="90"/>
      <c r="C313" s="90"/>
      <c r="D313" s="90"/>
      <c r="E313" s="90"/>
      <c r="F313" s="90"/>
      <c r="G313" s="90"/>
      <c r="H313" s="90"/>
      <c r="I313" s="90"/>
      <c r="J313" s="90"/>
      <c r="K313" s="90"/>
      <c r="L313" s="90"/>
      <c r="M313" s="90"/>
      <c r="N313" s="90"/>
      <c r="O313" s="90"/>
      <c r="P313" s="90"/>
      <c r="Q313" s="102"/>
      <c r="R313" s="90"/>
      <c r="S313" s="90"/>
      <c r="T313" s="102"/>
      <c r="U313" s="90"/>
      <c r="V313" s="102"/>
      <c r="W313" s="90"/>
      <c r="X313" s="90"/>
      <c r="Y313" s="90"/>
      <c r="Z313" s="90"/>
      <c r="AA313" s="90"/>
      <c r="AB313" s="90"/>
      <c r="AC313" s="90"/>
      <c r="AD313" s="90"/>
      <c r="AE313" s="90"/>
      <c r="AF313" s="90"/>
      <c r="AG313" s="90"/>
      <c r="AH313" s="90"/>
      <c r="AI313" s="90"/>
      <c r="AJ313" s="90"/>
      <c r="AK313" s="90"/>
      <c r="AL313" s="90"/>
      <c r="AM313" s="90"/>
      <c r="AN313" s="90"/>
      <c r="AO313" s="90"/>
      <c r="AP313" s="90"/>
      <c r="AQ313" s="90"/>
      <c r="AR313" s="90"/>
      <c r="AS313" s="90"/>
      <c r="AT313" s="90"/>
      <c r="AU313" s="90"/>
      <c r="AV313" s="90"/>
      <c r="AW313" s="90"/>
      <c r="AX313" s="90"/>
      <c r="AY313" s="90"/>
      <c r="AZ313" s="90"/>
      <c r="BA313" s="90"/>
    </row>
    <row r="314" spans="1:53" ht="13.5" customHeight="1">
      <c r="A314" s="90"/>
      <c r="B314" s="90"/>
      <c r="C314" s="90"/>
      <c r="D314" s="90"/>
      <c r="E314" s="90"/>
      <c r="F314" s="90"/>
      <c r="G314" s="90"/>
      <c r="H314" s="90"/>
      <c r="I314" s="90"/>
      <c r="J314" s="90"/>
      <c r="K314" s="90"/>
      <c r="L314" s="90"/>
      <c r="M314" s="90"/>
      <c r="N314" s="90"/>
      <c r="O314" s="90"/>
      <c r="P314" s="90"/>
      <c r="Q314" s="102"/>
      <c r="R314" s="90"/>
      <c r="S314" s="90"/>
      <c r="T314" s="102"/>
      <c r="U314" s="90"/>
      <c r="V314" s="102"/>
      <c r="W314" s="90"/>
      <c r="X314" s="90"/>
      <c r="Y314" s="90"/>
      <c r="Z314" s="90"/>
      <c r="AA314" s="90"/>
      <c r="AB314" s="90"/>
      <c r="AC314" s="90"/>
      <c r="AD314" s="90"/>
      <c r="AE314" s="90"/>
      <c r="AF314" s="90"/>
      <c r="AG314" s="90"/>
      <c r="AH314" s="90"/>
      <c r="AI314" s="90"/>
      <c r="AJ314" s="90"/>
      <c r="AK314" s="90"/>
      <c r="AL314" s="90"/>
      <c r="AM314" s="90"/>
      <c r="AN314" s="90"/>
      <c r="AO314" s="90"/>
      <c r="AP314" s="90"/>
      <c r="AQ314" s="90"/>
      <c r="AR314" s="90"/>
      <c r="AS314" s="90"/>
      <c r="AT314" s="90"/>
      <c r="AU314" s="90"/>
      <c r="AV314" s="90"/>
      <c r="AW314" s="90"/>
      <c r="AX314" s="90"/>
      <c r="AY314" s="90"/>
      <c r="AZ314" s="90"/>
      <c r="BA314" s="90"/>
    </row>
    <row r="315" spans="1:53" ht="13.5" customHeight="1">
      <c r="A315" s="90"/>
      <c r="B315" s="90"/>
      <c r="C315" s="90"/>
      <c r="D315" s="90"/>
      <c r="E315" s="90"/>
      <c r="F315" s="90"/>
      <c r="G315" s="90"/>
      <c r="H315" s="90"/>
      <c r="I315" s="90"/>
      <c r="J315" s="90"/>
      <c r="K315" s="90"/>
      <c r="L315" s="90"/>
      <c r="M315" s="90"/>
      <c r="N315" s="90"/>
      <c r="O315" s="90"/>
      <c r="P315" s="90"/>
      <c r="Q315" s="102"/>
      <c r="R315" s="90"/>
      <c r="S315" s="90"/>
      <c r="T315" s="102"/>
      <c r="U315" s="90"/>
      <c r="V315" s="102"/>
      <c r="W315" s="90"/>
      <c r="X315" s="90"/>
      <c r="Y315" s="90"/>
      <c r="Z315" s="90"/>
      <c r="AA315" s="90"/>
      <c r="AB315" s="90"/>
      <c r="AC315" s="90"/>
      <c r="AD315" s="90"/>
      <c r="AE315" s="90"/>
      <c r="AF315" s="90"/>
      <c r="AG315" s="90"/>
      <c r="AH315" s="90"/>
      <c r="AI315" s="90"/>
      <c r="AJ315" s="90"/>
      <c r="AK315" s="90"/>
      <c r="AL315" s="90"/>
      <c r="AM315" s="90"/>
      <c r="AN315" s="90"/>
      <c r="AO315" s="90"/>
      <c r="AP315" s="90"/>
      <c r="AQ315" s="90"/>
      <c r="AR315" s="90"/>
      <c r="AS315" s="90"/>
      <c r="AT315" s="90"/>
      <c r="AU315" s="90"/>
      <c r="AV315" s="90"/>
      <c r="AW315" s="90"/>
      <c r="AX315" s="90"/>
      <c r="AY315" s="90"/>
      <c r="AZ315" s="90"/>
      <c r="BA315" s="90"/>
    </row>
    <row r="316" spans="1:53" ht="15.75" customHeight="1"/>
    <row r="317" spans="1:53" ht="15.75" customHeight="1"/>
    <row r="318" spans="1:53" ht="15.75" customHeight="1"/>
    <row r="319" spans="1:53" ht="15.75" customHeight="1"/>
    <row r="320" spans="1:5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A115" xr:uid="{00000000-0009-0000-0000-000000000000}"/>
  <phoneticPr fontId="3"/>
  <dataValidations count="11">
    <dataValidation type="decimal" allowBlank="1" showInputMessage="1" showErrorMessage="1" prompt="硬度を正しく入力して下さい。" sqref="O2:P315" xr:uid="{4F41301F-B011-4F4C-8483-D56AC683CF3E}">
      <formula1>0</formula1>
      <formula2>7</formula2>
    </dataValidation>
    <dataValidation type="list" allowBlank="1" showErrorMessage="1" sqref="H2:H315" xr:uid="{E510C7A4-103A-4487-B195-A6BBB4935789}">
      <formula1>$AL$2:$AL$9</formula1>
    </dataValidation>
    <dataValidation type="list" allowBlank="1" showErrorMessage="1" sqref="K2:K315" xr:uid="{C6E59580-8094-4AC8-B0B2-42297288D23F}">
      <formula1>$AR$2:$AR$28</formula1>
    </dataValidation>
    <dataValidation type="list" allowBlank="1" showErrorMessage="1" sqref="J2:J315" xr:uid="{D2976BE4-E38B-4284-9FCC-245907E5CBE1}">
      <formula1>$AP$2:$AP$30</formula1>
    </dataValidation>
    <dataValidation type="list" allowBlank="1" showErrorMessage="1" sqref="G2:G315" xr:uid="{566ED7A0-22A0-4B85-9C15-AA44A2E6F1E7}">
      <formula1>$AJ$2:$AJ$4</formula1>
    </dataValidation>
    <dataValidation type="list" allowBlank="1" showErrorMessage="1" sqref="A2:A315" xr:uid="{AF5FAB49-DC0D-4940-94E1-AFF9D231CB2D}">
      <formula1>$AE$2:$AE$19</formula1>
    </dataValidation>
    <dataValidation type="list" allowBlank="1" showErrorMessage="1" sqref="Y2:AA315" xr:uid="{73E5C6A4-1B97-4B03-A99C-42D4DFACBCCE}">
      <formula1>$AV$2:$AV$21</formula1>
    </dataValidation>
    <dataValidation type="list" allowBlank="1" showErrorMessage="1" sqref="I2:I315" xr:uid="{FB9E7806-2115-4130-A91A-A3A76927280E}">
      <formula1>$AN$5:$AN$6</formula1>
    </dataValidation>
    <dataValidation type="list" allowBlank="1" showErrorMessage="1" sqref="F2:F315" xr:uid="{E7BDF2B9-25FA-4B83-9C7D-223090E93C42}">
      <formula1>$AH$2:$AH$11</formula1>
    </dataValidation>
    <dataValidation type="list" allowBlank="1" showErrorMessage="1" sqref="E2:E315" xr:uid="{4AE18FB4-E17F-4022-8800-C805AA298C54}">
      <formula1>$AG$2:$AG$11</formula1>
    </dataValidation>
    <dataValidation type="list" allowBlank="1" showErrorMessage="1" sqref="X2:X315" xr:uid="{450BC97F-0433-4496-8FE7-CC2007DC4104}">
      <formula1>$AT$2:$AT$3</formula1>
    </dataValidation>
  </dataValidations>
  <pageMargins left="0.69930555555555596" right="0.69930555555555596"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165E6-32C9-43E1-9EA8-AAD578D9BB17}">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cols>
    <col min="1" max="3" width="9" style="10" customWidth="1"/>
    <col min="4" max="4" width="10.5" style="10" customWidth="1"/>
    <col min="5" max="5" width="11.25" style="10" bestFit="1" customWidth="1"/>
    <col min="6" max="7" width="9" style="10"/>
    <col min="8" max="9" width="9" style="10" customWidth="1"/>
    <col min="10" max="11" width="9" style="10"/>
    <col min="12" max="16" width="9" style="10" customWidth="1"/>
    <col min="17" max="17" width="9" style="24" customWidth="1"/>
    <col min="18" max="18" width="9" style="10"/>
    <col min="19" max="19" width="9.5" style="10" bestFit="1" customWidth="1"/>
    <col min="20" max="20" width="9" style="24" customWidth="1"/>
    <col min="21" max="21" width="9" style="10"/>
    <col min="22" max="22" width="9" style="24" customWidth="1"/>
    <col min="23" max="28" width="9" style="10"/>
    <col min="29" max="29" width="26.5" style="10" customWidth="1"/>
    <col min="30" max="32" width="9" style="10"/>
    <col min="33" max="33" width="15.75" style="10" bestFit="1" customWidth="1"/>
    <col min="34" max="34" width="15" style="10" bestFit="1" customWidth="1"/>
    <col min="35" max="256" width="9" style="10"/>
    <col min="257" max="259" width="9" style="10" customWidth="1"/>
    <col min="260" max="260" width="10.5" style="10" customWidth="1"/>
    <col min="261" max="261" width="11.25" style="10" bestFit="1" customWidth="1"/>
    <col min="262" max="263" width="9" style="10"/>
    <col min="264" max="273" width="9" style="10" customWidth="1"/>
    <col min="274" max="274" width="9" style="10"/>
    <col min="275" max="275" width="9.5" style="10" bestFit="1" customWidth="1"/>
    <col min="276" max="276" width="9" style="10" customWidth="1"/>
    <col min="277" max="277" width="9" style="10"/>
    <col min="278" max="278" width="9" style="10" customWidth="1"/>
    <col min="279" max="284" width="9" style="10"/>
    <col min="285" max="285" width="26.5" style="10" customWidth="1"/>
    <col min="286" max="288" width="9" style="10"/>
    <col min="289" max="289" width="14.75" style="10" bestFit="1" customWidth="1"/>
    <col min="290" max="512" width="9" style="10"/>
    <col min="513" max="515" width="9" style="10" customWidth="1"/>
    <col min="516" max="516" width="10.5" style="10" customWidth="1"/>
    <col min="517" max="517" width="11.25" style="10" bestFit="1" customWidth="1"/>
    <col min="518" max="519" width="9" style="10"/>
    <col min="520" max="529" width="9" style="10" customWidth="1"/>
    <col min="530" max="530" width="9" style="10"/>
    <col min="531" max="531" width="9.5" style="10" bestFit="1" customWidth="1"/>
    <col min="532" max="532" width="9" style="10" customWidth="1"/>
    <col min="533" max="533" width="9" style="10"/>
    <col min="534" max="534" width="9" style="10" customWidth="1"/>
    <col min="535" max="540" width="9" style="10"/>
    <col min="541" max="541" width="26.5" style="10" customWidth="1"/>
    <col min="542" max="544" width="9" style="10"/>
    <col min="545" max="545" width="14.75" style="10" bestFit="1" customWidth="1"/>
    <col min="546" max="768" width="9" style="10"/>
    <col min="769" max="771" width="9" style="10" customWidth="1"/>
    <col min="772" max="772" width="10.5" style="10" customWidth="1"/>
    <col min="773" max="773" width="11.25" style="10" bestFit="1" customWidth="1"/>
    <col min="774" max="775" width="9" style="10"/>
    <col min="776" max="785" width="9" style="10" customWidth="1"/>
    <col min="786" max="786" width="9" style="10"/>
    <col min="787" max="787" width="9.5" style="10" bestFit="1" customWidth="1"/>
    <col min="788" max="788" width="9" style="10" customWidth="1"/>
    <col min="789" max="789" width="9" style="10"/>
    <col min="790" max="790" width="9" style="10" customWidth="1"/>
    <col min="791" max="796" width="9" style="10"/>
    <col min="797" max="797" width="26.5" style="10" customWidth="1"/>
    <col min="798" max="800" width="9" style="10"/>
    <col min="801" max="801" width="14.75" style="10" bestFit="1" customWidth="1"/>
    <col min="802" max="1024" width="9" style="10"/>
    <col min="1025" max="1027" width="9" style="10" customWidth="1"/>
    <col min="1028" max="1028" width="10.5" style="10" customWidth="1"/>
    <col min="1029" max="1029" width="11.25" style="10" bestFit="1" customWidth="1"/>
    <col min="1030" max="1031" width="9" style="10"/>
    <col min="1032" max="1041" width="9" style="10" customWidth="1"/>
    <col min="1042" max="1042" width="9" style="10"/>
    <col min="1043" max="1043" width="9.5" style="10" bestFit="1" customWidth="1"/>
    <col min="1044" max="1044" width="9" style="10" customWidth="1"/>
    <col min="1045" max="1045" width="9" style="10"/>
    <col min="1046" max="1046" width="9" style="10" customWidth="1"/>
    <col min="1047" max="1052" width="9" style="10"/>
    <col min="1053" max="1053" width="26.5" style="10" customWidth="1"/>
    <col min="1054" max="1056" width="9" style="10"/>
    <col min="1057" max="1057" width="14.75" style="10" bestFit="1" customWidth="1"/>
    <col min="1058" max="1280" width="9" style="10"/>
    <col min="1281" max="1283" width="9" style="10" customWidth="1"/>
    <col min="1284" max="1284" width="10.5" style="10" customWidth="1"/>
    <col min="1285" max="1285" width="11.25" style="10" bestFit="1" customWidth="1"/>
    <col min="1286" max="1287" width="9" style="10"/>
    <col min="1288" max="1297" width="9" style="10" customWidth="1"/>
    <col min="1298" max="1298" width="9" style="10"/>
    <col min="1299" max="1299" width="9.5" style="10" bestFit="1" customWidth="1"/>
    <col min="1300" max="1300" width="9" style="10" customWidth="1"/>
    <col min="1301" max="1301" width="9" style="10"/>
    <col min="1302" max="1302" width="9" style="10" customWidth="1"/>
    <col min="1303" max="1308" width="9" style="10"/>
    <col min="1309" max="1309" width="26.5" style="10" customWidth="1"/>
    <col min="1310" max="1312" width="9" style="10"/>
    <col min="1313" max="1313" width="14.75" style="10" bestFit="1" customWidth="1"/>
    <col min="1314" max="1536" width="9" style="10"/>
    <col min="1537" max="1539" width="9" style="10" customWidth="1"/>
    <col min="1540" max="1540" width="10.5" style="10" customWidth="1"/>
    <col min="1541" max="1541" width="11.25" style="10" bestFit="1" customWidth="1"/>
    <col min="1542" max="1543" width="9" style="10"/>
    <col min="1544" max="1553" width="9" style="10" customWidth="1"/>
    <col min="1554" max="1554" width="9" style="10"/>
    <col min="1555" max="1555" width="9.5" style="10" bestFit="1" customWidth="1"/>
    <col min="1556" max="1556" width="9" style="10" customWidth="1"/>
    <col min="1557" max="1557" width="9" style="10"/>
    <col min="1558" max="1558" width="9" style="10" customWidth="1"/>
    <col min="1559" max="1564" width="9" style="10"/>
    <col min="1565" max="1565" width="26.5" style="10" customWidth="1"/>
    <col min="1566" max="1568" width="9" style="10"/>
    <col min="1569" max="1569" width="14.75" style="10" bestFit="1" customWidth="1"/>
    <col min="1570" max="1792" width="9" style="10"/>
    <col min="1793" max="1795" width="9" style="10" customWidth="1"/>
    <col min="1796" max="1796" width="10.5" style="10" customWidth="1"/>
    <col min="1797" max="1797" width="11.25" style="10" bestFit="1" customWidth="1"/>
    <col min="1798" max="1799" width="9" style="10"/>
    <col min="1800" max="1809" width="9" style="10" customWidth="1"/>
    <col min="1810" max="1810" width="9" style="10"/>
    <col min="1811" max="1811" width="9.5" style="10" bestFit="1" customWidth="1"/>
    <col min="1812" max="1812" width="9" style="10" customWidth="1"/>
    <col min="1813" max="1813" width="9" style="10"/>
    <col min="1814" max="1814" width="9" style="10" customWidth="1"/>
    <col min="1815" max="1820" width="9" style="10"/>
    <col min="1821" max="1821" width="26.5" style="10" customWidth="1"/>
    <col min="1822" max="1824" width="9" style="10"/>
    <col min="1825" max="1825" width="14.75" style="10" bestFit="1" customWidth="1"/>
    <col min="1826" max="2048" width="9" style="10"/>
    <col min="2049" max="2051" width="9" style="10" customWidth="1"/>
    <col min="2052" max="2052" width="10.5" style="10" customWidth="1"/>
    <col min="2053" max="2053" width="11.25" style="10" bestFit="1" customWidth="1"/>
    <col min="2054" max="2055" width="9" style="10"/>
    <col min="2056" max="2065" width="9" style="10" customWidth="1"/>
    <col min="2066" max="2066" width="9" style="10"/>
    <col min="2067" max="2067" width="9.5" style="10" bestFit="1" customWidth="1"/>
    <col min="2068" max="2068" width="9" style="10" customWidth="1"/>
    <col min="2069" max="2069" width="9" style="10"/>
    <col min="2070" max="2070" width="9" style="10" customWidth="1"/>
    <col min="2071" max="2076" width="9" style="10"/>
    <col min="2077" max="2077" width="26.5" style="10" customWidth="1"/>
    <col min="2078" max="2080" width="9" style="10"/>
    <col min="2081" max="2081" width="14.75" style="10" bestFit="1" customWidth="1"/>
    <col min="2082" max="2304" width="9" style="10"/>
    <col min="2305" max="2307" width="9" style="10" customWidth="1"/>
    <col min="2308" max="2308" width="10.5" style="10" customWidth="1"/>
    <col min="2309" max="2309" width="11.25" style="10" bestFit="1" customWidth="1"/>
    <col min="2310" max="2311" width="9" style="10"/>
    <col min="2312" max="2321" width="9" style="10" customWidth="1"/>
    <col min="2322" max="2322" width="9" style="10"/>
    <col min="2323" max="2323" width="9.5" style="10" bestFit="1" customWidth="1"/>
    <col min="2324" max="2324" width="9" style="10" customWidth="1"/>
    <col min="2325" max="2325" width="9" style="10"/>
    <col min="2326" max="2326" width="9" style="10" customWidth="1"/>
    <col min="2327" max="2332" width="9" style="10"/>
    <col min="2333" max="2333" width="26.5" style="10" customWidth="1"/>
    <col min="2334" max="2336" width="9" style="10"/>
    <col min="2337" max="2337" width="14.75" style="10" bestFit="1" customWidth="1"/>
    <col min="2338" max="2560" width="9" style="10"/>
    <col min="2561" max="2563" width="9" style="10" customWidth="1"/>
    <col min="2564" max="2564" width="10.5" style="10" customWidth="1"/>
    <col min="2565" max="2565" width="11.25" style="10" bestFit="1" customWidth="1"/>
    <col min="2566" max="2567" width="9" style="10"/>
    <col min="2568" max="2577" width="9" style="10" customWidth="1"/>
    <col min="2578" max="2578" width="9" style="10"/>
    <col min="2579" max="2579" width="9.5" style="10" bestFit="1" customWidth="1"/>
    <col min="2580" max="2580" width="9" style="10" customWidth="1"/>
    <col min="2581" max="2581" width="9" style="10"/>
    <col min="2582" max="2582" width="9" style="10" customWidth="1"/>
    <col min="2583" max="2588" width="9" style="10"/>
    <col min="2589" max="2589" width="26.5" style="10" customWidth="1"/>
    <col min="2590" max="2592" width="9" style="10"/>
    <col min="2593" max="2593" width="14.75" style="10" bestFit="1" customWidth="1"/>
    <col min="2594" max="2816" width="9" style="10"/>
    <col min="2817" max="2819" width="9" style="10" customWidth="1"/>
    <col min="2820" max="2820" width="10.5" style="10" customWidth="1"/>
    <col min="2821" max="2821" width="11.25" style="10" bestFit="1" customWidth="1"/>
    <col min="2822" max="2823" width="9" style="10"/>
    <col min="2824" max="2833" width="9" style="10" customWidth="1"/>
    <col min="2834" max="2834" width="9" style="10"/>
    <col min="2835" max="2835" width="9.5" style="10" bestFit="1" customWidth="1"/>
    <col min="2836" max="2836" width="9" style="10" customWidth="1"/>
    <col min="2837" max="2837" width="9" style="10"/>
    <col min="2838" max="2838" width="9" style="10" customWidth="1"/>
    <col min="2839" max="2844" width="9" style="10"/>
    <col min="2845" max="2845" width="26.5" style="10" customWidth="1"/>
    <col min="2846" max="2848" width="9" style="10"/>
    <col min="2849" max="2849" width="14.75" style="10" bestFit="1" customWidth="1"/>
    <col min="2850" max="3072" width="9" style="10"/>
    <col min="3073" max="3075" width="9" style="10" customWidth="1"/>
    <col min="3076" max="3076" width="10.5" style="10" customWidth="1"/>
    <col min="3077" max="3077" width="11.25" style="10" bestFit="1" customWidth="1"/>
    <col min="3078" max="3079" width="9" style="10"/>
    <col min="3080" max="3089" width="9" style="10" customWidth="1"/>
    <col min="3090" max="3090" width="9" style="10"/>
    <col min="3091" max="3091" width="9.5" style="10" bestFit="1" customWidth="1"/>
    <col min="3092" max="3092" width="9" style="10" customWidth="1"/>
    <col min="3093" max="3093" width="9" style="10"/>
    <col min="3094" max="3094" width="9" style="10" customWidth="1"/>
    <col min="3095" max="3100" width="9" style="10"/>
    <col min="3101" max="3101" width="26.5" style="10" customWidth="1"/>
    <col min="3102" max="3104" width="9" style="10"/>
    <col min="3105" max="3105" width="14.75" style="10" bestFit="1" customWidth="1"/>
    <col min="3106" max="3328" width="9" style="10"/>
    <col min="3329" max="3331" width="9" style="10" customWidth="1"/>
    <col min="3332" max="3332" width="10.5" style="10" customWidth="1"/>
    <col min="3333" max="3333" width="11.25" style="10" bestFit="1" customWidth="1"/>
    <col min="3334" max="3335" width="9" style="10"/>
    <col min="3336" max="3345" width="9" style="10" customWidth="1"/>
    <col min="3346" max="3346" width="9" style="10"/>
    <col min="3347" max="3347" width="9.5" style="10" bestFit="1" customWidth="1"/>
    <col min="3348" max="3348" width="9" style="10" customWidth="1"/>
    <col min="3349" max="3349" width="9" style="10"/>
    <col min="3350" max="3350" width="9" style="10" customWidth="1"/>
    <col min="3351" max="3356" width="9" style="10"/>
    <col min="3357" max="3357" width="26.5" style="10" customWidth="1"/>
    <col min="3358" max="3360" width="9" style="10"/>
    <col min="3361" max="3361" width="14.75" style="10" bestFit="1" customWidth="1"/>
    <col min="3362" max="3584" width="9" style="10"/>
    <col min="3585" max="3587" width="9" style="10" customWidth="1"/>
    <col min="3588" max="3588" width="10.5" style="10" customWidth="1"/>
    <col min="3589" max="3589" width="11.25" style="10" bestFit="1" customWidth="1"/>
    <col min="3590" max="3591" width="9" style="10"/>
    <col min="3592" max="3601" width="9" style="10" customWidth="1"/>
    <col min="3602" max="3602" width="9" style="10"/>
    <col min="3603" max="3603" width="9.5" style="10" bestFit="1" customWidth="1"/>
    <col min="3604" max="3604" width="9" style="10" customWidth="1"/>
    <col min="3605" max="3605" width="9" style="10"/>
    <col min="3606" max="3606" width="9" style="10" customWidth="1"/>
    <col min="3607" max="3612" width="9" style="10"/>
    <col min="3613" max="3613" width="26.5" style="10" customWidth="1"/>
    <col min="3614" max="3616" width="9" style="10"/>
    <col min="3617" max="3617" width="14.75" style="10" bestFit="1" customWidth="1"/>
    <col min="3618" max="3840" width="9" style="10"/>
    <col min="3841" max="3843" width="9" style="10" customWidth="1"/>
    <col min="3844" max="3844" width="10.5" style="10" customWidth="1"/>
    <col min="3845" max="3845" width="11.25" style="10" bestFit="1" customWidth="1"/>
    <col min="3846" max="3847" width="9" style="10"/>
    <col min="3848" max="3857" width="9" style="10" customWidth="1"/>
    <col min="3858" max="3858" width="9" style="10"/>
    <col min="3859" max="3859" width="9.5" style="10" bestFit="1" customWidth="1"/>
    <col min="3860" max="3860" width="9" style="10" customWidth="1"/>
    <col min="3861" max="3861" width="9" style="10"/>
    <col min="3862" max="3862" width="9" style="10" customWidth="1"/>
    <col min="3863" max="3868" width="9" style="10"/>
    <col min="3869" max="3869" width="26.5" style="10" customWidth="1"/>
    <col min="3870" max="3872" width="9" style="10"/>
    <col min="3873" max="3873" width="14.75" style="10" bestFit="1" customWidth="1"/>
    <col min="3874" max="4096" width="9" style="10"/>
    <col min="4097" max="4099" width="9" style="10" customWidth="1"/>
    <col min="4100" max="4100" width="10.5" style="10" customWidth="1"/>
    <col min="4101" max="4101" width="11.25" style="10" bestFit="1" customWidth="1"/>
    <col min="4102" max="4103" width="9" style="10"/>
    <col min="4104" max="4113" width="9" style="10" customWidth="1"/>
    <col min="4114" max="4114" width="9" style="10"/>
    <col min="4115" max="4115" width="9.5" style="10" bestFit="1" customWidth="1"/>
    <col min="4116" max="4116" width="9" style="10" customWidth="1"/>
    <col min="4117" max="4117" width="9" style="10"/>
    <col min="4118" max="4118" width="9" style="10" customWidth="1"/>
    <col min="4119" max="4124" width="9" style="10"/>
    <col min="4125" max="4125" width="26.5" style="10" customWidth="1"/>
    <col min="4126" max="4128" width="9" style="10"/>
    <col min="4129" max="4129" width="14.75" style="10" bestFit="1" customWidth="1"/>
    <col min="4130" max="4352" width="9" style="10"/>
    <col min="4353" max="4355" width="9" style="10" customWidth="1"/>
    <col min="4356" max="4356" width="10.5" style="10" customWidth="1"/>
    <col min="4357" max="4357" width="11.25" style="10" bestFit="1" customWidth="1"/>
    <col min="4358" max="4359" width="9" style="10"/>
    <col min="4360" max="4369" width="9" style="10" customWidth="1"/>
    <col min="4370" max="4370" width="9" style="10"/>
    <col min="4371" max="4371" width="9.5" style="10" bestFit="1" customWidth="1"/>
    <col min="4372" max="4372" width="9" style="10" customWidth="1"/>
    <col min="4373" max="4373" width="9" style="10"/>
    <col min="4374" max="4374" width="9" style="10" customWidth="1"/>
    <col min="4375" max="4380" width="9" style="10"/>
    <col min="4381" max="4381" width="26.5" style="10" customWidth="1"/>
    <col min="4382" max="4384" width="9" style="10"/>
    <col min="4385" max="4385" width="14.75" style="10" bestFit="1" customWidth="1"/>
    <col min="4386" max="4608" width="9" style="10"/>
    <col min="4609" max="4611" width="9" style="10" customWidth="1"/>
    <col min="4612" max="4612" width="10.5" style="10" customWidth="1"/>
    <col min="4613" max="4613" width="11.25" style="10" bestFit="1" customWidth="1"/>
    <col min="4614" max="4615" width="9" style="10"/>
    <col min="4616" max="4625" width="9" style="10" customWidth="1"/>
    <col min="4626" max="4626" width="9" style="10"/>
    <col min="4627" max="4627" width="9.5" style="10" bestFit="1" customWidth="1"/>
    <col min="4628" max="4628" width="9" style="10" customWidth="1"/>
    <col min="4629" max="4629" width="9" style="10"/>
    <col min="4630" max="4630" width="9" style="10" customWidth="1"/>
    <col min="4631" max="4636" width="9" style="10"/>
    <col min="4637" max="4637" width="26.5" style="10" customWidth="1"/>
    <col min="4638" max="4640" width="9" style="10"/>
    <col min="4641" max="4641" width="14.75" style="10" bestFit="1" customWidth="1"/>
    <col min="4642" max="4864" width="9" style="10"/>
    <col min="4865" max="4867" width="9" style="10" customWidth="1"/>
    <col min="4868" max="4868" width="10.5" style="10" customWidth="1"/>
    <col min="4869" max="4869" width="11.25" style="10" bestFit="1" customWidth="1"/>
    <col min="4870" max="4871" width="9" style="10"/>
    <col min="4872" max="4881" width="9" style="10" customWidth="1"/>
    <col min="4882" max="4882" width="9" style="10"/>
    <col min="4883" max="4883" width="9.5" style="10" bestFit="1" customWidth="1"/>
    <col min="4884" max="4884" width="9" style="10" customWidth="1"/>
    <col min="4885" max="4885" width="9" style="10"/>
    <col min="4886" max="4886" width="9" style="10" customWidth="1"/>
    <col min="4887" max="4892" width="9" style="10"/>
    <col min="4893" max="4893" width="26.5" style="10" customWidth="1"/>
    <col min="4894" max="4896" width="9" style="10"/>
    <col min="4897" max="4897" width="14.75" style="10" bestFit="1" customWidth="1"/>
    <col min="4898" max="5120" width="9" style="10"/>
    <col min="5121" max="5123" width="9" style="10" customWidth="1"/>
    <col min="5124" max="5124" width="10.5" style="10" customWidth="1"/>
    <col min="5125" max="5125" width="11.25" style="10" bestFit="1" customWidth="1"/>
    <col min="5126" max="5127" width="9" style="10"/>
    <col min="5128" max="5137" width="9" style="10" customWidth="1"/>
    <col min="5138" max="5138" width="9" style="10"/>
    <col min="5139" max="5139" width="9.5" style="10" bestFit="1" customWidth="1"/>
    <col min="5140" max="5140" width="9" style="10" customWidth="1"/>
    <col min="5141" max="5141" width="9" style="10"/>
    <col min="5142" max="5142" width="9" style="10" customWidth="1"/>
    <col min="5143" max="5148" width="9" style="10"/>
    <col min="5149" max="5149" width="26.5" style="10" customWidth="1"/>
    <col min="5150" max="5152" width="9" style="10"/>
    <col min="5153" max="5153" width="14.75" style="10" bestFit="1" customWidth="1"/>
    <col min="5154" max="5376" width="9" style="10"/>
    <col min="5377" max="5379" width="9" style="10" customWidth="1"/>
    <col min="5380" max="5380" width="10.5" style="10" customWidth="1"/>
    <col min="5381" max="5381" width="11.25" style="10" bestFit="1" customWidth="1"/>
    <col min="5382" max="5383" width="9" style="10"/>
    <col min="5384" max="5393" width="9" style="10" customWidth="1"/>
    <col min="5394" max="5394" width="9" style="10"/>
    <col min="5395" max="5395" width="9.5" style="10" bestFit="1" customWidth="1"/>
    <col min="5396" max="5396" width="9" style="10" customWidth="1"/>
    <col min="5397" max="5397" width="9" style="10"/>
    <col min="5398" max="5398" width="9" style="10" customWidth="1"/>
    <col min="5399" max="5404" width="9" style="10"/>
    <col min="5405" max="5405" width="26.5" style="10" customWidth="1"/>
    <col min="5406" max="5408" width="9" style="10"/>
    <col min="5409" max="5409" width="14.75" style="10" bestFit="1" customWidth="1"/>
    <col min="5410" max="5632" width="9" style="10"/>
    <col min="5633" max="5635" width="9" style="10" customWidth="1"/>
    <col min="5636" max="5636" width="10.5" style="10" customWidth="1"/>
    <col min="5637" max="5637" width="11.25" style="10" bestFit="1" customWidth="1"/>
    <col min="5638" max="5639" width="9" style="10"/>
    <col min="5640" max="5649" width="9" style="10" customWidth="1"/>
    <col min="5650" max="5650" width="9" style="10"/>
    <col min="5651" max="5651" width="9.5" style="10" bestFit="1" customWidth="1"/>
    <col min="5652" max="5652" width="9" style="10" customWidth="1"/>
    <col min="5653" max="5653" width="9" style="10"/>
    <col min="5654" max="5654" width="9" style="10" customWidth="1"/>
    <col min="5655" max="5660" width="9" style="10"/>
    <col min="5661" max="5661" width="26.5" style="10" customWidth="1"/>
    <col min="5662" max="5664" width="9" style="10"/>
    <col min="5665" max="5665" width="14.75" style="10" bestFit="1" customWidth="1"/>
    <col min="5666" max="5888" width="9" style="10"/>
    <col min="5889" max="5891" width="9" style="10" customWidth="1"/>
    <col min="5892" max="5892" width="10.5" style="10" customWidth="1"/>
    <col min="5893" max="5893" width="11.25" style="10" bestFit="1" customWidth="1"/>
    <col min="5894" max="5895" width="9" style="10"/>
    <col min="5896" max="5905" width="9" style="10" customWidth="1"/>
    <col min="5906" max="5906" width="9" style="10"/>
    <col min="5907" max="5907" width="9.5" style="10" bestFit="1" customWidth="1"/>
    <col min="5908" max="5908" width="9" style="10" customWidth="1"/>
    <col min="5909" max="5909" width="9" style="10"/>
    <col min="5910" max="5910" width="9" style="10" customWidth="1"/>
    <col min="5911" max="5916" width="9" style="10"/>
    <col min="5917" max="5917" width="26.5" style="10" customWidth="1"/>
    <col min="5918" max="5920" width="9" style="10"/>
    <col min="5921" max="5921" width="14.75" style="10" bestFit="1" customWidth="1"/>
    <col min="5922" max="6144" width="9" style="10"/>
    <col min="6145" max="6147" width="9" style="10" customWidth="1"/>
    <col min="6148" max="6148" width="10.5" style="10" customWidth="1"/>
    <col min="6149" max="6149" width="11.25" style="10" bestFit="1" customWidth="1"/>
    <col min="6150" max="6151" width="9" style="10"/>
    <col min="6152" max="6161" width="9" style="10" customWidth="1"/>
    <col min="6162" max="6162" width="9" style="10"/>
    <col min="6163" max="6163" width="9.5" style="10" bestFit="1" customWidth="1"/>
    <col min="6164" max="6164" width="9" style="10" customWidth="1"/>
    <col min="6165" max="6165" width="9" style="10"/>
    <col min="6166" max="6166" width="9" style="10" customWidth="1"/>
    <col min="6167" max="6172" width="9" style="10"/>
    <col min="6173" max="6173" width="26.5" style="10" customWidth="1"/>
    <col min="6174" max="6176" width="9" style="10"/>
    <col min="6177" max="6177" width="14.75" style="10" bestFit="1" customWidth="1"/>
    <col min="6178" max="6400" width="9" style="10"/>
    <col min="6401" max="6403" width="9" style="10" customWidth="1"/>
    <col min="6404" max="6404" width="10.5" style="10" customWidth="1"/>
    <col min="6405" max="6405" width="11.25" style="10" bestFit="1" customWidth="1"/>
    <col min="6406" max="6407" width="9" style="10"/>
    <col min="6408" max="6417" width="9" style="10" customWidth="1"/>
    <col min="6418" max="6418" width="9" style="10"/>
    <col min="6419" max="6419" width="9.5" style="10" bestFit="1" customWidth="1"/>
    <col min="6420" max="6420" width="9" style="10" customWidth="1"/>
    <col min="6421" max="6421" width="9" style="10"/>
    <col min="6422" max="6422" width="9" style="10" customWidth="1"/>
    <col min="6423" max="6428" width="9" style="10"/>
    <col min="6429" max="6429" width="26.5" style="10" customWidth="1"/>
    <col min="6430" max="6432" width="9" style="10"/>
    <col min="6433" max="6433" width="14.75" style="10" bestFit="1" customWidth="1"/>
    <col min="6434" max="6656" width="9" style="10"/>
    <col min="6657" max="6659" width="9" style="10" customWidth="1"/>
    <col min="6660" max="6660" width="10.5" style="10" customWidth="1"/>
    <col min="6661" max="6661" width="11.25" style="10" bestFit="1" customWidth="1"/>
    <col min="6662" max="6663" width="9" style="10"/>
    <col min="6664" max="6673" width="9" style="10" customWidth="1"/>
    <col min="6674" max="6674" width="9" style="10"/>
    <col min="6675" max="6675" width="9.5" style="10" bestFit="1" customWidth="1"/>
    <col min="6676" max="6676" width="9" style="10" customWidth="1"/>
    <col min="6677" max="6677" width="9" style="10"/>
    <col min="6678" max="6678" width="9" style="10" customWidth="1"/>
    <col min="6679" max="6684" width="9" style="10"/>
    <col min="6685" max="6685" width="26.5" style="10" customWidth="1"/>
    <col min="6686" max="6688" width="9" style="10"/>
    <col min="6689" max="6689" width="14.75" style="10" bestFit="1" customWidth="1"/>
    <col min="6690" max="6912" width="9" style="10"/>
    <col min="6913" max="6915" width="9" style="10" customWidth="1"/>
    <col min="6916" max="6916" width="10.5" style="10" customWidth="1"/>
    <col min="6917" max="6917" width="11.25" style="10" bestFit="1" customWidth="1"/>
    <col min="6918" max="6919" width="9" style="10"/>
    <col min="6920" max="6929" width="9" style="10" customWidth="1"/>
    <col min="6930" max="6930" width="9" style="10"/>
    <col min="6931" max="6931" width="9.5" style="10" bestFit="1" customWidth="1"/>
    <col min="6932" max="6932" width="9" style="10" customWidth="1"/>
    <col min="6933" max="6933" width="9" style="10"/>
    <col min="6934" max="6934" width="9" style="10" customWidth="1"/>
    <col min="6935" max="6940" width="9" style="10"/>
    <col min="6941" max="6941" width="26.5" style="10" customWidth="1"/>
    <col min="6942" max="6944" width="9" style="10"/>
    <col min="6945" max="6945" width="14.75" style="10" bestFit="1" customWidth="1"/>
    <col min="6946" max="7168" width="9" style="10"/>
    <col min="7169" max="7171" width="9" style="10" customWidth="1"/>
    <col min="7172" max="7172" width="10.5" style="10" customWidth="1"/>
    <col min="7173" max="7173" width="11.25" style="10" bestFit="1" customWidth="1"/>
    <col min="7174" max="7175" width="9" style="10"/>
    <col min="7176" max="7185" width="9" style="10" customWidth="1"/>
    <col min="7186" max="7186" width="9" style="10"/>
    <col min="7187" max="7187" width="9.5" style="10" bestFit="1" customWidth="1"/>
    <col min="7188" max="7188" width="9" style="10" customWidth="1"/>
    <col min="7189" max="7189" width="9" style="10"/>
    <col min="7190" max="7190" width="9" style="10" customWidth="1"/>
    <col min="7191" max="7196" width="9" style="10"/>
    <col min="7197" max="7197" width="26.5" style="10" customWidth="1"/>
    <col min="7198" max="7200" width="9" style="10"/>
    <col min="7201" max="7201" width="14.75" style="10" bestFit="1" customWidth="1"/>
    <col min="7202" max="7424" width="9" style="10"/>
    <col min="7425" max="7427" width="9" style="10" customWidth="1"/>
    <col min="7428" max="7428" width="10.5" style="10" customWidth="1"/>
    <col min="7429" max="7429" width="11.25" style="10" bestFit="1" customWidth="1"/>
    <col min="7430" max="7431" width="9" style="10"/>
    <col min="7432" max="7441" width="9" style="10" customWidth="1"/>
    <col min="7442" max="7442" width="9" style="10"/>
    <col min="7443" max="7443" width="9.5" style="10" bestFit="1" customWidth="1"/>
    <col min="7444" max="7444" width="9" style="10" customWidth="1"/>
    <col min="7445" max="7445" width="9" style="10"/>
    <col min="7446" max="7446" width="9" style="10" customWidth="1"/>
    <col min="7447" max="7452" width="9" style="10"/>
    <col min="7453" max="7453" width="26.5" style="10" customWidth="1"/>
    <col min="7454" max="7456" width="9" style="10"/>
    <col min="7457" max="7457" width="14.75" style="10" bestFit="1" customWidth="1"/>
    <col min="7458" max="7680" width="9" style="10"/>
    <col min="7681" max="7683" width="9" style="10" customWidth="1"/>
    <col min="7684" max="7684" width="10.5" style="10" customWidth="1"/>
    <col min="7685" max="7685" width="11.25" style="10" bestFit="1" customWidth="1"/>
    <col min="7686" max="7687" width="9" style="10"/>
    <col min="7688" max="7697" width="9" style="10" customWidth="1"/>
    <col min="7698" max="7698" width="9" style="10"/>
    <col min="7699" max="7699" width="9.5" style="10" bestFit="1" customWidth="1"/>
    <col min="7700" max="7700" width="9" style="10" customWidth="1"/>
    <col min="7701" max="7701" width="9" style="10"/>
    <col min="7702" max="7702" width="9" style="10" customWidth="1"/>
    <col min="7703" max="7708" width="9" style="10"/>
    <col min="7709" max="7709" width="26.5" style="10" customWidth="1"/>
    <col min="7710" max="7712" width="9" style="10"/>
    <col min="7713" max="7713" width="14.75" style="10" bestFit="1" customWidth="1"/>
    <col min="7714" max="7936" width="9" style="10"/>
    <col min="7937" max="7939" width="9" style="10" customWidth="1"/>
    <col min="7940" max="7940" width="10.5" style="10" customWidth="1"/>
    <col min="7941" max="7941" width="11.25" style="10" bestFit="1" customWidth="1"/>
    <col min="7942" max="7943" width="9" style="10"/>
    <col min="7944" max="7953" width="9" style="10" customWidth="1"/>
    <col min="7954" max="7954" width="9" style="10"/>
    <col min="7955" max="7955" width="9.5" style="10" bestFit="1" customWidth="1"/>
    <col min="7956" max="7956" width="9" style="10" customWidth="1"/>
    <col min="7957" max="7957" width="9" style="10"/>
    <col min="7958" max="7958" width="9" style="10" customWidth="1"/>
    <col min="7959" max="7964" width="9" style="10"/>
    <col min="7965" max="7965" width="26.5" style="10" customWidth="1"/>
    <col min="7966" max="7968" width="9" style="10"/>
    <col min="7969" max="7969" width="14.75" style="10" bestFit="1" customWidth="1"/>
    <col min="7970" max="8192" width="9" style="10"/>
    <col min="8193" max="8195" width="9" style="10" customWidth="1"/>
    <col min="8196" max="8196" width="10.5" style="10" customWidth="1"/>
    <col min="8197" max="8197" width="11.25" style="10" bestFit="1" customWidth="1"/>
    <col min="8198" max="8199" width="9" style="10"/>
    <col min="8200" max="8209" width="9" style="10" customWidth="1"/>
    <col min="8210" max="8210" width="9" style="10"/>
    <col min="8211" max="8211" width="9.5" style="10" bestFit="1" customWidth="1"/>
    <col min="8212" max="8212" width="9" style="10" customWidth="1"/>
    <col min="8213" max="8213" width="9" style="10"/>
    <col min="8214" max="8214" width="9" style="10" customWidth="1"/>
    <col min="8215" max="8220" width="9" style="10"/>
    <col min="8221" max="8221" width="26.5" style="10" customWidth="1"/>
    <col min="8222" max="8224" width="9" style="10"/>
    <col min="8225" max="8225" width="14.75" style="10" bestFit="1" customWidth="1"/>
    <col min="8226" max="8448" width="9" style="10"/>
    <col min="8449" max="8451" width="9" style="10" customWidth="1"/>
    <col min="8452" max="8452" width="10.5" style="10" customWidth="1"/>
    <col min="8453" max="8453" width="11.25" style="10" bestFit="1" customWidth="1"/>
    <col min="8454" max="8455" width="9" style="10"/>
    <col min="8456" max="8465" width="9" style="10" customWidth="1"/>
    <col min="8466" max="8466" width="9" style="10"/>
    <col min="8467" max="8467" width="9.5" style="10" bestFit="1" customWidth="1"/>
    <col min="8468" max="8468" width="9" style="10" customWidth="1"/>
    <col min="8469" max="8469" width="9" style="10"/>
    <col min="8470" max="8470" width="9" style="10" customWidth="1"/>
    <col min="8471" max="8476" width="9" style="10"/>
    <col min="8477" max="8477" width="26.5" style="10" customWidth="1"/>
    <col min="8478" max="8480" width="9" style="10"/>
    <col min="8481" max="8481" width="14.75" style="10" bestFit="1" customWidth="1"/>
    <col min="8482" max="8704" width="9" style="10"/>
    <col min="8705" max="8707" width="9" style="10" customWidth="1"/>
    <col min="8708" max="8708" width="10.5" style="10" customWidth="1"/>
    <col min="8709" max="8709" width="11.25" style="10" bestFit="1" customWidth="1"/>
    <col min="8710" max="8711" width="9" style="10"/>
    <col min="8712" max="8721" width="9" style="10" customWidth="1"/>
    <col min="8722" max="8722" width="9" style="10"/>
    <col min="8723" max="8723" width="9.5" style="10" bestFit="1" customWidth="1"/>
    <col min="8724" max="8724" width="9" style="10" customWidth="1"/>
    <col min="8725" max="8725" width="9" style="10"/>
    <col min="8726" max="8726" width="9" style="10" customWidth="1"/>
    <col min="8727" max="8732" width="9" style="10"/>
    <col min="8733" max="8733" width="26.5" style="10" customWidth="1"/>
    <col min="8734" max="8736" width="9" style="10"/>
    <col min="8737" max="8737" width="14.75" style="10" bestFit="1" customWidth="1"/>
    <col min="8738" max="8960" width="9" style="10"/>
    <col min="8961" max="8963" width="9" style="10" customWidth="1"/>
    <col min="8964" max="8964" width="10.5" style="10" customWidth="1"/>
    <col min="8965" max="8965" width="11.25" style="10" bestFit="1" customWidth="1"/>
    <col min="8966" max="8967" width="9" style="10"/>
    <col min="8968" max="8977" width="9" style="10" customWidth="1"/>
    <col min="8978" max="8978" width="9" style="10"/>
    <col min="8979" max="8979" width="9.5" style="10" bestFit="1" customWidth="1"/>
    <col min="8980" max="8980" width="9" style="10" customWidth="1"/>
    <col min="8981" max="8981" width="9" style="10"/>
    <col min="8982" max="8982" width="9" style="10" customWidth="1"/>
    <col min="8983" max="8988" width="9" style="10"/>
    <col min="8989" max="8989" width="26.5" style="10" customWidth="1"/>
    <col min="8990" max="8992" width="9" style="10"/>
    <col min="8993" max="8993" width="14.75" style="10" bestFit="1" customWidth="1"/>
    <col min="8994" max="9216" width="9" style="10"/>
    <col min="9217" max="9219" width="9" style="10" customWidth="1"/>
    <col min="9220" max="9220" width="10.5" style="10" customWidth="1"/>
    <col min="9221" max="9221" width="11.25" style="10" bestFit="1" customWidth="1"/>
    <col min="9222" max="9223" width="9" style="10"/>
    <col min="9224" max="9233" width="9" style="10" customWidth="1"/>
    <col min="9234" max="9234" width="9" style="10"/>
    <col min="9235" max="9235" width="9.5" style="10" bestFit="1" customWidth="1"/>
    <col min="9236" max="9236" width="9" style="10" customWidth="1"/>
    <col min="9237" max="9237" width="9" style="10"/>
    <col min="9238" max="9238" width="9" style="10" customWidth="1"/>
    <col min="9239" max="9244" width="9" style="10"/>
    <col min="9245" max="9245" width="26.5" style="10" customWidth="1"/>
    <col min="9246" max="9248" width="9" style="10"/>
    <col min="9249" max="9249" width="14.75" style="10" bestFit="1" customWidth="1"/>
    <col min="9250" max="9472" width="9" style="10"/>
    <col min="9473" max="9475" width="9" style="10" customWidth="1"/>
    <col min="9476" max="9476" width="10.5" style="10" customWidth="1"/>
    <col min="9477" max="9477" width="11.25" style="10" bestFit="1" customWidth="1"/>
    <col min="9478" max="9479" width="9" style="10"/>
    <col min="9480" max="9489" width="9" style="10" customWidth="1"/>
    <col min="9490" max="9490" width="9" style="10"/>
    <col min="9491" max="9491" width="9.5" style="10" bestFit="1" customWidth="1"/>
    <col min="9492" max="9492" width="9" style="10" customWidth="1"/>
    <col min="9493" max="9493" width="9" style="10"/>
    <col min="9494" max="9494" width="9" style="10" customWidth="1"/>
    <col min="9495" max="9500" width="9" style="10"/>
    <col min="9501" max="9501" width="26.5" style="10" customWidth="1"/>
    <col min="9502" max="9504" width="9" style="10"/>
    <col min="9505" max="9505" width="14.75" style="10" bestFit="1" customWidth="1"/>
    <col min="9506" max="9728" width="9" style="10"/>
    <col min="9729" max="9731" width="9" style="10" customWidth="1"/>
    <col min="9732" max="9732" width="10.5" style="10" customWidth="1"/>
    <col min="9733" max="9733" width="11.25" style="10" bestFit="1" customWidth="1"/>
    <col min="9734" max="9735" width="9" style="10"/>
    <col min="9736" max="9745" width="9" style="10" customWidth="1"/>
    <col min="9746" max="9746" width="9" style="10"/>
    <col min="9747" max="9747" width="9.5" style="10" bestFit="1" customWidth="1"/>
    <col min="9748" max="9748" width="9" style="10" customWidth="1"/>
    <col min="9749" max="9749" width="9" style="10"/>
    <col min="9750" max="9750" width="9" style="10" customWidth="1"/>
    <col min="9751" max="9756" width="9" style="10"/>
    <col min="9757" max="9757" width="26.5" style="10" customWidth="1"/>
    <col min="9758" max="9760" width="9" style="10"/>
    <col min="9761" max="9761" width="14.75" style="10" bestFit="1" customWidth="1"/>
    <col min="9762" max="9984" width="9" style="10"/>
    <col min="9985" max="9987" width="9" style="10" customWidth="1"/>
    <col min="9988" max="9988" width="10.5" style="10" customWidth="1"/>
    <col min="9989" max="9989" width="11.25" style="10" bestFit="1" customWidth="1"/>
    <col min="9990" max="9991" width="9" style="10"/>
    <col min="9992" max="10001" width="9" style="10" customWidth="1"/>
    <col min="10002" max="10002" width="9" style="10"/>
    <col min="10003" max="10003" width="9.5" style="10" bestFit="1" customWidth="1"/>
    <col min="10004" max="10004" width="9" style="10" customWidth="1"/>
    <col min="10005" max="10005" width="9" style="10"/>
    <col min="10006" max="10006" width="9" style="10" customWidth="1"/>
    <col min="10007" max="10012" width="9" style="10"/>
    <col min="10013" max="10013" width="26.5" style="10" customWidth="1"/>
    <col min="10014" max="10016" width="9" style="10"/>
    <col min="10017" max="10017" width="14.75" style="10" bestFit="1" customWidth="1"/>
    <col min="10018" max="10240" width="9" style="10"/>
    <col min="10241" max="10243" width="9" style="10" customWidth="1"/>
    <col min="10244" max="10244" width="10.5" style="10" customWidth="1"/>
    <col min="10245" max="10245" width="11.25" style="10" bestFit="1" customWidth="1"/>
    <col min="10246" max="10247" width="9" style="10"/>
    <col min="10248" max="10257" width="9" style="10" customWidth="1"/>
    <col min="10258" max="10258" width="9" style="10"/>
    <col min="10259" max="10259" width="9.5" style="10" bestFit="1" customWidth="1"/>
    <col min="10260" max="10260" width="9" style="10" customWidth="1"/>
    <col min="10261" max="10261" width="9" style="10"/>
    <col min="10262" max="10262" width="9" style="10" customWidth="1"/>
    <col min="10263" max="10268" width="9" style="10"/>
    <col min="10269" max="10269" width="26.5" style="10" customWidth="1"/>
    <col min="10270" max="10272" width="9" style="10"/>
    <col min="10273" max="10273" width="14.75" style="10" bestFit="1" customWidth="1"/>
    <col min="10274" max="10496" width="9" style="10"/>
    <col min="10497" max="10499" width="9" style="10" customWidth="1"/>
    <col min="10500" max="10500" width="10.5" style="10" customWidth="1"/>
    <col min="10501" max="10501" width="11.25" style="10" bestFit="1" customWidth="1"/>
    <col min="10502" max="10503" width="9" style="10"/>
    <col min="10504" max="10513" width="9" style="10" customWidth="1"/>
    <col min="10514" max="10514" width="9" style="10"/>
    <col min="10515" max="10515" width="9.5" style="10" bestFit="1" customWidth="1"/>
    <col min="10516" max="10516" width="9" style="10" customWidth="1"/>
    <col min="10517" max="10517" width="9" style="10"/>
    <col min="10518" max="10518" width="9" style="10" customWidth="1"/>
    <col min="10519" max="10524" width="9" style="10"/>
    <col min="10525" max="10525" width="26.5" style="10" customWidth="1"/>
    <col min="10526" max="10528" width="9" style="10"/>
    <col min="10529" max="10529" width="14.75" style="10" bestFit="1" customWidth="1"/>
    <col min="10530" max="10752" width="9" style="10"/>
    <col min="10753" max="10755" width="9" style="10" customWidth="1"/>
    <col min="10756" max="10756" width="10.5" style="10" customWidth="1"/>
    <col min="10757" max="10757" width="11.25" style="10" bestFit="1" customWidth="1"/>
    <col min="10758" max="10759" width="9" style="10"/>
    <col min="10760" max="10769" width="9" style="10" customWidth="1"/>
    <col min="10770" max="10770" width="9" style="10"/>
    <col min="10771" max="10771" width="9.5" style="10" bestFit="1" customWidth="1"/>
    <col min="10772" max="10772" width="9" style="10" customWidth="1"/>
    <col min="10773" max="10773" width="9" style="10"/>
    <col min="10774" max="10774" width="9" style="10" customWidth="1"/>
    <col min="10775" max="10780" width="9" style="10"/>
    <col min="10781" max="10781" width="26.5" style="10" customWidth="1"/>
    <col min="10782" max="10784" width="9" style="10"/>
    <col min="10785" max="10785" width="14.75" style="10" bestFit="1" customWidth="1"/>
    <col min="10786" max="11008" width="9" style="10"/>
    <col min="11009" max="11011" width="9" style="10" customWidth="1"/>
    <col min="11012" max="11012" width="10.5" style="10" customWidth="1"/>
    <col min="11013" max="11013" width="11.25" style="10" bestFit="1" customWidth="1"/>
    <col min="11014" max="11015" width="9" style="10"/>
    <col min="11016" max="11025" width="9" style="10" customWidth="1"/>
    <col min="11026" max="11026" width="9" style="10"/>
    <col min="11027" max="11027" width="9.5" style="10" bestFit="1" customWidth="1"/>
    <col min="11028" max="11028" width="9" style="10" customWidth="1"/>
    <col min="11029" max="11029" width="9" style="10"/>
    <col min="11030" max="11030" width="9" style="10" customWidth="1"/>
    <col min="11031" max="11036" width="9" style="10"/>
    <col min="11037" max="11037" width="26.5" style="10" customWidth="1"/>
    <col min="11038" max="11040" width="9" style="10"/>
    <col min="11041" max="11041" width="14.75" style="10" bestFit="1" customWidth="1"/>
    <col min="11042" max="11264" width="9" style="10"/>
    <col min="11265" max="11267" width="9" style="10" customWidth="1"/>
    <col min="11268" max="11268" width="10.5" style="10" customWidth="1"/>
    <col min="11269" max="11269" width="11.25" style="10" bestFit="1" customWidth="1"/>
    <col min="11270" max="11271" width="9" style="10"/>
    <col min="11272" max="11281" width="9" style="10" customWidth="1"/>
    <col min="11282" max="11282" width="9" style="10"/>
    <col min="11283" max="11283" width="9.5" style="10" bestFit="1" customWidth="1"/>
    <col min="11284" max="11284" width="9" style="10" customWidth="1"/>
    <col min="11285" max="11285" width="9" style="10"/>
    <col min="11286" max="11286" width="9" style="10" customWidth="1"/>
    <col min="11287" max="11292" width="9" style="10"/>
    <col min="11293" max="11293" width="26.5" style="10" customWidth="1"/>
    <col min="11294" max="11296" width="9" style="10"/>
    <col min="11297" max="11297" width="14.75" style="10" bestFit="1" customWidth="1"/>
    <col min="11298" max="11520" width="9" style="10"/>
    <col min="11521" max="11523" width="9" style="10" customWidth="1"/>
    <col min="11524" max="11524" width="10.5" style="10" customWidth="1"/>
    <col min="11525" max="11525" width="11.25" style="10" bestFit="1" customWidth="1"/>
    <col min="11526" max="11527" width="9" style="10"/>
    <col min="11528" max="11537" width="9" style="10" customWidth="1"/>
    <col min="11538" max="11538" width="9" style="10"/>
    <col min="11539" max="11539" width="9.5" style="10" bestFit="1" customWidth="1"/>
    <col min="11540" max="11540" width="9" style="10" customWidth="1"/>
    <col min="11541" max="11541" width="9" style="10"/>
    <col min="11542" max="11542" width="9" style="10" customWidth="1"/>
    <col min="11543" max="11548" width="9" style="10"/>
    <col min="11549" max="11549" width="26.5" style="10" customWidth="1"/>
    <col min="11550" max="11552" width="9" style="10"/>
    <col min="11553" max="11553" width="14.75" style="10" bestFit="1" customWidth="1"/>
    <col min="11554" max="11776" width="9" style="10"/>
    <col min="11777" max="11779" width="9" style="10" customWidth="1"/>
    <col min="11780" max="11780" width="10.5" style="10" customWidth="1"/>
    <col min="11781" max="11781" width="11.25" style="10" bestFit="1" customWidth="1"/>
    <col min="11782" max="11783" width="9" style="10"/>
    <col min="11784" max="11793" width="9" style="10" customWidth="1"/>
    <col min="11794" max="11794" width="9" style="10"/>
    <col min="11795" max="11795" width="9.5" style="10" bestFit="1" customWidth="1"/>
    <col min="11796" max="11796" width="9" style="10" customWidth="1"/>
    <col min="11797" max="11797" width="9" style="10"/>
    <col min="11798" max="11798" width="9" style="10" customWidth="1"/>
    <col min="11799" max="11804" width="9" style="10"/>
    <col min="11805" max="11805" width="26.5" style="10" customWidth="1"/>
    <col min="11806" max="11808" width="9" style="10"/>
    <col min="11809" max="11809" width="14.75" style="10" bestFit="1" customWidth="1"/>
    <col min="11810" max="12032" width="9" style="10"/>
    <col min="12033" max="12035" width="9" style="10" customWidth="1"/>
    <col min="12036" max="12036" width="10.5" style="10" customWidth="1"/>
    <col min="12037" max="12037" width="11.25" style="10" bestFit="1" customWidth="1"/>
    <col min="12038" max="12039" width="9" style="10"/>
    <col min="12040" max="12049" width="9" style="10" customWidth="1"/>
    <col min="12050" max="12050" width="9" style="10"/>
    <col min="12051" max="12051" width="9.5" style="10" bestFit="1" customWidth="1"/>
    <col min="12052" max="12052" width="9" style="10" customWidth="1"/>
    <col min="12053" max="12053" width="9" style="10"/>
    <col min="12054" max="12054" width="9" style="10" customWidth="1"/>
    <col min="12055" max="12060" width="9" style="10"/>
    <col min="12061" max="12061" width="26.5" style="10" customWidth="1"/>
    <col min="12062" max="12064" width="9" style="10"/>
    <col min="12065" max="12065" width="14.75" style="10" bestFit="1" customWidth="1"/>
    <col min="12066" max="12288" width="9" style="10"/>
    <col min="12289" max="12291" width="9" style="10" customWidth="1"/>
    <col min="12292" max="12292" width="10.5" style="10" customWidth="1"/>
    <col min="12293" max="12293" width="11.25" style="10" bestFit="1" customWidth="1"/>
    <col min="12294" max="12295" width="9" style="10"/>
    <col min="12296" max="12305" width="9" style="10" customWidth="1"/>
    <col min="12306" max="12306" width="9" style="10"/>
    <col min="12307" max="12307" width="9.5" style="10" bestFit="1" customWidth="1"/>
    <col min="12308" max="12308" width="9" style="10" customWidth="1"/>
    <col min="12309" max="12309" width="9" style="10"/>
    <col min="12310" max="12310" width="9" style="10" customWidth="1"/>
    <col min="12311" max="12316" width="9" style="10"/>
    <col min="12317" max="12317" width="26.5" style="10" customWidth="1"/>
    <col min="12318" max="12320" width="9" style="10"/>
    <col min="12321" max="12321" width="14.75" style="10" bestFit="1" customWidth="1"/>
    <col min="12322" max="12544" width="9" style="10"/>
    <col min="12545" max="12547" width="9" style="10" customWidth="1"/>
    <col min="12548" max="12548" width="10.5" style="10" customWidth="1"/>
    <col min="12549" max="12549" width="11.25" style="10" bestFit="1" customWidth="1"/>
    <col min="12550" max="12551" width="9" style="10"/>
    <col min="12552" max="12561" width="9" style="10" customWidth="1"/>
    <col min="12562" max="12562" width="9" style="10"/>
    <col min="12563" max="12563" width="9.5" style="10" bestFit="1" customWidth="1"/>
    <col min="12564" max="12564" width="9" style="10" customWidth="1"/>
    <col min="12565" max="12565" width="9" style="10"/>
    <col min="12566" max="12566" width="9" style="10" customWidth="1"/>
    <col min="12567" max="12572" width="9" style="10"/>
    <col min="12573" max="12573" width="26.5" style="10" customWidth="1"/>
    <col min="12574" max="12576" width="9" style="10"/>
    <col min="12577" max="12577" width="14.75" style="10" bestFit="1" customWidth="1"/>
    <col min="12578" max="12800" width="9" style="10"/>
    <col min="12801" max="12803" width="9" style="10" customWidth="1"/>
    <col min="12804" max="12804" width="10.5" style="10" customWidth="1"/>
    <col min="12805" max="12805" width="11.25" style="10" bestFit="1" customWidth="1"/>
    <col min="12806" max="12807" width="9" style="10"/>
    <col min="12808" max="12817" width="9" style="10" customWidth="1"/>
    <col min="12818" max="12818" width="9" style="10"/>
    <col min="12819" max="12819" width="9.5" style="10" bestFit="1" customWidth="1"/>
    <col min="12820" max="12820" width="9" style="10" customWidth="1"/>
    <col min="12821" max="12821" width="9" style="10"/>
    <col min="12822" max="12822" width="9" style="10" customWidth="1"/>
    <col min="12823" max="12828" width="9" style="10"/>
    <col min="12829" max="12829" width="26.5" style="10" customWidth="1"/>
    <col min="12830" max="12832" width="9" style="10"/>
    <col min="12833" max="12833" width="14.75" style="10" bestFit="1" customWidth="1"/>
    <col min="12834" max="13056" width="9" style="10"/>
    <col min="13057" max="13059" width="9" style="10" customWidth="1"/>
    <col min="13060" max="13060" width="10.5" style="10" customWidth="1"/>
    <col min="13061" max="13061" width="11.25" style="10" bestFit="1" customWidth="1"/>
    <col min="13062" max="13063" width="9" style="10"/>
    <col min="13064" max="13073" width="9" style="10" customWidth="1"/>
    <col min="13074" max="13074" width="9" style="10"/>
    <col min="13075" max="13075" width="9.5" style="10" bestFit="1" customWidth="1"/>
    <col min="13076" max="13076" width="9" style="10" customWidth="1"/>
    <col min="13077" max="13077" width="9" style="10"/>
    <col min="13078" max="13078" width="9" style="10" customWidth="1"/>
    <col min="13079" max="13084" width="9" style="10"/>
    <col min="13085" max="13085" width="26.5" style="10" customWidth="1"/>
    <col min="13086" max="13088" width="9" style="10"/>
    <col min="13089" max="13089" width="14.75" style="10" bestFit="1" customWidth="1"/>
    <col min="13090" max="13312" width="9" style="10"/>
    <col min="13313" max="13315" width="9" style="10" customWidth="1"/>
    <col min="13316" max="13316" width="10.5" style="10" customWidth="1"/>
    <col min="13317" max="13317" width="11.25" style="10" bestFit="1" customWidth="1"/>
    <col min="13318" max="13319" width="9" style="10"/>
    <col min="13320" max="13329" width="9" style="10" customWidth="1"/>
    <col min="13330" max="13330" width="9" style="10"/>
    <col min="13331" max="13331" width="9.5" style="10" bestFit="1" customWidth="1"/>
    <col min="13332" max="13332" width="9" style="10" customWidth="1"/>
    <col min="13333" max="13333" width="9" style="10"/>
    <col min="13334" max="13334" width="9" style="10" customWidth="1"/>
    <col min="13335" max="13340" width="9" style="10"/>
    <col min="13341" max="13341" width="26.5" style="10" customWidth="1"/>
    <col min="13342" max="13344" width="9" style="10"/>
    <col min="13345" max="13345" width="14.75" style="10" bestFit="1" customWidth="1"/>
    <col min="13346" max="13568" width="9" style="10"/>
    <col min="13569" max="13571" width="9" style="10" customWidth="1"/>
    <col min="13572" max="13572" width="10.5" style="10" customWidth="1"/>
    <col min="13573" max="13573" width="11.25" style="10" bestFit="1" customWidth="1"/>
    <col min="13574" max="13575" width="9" style="10"/>
    <col min="13576" max="13585" width="9" style="10" customWidth="1"/>
    <col min="13586" max="13586" width="9" style="10"/>
    <col min="13587" max="13587" width="9.5" style="10" bestFit="1" customWidth="1"/>
    <col min="13588" max="13588" width="9" style="10" customWidth="1"/>
    <col min="13589" max="13589" width="9" style="10"/>
    <col min="13590" max="13590" width="9" style="10" customWidth="1"/>
    <col min="13591" max="13596" width="9" style="10"/>
    <col min="13597" max="13597" width="26.5" style="10" customWidth="1"/>
    <col min="13598" max="13600" width="9" style="10"/>
    <col min="13601" max="13601" width="14.75" style="10" bestFit="1" customWidth="1"/>
    <col min="13602" max="13824" width="9" style="10"/>
    <col min="13825" max="13827" width="9" style="10" customWidth="1"/>
    <col min="13828" max="13828" width="10.5" style="10" customWidth="1"/>
    <col min="13829" max="13829" width="11.25" style="10" bestFit="1" customWidth="1"/>
    <col min="13830" max="13831" width="9" style="10"/>
    <col min="13832" max="13841" width="9" style="10" customWidth="1"/>
    <col min="13842" max="13842" width="9" style="10"/>
    <col min="13843" max="13843" width="9.5" style="10" bestFit="1" customWidth="1"/>
    <col min="13844" max="13844" width="9" style="10" customWidth="1"/>
    <col min="13845" max="13845" width="9" style="10"/>
    <col min="13846" max="13846" width="9" style="10" customWidth="1"/>
    <col min="13847" max="13852" width="9" style="10"/>
    <col min="13853" max="13853" width="26.5" style="10" customWidth="1"/>
    <col min="13854" max="13856" width="9" style="10"/>
    <col min="13857" max="13857" width="14.75" style="10" bestFit="1" customWidth="1"/>
    <col min="13858" max="14080" width="9" style="10"/>
    <col min="14081" max="14083" width="9" style="10" customWidth="1"/>
    <col min="14084" max="14084" width="10.5" style="10" customWidth="1"/>
    <col min="14085" max="14085" width="11.25" style="10" bestFit="1" customWidth="1"/>
    <col min="14086" max="14087" width="9" style="10"/>
    <col min="14088" max="14097" width="9" style="10" customWidth="1"/>
    <col min="14098" max="14098" width="9" style="10"/>
    <col min="14099" max="14099" width="9.5" style="10" bestFit="1" customWidth="1"/>
    <col min="14100" max="14100" width="9" style="10" customWidth="1"/>
    <col min="14101" max="14101" width="9" style="10"/>
    <col min="14102" max="14102" width="9" style="10" customWidth="1"/>
    <col min="14103" max="14108" width="9" style="10"/>
    <col min="14109" max="14109" width="26.5" style="10" customWidth="1"/>
    <col min="14110" max="14112" width="9" style="10"/>
    <col min="14113" max="14113" width="14.75" style="10" bestFit="1" customWidth="1"/>
    <col min="14114" max="14336" width="9" style="10"/>
    <col min="14337" max="14339" width="9" style="10" customWidth="1"/>
    <col min="14340" max="14340" width="10.5" style="10" customWidth="1"/>
    <col min="14341" max="14341" width="11.25" style="10" bestFit="1" customWidth="1"/>
    <col min="14342" max="14343" width="9" style="10"/>
    <col min="14344" max="14353" width="9" style="10" customWidth="1"/>
    <col min="14354" max="14354" width="9" style="10"/>
    <col min="14355" max="14355" width="9.5" style="10" bestFit="1" customWidth="1"/>
    <col min="14356" max="14356" width="9" style="10" customWidth="1"/>
    <col min="14357" max="14357" width="9" style="10"/>
    <col min="14358" max="14358" width="9" style="10" customWidth="1"/>
    <col min="14359" max="14364" width="9" style="10"/>
    <col min="14365" max="14365" width="26.5" style="10" customWidth="1"/>
    <col min="14366" max="14368" width="9" style="10"/>
    <col min="14369" max="14369" width="14.75" style="10" bestFit="1" customWidth="1"/>
    <col min="14370" max="14592" width="9" style="10"/>
    <col min="14593" max="14595" width="9" style="10" customWidth="1"/>
    <col min="14596" max="14596" width="10.5" style="10" customWidth="1"/>
    <col min="14597" max="14597" width="11.25" style="10" bestFit="1" customWidth="1"/>
    <col min="14598" max="14599" width="9" style="10"/>
    <col min="14600" max="14609" width="9" style="10" customWidth="1"/>
    <col min="14610" max="14610" width="9" style="10"/>
    <col min="14611" max="14611" width="9.5" style="10" bestFit="1" customWidth="1"/>
    <col min="14612" max="14612" width="9" style="10" customWidth="1"/>
    <col min="14613" max="14613" width="9" style="10"/>
    <col min="14614" max="14614" width="9" style="10" customWidth="1"/>
    <col min="14615" max="14620" width="9" style="10"/>
    <col min="14621" max="14621" width="26.5" style="10" customWidth="1"/>
    <col min="14622" max="14624" width="9" style="10"/>
    <col min="14625" max="14625" width="14.75" style="10" bestFit="1" customWidth="1"/>
    <col min="14626" max="14848" width="9" style="10"/>
    <col min="14849" max="14851" width="9" style="10" customWidth="1"/>
    <col min="14852" max="14852" width="10.5" style="10" customWidth="1"/>
    <col min="14853" max="14853" width="11.25" style="10" bestFit="1" customWidth="1"/>
    <col min="14854" max="14855" width="9" style="10"/>
    <col min="14856" max="14865" width="9" style="10" customWidth="1"/>
    <col min="14866" max="14866" width="9" style="10"/>
    <col min="14867" max="14867" width="9.5" style="10" bestFit="1" customWidth="1"/>
    <col min="14868" max="14868" width="9" style="10" customWidth="1"/>
    <col min="14869" max="14869" width="9" style="10"/>
    <col min="14870" max="14870" width="9" style="10" customWidth="1"/>
    <col min="14871" max="14876" width="9" style="10"/>
    <col min="14877" max="14877" width="26.5" style="10" customWidth="1"/>
    <col min="14878" max="14880" width="9" style="10"/>
    <col min="14881" max="14881" width="14.75" style="10" bestFit="1" customWidth="1"/>
    <col min="14882" max="15104" width="9" style="10"/>
    <col min="15105" max="15107" width="9" style="10" customWidth="1"/>
    <col min="15108" max="15108" width="10.5" style="10" customWidth="1"/>
    <col min="15109" max="15109" width="11.25" style="10" bestFit="1" customWidth="1"/>
    <col min="15110" max="15111" width="9" style="10"/>
    <col min="15112" max="15121" width="9" style="10" customWidth="1"/>
    <col min="15122" max="15122" width="9" style="10"/>
    <col min="15123" max="15123" width="9.5" style="10" bestFit="1" customWidth="1"/>
    <col min="15124" max="15124" width="9" style="10" customWidth="1"/>
    <col min="15125" max="15125" width="9" style="10"/>
    <col min="15126" max="15126" width="9" style="10" customWidth="1"/>
    <col min="15127" max="15132" width="9" style="10"/>
    <col min="15133" max="15133" width="26.5" style="10" customWidth="1"/>
    <col min="15134" max="15136" width="9" style="10"/>
    <col min="15137" max="15137" width="14.75" style="10" bestFit="1" customWidth="1"/>
    <col min="15138" max="15360" width="9" style="10"/>
    <col min="15361" max="15363" width="9" style="10" customWidth="1"/>
    <col min="15364" max="15364" width="10.5" style="10" customWidth="1"/>
    <col min="15365" max="15365" width="11.25" style="10" bestFit="1" customWidth="1"/>
    <col min="15366" max="15367" width="9" style="10"/>
    <col min="15368" max="15377" width="9" style="10" customWidth="1"/>
    <col min="15378" max="15378" width="9" style="10"/>
    <col min="15379" max="15379" width="9.5" style="10" bestFit="1" customWidth="1"/>
    <col min="15380" max="15380" width="9" style="10" customWidth="1"/>
    <col min="15381" max="15381" width="9" style="10"/>
    <col min="15382" max="15382" width="9" style="10" customWidth="1"/>
    <col min="15383" max="15388" width="9" style="10"/>
    <col min="15389" max="15389" width="26.5" style="10" customWidth="1"/>
    <col min="15390" max="15392" width="9" style="10"/>
    <col min="15393" max="15393" width="14.75" style="10" bestFit="1" customWidth="1"/>
    <col min="15394" max="15616" width="9" style="10"/>
    <col min="15617" max="15619" width="9" style="10" customWidth="1"/>
    <col min="15620" max="15620" width="10.5" style="10" customWidth="1"/>
    <col min="15621" max="15621" width="11.25" style="10" bestFit="1" customWidth="1"/>
    <col min="15622" max="15623" width="9" style="10"/>
    <col min="15624" max="15633" width="9" style="10" customWidth="1"/>
    <col min="15634" max="15634" width="9" style="10"/>
    <col min="15635" max="15635" width="9.5" style="10" bestFit="1" customWidth="1"/>
    <col min="15636" max="15636" width="9" style="10" customWidth="1"/>
    <col min="15637" max="15637" width="9" style="10"/>
    <col min="15638" max="15638" width="9" style="10" customWidth="1"/>
    <col min="15639" max="15644" width="9" style="10"/>
    <col min="15645" max="15645" width="26.5" style="10" customWidth="1"/>
    <col min="15646" max="15648" width="9" style="10"/>
    <col min="15649" max="15649" width="14.75" style="10" bestFit="1" customWidth="1"/>
    <col min="15650" max="15872" width="9" style="10"/>
    <col min="15873" max="15875" width="9" style="10" customWidth="1"/>
    <col min="15876" max="15876" width="10.5" style="10" customWidth="1"/>
    <col min="15877" max="15877" width="11.25" style="10" bestFit="1" customWidth="1"/>
    <col min="15878" max="15879" width="9" style="10"/>
    <col min="15880" max="15889" width="9" style="10" customWidth="1"/>
    <col min="15890" max="15890" width="9" style="10"/>
    <col min="15891" max="15891" width="9.5" style="10" bestFit="1" customWidth="1"/>
    <col min="15892" max="15892" width="9" style="10" customWidth="1"/>
    <col min="15893" max="15893" width="9" style="10"/>
    <col min="15894" max="15894" width="9" style="10" customWidth="1"/>
    <col min="15895" max="15900" width="9" style="10"/>
    <col min="15901" max="15901" width="26.5" style="10" customWidth="1"/>
    <col min="15902" max="15904" width="9" style="10"/>
    <col min="15905" max="15905" width="14.75" style="10" bestFit="1" customWidth="1"/>
    <col min="15906" max="16128" width="9" style="10"/>
    <col min="16129" max="16131" width="9" style="10" customWidth="1"/>
    <col min="16132" max="16132" width="10.5" style="10" customWidth="1"/>
    <col min="16133" max="16133" width="11.25" style="10" bestFit="1" customWidth="1"/>
    <col min="16134" max="16135" width="9" style="10"/>
    <col min="16136" max="16145" width="9" style="10" customWidth="1"/>
    <col min="16146" max="16146" width="9" style="10"/>
    <col min="16147" max="16147" width="9.5" style="10" bestFit="1" customWidth="1"/>
    <col min="16148" max="16148" width="9" style="10" customWidth="1"/>
    <col min="16149" max="16149" width="9" style="10"/>
    <col min="16150" max="16150" width="9" style="10" customWidth="1"/>
    <col min="16151" max="16156" width="9" style="10"/>
    <col min="16157" max="16157" width="26.5" style="10" customWidth="1"/>
    <col min="16158" max="16160" width="9" style="10"/>
    <col min="16161" max="16161" width="14.75" style="10" bestFit="1" customWidth="1"/>
    <col min="16162" max="16384" width="9" style="10"/>
  </cols>
  <sheetData>
    <row r="1" spans="1:53" ht="45">
      <c r="A1" s="1" t="s">
        <v>334</v>
      </c>
      <c r="B1" s="2" t="s">
        <v>1</v>
      </c>
      <c r="C1" s="2" t="s">
        <v>2</v>
      </c>
      <c r="D1" s="3" t="s">
        <v>3</v>
      </c>
      <c r="E1" s="4" t="s">
        <v>245</v>
      </c>
      <c r="F1" s="4" t="s">
        <v>5</v>
      </c>
      <c r="G1" s="4" t="s">
        <v>6</v>
      </c>
      <c r="H1" s="4" t="s">
        <v>335</v>
      </c>
      <c r="I1" s="4" t="s">
        <v>8</v>
      </c>
      <c r="J1" s="4" t="s">
        <v>9</v>
      </c>
      <c r="K1" s="4" t="s">
        <v>10</v>
      </c>
      <c r="L1" s="3" t="s">
        <v>11</v>
      </c>
      <c r="M1" s="3" t="s">
        <v>12</v>
      </c>
      <c r="N1" s="3" t="s">
        <v>286</v>
      </c>
      <c r="O1" s="3" t="s">
        <v>14</v>
      </c>
      <c r="P1" s="3" t="s">
        <v>15</v>
      </c>
      <c r="Q1" s="5" t="s">
        <v>16</v>
      </c>
      <c r="R1" s="3" t="s">
        <v>17</v>
      </c>
      <c r="S1" s="3" t="s">
        <v>18</v>
      </c>
      <c r="T1" s="5" t="s">
        <v>19</v>
      </c>
      <c r="U1" s="69" t="s">
        <v>248</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59" customFormat="1" ht="13.5" customHeight="1">
      <c r="A2" s="156" t="s">
        <v>88</v>
      </c>
      <c r="B2" s="156" t="s">
        <v>336</v>
      </c>
      <c r="C2" s="156">
        <v>2020</v>
      </c>
      <c r="D2" s="157" t="s">
        <v>337</v>
      </c>
      <c r="E2" s="156" t="s">
        <v>338</v>
      </c>
      <c r="F2" s="156" t="s">
        <v>339</v>
      </c>
      <c r="G2" s="156" t="s">
        <v>58</v>
      </c>
      <c r="H2" s="156" t="s">
        <v>40</v>
      </c>
      <c r="I2" s="126" t="s">
        <v>41</v>
      </c>
      <c r="J2" s="126" t="s">
        <v>42</v>
      </c>
      <c r="K2" s="126" t="s">
        <v>43</v>
      </c>
      <c r="L2" s="126">
        <v>1</v>
      </c>
      <c r="M2" s="126"/>
      <c r="N2" s="126">
        <v>1</v>
      </c>
      <c r="O2" s="126">
        <v>0.5</v>
      </c>
      <c r="P2" s="126">
        <v>0.5</v>
      </c>
      <c r="Q2" s="152">
        <f t="shared" ref="Q2:Q65" si="0">IF(OR(O2="",P2=""),"",AVERAGE(O2,P2))</f>
        <v>0.5</v>
      </c>
      <c r="R2" s="126">
        <v>14.5</v>
      </c>
      <c r="S2" s="126">
        <v>135</v>
      </c>
      <c r="T2" s="138">
        <f t="shared" ref="T2:T65" si="1">IF(H2="","",IF(OR(H2="GREEN",H2="GK"),IF(S2&gt;=$AX$2,VLOOKUP(S2,$AX$2:$AY$15,2,1),""),IF(S2&gt;=$AZ$2,VLOOKUP(S2,$AZ$2:$BA$15,2,1),"")))</f>
        <v>25</v>
      </c>
      <c r="U2" s="126">
        <v>98</v>
      </c>
      <c r="V2" s="158">
        <f>IF(OR(N2="",U2="",T2=""),"",U2/N2*T2)</f>
        <v>2450</v>
      </c>
      <c r="W2" s="126">
        <v>1</v>
      </c>
      <c r="X2" s="126" t="s">
        <v>63</v>
      </c>
      <c r="Y2" s="126" t="s">
        <v>46</v>
      </c>
      <c r="Z2" s="126" t="s">
        <v>45</v>
      </c>
      <c r="AA2" s="126" t="s">
        <v>54</v>
      </c>
      <c r="AB2" s="156" t="s">
        <v>340</v>
      </c>
      <c r="AC2" s="128"/>
      <c r="AE2" s="33" t="s">
        <v>49</v>
      </c>
      <c r="AG2" s="131" t="s">
        <v>341</v>
      </c>
      <c r="AH2" s="131" t="s">
        <v>339</v>
      </c>
      <c r="AJ2" s="160" t="s">
        <v>39</v>
      </c>
      <c r="AL2" s="133" t="s">
        <v>51</v>
      </c>
      <c r="AN2" s="160" t="s">
        <v>52</v>
      </c>
      <c r="AP2" s="132" t="s">
        <v>42</v>
      </c>
      <c r="AR2" s="132" t="s">
        <v>53</v>
      </c>
      <c r="AT2" s="160" t="s">
        <v>44</v>
      </c>
      <c r="AV2" s="132" t="s">
        <v>54</v>
      </c>
      <c r="AX2" s="161">
        <v>1</v>
      </c>
      <c r="AY2" s="162">
        <v>50</v>
      </c>
      <c r="AZ2" s="162">
        <v>1</v>
      </c>
      <c r="BA2" s="163">
        <v>50</v>
      </c>
    </row>
    <row r="3" spans="1:53" s="126" customFormat="1" ht="13.5" customHeight="1">
      <c r="A3" s="156" t="s">
        <v>88</v>
      </c>
      <c r="B3" s="156" t="s">
        <v>184</v>
      </c>
      <c r="C3" s="156">
        <v>2020</v>
      </c>
      <c r="D3" s="157" t="s">
        <v>185</v>
      </c>
      <c r="E3" s="156" t="s">
        <v>338</v>
      </c>
      <c r="F3" s="156" t="s">
        <v>339</v>
      </c>
      <c r="G3" s="156" t="s">
        <v>58</v>
      </c>
      <c r="H3" s="156" t="s">
        <v>40</v>
      </c>
      <c r="I3" s="126" t="s">
        <v>41</v>
      </c>
      <c r="J3" s="126" t="s">
        <v>42</v>
      </c>
      <c r="K3" s="126" t="s">
        <v>43</v>
      </c>
      <c r="L3" s="126">
        <v>2</v>
      </c>
      <c r="N3" s="126">
        <v>1</v>
      </c>
      <c r="O3" s="126">
        <v>0.6</v>
      </c>
      <c r="P3" s="126">
        <v>0.55000000000000004</v>
      </c>
      <c r="Q3" s="152">
        <f t="shared" si="0"/>
        <v>0.57499999999999996</v>
      </c>
      <c r="R3" s="126">
        <v>14.5</v>
      </c>
      <c r="S3" s="126">
        <v>130.5</v>
      </c>
      <c r="T3" s="138">
        <f t="shared" si="1"/>
        <v>25</v>
      </c>
      <c r="U3" s="126">
        <v>98</v>
      </c>
      <c r="V3" s="158">
        <f t="shared" ref="V3:V66" si="2">IF(OR(N3="",U3="",T3=""),"",U3/N3*T3)</f>
        <v>2450</v>
      </c>
      <c r="W3" s="126">
        <v>1</v>
      </c>
      <c r="X3" s="126" t="s">
        <v>63</v>
      </c>
      <c r="Y3" s="126" t="s">
        <v>46</v>
      </c>
      <c r="Z3" s="126" t="s">
        <v>45</v>
      </c>
      <c r="AA3" s="126" t="s">
        <v>54</v>
      </c>
      <c r="AB3" s="156" t="s">
        <v>340</v>
      </c>
      <c r="AC3" s="128"/>
      <c r="AE3" s="34" t="s">
        <v>55</v>
      </c>
      <c r="AG3" s="131" t="s">
        <v>342</v>
      </c>
      <c r="AH3" s="131" t="s">
        <v>343</v>
      </c>
      <c r="AJ3" s="139" t="s">
        <v>58</v>
      </c>
      <c r="AL3" s="139" t="s">
        <v>59</v>
      </c>
      <c r="AN3" s="139" t="s">
        <v>60</v>
      </c>
      <c r="AP3" s="139" t="s">
        <v>61</v>
      </c>
      <c r="AR3" s="139" t="s">
        <v>62</v>
      </c>
      <c r="AT3" s="139" t="s">
        <v>63</v>
      </c>
      <c r="AV3" s="139" t="s">
        <v>64</v>
      </c>
      <c r="AX3" s="140">
        <v>72</v>
      </c>
      <c r="AY3" s="141">
        <v>46</v>
      </c>
      <c r="AZ3" s="141">
        <v>71</v>
      </c>
      <c r="BA3" s="142">
        <v>42</v>
      </c>
    </row>
    <row r="4" spans="1:53" s="126" customFormat="1" ht="13.5" customHeight="1">
      <c r="A4" s="156" t="s">
        <v>88</v>
      </c>
      <c r="B4" s="156" t="s">
        <v>184</v>
      </c>
      <c r="C4" s="156">
        <v>2020</v>
      </c>
      <c r="D4" s="157" t="s">
        <v>185</v>
      </c>
      <c r="E4" s="156" t="s">
        <v>338</v>
      </c>
      <c r="F4" s="156" t="s">
        <v>339</v>
      </c>
      <c r="G4" s="156" t="s">
        <v>58</v>
      </c>
      <c r="H4" s="156" t="s">
        <v>40</v>
      </c>
      <c r="I4" s="126" t="s">
        <v>41</v>
      </c>
      <c r="J4" s="126" t="s">
        <v>42</v>
      </c>
      <c r="K4" s="126" t="s">
        <v>43</v>
      </c>
      <c r="L4" s="126">
        <v>3</v>
      </c>
      <c r="N4" s="126">
        <v>1</v>
      </c>
      <c r="O4" s="126">
        <v>0.55000000000000004</v>
      </c>
      <c r="P4" s="126">
        <v>0.5</v>
      </c>
      <c r="Q4" s="152">
        <f t="shared" si="0"/>
        <v>0.52500000000000002</v>
      </c>
      <c r="R4" s="126">
        <v>14.6</v>
      </c>
      <c r="S4" s="126">
        <v>132</v>
      </c>
      <c r="T4" s="138">
        <f t="shared" si="1"/>
        <v>25</v>
      </c>
      <c r="U4" s="126">
        <v>98</v>
      </c>
      <c r="V4" s="158">
        <f t="shared" si="2"/>
        <v>2450</v>
      </c>
      <c r="W4" s="126">
        <v>1</v>
      </c>
      <c r="X4" s="126" t="s">
        <v>63</v>
      </c>
      <c r="Y4" s="126" t="s">
        <v>46</v>
      </c>
      <c r="Z4" s="126" t="s">
        <v>45</v>
      </c>
      <c r="AA4" s="126" t="s">
        <v>54</v>
      </c>
      <c r="AB4" s="156" t="s">
        <v>340</v>
      </c>
      <c r="AC4" s="128"/>
      <c r="AE4" s="34" t="s">
        <v>35</v>
      </c>
      <c r="AG4" s="131" t="s">
        <v>344</v>
      </c>
      <c r="AH4" s="131" t="s">
        <v>345</v>
      </c>
      <c r="AJ4" s="143" t="s">
        <v>67</v>
      </c>
      <c r="AL4" s="139" t="s">
        <v>68</v>
      </c>
      <c r="AN4" s="144" t="s">
        <v>69</v>
      </c>
      <c r="AP4" s="139" t="s">
        <v>70</v>
      </c>
      <c r="AR4" s="139" t="s">
        <v>71</v>
      </c>
      <c r="AT4" s="144"/>
      <c r="AV4" s="139" t="s">
        <v>47</v>
      </c>
      <c r="AX4" s="140">
        <v>75</v>
      </c>
      <c r="AY4" s="141">
        <v>42</v>
      </c>
      <c r="AZ4" s="141">
        <v>76</v>
      </c>
      <c r="BA4" s="142">
        <v>39</v>
      </c>
    </row>
    <row r="5" spans="1:53" s="126" customFormat="1" ht="13.5" customHeight="1">
      <c r="A5" s="156" t="s">
        <v>88</v>
      </c>
      <c r="B5" s="156" t="s">
        <v>184</v>
      </c>
      <c r="C5" s="156">
        <v>2020</v>
      </c>
      <c r="D5" s="157" t="s">
        <v>185</v>
      </c>
      <c r="E5" s="156" t="s">
        <v>346</v>
      </c>
      <c r="F5" s="156" t="s">
        <v>343</v>
      </c>
      <c r="G5" s="156" t="s">
        <v>39</v>
      </c>
      <c r="H5" s="156" t="s">
        <v>40</v>
      </c>
      <c r="I5" s="126" t="s">
        <v>41</v>
      </c>
      <c r="J5" s="126" t="s">
        <v>42</v>
      </c>
      <c r="K5" s="126" t="s">
        <v>43</v>
      </c>
      <c r="L5" s="126">
        <v>1</v>
      </c>
      <c r="N5" s="126">
        <v>1</v>
      </c>
      <c r="O5" s="126">
        <v>0.55000000000000004</v>
      </c>
      <c r="P5" s="126">
        <v>0.55000000000000004</v>
      </c>
      <c r="Q5" s="152">
        <f>IF(OR(O5="",P5=""),"",AVERAGE(O5,P5))</f>
        <v>0.55000000000000004</v>
      </c>
      <c r="R5" s="126">
        <v>14.9</v>
      </c>
      <c r="S5" s="126">
        <v>113.5</v>
      </c>
      <c r="T5" s="138">
        <f t="shared" si="1"/>
        <v>30</v>
      </c>
      <c r="U5" s="126">
        <v>98</v>
      </c>
      <c r="V5" s="158">
        <f t="shared" si="2"/>
        <v>2940</v>
      </c>
      <c r="W5" s="126">
        <v>3</v>
      </c>
      <c r="X5" s="126" t="s">
        <v>63</v>
      </c>
      <c r="Y5" s="126" t="s">
        <v>46</v>
      </c>
      <c r="Z5" s="126" t="s">
        <v>160</v>
      </c>
      <c r="AA5" s="126" t="s">
        <v>45</v>
      </c>
      <c r="AB5" s="156" t="s">
        <v>340</v>
      </c>
      <c r="AC5" s="128"/>
      <c r="AE5" s="34" t="s">
        <v>72</v>
      </c>
      <c r="AG5" s="131" t="s">
        <v>347</v>
      </c>
      <c r="AH5" s="131" t="s">
        <v>348</v>
      </c>
      <c r="AJ5" s="143"/>
      <c r="AL5" s="139" t="s">
        <v>75</v>
      </c>
      <c r="AN5" s="145" t="s">
        <v>76</v>
      </c>
      <c r="AP5" s="139" t="s">
        <v>77</v>
      </c>
      <c r="AR5" s="139" t="s">
        <v>78</v>
      </c>
      <c r="AV5" s="139" t="s">
        <v>79</v>
      </c>
      <c r="AX5" s="140">
        <v>84</v>
      </c>
      <c r="AY5" s="141">
        <v>39</v>
      </c>
      <c r="AZ5" s="141">
        <v>84</v>
      </c>
      <c r="BA5" s="142">
        <v>36</v>
      </c>
    </row>
    <row r="6" spans="1:53" s="126" customFormat="1" ht="13.5" customHeight="1">
      <c r="A6" s="156" t="s">
        <v>88</v>
      </c>
      <c r="B6" s="156" t="s">
        <v>184</v>
      </c>
      <c r="C6" s="156">
        <v>2020</v>
      </c>
      <c r="D6" s="157" t="s">
        <v>185</v>
      </c>
      <c r="E6" s="156" t="s">
        <v>346</v>
      </c>
      <c r="F6" s="156" t="s">
        <v>343</v>
      </c>
      <c r="G6" s="156" t="s">
        <v>39</v>
      </c>
      <c r="H6" s="156" t="s">
        <v>40</v>
      </c>
      <c r="I6" s="126" t="s">
        <v>41</v>
      </c>
      <c r="J6" s="126" t="s">
        <v>42</v>
      </c>
      <c r="K6" s="126" t="s">
        <v>43</v>
      </c>
      <c r="L6" s="126">
        <v>2</v>
      </c>
      <c r="N6" s="126">
        <v>1</v>
      </c>
      <c r="O6" s="126">
        <v>0.2</v>
      </c>
      <c r="P6" s="126">
        <v>0.2</v>
      </c>
      <c r="Q6" s="152">
        <f t="shared" si="0"/>
        <v>0.2</v>
      </c>
      <c r="R6" s="126">
        <v>15.1</v>
      </c>
      <c r="S6" s="126">
        <v>120</v>
      </c>
      <c r="T6" s="138">
        <f t="shared" si="1"/>
        <v>30</v>
      </c>
      <c r="U6" s="126">
        <v>98</v>
      </c>
      <c r="V6" s="158">
        <f t="shared" si="2"/>
        <v>2940</v>
      </c>
      <c r="W6" s="126">
        <v>3</v>
      </c>
      <c r="X6" s="126" t="s">
        <v>63</v>
      </c>
      <c r="Y6" s="126" t="s">
        <v>46</v>
      </c>
      <c r="Z6" s="126" t="s">
        <v>160</v>
      </c>
      <c r="AA6" s="126" t="s">
        <v>45</v>
      </c>
      <c r="AB6" s="156" t="s">
        <v>340</v>
      </c>
      <c r="AC6" s="128"/>
      <c r="AE6" s="34" t="s">
        <v>80</v>
      </c>
      <c r="AG6" s="131" t="s">
        <v>349</v>
      </c>
      <c r="AH6" s="131" t="s">
        <v>350</v>
      </c>
      <c r="AJ6" s="143"/>
      <c r="AL6" s="139" t="s">
        <v>83</v>
      </c>
      <c r="AN6" s="145" t="s">
        <v>84</v>
      </c>
      <c r="AP6" s="139" t="s">
        <v>85</v>
      </c>
      <c r="AR6" s="139" t="s">
        <v>86</v>
      </c>
      <c r="AV6" s="139" t="s">
        <v>87</v>
      </c>
      <c r="AX6" s="140">
        <v>97</v>
      </c>
      <c r="AY6" s="141">
        <v>36</v>
      </c>
      <c r="AZ6" s="141">
        <v>99</v>
      </c>
      <c r="BA6" s="142">
        <v>33</v>
      </c>
    </row>
    <row r="7" spans="1:53" s="126" customFormat="1" ht="13.5" customHeight="1">
      <c r="A7" s="156" t="s">
        <v>88</v>
      </c>
      <c r="B7" s="156" t="s">
        <v>184</v>
      </c>
      <c r="C7" s="156">
        <v>2020</v>
      </c>
      <c r="D7" s="157" t="s">
        <v>185</v>
      </c>
      <c r="E7" s="156" t="s">
        <v>346</v>
      </c>
      <c r="F7" s="156" t="s">
        <v>343</v>
      </c>
      <c r="G7" s="156" t="s">
        <v>39</v>
      </c>
      <c r="H7" s="156" t="s">
        <v>40</v>
      </c>
      <c r="I7" s="126" t="s">
        <v>41</v>
      </c>
      <c r="J7" s="126" t="s">
        <v>42</v>
      </c>
      <c r="K7" s="126" t="s">
        <v>43</v>
      </c>
      <c r="L7" s="126">
        <v>3</v>
      </c>
      <c r="N7" s="126">
        <v>1</v>
      </c>
      <c r="O7" s="126">
        <v>0.5</v>
      </c>
      <c r="P7" s="126">
        <v>0.55000000000000004</v>
      </c>
      <c r="Q7" s="152">
        <f t="shared" si="0"/>
        <v>0.52500000000000002</v>
      </c>
      <c r="R7" s="126">
        <v>15</v>
      </c>
      <c r="S7" s="126">
        <v>116</v>
      </c>
      <c r="T7" s="138">
        <f t="shared" si="1"/>
        <v>30</v>
      </c>
      <c r="U7" s="126">
        <v>98</v>
      </c>
      <c r="V7" s="158">
        <f t="shared" si="2"/>
        <v>2940</v>
      </c>
      <c r="W7" s="126">
        <v>3</v>
      </c>
      <c r="X7" s="126" t="s">
        <v>63</v>
      </c>
      <c r="Y7" s="126" t="s">
        <v>46</v>
      </c>
      <c r="Z7" s="126" t="s">
        <v>160</v>
      </c>
      <c r="AA7" s="126" t="s">
        <v>45</v>
      </c>
      <c r="AB7" s="156" t="s">
        <v>340</v>
      </c>
      <c r="AC7" s="128"/>
      <c r="AE7" s="34" t="s">
        <v>88</v>
      </c>
      <c r="AG7" s="131" t="s">
        <v>351</v>
      </c>
      <c r="AH7" s="131" t="s">
        <v>350</v>
      </c>
      <c r="AJ7" s="143"/>
      <c r="AL7" s="146" t="s">
        <v>90</v>
      </c>
      <c r="AN7" s="145"/>
      <c r="AP7" s="139" t="s">
        <v>91</v>
      </c>
      <c r="AR7" s="139" t="s">
        <v>92</v>
      </c>
      <c r="AV7" s="139" t="s">
        <v>93</v>
      </c>
      <c r="AX7" s="140">
        <v>109</v>
      </c>
      <c r="AY7" s="141">
        <v>33</v>
      </c>
      <c r="AZ7" s="141">
        <v>113</v>
      </c>
      <c r="BA7" s="142">
        <v>30</v>
      </c>
    </row>
    <row r="8" spans="1:53" s="126" customFormat="1" ht="13.5" customHeight="1">
      <c r="A8" s="156" t="s">
        <v>88</v>
      </c>
      <c r="B8" s="156" t="s">
        <v>184</v>
      </c>
      <c r="C8" s="156">
        <v>2020</v>
      </c>
      <c r="D8" s="157" t="s">
        <v>185</v>
      </c>
      <c r="E8" s="156" t="s">
        <v>346</v>
      </c>
      <c r="F8" s="156" t="s">
        <v>343</v>
      </c>
      <c r="G8" s="156" t="s">
        <v>39</v>
      </c>
      <c r="H8" s="156" t="s">
        <v>40</v>
      </c>
      <c r="I8" s="126" t="s">
        <v>41</v>
      </c>
      <c r="J8" s="126" t="s">
        <v>42</v>
      </c>
      <c r="K8" s="126" t="s">
        <v>43</v>
      </c>
      <c r="L8" s="126">
        <v>1</v>
      </c>
      <c r="N8" s="126">
        <v>8</v>
      </c>
      <c r="O8" s="126">
        <v>0.7</v>
      </c>
      <c r="P8" s="126">
        <v>0.7</v>
      </c>
      <c r="Q8" s="152">
        <f t="shared" si="0"/>
        <v>0.7</v>
      </c>
      <c r="R8" s="126">
        <v>15.3</v>
      </c>
      <c r="S8" s="126">
        <v>84</v>
      </c>
      <c r="T8" s="138">
        <f t="shared" si="1"/>
        <v>36</v>
      </c>
      <c r="U8" s="126">
        <v>498</v>
      </c>
      <c r="V8" s="158">
        <f t="shared" si="2"/>
        <v>2241</v>
      </c>
      <c r="W8" s="126">
        <v>3</v>
      </c>
      <c r="X8" s="126" t="s">
        <v>63</v>
      </c>
      <c r="Y8" s="126" t="s">
        <v>46</v>
      </c>
      <c r="Z8" s="126" t="s">
        <v>160</v>
      </c>
      <c r="AA8" s="126" t="s">
        <v>45</v>
      </c>
      <c r="AB8" s="156" t="s">
        <v>340</v>
      </c>
      <c r="AC8" s="128"/>
      <c r="AE8" s="34" t="s">
        <v>86</v>
      </c>
      <c r="AG8" s="131" t="s">
        <v>352</v>
      </c>
      <c r="AH8" s="131" t="s">
        <v>353</v>
      </c>
      <c r="AJ8" s="144"/>
      <c r="AL8" s="146" t="s">
        <v>96</v>
      </c>
      <c r="AN8" s="145"/>
      <c r="AP8" s="139" t="s">
        <v>97</v>
      </c>
      <c r="AR8" s="139" t="s">
        <v>98</v>
      </c>
      <c r="AV8" s="139" t="s">
        <v>99</v>
      </c>
      <c r="AX8" s="140">
        <v>119</v>
      </c>
      <c r="AY8" s="141">
        <v>30</v>
      </c>
      <c r="AZ8" s="141">
        <v>121</v>
      </c>
      <c r="BA8" s="142">
        <v>27</v>
      </c>
    </row>
    <row r="9" spans="1:53" s="126" customFormat="1" ht="13.5" customHeight="1">
      <c r="A9" s="156" t="s">
        <v>88</v>
      </c>
      <c r="B9" s="156" t="s">
        <v>184</v>
      </c>
      <c r="C9" s="156">
        <v>2020</v>
      </c>
      <c r="D9" s="157" t="s">
        <v>185</v>
      </c>
      <c r="E9" s="156" t="s">
        <v>346</v>
      </c>
      <c r="F9" s="156" t="s">
        <v>343</v>
      </c>
      <c r="G9" s="156" t="s">
        <v>39</v>
      </c>
      <c r="H9" s="156" t="s">
        <v>40</v>
      </c>
      <c r="I9" s="126" t="s">
        <v>41</v>
      </c>
      <c r="J9" s="126" t="s">
        <v>42</v>
      </c>
      <c r="K9" s="126" t="s">
        <v>43</v>
      </c>
      <c r="L9" s="126">
        <v>2</v>
      </c>
      <c r="N9" s="126">
        <v>8</v>
      </c>
      <c r="O9" s="128">
        <v>0.5</v>
      </c>
      <c r="P9" s="126">
        <v>0.5</v>
      </c>
      <c r="Q9" s="152">
        <f t="shared" si="0"/>
        <v>0.5</v>
      </c>
      <c r="R9" s="128">
        <v>15.4</v>
      </c>
      <c r="S9" s="126">
        <v>87.5</v>
      </c>
      <c r="T9" s="138">
        <f t="shared" si="1"/>
        <v>36</v>
      </c>
      <c r="U9" s="126">
        <v>498</v>
      </c>
      <c r="V9" s="158">
        <f t="shared" si="2"/>
        <v>2241</v>
      </c>
      <c r="W9" s="126">
        <v>3</v>
      </c>
      <c r="X9" s="126" t="s">
        <v>63</v>
      </c>
      <c r="Y9" s="126" t="s">
        <v>46</v>
      </c>
      <c r="Z9" s="126" t="s">
        <v>160</v>
      </c>
      <c r="AA9" s="126" t="s">
        <v>45</v>
      </c>
      <c r="AB9" s="156" t="s">
        <v>340</v>
      </c>
      <c r="AC9" s="128"/>
      <c r="AE9" s="34" t="s">
        <v>100</v>
      </c>
      <c r="AG9" s="131" t="s">
        <v>354</v>
      </c>
      <c r="AH9" s="131" t="s">
        <v>355</v>
      </c>
      <c r="AL9" s="139" t="s">
        <v>102</v>
      </c>
      <c r="AN9" s="145"/>
      <c r="AP9" s="139" t="s">
        <v>103</v>
      </c>
      <c r="AR9" s="139" t="s">
        <v>104</v>
      </c>
      <c r="AV9" s="139" t="s">
        <v>105</v>
      </c>
      <c r="AX9" s="140">
        <v>128</v>
      </c>
      <c r="AY9" s="141">
        <v>27</v>
      </c>
      <c r="AZ9" s="141">
        <v>129</v>
      </c>
      <c r="BA9" s="142">
        <v>25</v>
      </c>
    </row>
    <row r="10" spans="1:53" s="126" customFormat="1" ht="13.5" customHeight="1">
      <c r="A10" s="156" t="s">
        <v>88</v>
      </c>
      <c r="B10" s="156" t="s">
        <v>184</v>
      </c>
      <c r="C10" s="156">
        <v>2020</v>
      </c>
      <c r="D10" s="157" t="s">
        <v>185</v>
      </c>
      <c r="E10" s="156" t="s">
        <v>346</v>
      </c>
      <c r="F10" s="156" t="s">
        <v>343</v>
      </c>
      <c r="G10" s="156" t="s">
        <v>39</v>
      </c>
      <c r="H10" s="156" t="s">
        <v>40</v>
      </c>
      <c r="I10" s="126" t="s">
        <v>41</v>
      </c>
      <c r="J10" s="126" t="s">
        <v>42</v>
      </c>
      <c r="K10" s="126" t="s">
        <v>43</v>
      </c>
      <c r="L10" s="126">
        <v>3</v>
      </c>
      <c r="N10" s="126">
        <v>8</v>
      </c>
      <c r="O10" s="128">
        <v>0.5</v>
      </c>
      <c r="P10" s="126">
        <v>0.55000000000000004</v>
      </c>
      <c r="Q10" s="152">
        <f t="shared" si="0"/>
        <v>0.52500000000000002</v>
      </c>
      <c r="R10" s="126">
        <v>15</v>
      </c>
      <c r="S10" s="126">
        <v>86</v>
      </c>
      <c r="T10" s="138">
        <f t="shared" si="1"/>
        <v>36</v>
      </c>
      <c r="U10" s="126">
        <v>498</v>
      </c>
      <c r="V10" s="158">
        <f t="shared" si="2"/>
        <v>2241</v>
      </c>
      <c r="W10" s="126">
        <v>3</v>
      </c>
      <c r="X10" s="126" t="s">
        <v>63</v>
      </c>
      <c r="Y10" s="126" t="s">
        <v>46</v>
      </c>
      <c r="Z10" s="126" t="s">
        <v>160</v>
      </c>
      <c r="AA10" s="126" t="s">
        <v>45</v>
      </c>
      <c r="AB10" s="156" t="s">
        <v>340</v>
      </c>
      <c r="AC10" s="128"/>
      <c r="AE10" s="34" t="s">
        <v>106</v>
      </c>
      <c r="AG10" s="131" t="s">
        <v>356</v>
      </c>
      <c r="AH10" s="131" t="s">
        <v>357</v>
      </c>
      <c r="AL10" s="145"/>
      <c r="AP10" s="139" t="s">
        <v>109</v>
      </c>
      <c r="AR10" s="139" t="s">
        <v>110</v>
      </c>
      <c r="AV10" s="139" t="s">
        <v>111</v>
      </c>
      <c r="AX10" s="140">
        <v>138</v>
      </c>
      <c r="AY10" s="141">
        <v>25</v>
      </c>
      <c r="AZ10" s="141">
        <v>138</v>
      </c>
      <c r="BA10" s="142">
        <v>22</v>
      </c>
    </row>
    <row r="11" spans="1:53" s="126" customFormat="1" ht="13.5" customHeight="1">
      <c r="A11" s="156" t="s">
        <v>88</v>
      </c>
      <c r="B11" s="156" t="s">
        <v>184</v>
      </c>
      <c r="C11" s="156">
        <v>2020</v>
      </c>
      <c r="D11" s="157" t="s">
        <v>185</v>
      </c>
      <c r="E11" s="156" t="s">
        <v>346</v>
      </c>
      <c r="F11" s="156" t="s">
        <v>343</v>
      </c>
      <c r="G11" s="156" t="s">
        <v>39</v>
      </c>
      <c r="H11" s="156" t="s">
        <v>205</v>
      </c>
      <c r="I11" s="126" t="s">
        <v>41</v>
      </c>
      <c r="J11" s="126" t="s">
        <v>42</v>
      </c>
      <c r="K11" s="126" t="s">
        <v>78</v>
      </c>
      <c r="L11" s="126">
        <v>1</v>
      </c>
      <c r="N11" s="126">
        <v>1</v>
      </c>
      <c r="O11" s="126">
        <v>0.6</v>
      </c>
      <c r="P11" s="126">
        <v>0.6</v>
      </c>
      <c r="Q11" s="152">
        <f t="shared" si="0"/>
        <v>0.6</v>
      </c>
      <c r="R11" s="126">
        <v>15.9</v>
      </c>
      <c r="S11" s="126">
        <v>121.5</v>
      </c>
      <c r="T11" s="138">
        <f t="shared" si="1"/>
        <v>27</v>
      </c>
      <c r="U11" s="126">
        <v>128</v>
      </c>
      <c r="V11" s="158">
        <f t="shared" si="2"/>
        <v>3456</v>
      </c>
      <c r="W11" s="126">
        <v>3</v>
      </c>
      <c r="X11" s="126" t="s">
        <v>63</v>
      </c>
      <c r="Y11" s="126" t="s">
        <v>46</v>
      </c>
      <c r="Z11" s="126" t="s">
        <v>160</v>
      </c>
      <c r="AA11" s="126" t="s">
        <v>45</v>
      </c>
      <c r="AB11" s="156" t="s">
        <v>340</v>
      </c>
      <c r="AC11" s="128"/>
      <c r="AE11" s="34" t="s">
        <v>272</v>
      </c>
      <c r="AG11" s="131" t="s">
        <v>358</v>
      </c>
      <c r="AH11" s="131" t="s">
        <v>357</v>
      </c>
      <c r="AL11" s="164"/>
      <c r="AP11" s="139" t="s">
        <v>216</v>
      </c>
      <c r="AR11" s="139" t="s">
        <v>128</v>
      </c>
      <c r="AV11" s="146" t="s">
        <v>359</v>
      </c>
      <c r="AX11" s="140">
        <v>151</v>
      </c>
      <c r="AY11" s="141">
        <v>22</v>
      </c>
      <c r="AZ11" s="141">
        <v>152</v>
      </c>
      <c r="BA11" s="142">
        <v>18</v>
      </c>
    </row>
    <row r="12" spans="1:53" s="126" customFormat="1" ht="13.5" customHeight="1">
      <c r="A12" s="156" t="s">
        <v>88</v>
      </c>
      <c r="B12" s="156" t="s">
        <v>184</v>
      </c>
      <c r="C12" s="156">
        <v>2020</v>
      </c>
      <c r="D12" s="157" t="s">
        <v>185</v>
      </c>
      <c r="E12" s="156" t="s">
        <v>346</v>
      </c>
      <c r="F12" s="156" t="s">
        <v>343</v>
      </c>
      <c r="G12" s="156" t="s">
        <v>39</v>
      </c>
      <c r="H12" s="156" t="s">
        <v>205</v>
      </c>
      <c r="I12" s="126" t="s">
        <v>41</v>
      </c>
      <c r="J12" s="126" t="s">
        <v>42</v>
      </c>
      <c r="K12" s="126" t="s">
        <v>78</v>
      </c>
      <c r="L12" s="126">
        <v>2</v>
      </c>
      <c r="N12" s="126">
        <v>1</v>
      </c>
      <c r="O12" s="126">
        <v>0.6</v>
      </c>
      <c r="P12" s="126">
        <v>0.65</v>
      </c>
      <c r="Q12" s="152">
        <f t="shared" si="0"/>
        <v>0.625</v>
      </c>
      <c r="R12" s="128">
        <v>14.7</v>
      </c>
      <c r="S12" s="126">
        <v>123.5</v>
      </c>
      <c r="T12" s="138">
        <f t="shared" si="1"/>
        <v>27</v>
      </c>
      <c r="U12" s="126">
        <v>128</v>
      </c>
      <c r="V12" s="158">
        <f t="shared" si="2"/>
        <v>3456</v>
      </c>
      <c r="W12" s="126">
        <v>3</v>
      </c>
      <c r="X12" s="126" t="s">
        <v>63</v>
      </c>
      <c r="Y12" s="126" t="s">
        <v>46</v>
      </c>
      <c r="Z12" s="126" t="s">
        <v>160</v>
      </c>
      <c r="AA12" s="126" t="s">
        <v>45</v>
      </c>
      <c r="AB12" s="156" t="s">
        <v>340</v>
      </c>
      <c r="AC12" s="128"/>
      <c r="AE12" s="34" t="s">
        <v>275</v>
      </c>
      <c r="AG12" s="139"/>
      <c r="AH12" s="34"/>
      <c r="AL12" s="164"/>
      <c r="AP12" s="139" t="s">
        <v>219</v>
      </c>
      <c r="AR12" s="139" t="s">
        <v>276</v>
      </c>
      <c r="AV12" s="146" t="s">
        <v>360</v>
      </c>
      <c r="AX12" s="140">
        <v>180</v>
      </c>
      <c r="AY12" s="141">
        <v>18</v>
      </c>
      <c r="AZ12" s="141">
        <v>181</v>
      </c>
      <c r="BA12" s="142">
        <v>16</v>
      </c>
    </row>
    <row r="13" spans="1:53" s="126" customFormat="1" ht="13.5" customHeight="1">
      <c r="A13" s="156" t="s">
        <v>88</v>
      </c>
      <c r="B13" s="156" t="s">
        <v>184</v>
      </c>
      <c r="C13" s="156">
        <v>2020</v>
      </c>
      <c r="D13" s="157" t="s">
        <v>185</v>
      </c>
      <c r="E13" s="156" t="s">
        <v>346</v>
      </c>
      <c r="F13" s="156" t="s">
        <v>343</v>
      </c>
      <c r="G13" s="156" t="s">
        <v>39</v>
      </c>
      <c r="H13" s="156" t="s">
        <v>205</v>
      </c>
      <c r="I13" s="126" t="s">
        <v>41</v>
      </c>
      <c r="J13" s="126" t="s">
        <v>42</v>
      </c>
      <c r="K13" s="126" t="s">
        <v>78</v>
      </c>
      <c r="L13" s="126">
        <v>3</v>
      </c>
      <c r="N13" s="126">
        <v>1</v>
      </c>
      <c r="O13" s="126">
        <v>0.55000000000000004</v>
      </c>
      <c r="P13" s="126">
        <v>0.6</v>
      </c>
      <c r="Q13" s="152">
        <f t="shared" si="0"/>
        <v>0.57499999999999996</v>
      </c>
      <c r="R13" s="126">
        <v>15.1</v>
      </c>
      <c r="S13" s="126">
        <v>123.5</v>
      </c>
      <c r="T13" s="138">
        <f t="shared" si="1"/>
        <v>27</v>
      </c>
      <c r="U13" s="126">
        <v>128</v>
      </c>
      <c r="V13" s="158">
        <f t="shared" si="2"/>
        <v>3456</v>
      </c>
      <c r="W13" s="126">
        <v>3</v>
      </c>
      <c r="X13" s="126" t="s">
        <v>63</v>
      </c>
      <c r="Y13" s="126" t="s">
        <v>46</v>
      </c>
      <c r="Z13" s="126" t="s">
        <v>160</v>
      </c>
      <c r="AA13" s="126" t="s">
        <v>45</v>
      </c>
      <c r="AB13" s="156" t="s">
        <v>340</v>
      </c>
      <c r="AC13" s="128"/>
      <c r="AE13" s="34" t="s">
        <v>277</v>
      </c>
      <c r="AG13" s="139"/>
      <c r="AH13" s="34"/>
      <c r="AL13" s="165"/>
      <c r="AP13" s="139" t="s">
        <v>223</v>
      </c>
      <c r="AR13" s="139" t="s">
        <v>106</v>
      </c>
      <c r="AV13" s="146" t="s">
        <v>361</v>
      </c>
      <c r="AX13" s="140"/>
      <c r="AY13" s="141"/>
      <c r="AZ13" s="141"/>
      <c r="BA13" s="142"/>
    </row>
    <row r="14" spans="1:53" s="126" customFormat="1" ht="13.5" customHeight="1">
      <c r="A14" s="156" t="s">
        <v>88</v>
      </c>
      <c r="B14" s="156" t="s">
        <v>184</v>
      </c>
      <c r="C14" s="156">
        <v>2020</v>
      </c>
      <c r="D14" s="157" t="s">
        <v>185</v>
      </c>
      <c r="E14" s="156" t="s">
        <v>344</v>
      </c>
      <c r="F14" s="156" t="s">
        <v>345</v>
      </c>
      <c r="G14" s="156" t="s">
        <v>58</v>
      </c>
      <c r="H14" s="156" t="s">
        <v>40</v>
      </c>
      <c r="I14" s="126" t="s">
        <v>41</v>
      </c>
      <c r="J14" s="126" t="s">
        <v>42</v>
      </c>
      <c r="K14" s="126" t="s">
        <v>43</v>
      </c>
      <c r="L14" s="126">
        <v>1</v>
      </c>
      <c r="N14" s="126">
        <v>1</v>
      </c>
      <c r="O14" s="126">
        <v>0.2</v>
      </c>
      <c r="P14" s="126">
        <v>0.5</v>
      </c>
      <c r="Q14" s="152">
        <f t="shared" si="0"/>
        <v>0.35</v>
      </c>
      <c r="R14" s="126">
        <v>15.8</v>
      </c>
      <c r="S14" s="126">
        <v>140</v>
      </c>
      <c r="T14" s="138">
        <f t="shared" si="1"/>
        <v>22</v>
      </c>
      <c r="U14" s="126">
        <v>146</v>
      </c>
      <c r="V14" s="158">
        <f t="shared" si="2"/>
        <v>3212</v>
      </c>
      <c r="W14" s="126">
        <v>2</v>
      </c>
      <c r="X14" s="126" t="s">
        <v>44</v>
      </c>
      <c r="Y14" s="126" t="s">
        <v>45</v>
      </c>
      <c r="Z14" s="126" t="s">
        <v>46</v>
      </c>
      <c r="AA14" s="126" t="s">
        <v>160</v>
      </c>
      <c r="AB14" s="156" t="s">
        <v>340</v>
      </c>
      <c r="AC14" s="128"/>
      <c r="AE14" s="34" t="s">
        <v>112</v>
      </c>
      <c r="AG14" s="139"/>
      <c r="AH14" s="34"/>
      <c r="AL14" s="128"/>
      <c r="AP14" s="139" t="s">
        <v>113</v>
      </c>
      <c r="AR14" s="139" t="s">
        <v>114</v>
      </c>
      <c r="AV14" s="146" t="s">
        <v>362</v>
      </c>
      <c r="AX14" s="140"/>
      <c r="AY14" s="141"/>
      <c r="AZ14" s="141"/>
      <c r="BA14" s="142"/>
    </row>
    <row r="15" spans="1:53" s="126" customFormat="1" ht="13.5" customHeight="1">
      <c r="A15" s="156" t="s">
        <v>88</v>
      </c>
      <c r="B15" s="156" t="s">
        <v>184</v>
      </c>
      <c r="C15" s="156">
        <v>2020</v>
      </c>
      <c r="D15" s="157" t="s">
        <v>185</v>
      </c>
      <c r="E15" s="156" t="s">
        <v>344</v>
      </c>
      <c r="F15" s="156" t="s">
        <v>345</v>
      </c>
      <c r="G15" s="156" t="s">
        <v>58</v>
      </c>
      <c r="H15" s="156" t="s">
        <v>40</v>
      </c>
      <c r="I15" s="126" t="s">
        <v>41</v>
      </c>
      <c r="J15" s="126" t="s">
        <v>42</v>
      </c>
      <c r="K15" s="126" t="s">
        <v>43</v>
      </c>
      <c r="L15" s="126">
        <v>2</v>
      </c>
      <c r="N15" s="126">
        <v>1</v>
      </c>
      <c r="O15" s="126">
        <v>0.6</v>
      </c>
      <c r="P15" s="126">
        <v>0.6</v>
      </c>
      <c r="Q15" s="152">
        <f t="shared" si="0"/>
        <v>0.6</v>
      </c>
      <c r="R15" s="128">
        <v>14.7</v>
      </c>
      <c r="S15" s="126">
        <v>139.5</v>
      </c>
      <c r="T15" s="138">
        <f t="shared" si="1"/>
        <v>22</v>
      </c>
      <c r="U15" s="126">
        <v>146</v>
      </c>
      <c r="V15" s="158">
        <f t="shared" si="2"/>
        <v>3212</v>
      </c>
      <c r="W15" s="126">
        <v>2</v>
      </c>
      <c r="X15" s="126" t="s">
        <v>44</v>
      </c>
      <c r="Y15" s="126" t="s">
        <v>45</v>
      </c>
      <c r="Z15" s="126" t="s">
        <v>46</v>
      </c>
      <c r="AA15" s="126" t="s">
        <v>160</v>
      </c>
      <c r="AB15" s="156" t="s">
        <v>340</v>
      </c>
      <c r="AC15" s="128"/>
      <c r="AE15" s="34" t="s">
        <v>116</v>
      </c>
      <c r="AG15" s="139"/>
      <c r="AH15" s="139"/>
      <c r="AL15" s="128"/>
      <c r="AP15" s="139" t="s">
        <v>117</v>
      </c>
      <c r="AR15" s="139" t="s">
        <v>118</v>
      </c>
      <c r="AV15" s="146" t="s">
        <v>363</v>
      </c>
      <c r="AX15" s="148"/>
      <c r="AY15" s="149"/>
      <c r="AZ15" s="149"/>
      <c r="BA15" s="150"/>
    </row>
    <row r="16" spans="1:53" s="126" customFormat="1" ht="13.5" customHeight="1">
      <c r="A16" s="156" t="s">
        <v>88</v>
      </c>
      <c r="B16" s="156" t="s">
        <v>184</v>
      </c>
      <c r="C16" s="156">
        <v>2020</v>
      </c>
      <c r="D16" s="157" t="s">
        <v>185</v>
      </c>
      <c r="E16" s="156" t="s">
        <v>344</v>
      </c>
      <c r="F16" s="156" t="s">
        <v>345</v>
      </c>
      <c r="G16" s="156" t="s">
        <v>58</v>
      </c>
      <c r="H16" s="156" t="s">
        <v>40</v>
      </c>
      <c r="I16" s="126" t="s">
        <v>41</v>
      </c>
      <c r="J16" s="126" t="s">
        <v>42</v>
      </c>
      <c r="K16" s="126" t="s">
        <v>43</v>
      </c>
      <c r="L16" s="126">
        <v>3</v>
      </c>
      <c r="N16" s="126">
        <v>1</v>
      </c>
      <c r="O16" s="126">
        <v>0.5</v>
      </c>
      <c r="P16" s="126">
        <v>0.5</v>
      </c>
      <c r="Q16" s="152">
        <f t="shared" si="0"/>
        <v>0.5</v>
      </c>
      <c r="R16" s="126">
        <v>15.2</v>
      </c>
      <c r="S16" s="126">
        <v>142</v>
      </c>
      <c r="T16" s="138">
        <f t="shared" si="1"/>
        <v>22</v>
      </c>
      <c r="U16" s="126">
        <v>146</v>
      </c>
      <c r="V16" s="158">
        <f t="shared" si="2"/>
        <v>3212</v>
      </c>
      <c r="W16" s="126">
        <v>2</v>
      </c>
      <c r="X16" s="126" t="s">
        <v>44</v>
      </c>
      <c r="Y16" s="126" t="s">
        <v>45</v>
      </c>
      <c r="Z16" s="126" t="s">
        <v>46</v>
      </c>
      <c r="AA16" s="126" t="s">
        <v>160</v>
      </c>
      <c r="AB16" s="156" t="s">
        <v>340</v>
      </c>
      <c r="AC16" s="128"/>
      <c r="AE16" s="34" t="s">
        <v>120</v>
      </c>
      <c r="AG16" s="139"/>
      <c r="AH16" s="139"/>
      <c r="AP16" s="139" t="s">
        <v>121</v>
      </c>
      <c r="AR16" s="139" t="s">
        <v>122</v>
      </c>
      <c r="AV16" s="146" t="s">
        <v>364</v>
      </c>
    </row>
    <row r="17" spans="1:48" s="126" customFormat="1" ht="13.5" customHeight="1">
      <c r="A17" s="156" t="s">
        <v>88</v>
      </c>
      <c r="B17" s="156" t="s">
        <v>184</v>
      </c>
      <c r="C17" s="156">
        <v>2020</v>
      </c>
      <c r="D17" s="157" t="s">
        <v>185</v>
      </c>
      <c r="E17" s="156" t="s">
        <v>344</v>
      </c>
      <c r="F17" s="156" t="s">
        <v>345</v>
      </c>
      <c r="G17" s="156" t="s">
        <v>58</v>
      </c>
      <c r="H17" s="156" t="s">
        <v>40</v>
      </c>
      <c r="I17" s="126" t="s">
        <v>41</v>
      </c>
      <c r="J17" s="126" t="s">
        <v>42</v>
      </c>
      <c r="K17" s="126" t="s">
        <v>43</v>
      </c>
      <c r="L17" s="126">
        <v>1</v>
      </c>
      <c r="N17" s="126">
        <v>4</v>
      </c>
      <c r="O17" s="126">
        <v>0.5</v>
      </c>
      <c r="P17" s="126">
        <v>0.5</v>
      </c>
      <c r="Q17" s="152">
        <f t="shared" si="0"/>
        <v>0.5</v>
      </c>
      <c r="R17" s="126">
        <v>14.2</v>
      </c>
      <c r="S17" s="126">
        <v>97.5</v>
      </c>
      <c r="T17" s="138">
        <f t="shared" si="1"/>
        <v>36</v>
      </c>
      <c r="U17" s="126">
        <v>424</v>
      </c>
      <c r="V17" s="158">
        <f t="shared" si="2"/>
        <v>3816</v>
      </c>
      <c r="W17" s="126">
        <v>2</v>
      </c>
      <c r="X17" s="126" t="s">
        <v>44</v>
      </c>
      <c r="Y17" s="126" t="s">
        <v>45</v>
      </c>
      <c r="Z17" s="126" t="s">
        <v>46</v>
      </c>
      <c r="AA17" s="126" t="s">
        <v>160</v>
      </c>
      <c r="AB17" s="156" t="s">
        <v>340</v>
      </c>
      <c r="AC17" s="128"/>
      <c r="AE17" s="34" t="s">
        <v>124</v>
      </c>
      <c r="AP17" s="143" t="s">
        <v>125</v>
      </c>
      <c r="AR17" s="139" t="s">
        <v>126</v>
      </c>
      <c r="AV17" s="146" t="s">
        <v>365</v>
      </c>
    </row>
    <row r="18" spans="1:48" s="126" customFormat="1" ht="13.5" customHeight="1">
      <c r="A18" s="156" t="s">
        <v>88</v>
      </c>
      <c r="B18" s="156" t="s">
        <v>184</v>
      </c>
      <c r="C18" s="156">
        <v>2020</v>
      </c>
      <c r="D18" s="157" t="s">
        <v>185</v>
      </c>
      <c r="E18" s="156" t="s">
        <v>344</v>
      </c>
      <c r="F18" s="156" t="s">
        <v>345</v>
      </c>
      <c r="G18" s="156" t="s">
        <v>58</v>
      </c>
      <c r="H18" s="156" t="s">
        <v>40</v>
      </c>
      <c r="I18" s="126" t="s">
        <v>41</v>
      </c>
      <c r="J18" s="126" t="s">
        <v>42</v>
      </c>
      <c r="K18" s="126" t="s">
        <v>43</v>
      </c>
      <c r="L18" s="126">
        <v>2</v>
      </c>
      <c r="N18" s="126">
        <v>4</v>
      </c>
      <c r="O18" s="126">
        <v>0.2</v>
      </c>
      <c r="P18" s="126">
        <v>0.2</v>
      </c>
      <c r="Q18" s="152">
        <f t="shared" si="0"/>
        <v>0.2</v>
      </c>
      <c r="R18" s="128">
        <v>14.8</v>
      </c>
      <c r="S18" s="126">
        <v>96.5</v>
      </c>
      <c r="T18" s="138">
        <f t="shared" si="1"/>
        <v>36</v>
      </c>
      <c r="U18" s="126">
        <v>424</v>
      </c>
      <c r="V18" s="158">
        <f t="shared" si="2"/>
        <v>3816</v>
      </c>
      <c r="W18" s="126">
        <v>2</v>
      </c>
      <c r="X18" s="126" t="s">
        <v>44</v>
      </c>
      <c r="Y18" s="126" t="s">
        <v>45</v>
      </c>
      <c r="Z18" s="126" t="s">
        <v>46</v>
      </c>
      <c r="AA18" s="126" t="s">
        <v>160</v>
      </c>
      <c r="AB18" s="156" t="s">
        <v>340</v>
      </c>
      <c r="AC18" s="128"/>
      <c r="AE18" s="34" t="s">
        <v>128</v>
      </c>
      <c r="AP18" s="143" t="s">
        <v>129</v>
      </c>
      <c r="AR18" s="139" t="s">
        <v>130</v>
      </c>
      <c r="AV18" s="146" t="s">
        <v>137</v>
      </c>
    </row>
    <row r="19" spans="1:48" s="126" customFormat="1" ht="13.5" customHeight="1">
      <c r="A19" s="156" t="s">
        <v>88</v>
      </c>
      <c r="B19" s="156" t="s">
        <v>184</v>
      </c>
      <c r="C19" s="156">
        <v>2020</v>
      </c>
      <c r="D19" s="157" t="s">
        <v>185</v>
      </c>
      <c r="E19" s="156" t="s">
        <v>344</v>
      </c>
      <c r="F19" s="156" t="s">
        <v>345</v>
      </c>
      <c r="G19" s="156" t="s">
        <v>58</v>
      </c>
      <c r="H19" s="156" t="s">
        <v>40</v>
      </c>
      <c r="I19" s="126" t="s">
        <v>41</v>
      </c>
      <c r="J19" s="126" t="s">
        <v>42</v>
      </c>
      <c r="K19" s="126" t="s">
        <v>43</v>
      </c>
      <c r="L19" s="126">
        <v>3</v>
      </c>
      <c r="N19" s="126">
        <v>4</v>
      </c>
      <c r="O19" s="128">
        <v>0.2</v>
      </c>
      <c r="P19" s="126">
        <v>0.2</v>
      </c>
      <c r="Q19" s="152">
        <f t="shared" si="0"/>
        <v>0.2</v>
      </c>
      <c r="R19" s="126">
        <v>14.5</v>
      </c>
      <c r="S19" s="126">
        <v>90</v>
      </c>
      <c r="T19" s="138">
        <f t="shared" si="1"/>
        <v>36</v>
      </c>
      <c r="U19" s="126">
        <v>424</v>
      </c>
      <c r="V19" s="158">
        <f t="shared" si="2"/>
        <v>3816</v>
      </c>
      <c r="W19" s="126">
        <v>2</v>
      </c>
      <c r="X19" s="126" t="s">
        <v>44</v>
      </c>
      <c r="Y19" s="126" t="s">
        <v>45</v>
      </c>
      <c r="Z19" s="126" t="s">
        <v>46</v>
      </c>
      <c r="AA19" s="126" t="s">
        <v>160</v>
      </c>
      <c r="AB19" s="156" t="s">
        <v>340</v>
      </c>
      <c r="AC19" s="128"/>
      <c r="AE19" s="35" t="s">
        <v>104</v>
      </c>
      <c r="AP19" s="143" t="s">
        <v>132</v>
      </c>
      <c r="AR19" s="139" t="s">
        <v>133</v>
      </c>
      <c r="AV19" s="146" t="s">
        <v>366</v>
      </c>
    </row>
    <row r="20" spans="1:48" s="126" customFormat="1" ht="13.5" customHeight="1">
      <c r="A20" s="156" t="s">
        <v>88</v>
      </c>
      <c r="B20" s="156" t="s">
        <v>184</v>
      </c>
      <c r="C20" s="156">
        <v>2020</v>
      </c>
      <c r="D20" s="157" t="s">
        <v>185</v>
      </c>
      <c r="E20" s="156" t="s">
        <v>344</v>
      </c>
      <c r="F20" s="156" t="s">
        <v>345</v>
      </c>
      <c r="G20" s="156" t="s">
        <v>58</v>
      </c>
      <c r="H20" s="156" t="s">
        <v>51</v>
      </c>
      <c r="I20" s="126" t="s">
        <v>41</v>
      </c>
      <c r="J20" s="126" t="s">
        <v>121</v>
      </c>
      <c r="K20" s="126" t="s">
        <v>128</v>
      </c>
      <c r="L20" s="126">
        <v>1</v>
      </c>
      <c r="N20" s="126">
        <v>6</v>
      </c>
      <c r="O20" s="126">
        <v>0.9</v>
      </c>
      <c r="P20" s="126">
        <v>0.9</v>
      </c>
      <c r="Q20" s="152">
        <f t="shared" si="0"/>
        <v>0.9</v>
      </c>
      <c r="R20" s="126">
        <v>13.9</v>
      </c>
      <c r="S20" s="126">
        <v>63.5</v>
      </c>
      <c r="T20" s="138">
        <f t="shared" si="1"/>
        <v>50</v>
      </c>
      <c r="U20" s="126">
        <v>424</v>
      </c>
      <c r="V20" s="158">
        <f t="shared" si="2"/>
        <v>3533.3333333333335</v>
      </c>
      <c r="W20" s="126">
        <v>2</v>
      </c>
      <c r="X20" s="126" t="s">
        <v>44</v>
      </c>
      <c r="Y20" s="126" t="s">
        <v>45</v>
      </c>
      <c r="Z20" s="126" t="s">
        <v>46</v>
      </c>
      <c r="AA20" s="126" t="s">
        <v>160</v>
      </c>
      <c r="AB20" s="156" t="s">
        <v>340</v>
      </c>
      <c r="AC20" s="128"/>
      <c r="AE20" s="34"/>
      <c r="AP20" s="143" t="s">
        <v>135</v>
      </c>
      <c r="AR20" s="139" t="s">
        <v>136</v>
      </c>
      <c r="AV20" s="146" t="s">
        <v>367</v>
      </c>
    </row>
    <row r="21" spans="1:48" s="126" customFormat="1" ht="13.5" customHeight="1">
      <c r="A21" s="156" t="s">
        <v>88</v>
      </c>
      <c r="B21" s="156" t="s">
        <v>184</v>
      </c>
      <c r="C21" s="156">
        <v>2020</v>
      </c>
      <c r="D21" s="157" t="s">
        <v>185</v>
      </c>
      <c r="E21" s="156" t="s">
        <v>344</v>
      </c>
      <c r="F21" s="156" t="s">
        <v>345</v>
      </c>
      <c r="G21" s="156" t="s">
        <v>58</v>
      </c>
      <c r="H21" s="156" t="s">
        <v>51</v>
      </c>
      <c r="I21" s="126" t="s">
        <v>41</v>
      </c>
      <c r="J21" s="126" t="s">
        <v>121</v>
      </c>
      <c r="K21" s="126" t="s">
        <v>128</v>
      </c>
      <c r="L21" s="126">
        <v>2</v>
      </c>
      <c r="N21" s="126">
        <v>6</v>
      </c>
      <c r="O21" s="126">
        <v>0.8</v>
      </c>
      <c r="P21" s="126">
        <v>0.85</v>
      </c>
      <c r="Q21" s="152">
        <f t="shared" si="0"/>
        <v>0.82499999999999996</v>
      </c>
      <c r="R21" s="126">
        <v>13.9</v>
      </c>
      <c r="S21" s="126">
        <v>57</v>
      </c>
      <c r="T21" s="138">
        <f t="shared" si="1"/>
        <v>50</v>
      </c>
      <c r="U21" s="126">
        <v>424</v>
      </c>
      <c r="V21" s="158">
        <f t="shared" si="2"/>
        <v>3533.3333333333335</v>
      </c>
      <c r="W21" s="126">
        <v>2</v>
      </c>
      <c r="X21" s="126" t="s">
        <v>44</v>
      </c>
      <c r="Y21" s="126" t="s">
        <v>45</v>
      </c>
      <c r="Z21" s="126" t="s">
        <v>46</v>
      </c>
      <c r="AA21" s="126" t="s">
        <v>160</v>
      </c>
      <c r="AB21" s="156" t="s">
        <v>340</v>
      </c>
      <c r="AC21" s="128"/>
      <c r="AE21" s="34"/>
      <c r="AP21" s="143" t="s">
        <v>138</v>
      </c>
      <c r="AR21" s="139" t="s">
        <v>139</v>
      </c>
      <c r="AV21" s="146" t="s">
        <v>368</v>
      </c>
    </row>
    <row r="22" spans="1:48" s="126" customFormat="1" ht="13.5" customHeight="1">
      <c r="A22" s="156" t="s">
        <v>88</v>
      </c>
      <c r="B22" s="156" t="s">
        <v>184</v>
      </c>
      <c r="C22" s="156">
        <v>2020</v>
      </c>
      <c r="D22" s="157" t="s">
        <v>185</v>
      </c>
      <c r="E22" s="156" t="s">
        <v>344</v>
      </c>
      <c r="F22" s="156" t="s">
        <v>345</v>
      </c>
      <c r="G22" s="156" t="s">
        <v>58</v>
      </c>
      <c r="H22" s="156" t="s">
        <v>51</v>
      </c>
      <c r="I22" s="126" t="s">
        <v>41</v>
      </c>
      <c r="J22" s="126" t="s">
        <v>121</v>
      </c>
      <c r="K22" s="126" t="s">
        <v>128</v>
      </c>
      <c r="L22" s="126">
        <v>3</v>
      </c>
      <c r="N22" s="126">
        <v>6</v>
      </c>
      <c r="O22" s="128">
        <v>0.7</v>
      </c>
      <c r="P22" s="126">
        <v>0.75</v>
      </c>
      <c r="Q22" s="152">
        <f t="shared" si="0"/>
        <v>0.72499999999999998</v>
      </c>
      <c r="R22" s="126">
        <v>13.5</v>
      </c>
      <c r="S22" s="126">
        <v>73</v>
      </c>
      <c r="T22" s="138">
        <f t="shared" si="1"/>
        <v>42</v>
      </c>
      <c r="U22" s="126">
        <v>424</v>
      </c>
      <c r="V22" s="158">
        <f t="shared" si="2"/>
        <v>2968</v>
      </c>
      <c r="W22" s="126">
        <v>2</v>
      </c>
      <c r="X22" s="126" t="s">
        <v>44</v>
      </c>
      <c r="Y22" s="126" t="s">
        <v>45</v>
      </c>
      <c r="Z22" s="126" t="s">
        <v>46</v>
      </c>
      <c r="AA22" s="126" t="s">
        <v>160</v>
      </c>
      <c r="AB22" s="156" t="s">
        <v>340</v>
      </c>
      <c r="AC22" s="128"/>
      <c r="AE22" s="35"/>
      <c r="AP22" s="143" t="s">
        <v>141</v>
      </c>
      <c r="AR22" s="139" t="s">
        <v>142</v>
      </c>
      <c r="AV22" s="139"/>
    </row>
    <row r="23" spans="1:48" s="126" customFormat="1" ht="13.5" customHeight="1">
      <c r="A23" s="156" t="s">
        <v>88</v>
      </c>
      <c r="B23" s="156" t="s">
        <v>184</v>
      </c>
      <c r="C23" s="156">
        <v>2020</v>
      </c>
      <c r="D23" s="157" t="s">
        <v>185</v>
      </c>
      <c r="E23" s="156" t="s">
        <v>369</v>
      </c>
      <c r="F23" s="156" t="s">
        <v>348</v>
      </c>
      <c r="G23" s="156" t="s">
        <v>39</v>
      </c>
      <c r="H23" s="156" t="s">
        <v>40</v>
      </c>
      <c r="I23" s="126" t="s">
        <v>41</v>
      </c>
      <c r="J23" s="126" t="s">
        <v>42</v>
      </c>
      <c r="K23" s="126" t="s">
        <v>43</v>
      </c>
      <c r="L23" s="126">
        <v>1</v>
      </c>
      <c r="N23" s="126">
        <v>1</v>
      </c>
      <c r="O23" s="126">
        <v>0.2</v>
      </c>
      <c r="P23" s="126">
        <v>0.2</v>
      </c>
      <c r="Q23" s="152">
        <f t="shared" si="0"/>
        <v>0.2</v>
      </c>
      <c r="R23" s="126">
        <v>14.3</v>
      </c>
      <c r="S23" s="126">
        <v>111</v>
      </c>
      <c r="T23" s="138">
        <f t="shared" si="1"/>
        <v>33</v>
      </c>
      <c r="U23" s="126">
        <v>98</v>
      </c>
      <c r="V23" s="158">
        <f t="shared" si="2"/>
        <v>3234</v>
      </c>
      <c r="W23" s="126">
        <v>13</v>
      </c>
      <c r="X23" s="126" t="s">
        <v>63</v>
      </c>
      <c r="Y23" s="126" t="s">
        <v>46</v>
      </c>
      <c r="Z23" s="126" t="s">
        <v>45</v>
      </c>
      <c r="AA23" s="126" t="s">
        <v>160</v>
      </c>
      <c r="AB23" s="156" t="s">
        <v>340</v>
      </c>
      <c r="AC23" s="128"/>
      <c r="AE23" s="34"/>
      <c r="AP23" s="143" t="s">
        <v>325</v>
      </c>
      <c r="AR23" s="139" t="s">
        <v>88</v>
      </c>
    </row>
    <row r="24" spans="1:48" s="126" customFormat="1" ht="13.5" customHeight="1">
      <c r="A24" s="156" t="s">
        <v>88</v>
      </c>
      <c r="B24" s="156" t="s">
        <v>184</v>
      </c>
      <c r="C24" s="156">
        <v>2020</v>
      </c>
      <c r="D24" s="157" t="s">
        <v>185</v>
      </c>
      <c r="E24" s="156" t="s">
        <v>369</v>
      </c>
      <c r="F24" s="156" t="s">
        <v>348</v>
      </c>
      <c r="G24" s="156" t="s">
        <v>39</v>
      </c>
      <c r="H24" s="156" t="s">
        <v>40</v>
      </c>
      <c r="I24" s="126" t="s">
        <v>41</v>
      </c>
      <c r="J24" s="126" t="s">
        <v>42</v>
      </c>
      <c r="K24" s="126" t="s">
        <v>43</v>
      </c>
      <c r="L24" s="126">
        <v>2</v>
      </c>
      <c r="N24" s="126">
        <v>1</v>
      </c>
      <c r="O24" s="126">
        <v>0.2</v>
      </c>
      <c r="P24" s="126">
        <v>0.2</v>
      </c>
      <c r="Q24" s="152">
        <f t="shared" si="0"/>
        <v>0.2</v>
      </c>
      <c r="R24" s="126">
        <v>14.3</v>
      </c>
      <c r="S24" s="126">
        <v>109.5</v>
      </c>
      <c r="T24" s="138">
        <f t="shared" si="1"/>
        <v>33</v>
      </c>
      <c r="U24" s="126">
        <v>98</v>
      </c>
      <c r="V24" s="158">
        <f t="shared" si="2"/>
        <v>3234</v>
      </c>
      <c r="W24" s="126">
        <v>13</v>
      </c>
      <c r="X24" s="126" t="s">
        <v>63</v>
      </c>
      <c r="Y24" s="126" t="s">
        <v>46</v>
      </c>
      <c r="Z24" s="126" t="s">
        <v>45</v>
      </c>
      <c r="AA24" s="126" t="s">
        <v>160</v>
      </c>
      <c r="AB24" s="156" t="s">
        <v>340</v>
      </c>
      <c r="AC24" s="128"/>
      <c r="AE24" s="34"/>
      <c r="AP24" s="143" t="s">
        <v>327</v>
      </c>
      <c r="AR24" s="139" t="s">
        <v>328</v>
      </c>
    </row>
    <row r="25" spans="1:48" s="126" customFormat="1" ht="13.5" customHeight="1">
      <c r="A25" s="156" t="s">
        <v>88</v>
      </c>
      <c r="B25" s="156" t="s">
        <v>184</v>
      </c>
      <c r="C25" s="156">
        <v>2020</v>
      </c>
      <c r="D25" s="157" t="s">
        <v>185</v>
      </c>
      <c r="E25" s="156" t="s">
        <v>369</v>
      </c>
      <c r="F25" s="156" t="s">
        <v>348</v>
      </c>
      <c r="G25" s="156" t="s">
        <v>39</v>
      </c>
      <c r="H25" s="156" t="s">
        <v>40</v>
      </c>
      <c r="I25" s="126" t="s">
        <v>41</v>
      </c>
      <c r="J25" s="126" t="s">
        <v>42</v>
      </c>
      <c r="K25" s="126" t="s">
        <v>43</v>
      </c>
      <c r="L25" s="126">
        <v>3</v>
      </c>
      <c r="N25" s="126">
        <v>1</v>
      </c>
      <c r="O25" s="128">
        <v>0.2</v>
      </c>
      <c r="P25" s="126">
        <v>0.2</v>
      </c>
      <c r="Q25" s="152">
        <f t="shared" si="0"/>
        <v>0.2</v>
      </c>
      <c r="R25" s="126">
        <v>14.5</v>
      </c>
      <c r="S25" s="126">
        <v>107</v>
      </c>
      <c r="T25" s="138">
        <f t="shared" si="1"/>
        <v>33</v>
      </c>
      <c r="U25" s="126">
        <v>98</v>
      </c>
      <c r="V25" s="158">
        <f t="shared" si="2"/>
        <v>3234</v>
      </c>
      <c r="W25" s="126">
        <v>13</v>
      </c>
      <c r="X25" s="126" t="s">
        <v>63</v>
      </c>
      <c r="Y25" s="126" t="s">
        <v>46</v>
      </c>
      <c r="Z25" s="126" t="s">
        <v>45</v>
      </c>
      <c r="AA25" s="126" t="s">
        <v>160</v>
      </c>
      <c r="AB25" s="156" t="s">
        <v>340</v>
      </c>
      <c r="AC25" s="128"/>
      <c r="AE25" s="35"/>
      <c r="AP25" s="143" t="s">
        <v>330</v>
      </c>
      <c r="AR25" s="143" t="s">
        <v>331</v>
      </c>
    </row>
    <row r="26" spans="1:48" s="126" customFormat="1" ht="13.5" customHeight="1">
      <c r="A26" s="156" t="s">
        <v>88</v>
      </c>
      <c r="B26" s="156" t="s">
        <v>184</v>
      </c>
      <c r="C26" s="156">
        <v>2020</v>
      </c>
      <c r="D26" s="157" t="s">
        <v>185</v>
      </c>
      <c r="E26" s="156" t="s">
        <v>369</v>
      </c>
      <c r="F26" s="156" t="s">
        <v>348</v>
      </c>
      <c r="G26" s="156" t="s">
        <v>39</v>
      </c>
      <c r="H26" s="156" t="s">
        <v>40</v>
      </c>
      <c r="I26" s="126" t="s">
        <v>41</v>
      </c>
      <c r="J26" s="126" t="s">
        <v>42</v>
      </c>
      <c r="K26" s="126" t="s">
        <v>43</v>
      </c>
      <c r="L26" s="126">
        <v>1</v>
      </c>
      <c r="N26" s="126">
        <v>4</v>
      </c>
      <c r="O26" s="126">
        <v>0.2</v>
      </c>
      <c r="P26" s="128">
        <v>0.2</v>
      </c>
      <c r="Q26" s="152">
        <f t="shared" si="0"/>
        <v>0.2</v>
      </c>
      <c r="R26" s="126">
        <v>14.6</v>
      </c>
      <c r="S26" s="126">
        <v>90</v>
      </c>
      <c r="T26" s="138">
        <f t="shared" si="1"/>
        <v>36</v>
      </c>
      <c r="U26" s="126">
        <v>358</v>
      </c>
      <c r="V26" s="158">
        <f t="shared" si="2"/>
        <v>3222</v>
      </c>
      <c r="W26" s="126">
        <v>13</v>
      </c>
      <c r="X26" s="126" t="s">
        <v>63</v>
      </c>
      <c r="Y26" s="126" t="s">
        <v>46</v>
      </c>
      <c r="Z26" s="126" t="s">
        <v>45</v>
      </c>
      <c r="AA26" s="126" t="s">
        <v>160</v>
      </c>
      <c r="AB26" s="156" t="s">
        <v>340</v>
      </c>
      <c r="AC26" s="128"/>
      <c r="AD26" s="128"/>
      <c r="AE26" s="35"/>
      <c r="AP26" s="143" t="s">
        <v>145</v>
      </c>
      <c r="AR26" s="139" t="s">
        <v>123</v>
      </c>
    </row>
    <row r="27" spans="1:48" s="126" customFormat="1" ht="13.5" customHeight="1">
      <c r="A27" s="156" t="s">
        <v>88</v>
      </c>
      <c r="B27" s="156" t="s">
        <v>184</v>
      </c>
      <c r="C27" s="156">
        <v>2020</v>
      </c>
      <c r="D27" s="157" t="s">
        <v>185</v>
      </c>
      <c r="E27" s="156" t="s">
        <v>369</v>
      </c>
      <c r="F27" s="156" t="s">
        <v>348</v>
      </c>
      <c r="G27" s="156" t="s">
        <v>39</v>
      </c>
      <c r="H27" s="156" t="s">
        <v>40</v>
      </c>
      <c r="I27" s="126" t="s">
        <v>41</v>
      </c>
      <c r="J27" s="126" t="s">
        <v>42</v>
      </c>
      <c r="K27" s="126" t="s">
        <v>43</v>
      </c>
      <c r="L27" s="126">
        <v>2</v>
      </c>
      <c r="N27" s="126">
        <v>4</v>
      </c>
      <c r="O27" s="126">
        <v>0.2</v>
      </c>
      <c r="P27" s="128">
        <v>0.2</v>
      </c>
      <c r="Q27" s="152">
        <f t="shared" si="0"/>
        <v>0.2</v>
      </c>
      <c r="R27" s="126">
        <v>14.6</v>
      </c>
      <c r="S27" s="126">
        <v>89.5</v>
      </c>
      <c r="T27" s="138">
        <f t="shared" si="1"/>
        <v>36</v>
      </c>
      <c r="U27" s="126">
        <v>358</v>
      </c>
      <c r="V27" s="158">
        <f t="shared" si="2"/>
        <v>3222</v>
      </c>
      <c r="W27" s="126">
        <v>13</v>
      </c>
      <c r="X27" s="126" t="s">
        <v>63</v>
      </c>
      <c r="Y27" s="126" t="s">
        <v>46</v>
      </c>
      <c r="Z27" s="126" t="s">
        <v>45</v>
      </c>
      <c r="AA27" s="126" t="s">
        <v>160</v>
      </c>
      <c r="AB27" s="156" t="s">
        <v>340</v>
      </c>
      <c r="AC27" s="128"/>
      <c r="AD27" s="128"/>
      <c r="AE27" s="144"/>
      <c r="AP27" s="143" t="s">
        <v>146</v>
      </c>
      <c r="AR27" s="139" t="s">
        <v>147</v>
      </c>
    </row>
    <row r="28" spans="1:48" s="126" customFormat="1" ht="13.5" customHeight="1">
      <c r="A28" s="156" t="s">
        <v>88</v>
      </c>
      <c r="B28" s="156" t="s">
        <v>184</v>
      </c>
      <c r="C28" s="156">
        <v>2020</v>
      </c>
      <c r="D28" s="157" t="s">
        <v>185</v>
      </c>
      <c r="E28" s="156" t="s">
        <v>369</v>
      </c>
      <c r="F28" s="156" t="s">
        <v>348</v>
      </c>
      <c r="G28" s="156" t="s">
        <v>39</v>
      </c>
      <c r="H28" s="156" t="s">
        <v>40</v>
      </c>
      <c r="I28" s="126" t="s">
        <v>41</v>
      </c>
      <c r="J28" s="126" t="s">
        <v>42</v>
      </c>
      <c r="K28" s="126" t="s">
        <v>43</v>
      </c>
      <c r="L28" s="126">
        <v>3</v>
      </c>
      <c r="N28" s="126">
        <v>4</v>
      </c>
      <c r="O28" s="126">
        <v>0.7</v>
      </c>
      <c r="P28" s="128">
        <v>0.6</v>
      </c>
      <c r="Q28" s="152">
        <f t="shared" si="0"/>
        <v>0.64999999999999991</v>
      </c>
      <c r="R28" s="126">
        <v>14.2</v>
      </c>
      <c r="S28" s="126">
        <v>86</v>
      </c>
      <c r="T28" s="138">
        <f t="shared" si="1"/>
        <v>36</v>
      </c>
      <c r="U28" s="126">
        <v>358</v>
      </c>
      <c r="V28" s="158">
        <f t="shared" si="2"/>
        <v>3222</v>
      </c>
      <c r="W28" s="126">
        <v>13</v>
      </c>
      <c r="X28" s="126" t="s">
        <v>63</v>
      </c>
      <c r="Y28" s="126" t="s">
        <v>46</v>
      </c>
      <c r="Z28" s="126" t="s">
        <v>45</v>
      </c>
      <c r="AA28" s="126" t="s">
        <v>160</v>
      </c>
      <c r="AB28" s="156" t="s">
        <v>340</v>
      </c>
      <c r="AC28" s="128"/>
      <c r="AD28" s="128"/>
      <c r="AP28" s="143" t="s">
        <v>148</v>
      </c>
      <c r="AR28" s="139" t="s">
        <v>149</v>
      </c>
    </row>
    <row r="29" spans="1:48" s="126" customFormat="1" ht="13.5" customHeight="1">
      <c r="A29" s="156" t="s">
        <v>88</v>
      </c>
      <c r="B29" s="156" t="s">
        <v>184</v>
      </c>
      <c r="C29" s="156">
        <v>2020</v>
      </c>
      <c r="D29" s="157" t="s">
        <v>185</v>
      </c>
      <c r="E29" s="156" t="s">
        <v>369</v>
      </c>
      <c r="F29" s="156" t="s">
        <v>348</v>
      </c>
      <c r="G29" s="156" t="s">
        <v>39</v>
      </c>
      <c r="H29" s="156" t="s">
        <v>51</v>
      </c>
      <c r="I29" s="126" t="s">
        <v>41</v>
      </c>
      <c r="J29" s="126" t="s">
        <v>244</v>
      </c>
      <c r="K29" s="126" t="s">
        <v>86</v>
      </c>
      <c r="L29" s="126">
        <v>1</v>
      </c>
      <c r="N29" s="126">
        <v>5</v>
      </c>
      <c r="O29" s="126">
        <v>1</v>
      </c>
      <c r="P29" s="126">
        <v>1.1000000000000001</v>
      </c>
      <c r="Q29" s="152">
        <f t="shared" si="0"/>
        <v>1.05</v>
      </c>
      <c r="R29" s="126">
        <v>13.9</v>
      </c>
      <c r="S29" s="126">
        <v>81</v>
      </c>
      <c r="T29" s="138">
        <f t="shared" si="1"/>
        <v>39</v>
      </c>
      <c r="U29" s="126">
        <v>398</v>
      </c>
      <c r="V29" s="158">
        <f t="shared" si="2"/>
        <v>3104.3999999999996</v>
      </c>
      <c r="W29" s="126">
        <v>13</v>
      </c>
      <c r="X29" s="126" t="s">
        <v>63</v>
      </c>
      <c r="Y29" s="126" t="s">
        <v>46</v>
      </c>
      <c r="Z29" s="126" t="s">
        <v>45</v>
      </c>
      <c r="AA29" s="126" t="s">
        <v>160</v>
      </c>
      <c r="AB29" s="156" t="s">
        <v>340</v>
      </c>
      <c r="AC29" s="128"/>
      <c r="AP29" s="143" t="s">
        <v>150</v>
      </c>
      <c r="AR29" s="144" t="s">
        <v>370</v>
      </c>
    </row>
    <row r="30" spans="1:48" s="126" customFormat="1" ht="13.5" customHeight="1">
      <c r="A30" s="156" t="s">
        <v>88</v>
      </c>
      <c r="B30" s="156" t="s">
        <v>184</v>
      </c>
      <c r="C30" s="156">
        <v>2020</v>
      </c>
      <c r="D30" s="157" t="s">
        <v>185</v>
      </c>
      <c r="E30" s="156" t="s">
        <v>369</v>
      </c>
      <c r="F30" s="156" t="s">
        <v>348</v>
      </c>
      <c r="G30" s="156" t="s">
        <v>39</v>
      </c>
      <c r="H30" s="156" t="s">
        <v>51</v>
      </c>
      <c r="I30" s="126" t="s">
        <v>41</v>
      </c>
      <c r="J30" s="126" t="s">
        <v>244</v>
      </c>
      <c r="K30" s="126" t="s">
        <v>86</v>
      </c>
      <c r="L30" s="126">
        <v>2</v>
      </c>
      <c r="N30" s="126">
        <v>5</v>
      </c>
      <c r="O30" s="126">
        <v>1</v>
      </c>
      <c r="P30" s="128">
        <v>0.75</v>
      </c>
      <c r="Q30" s="152">
        <f t="shared" si="0"/>
        <v>0.875</v>
      </c>
      <c r="R30" s="126">
        <v>15</v>
      </c>
      <c r="S30" s="126">
        <v>84</v>
      </c>
      <c r="T30" s="138">
        <f t="shared" si="1"/>
        <v>36</v>
      </c>
      <c r="U30" s="126">
        <v>398</v>
      </c>
      <c r="V30" s="158">
        <f t="shared" si="2"/>
        <v>2865.6</v>
      </c>
      <c r="W30" s="126">
        <v>13</v>
      </c>
      <c r="X30" s="126" t="s">
        <v>63</v>
      </c>
      <c r="Y30" s="126" t="s">
        <v>46</v>
      </c>
      <c r="Z30" s="126" t="s">
        <v>45</v>
      </c>
      <c r="AA30" s="126" t="s">
        <v>160</v>
      </c>
      <c r="AB30" s="156" t="s">
        <v>340</v>
      </c>
      <c r="AC30" s="128"/>
    </row>
    <row r="31" spans="1:48" s="126" customFormat="1" ht="13.5" customHeight="1">
      <c r="A31" s="156" t="s">
        <v>88</v>
      </c>
      <c r="B31" s="156" t="s">
        <v>184</v>
      </c>
      <c r="C31" s="156">
        <v>2020</v>
      </c>
      <c r="D31" s="157" t="s">
        <v>185</v>
      </c>
      <c r="E31" s="156" t="s">
        <v>369</v>
      </c>
      <c r="F31" s="156" t="s">
        <v>348</v>
      </c>
      <c r="G31" s="156" t="s">
        <v>39</v>
      </c>
      <c r="H31" s="156" t="s">
        <v>51</v>
      </c>
      <c r="I31" s="126" t="s">
        <v>41</v>
      </c>
      <c r="J31" s="126" t="s">
        <v>244</v>
      </c>
      <c r="K31" s="126" t="s">
        <v>86</v>
      </c>
      <c r="L31" s="126">
        <v>3</v>
      </c>
      <c r="N31" s="126">
        <v>5</v>
      </c>
      <c r="O31" s="126">
        <v>0.75</v>
      </c>
      <c r="P31" s="126">
        <v>1</v>
      </c>
      <c r="Q31" s="152">
        <f t="shared" si="0"/>
        <v>0.875</v>
      </c>
      <c r="R31" s="126">
        <v>15.3</v>
      </c>
      <c r="S31" s="126">
        <v>94.5</v>
      </c>
      <c r="T31" s="138">
        <f t="shared" si="1"/>
        <v>36</v>
      </c>
      <c r="U31" s="126">
        <v>398</v>
      </c>
      <c r="V31" s="158">
        <f t="shared" si="2"/>
        <v>2865.6</v>
      </c>
      <c r="W31" s="126">
        <v>13</v>
      </c>
      <c r="X31" s="126" t="s">
        <v>63</v>
      </c>
      <c r="Y31" s="126" t="s">
        <v>46</v>
      </c>
      <c r="Z31" s="126" t="s">
        <v>45</v>
      </c>
      <c r="AA31" s="126" t="s">
        <v>160</v>
      </c>
      <c r="AB31" s="156" t="s">
        <v>340</v>
      </c>
      <c r="AC31" s="128"/>
    </row>
    <row r="32" spans="1:48" s="126" customFormat="1" ht="13.5" customHeight="1">
      <c r="A32" s="156" t="s">
        <v>88</v>
      </c>
      <c r="B32" s="156" t="s">
        <v>184</v>
      </c>
      <c r="C32" s="156">
        <v>2020</v>
      </c>
      <c r="D32" s="157" t="s">
        <v>185</v>
      </c>
      <c r="E32" s="156" t="s">
        <v>369</v>
      </c>
      <c r="F32" s="156" t="s">
        <v>348</v>
      </c>
      <c r="G32" s="156" t="s">
        <v>39</v>
      </c>
      <c r="H32" s="156" t="s">
        <v>205</v>
      </c>
      <c r="I32" s="126" t="s">
        <v>41</v>
      </c>
      <c r="J32" s="126" t="s">
        <v>42</v>
      </c>
      <c r="K32" s="126" t="s">
        <v>78</v>
      </c>
      <c r="L32" s="126">
        <v>1</v>
      </c>
      <c r="N32" s="126">
        <v>1</v>
      </c>
      <c r="O32" s="126">
        <v>0.5</v>
      </c>
      <c r="P32" s="126">
        <v>0.5</v>
      </c>
      <c r="Q32" s="152">
        <f t="shared" si="0"/>
        <v>0.5</v>
      </c>
      <c r="R32" s="126">
        <v>15.9</v>
      </c>
      <c r="S32" s="126">
        <v>139.5</v>
      </c>
      <c r="T32" s="138">
        <f t="shared" si="1"/>
        <v>22</v>
      </c>
      <c r="U32" s="126">
        <v>198</v>
      </c>
      <c r="V32" s="158">
        <f t="shared" si="2"/>
        <v>4356</v>
      </c>
      <c r="W32" s="126">
        <v>13</v>
      </c>
      <c r="X32" s="126" t="s">
        <v>63</v>
      </c>
      <c r="Y32" s="126" t="s">
        <v>46</v>
      </c>
      <c r="Z32" s="126" t="s">
        <v>45</v>
      </c>
      <c r="AA32" s="126" t="s">
        <v>160</v>
      </c>
      <c r="AB32" s="156" t="s">
        <v>340</v>
      </c>
      <c r="AC32" s="128"/>
    </row>
    <row r="33" spans="1:29" s="126" customFormat="1" ht="13.5" customHeight="1">
      <c r="A33" s="156" t="s">
        <v>88</v>
      </c>
      <c r="B33" s="156" t="s">
        <v>184</v>
      </c>
      <c r="C33" s="156">
        <v>2020</v>
      </c>
      <c r="D33" s="157" t="s">
        <v>185</v>
      </c>
      <c r="E33" s="156" t="s">
        <v>369</v>
      </c>
      <c r="F33" s="156" t="s">
        <v>348</v>
      </c>
      <c r="G33" s="156" t="s">
        <v>39</v>
      </c>
      <c r="H33" s="156" t="s">
        <v>205</v>
      </c>
      <c r="I33" s="126" t="s">
        <v>41</v>
      </c>
      <c r="J33" s="126" t="s">
        <v>42</v>
      </c>
      <c r="K33" s="126" t="s">
        <v>78</v>
      </c>
      <c r="L33" s="126">
        <v>2</v>
      </c>
      <c r="N33" s="126">
        <v>1</v>
      </c>
      <c r="O33" s="126">
        <v>0.5</v>
      </c>
      <c r="P33" s="126">
        <v>0.5</v>
      </c>
      <c r="Q33" s="152">
        <f t="shared" si="0"/>
        <v>0.5</v>
      </c>
      <c r="R33" s="126">
        <v>14.6</v>
      </c>
      <c r="S33" s="126">
        <v>145.5</v>
      </c>
      <c r="T33" s="138">
        <f t="shared" si="1"/>
        <v>22</v>
      </c>
      <c r="U33" s="126">
        <v>198</v>
      </c>
      <c r="V33" s="158">
        <f t="shared" si="2"/>
        <v>4356</v>
      </c>
      <c r="W33" s="126">
        <v>13</v>
      </c>
      <c r="X33" s="126" t="s">
        <v>63</v>
      </c>
      <c r="Y33" s="126" t="s">
        <v>46</v>
      </c>
      <c r="Z33" s="126" t="s">
        <v>45</v>
      </c>
      <c r="AA33" s="126" t="s">
        <v>160</v>
      </c>
      <c r="AB33" s="156" t="s">
        <v>340</v>
      </c>
      <c r="AC33" s="128"/>
    </row>
    <row r="34" spans="1:29" s="126" customFormat="1" ht="13.5" customHeight="1">
      <c r="A34" s="156" t="s">
        <v>88</v>
      </c>
      <c r="B34" s="156" t="s">
        <v>184</v>
      </c>
      <c r="C34" s="156">
        <v>2020</v>
      </c>
      <c r="D34" s="157" t="s">
        <v>185</v>
      </c>
      <c r="E34" s="156" t="s">
        <v>369</v>
      </c>
      <c r="F34" s="156" t="s">
        <v>348</v>
      </c>
      <c r="G34" s="156" t="s">
        <v>39</v>
      </c>
      <c r="H34" s="156" t="s">
        <v>205</v>
      </c>
      <c r="I34" s="126" t="s">
        <v>41</v>
      </c>
      <c r="J34" s="126" t="s">
        <v>42</v>
      </c>
      <c r="K34" s="126" t="s">
        <v>78</v>
      </c>
      <c r="L34" s="126">
        <v>3</v>
      </c>
      <c r="N34" s="126">
        <v>1</v>
      </c>
      <c r="O34" s="126">
        <v>0.5</v>
      </c>
      <c r="P34" s="126">
        <v>0.2</v>
      </c>
      <c r="Q34" s="152">
        <f t="shared" si="0"/>
        <v>0.35</v>
      </c>
      <c r="R34" s="126">
        <v>15.3</v>
      </c>
      <c r="S34" s="126">
        <v>138</v>
      </c>
      <c r="T34" s="138">
        <f t="shared" si="1"/>
        <v>22</v>
      </c>
      <c r="U34" s="126">
        <v>198</v>
      </c>
      <c r="V34" s="158">
        <f t="shared" si="2"/>
        <v>4356</v>
      </c>
      <c r="W34" s="126">
        <v>13</v>
      </c>
      <c r="X34" s="126" t="s">
        <v>63</v>
      </c>
      <c r="Y34" s="126" t="s">
        <v>46</v>
      </c>
      <c r="Z34" s="126" t="s">
        <v>45</v>
      </c>
      <c r="AA34" s="126" t="s">
        <v>160</v>
      </c>
      <c r="AB34" s="156" t="s">
        <v>340</v>
      </c>
      <c r="AC34" s="128"/>
    </row>
    <row r="35" spans="1:29" s="126" customFormat="1" ht="13.5" customHeight="1">
      <c r="A35" s="156" t="s">
        <v>88</v>
      </c>
      <c r="B35" s="156" t="s">
        <v>184</v>
      </c>
      <c r="C35" s="156">
        <v>2020</v>
      </c>
      <c r="D35" s="157" t="s">
        <v>185</v>
      </c>
      <c r="E35" s="156" t="s">
        <v>369</v>
      </c>
      <c r="F35" s="156" t="s">
        <v>348</v>
      </c>
      <c r="G35" s="156" t="s">
        <v>39</v>
      </c>
      <c r="H35" s="156" t="s">
        <v>59</v>
      </c>
      <c r="I35" s="126" t="s">
        <v>41</v>
      </c>
      <c r="J35" s="126" t="s">
        <v>121</v>
      </c>
      <c r="K35" s="126" t="s">
        <v>62</v>
      </c>
      <c r="L35" s="126">
        <v>1</v>
      </c>
      <c r="N35" s="126">
        <v>5</v>
      </c>
      <c r="O35" s="126">
        <v>0.5</v>
      </c>
      <c r="P35" s="126">
        <v>0.2</v>
      </c>
      <c r="Q35" s="152">
        <f t="shared" si="0"/>
        <v>0.35</v>
      </c>
      <c r="R35" s="126">
        <v>14.3</v>
      </c>
      <c r="S35" s="126">
        <v>86.5</v>
      </c>
      <c r="T35" s="138">
        <f t="shared" si="1"/>
        <v>36</v>
      </c>
      <c r="U35" s="126">
        <v>398</v>
      </c>
      <c r="V35" s="158">
        <f t="shared" si="2"/>
        <v>2865.6</v>
      </c>
      <c r="W35" s="126">
        <v>13</v>
      </c>
      <c r="X35" s="126" t="s">
        <v>63</v>
      </c>
      <c r="Y35" s="126" t="s">
        <v>46</v>
      </c>
      <c r="Z35" s="126" t="s">
        <v>45</v>
      </c>
      <c r="AA35" s="126" t="s">
        <v>160</v>
      </c>
      <c r="AB35" s="156" t="s">
        <v>340</v>
      </c>
      <c r="AC35" s="128"/>
    </row>
    <row r="36" spans="1:29" s="126" customFormat="1" ht="13.5" customHeight="1">
      <c r="A36" s="156" t="s">
        <v>88</v>
      </c>
      <c r="B36" s="156" t="s">
        <v>184</v>
      </c>
      <c r="C36" s="156">
        <v>2020</v>
      </c>
      <c r="D36" s="157" t="s">
        <v>185</v>
      </c>
      <c r="E36" s="156" t="s">
        <v>369</v>
      </c>
      <c r="F36" s="156" t="s">
        <v>348</v>
      </c>
      <c r="G36" s="156" t="s">
        <v>39</v>
      </c>
      <c r="H36" s="156" t="s">
        <v>59</v>
      </c>
      <c r="I36" s="126" t="s">
        <v>41</v>
      </c>
      <c r="J36" s="126" t="s">
        <v>121</v>
      </c>
      <c r="K36" s="126" t="s">
        <v>62</v>
      </c>
      <c r="L36" s="126">
        <v>2</v>
      </c>
      <c r="N36" s="126">
        <v>5</v>
      </c>
      <c r="O36" s="126">
        <v>0.5</v>
      </c>
      <c r="P36" s="126">
        <v>0.5</v>
      </c>
      <c r="Q36" s="152">
        <f t="shared" si="0"/>
        <v>0.5</v>
      </c>
      <c r="R36" s="126">
        <v>14.6</v>
      </c>
      <c r="S36" s="126">
        <v>78.5</v>
      </c>
      <c r="T36" s="138">
        <f t="shared" si="1"/>
        <v>39</v>
      </c>
      <c r="U36" s="126">
        <v>398</v>
      </c>
      <c r="V36" s="158">
        <f t="shared" si="2"/>
        <v>3104.3999999999996</v>
      </c>
      <c r="W36" s="126">
        <v>13</v>
      </c>
      <c r="X36" s="126" t="s">
        <v>63</v>
      </c>
      <c r="Y36" s="126" t="s">
        <v>46</v>
      </c>
      <c r="Z36" s="126" t="s">
        <v>45</v>
      </c>
      <c r="AA36" s="126" t="s">
        <v>160</v>
      </c>
      <c r="AB36" s="156" t="s">
        <v>340</v>
      </c>
      <c r="AC36" s="128"/>
    </row>
    <row r="37" spans="1:29" s="126" customFormat="1" ht="13.5" customHeight="1">
      <c r="A37" s="156" t="s">
        <v>88</v>
      </c>
      <c r="B37" s="156" t="s">
        <v>184</v>
      </c>
      <c r="C37" s="156">
        <v>2020</v>
      </c>
      <c r="D37" s="157" t="s">
        <v>185</v>
      </c>
      <c r="E37" s="156" t="s">
        <v>369</v>
      </c>
      <c r="F37" s="156" t="s">
        <v>348</v>
      </c>
      <c r="G37" s="156" t="s">
        <v>39</v>
      </c>
      <c r="H37" s="156" t="s">
        <v>59</v>
      </c>
      <c r="I37" s="126" t="s">
        <v>41</v>
      </c>
      <c r="J37" s="126" t="s">
        <v>121</v>
      </c>
      <c r="K37" s="126" t="s">
        <v>62</v>
      </c>
      <c r="L37" s="126">
        <v>3</v>
      </c>
      <c r="N37" s="126">
        <v>5</v>
      </c>
      <c r="O37" s="126">
        <v>0.2</v>
      </c>
      <c r="P37" s="126">
        <v>0.2</v>
      </c>
      <c r="Q37" s="152">
        <f t="shared" si="0"/>
        <v>0.2</v>
      </c>
      <c r="R37" s="126">
        <v>14.8</v>
      </c>
      <c r="S37" s="126">
        <v>78</v>
      </c>
      <c r="T37" s="138">
        <f t="shared" si="1"/>
        <v>39</v>
      </c>
      <c r="U37" s="126">
        <v>398</v>
      </c>
      <c r="V37" s="158">
        <f t="shared" si="2"/>
        <v>3104.3999999999996</v>
      </c>
      <c r="W37" s="126">
        <v>13</v>
      </c>
      <c r="X37" s="126" t="s">
        <v>63</v>
      </c>
      <c r="Y37" s="126" t="s">
        <v>46</v>
      </c>
      <c r="Z37" s="126" t="s">
        <v>45</v>
      </c>
      <c r="AA37" s="126" t="s">
        <v>160</v>
      </c>
      <c r="AB37" s="156" t="s">
        <v>340</v>
      </c>
      <c r="AC37" s="128"/>
    </row>
    <row r="38" spans="1:29" s="126" customFormat="1" ht="13.5" customHeight="1">
      <c r="A38" s="156" t="s">
        <v>88</v>
      </c>
      <c r="B38" s="156" t="s">
        <v>184</v>
      </c>
      <c r="C38" s="156">
        <v>2020</v>
      </c>
      <c r="D38" s="157" t="s">
        <v>185</v>
      </c>
      <c r="E38" s="156" t="s">
        <v>349</v>
      </c>
      <c r="F38" s="156" t="s">
        <v>350</v>
      </c>
      <c r="G38" s="156" t="s">
        <v>39</v>
      </c>
      <c r="H38" s="156" t="s">
        <v>40</v>
      </c>
      <c r="I38" s="126" t="s">
        <v>41</v>
      </c>
      <c r="J38" s="126" t="s">
        <v>42</v>
      </c>
      <c r="K38" s="126" t="s">
        <v>43</v>
      </c>
      <c r="L38" s="126">
        <v>1</v>
      </c>
      <c r="N38" s="126">
        <v>3</v>
      </c>
      <c r="O38" s="126">
        <v>0.6</v>
      </c>
      <c r="P38" s="126">
        <v>0.5</v>
      </c>
      <c r="Q38" s="152">
        <f t="shared" si="0"/>
        <v>0.55000000000000004</v>
      </c>
      <c r="R38" s="126">
        <v>14.1</v>
      </c>
      <c r="S38" s="126">
        <v>116.5</v>
      </c>
      <c r="T38" s="138">
        <f t="shared" si="1"/>
        <v>30</v>
      </c>
      <c r="U38" s="126">
        <v>78</v>
      </c>
      <c r="V38" s="158">
        <f t="shared" si="2"/>
        <v>780</v>
      </c>
      <c r="W38" s="126">
        <v>3</v>
      </c>
      <c r="X38" s="126" t="s">
        <v>44</v>
      </c>
      <c r="Y38" s="126" t="s">
        <v>46</v>
      </c>
      <c r="Z38" s="126" t="s">
        <v>45</v>
      </c>
      <c r="AA38" s="126" t="s">
        <v>160</v>
      </c>
      <c r="AB38" s="156" t="s">
        <v>340</v>
      </c>
      <c r="AC38" s="128"/>
    </row>
    <row r="39" spans="1:29" s="126" customFormat="1" ht="13.5" customHeight="1">
      <c r="A39" s="156" t="s">
        <v>88</v>
      </c>
      <c r="B39" s="156" t="s">
        <v>184</v>
      </c>
      <c r="C39" s="156">
        <v>2020</v>
      </c>
      <c r="D39" s="157" t="s">
        <v>185</v>
      </c>
      <c r="E39" s="156" t="s">
        <v>349</v>
      </c>
      <c r="F39" s="156" t="s">
        <v>350</v>
      </c>
      <c r="G39" s="156" t="s">
        <v>39</v>
      </c>
      <c r="H39" s="156" t="s">
        <v>40</v>
      </c>
      <c r="I39" s="126" t="s">
        <v>41</v>
      </c>
      <c r="J39" s="126" t="s">
        <v>42</v>
      </c>
      <c r="K39" s="126" t="s">
        <v>43</v>
      </c>
      <c r="L39" s="126">
        <v>2</v>
      </c>
      <c r="N39" s="126">
        <v>3</v>
      </c>
      <c r="O39" s="126">
        <v>0.5</v>
      </c>
      <c r="P39" s="126">
        <v>0.6</v>
      </c>
      <c r="Q39" s="152">
        <f t="shared" si="0"/>
        <v>0.55000000000000004</v>
      </c>
      <c r="R39" s="126">
        <v>14.6</v>
      </c>
      <c r="S39" s="126">
        <v>121.5</v>
      </c>
      <c r="T39" s="138">
        <f t="shared" si="1"/>
        <v>27</v>
      </c>
      <c r="U39" s="126">
        <v>78</v>
      </c>
      <c r="V39" s="158">
        <f t="shared" si="2"/>
        <v>702</v>
      </c>
      <c r="W39" s="126">
        <v>3</v>
      </c>
      <c r="X39" s="126" t="s">
        <v>44</v>
      </c>
      <c r="Y39" s="126" t="s">
        <v>46</v>
      </c>
      <c r="Z39" s="126" t="s">
        <v>45</v>
      </c>
      <c r="AA39" s="126" t="s">
        <v>160</v>
      </c>
      <c r="AB39" s="156" t="s">
        <v>340</v>
      </c>
      <c r="AC39" s="128"/>
    </row>
    <row r="40" spans="1:29" s="126" customFormat="1" ht="13.5" customHeight="1">
      <c r="A40" s="156" t="s">
        <v>88</v>
      </c>
      <c r="B40" s="156" t="s">
        <v>184</v>
      </c>
      <c r="C40" s="156">
        <v>2020</v>
      </c>
      <c r="D40" s="157" t="s">
        <v>185</v>
      </c>
      <c r="E40" s="156" t="s">
        <v>349</v>
      </c>
      <c r="F40" s="156" t="s">
        <v>350</v>
      </c>
      <c r="G40" s="156" t="s">
        <v>39</v>
      </c>
      <c r="H40" s="156" t="s">
        <v>40</v>
      </c>
      <c r="I40" s="126" t="s">
        <v>41</v>
      </c>
      <c r="J40" s="126" t="s">
        <v>42</v>
      </c>
      <c r="K40" s="126" t="s">
        <v>43</v>
      </c>
      <c r="L40" s="126">
        <v>3</v>
      </c>
      <c r="N40" s="126">
        <v>3</v>
      </c>
      <c r="O40" s="126">
        <v>0.7</v>
      </c>
      <c r="P40" s="126">
        <v>0.65</v>
      </c>
      <c r="Q40" s="152">
        <f t="shared" si="0"/>
        <v>0.67500000000000004</v>
      </c>
      <c r="R40" s="126">
        <v>14.5</v>
      </c>
      <c r="S40" s="126">
        <v>121.5</v>
      </c>
      <c r="T40" s="138">
        <f t="shared" si="1"/>
        <v>27</v>
      </c>
      <c r="U40" s="126">
        <v>78</v>
      </c>
      <c r="V40" s="158">
        <f t="shared" si="2"/>
        <v>702</v>
      </c>
      <c r="W40" s="126">
        <v>3</v>
      </c>
      <c r="X40" s="126" t="s">
        <v>44</v>
      </c>
      <c r="Y40" s="126" t="s">
        <v>46</v>
      </c>
      <c r="Z40" s="126" t="s">
        <v>45</v>
      </c>
      <c r="AA40" s="126" t="s">
        <v>160</v>
      </c>
      <c r="AB40" s="156" t="s">
        <v>340</v>
      </c>
      <c r="AC40" s="128"/>
    </row>
    <row r="41" spans="1:29" s="126" customFormat="1" ht="13.5" customHeight="1">
      <c r="A41" s="156" t="s">
        <v>88</v>
      </c>
      <c r="B41" s="156" t="s">
        <v>184</v>
      </c>
      <c r="C41" s="156">
        <v>2020</v>
      </c>
      <c r="D41" s="157" t="s">
        <v>185</v>
      </c>
      <c r="E41" s="156" t="s">
        <v>349</v>
      </c>
      <c r="F41" s="156" t="s">
        <v>350</v>
      </c>
      <c r="G41" s="156" t="s">
        <v>39</v>
      </c>
      <c r="H41" s="156" t="s">
        <v>51</v>
      </c>
      <c r="I41" s="126" t="s">
        <v>41</v>
      </c>
      <c r="J41" s="126" t="s">
        <v>121</v>
      </c>
      <c r="K41" s="126" t="s">
        <v>86</v>
      </c>
      <c r="L41" s="126">
        <v>1</v>
      </c>
      <c r="N41" s="126">
        <v>2</v>
      </c>
      <c r="O41" s="126">
        <v>0.2</v>
      </c>
      <c r="P41" s="126">
        <v>0.2</v>
      </c>
      <c r="Q41" s="152">
        <f t="shared" si="0"/>
        <v>0.2</v>
      </c>
      <c r="R41" s="126">
        <v>13.6</v>
      </c>
      <c r="S41" s="126">
        <v>170</v>
      </c>
      <c r="T41" s="138">
        <f t="shared" si="1"/>
        <v>18</v>
      </c>
      <c r="U41" s="126">
        <v>398</v>
      </c>
      <c r="V41" s="158">
        <f t="shared" si="2"/>
        <v>3582</v>
      </c>
      <c r="W41" s="126">
        <v>3</v>
      </c>
      <c r="X41" s="126" t="s">
        <v>44</v>
      </c>
      <c r="Y41" s="126" t="s">
        <v>46</v>
      </c>
      <c r="Z41" s="126" t="s">
        <v>45</v>
      </c>
      <c r="AA41" s="126" t="s">
        <v>160</v>
      </c>
      <c r="AB41" s="156" t="s">
        <v>340</v>
      </c>
      <c r="AC41" s="128"/>
    </row>
    <row r="42" spans="1:29" s="126" customFormat="1" ht="13.5" customHeight="1">
      <c r="A42" s="156" t="s">
        <v>88</v>
      </c>
      <c r="B42" s="156" t="s">
        <v>184</v>
      </c>
      <c r="C42" s="156">
        <v>2020</v>
      </c>
      <c r="D42" s="157" t="s">
        <v>185</v>
      </c>
      <c r="E42" s="156" t="s">
        <v>349</v>
      </c>
      <c r="F42" s="156" t="s">
        <v>350</v>
      </c>
      <c r="G42" s="156" t="s">
        <v>39</v>
      </c>
      <c r="H42" s="156" t="s">
        <v>51</v>
      </c>
      <c r="I42" s="126" t="s">
        <v>41</v>
      </c>
      <c r="J42" s="126" t="s">
        <v>121</v>
      </c>
      <c r="K42" s="126" t="s">
        <v>86</v>
      </c>
      <c r="L42" s="126">
        <v>2</v>
      </c>
      <c r="N42" s="126">
        <v>2</v>
      </c>
      <c r="O42" s="126">
        <v>0.5</v>
      </c>
      <c r="P42" s="126">
        <v>0.5</v>
      </c>
      <c r="Q42" s="152">
        <f t="shared" si="0"/>
        <v>0.5</v>
      </c>
      <c r="R42" s="126">
        <v>12.8</v>
      </c>
      <c r="S42" s="126">
        <v>176</v>
      </c>
      <c r="T42" s="138">
        <f t="shared" si="1"/>
        <v>18</v>
      </c>
      <c r="U42" s="126">
        <v>398</v>
      </c>
      <c r="V42" s="158">
        <f t="shared" si="2"/>
        <v>3582</v>
      </c>
      <c r="W42" s="126">
        <v>3</v>
      </c>
      <c r="X42" s="126" t="s">
        <v>44</v>
      </c>
      <c r="Y42" s="126" t="s">
        <v>46</v>
      </c>
      <c r="Z42" s="126" t="s">
        <v>45</v>
      </c>
      <c r="AA42" s="126" t="s">
        <v>160</v>
      </c>
      <c r="AB42" s="156" t="s">
        <v>340</v>
      </c>
      <c r="AC42" s="128"/>
    </row>
    <row r="43" spans="1:29" s="126" customFormat="1" ht="13.5" customHeight="1">
      <c r="A43" s="156" t="s">
        <v>88</v>
      </c>
      <c r="B43" s="156" t="s">
        <v>184</v>
      </c>
      <c r="C43" s="156">
        <v>2020</v>
      </c>
      <c r="D43" s="157" t="s">
        <v>185</v>
      </c>
      <c r="E43" s="156" t="s">
        <v>349</v>
      </c>
      <c r="F43" s="156" t="s">
        <v>350</v>
      </c>
      <c r="G43" s="156" t="s">
        <v>39</v>
      </c>
      <c r="H43" s="156" t="s">
        <v>51</v>
      </c>
      <c r="I43" s="126" t="s">
        <v>41</v>
      </c>
      <c r="J43" s="126" t="s">
        <v>121</v>
      </c>
      <c r="K43" s="126" t="s">
        <v>86</v>
      </c>
      <c r="L43" s="126">
        <v>3</v>
      </c>
      <c r="N43" s="126">
        <v>2</v>
      </c>
      <c r="O43" s="126">
        <v>0.5</v>
      </c>
      <c r="P43" s="126">
        <v>0.5</v>
      </c>
      <c r="Q43" s="152">
        <f t="shared" si="0"/>
        <v>0.5</v>
      </c>
      <c r="R43" s="126">
        <v>13.5</v>
      </c>
      <c r="S43" s="126">
        <v>165</v>
      </c>
      <c r="T43" s="138">
        <f t="shared" si="1"/>
        <v>18</v>
      </c>
      <c r="U43" s="126">
        <v>398</v>
      </c>
      <c r="V43" s="158">
        <f t="shared" si="2"/>
        <v>3582</v>
      </c>
      <c r="W43" s="126">
        <v>3</v>
      </c>
      <c r="X43" s="126" t="s">
        <v>44</v>
      </c>
      <c r="Y43" s="126" t="s">
        <v>46</v>
      </c>
      <c r="Z43" s="126" t="s">
        <v>45</v>
      </c>
      <c r="AA43" s="126" t="s">
        <v>160</v>
      </c>
      <c r="AB43" s="156" t="s">
        <v>340</v>
      </c>
      <c r="AC43" s="128"/>
    </row>
    <row r="44" spans="1:29" s="126" customFormat="1" ht="13.5" customHeight="1">
      <c r="A44" s="156" t="s">
        <v>88</v>
      </c>
      <c r="B44" s="156" t="s">
        <v>184</v>
      </c>
      <c r="C44" s="156">
        <v>2020</v>
      </c>
      <c r="D44" s="157" t="s">
        <v>185</v>
      </c>
      <c r="E44" s="156" t="s">
        <v>308</v>
      </c>
      <c r="F44" s="156" t="s">
        <v>350</v>
      </c>
      <c r="G44" s="156" t="s">
        <v>39</v>
      </c>
      <c r="H44" s="156" t="s">
        <v>40</v>
      </c>
      <c r="I44" s="126" t="s">
        <v>41</v>
      </c>
      <c r="J44" s="126" t="s">
        <v>42</v>
      </c>
      <c r="K44" s="126" t="s">
        <v>43</v>
      </c>
      <c r="L44" s="126">
        <v>1</v>
      </c>
      <c r="N44" s="126">
        <v>1</v>
      </c>
      <c r="O44" s="126">
        <v>0.55000000000000004</v>
      </c>
      <c r="P44" s="126">
        <v>0.5</v>
      </c>
      <c r="Q44" s="152">
        <f t="shared" si="0"/>
        <v>0.52500000000000002</v>
      </c>
      <c r="R44" s="126">
        <v>14.6</v>
      </c>
      <c r="S44" s="126">
        <v>114.5</v>
      </c>
      <c r="T44" s="138">
        <f t="shared" si="1"/>
        <v>30</v>
      </c>
      <c r="U44" s="126">
        <v>108</v>
      </c>
      <c r="V44" s="158">
        <f t="shared" si="2"/>
        <v>3240</v>
      </c>
      <c r="W44" s="126">
        <v>2</v>
      </c>
      <c r="X44" s="126" t="s">
        <v>63</v>
      </c>
      <c r="Y44" s="126" t="s">
        <v>45</v>
      </c>
      <c r="Z44" s="126" t="s">
        <v>160</v>
      </c>
      <c r="AA44" s="126" t="s">
        <v>46</v>
      </c>
      <c r="AB44" s="156" t="s">
        <v>340</v>
      </c>
    </row>
    <row r="45" spans="1:29" s="126" customFormat="1" ht="13.5" customHeight="1">
      <c r="A45" s="156" t="s">
        <v>88</v>
      </c>
      <c r="B45" s="156" t="s">
        <v>184</v>
      </c>
      <c r="C45" s="156">
        <v>2020</v>
      </c>
      <c r="D45" s="157" t="s">
        <v>185</v>
      </c>
      <c r="E45" s="156" t="s">
        <v>308</v>
      </c>
      <c r="F45" s="156" t="s">
        <v>350</v>
      </c>
      <c r="G45" s="156" t="s">
        <v>39</v>
      </c>
      <c r="H45" s="156" t="s">
        <v>40</v>
      </c>
      <c r="I45" s="126" t="s">
        <v>41</v>
      </c>
      <c r="J45" s="126" t="s">
        <v>42</v>
      </c>
      <c r="K45" s="126" t="s">
        <v>43</v>
      </c>
      <c r="L45" s="126">
        <v>2</v>
      </c>
      <c r="N45" s="126">
        <v>1</v>
      </c>
      <c r="O45" s="126">
        <v>0.55000000000000004</v>
      </c>
      <c r="P45" s="126">
        <v>0.5</v>
      </c>
      <c r="Q45" s="152">
        <f t="shared" si="0"/>
        <v>0.52500000000000002</v>
      </c>
      <c r="R45" s="126">
        <v>14.9</v>
      </c>
      <c r="S45" s="126">
        <v>122.5</v>
      </c>
      <c r="T45" s="138">
        <f t="shared" si="1"/>
        <v>27</v>
      </c>
      <c r="U45" s="126">
        <v>108</v>
      </c>
      <c r="V45" s="158">
        <f t="shared" si="2"/>
        <v>2916</v>
      </c>
      <c r="W45" s="126">
        <v>2</v>
      </c>
      <c r="X45" s="126" t="s">
        <v>63</v>
      </c>
      <c r="Y45" s="126" t="s">
        <v>45</v>
      </c>
      <c r="Z45" s="126" t="s">
        <v>160</v>
      </c>
      <c r="AA45" s="126" t="s">
        <v>46</v>
      </c>
      <c r="AB45" s="156" t="s">
        <v>340</v>
      </c>
    </row>
    <row r="46" spans="1:29" s="126" customFormat="1" ht="13.5" customHeight="1">
      <c r="A46" s="156" t="s">
        <v>88</v>
      </c>
      <c r="B46" s="156" t="s">
        <v>184</v>
      </c>
      <c r="C46" s="156">
        <v>2020</v>
      </c>
      <c r="D46" s="157" t="s">
        <v>185</v>
      </c>
      <c r="E46" s="156" t="s">
        <v>308</v>
      </c>
      <c r="F46" s="156" t="s">
        <v>350</v>
      </c>
      <c r="G46" s="156" t="s">
        <v>39</v>
      </c>
      <c r="H46" s="156" t="s">
        <v>40</v>
      </c>
      <c r="I46" s="126" t="s">
        <v>41</v>
      </c>
      <c r="J46" s="126" t="s">
        <v>42</v>
      </c>
      <c r="K46" s="126" t="s">
        <v>43</v>
      </c>
      <c r="L46" s="126">
        <v>3</v>
      </c>
      <c r="N46" s="126">
        <v>1</v>
      </c>
      <c r="O46" s="126">
        <v>0.6</v>
      </c>
      <c r="P46" s="126">
        <v>0.6</v>
      </c>
      <c r="Q46" s="152">
        <f t="shared" si="0"/>
        <v>0.6</v>
      </c>
      <c r="R46" s="126">
        <v>14.8</v>
      </c>
      <c r="S46" s="126">
        <v>118.5</v>
      </c>
      <c r="T46" s="138">
        <f t="shared" si="1"/>
        <v>30</v>
      </c>
      <c r="U46" s="126">
        <v>108</v>
      </c>
      <c r="V46" s="158">
        <f t="shared" si="2"/>
        <v>3240</v>
      </c>
      <c r="W46" s="126">
        <v>2</v>
      </c>
      <c r="X46" s="126" t="s">
        <v>63</v>
      </c>
      <c r="Y46" s="126" t="s">
        <v>45</v>
      </c>
      <c r="Z46" s="126" t="s">
        <v>160</v>
      </c>
      <c r="AA46" s="126" t="s">
        <v>46</v>
      </c>
      <c r="AB46" s="156" t="s">
        <v>340</v>
      </c>
    </row>
    <row r="47" spans="1:29" s="126" customFormat="1" ht="13.5" customHeight="1">
      <c r="A47" s="156" t="s">
        <v>88</v>
      </c>
      <c r="B47" s="156" t="s">
        <v>184</v>
      </c>
      <c r="C47" s="156">
        <v>2020</v>
      </c>
      <c r="D47" s="157" t="s">
        <v>185</v>
      </c>
      <c r="E47" s="156" t="s">
        <v>308</v>
      </c>
      <c r="F47" s="156" t="s">
        <v>350</v>
      </c>
      <c r="G47" s="156" t="s">
        <v>39</v>
      </c>
      <c r="H47" s="156" t="s">
        <v>205</v>
      </c>
      <c r="I47" s="126" t="s">
        <v>41</v>
      </c>
      <c r="J47" s="126" t="s">
        <v>42</v>
      </c>
      <c r="K47" s="126" t="s">
        <v>78</v>
      </c>
      <c r="L47" s="126">
        <v>1</v>
      </c>
      <c r="N47" s="126">
        <v>1</v>
      </c>
      <c r="O47" s="126">
        <v>0.2</v>
      </c>
      <c r="P47" s="126">
        <v>0.2</v>
      </c>
      <c r="Q47" s="152">
        <f t="shared" si="0"/>
        <v>0.2</v>
      </c>
      <c r="R47" s="126">
        <v>15.6</v>
      </c>
      <c r="S47" s="126">
        <v>113</v>
      </c>
      <c r="T47" s="138">
        <f t="shared" si="1"/>
        <v>30</v>
      </c>
      <c r="U47" s="126">
        <v>108</v>
      </c>
      <c r="V47" s="158">
        <f t="shared" si="2"/>
        <v>3240</v>
      </c>
      <c r="W47" s="126">
        <v>2</v>
      </c>
      <c r="X47" s="126" t="s">
        <v>63</v>
      </c>
      <c r="Y47" s="126" t="s">
        <v>45</v>
      </c>
      <c r="Z47" s="126" t="s">
        <v>160</v>
      </c>
      <c r="AA47" s="126" t="s">
        <v>46</v>
      </c>
      <c r="AB47" s="156" t="s">
        <v>340</v>
      </c>
      <c r="AC47" s="128"/>
    </row>
    <row r="48" spans="1:29" s="126" customFormat="1" ht="13.5" customHeight="1">
      <c r="A48" s="156" t="s">
        <v>88</v>
      </c>
      <c r="B48" s="156" t="s">
        <v>184</v>
      </c>
      <c r="C48" s="156">
        <v>2020</v>
      </c>
      <c r="D48" s="157" t="s">
        <v>185</v>
      </c>
      <c r="E48" s="156" t="s">
        <v>308</v>
      </c>
      <c r="F48" s="156" t="s">
        <v>350</v>
      </c>
      <c r="G48" s="156" t="s">
        <v>39</v>
      </c>
      <c r="H48" s="156" t="s">
        <v>205</v>
      </c>
      <c r="I48" s="126" t="s">
        <v>41</v>
      </c>
      <c r="J48" s="126" t="s">
        <v>42</v>
      </c>
      <c r="K48" s="126" t="s">
        <v>78</v>
      </c>
      <c r="L48" s="126">
        <v>2</v>
      </c>
      <c r="N48" s="126">
        <v>1</v>
      </c>
      <c r="O48" s="126">
        <v>0.2</v>
      </c>
      <c r="P48" s="126">
        <v>0.2</v>
      </c>
      <c r="Q48" s="152">
        <f t="shared" si="0"/>
        <v>0.2</v>
      </c>
      <c r="R48" s="126">
        <v>15.4</v>
      </c>
      <c r="S48" s="126">
        <v>108.5</v>
      </c>
      <c r="T48" s="138">
        <f t="shared" si="1"/>
        <v>33</v>
      </c>
      <c r="U48" s="126">
        <v>108</v>
      </c>
      <c r="V48" s="158">
        <f t="shared" si="2"/>
        <v>3564</v>
      </c>
      <c r="W48" s="126">
        <v>2</v>
      </c>
      <c r="X48" s="126" t="s">
        <v>63</v>
      </c>
      <c r="Y48" s="126" t="s">
        <v>45</v>
      </c>
      <c r="Z48" s="126" t="s">
        <v>160</v>
      </c>
      <c r="AA48" s="126" t="s">
        <v>46</v>
      </c>
      <c r="AB48" s="156" t="s">
        <v>340</v>
      </c>
      <c r="AC48" s="128"/>
    </row>
    <row r="49" spans="1:29" s="126" customFormat="1" ht="13.5" customHeight="1">
      <c r="A49" s="156" t="s">
        <v>88</v>
      </c>
      <c r="B49" s="156" t="s">
        <v>184</v>
      </c>
      <c r="C49" s="156">
        <v>2020</v>
      </c>
      <c r="D49" s="157" t="s">
        <v>185</v>
      </c>
      <c r="E49" s="156" t="s">
        <v>308</v>
      </c>
      <c r="F49" s="156" t="s">
        <v>350</v>
      </c>
      <c r="G49" s="156" t="s">
        <v>39</v>
      </c>
      <c r="H49" s="156" t="s">
        <v>205</v>
      </c>
      <c r="I49" s="126" t="s">
        <v>41</v>
      </c>
      <c r="J49" s="126" t="s">
        <v>42</v>
      </c>
      <c r="K49" s="126" t="s">
        <v>78</v>
      </c>
      <c r="L49" s="126">
        <v>3</v>
      </c>
      <c r="N49" s="126">
        <v>1</v>
      </c>
      <c r="O49" s="126">
        <v>0.5</v>
      </c>
      <c r="P49" s="126">
        <v>0.2</v>
      </c>
      <c r="Q49" s="152">
        <f t="shared" si="0"/>
        <v>0.35</v>
      </c>
      <c r="R49" s="126">
        <v>15.4</v>
      </c>
      <c r="S49" s="126">
        <v>109</v>
      </c>
      <c r="T49" s="138">
        <f t="shared" si="1"/>
        <v>33</v>
      </c>
      <c r="U49" s="126">
        <v>108</v>
      </c>
      <c r="V49" s="158">
        <f t="shared" si="2"/>
        <v>3564</v>
      </c>
      <c r="W49" s="126">
        <v>2</v>
      </c>
      <c r="X49" s="126" t="s">
        <v>63</v>
      </c>
      <c r="Y49" s="126" t="s">
        <v>45</v>
      </c>
      <c r="Z49" s="126" t="s">
        <v>160</v>
      </c>
      <c r="AA49" s="126" t="s">
        <v>46</v>
      </c>
      <c r="AB49" s="156" t="s">
        <v>340</v>
      </c>
      <c r="AC49" s="128"/>
    </row>
    <row r="50" spans="1:29" s="126" customFormat="1" ht="13.5" customHeight="1">
      <c r="A50" s="156" t="s">
        <v>88</v>
      </c>
      <c r="B50" s="156" t="s">
        <v>184</v>
      </c>
      <c r="C50" s="156">
        <v>2020</v>
      </c>
      <c r="D50" s="157" t="s">
        <v>185</v>
      </c>
      <c r="E50" s="156" t="s">
        <v>308</v>
      </c>
      <c r="F50" s="156" t="s">
        <v>350</v>
      </c>
      <c r="G50" s="156" t="s">
        <v>39</v>
      </c>
      <c r="H50" s="156" t="s">
        <v>205</v>
      </c>
      <c r="I50" s="126" t="s">
        <v>41</v>
      </c>
      <c r="J50" s="126" t="s">
        <v>42</v>
      </c>
      <c r="K50" s="126" t="s">
        <v>78</v>
      </c>
      <c r="L50" s="126">
        <v>1</v>
      </c>
      <c r="N50" s="126">
        <v>4</v>
      </c>
      <c r="O50" s="126">
        <v>0.5</v>
      </c>
      <c r="P50" s="126">
        <v>0.5</v>
      </c>
      <c r="Q50" s="152">
        <f t="shared" si="0"/>
        <v>0.5</v>
      </c>
      <c r="R50" s="126">
        <v>13.6</v>
      </c>
      <c r="S50" s="126">
        <v>80.5</v>
      </c>
      <c r="T50" s="138">
        <f t="shared" si="1"/>
        <v>39</v>
      </c>
      <c r="U50" s="126">
        <v>498</v>
      </c>
      <c r="V50" s="158">
        <f t="shared" si="2"/>
        <v>4855.5</v>
      </c>
      <c r="W50" s="126">
        <v>2</v>
      </c>
      <c r="X50" s="126" t="s">
        <v>63</v>
      </c>
      <c r="Y50" s="126" t="s">
        <v>45</v>
      </c>
      <c r="Z50" s="126" t="s">
        <v>160</v>
      </c>
      <c r="AA50" s="126" t="s">
        <v>46</v>
      </c>
      <c r="AB50" s="156" t="s">
        <v>340</v>
      </c>
      <c r="AC50" s="128"/>
    </row>
    <row r="51" spans="1:29" s="126" customFormat="1" ht="13.5" customHeight="1">
      <c r="A51" s="156" t="s">
        <v>88</v>
      </c>
      <c r="B51" s="156" t="s">
        <v>184</v>
      </c>
      <c r="C51" s="156">
        <v>2020</v>
      </c>
      <c r="D51" s="157" t="s">
        <v>185</v>
      </c>
      <c r="E51" s="156" t="s">
        <v>308</v>
      </c>
      <c r="F51" s="156" t="s">
        <v>350</v>
      </c>
      <c r="G51" s="156" t="s">
        <v>39</v>
      </c>
      <c r="H51" s="156" t="s">
        <v>205</v>
      </c>
      <c r="I51" s="126" t="s">
        <v>41</v>
      </c>
      <c r="J51" s="126" t="s">
        <v>42</v>
      </c>
      <c r="K51" s="126" t="s">
        <v>78</v>
      </c>
      <c r="L51" s="126">
        <v>2</v>
      </c>
      <c r="N51" s="126">
        <v>4</v>
      </c>
      <c r="O51" s="126">
        <v>0.55000000000000004</v>
      </c>
      <c r="P51" s="126">
        <v>0.5</v>
      </c>
      <c r="Q51" s="152">
        <f t="shared" si="0"/>
        <v>0.52500000000000002</v>
      </c>
      <c r="R51" s="126">
        <v>13</v>
      </c>
      <c r="S51" s="126">
        <v>82.5</v>
      </c>
      <c r="T51" s="138">
        <f t="shared" si="1"/>
        <v>39</v>
      </c>
      <c r="U51" s="126">
        <v>498</v>
      </c>
      <c r="V51" s="158">
        <f t="shared" si="2"/>
        <v>4855.5</v>
      </c>
      <c r="W51" s="126">
        <v>2</v>
      </c>
      <c r="X51" s="126" t="s">
        <v>63</v>
      </c>
      <c r="Y51" s="126" t="s">
        <v>45</v>
      </c>
      <c r="Z51" s="126" t="s">
        <v>160</v>
      </c>
      <c r="AA51" s="126" t="s">
        <v>46</v>
      </c>
      <c r="AB51" s="156" t="s">
        <v>340</v>
      </c>
      <c r="AC51" s="128"/>
    </row>
    <row r="52" spans="1:29" s="126" customFormat="1" ht="13.5" customHeight="1">
      <c r="A52" s="156" t="s">
        <v>88</v>
      </c>
      <c r="B52" s="156" t="s">
        <v>184</v>
      </c>
      <c r="C52" s="156">
        <v>2020</v>
      </c>
      <c r="D52" s="157" t="s">
        <v>185</v>
      </c>
      <c r="E52" s="156" t="s">
        <v>308</v>
      </c>
      <c r="F52" s="156" t="s">
        <v>350</v>
      </c>
      <c r="G52" s="156" t="s">
        <v>39</v>
      </c>
      <c r="H52" s="156" t="s">
        <v>205</v>
      </c>
      <c r="I52" s="126" t="s">
        <v>41</v>
      </c>
      <c r="J52" s="126" t="s">
        <v>42</v>
      </c>
      <c r="K52" s="126" t="s">
        <v>78</v>
      </c>
      <c r="L52" s="126">
        <v>3</v>
      </c>
      <c r="N52" s="126">
        <v>4</v>
      </c>
      <c r="O52" s="126">
        <v>0.55000000000000004</v>
      </c>
      <c r="P52" s="126">
        <v>0.6</v>
      </c>
      <c r="Q52" s="152">
        <f t="shared" si="0"/>
        <v>0.57499999999999996</v>
      </c>
      <c r="R52" s="126">
        <v>13.4</v>
      </c>
      <c r="S52" s="126">
        <v>75.5</v>
      </c>
      <c r="T52" s="138">
        <f t="shared" si="1"/>
        <v>42</v>
      </c>
      <c r="U52" s="126">
        <v>498</v>
      </c>
      <c r="V52" s="158">
        <f t="shared" si="2"/>
        <v>5229</v>
      </c>
      <c r="W52" s="126">
        <v>2</v>
      </c>
      <c r="X52" s="126" t="s">
        <v>63</v>
      </c>
      <c r="Y52" s="126" t="s">
        <v>45</v>
      </c>
      <c r="Z52" s="126" t="s">
        <v>160</v>
      </c>
      <c r="AA52" s="126" t="s">
        <v>46</v>
      </c>
      <c r="AB52" s="156" t="s">
        <v>340</v>
      </c>
      <c r="AC52" s="128"/>
    </row>
    <row r="53" spans="1:29" s="126" customFormat="1" ht="13.5" customHeight="1">
      <c r="A53" s="156" t="s">
        <v>88</v>
      </c>
      <c r="B53" s="156" t="s">
        <v>184</v>
      </c>
      <c r="C53" s="156">
        <v>2020</v>
      </c>
      <c r="D53" s="157" t="s">
        <v>185</v>
      </c>
      <c r="E53" s="156" t="s">
        <v>371</v>
      </c>
      <c r="F53" s="156" t="s">
        <v>353</v>
      </c>
      <c r="G53" s="156" t="s">
        <v>39</v>
      </c>
      <c r="H53" s="156" t="s">
        <v>40</v>
      </c>
      <c r="I53" s="126" t="s">
        <v>41</v>
      </c>
      <c r="J53" s="126" t="s">
        <v>42</v>
      </c>
      <c r="K53" s="126" t="s">
        <v>43</v>
      </c>
      <c r="L53" s="126">
        <v>1</v>
      </c>
      <c r="N53" s="126">
        <v>1</v>
      </c>
      <c r="O53" s="126">
        <v>0.2</v>
      </c>
      <c r="P53" s="126">
        <v>0.2</v>
      </c>
      <c r="Q53" s="152">
        <f t="shared" si="0"/>
        <v>0.2</v>
      </c>
      <c r="R53" s="126">
        <v>13.8</v>
      </c>
      <c r="S53" s="126">
        <v>135</v>
      </c>
      <c r="T53" s="138">
        <f t="shared" si="1"/>
        <v>25</v>
      </c>
      <c r="U53" s="126">
        <v>128</v>
      </c>
      <c r="V53" s="158">
        <f t="shared" si="2"/>
        <v>3200</v>
      </c>
      <c r="W53" s="126">
        <v>4</v>
      </c>
      <c r="X53" s="126" t="s">
        <v>63</v>
      </c>
      <c r="Y53" s="126" t="s">
        <v>46</v>
      </c>
      <c r="Z53" s="126" t="s">
        <v>45</v>
      </c>
      <c r="AA53" s="126" t="s">
        <v>160</v>
      </c>
      <c r="AB53" s="156" t="s">
        <v>340</v>
      </c>
      <c r="AC53" s="128"/>
    </row>
    <row r="54" spans="1:29" s="126" customFormat="1" ht="13.5" customHeight="1">
      <c r="A54" s="156" t="s">
        <v>88</v>
      </c>
      <c r="B54" s="156" t="s">
        <v>184</v>
      </c>
      <c r="C54" s="156">
        <v>2020</v>
      </c>
      <c r="D54" s="157" t="s">
        <v>185</v>
      </c>
      <c r="E54" s="156" t="s">
        <v>371</v>
      </c>
      <c r="F54" s="156" t="s">
        <v>353</v>
      </c>
      <c r="G54" s="156" t="s">
        <v>39</v>
      </c>
      <c r="H54" s="156" t="s">
        <v>40</v>
      </c>
      <c r="I54" s="126" t="s">
        <v>41</v>
      </c>
      <c r="J54" s="126" t="s">
        <v>42</v>
      </c>
      <c r="K54" s="126" t="s">
        <v>43</v>
      </c>
      <c r="L54" s="126">
        <v>2</v>
      </c>
      <c r="N54" s="126">
        <v>1</v>
      </c>
      <c r="O54" s="126">
        <v>0.55000000000000004</v>
      </c>
      <c r="P54" s="126">
        <v>0.55000000000000004</v>
      </c>
      <c r="Q54" s="152">
        <f t="shared" si="0"/>
        <v>0.55000000000000004</v>
      </c>
      <c r="R54" s="126">
        <v>14.1</v>
      </c>
      <c r="S54" s="126">
        <v>137</v>
      </c>
      <c r="T54" s="138">
        <f t="shared" si="1"/>
        <v>25</v>
      </c>
      <c r="U54" s="126">
        <v>128</v>
      </c>
      <c r="V54" s="158">
        <f t="shared" si="2"/>
        <v>3200</v>
      </c>
      <c r="W54" s="126">
        <v>4</v>
      </c>
      <c r="X54" s="126" t="s">
        <v>63</v>
      </c>
      <c r="Y54" s="126" t="s">
        <v>46</v>
      </c>
      <c r="Z54" s="126" t="s">
        <v>45</v>
      </c>
      <c r="AA54" s="126" t="s">
        <v>160</v>
      </c>
      <c r="AB54" s="156" t="s">
        <v>340</v>
      </c>
      <c r="AC54" s="128"/>
    </row>
    <row r="55" spans="1:29" s="126" customFormat="1" ht="13.5" customHeight="1">
      <c r="A55" s="156" t="s">
        <v>88</v>
      </c>
      <c r="B55" s="156" t="s">
        <v>184</v>
      </c>
      <c r="C55" s="156">
        <v>2020</v>
      </c>
      <c r="D55" s="157" t="s">
        <v>185</v>
      </c>
      <c r="E55" s="156" t="s">
        <v>371</v>
      </c>
      <c r="F55" s="156" t="s">
        <v>353</v>
      </c>
      <c r="G55" s="156" t="s">
        <v>39</v>
      </c>
      <c r="H55" s="156" t="s">
        <v>40</v>
      </c>
      <c r="I55" s="126" t="s">
        <v>41</v>
      </c>
      <c r="J55" s="126" t="s">
        <v>42</v>
      </c>
      <c r="K55" s="126" t="s">
        <v>43</v>
      </c>
      <c r="L55" s="126">
        <v>3</v>
      </c>
      <c r="N55" s="126">
        <v>1</v>
      </c>
      <c r="O55" s="126">
        <v>0.5</v>
      </c>
      <c r="P55" s="126">
        <v>0.5</v>
      </c>
      <c r="Q55" s="152">
        <f t="shared" si="0"/>
        <v>0.5</v>
      </c>
      <c r="R55" s="126">
        <v>14</v>
      </c>
      <c r="S55" s="126">
        <v>146.5</v>
      </c>
      <c r="T55" s="138">
        <f t="shared" si="1"/>
        <v>22</v>
      </c>
      <c r="U55" s="126">
        <v>128</v>
      </c>
      <c r="V55" s="158">
        <f t="shared" si="2"/>
        <v>2816</v>
      </c>
      <c r="W55" s="126">
        <v>4</v>
      </c>
      <c r="X55" s="126" t="s">
        <v>63</v>
      </c>
      <c r="Y55" s="126" t="s">
        <v>46</v>
      </c>
      <c r="Z55" s="126" t="s">
        <v>45</v>
      </c>
      <c r="AA55" s="126" t="s">
        <v>160</v>
      </c>
      <c r="AB55" s="156" t="s">
        <v>340</v>
      </c>
      <c r="AC55" s="128"/>
    </row>
    <row r="56" spans="1:29" s="126" customFormat="1" ht="13.5" customHeight="1">
      <c r="A56" s="156" t="s">
        <v>88</v>
      </c>
      <c r="B56" s="156" t="s">
        <v>184</v>
      </c>
      <c r="C56" s="156">
        <v>2020</v>
      </c>
      <c r="D56" s="157" t="s">
        <v>185</v>
      </c>
      <c r="E56" s="156" t="s">
        <v>371</v>
      </c>
      <c r="F56" s="156" t="s">
        <v>353</v>
      </c>
      <c r="G56" s="156" t="s">
        <v>39</v>
      </c>
      <c r="H56" s="156" t="s">
        <v>40</v>
      </c>
      <c r="I56" s="126" t="s">
        <v>41</v>
      </c>
      <c r="J56" s="126" t="s">
        <v>42</v>
      </c>
      <c r="K56" s="126" t="s">
        <v>43</v>
      </c>
      <c r="L56" s="126">
        <v>1</v>
      </c>
      <c r="N56" s="126">
        <v>4</v>
      </c>
      <c r="O56" s="126">
        <v>0.2</v>
      </c>
      <c r="P56" s="126">
        <v>0.2</v>
      </c>
      <c r="Q56" s="152">
        <f t="shared" si="0"/>
        <v>0.2</v>
      </c>
      <c r="R56" s="126">
        <v>14.6</v>
      </c>
      <c r="S56" s="126">
        <v>92.5</v>
      </c>
      <c r="T56" s="138">
        <f t="shared" si="1"/>
        <v>36</v>
      </c>
      <c r="U56" s="126">
        <v>498</v>
      </c>
      <c r="V56" s="158">
        <f t="shared" si="2"/>
        <v>4482</v>
      </c>
      <c r="W56" s="126">
        <v>4</v>
      </c>
      <c r="X56" s="126" t="s">
        <v>63</v>
      </c>
      <c r="Y56" s="126" t="s">
        <v>46</v>
      </c>
      <c r="Z56" s="126" t="s">
        <v>45</v>
      </c>
      <c r="AA56" s="126" t="s">
        <v>160</v>
      </c>
      <c r="AB56" s="156" t="s">
        <v>340</v>
      </c>
      <c r="AC56" s="128"/>
    </row>
    <row r="57" spans="1:29" s="126" customFormat="1" ht="13.5" customHeight="1">
      <c r="A57" s="156" t="s">
        <v>88</v>
      </c>
      <c r="B57" s="156" t="s">
        <v>184</v>
      </c>
      <c r="C57" s="156">
        <v>2020</v>
      </c>
      <c r="D57" s="157" t="s">
        <v>185</v>
      </c>
      <c r="E57" s="156" t="s">
        <v>371</v>
      </c>
      <c r="F57" s="156" t="s">
        <v>353</v>
      </c>
      <c r="G57" s="156" t="s">
        <v>39</v>
      </c>
      <c r="H57" s="156" t="s">
        <v>40</v>
      </c>
      <c r="I57" s="126" t="s">
        <v>41</v>
      </c>
      <c r="J57" s="126" t="s">
        <v>42</v>
      </c>
      <c r="K57" s="126" t="s">
        <v>43</v>
      </c>
      <c r="L57" s="126">
        <v>2</v>
      </c>
      <c r="N57" s="126">
        <v>4</v>
      </c>
      <c r="O57" s="126">
        <v>0.55000000000000004</v>
      </c>
      <c r="P57" s="126">
        <v>0.5</v>
      </c>
      <c r="Q57" s="152">
        <f t="shared" si="0"/>
        <v>0.52500000000000002</v>
      </c>
      <c r="R57" s="126">
        <v>14.9</v>
      </c>
      <c r="S57" s="126">
        <v>103.5</v>
      </c>
      <c r="T57" s="138">
        <f t="shared" si="1"/>
        <v>33</v>
      </c>
      <c r="U57" s="126">
        <v>498</v>
      </c>
      <c r="V57" s="158">
        <f t="shared" si="2"/>
        <v>4108.5</v>
      </c>
      <c r="W57" s="126">
        <v>4</v>
      </c>
      <c r="X57" s="126" t="s">
        <v>63</v>
      </c>
      <c r="Y57" s="126" t="s">
        <v>46</v>
      </c>
      <c r="Z57" s="126" t="s">
        <v>45</v>
      </c>
      <c r="AA57" s="126" t="s">
        <v>160</v>
      </c>
      <c r="AB57" s="156" t="s">
        <v>340</v>
      </c>
      <c r="AC57" s="128"/>
    </row>
    <row r="58" spans="1:29" s="126" customFormat="1" ht="13.5" customHeight="1">
      <c r="A58" s="156" t="s">
        <v>88</v>
      </c>
      <c r="B58" s="156" t="s">
        <v>184</v>
      </c>
      <c r="C58" s="156">
        <v>2020</v>
      </c>
      <c r="D58" s="157" t="s">
        <v>185</v>
      </c>
      <c r="E58" s="156" t="s">
        <v>371</v>
      </c>
      <c r="F58" s="156" t="s">
        <v>353</v>
      </c>
      <c r="G58" s="156" t="s">
        <v>39</v>
      </c>
      <c r="H58" s="156" t="s">
        <v>40</v>
      </c>
      <c r="I58" s="126" t="s">
        <v>41</v>
      </c>
      <c r="J58" s="126" t="s">
        <v>42</v>
      </c>
      <c r="K58" s="126" t="s">
        <v>43</v>
      </c>
      <c r="L58" s="126">
        <v>3</v>
      </c>
      <c r="N58" s="126">
        <v>4</v>
      </c>
      <c r="O58" s="126">
        <v>0.5</v>
      </c>
      <c r="P58" s="126">
        <v>0.6</v>
      </c>
      <c r="Q58" s="152">
        <f t="shared" si="0"/>
        <v>0.55000000000000004</v>
      </c>
      <c r="R58" s="126">
        <v>14.7</v>
      </c>
      <c r="S58" s="126">
        <v>98.5</v>
      </c>
      <c r="T58" s="138">
        <f t="shared" si="1"/>
        <v>36</v>
      </c>
      <c r="U58" s="126">
        <v>498</v>
      </c>
      <c r="V58" s="158">
        <f t="shared" si="2"/>
        <v>4482</v>
      </c>
      <c r="W58" s="126">
        <v>4</v>
      </c>
      <c r="X58" s="126" t="s">
        <v>63</v>
      </c>
      <c r="Y58" s="126" t="s">
        <v>46</v>
      </c>
      <c r="Z58" s="126" t="s">
        <v>45</v>
      </c>
      <c r="AA58" s="126" t="s">
        <v>160</v>
      </c>
      <c r="AB58" s="156" t="s">
        <v>340</v>
      </c>
      <c r="AC58" s="128"/>
    </row>
    <row r="59" spans="1:29" s="126" customFormat="1" ht="13.5" customHeight="1">
      <c r="A59" s="156" t="s">
        <v>88</v>
      </c>
      <c r="B59" s="156" t="s">
        <v>184</v>
      </c>
      <c r="C59" s="156">
        <v>2020</v>
      </c>
      <c r="D59" s="157" t="s">
        <v>185</v>
      </c>
      <c r="E59" s="156" t="s">
        <v>371</v>
      </c>
      <c r="F59" s="156" t="s">
        <v>353</v>
      </c>
      <c r="G59" s="156" t="s">
        <v>39</v>
      </c>
      <c r="H59" s="156" t="s">
        <v>51</v>
      </c>
      <c r="I59" s="126" t="s">
        <v>41</v>
      </c>
      <c r="J59" s="126" t="s">
        <v>121</v>
      </c>
      <c r="K59" s="126" t="s">
        <v>136</v>
      </c>
      <c r="L59" s="126">
        <v>1</v>
      </c>
      <c r="N59" s="126">
        <v>8</v>
      </c>
      <c r="O59" s="126">
        <v>0.2</v>
      </c>
      <c r="P59" s="126">
        <v>0.2</v>
      </c>
      <c r="Q59" s="152">
        <f t="shared" si="0"/>
        <v>0.2</v>
      </c>
      <c r="R59" s="126">
        <v>15.6</v>
      </c>
      <c r="S59" s="126">
        <v>33.5</v>
      </c>
      <c r="T59" s="138">
        <f t="shared" si="1"/>
        <v>50</v>
      </c>
      <c r="U59" s="126">
        <v>398</v>
      </c>
      <c r="V59" s="158">
        <f t="shared" si="2"/>
        <v>2487.5</v>
      </c>
      <c r="W59" s="126">
        <v>4</v>
      </c>
      <c r="X59" s="126" t="s">
        <v>63</v>
      </c>
      <c r="Y59" s="126" t="s">
        <v>46</v>
      </c>
      <c r="Z59" s="126" t="s">
        <v>45</v>
      </c>
      <c r="AA59" s="126" t="s">
        <v>160</v>
      </c>
      <c r="AB59" s="156" t="s">
        <v>340</v>
      </c>
    </row>
    <row r="60" spans="1:29" s="126" customFormat="1" ht="13.5" customHeight="1">
      <c r="A60" s="156" t="s">
        <v>88</v>
      </c>
      <c r="B60" s="156" t="s">
        <v>184</v>
      </c>
      <c r="C60" s="156">
        <v>2020</v>
      </c>
      <c r="D60" s="157" t="s">
        <v>185</v>
      </c>
      <c r="E60" s="156" t="s">
        <v>371</v>
      </c>
      <c r="F60" s="156" t="s">
        <v>353</v>
      </c>
      <c r="G60" s="156" t="s">
        <v>39</v>
      </c>
      <c r="H60" s="156" t="s">
        <v>51</v>
      </c>
      <c r="I60" s="126" t="s">
        <v>41</v>
      </c>
      <c r="J60" s="126" t="s">
        <v>121</v>
      </c>
      <c r="K60" s="126" t="s">
        <v>136</v>
      </c>
      <c r="L60" s="126">
        <v>2</v>
      </c>
      <c r="N60" s="126">
        <v>8</v>
      </c>
      <c r="O60" s="126">
        <v>0.2</v>
      </c>
      <c r="P60" s="126">
        <v>0.2</v>
      </c>
      <c r="Q60" s="152">
        <f t="shared" si="0"/>
        <v>0.2</v>
      </c>
      <c r="R60" s="126">
        <v>14.7</v>
      </c>
      <c r="S60" s="126">
        <v>30</v>
      </c>
      <c r="T60" s="138">
        <f t="shared" si="1"/>
        <v>50</v>
      </c>
      <c r="U60" s="126">
        <v>398</v>
      </c>
      <c r="V60" s="158">
        <f t="shared" si="2"/>
        <v>2487.5</v>
      </c>
      <c r="W60" s="126">
        <v>4</v>
      </c>
      <c r="X60" s="126" t="s">
        <v>63</v>
      </c>
      <c r="Y60" s="126" t="s">
        <v>46</v>
      </c>
      <c r="Z60" s="126" t="s">
        <v>45</v>
      </c>
      <c r="AA60" s="126" t="s">
        <v>160</v>
      </c>
      <c r="AB60" s="156" t="s">
        <v>340</v>
      </c>
    </row>
    <row r="61" spans="1:29" s="126" customFormat="1" ht="13.5" customHeight="1">
      <c r="A61" s="156" t="s">
        <v>88</v>
      </c>
      <c r="B61" s="156" t="s">
        <v>184</v>
      </c>
      <c r="C61" s="156">
        <v>2020</v>
      </c>
      <c r="D61" s="157" t="s">
        <v>185</v>
      </c>
      <c r="E61" s="156" t="s">
        <v>371</v>
      </c>
      <c r="F61" s="156" t="s">
        <v>353</v>
      </c>
      <c r="G61" s="156" t="s">
        <v>39</v>
      </c>
      <c r="H61" s="156" t="s">
        <v>51</v>
      </c>
      <c r="I61" s="126" t="s">
        <v>41</v>
      </c>
      <c r="J61" s="126" t="s">
        <v>121</v>
      </c>
      <c r="K61" s="126" t="s">
        <v>136</v>
      </c>
      <c r="L61" s="126">
        <v>3</v>
      </c>
      <c r="N61" s="126">
        <v>8</v>
      </c>
      <c r="O61" s="126">
        <v>0.2</v>
      </c>
      <c r="P61" s="126">
        <v>0.2</v>
      </c>
      <c r="Q61" s="152">
        <f t="shared" si="0"/>
        <v>0.2</v>
      </c>
      <c r="R61" s="126">
        <v>15.5</v>
      </c>
      <c r="S61" s="126">
        <v>40</v>
      </c>
      <c r="T61" s="138">
        <f t="shared" si="1"/>
        <v>50</v>
      </c>
      <c r="U61" s="126">
        <v>398</v>
      </c>
      <c r="V61" s="158">
        <f t="shared" si="2"/>
        <v>2487.5</v>
      </c>
      <c r="W61" s="126">
        <v>4</v>
      </c>
      <c r="X61" s="126" t="s">
        <v>63</v>
      </c>
      <c r="Y61" s="126" t="s">
        <v>46</v>
      </c>
      <c r="Z61" s="126" t="s">
        <v>45</v>
      </c>
      <c r="AA61" s="126" t="s">
        <v>160</v>
      </c>
      <c r="AB61" s="156" t="s">
        <v>340</v>
      </c>
    </row>
    <row r="62" spans="1:29" s="126" customFormat="1" ht="13.5" customHeight="1">
      <c r="A62" s="156" t="s">
        <v>88</v>
      </c>
      <c r="B62" s="156" t="s">
        <v>184</v>
      </c>
      <c r="C62" s="156">
        <v>2020</v>
      </c>
      <c r="D62" s="157" t="s">
        <v>185</v>
      </c>
      <c r="E62" s="156" t="s">
        <v>371</v>
      </c>
      <c r="F62" s="156" t="s">
        <v>353</v>
      </c>
      <c r="G62" s="156" t="s">
        <v>39</v>
      </c>
      <c r="H62" s="156" t="s">
        <v>68</v>
      </c>
      <c r="I62" s="126" t="s">
        <v>41</v>
      </c>
      <c r="J62" s="126" t="s">
        <v>121</v>
      </c>
      <c r="K62" s="126" t="s">
        <v>88</v>
      </c>
      <c r="L62" s="126">
        <v>1</v>
      </c>
      <c r="N62" s="126">
        <v>4</v>
      </c>
      <c r="O62" s="126">
        <v>0.2</v>
      </c>
      <c r="P62" s="126">
        <v>0.2</v>
      </c>
      <c r="Q62" s="152">
        <f>IF(OR(O62="",P62=""),"",AVERAGE(O62,P62))</f>
        <v>0.2</v>
      </c>
      <c r="R62" s="126">
        <v>18.899999999999999</v>
      </c>
      <c r="S62" s="126">
        <v>94.5</v>
      </c>
      <c r="T62" s="138">
        <f t="shared" si="1"/>
        <v>36</v>
      </c>
      <c r="U62" s="126">
        <v>498</v>
      </c>
      <c r="V62" s="158">
        <f t="shared" si="2"/>
        <v>4482</v>
      </c>
      <c r="W62" s="126">
        <v>4</v>
      </c>
      <c r="X62" s="126" t="s">
        <v>63</v>
      </c>
      <c r="Y62" s="126" t="s">
        <v>46</v>
      </c>
      <c r="Z62" s="126" t="s">
        <v>45</v>
      </c>
      <c r="AA62" s="126" t="s">
        <v>160</v>
      </c>
      <c r="AB62" s="156" t="s">
        <v>340</v>
      </c>
    </row>
    <row r="63" spans="1:29" s="126" customFormat="1" ht="13.5" customHeight="1">
      <c r="A63" s="156" t="s">
        <v>88</v>
      </c>
      <c r="B63" s="156" t="s">
        <v>184</v>
      </c>
      <c r="C63" s="156">
        <v>2020</v>
      </c>
      <c r="D63" s="157" t="s">
        <v>185</v>
      </c>
      <c r="E63" s="156" t="s">
        <v>371</v>
      </c>
      <c r="F63" s="156" t="s">
        <v>353</v>
      </c>
      <c r="G63" s="156" t="s">
        <v>39</v>
      </c>
      <c r="H63" s="156" t="s">
        <v>68</v>
      </c>
      <c r="I63" s="126" t="s">
        <v>41</v>
      </c>
      <c r="J63" s="126" t="s">
        <v>121</v>
      </c>
      <c r="K63" s="126" t="s">
        <v>88</v>
      </c>
      <c r="L63" s="126">
        <v>2</v>
      </c>
      <c r="N63" s="126">
        <v>4</v>
      </c>
      <c r="O63" s="126">
        <v>0.2</v>
      </c>
      <c r="P63" s="126">
        <v>0.2</v>
      </c>
      <c r="Q63" s="152">
        <f t="shared" si="0"/>
        <v>0.2</v>
      </c>
      <c r="R63" s="126">
        <v>17.8</v>
      </c>
      <c r="S63" s="126">
        <v>76.5</v>
      </c>
      <c r="T63" s="138">
        <f t="shared" si="1"/>
        <v>39</v>
      </c>
      <c r="U63" s="126">
        <v>498</v>
      </c>
      <c r="V63" s="158">
        <f t="shared" si="2"/>
        <v>4855.5</v>
      </c>
      <c r="W63" s="126">
        <v>4</v>
      </c>
      <c r="X63" s="126" t="s">
        <v>63</v>
      </c>
      <c r="Y63" s="126" t="s">
        <v>46</v>
      </c>
      <c r="Z63" s="126" t="s">
        <v>45</v>
      </c>
      <c r="AA63" s="126" t="s">
        <v>160</v>
      </c>
      <c r="AB63" s="156" t="s">
        <v>340</v>
      </c>
    </row>
    <row r="64" spans="1:29" s="126" customFormat="1" ht="13.5" customHeight="1">
      <c r="A64" s="156" t="s">
        <v>88</v>
      </c>
      <c r="B64" s="156" t="s">
        <v>184</v>
      </c>
      <c r="C64" s="156">
        <v>2020</v>
      </c>
      <c r="D64" s="157" t="s">
        <v>185</v>
      </c>
      <c r="E64" s="156" t="s">
        <v>371</v>
      </c>
      <c r="F64" s="156" t="s">
        <v>353</v>
      </c>
      <c r="G64" s="156" t="s">
        <v>39</v>
      </c>
      <c r="H64" s="156" t="s">
        <v>68</v>
      </c>
      <c r="I64" s="126" t="s">
        <v>41</v>
      </c>
      <c r="J64" s="126" t="s">
        <v>121</v>
      </c>
      <c r="K64" s="126" t="s">
        <v>88</v>
      </c>
      <c r="L64" s="126">
        <v>3</v>
      </c>
      <c r="N64" s="126">
        <v>4</v>
      </c>
      <c r="O64" s="126">
        <v>0.2</v>
      </c>
      <c r="P64" s="126">
        <v>0.2</v>
      </c>
      <c r="Q64" s="152">
        <f t="shared" si="0"/>
        <v>0.2</v>
      </c>
      <c r="R64" s="126">
        <v>18</v>
      </c>
      <c r="S64" s="126">
        <v>59</v>
      </c>
      <c r="T64" s="138">
        <f t="shared" si="1"/>
        <v>50</v>
      </c>
      <c r="U64" s="126">
        <v>498</v>
      </c>
      <c r="V64" s="158">
        <f t="shared" si="2"/>
        <v>6225</v>
      </c>
      <c r="W64" s="126">
        <v>4</v>
      </c>
      <c r="X64" s="126" t="s">
        <v>63</v>
      </c>
      <c r="Y64" s="126" t="s">
        <v>46</v>
      </c>
      <c r="Z64" s="126" t="s">
        <v>45</v>
      </c>
      <c r="AA64" s="126" t="s">
        <v>160</v>
      </c>
      <c r="AB64" s="156" t="s">
        <v>340</v>
      </c>
    </row>
    <row r="65" spans="1:29" s="126" customFormat="1" ht="13.5" customHeight="1">
      <c r="A65" s="156" t="s">
        <v>88</v>
      </c>
      <c r="B65" s="156" t="s">
        <v>184</v>
      </c>
      <c r="C65" s="156">
        <v>2020</v>
      </c>
      <c r="D65" s="157" t="s">
        <v>185</v>
      </c>
      <c r="E65" s="156" t="s">
        <v>372</v>
      </c>
      <c r="F65" s="156" t="s">
        <v>355</v>
      </c>
      <c r="G65" s="156" t="s">
        <v>39</v>
      </c>
      <c r="H65" s="156" t="s">
        <v>40</v>
      </c>
      <c r="I65" s="126" t="s">
        <v>41</v>
      </c>
      <c r="J65" s="126" t="s">
        <v>42</v>
      </c>
      <c r="K65" s="126" t="s">
        <v>43</v>
      </c>
      <c r="L65" s="126">
        <v>1</v>
      </c>
      <c r="N65" s="126">
        <v>1</v>
      </c>
      <c r="O65" s="126">
        <v>0.2</v>
      </c>
      <c r="P65" s="126">
        <v>0.2</v>
      </c>
      <c r="Q65" s="152">
        <f t="shared" si="0"/>
        <v>0.2</v>
      </c>
      <c r="R65" s="126">
        <v>15.5</v>
      </c>
      <c r="S65" s="126">
        <v>113.5</v>
      </c>
      <c r="T65" s="138">
        <f t="shared" si="1"/>
        <v>30</v>
      </c>
      <c r="U65" s="126">
        <v>98</v>
      </c>
      <c r="V65" s="158">
        <f t="shared" si="2"/>
        <v>2940</v>
      </c>
      <c r="W65" s="126">
        <v>9</v>
      </c>
      <c r="X65" s="126" t="s">
        <v>44</v>
      </c>
      <c r="Y65" s="126" t="s">
        <v>46</v>
      </c>
      <c r="Z65" s="126" t="s">
        <v>54</v>
      </c>
      <c r="AA65" s="126" t="s">
        <v>160</v>
      </c>
      <c r="AB65" s="156" t="s">
        <v>340</v>
      </c>
      <c r="AC65" s="128"/>
    </row>
    <row r="66" spans="1:29" s="126" customFormat="1" ht="13.5" customHeight="1">
      <c r="A66" s="156" t="s">
        <v>88</v>
      </c>
      <c r="B66" s="156" t="s">
        <v>184</v>
      </c>
      <c r="C66" s="156">
        <v>2020</v>
      </c>
      <c r="D66" s="157" t="s">
        <v>185</v>
      </c>
      <c r="E66" s="156" t="s">
        <v>372</v>
      </c>
      <c r="F66" s="156" t="s">
        <v>355</v>
      </c>
      <c r="G66" s="156" t="s">
        <v>39</v>
      </c>
      <c r="H66" s="156" t="s">
        <v>40</v>
      </c>
      <c r="I66" s="126" t="s">
        <v>41</v>
      </c>
      <c r="J66" s="126" t="s">
        <v>42</v>
      </c>
      <c r="K66" s="126" t="s">
        <v>43</v>
      </c>
      <c r="L66" s="126">
        <v>2</v>
      </c>
      <c r="N66" s="126">
        <v>1</v>
      </c>
      <c r="O66" s="126">
        <v>0.6</v>
      </c>
      <c r="P66" s="126">
        <v>0.7</v>
      </c>
      <c r="Q66" s="152">
        <f t="shared" ref="Q66:Q91" si="3">IF(OR(O66="",P66=""),"",AVERAGE(O66,P66))</f>
        <v>0.64999999999999991</v>
      </c>
      <c r="R66" s="126">
        <v>13.8</v>
      </c>
      <c r="S66" s="126">
        <v>107.5</v>
      </c>
      <c r="T66" s="138">
        <f t="shared" ref="T66:T91" si="4">IF(H66="","",IF(OR(H66="GREEN",H66="GK"),IF(S66&gt;=$AX$2,VLOOKUP(S66,$AX$2:$AY$15,2,1),""),IF(S66&gt;=$AZ$2,VLOOKUP(S66,$AZ$2:$BA$15,2,1),"")))</f>
        <v>33</v>
      </c>
      <c r="U66" s="126">
        <v>98</v>
      </c>
      <c r="V66" s="158">
        <f t="shared" si="2"/>
        <v>3234</v>
      </c>
      <c r="W66" s="126">
        <v>9</v>
      </c>
      <c r="X66" s="126" t="s">
        <v>44</v>
      </c>
      <c r="Y66" s="126" t="s">
        <v>46</v>
      </c>
      <c r="Z66" s="126" t="s">
        <v>54</v>
      </c>
      <c r="AA66" s="126" t="s">
        <v>160</v>
      </c>
      <c r="AB66" s="156" t="s">
        <v>340</v>
      </c>
      <c r="AC66" s="128"/>
    </row>
    <row r="67" spans="1:29" s="126" customFormat="1" ht="13.5" customHeight="1">
      <c r="A67" s="156" t="s">
        <v>88</v>
      </c>
      <c r="B67" s="156" t="s">
        <v>184</v>
      </c>
      <c r="C67" s="156">
        <v>2020</v>
      </c>
      <c r="D67" s="157" t="s">
        <v>185</v>
      </c>
      <c r="E67" s="156" t="s">
        <v>372</v>
      </c>
      <c r="F67" s="156" t="s">
        <v>355</v>
      </c>
      <c r="G67" s="156" t="s">
        <v>39</v>
      </c>
      <c r="H67" s="156" t="s">
        <v>40</v>
      </c>
      <c r="I67" s="126" t="s">
        <v>41</v>
      </c>
      <c r="J67" s="126" t="s">
        <v>42</v>
      </c>
      <c r="K67" s="126" t="s">
        <v>43</v>
      </c>
      <c r="L67" s="126">
        <v>3</v>
      </c>
      <c r="N67" s="126">
        <v>1</v>
      </c>
      <c r="O67" s="126">
        <v>0.5</v>
      </c>
      <c r="P67" s="126">
        <v>0.5</v>
      </c>
      <c r="Q67" s="152">
        <f t="shared" si="3"/>
        <v>0.5</v>
      </c>
      <c r="R67" s="128">
        <v>15</v>
      </c>
      <c r="S67" s="126">
        <v>104</v>
      </c>
      <c r="T67" s="138">
        <f t="shared" si="4"/>
        <v>33</v>
      </c>
      <c r="U67" s="126">
        <v>98</v>
      </c>
      <c r="V67" s="158">
        <f t="shared" ref="V67:V91" si="5">IF(OR(N67="",U67="",T67=""),"",U67/N67*T67)</f>
        <v>3234</v>
      </c>
      <c r="W67" s="126">
        <v>9</v>
      </c>
      <c r="X67" s="126" t="s">
        <v>44</v>
      </c>
      <c r="Y67" s="126" t="s">
        <v>46</v>
      </c>
      <c r="Z67" s="126" t="s">
        <v>54</v>
      </c>
      <c r="AA67" s="126" t="s">
        <v>160</v>
      </c>
      <c r="AB67" s="156" t="s">
        <v>340</v>
      </c>
      <c r="AC67" s="128"/>
    </row>
    <row r="68" spans="1:29" s="126" customFormat="1" ht="13.5" customHeight="1">
      <c r="A68" s="156" t="s">
        <v>88</v>
      </c>
      <c r="B68" s="156" t="s">
        <v>184</v>
      </c>
      <c r="C68" s="156">
        <v>2020</v>
      </c>
      <c r="D68" s="157" t="s">
        <v>185</v>
      </c>
      <c r="E68" s="156" t="s">
        <v>372</v>
      </c>
      <c r="F68" s="156" t="s">
        <v>355</v>
      </c>
      <c r="G68" s="156" t="s">
        <v>39</v>
      </c>
      <c r="H68" s="156" t="s">
        <v>40</v>
      </c>
      <c r="I68" s="126" t="s">
        <v>41</v>
      </c>
      <c r="J68" s="126" t="s">
        <v>42</v>
      </c>
      <c r="K68" s="126" t="s">
        <v>43</v>
      </c>
      <c r="L68" s="126">
        <v>1</v>
      </c>
      <c r="N68" s="126">
        <v>5</v>
      </c>
      <c r="O68" s="126">
        <v>0.6</v>
      </c>
      <c r="P68" s="126">
        <v>0.55000000000000004</v>
      </c>
      <c r="Q68" s="152">
        <f t="shared" si="3"/>
        <v>0.57499999999999996</v>
      </c>
      <c r="R68" s="126">
        <v>14.3</v>
      </c>
      <c r="S68" s="126">
        <v>87</v>
      </c>
      <c r="T68" s="138">
        <f t="shared" si="4"/>
        <v>36</v>
      </c>
      <c r="U68" s="126">
        <v>398</v>
      </c>
      <c r="V68" s="158">
        <f t="shared" si="5"/>
        <v>2865.6</v>
      </c>
      <c r="W68" s="126">
        <v>9</v>
      </c>
      <c r="X68" s="126" t="s">
        <v>44</v>
      </c>
      <c r="Y68" s="126" t="s">
        <v>46</v>
      </c>
      <c r="Z68" s="126" t="s">
        <v>54</v>
      </c>
      <c r="AA68" s="126" t="s">
        <v>160</v>
      </c>
      <c r="AB68" s="156" t="s">
        <v>340</v>
      </c>
      <c r="AC68" s="128"/>
    </row>
    <row r="69" spans="1:29" s="126" customFormat="1" ht="13.5" customHeight="1">
      <c r="A69" s="156" t="s">
        <v>88</v>
      </c>
      <c r="B69" s="156" t="s">
        <v>184</v>
      </c>
      <c r="C69" s="156">
        <v>2020</v>
      </c>
      <c r="D69" s="157" t="s">
        <v>185</v>
      </c>
      <c r="E69" s="156" t="s">
        <v>372</v>
      </c>
      <c r="F69" s="156" t="s">
        <v>355</v>
      </c>
      <c r="G69" s="156" t="s">
        <v>39</v>
      </c>
      <c r="H69" s="156" t="s">
        <v>40</v>
      </c>
      <c r="I69" s="126" t="s">
        <v>41</v>
      </c>
      <c r="J69" s="126" t="s">
        <v>42</v>
      </c>
      <c r="K69" s="126" t="s">
        <v>43</v>
      </c>
      <c r="L69" s="126">
        <v>2</v>
      </c>
      <c r="N69" s="126">
        <v>5</v>
      </c>
      <c r="O69" s="126">
        <v>0.5</v>
      </c>
      <c r="P69" s="126">
        <v>0.55000000000000004</v>
      </c>
      <c r="Q69" s="152">
        <f t="shared" si="3"/>
        <v>0.52500000000000002</v>
      </c>
      <c r="R69" s="128">
        <v>14.1</v>
      </c>
      <c r="S69" s="126">
        <v>83.5</v>
      </c>
      <c r="T69" s="138">
        <f t="shared" si="4"/>
        <v>39</v>
      </c>
      <c r="U69" s="126">
        <v>398</v>
      </c>
      <c r="V69" s="158">
        <f t="shared" si="5"/>
        <v>3104.3999999999996</v>
      </c>
      <c r="W69" s="126">
        <v>9</v>
      </c>
      <c r="X69" s="126" t="s">
        <v>44</v>
      </c>
      <c r="Y69" s="126" t="s">
        <v>46</v>
      </c>
      <c r="Z69" s="126" t="s">
        <v>54</v>
      </c>
      <c r="AA69" s="126" t="s">
        <v>160</v>
      </c>
      <c r="AB69" s="156" t="s">
        <v>340</v>
      </c>
      <c r="AC69" s="128"/>
    </row>
    <row r="70" spans="1:29" s="126" customFormat="1" ht="13.5" customHeight="1">
      <c r="A70" s="156" t="s">
        <v>88</v>
      </c>
      <c r="B70" s="156" t="s">
        <v>184</v>
      </c>
      <c r="C70" s="156">
        <v>2020</v>
      </c>
      <c r="D70" s="157" t="s">
        <v>185</v>
      </c>
      <c r="E70" s="156" t="s">
        <v>372</v>
      </c>
      <c r="F70" s="156" t="s">
        <v>355</v>
      </c>
      <c r="G70" s="156" t="s">
        <v>39</v>
      </c>
      <c r="H70" s="156" t="s">
        <v>40</v>
      </c>
      <c r="I70" s="126" t="s">
        <v>41</v>
      </c>
      <c r="J70" s="126" t="s">
        <v>42</v>
      </c>
      <c r="K70" s="126" t="s">
        <v>43</v>
      </c>
      <c r="L70" s="126">
        <v>3</v>
      </c>
      <c r="N70" s="126">
        <v>5</v>
      </c>
      <c r="O70" s="126">
        <v>0.5</v>
      </c>
      <c r="P70" s="126">
        <v>0.6</v>
      </c>
      <c r="Q70" s="152">
        <f t="shared" si="3"/>
        <v>0.55000000000000004</v>
      </c>
      <c r="R70" s="128">
        <v>14.3</v>
      </c>
      <c r="S70" s="126">
        <v>90</v>
      </c>
      <c r="T70" s="138">
        <f t="shared" si="4"/>
        <v>36</v>
      </c>
      <c r="U70" s="126">
        <v>398</v>
      </c>
      <c r="V70" s="158">
        <f t="shared" si="5"/>
        <v>2865.6</v>
      </c>
      <c r="W70" s="126">
        <v>9</v>
      </c>
      <c r="X70" s="126" t="s">
        <v>44</v>
      </c>
      <c r="Y70" s="126" t="s">
        <v>46</v>
      </c>
      <c r="Z70" s="126" t="s">
        <v>54</v>
      </c>
      <c r="AA70" s="126" t="s">
        <v>160</v>
      </c>
      <c r="AB70" s="156" t="s">
        <v>340</v>
      </c>
      <c r="AC70" s="128"/>
    </row>
    <row r="71" spans="1:29" s="126" customFormat="1" ht="13.5" customHeight="1">
      <c r="A71" s="156" t="s">
        <v>88</v>
      </c>
      <c r="B71" s="156" t="s">
        <v>184</v>
      </c>
      <c r="C71" s="156">
        <v>2020</v>
      </c>
      <c r="D71" s="157" t="s">
        <v>185</v>
      </c>
      <c r="E71" s="156" t="s">
        <v>372</v>
      </c>
      <c r="F71" s="156" t="s">
        <v>355</v>
      </c>
      <c r="G71" s="156" t="s">
        <v>39</v>
      </c>
      <c r="H71" s="156" t="s">
        <v>205</v>
      </c>
      <c r="I71" s="126" t="s">
        <v>41</v>
      </c>
      <c r="J71" s="126" t="s">
        <v>42</v>
      </c>
      <c r="K71" s="126" t="s">
        <v>78</v>
      </c>
      <c r="L71" s="126">
        <v>1</v>
      </c>
      <c r="N71" s="126">
        <v>1</v>
      </c>
      <c r="O71" s="126">
        <v>0.2</v>
      </c>
      <c r="P71" s="126">
        <v>0.2</v>
      </c>
      <c r="Q71" s="152">
        <f t="shared" si="3"/>
        <v>0.2</v>
      </c>
      <c r="R71" s="126">
        <v>15.1</v>
      </c>
      <c r="S71" s="126">
        <v>90.5</v>
      </c>
      <c r="T71" s="138">
        <f t="shared" si="4"/>
        <v>36</v>
      </c>
      <c r="U71" s="126">
        <v>138</v>
      </c>
      <c r="V71" s="158">
        <f t="shared" si="5"/>
        <v>4968</v>
      </c>
      <c r="W71" s="126">
        <v>9</v>
      </c>
      <c r="X71" s="126" t="s">
        <v>44</v>
      </c>
      <c r="Y71" s="126" t="s">
        <v>46</v>
      </c>
      <c r="Z71" s="126" t="s">
        <v>54</v>
      </c>
      <c r="AA71" s="126" t="s">
        <v>160</v>
      </c>
      <c r="AB71" s="156" t="s">
        <v>340</v>
      </c>
      <c r="AC71" s="128"/>
    </row>
    <row r="72" spans="1:29" s="126" customFormat="1" ht="13.5" customHeight="1">
      <c r="A72" s="156" t="s">
        <v>88</v>
      </c>
      <c r="B72" s="156" t="s">
        <v>184</v>
      </c>
      <c r="C72" s="156">
        <v>2020</v>
      </c>
      <c r="D72" s="157" t="s">
        <v>185</v>
      </c>
      <c r="E72" s="156" t="s">
        <v>372</v>
      </c>
      <c r="F72" s="156" t="s">
        <v>355</v>
      </c>
      <c r="G72" s="156" t="s">
        <v>39</v>
      </c>
      <c r="H72" s="156" t="s">
        <v>205</v>
      </c>
      <c r="I72" s="126" t="s">
        <v>41</v>
      </c>
      <c r="J72" s="126" t="s">
        <v>42</v>
      </c>
      <c r="K72" s="126" t="s">
        <v>78</v>
      </c>
      <c r="L72" s="126">
        <v>2</v>
      </c>
      <c r="N72" s="126">
        <v>1</v>
      </c>
      <c r="O72" s="126">
        <v>0.5</v>
      </c>
      <c r="P72" s="126">
        <v>0.5</v>
      </c>
      <c r="Q72" s="152">
        <f t="shared" si="3"/>
        <v>0.5</v>
      </c>
      <c r="R72" s="126">
        <v>14.3</v>
      </c>
      <c r="S72" s="126">
        <v>88</v>
      </c>
      <c r="T72" s="138">
        <f t="shared" si="4"/>
        <v>36</v>
      </c>
      <c r="U72" s="126">
        <v>138</v>
      </c>
      <c r="V72" s="158">
        <f t="shared" si="5"/>
        <v>4968</v>
      </c>
      <c r="W72" s="126">
        <v>9</v>
      </c>
      <c r="X72" s="126" t="s">
        <v>44</v>
      </c>
      <c r="Y72" s="126" t="s">
        <v>46</v>
      </c>
      <c r="Z72" s="126" t="s">
        <v>54</v>
      </c>
      <c r="AA72" s="126" t="s">
        <v>160</v>
      </c>
      <c r="AB72" s="156" t="s">
        <v>340</v>
      </c>
      <c r="AC72" s="128"/>
    </row>
    <row r="73" spans="1:29" s="126" customFormat="1" ht="13.5" customHeight="1">
      <c r="A73" s="156" t="s">
        <v>88</v>
      </c>
      <c r="B73" s="156" t="s">
        <v>184</v>
      </c>
      <c r="C73" s="156">
        <v>2020</v>
      </c>
      <c r="D73" s="157" t="s">
        <v>185</v>
      </c>
      <c r="E73" s="156" t="s">
        <v>372</v>
      </c>
      <c r="F73" s="156" t="s">
        <v>355</v>
      </c>
      <c r="G73" s="156" t="s">
        <v>39</v>
      </c>
      <c r="H73" s="156" t="s">
        <v>205</v>
      </c>
      <c r="I73" s="126" t="s">
        <v>41</v>
      </c>
      <c r="J73" s="126" t="s">
        <v>42</v>
      </c>
      <c r="K73" s="126" t="s">
        <v>78</v>
      </c>
      <c r="L73" s="126">
        <v>3</v>
      </c>
      <c r="N73" s="126">
        <v>1</v>
      </c>
      <c r="O73" s="126">
        <v>0.55000000000000004</v>
      </c>
      <c r="P73" s="126">
        <v>0.5</v>
      </c>
      <c r="Q73" s="152">
        <f t="shared" si="3"/>
        <v>0.52500000000000002</v>
      </c>
      <c r="R73" s="126">
        <v>14.8</v>
      </c>
      <c r="S73" s="126">
        <v>89</v>
      </c>
      <c r="T73" s="138">
        <f t="shared" si="4"/>
        <v>36</v>
      </c>
      <c r="U73" s="126">
        <v>138</v>
      </c>
      <c r="V73" s="158">
        <f t="shared" si="5"/>
        <v>4968</v>
      </c>
      <c r="W73" s="126">
        <v>9</v>
      </c>
      <c r="X73" s="126" t="s">
        <v>44</v>
      </c>
      <c r="Y73" s="126" t="s">
        <v>46</v>
      </c>
      <c r="Z73" s="126" t="s">
        <v>54</v>
      </c>
      <c r="AA73" s="126" t="s">
        <v>160</v>
      </c>
      <c r="AB73" s="156" t="s">
        <v>340</v>
      </c>
      <c r="AC73" s="128"/>
    </row>
    <row r="74" spans="1:29" s="126" customFormat="1" ht="13.5" customHeight="1">
      <c r="A74" s="156" t="s">
        <v>88</v>
      </c>
      <c r="B74" s="156" t="s">
        <v>184</v>
      </c>
      <c r="C74" s="156">
        <v>2020</v>
      </c>
      <c r="D74" s="157" t="s">
        <v>185</v>
      </c>
      <c r="E74" s="156" t="s">
        <v>373</v>
      </c>
      <c r="F74" s="156" t="s">
        <v>357</v>
      </c>
      <c r="G74" s="156" t="s">
        <v>39</v>
      </c>
      <c r="H74" s="156" t="s">
        <v>40</v>
      </c>
      <c r="I74" s="126" t="s">
        <v>41</v>
      </c>
      <c r="J74" s="126" t="s">
        <v>42</v>
      </c>
      <c r="K74" s="126" t="s">
        <v>43</v>
      </c>
      <c r="L74" s="126">
        <v>1</v>
      </c>
      <c r="N74" s="126">
        <v>1</v>
      </c>
      <c r="O74" s="126">
        <v>0.5</v>
      </c>
      <c r="P74" s="126">
        <v>0.5</v>
      </c>
      <c r="Q74" s="152">
        <f t="shared" si="3"/>
        <v>0.5</v>
      </c>
      <c r="R74" s="126">
        <v>14.7</v>
      </c>
      <c r="S74" s="126">
        <v>113</v>
      </c>
      <c r="T74" s="138">
        <f t="shared" si="4"/>
        <v>30</v>
      </c>
      <c r="U74" s="126">
        <v>138</v>
      </c>
      <c r="V74" s="158">
        <f t="shared" si="5"/>
        <v>4140</v>
      </c>
      <c r="W74" s="126">
        <v>3</v>
      </c>
      <c r="X74" s="126" t="s">
        <v>63</v>
      </c>
      <c r="Y74" s="126" t="s">
        <v>46</v>
      </c>
      <c r="Z74" s="126" t="s">
        <v>45</v>
      </c>
      <c r="AA74" s="126" t="s">
        <v>160</v>
      </c>
      <c r="AB74" s="156" t="s">
        <v>340</v>
      </c>
    </row>
    <row r="75" spans="1:29" s="126" customFormat="1" ht="13.5" customHeight="1">
      <c r="A75" s="156" t="s">
        <v>88</v>
      </c>
      <c r="B75" s="156" t="s">
        <v>184</v>
      </c>
      <c r="C75" s="156">
        <v>2020</v>
      </c>
      <c r="D75" s="157" t="s">
        <v>185</v>
      </c>
      <c r="E75" s="156" t="s">
        <v>373</v>
      </c>
      <c r="F75" s="156" t="s">
        <v>357</v>
      </c>
      <c r="G75" s="156" t="s">
        <v>39</v>
      </c>
      <c r="H75" s="156" t="s">
        <v>40</v>
      </c>
      <c r="I75" s="126" t="s">
        <v>41</v>
      </c>
      <c r="J75" s="126" t="s">
        <v>42</v>
      </c>
      <c r="K75" s="126" t="s">
        <v>43</v>
      </c>
      <c r="L75" s="126">
        <v>2</v>
      </c>
      <c r="N75" s="126">
        <v>1</v>
      </c>
      <c r="O75" s="126">
        <v>0.5</v>
      </c>
      <c r="P75" s="126">
        <v>0.5</v>
      </c>
      <c r="Q75" s="152">
        <f t="shared" si="3"/>
        <v>0.5</v>
      </c>
      <c r="R75" s="126">
        <v>15.5</v>
      </c>
      <c r="S75" s="126">
        <v>112.5</v>
      </c>
      <c r="T75" s="138">
        <f t="shared" si="4"/>
        <v>33</v>
      </c>
      <c r="U75" s="126">
        <v>138</v>
      </c>
      <c r="V75" s="158">
        <f t="shared" si="5"/>
        <v>4554</v>
      </c>
      <c r="W75" s="126">
        <v>3</v>
      </c>
      <c r="X75" s="126" t="s">
        <v>63</v>
      </c>
      <c r="Y75" s="126" t="s">
        <v>46</v>
      </c>
      <c r="Z75" s="126" t="s">
        <v>45</v>
      </c>
      <c r="AA75" s="126" t="s">
        <v>160</v>
      </c>
      <c r="AB75" s="156" t="s">
        <v>340</v>
      </c>
    </row>
    <row r="76" spans="1:29" s="126" customFormat="1" ht="13.5" customHeight="1">
      <c r="A76" s="156" t="s">
        <v>88</v>
      </c>
      <c r="B76" s="156" t="s">
        <v>184</v>
      </c>
      <c r="C76" s="156">
        <v>2020</v>
      </c>
      <c r="D76" s="157" t="s">
        <v>185</v>
      </c>
      <c r="E76" s="156" t="s">
        <v>373</v>
      </c>
      <c r="F76" s="156" t="s">
        <v>357</v>
      </c>
      <c r="G76" s="156" t="s">
        <v>39</v>
      </c>
      <c r="H76" s="156" t="s">
        <v>40</v>
      </c>
      <c r="I76" s="126" t="s">
        <v>41</v>
      </c>
      <c r="J76" s="126" t="s">
        <v>42</v>
      </c>
      <c r="K76" s="126" t="s">
        <v>43</v>
      </c>
      <c r="L76" s="126">
        <v>3</v>
      </c>
      <c r="N76" s="126">
        <v>1</v>
      </c>
      <c r="O76" s="126">
        <v>0.55000000000000004</v>
      </c>
      <c r="P76" s="126">
        <v>0.6</v>
      </c>
      <c r="Q76" s="152">
        <f t="shared" si="3"/>
        <v>0.57499999999999996</v>
      </c>
      <c r="R76" s="126">
        <v>15.1</v>
      </c>
      <c r="S76" s="126">
        <v>109</v>
      </c>
      <c r="T76" s="138">
        <f t="shared" si="4"/>
        <v>33</v>
      </c>
      <c r="U76" s="126">
        <v>138</v>
      </c>
      <c r="V76" s="158">
        <f t="shared" si="5"/>
        <v>4554</v>
      </c>
      <c r="W76" s="126">
        <v>3</v>
      </c>
      <c r="X76" s="126" t="s">
        <v>63</v>
      </c>
      <c r="Y76" s="126" t="s">
        <v>46</v>
      </c>
      <c r="Z76" s="126" t="s">
        <v>45</v>
      </c>
      <c r="AA76" s="126" t="s">
        <v>160</v>
      </c>
      <c r="AB76" s="156" t="s">
        <v>340</v>
      </c>
    </row>
    <row r="77" spans="1:29" s="126" customFormat="1" ht="13.5" customHeight="1">
      <c r="A77" s="156" t="s">
        <v>88</v>
      </c>
      <c r="B77" s="156" t="s">
        <v>184</v>
      </c>
      <c r="C77" s="156">
        <v>2020</v>
      </c>
      <c r="D77" s="157" t="s">
        <v>185</v>
      </c>
      <c r="E77" s="156" t="s">
        <v>373</v>
      </c>
      <c r="F77" s="156" t="s">
        <v>357</v>
      </c>
      <c r="G77" s="156" t="s">
        <v>39</v>
      </c>
      <c r="H77" s="156" t="s">
        <v>40</v>
      </c>
      <c r="I77" s="126" t="s">
        <v>41</v>
      </c>
      <c r="J77" s="126" t="s">
        <v>42</v>
      </c>
      <c r="K77" s="126" t="s">
        <v>43</v>
      </c>
      <c r="L77" s="126">
        <v>1</v>
      </c>
      <c r="N77" s="126">
        <v>4</v>
      </c>
      <c r="O77" s="126">
        <v>0.55000000000000004</v>
      </c>
      <c r="P77" s="126">
        <v>0.55000000000000004</v>
      </c>
      <c r="Q77" s="152">
        <f t="shared" si="3"/>
        <v>0.55000000000000004</v>
      </c>
      <c r="R77" s="126">
        <v>14.7</v>
      </c>
      <c r="S77" s="126">
        <v>100.5</v>
      </c>
      <c r="T77" s="138">
        <f t="shared" si="4"/>
        <v>33</v>
      </c>
      <c r="U77" s="126">
        <v>398</v>
      </c>
      <c r="V77" s="158">
        <f t="shared" si="5"/>
        <v>3283.5</v>
      </c>
      <c r="W77" s="126">
        <v>3</v>
      </c>
      <c r="X77" s="126" t="s">
        <v>63</v>
      </c>
      <c r="Y77" s="126" t="s">
        <v>46</v>
      </c>
      <c r="Z77" s="126" t="s">
        <v>45</v>
      </c>
      <c r="AA77" s="126" t="s">
        <v>160</v>
      </c>
      <c r="AB77" s="156" t="s">
        <v>340</v>
      </c>
    </row>
    <row r="78" spans="1:29" s="126" customFormat="1" ht="13.5" customHeight="1">
      <c r="A78" s="156" t="s">
        <v>88</v>
      </c>
      <c r="B78" s="156" t="s">
        <v>184</v>
      </c>
      <c r="C78" s="156">
        <v>2020</v>
      </c>
      <c r="D78" s="157" t="s">
        <v>185</v>
      </c>
      <c r="E78" s="156" t="s">
        <v>373</v>
      </c>
      <c r="F78" s="156" t="s">
        <v>357</v>
      </c>
      <c r="G78" s="156" t="s">
        <v>39</v>
      </c>
      <c r="H78" s="156" t="s">
        <v>40</v>
      </c>
      <c r="I78" s="126" t="s">
        <v>41</v>
      </c>
      <c r="J78" s="126" t="s">
        <v>42</v>
      </c>
      <c r="K78" s="126" t="s">
        <v>43</v>
      </c>
      <c r="L78" s="126">
        <v>2</v>
      </c>
      <c r="N78" s="126">
        <v>4</v>
      </c>
      <c r="O78" s="126">
        <v>0.5</v>
      </c>
      <c r="P78" s="126">
        <v>0.5</v>
      </c>
      <c r="Q78" s="152">
        <f t="shared" si="3"/>
        <v>0.5</v>
      </c>
      <c r="R78" s="126">
        <v>14.4</v>
      </c>
      <c r="S78" s="126">
        <v>96.5</v>
      </c>
      <c r="T78" s="138">
        <f t="shared" si="4"/>
        <v>36</v>
      </c>
      <c r="U78" s="126">
        <v>398</v>
      </c>
      <c r="V78" s="158">
        <f t="shared" si="5"/>
        <v>3582</v>
      </c>
      <c r="W78" s="126">
        <v>3</v>
      </c>
      <c r="X78" s="126" t="s">
        <v>63</v>
      </c>
      <c r="Y78" s="126" t="s">
        <v>46</v>
      </c>
      <c r="Z78" s="126" t="s">
        <v>45</v>
      </c>
      <c r="AA78" s="126" t="s">
        <v>160</v>
      </c>
      <c r="AB78" s="156" t="s">
        <v>340</v>
      </c>
    </row>
    <row r="79" spans="1:29" s="126" customFormat="1" ht="13.5" customHeight="1">
      <c r="A79" s="156" t="s">
        <v>88</v>
      </c>
      <c r="B79" s="156" t="s">
        <v>184</v>
      </c>
      <c r="C79" s="156">
        <v>2020</v>
      </c>
      <c r="D79" s="157" t="s">
        <v>185</v>
      </c>
      <c r="E79" s="156" t="s">
        <v>373</v>
      </c>
      <c r="F79" s="156" t="s">
        <v>357</v>
      </c>
      <c r="G79" s="156" t="s">
        <v>39</v>
      </c>
      <c r="H79" s="156" t="s">
        <v>40</v>
      </c>
      <c r="I79" s="126" t="s">
        <v>41</v>
      </c>
      <c r="J79" s="126" t="s">
        <v>42</v>
      </c>
      <c r="K79" s="126" t="s">
        <v>43</v>
      </c>
      <c r="L79" s="126">
        <v>3</v>
      </c>
      <c r="N79" s="126">
        <v>4</v>
      </c>
      <c r="O79" s="126">
        <v>0.6</v>
      </c>
      <c r="P79" s="126">
        <v>0.5</v>
      </c>
      <c r="Q79" s="152">
        <f t="shared" si="3"/>
        <v>0.55000000000000004</v>
      </c>
      <c r="R79" s="126">
        <v>14.6</v>
      </c>
      <c r="S79" s="126">
        <v>101</v>
      </c>
      <c r="T79" s="138">
        <f t="shared" si="4"/>
        <v>33</v>
      </c>
      <c r="U79" s="126">
        <v>398</v>
      </c>
      <c r="V79" s="158">
        <f t="shared" si="5"/>
        <v>3283.5</v>
      </c>
      <c r="W79" s="126">
        <v>3</v>
      </c>
      <c r="X79" s="126" t="s">
        <v>63</v>
      </c>
      <c r="Y79" s="126" t="s">
        <v>46</v>
      </c>
      <c r="Z79" s="126" t="s">
        <v>45</v>
      </c>
      <c r="AA79" s="126" t="s">
        <v>160</v>
      </c>
      <c r="AB79" s="156" t="s">
        <v>340</v>
      </c>
    </row>
    <row r="80" spans="1:29" s="126" customFormat="1" ht="13.5" customHeight="1">
      <c r="A80" s="156" t="s">
        <v>88</v>
      </c>
      <c r="B80" s="156" t="s">
        <v>184</v>
      </c>
      <c r="C80" s="156">
        <v>2020</v>
      </c>
      <c r="D80" s="157" t="s">
        <v>185</v>
      </c>
      <c r="E80" s="156" t="s">
        <v>373</v>
      </c>
      <c r="F80" s="156" t="s">
        <v>357</v>
      </c>
      <c r="G80" s="156" t="s">
        <v>39</v>
      </c>
      <c r="H80" s="156" t="s">
        <v>205</v>
      </c>
      <c r="I80" s="126" t="s">
        <v>41</v>
      </c>
      <c r="J80" s="126" t="s">
        <v>42</v>
      </c>
      <c r="K80" s="126" t="s">
        <v>78</v>
      </c>
      <c r="L80" s="126">
        <v>1</v>
      </c>
      <c r="N80" s="126">
        <v>4</v>
      </c>
      <c r="O80" s="126">
        <v>0.2</v>
      </c>
      <c r="P80" s="126">
        <v>0.2</v>
      </c>
      <c r="Q80" s="152">
        <f t="shared" si="3"/>
        <v>0.2</v>
      </c>
      <c r="R80" s="126">
        <v>15</v>
      </c>
      <c r="S80" s="126">
        <v>105.5</v>
      </c>
      <c r="T80" s="138">
        <f t="shared" si="4"/>
        <v>33</v>
      </c>
      <c r="U80" s="126">
        <v>580</v>
      </c>
      <c r="V80" s="158">
        <f t="shared" si="5"/>
        <v>4785</v>
      </c>
      <c r="W80" s="126">
        <v>3</v>
      </c>
      <c r="X80" s="126" t="s">
        <v>63</v>
      </c>
      <c r="Y80" s="126" t="s">
        <v>46</v>
      </c>
      <c r="Z80" s="126" t="s">
        <v>45</v>
      </c>
      <c r="AA80" s="126" t="s">
        <v>160</v>
      </c>
      <c r="AB80" s="156" t="s">
        <v>340</v>
      </c>
    </row>
    <row r="81" spans="1:28" s="126" customFormat="1" ht="13.5" customHeight="1">
      <c r="A81" s="156" t="s">
        <v>88</v>
      </c>
      <c r="B81" s="156" t="s">
        <v>184</v>
      </c>
      <c r="C81" s="156">
        <v>2020</v>
      </c>
      <c r="D81" s="157" t="s">
        <v>185</v>
      </c>
      <c r="E81" s="156" t="s">
        <v>373</v>
      </c>
      <c r="F81" s="156" t="s">
        <v>357</v>
      </c>
      <c r="G81" s="156" t="s">
        <v>39</v>
      </c>
      <c r="H81" s="156" t="s">
        <v>205</v>
      </c>
      <c r="I81" s="126" t="s">
        <v>41</v>
      </c>
      <c r="J81" s="126" t="s">
        <v>42</v>
      </c>
      <c r="K81" s="126" t="s">
        <v>78</v>
      </c>
      <c r="L81" s="126">
        <v>2</v>
      </c>
      <c r="N81" s="126">
        <v>4</v>
      </c>
      <c r="O81" s="126">
        <v>0.2</v>
      </c>
      <c r="P81" s="126">
        <v>0.2</v>
      </c>
      <c r="Q81" s="152">
        <f t="shared" si="3"/>
        <v>0.2</v>
      </c>
      <c r="R81" s="126">
        <v>13.8</v>
      </c>
      <c r="S81" s="126">
        <v>107</v>
      </c>
      <c r="T81" s="138">
        <f t="shared" si="4"/>
        <v>33</v>
      </c>
      <c r="U81" s="126">
        <v>580</v>
      </c>
      <c r="V81" s="158">
        <f t="shared" si="5"/>
        <v>4785</v>
      </c>
      <c r="W81" s="126">
        <v>3</v>
      </c>
      <c r="X81" s="126" t="s">
        <v>63</v>
      </c>
      <c r="Y81" s="126" t="s">
        <v>46</v>
      </c>
      <c r="Z81" s="126" t="s">
        <v>45</v>
      </c>
      <c r="AA81" s="126" t="s">
        <v>160</v>
      </c>
      <c r="AB81" s="156" t="s">
        <v>340</v>
      </c>
    </row>
    <row r="82" spans="1:28" s="126" customFormat="1" ht="13.5" customHeight="1">
      <c r="A82" s="156" t="s">
        <v>88</v>
      </c>
      <c r="B82" s="156" t="s">
        <v>184</v>
      </c>
      <c r="C82" s="156">
        <v>2020</v>
      </c>
      <c r="D82" s="157" t="s">
        <v>185</v>
      </c>
      <c r="E82" s="156" t="s">
        <v>373</v>
      </c>
      <c r="F82" s="156" t="s">
        <v>357</v>
      </c>
      <c r="G82" s="156" t="s">
        <v>39</v>
      </c>
      <c r="H82" s="156" t="s">
        <v>205</v>
      </c>
      <c r="I82" s="126" t="s">
        <v>41</v>
      </c>
      <c r="J82" s="126" t="s">
        <v>42</v>
      </c>
      <c r="K82" s="126" t="s">
        <v>78</v>
      </c>
      <c r="L82" s="126">
        <v>3</v>
      </c>
      <c r="N82" s="126">
        <v>4</v>
      </c>
      <c r="O82" s="126">
        <v>0.2</v>
      </c>
      <c r="P82" s="126">
        <v>0.2</v>
      </c>
      <c r="Q82" s="152">
        <f t="shared" si="3"/>
        <v>0.2</v>
      </c>
      <c r="R82" s="126">
        <v>14.2</v>
      </c>
      <c r="S82" s="126">
        <v>87.5</v>
      </c>
      <c r="T82" s="138">
        <f t="shared" si="4"/>
        <v>36</v>
      </c>
      <c r="U82" s="126">
        <v>580</v>
      </c>
      <c r="V82" s="158">
        <f t="shared" si="5"/>
        <v>5220</v>
      </c>
      <c r="W82" s="126">
        <v>3</v>
      </c>
      <c r="X82" s="126" t="s">
        <v>63</v>
      </c>
      <c r="Y82" s="126" t="s">
        <v>46</v>
      </c>
      <c r="Z82" s="126" t="s">
        <v>45</v>
      </c>
      <c r="AA82" s="126" t="s">
        <v>160</v>
      </c>
      <c r="AB82" s="156" t="s">
        <v>340</v>
      </c>
    </row>
    <row r="83" spans="1:28" s="126" customFormat="1" ht="13.5" customHeight="1">
      <c r="A83" s="156" t="s">
        <v>88</v>
      </c>
      <c r="B83" s="156" t="s">
        <v>184</v>
      </c>
      <c r="C83" s="156">
        <v>2020</v>
      </c>
      <c r="D83" s="157" t="s">
        <v>185</v>
      </c>
      <c r="E83" s="156" t="s">
        <v>374</v>
      </c>
      <c r="F83" s="156" t="s">
        <v>357</v>
      </c>
      <c r="G83" s="156" t="s">
        <v>39</v>
      </c>
      <c r="H83" s="156" t="s">
        <v>40</v>
      </c>
      <c r="I83" s="126" t="s">
        <v>41</v>
      </c>
      <c r="J83" s="126" t="s">
        <v>42</v>
      </c>
      <c r="K83" s="126" t="s">
        <v>43</v>
      </c>
      <c r="L83" s="126">
        <v>1</v>
      </c>
      <c r="N83" s="126">
        <v>1</v>
      </c>
      <c r="O83" s="126">
        <v>0.2</v>
      </c>
      <c r="P83" s="126">
        <v>0.2</v>
      </c>
      <c r="Q83" s="152">
        <f t="shared" si="3"/>
        <v>0.2</v>
      </c>
      <c r="R83" s="126">
        <v>15.3</v>
      </c>
      <c r="S83" s="126">
        <v>120.5</v>
      </c>
      <c r="T83" s="138">
        <f t="shared" si="4"/>
        <v>30</v>
      </c>
      <c r="U83" s="126">
        <v>138</v>
      </c>
      <c r="V83" s="158">
        <f t="shared" si="5"/>
        <v>4140</v>
      </c>
      <c r="W83" s="126">
        <v>2</v>
      </c>
      <c r="X83" s="126" t="s">
        <v>44</v>
      </c>
      <c r="Y83" s="126" t="s">
        <v>46</v>
      </c>
      <c r="Z83" s="126" t="s">
        <v>45</v>
      </c>
      <c r="AA83" s="126" t="s">
        <v>54</v>
      </c>
      <c r="AB83" s="156" t="s">
        <v>340</v>
      </c>
    </row>
    <row r="84" spans="1:28" s="126" customFormat="1" ht="13.5" customHeight="1">
      <c r="A84" s="156" t="s">
        <v>88</v>
      </c>
      <c r="B84" s="156" t="s">
        <v>184</v>
      </c>
      <c r="C84" s="156">
        <v>2020</v>
      </c>
      <c r="D84" s="157" t="s">
        <v>185</v>
      </c>
      <c r="E84" s="156" t="s">
        <v>374</v>
      </c>
      <c r="F84" s="156" t="s">
        <v>357</v>
      </c>
      <c r="G84" s="156" t="s">
        <v>39</v>
      </c>
      <c r="H84" s="156" t="s">
        <v>40</v>
      </c>
      <c r="I84" s="126" t="s">
        <v>41</v>
      </c>
      <c r="J84" s="126" t="s">
        <v>42</v>
      </c>
      <c r="K84" s="126" t="s">
        <v>43</v>
      </c>
      <c r="L84" s="126">
        <v>2</v>
      </c>
      <c r="N84" s="126">
        <v>1</v>
      </c>
      <c r="O84" s="126">
        <v>0.55000000000000004</v>
      </c>
      <c r="P84" s="126">
        <v>0.5</v>
      </c>
      <c r="Q84" s="152">
        <f t="shared" si="3"/>
        <v>0.52500000000000002</v>
      </c>
      <c r="R84" s="126">
        <v>15.3</v>
      </c>
      <c r="S84" s="126">
        <v>126.5</v>
      </c>
      <c r="T84" s="138">
        <f t="shared" si="4"/>
        <v>27</v>
      </c>
      <c r="U84" s="126">
        <v>138</v>
      </c>
      <c r="V84" s="158">
        <f t="shared" si="5"/>
        <v>3726</v>
      </c>
      <c r="W84" s="126">
        <v>2</v>
      </c>
      <c r="X84" s="126" t="s">
        <v>44</v>
      </c>
      <c r="Y84" s="126" t="s">
        <v>46</v>
      </c>
      <c r="Z84" s="126" t="s">
        <v>45</v>
      </c>
      <c r="AA84" s="126" t="s">
        <v>54</v>
      </c>
      <c r="AB84" s="156" t="s">
        <v>340</v>
      </c>
    </row>
    <row r="85" spans="1:28" s="126" customFormat="1" ht="13.5" customHeight="1">
      <c r="A85" s="156" t="s">
        <v>88</v>
      </c>
      <c r="B85" s="156" t="s">
        <v>184</v>
      </c>
      <c r="C85" s="156">
        <v>2020</v>
      </c>
      <c r="D85" s="157" t="s">
        <v>185</v>
      </c>
      <c r="E85" s="156" t="s">
        <v>374</v>
      </c>
      <c r="F85" s="156" t="s">
        <v>357</v>
      </c>
      <c r="G85" s="156" t="s">
        <v>39</v>
      </c>
      <c r="H85" s="156" t="s">
        <v>40</v>
      </c>
      <c r="I85" s="126" t="s">
        <v>41</v>
      </c>
      <c r="J85" s="126" t="s">
        <v>42</v>
      </c>
      <c r="K85" s="126" t="s">
        <v>43</v>
      </c>
      <c r="L85" s="126">
        <v>3</v>
      </c>
      <c r="N85" s="126">
        <v>1</v>
      </c>
      <c r="O85" s="126">
        <v>0.5</v>
      </c>
      <c r="P85" s="126">
        <v>0.5</v>
      </c>
      <c r="Q85" s="152">
        <f t="shared" si="3"/>
        <v>0.5</v>
      </c>
      <c r="R85" s="126">
        <v>15</v>
      </c>
      <c r="S85" s="126">
        <v>127</v>
      </c>
      <c r="T85" s="138">
        <f t="shared" si="4"/>
        <v>27</v>
      </c>
      <c r="U85" s="126">
        <v>138</v>
      </c>
      <c r="V85" s="158">
        <f t="shared" si="5"/>
        <v>3726</v>
      </c>
      <c r="W85" s="126">
        <v>2</v>
      </c>
      <c r="X85" s="126" t="s">
        <v>44</v>
      </c>
      <c r="Y85" s="126" t="s">
        <v>46</v>
      </c>
      <c r="Z85" s="126" t="s">
        <v>45</v>
      </c>
      <c r="AA85" s="126" t="s">
        <v>54</v>
      </c>
      <c r="AB85" s="156" t="s">
        <v>340</v>
      </c>
    </row>
    <row r="86" spans="1:28" s="126" customFormat="1" ht="13.5" customHeight="1">
      <c r="A86" s="156" t="s">
        <v>88</v>
      </c>
      <c r="B86" s="156" t="s">
        <v>184</v>
      </c>
      <c r="C86" s="156">
        <v>2020</v>
      </c>
      <c r="D86" s="157" t="s">
        <v>185</v>
      </c>
      <c r="E86" s="156" t="s">
        <v>374</v>
      </c>
      <c r="F86" s="156" t="s">
        <v>357</v>
      </c>
      <c r="G86" s="156" t="s">
        <v>39</v>
      </c>
      <c r="H86" s="156" t="s">
        <v>40</v>
      </c>
      <c r="I86" s="126" t="s">
        <v>41</v>
      </c>
      <c r="J86" s="126" t="s">
        <v>42</v>
      </c>
      <c r="K86" s="126" t="s">
        <v>43</v>
      </c>
      <c r="L86" s="126">
        <v>1</v>
      </c>
      <c r="N86" s="126">
        <v>4</v>
      </c>
      <c r="O86" s="126">
        <v>0.55000000000000004</v>
      </c>
      <c r="P86" s="126">
        <v>0.5</v>
      </c>
      <c r="Q86" s="152">
        <f t="shared" si="3"/>
        <v>0.52500000000000002</v>
      </c>
      <c r="R86" s="126">
        <v>14.9</v>
      </c>
      <c r="S86" s="126">
        <v>91</v>
      </c>
      <c r="T86" s="138">
        <f t="shared" si="4"/>
        <v>36</v>
      </c>
      <c r="U86" s="126">
        <v>398</v>
      </c>
      <c r="V86" s="158">
        <f t="shared" si="5"/>
        <v>3582</v>
      </c>
      <c r="W86" s="126">
        <v>2</v>
      </c>
      <c r="X86" s="126" t="s">
        <v>44</v>
      </c>
      <c r="Y86" s="126" t="s">
        <v>46</v>
      </c>
      <c r="Z86" s="126" t="s">
        <v>45</v>
      </c>
      <c r="AA86" s="126" t="s">
        <v>54</v>
      </c>
      <c r="AB86" s="156" t="s">
        <v>340</v>
      </c>
    </row>
    <row r="87" spans="1:28" s="126" customFormat="1" ht="13.5" customHeight="1">
      <c r="A87" s="156" t="s">
        <v>88</v>
      </c>
      <c r="B87" s="156" t="s">
        <v>184</v>
      </c>
      <c r="C87" s="156">
        <v>2020</v>
      </c>
      <c r="D87" s="157" t="s">
        <v>185</v>
      </c>
      <c r="E87" s="156" t="s">
        <v>374</v>
      </c>
      <c r="F87" s="156" t="s">
        <v>357</v>
      </c>
      <c r="G87" s="156" t="s">
        <v>39</v>
      </c>
      <c r="H87" s="156" t="s">
        <v>40</v>
      </c>
      <c r="I87" s="126" t="s">
        <v>41</v>
      </c>
      <c r="J87" s="126" t="s">
        <v>42</v>
      </c>
      <c r="K87" s="126" t="s">
        <v>43</v>
      </c>
      <c r="L87" s="126">
        <v>2</v>
      </c>
      <c r="N87" s="126">
        <v>4</v>
      </c>
      <c r="O87" s="126">
        <v>0.5</v>
      </c>
      <c r="P87" s="126">
        <v>0.5</v>
      </c>
      <c r="Q87" s="152">
        <f t="shared" si="3"/>
        <v>0.5</v>
      </c>
      <c r="R87" s="126">
        <v>15.1</v>
      </c>
      <c r="S87" s="126">
        <v>94</v>
      </c>
      <c r="T87" s="138">
        <f t="shared" si="4"/>
        <v>36</v>
      </c>
      <c r="U87" s="126">
        <v>398</v>
      </c>
      <c r="V87" s="158">
        <f t="shared" si="5"/>
        <v>3582</v>
      </c>
      <c r="W87" s="126">
        <v>2</v>
      </c>
      <c r="X87" s="126" t="s">
        <v>44</v>
      </c>
      <c r="Y87" s="126" t="s">
        <v>46</v>
      </c>
      <c r="Z87" s="126" t="s">
        <v>45</v>
      </c>
      <c r="AA87" s="126" t="s">
        <v>54</v>
      </c>
      <c r="AB87" s="156" t="s">
        <v>340</v>
      </c>
    </row>
    <row r="88" spans="1:28" s="126" customFormat="1" ht="13.5" customHeight="1">
      <c r="A88" s="156" t="s">
        <v>88</v>
      </c>
      <c r="B88" s="156" t="s">
        <v>184</v>
      </c>
      <c r="C88" s="156">
        <v>2020</v>
      </c>
      <c r="D88" s="157" t="s">
        <v>185</v>
      </c>
      <c r="E88" s="156" t="s">
        <v>374</v>
      </c>
      <c r="F88" s="156" t="s">
        <v>357</v>
      </c>
      <c r="G88" s="156" t="s">
        <v>39</v>
      </c>
      <c r="H88" s="156" t="s">
        <v>40</v>
      </c>
      <c r="I88" s="126" t="s">
        <v>41</v>
      </c>
      <c r="J88" s="126" t="s">
        <v>42</v>
      </c>
      <c r="K88" s="126" t="s">
        <v>43</v>
      </c>
      <c r="L88" s="126">
        <v>3</v>
      </c>
      <c r="N88" s="126">
        <v>4</v>
      </c>
      <c r="O88" s="126">
        <v>0.5</v>
      </c>
      <c r="P88" s="126">
        <v>0.6</v>
      </c>
      <c r="Q88" s="152">
        <f t="shared" si="3"/>
        <v>0.55000000000000004</v>
      </c>
      <c r="R88" s="126">
        <v>15.1</v>
      </c>
      <c r="S88" s="126">
        <v>89.5</v>
      </c>
      <c r="T88" s="138">
        <f t="shared" si="4"/>
        <v>36</v>
      </c>
      <c r="U88" s="126">
        <v>398</v>
      </c>
      <c r="V88" s="158">
        <f t="shared" si="5"/>
        <v>3582</v>
      </c>
      <c r="W88" s="126">
        <v>2</v>
      </c>
      <c r="X88" s="126" t="s">
        <v>44</v>
      </c>
      <c r="Y88" s="126" t="s">
        <v>46</v>
      </c>
      <c r="Z88" s="126" t="s">
        <v>45</v>
      </c>
      <c r="AA88" s="126" t="s">
        <v>54</v>
      </c>
      <c r="AB88" s="156" t="s">
        <v>340</v>
      </c>
    </row>
    <row r="89" spans="1:28" s="126" customFormat="1" ht="13.5" customHeight="1">
      <c r="A89" s="156" t="s">
        <v>88</v>
      </c>
      <c r="B89" s="156" t="s">
        <v>184</v>
      </c>
      <c r="C89" s="156">
        <v>2020</v>
      </c>
      <c r="D89" s="157" t="s">
        <v>185</v>
      </c>
      <c r="E89" s="156" t="s">
        <v>374</v>
      </c>
      <c r="F89" s="156" t="s">
        <v>357</v>
      </c>
      <c r="G89" s="156" t="s">
        <v>39</v>
      </c>
      <c r="H89" s="156" t="s">
        <v>40</v>
      </c>
      <c r="I89" s="126" t="s">
        <v>196</v>
      </c>
      <c r="J89" s="126" t="s">
        <v>42</v>
      </c>
      <c r="K89" s="126" t="s">
        <v>43</v>
      </c>
      <c r="L89" s="126">
        <v>1</v>
      </c>
      <c r="N89" s="126">
        <v>8</v>
      </c>
      <c r="O89" s="126">
        <v>0.2</v>
      </c>
      <c r="P89" s="126">
        <v>0.2</v>
      </c>
      <c r="Q89" s="152">
        <f t="shared" si="3"/>
        <v>0.2</v>
      </c>
      <c r="R89" s="126">
        <v>15.4</v>
      </c>
      <c r="S89" s="126">
        <v>83.5</v>
      </c>
      <c r="T89" s="138">
        <f t="shared" si="4"/>
        <v>39</v>
      </c>
      <c r="U89" s="126">
        <v>498</v>
      </c>
      <c r="V89" s="158">
        <f t="shared" si="5"/>
        <v>2427.75</v>
      </c>
      <c r="W89" s="126">
        <v>2</v>
      </c>
      <c r="X89" s="126" t="s">
        <v>44</v>
      </c>
      <c r="Y89" s="126" t="s">
        <v>46</v>
      </c>
      <c r="Z89" s="126" t="s">
        <v>45</v>
      </c>
      <c r="AA89" s="126" t="s">
        <v>54</v>
      </c>
      <c r="AB89" s="156" t="s">
        <v>340</v>
      </c>
    </row>
    <row r="90" spans="1:28" s="126" customFormat="1" ht="13.5" customHeight="1">
      <c r="A90" s="156" t="s">
        <v>88</v>
      </c>
      <c r="B90" s="156" t="s">
        <v>184</v>
      </c>
      <c r="C90" s="156">
        <v>2020</v>
      </c>
      <c r="D90" s="157" t="s">
        <v>185</v>
      </c>
      <c r="E90" s="156" t="s">
        <v>374</v>
      </c>
      <c r="F90" s="156" t="s">
        <v>357</v>
      </c>
      <c r="G90" s="156" t="s">
        <v>39</v>
      </c>
      <c r="H90" s="156" t="s">
        <v>40</v>
      </c>
      <c r="I90" s="126" t="s">
        <v>196</v>
      </c>
      <c r="J90" s="126" t="s">
        <v>42</v>
      </c>
      <c r="K90" s="126" t="s">
        <v>43</v>
      </c>
      <c r="L90" s="126">
        <v>2</v>
      </c>
      <c r="N90" s="126">
        <v>8</v>
      </c>
      <c r="O90" s="126">
        <v>0.2</v>
      </c>
      <c r="P90" s="126">
        <v>0.2</v>
      </c>
      <c r="Q90" s="152">
        <f t="shared" si="3"/>
        <v>0.2</v>
      </c>
      <c r="R90" s="126">
        <v>11.5</v>
      </c>
      <c r="S90" s="126">
        <v>80</v>
      </c>
      <c r="T90" s="138">
        <f t="shared" si="4"/>
        <v>39</v>
      </c>
      <c r="U90" s="126">
        <v>498</v>
      </c>
      <c r="V90" s="158">
        <f t="shared" si="5"/>
        <v>2427.75</v>
      </c>
      <c r="W90" s="126">
        <v>2</v>
      </c>
      <c r="X90" s="126" t="s">
        <v>44</v>
      </c>
      <c r="Y90" s="126" t="s">
        <v>46</v>
      </c>
      <c r="Z90" s="126" t="s">
        <v>45</v>
      </c>
      <c r="AA90" s="126" t="s">
        <v>54</v>
      </c>
      <c r="AB90" s="156" t="s">
        <v>340</v>
      </c>
    </row>
    <row r="91" spans="1:28" s="126" customFormat="1" ht="13.5" customHeight="1">
      <c r="A91" s="156" t="s">
        <v>88</v>
      </c>
      <c r="B91" s="156" t="s">
        <v>184</v>
      </c>
      <c r="C91" s="156">
        <v>2020</v>
      </c>
      <c r="D91" s="157" t="s">
        <v>185</v>
      </c>
      <c r="E91" s="156" t="s">
        <v>374</v>
      </c>
      <c r="F91" s="156" t="s">
        <v>357</v>
      </c>
      <c r="G91" s="156" t="s">
        <v>39</v>
      </c>
      <c r="H91" s="156" t="s">
        <v>40</v>
      </c>
      <c r="I91" s="126" t="s">
        <v>196</v>
      </c>
      <c r="J91" s="126" t="s">
        <v>42</v>
      </c>
      <c r="K91" s="126" t="s">
        <v>43</v>
      </c>
      <c r="L91" s="126">
        <v>3</v>
      </c>
      <c r="N91" s="126">
        <v>8</v>
      </c>
      <c r="O91" s="126">
        <v>0.5</v>
      </c>
      <c r="P91" s="126">
        <v>0.6</v>
      </c>
      <c r="Q91" s="152">
        <f t="shared" si="3"/>
        <v>0.55000000000000004</v>
      </c>
      <c r="R91" s="126">
        <v>15.2</v>
      </c>
      <c r="S91" s="126">
        <v>83.5</v>
      </c>
      <c r="T91" s="138">
        <f t="shared" si="4"/>
        <v>39</v>
      </c>
      <c r="U91" s="126">
        <v>498</v>
      </c>
      <c r="V91" s="158">
        <f t="shared" si="5"/>
        <v>2427.75</v>
      </c>
      <c r="W91" s="126">
        <v>2</v>
      </c>
      <c r="X91" s="126" t="s">
        <v>44</v>
      </c>
      <c r="Y91" s="126" t="s">
        <v>46</v>
      </c>
      <c r="Z91" s="126" t="s">
        <v>45</v>
      </c>
      <c r="AA91" s="126" t="s">
        <v>54</v>
      </c>
      <c r="AB91" s="156" t="s">
        <v>340</v>
      </c>
    </row>
    <row r="92" spans="1:28">
      <c r="A92" s="21"/>
      <c r="B92" s="21"/>
      <c r="C92" s="21"/>
      <c r="D92" s="28"/>
      <c r="E92" s="21"/>
      <c r="F92" s="21"/>
      <c r="G92" s="21"/>
      <c r="H92" s="21"/>
      <c r="Q92" s="26"/>
      <c r="V92" s="75"/>
      <c r="AB92" s="21"/>
    </row>
    <row r="93" spans="1:28">
      <c r="A93" s="21"/>
      <c r="B93" s="21"/>
      <c r="C93" s="21"/>
      <c r="D93" s="28"/>
      <c r="E93" s="21"/>
      <c r="F93" s="21"/>
      <c r="G93" s="21"/>
      <c r="H93" s="21"/>
      <c r="Q93" s="26"/>
      <c r="V93" s="75"/>
      <c r="AB93" s="21"/>
    </row>
    <row r="94" spans="1:28">
      <c r="A94" s="21"/>
      <c r="B94" s="21"/>
      <c r="C94" s="21"/>
      <c r="D94" s="28"/>
      <c r="E94" s="21"/>
      <c r="F94" s="21"/>
      <c r="G94" s="21"/>
      <c r="H94" s="21"/>
      <c r="Q94" s="26"/>
      <c r="V94" s="75"/>
      <c r="AB94" s="21"/>
    </row>
    <row r="95" spans="1:28">
      <c r="A95" s="21"/>
      <c r="B95" s="21"/>
      <c r="C95" s="21"/>
      <c r="D95" s="28"/>
      <c r="E95" s="21"/>
      <c r="F95" s="21"/>
      <c r="G95" s="21"/>
      <c r="H95" s="21"/>
      <c r="AB95" s="21"/>
    </row>
    <row r="96" spans="1:28">
      <c r="A96" s="21"/>
      <c r="B96" s="21"/>
      <c r="C96" s="21"/>
      <c r="D96" s="28"/>
      <c r="E96" s="21"/>
      <c r="F96" s="21"/>
      <c r="G96" s="21"/>
      <c r="H96" s="21"/>
      <c r="Q96" s="26"/>
      <c r="V96" s="75"/>
      <c r="AB96" s="21"/>
    </row>
    <row r="97" spans="1:28">
      <c r="A97" s="21"/>
      <c r="B97" s="21"/>
      <c r="C97" s="21"/>
      <c r="D97" s="28"/>
      <c r="E97" s="21"/>
      <c r="F97" s="21"/>
      <c r="G97" s="21"/>
      <c r="H97" s="21"/>
      <c r="Q97" s="26"/>
      <c r="V97" s="75"/>
      <c r="AB97" s="21"/>
    </row>
    <row r="98" spans="1:28">
      <c r="A98" s="21"/>
      <c r="B98" s="21"/>
      <c r="C98" s="21"/>
      <c r="D98" s="28"/>
      <c r="E98" s="21"/>
      <c r="F98" s="21"/>
      <c r="G98" s="21"/>
      <c r="H98" s="21"/>
      <c r="Q98" s="26"/>
      <c r="V98" s="75"/>
      <c r="AB98" s="21"/>
    </row>
    <row r="99" spans="1:28">
      <c r="A99" s="21"/>
      <c r="B99" s="21"/>
      <c r="C99" s="21"/>
      <c r="D99" s="28"/>
      <c r="E99" s="21"/>
      <c r="F99" s="21"/>
      <c r="G99" s="21"/>
      <c r="H99" s="21"/>
      <c r="Q99" s="26"/>
      <c r="V99" s="75"/>
      <c r="AB99" s="21"/>
    </row>
    <row r="100" spans="1:28">
      <c r="A100" s="21"/>
      <c r="B100" s="21"/>
      <c r="C100" s="21"/>
      <c r="D100" s="28"/>
      <c r="E100" s="21"/>
      <c r="F100" s="21"/>
      <c r="G100" s="21"/>
      <c r="H100" s="21"/>
      <c r="Q100" s="26"/>
      <c r="V100" s="75"/>
      <c r="AB100" s="21"/>
    </row>
    <row r="101" spans="1:28">
      <c r="A101" s="21"/>
      <c r="B101" s="21"/>
      <c r="C101" s="21"/>
      <c r="D101" s="28"/>
      <c r="E101" s="21"/>
      <c r="F101" s="21"/>
      <c r="G101" s="21"/>
      <c r="H101" s="21"/>
      <c r="Q101" s="26"/>
      <c r="V101" s="75"/>
      <c r="AB101" s="21"/>
    </row>
    <row r="102" spans="1:28">
      <c r="A102" s="21"/>
      <c r="B102" s="21"/>
      <c r="C102" s="21"/>
      <c r="D102" s="28"/>
      <c r="E102" s="21"/>
      <c r="F102" s="21"/>
      <c r="G102" s="21"/>
      <c r="H102" s="21"/>
      <c r="Q102" s="26"/>
      <c r="V102" s="75"/>
      <c r="AB102" s="21"/>
    </row>
    <row r="103" spans="1:28">
      <c r="A103" s="21"/>
      <c r="B103" s="21"/>
      <c r="C103" s="21"/>
      <c r="D103" s="28"/>
      <c r="E103" s="21"/>
      <c r="F103" s="21"/>
      <c r="G103" s="21"/>
      <c r="H103" s="21"/>
      <c r="Q103" s="26"/>
      <c r="V103" s="75"/>
      <c r="AB103" s="21"/>
    </row>
    <row r="104" spans="1:28">
      <c r="A104" s="21"/>
      <c r="B104" s="21"/>
      <c r="C104" s="21"/>
      <c r="D104" s="28"/>
      <c r="E104" s="21"/>
      <c r="F104" s="21"/>
      <c r="G104" s="21"/>
      <c r="H104" s="21"/>
      <c r="Q104" s="26"/>
      <c r="V104" s="75"/>
      <c r="AB104" s="21"/>
    </row>
    <row r="105" spans="1:28">
      <c r="A105" s="21"/>
      <c r="B105" s="21"/>
      <c r="C105" s="21"/>
      <c r="D105" s="28"/>
      <c r="E105" s="21"/>
      <c r="F105" s="21"/>
      <c r="G105" s="21"/>
      <c r="H105" s="21"/>
      <c r="Q105" s="26"/>
      <c r="V105" s="75"/>
      <c r="AB105" s="21"/>
    </row>
    <row r="106" spans="1:28">
      <c r="A106" s="21"/>
      <c r="B106" s="21"/>
      <c r="C106" s="21"/>
      <c r="D106" s="28"/>
      <c r="E106" s="21"/>
      <c r="F106" s="21"/>
      <c r="G106" s="21"/>
      <c r="H106" s="21"/>
      <c r="Q106" s="26"/>
      <c r="V106" s="75"/>
      <c r="AB106" s="21"/>
    </row>
    <row r="107" spans="1:28">
      <c r="A107" s="21"/>
      <c r="B107" s="21"/>
      <c r="C107" s="21"/>
      <c r="D107" s="28"/>
      <c r="E107" s="21"/>
      <c r="F107" s="21"/>
      <c r="G107" s="21"/>
      <c r="H107" s="21"/>
      <c r="Q107" s="26"/>
      <c r="V107" s="75"/>
      <c r="AB107" s="21"/>
    </row>
    <row r="108" spans="1:28">
      <c r="A108" s="21"/>
      <c r="B108" s="21"/>
      <c r="C108" s="21"/>
      <c r="D108" s="28"/>
      <c r="E108" s="21"/>
      <c r="F108" s="21"/>
      <c r="G108" s="21"/>
      <c r="H108" s="21"/>
      <c r="Q108" s="26"/>
      <c r="V108" s="75"/>
      <c r="AB108" s="21"/>
    </row>
    <row r="109" spans="1:28">
      <c r="A109" s="21"/>
      <c r="B109" s="21"/>
      <c r="C109" s="21"/>
      <c r="D109" s="28"/>
      <c r="E109" s="21"/>
      <c r="F109" s="21"/>
      <c r="G109" s="21"/>
      <c r="H109" s="21"/>
      <c r="Q109" s="26"/>
      <c r="V109" s="75"/>
      <c r="AB109" s="21"/>
    </row>
    <row r="110" spans="1:28">
      <c r="A110" s="21"/>
      <c r="B110" s="21"/>
      <c r="C110" s="21"/>
      <c r="D110" s="28"/>
      <c r="E110" s="21"/>
      <c r="F110" s="21"/>
      <c r="G110" s="21"/>
      <c r="H110" s="21"/>
      <c r="Q110" s="26"/>
      <c r="V110" s="75"/>
      <c r="AB110" s="21"/>
    </row>
    <row r="111" spans="1:28">
      <c r="A111" s="21"/>
      <c r="B111" s="21"/>
      <c r="C111" s="21"/>
      <c r="D111" s="28"/>
      <c r="E111" s="21"/>
      <c r="F111" s="21"/>
      <c r="G111" s="21"/>
      <c r="H111" s="21"/>
      <c r="Q111" s="26"/>
      <c r="V111" s="75"/>
      <c r="AB111" s="21"/>
    </row>
    <row r="112" spans="1:28">
      <c r="A112" s="21"/>
      <c r="B112" s="21"/>
      <c r="C112" s="21"/>
      <c r="D112" s="28"/>
      <c r="E112" s="21"/>
      <c r="F112" s="21"/>
      <c r="G112" s="21"/>
      <c r="H112" s="21"/>
      <c r="Q112" s="26"/>
      <c r="V112" s="75"/>
      <c r="AB112" s="21"/>
    </row>
    <row r="113" spans="1:28">
      <c r="A113" s="21"/>
      <c r="B113" s="21"/>
      <c r="C113" s="21"/>
      <c r="D113" s="28"/>
      <c r="E113" s="21"/>
      <c r="F113" s="21"/>
      <c r="G113" s="21"/>
      <c r="H113" s="21"/>
      <c r="AB113" s="21"/>
    </row>
    <row r="114" spans="1:28">
      <c r="A114" s="21"/>
      <c r="B114" s="21"/>
      <c r="C114" s="21"/>
      <c r="D114" s="28"/>
      <c r="E114" s="21"/>
      <c r="F114" s="21"/>
      <c r="G114" s="21"/>
      <c r="H114" s="21"/>
      <c r="AB114" s="21"/>
    </row>
    <row r="115" spans="1:28">
      <c r="A115" s="21"/>
      <c r="B115" s="21"/>
      <c r="C115" s="21"/>
      <c r="D115" s="28"/>
      <c r="E115" s="21"/>
      <c r="F115" s="21"/>
      <c r="G115" s="21"/>
      <c r="H115" s="21"/>
      <c r="AB115" s="21"/>
    </row>
    <row r="116" spans="1:28">
      <c r="A116" s="21"/>
      <c r="B116" s="21"/>
      <c r="C116" s="21"/>
      <c r="D116" s="28"/>
      <c r="E116" s="21"/>
      <c r="F116" s="21"/>
      <c r="G116" s="21"/>
      <c r="H116" s="21"/>
      <c r="AB116" s="21"/>
    </row>
    <row r="117" spans="1:28">
      <c r="A117" s="21"/>
      <c r="B117" s="21"/>
      <c r="C117" s="21"/>
      <c r="D117" s="28"/>
      <c r="E117" s="21"/>
      <c r="F117" s="21"/>
      <c r="G117" s="21"/>
      <c r="H117" s="21"/>
      <c r="AB117" s="21"/>
    </row>
    <row r="118" spans="1:28">
      <c r="A118" s="21"/>
      <c r="B118" s="21"/>
      <c r="C118" s="21"/>
      <c r="D118" s="28"/>
      <c r="E118" s="21"/>
      <c r="F118" s="21"/>
      <c r="G118" s="21"/>
      <c r="H118" s="21"/>
      <c r="AB118" s="21"/>
    </row>
    <row r="119" spans="1:28">
      <c r="A119" s="21"/>
      <c r="B119" s="21"/>
      <c r="C119" s="21"/>
      <c r="D119" s="28"/>
      <c r="E119" s="21"/>
      <c r="F119" s="21"/>
      <c r="G119" s="21"/>
      <c r="H119" s="21"/>
      <c r="AB119" s="21"/>
    </row>
    <row r="120" spans="1:28">
      <c r="A120" s="21"/>
      <c r="B120" s="21"/>
      <c r="C120" s="21"/>
      <c r="D120" s="28"/>
      <c r="E120" s="21"/>
      <c r="F120" s="21"/>
      <c r="G120" s="21"/>
      <c r="H120" s="21"/>
      <c r="AB120" s="21"/>
    </row>
    <row r="121" spans="1:28">
      <c r="A121" s="21"/>
      <c r="B121" s="21"/>
      <c r="C121" s="21"/>
      <c r="D121" s="28"/>
      <c r="E121" s="21"/>
      <c r="F121" s="21"/>
      <c r="G121" s="21"/>
      <c r="H121" s="21"/>
      <c r="AB121" s="21"/>
    </row>
    <row r="122" spans="1:28">
      <c r="A122" s="21"/>
      <c r="B122" s="21"/>
      <c r="C122" s="21"/>
      <c r="D122" s="28"/>
      <c r="E122" s="21"/>
      <c r="F122" s="21"/>
      <c r="G122" s="21"/>
      <c r="H122" s="21"/>
      <c r="AB122" s="21"/>
    </row>
    <row r="123" spans="1:28">
      <c r="A123" s="21"/>
      <c r="B123" s="21"/>
      <c r="C123" s="21"/>
      <c r="D123" s="28"/>
      <c r="E123" s="21"/>
      <c r="F123" s="21"/>
      <c r="G123" s="21"/>
      <c r="H123" s="21"/>
      <c r="AB123" s="21"/>
    </row>
    <row r="124" spans="1:28">
      <c r="A124" s="21"/>
      <c r="B124" s="21"/>
      <c r="C124" s="21"/>
      <c r="D124" s="28"/>
      <c r="E124" s="21"/>
      <c r="F124" s="21"/>
      <c r="G124" s="21"/>
      <c r="H124" s="21"/>
      <c r="AB124" s="21"/>
    </row>
    <row r="125" spans="1:28">
      <c r="A125" s="21"/>
      <c r="B125" s="21"/>
      <c r="C125" s="21"/>
      <c r="D125" s="28"/>
      <c r="E125" s="21"/>
      <c r="F125" s="21"/>
      <c r="G125" s="21"/>
      <c r="H125" s="21"/>
      <c r="AB125" s="21"/>
    </row>
    <row r="126" spans="1:28">
      <c r="A126" s="21"/>
      <c r="B126" s="21"/>
      <c r="C126" s="21"/>
      <c r="D126" s="28"/>
      <c r="E126" s="21"/>
      <c r="F126" s="21"/>
      <c r="G126" s="21"/>
      <c r="H126" s="21"/>
      <c r="AB126" s="21"/>
    </row>
    <row r="127" spans="1:28">
      <c r="A127" s="21"/>
      <c r="B127" s="21"/>
      <c r="C127" s="21"/>
      <c r="D127" s="28"/>
      <c r="E127" s="21"/>
      <c r="F127" s="21"/>
      <c r="G127" s="21"/>
      <c r="H127" s="21"/>
      <c r="AB127" s="21"/>
    </row>
    <row r="128" spans="1:28">
      <c r="A128" s="21"/>
      <c r="B128" s="21"/>
      <c r="C128" s="21"/>
      <c r="D128" s="28"/>
      <c r="E128" s="21"/>
      <c r="F128" s="21"/>
      <c r="G128" s="21"/>
      <c r="H128" s="21"/>
      <c r="AB128" s="21"/>
    </row>
    <row r="129" spans="1:28">
      <c r="A129" s="21"/>
      <c r="B129" s="21"/>
      <c r="C129" s="21"/>
      <c r="D129" s="28"/>
      <c r="E129" s="21"/>
      <c r="F129" s="21"/>
      <c r="G129" s="21"/>
      <c r="H129" s="21"/>
      <c r="AB129" s="21"/>
    </row>
    <row r="130" spans="1:28">
      <c r="A130" s="21"/>
      <c r="B130" s="21"/>
      <c r="C130" s="21"/>
      <c r="D130" s="28"/>
      <c r="E130" s="21"/>
      <c r="F130" s="21"/>
      <c r="G130" s="21"/>
      <c r="H130" s="21"/>
      <c r="AB130" s="21"/>
    </row>
    <row r="131" spans="1:28">
      <c r="A131" s="21"/>
      <c r="B131" s="21"/>
      <c r="C131" s="21"/>
      <c r="D131" s="28"/>
      <c r="E131" s="21"/>
      <c r="F131" s="21"/>
      <c r="G131" s="21"/>
      <c r="H131" s="21"/>
      <c r="AB131" s="21"/>
    </row>
    <row r="132" spans="1:28">
      <c r="A132" s="21"/>
      <c r="B132" s="21"/>
      <c r="C132" s="21"/>
      <c r="D132" s="28"/>
      <c r="E132" s="21"/>
      <c r="F132" s="21"/>
      <c r="G132" s="21"/>
      <c r="H132" s="21"/>
      <c r="AB132" s="21"/>
    </row>
    <row r="133" spans="1:28">
      <c r="A133" s="21"/>
      <c r="B133" s="21"/>
      <c r="C133" s="21"/>
      <c r="D133" s="28"/>
      <c r="E133" s="21"/>
      <c r="F133" s="21"/>
      <c r="G133" s="21"/>
      <c r="H133" s="21"/>
      <c r="AB133" s="21"/>
    </row>
    <row r="134" spans="1:28">
      <c r="A134" s="21"/>
      <c r="B134" s="21"/>
      <c r="C134" s="21"/>
      <c r="D134" s="28"/>
      <c r="E134" s="21"/>
      <c r="F134" s="21"/>
      <c r="G134" s="21"/>
      <c r="H134" s="21"/>
      <c r="AB134" s="21"/>
    </row>
    <row r="135" spans="1:28">
      <c r="A135" s="21"/>
      <c r="B135" s="21"/>
      <c r="C135" s="21"/>
      <c r="D135" s="28"/>
      <c r="E135" s="21"/>
      <c r="F135" s="21"/>
      <c r="G135" s="21"/>
      <c r="H135" s="21"/>
      <c r="AB135" s="21"/>
    </row>
    <row r="136" spans="1:28">
      <c r="A136" s="21"/>
      <c r="B136" s="21"/>
      <c r="C136" s="21"/>
      <c r="D136" s="28"/>
      <c r="E136" s="21"/>
      <c r="F136" s="21"/>
      <c r="G136" s="21"/>
      <c r="H136" s="21"/>
      <c r="AB136" s="21"/>
    </row>
    <row r="137" spans="1:28">
      <c r="A137" s="21"/>
      <c r="B137" s="21"/>
      <c r="C137" s="21"/>
      <c r="D137" s="28"/>
      <c r="E137" s="21"/>
      <c r="F137" s="21"/>
      <c r="G137" s="21"/>
      <c r="H137" s="21"/>
      <c r="AB137" s="21"/>
    </row>
    <row r="138" spans="1:28">
      <c r="A138" s="21"/>
      <c r="B138" s="21"/>
      <c r="C138" s="21"/>
      <c r="D138" s="28"/>
      <c r="E138" s="21"/>
      <c r="F138" s="21"/>
      <c r="G138" s="21"/>
      <c r="H138" s="21"/>
      <c r="AB138" s="21"/>
    </row>
    <row r="139" spans="1:28">
      <c r="A139" s="21"/>
      <c r="B139" s="21"/>
      <c r="C139" s="21"/>
      <c r="D139" s="28"/>
      <c r="E139" s="21"/>
      <c r="F139" s="21"/>
      <c r="G139" s="21"/>
      <c r="H139" s="21"/>
      <c r="AB139" s="21"/>
    </row>
    <row r="140" spans="1:28">
      <c r="A140" s="21"/>
      <c r="B140" s="21"/>
      <c r="C140" s="21"/>
      <c r="D140" s="28"/>
      <c r="E140" s="21"/>
      <c r="F140" s="21"/>
      <c r="G140" s="21"/>
      <c r="H140" s="21"/>
      <c r="AB140" s="21"/>
    </row>
    <row r="141" spans="1:28">
      <c r="A141" s="21"/>
      <c r="B141" s="21"/>
      <c r="C141" s="21"/>
      <c r="D141" s="28"/>
      <c r="E141" s="21"/>
      <c r="F141" s="21"/>
      <c r="G141" s="21"/>
      <c r="H141" s="21"/>
      <c r="AB141" s="21"/>
    </row>
    <row r="142" spans="1:28">
      <c r="A142" s="21"/>
      <c r="B142" s="21"/>
      <c r="C142" s="21"/>
      <c r="D142" s="28"/>
      <c r="E142" s="21"/>
      <c r="F142" s="21"/>
      <c r="G142" s="21"/>
      <c r="H142" s="21"/>
      <c r="AB142" s="21"/>
    </row>
    <row r="143" spans="1:28">
      <c r="A143" s="21"/>
      <c r="B143" s="21"/>
      <c r="C143" s="21"/>
      <c r="D143" s="28"/>
      <c r="E143" s="21"/>
      <c r="F143" s="21"/>
      <c r="G143" s="21"/>
      <c r="H143" s="21"/>
      <c r="AB143" s="21"/>
    </row>
    <row r="144" spans="1:28">
      <c r="A144" s="21"/>
      <c r="B144" s="21"/>
      <c r="C144" s="21"/>
      <c r="D144" s="28"/>
      <c r="E144" s="21"/>
      <c r="F144" s="21"/>
      <c r="G144" s="21"/>
      <c r="H144" s="21"/>
      <c r="AB144" s="21"/>
    </row>
    <row r="145" spans="1:28">
      <c r="A145" s="21"/>
      <c r="B145" s="21"/>
      <c r="C145" s="21"/>
      <c r="D145" s="28"/>
      <c r="E145" s="21"/>
      <c r="F145" s="21"/>
      <c r="G145" s="21"/>
      <c r="H145" s="21"/>
      <c r="AB145" s="21"/>
    </row>
    <row r="146" spans="1:28">
      <c r="A146" s="21"/>
      <c r="B146" s="21"/>
      <c r="C146" s="21"/>
      <c r="D146" s="28"/>
      <c r="E146" s="21"/>
      <c r="F146" s="21"/>
      <c r="G146" s="21"/>
      <c r="H146" s="21"/>
      <c r="AB146" s="21"/>
    </row>
    <row r="147" spans="1:28">
      <c r="A147" s="21"/>
      <c r="B147" s="21"/>
      <c r="C147" s="21"/>
      <c r="D147" s="28"/>
      <c r="E147" s="21"/>
      <c r="F147" s="21"/>
      <c r="G147" s="21"/>
      <c r="H147" s="21"/>
      <c r="AB147" s="21"/>
    </row>
    <row r="148" spans="1:28">
      <c r="A148" s="21"/>
      <c r="B148" s="21"/>
      <c r="C148" s="21"/>
      <c r="D148" s="28"/>
      <c r="E148" s="21"/>
      <c r="F148" s="21"/>
      <c r="G148" s="21"/>
      <c r="H148" s="21"/>
      <c r="AB148" s="21"/>
    </row>
    <row r="149" spans="1:28">
      <c r="A149" s="21"/>
      <c r="B149" s="21"/>
      <c r="C149" s="21"/>
      <c r="D149" s="28"/>
      <c r="E149" s="21"/>
      <c r="F149" s="21"/>
      <c r="G149" s="21"/>
      <c r="H149" s="21"/>
      <c r="AB149" s="21"/>
    </row>
    <row r="150" spans="1:28">
      <c r="A150" s="21"/>
      <c r="B150" s="21"/>
      <c r="C150" s="21"/>
      <c r="D150" s="28"/>
      <c r="E150" s="21"/>
      <c r="F150" s="21"/>
      <c r="G150" s="21"/>
      <c r="H150" s="21"/>
      <c r="AB150" s="21"/>
    </row>
    <row r="151" spans="1:28">
      <c r="A151" s="21"/>
      <c r="B151" s="21"/>
      <c r="C151" s="21"/>
      <c r="D151" s="28"/>
      <c r="E151" s="21"/>
      <c r="F151" s="21"/>
      <c r="G151" s="21"/>
      <c r="H151" s="21"/>
      <c r="AB151" s="21"/>
    </row>
    <row r="152" spans="1:28">
      <c r="A152" s="21"/>
      <c r="B152" s="21"/>
      <c r="C152" s="21"/>
      <c r="D152" s="28"/>
      <c r="E152" s="21"/>
      <c r="F152" s="21"/>
      <c r="G152" s="21"/>
      <c r="H152" s="21"/>
      <c r="AB152" s="21"/>
    </row>
    <row r="153" spans="1:28">
      <c r="A153" s="21"/>
      <c r="B153" s="21"/>
      <c r="C153" s="21"/>
      <c r="D153" s="28"/>
      <c r="E153" s="21"/>
      <c r="F153" s="21"/>
      <c r="G153" s="21"/>
      <c r="H153" s="21"/>
      <c r="AB153" s="21"/>
    </row>
    <row r="154" spans="1:28">
      <c r="A154" s="21"/>
      <c r="B154" s="21"/>
      <c r="C154" s="21"/>
      <c r="D154" s="28"/>
      <c r="E154" s="21"/>
      <c r="F154" s="21"/>
      <c r="G154" s="21"/>
      <c r="H154" s="21"/>
      <c r="AB154" s="21"/>
    </row>
    <row r="155" spans="1:28">
      <c r="A155" s="21"/>
      <c r="B155" s="21"/>
      <c r="C155" s="21"/>
      <c r="D155" s="28"/>
      <c r="E155" s="21"/>
      <c r="F155" s="21"/>
      <c r="G155" s="21"/>
      <c r="H155" s="21"/>
      <c r="AB155" s="21"/>
    </row>
    <row r="156" spans="1:28">
      <c r="A156" s="21"/>
      <c r="B156" s="21"/>
      <c r="C156" s="21"/>
      <c r="D156" s="28"/>
      <c r="E156" s="21"/>
      <c r="F156" s="21"/>
      <c r="G156" s="21"/>
      <c r="H156" s="21"/>
      <c r="AB156" s="21"/>
    </row>
    <row r="157" spans="1:28">
      <c r="A157" s="21"/>
      <c r="B157" s="21"/>
      <c r="C157" s="21"/>
      <c r="D157" s="28"/>
      <c r="E157" s="21"/>
      <c r="F157" s="21"/>
      <c r="G157" s="21"/>
      <c r="H157" s="21"/>
      <c r="AB157" s="21"/>
    </row>
    <row r="158" spans="1:28">
      <c r="A158" s="21"/>
      <c r="B158" s="21"/>
      <c r="C158" s="21"/>
      <c r="D158" s="28"/>
      <c r="E158" s="21"/>
      <c r="F158" s="21"/>
      <c r="G158" s="21"/>
      <c r="H158" s="21"/>
      <c r="AB158" s="21"/>
    </row>
    <row r="159" spans="1:28">
      <c r="A159" s="21"/>
      <c r="B159" s="21"/>
      <c r="C159" s="21"/>
      <c r="D159" s="28"/>
      <c r="E159" s="21"/>
      <c r="F159" s="21"/>
      <c r="G159" s="21"/>
      <c r="H159" s="21"/>
      <c r="AB159" s="21"/>
    </row>
    <row r="160" spans="1:28">
      <c r="A160" s="21"/>
      <c r="B160" s="21"/>
      <c r="C160" s="21"/>
      <c r="D160" s="28"/>
      <c r="E160" s="21"/>
      <c r="F160" s="21"/>
      <c r="G160" s="21"/>
      <c r="H160" s="21"/>
      <c r="AB160" s="21"/>
    </row>
    <row r="161" spans="1:28">
      <c r="A161" s="21"/>
      <c r="B161" s="21"/>
      <c r="C161" s="21"/>
      <c r="D161" s="28"/>
      <c r="E161" s="21"/>
      <c r="F161" s="21"/>
      <c r="G161" s="21"/>
      <c r="H161" s="21"/>
      <c r="AB161" s="21"/>
    </row>
    <row r="162" spans="1:28">
      <c r="A162" s="21"/>
      <c r="B162" s="21"/>
      <c r="C162" s="21"/>
      <c r="D162" s="28"/>
      <c r="E162" s="21"/>
      <c r="F162" s="21"/>
      <c r="G162" s="21"/>
      <c r="H162" s="21"/>
      <c r="AB162" s="21"/>
    </row>
    <row r="163" spans="1:28">
      <c r="A163" s="21"/>
      <c r="B163" s="21"/>
      <c r="C163" s="21"/>
      <c r="D163" s="28"/>
      <c r="E163" s="21"/>
      <c r="F163" s="21"/>
      <c r="G163" s="21"/>
      <c r="H163" s="21"/>
      <c r="AB163" s="21"/>
    </row>
    <row r="164" spans="1:28">
      <c r="A164" s="21"/>
      <c r="B164" s="21"/>
      <c r="C164" s="21"/>
      <c r="D164" s="28"/>
      <c r="E164" s="21"/>
      <c r="F164" s="21"/>
      <c r="G164" s="21"/>
      <c r="H164" s="21"/>
      <c r="AB164" s="21"/>
    </row>
    <row r="165" spans="1:28">
      <c r="A165" s="21"/>
      <c r="B165" s="21"/>
      <c r="C165" s="21"/>
      <c r="D165" s="28"/>
      <c r="E165" s="21"/>
      <c r="F165" s="21"/>
      <c r="G165" s="21"/>
      <c r="H165" s="21"/>
      <c r="AB165" s="21"/>
    </row>
    <row r="166" spans="1:28">
      <c r="A166" s="21"/>
      <c r="B166" s="21"/>
      <c r="C166" s="21"/>
      <c r="D166" s="28"/>
      <c r="E166" s="21"/>
      <c r="F166" s="21"/>
      <c r="G166" s="21"/>
      <c r="H166" s="21"/>
      <c r="AB166" s="21"/>
    </row>
    <row r="167" spans="1:28">
      <c r="A167" s="21"/>
      <c r="B167" s="21"/>
      <c r="C167" s="21"/>
      <c r="D167" s="28"/>
      <c r="E167" s="21"/>
      <c r="F167" s="21"/>
      <c r="G167" s="21"/>
      <c r="H167" s="21"/>
      <c r="AB167" s="21"/>
    </row>
    <row r="168" spans="1:28">
      <c r="A168" s="21"/>
      <c r="B168" s="21"/>
      <c r="C168" s="21"/>
      <c r="D168" s="28"/>
      <c r="E168" s="21"/>
      <c r="F168" s="21"/>
      <c r="G168" s="21"/>
      <c r="H168" s="21"/>
      <c r="AB168" s="21"/>
    </row>
    <row r="169" spans="1:28">
      <c r="A169" s="21"/>
      <c r="B169" s="21"/>
      <c r="C169" s="21"/>
      <c r="D169" s="28"/>
      <c r="E169" s="21"/>
      <c r="F169" s="21"/>
      <c r="G169" s="21"/>
      <c r="H169" s="21"/>
      <c r="AB169" s="21"/>
    </row>
    <row r="170" spans="1:28">
      <c r="A170" s="21"/>
      <c r="B170" s="21"/>
      <c r="C170" s="21"/>
      <c r="D170" s="28"/>
      <c r="E170" s="21"/>
      <c r="F170" s="21"/>
      <c r="G170" s="21"/>
      <c r="H170" s="21"/>
      <c r="AB170" s="21"/>
    </row>
    <row r="171" spans="1:28">
      <c r="A171" s="21"/>
      <c r="B171" s="21"/>
      <c r="C171" s="21"/>
      <c r="D171" s="28"/>
      <c r="E171" s="21"/>
      <c r="F171" s="21"/>
      <c r="G171" s="21"/>
      <c r="H171" s="21"/>
      <c r="AB171" s="21"/>
    </row>
    <row r="172" spans="1:28">
      <c r="A172" s="21"/>
      <c r="B172" s="21"/>
      <c r="C172" s="21"/>
      <c r="D172" s="28"/>
      <c r="E172" s="21"/>
      <c r="F172" s="21"/>
      <c r="G172" s="21"/>
      <c r="H172" s="21"/>
      <c r="AB172" s="21"/>
    </row>
    <row r="173" spans="1:28">
      <c r="A173" s="21"/>
      <c r="B173" s="21"/>
      <c r="C173" s="21"/>
      <c r="D173" s="28"/>
      <c r="E173" s="21"/>
      <c r="F173" s="21"/>
      <c r="G173" s="21"/>
      <c r="H173" s="21"/>
      <c r="AB173" s="21"/>
    </row>
    <row r="174" spans="1:28">
      <c r="A174" s="21"/>
      <c r="B174" s="21"/>
      <c r="C174" s="21"/>
      <c r="D174" s="28"/>
      <c r="E174" s="21"/>
      <c r="F174" s="21"/>
      <c r="G174" s="21"/>
      <c r="H174" s="21"/>
      <c r="AB174" s="21"/>
    </row>
    <row r="175" spans="1:28">
      <c r="A175" s="21"/>
      <c r="B175" s="21"/>
      <c r="C175" s="21"/>
      <c r="D175" s="28"/>
      <c r="E175" s="21"/>
      <c r="F175" s="21"/>
      <c r="G175" s="21"/>
      <c r="H175" s="21"/>
      <c r="AB175" s="21"/>
    </row>
    <row r="176" spans="1:28">
      <c r="A176" s="21"/>
      <c r="B176" s="21"/>
      <c r="C176" s="21"/>
      <c r="D176" s="28"/>
      <c r="E176" s="21"/>
      <c r="F176" s="21"/>
      <c r="G176" s="21"/>
      <c r="H176" s="21"/>
      <c r="AB176" s="21"/>
    </row>
    <row r="177" spans="1:28">
      <c r="A177" s="21"/>
      <c r="B177" s="21"/>
      <c r="C177" s="21"/>
      <c r="D177" s="28"/>
      <c r="E177" s="21"/>
      <c r="F177" s="21"/>
      <c r="G177" s="21"/>
      <c r="H177" s="21"/>
      <c r="AB177" s="21"/>
    </row>
    <row r="178" spans="1:28">
      <c r="A178" s="21"/>
      <c r="B178" s="21"/>
      <c r="C178" s="21"/>
      <c r="D178" s="28"/>
      <c r="E178" s="21"/>
      <c r="F178" s="21"/>
      <c r="G178" s="21"/>
      <c r="H178" s="21"/>
      <c r="AB178" s="21"/>
    </row>
    <row r="179" spans="1:28">
      <c r="A179" s="21"/>
      <c r="B179" s="21"/>
      <c r="C179" s="21"/>
      <c r="D179" s="28"/>
      <c r="E179" s="21"/>
      <c r="F179" s="21"/>
      <c r="G179" s="21"/>
      <c r="H179" s="21"/>
      <c r="AB179" s="21"/>
    </row>
    <row r="180" spans="1:28">
      <c r="A180" s="21"/>
      <c r="B180" s="21"/>
      <c r="C180" s="21"/>
      <c r="D180" s="28"/>
      <c r="E180" s="21"/>
      <c r="F180" s="21"/>
      <c r="G180" s="21"/>
      <c r="H180" s="21"/>
      <c r="AB180" s="21"/>
    </row>
    <row r="181" spans="1:28">
      <c r="A181" s="21"/>
      <c r="B181" s="21"/>
      <c r="C181" s="21"/>
      <c r="D181" s="28"/>
      <c r="E181" s="21"/>
      <c r="F181" s="21"/>
      <c r="G181" s="21"/>
      <c r="H181" s="21"/>
      <c r="AB181" s="21"/>
    </row>
    <row r="182" spans="1:28">
      <c r="A182" s="21"/>
      <c r="B182" s="21"/>
      <c r="C182" s="21"/>
      <c r="D182" s="28"/>
      <c r="E182" s="21"/>
      <c r="F182" s="21"/>
      <c r="G182" s="21"/>
      <c r="H182" s="21"/>
      <c r="AB182" s="21"/>
    </row>
    <row r="183" spans="1:28">
      <c r="A183" s="21"/>
      <c r="B183" s="21"/>
      <c r="C183" s="21"/>
      <c r="D183" s="28"/>
      <c r="E183" s="21"/>
      <c r="F183" s="21"/>
      <c r="G183" s="21"/>
      <c r="H183" s="21"/>
      <c r="AB183" s="21"/>
    </row>
    <row r="184" spans="1:28">
      <c r="A184" s="21"/>
      <c r="B184" s="21"/>
      <c r="C184" s="21"/>
      <c r="D184" s="28"/>
      <c r="E184" s="21"/>
      <c r="F184" s="21"/>
      <c r="G184" s="21"/>
      <c r="H184" s="21"/>
      <c r="AB184" s="21"/>
    </row>
    <row r="185" spans="1:28">
      <c r="A185" s="21"/>
      <c r="B185" s="21"/>
      <c r="C185" s="21"/>
      <c r="D185" s="28"/>
      <c r="E185" s="21"/>
      <c r="F185" s="21"/>
      <c r="G185" s="21"/>
      <c r="H185" s="21"/>
      <c r="AB185" s="21"/>
    </row>
    <row r="186" spans="1:28">
      <c r="A186" s="21"/>
      <c r="B186" s="21"/>
      <c r="C186" s="21"/>
      <c r="D186" s="28"/>
      <c r="E186" s="21"/>
      <c r="F186" s="21"/>
      <c r="G186" s="21"/>
      <c r="H186" s="21"/>
      <c r="AB186" s="21"/>
    </row>
    <row r="187" spans="1:28">
      <c r="A187" s="21"/>
      <c r="B187" s="21"/>
      <c r="C187" s="21"/>
      <c r="D187" s="28"/>
      <c r="E187" s="21"/>
      <c r="F187" s="21"/>
      <c r="G187" s="21"/>
      <c r="H187" s="21"/>
      <c r="AB187" s="21"/>
    </row>
    <row r="188" spans="1:28">
      <c r="A188" s="21"/>
      <c r="B188" s="21"/>
      <c r="C188" s="21"/>
      <c r="D188" s="28"/>
      <c r="E188" s="21"/>
      <c r="F188" s="21"/>
      <c r="G188" s="21"/>
      <c r="H188" s="21"/>
      <c r="AB188" s="21"/>
    </row>
    <row r="189" spans="1:28">
      <c r="A189" s="21"/>
      <c r="B189" s="21"/>
      <c r="C189" s="21"/>
      <c r="D189" s="28"/>
      <c r="E189" s="21"/>
      <c r="F189" s="21"/>
      <c r="G189" s="21"/>
      <c r="H189" s="21"/>
      <c r="AB189" s="21"/>
    </row>
    <row r="190" spans="1:28">
      <c r="A190" s="21"/>
      <c r="B190" s="21"/>
      <c r="C190" s="21"/>
      <c r="D190" s="28"/>
      <c r="E190" s="21"/>
      <c r="F190" s="21"/>
      <c r="G190" s="21"/>
      <c r="H190" s="21"/>
      <c r="AB190" s="21"/>
    </row>
    <row r="191" spans="1:28">
      <c r="A191" s="21"/>
      <c r="B191" s="21"/>
      <c r="C191" s="21"/>
      <c r="D191" s="28"/>
      <c r="E191" s="21"/>
      <c r="F191" s="21"/>
      <c r="G191" s="21"/>
      <c r="H191" s="21"/>
      <c r="AB191" s="21"/>
    </row>
    <row r="192" spans="1:28">
      <c r="A192" s="21"/>
      <c r="B192" s="21"/>
      <c r="C192" s="21"/>
      <c r="D192" s="28"/>
      <c r="E192" s="21"/>
      <c r="F192" s="21"/>
      <c r="G192" s="21"/>
      <c r="H192" s="21"/>
      <c r="AB192" s="21"/>
    </row>
    <row r="193" spans="1:28">
      <c r="A193" s="21"/>
      <c r="B193" s="21"/>
      <c r="C193" s="21"/>
      <c r="D193" s="28"/>
      <c r="E193" s="21"/>
      <c r="F193" s="21"/>
      <c r="G193" s="21"/>
      <c r="H193" s="21"/>
      <c r="AB193" s="21"/>
    </row>
    <row r="194" spans="1:28">
      <c r="A194" s="21"/>
      <c r="B194" s="21"/>
      <c r="C194" s="21"/>
      <c r="D194" s="28"/>
      <c r="E194" s="21"/>
      <c r="F194" s="21"/>
      <c r="G194" s="21"/>
      <c r="H194" s="21"/>
      <c r="AB194" s="21"/>
    </row>
    <row r="195" spans="1:28">
      <c r="A195" s="21"/>
      <c r="B195" s="21"/>
      <c r="C195" s="21"/>
      <c r="D195" s="28"/>
      <c r="E195" s="21"/>
      <c r="F195" s="21"/>
      <c r="G195" s="21"/>
      <c r="H195" s="21"/>
      <c r="AB195" s="21"/>
    </row>
    <row r="196" spans="1:28">
      <c r="A196" s="21"/>
      <c r="B196" s="21"/>
      <c r="C196" s="21"/>
      <c r="D196" s="28"/>
      <c r="E196" s="21"/>
      <c r="F196" s="21"/>
      <c r="G196" s="21"/>
      <c r="H196" s="21"/>
      <c r="AB196" s="21"/>
    </row>
    <row r="197" spans="1:28">
      <c r="A197" s="21"/>
      <c r="B197" s="21"/>
      <c r="C197" s="21"/>
      <c r="D197" s="28"/>
      <c r="E197" s="21"/>
      <c r="F197" s="21"/>
      <c r="G197" s="21"/>
      <c r="H197" s="21"/>
      <c r="AB197" s="21"/>
    </row>
    <row r="198" spans="1:28">
      <c r="A198" s="21"/>
      <c r="B198" s="21"/>
      <c r="C198" s="21"/>
      <c r="D198" s="28"/>
      <c r="E198" s="21"/>
      <c r="F198" s="21"/>
      <c r="G198" s="21"/>
      <c r="H198" s="21"/>
      <c r="AB198" s="21"/>
    </row>
    <row r="199" spans="1:28">
      <c r="A199" s="21"/>
      <c r="B199" s="21"/>
      <c r="C199" s="21"/>
      <c r="D199" s="28"/>
      <c r="E199" s="21"/>
      <c r="F199" s="21"/>
      <c r="G199" s="21"/>
      <c r="H199" s="21"/>
      <c r="AB199" s="21"/>
    </row>
    <row r="200" spans="1:28">
      <c r="A200" s="21"/>
      <c r="B200" s="21"/>
      <c r="C200" s="21"/>
      <c r="D200" s="28"/>
      <c r="E200" s="21"/>
      <c r="F200" s="21"/>
      <c r="G200" s="21"/>
      <c r="H200" s="21"/>
      <c r="AB200" s="21"/>
    </row>
    <row r="201" spans="1:28">
      <c r="A201" s="21"/>
      <c r="B201" s="21"/>
      <c r="C201" s="21"/>
      <c r="D201" s="28"/>
      <c r="E201" s="21"/>
      <c r="F201" s="21"/>
      <c r="G201" s="21"/>
      <c r="H201" s="21"/>
      <c r="AB201" s="21"/>
    </row>
    <row r="202" spans="1:28">
      <c r="A202" s="21"/>
      <c r="B202" s="21"/>
      <c r="C202" s="21"/>
      <c r="D202" s="28"/>
      <c r="E202" s="21"/>
      <c r="F202" s="21"/>
      <c r="G202" s="21"/>
      <c r="H202" s="21"/>
      <c r="AB202" s="21"/>
    </row>
    <row r="203" spans="1:28">
      <c r="A203" s="21"/>
      <c r="B203" s="21"/>
      <c r="C203" s="21"/>
      <c r="D203" s="28"/>
      <c r="E203" s="21"/>
      <c r="F203" s="21"/>
      <c r="G203" s="21"/>
      <c r="H203" s="21"/>
      <c r="AB203" s="21"/>
    </row>
    <row r="204" spans="1:28">
      <c r="A204" s="21"/>
      <c r="B204" s="21"/>
      <c r="C204" s="21"/>
      <c r="D204" s="28"/>
      <c r="E204" s="21"/>
      <c r="F204" s="21"/>
      <c r="G204" s="21"/>
      <c r="H204" s="21"/>
      <c r="AB204" s="21"/>
    </row>
    <row r="205" spans="1:28">
      <c r="A205" s="21"/>
      <c r="B205" s="21"/>
      <c r="C205" s="21"/>
      <c r="D205" s="28"/>
      <c r="E205" s="21"/>
      <c r="F205" s="21"/>
      <c r="G205" s="21"/>
      <c r="H205" s="21"/>
      <c r="AB205" s="21"/>
    </row>
    <row r="206" spans="1:28">
      <c r="A206" s="21"/>
      <c r="B206" s="21"/>
      <c r="C206" s="21"/>
      <c r="D206" s="28"/>
      <c r="E206" s="21"/>
      <c r="F206" s="21"/>
      <c r="G206" s="21"/>
      <c r="H206" s="21"/>
      <c r="AB206" s="21"/>
    </row>
    <row r="207" spans="1:28">
      <c r="A207" s="21"/>
      <c r="B207" s="21"/>
      <c r="C207" s="21"/>
      <c r="D207" s="28"/>
      <c r="E207" s="21"/>
      <c r="F207" s="21"/>
      <c r="G207" s="21"/>
      <c r="H207" s="21"/>
      <c r="AB207" s="21"/>
    </row>
    <row r="208" spans="1:28">
      <c r="A208" s="21"/>
      <c r="B208" s="21"/>
      <c r="C208" s="21"/>
      <c r="D208" s="28"/>
      <c r="E208" s="21"/>
      <c r="F208" s="21"/>
      <c r="G208" s="21"/>
      <c r="H208" s="21"/>
      <c r="AB208" s="21"/>
    </row>
    <row r="209" spans="1:28">
      <c r="A209" s="21"/>
      <c r="B209" s="21"/>
      <c r="C209" s="21"/>
      <c r="D209" s="28"/>
      <c r="E209" s="21"/>
      <c r="F209" s="21"/>
      <c r="G209" s="21"/>
      <c r="H209" s="21"/>
      <c r="AB209" s="21"/>
    </row>
    <row r="210" spans="1:28">
      <c r="A210" s="21"/>
      <c r="B210" s="21"/>
      <c r="C210" s="21"/>
      <c r="D210" s="28"/>
      <c r="E210" s="21"/>
      <c r="F210" s="21"/>
      <c r="G210" s="21"/>
      <c r="H210" s="21"/>
      <c r="AB210" s="21"/>
    </row>
    <row r="211" spans="1:28">
      <c r="A211" s="21"/>
      <c r="B211" s="21"/>
      <c r="C211" s="21"/>
      <c r="D211" s="28"/>
      <c r="E211" s="21"/>
      <c r="F211" s="21"/>
      <c r="G211" s="21"/>
      <c r="H211" s="21"/>
      <c r="AB211" s="21"/>
    </row>
    <row r="212" spans="1:28">
      <c r="A212" s="21"/>
      <c r="B212" s="21"/>
      <c r="C212" s="21"/>
      <c r="D212" s="28"/>
      <c r="E212" s="21"/>
      <c r="F212" s="21"/>
      <c r="G212" s="21"/>
      <c r="H212" s="21"/>
      <c r="AB212" s="21"/>
    </row>
    <row r="213" spans="1:28">
      <c r="A213" s="21"/>
      <c r="B213" s="21"/>
      <c r="C213" s="21"/>
      <c r="D213" s="28"/>
      <c r="E213" s="21"/>
      <c r="F213" s="21"/>
      <c r="G213" s="21"/>
      <c r="H213" s="21"/>
      <c r="AB213" s="21"/>
    </row>
    <row r="214" spans="1:28">
      <c r="A214" s="21"/>
      <c r="B214" s="21"/>
      <c r="C214" s="21"/>
      <c r="D214" s="28"/>
      <c r="E214" s="21"/>
      <c r="F214" s="21"/>
      <c r="G214" s="21"/>
      <c r="H214" s="21"/>
      <c r="AB214" s="21"/>
    </row>
    <row r="215" spans="1:28">
      <c r="A215" s="21"/>
      <c r="B215" s="21"/>
      <c r="C215" s="21"/>
      <c r="D215" s="28"/>
      <c r="E215" s="21"/>
      <c r="F215" s="21"/>
      <c r="G215" s="21"/>
      <c r="H215" s="21"/>
      <c r="AB215" s="21"/>
    </row>
    <row r="216" spans="1:28">
      <c r="A216" s="21"/>
      <c r="B216" s="21"/>
      <c r="C216" s="21"/>
      <c r="D216" s="28"/>
      <c r="E216" s="21"/>
      <c r="F216" s="21"/>
      <c r="G216" s="21"/>
      <c r="H216" s="21"/>
      <c r="AB216" s="21"/>
    </row>
    <row r="217" spans="1:28">
      <c r="A217" s="21"/>
      <c r="B217" s="21"/>
      <c r="C217" s="21"/>
      <c r="D217" s="28"/>
      <c r="E217" s="21"/>
      <c r="F217" s="21"/>
      <c r="G217" s="21"/>
      <c r="H217" s="21"/>
      <c r="AB217" s="21"/>
    </row>
    <row r="218" spans="1:28">
      <c r="A218" s="21"/>
      <c r="B218" s="21"/>
      <c r="C218" s="21"/>
      <c r="D218" s="28"/>
      <c r="E218" s="21"/>
      <c r="F218" s="21"/>
      <c r="G218" s="21"/>
      <c r="H218" s="21"/>
      <c r="AB218" s="21"/>
    </row>
    <row r="219" spans="1:28">
      <c r="A219" s="21"/>
      <c r="B219" s="21"/>
      <c r="C219" s="21"/>
      <c r="D219" s="28"/>
      <c r="E219" s="21"/>
      <c r="F219" s="21"/>
      <c r="G219" s="21"/>
      <c r="H219" s="21"/>
      <c r="AB219" s="21"/>
    </row>
    <row r="220" spans="1:28">
      <c r="A220" s="21"/>
      <c r="B220" s="21"/>
      <c r="C220" s="21"/>
      <c r="D220" s="28"/>
      <c r="E220" s="21"/>
      <c r="F220" s="21"/>
      <c r="G220" s="21"/>
      <c r="H220" s="21"/>
      <c r="AB220" s="21"/>
    </row>
    <row r="221" spans="1:28">
      <c r="A221" s="21"/>
      <c r="B221" s="21"/>
      <c r="C221" s="21"/>
      <c r="D221" s="28"/>
      <c r="E221" s="21"/>
      <c r="F221" s="21"/>
      <c r="G221" s="21"/>
      <c r="H221" s="21"/>
      <c r="AB221" s="21"/>
    </row>
    <row r="222" spans="1:28">
      <c r="A222" s="21"/>
      <c r="B222" s="21"/>
      <c r="C222" s="21"/>
      <c r="D222" s="28"/>
      <c r="E222" s="21"/>
      <c r="F222" s="21"/>
      <c r="G222" s="21"/>
      <c r="H222" s="21"/>
      <c r="AB222" s="21"/>
    </row>
    <row r="223" spans="1:28">
      <c r="A223" s="21"/>
      <c r="B223" s="21"/>
      <c r="C223" s="21"/>
      <c r="D223" s="28"/>
      <c r="E223" s="21"/>
      <c r="F223" s="21"/>
      <c r="G223" s="21"/>
      <c r="H223" s="21"/>
      <c r="AB223" s="21"/>
    </row>
    <row r="224" spans="1:28">
      <c r="A224" s="21"/>
      <c r="B224" s="21"/>
      <c r="C224" s="21"/>
      <c r="D224" s="28"/>
      <c r="E224" s="21"/>
      <c r="F224" s="21"/>
      <c r="G224" s="21"/>
      <c r="H224" s="21"/>
      <c r="AB224" s="21"/>
    </row>
    <row r="225" spans="1:28">
      <c r="A225" s="21"/>
      <c r="B225" s="21"/>
      <c r="C225" s="21"/>
      <c r="D225" s="28"/>
      <c r="E225" s="21"/>
      <c r="F225" s="21"/>
      <c r="G225" s="21"/>
      <c r="H225" s="21"/>
      <c r="AB225" s="21"/>
    </row>
    <row r="226" spans="1:28">
      <c r="A226" s="21"/>
      <c r="B226" s="21"/>
      <c r="C226" s="21"/>
      <c r="D226" s="28"/>
      <c r="E226" s="21"/>
      <c r="F226" s="21"/>
      <c r="G226" s="21"/>
      <c r="H226" s="21"/>
      <c r="AB226" s="21"/>
    </row>
    <row r="227" spans="1:28">
      <c r="A227" s="21"/>
      <c r="B227" s="21"/>
      <c r="C227" s="21"/>
      <c r="D227" s="28"/>
      <c r="E227" s="21"/>
      <c r="F227" s="21"/>
      <c r="G227" s="21"/>
      <c r="H227" s="21"/>
      <c r="AB227" s="21"/>
    </row>
    <row r="228" spans="1:28">
      <c r="A228" s="21"/>
      <c r="B228" s="21"/>
      <c r="C228" s="21"/>
      <c r="D228" s="28"/>
      <c r="E228" s="21"/>
      <c r="F228" s="21"/>
      <c r="G228" s="21"/>
      <c r="H228" s="21"/>
      <c r="AB228" s="21"/>
    </row>
    <row r="229" spans="1:28">
      <c r="A229" s="21"/>
      <c r="B229" s="21"/>
      <c r="C229" s="21"/>
      <c r="D229" s="28"/>
      <c r="E229" s="21"/>
      <c r="F229" s="21"/>
      <c r="G229" s="21"/>
      <c r="H229" s="21"/>
      <c r="AB229" s="21"/>
    </row>
    <row r="230" spans="1:28">
      <c r="A230" s="21"/>
      <c r="B230" s="21"/>
      <c r="C230" s="21"/>
      <c r="D230" s="28"/>
      <c r="E230" s="21"/>
      <c r="F230" s="21"/>
      <c r="G230" s="21"/>
      <c r="H230" s="21"/>
      <c r="AB230" s="21"/>
    </row>
    <row r="231" spans="1:28">
      <c r="A231" s="21"/>
      <c r="B231" s="21"/>
      <c r="C231" s="21"/>
      <c r="D231" s="28"/>
      <c r="E231" s="21"/>
      <c r="F231" s="21"/>
      <c r="G231" s="21"/>
      <c r="H231" s="21"/>
      <c r="AB231" s="21"/>
    </row>
    <row r="232" spans="1:28">
      <c r="A232" s="21"/>
      <c r="B232" s="21"/>
      <c r="C232" s="21"/>
      <c r="D232" s="28"/>
      <c r="E232" s="21"/>
      <c r="F232" s="21"/>
      <c r="G232" s="21"/>
      <c r="H232" s="21"/>
      <c r="AB232" s="21"/>
    </row>
    <row r="233" spans="1:28">
      <c r="A233" s="21"/>
      <c r="B233" s="21"/>
      <c r="C233" s="21"/>
      <c r="D233" s="28"/>
      <c r="E233" s="21"/>
      <c r="F233" s="21"/>
      <c r="G233" s="21"/>
      <c r="H233" s="21"/>
      <c r="AB233" s="21"/>
    </row>
    <row r="234" spans="1:28">
      <c r="A234" s="21"/>
      <c r="B234" s="21"/>
      <c r="C234" s="21"/>
      <c r="D234" s="28"/>
      <c r="E234" s="21"/>
      <c r="F234" s="21"/>
      <c r="G234" s="21"/>
      <c r="H234" s="21"/>
      <c r="AB234" s="21"/>
    </row>
    <row r="235" spans="1:28">
      <c r="A235" s="21"/>
      <c r="B235" s="21"/>
      <c r="C235" s="21"/>
      <c r="D235" s="28"/>
      <c r="E235" s="21"/>
      <c r="F235" s="21"/>
      <c r="G235" s="21"/>
      <c r="H235" s="21"/>
      <c r="AB235" s="21"/>
    </row>
    <row r="236" spans="1:28">
      <c r="A236" s="21"/>
      <c r="B236" s="21"/>
      <c r="C236" s="21"/>
      <c r="D236" s="28"/>
      <c r="E236" s="21"/>
      <c r="F236" s="21"/>
      <c r="G236" s="21"/>
      <c r="H236" s="21"/>
      <c r="AB236" s="21"/>
    </row>
    <row r="237" spans="1:28">
      <c r="A237" s="21"/>
      <c r="B237" s="21"/>
      <c r="C237" s="21"/>
      <c r="D237" s="28"/>
      <c r="E237" s="21"/>
      <c r="F237" s="21"/>
      <c r="G237" s="21"/>
      <c r="H237" s="21"/>
      <c r="AB237" s="21"/>
    </row>
    <row r="238" spans="1:28">
      <c r="A238" s="21"/>
      <c r="B238" s="21"/>
      <c r="C238" s="21"/>
      <c r="D238" s="28"/>
      <c r="E238" s="21"/>
      <c r="F238" s="21"/>
      <c r="G238" s="21"/>
      <c r="H238" s="21"/>
      <c r="AB238" s="21"/>
    </row>
    <row r="239" spans="1:28">
      <c r="A239" s="21"/>
      <c r="B239" s="21"/>
      <c r="C239" s="21"/>
      <c r="D239" s="28"/>
      <c r="E239" s="21"/>
      <c r="F239" s="21"/>
      <c r="G239" s="21"/>
      <c r="H239" s="21"/>
      <c r="AB239" s="21"/>
    </row>
    <row r="240" spans="1:28">
      <c r="A240" s="21"/>
      <c r="B240" s="21"/>
      <c r="C240" s="21"/>
      <c r="D240" s="28"/>
      <c r="E240" s="21"/>
      <c r="F240" s="21"/>
      <c r="G240" s="21"/>
      <c r="H240" s="21"/>
      <c r="AB240" s="21"/>
    </row>
    <row r="241" spans="1:28">
      <c r="A241" s="21"/>
      <c r="B241" s="21"/>
      <c r="C241" s="21"/>
      <c r="D241" s="28"/>
      <c r="E241" s="21"/>
      <c r="F241" s="21"/>
      <c r="G241" s="21"/>
      <c r="H241" s="21"/>
      <c r="AB241" s="21"/>
    </row>
    <row r="242" spans="1:28">
      <c r="A242" s="21"/>
      <c r="B242" s="21"/>
      <c r="C242" s="21"/>
      <c r="D242" s="28"/>
      <c r="E242" s="21"/>
      <c r="F242" s="21"/>
      <c r="G242" s="21"/>
      <c r="H242" s="21"/>
      <c r="AB242" s="21"/>
    </row>
    <row r="243" spans="1:28">
      <c r="A243" s="21"/>
      <c r="B243" s="21"/>
      <c r="C243" s="21"/>
      <c r="D243" s="28"/>
      <c r="E243" s="21"/>
      <c r="F243" s="21"/>
      <c r="G243" s="21"/>
      <c r="H243" s="21"/>
      <c r="AB243" s="21"/>
    </row>
    <row r="244" spans="1:28">
      <c r="A244" s="21"/>
      <c r="B244" s="21"/>
      <c r="C244" s="21"/>
      <c r="D244" s="28"/>
      <c r="E244" s="21"/>
      <c r="F244" s="21"/>
      <c r="G244" s="21"/>
      <c r="H244" s="21"/>
      <c r="AB244" s="21"/>
    </row>
    <row r="245" spans="1:28">
      <c r="A245" s="21"/>
      <c r="B245" s="21"/>
      <c r="C245" s="21"/>
      <c r="D245" s="28"/>
      <c r="E245" s="21"/>
      <c r="F245" s="21"/>
      <c r="G245" s="21"/>
      <c r="H245" s="21"/>
      <c r="AB245" s="21"/>
    </row>
    <row r="246" spans="1:28">
      <c r="A246" s="21"/>
      <c r="B246" s="21"/>
      <c r="C246" s="21"/>
      <c r="D246" s="28"/>
      <c r="E246" s="21"/>
      <c r="F246" s="21"/>
      <c r="G246" s="21"/>
      <c r="H246" s="21"/>
      <c r="AB246" s="21"/>
    </row>
    <row r="247" spans="1:28">
      <c r="A247" s="21"/>
      <c r="B247" s="21"/>
      <c r="C247" s="21"/>
      <c r="D247" s="28"/>
      <c r="E247" s="21"/>
      <c r="F247" s="21"/>
      <c r="G247" s="21"/>
      <c r="H247" s="21"/>
      <c r="AB247" s="21"/>
    </row>
    <row r="248" spans="1:28">
      <c r="A248" s="21"/>
      <c r="B248" s="21"/>
      <c r="C248" s="21"/>
      <c r="D248" s="28"/>
      <c r="E248" s="21"/>
      <c r="F248" s="21"/>
      <c r="G248" s="21"/>
      <c r="H248" s="21"/>
      <c r="AB248" s="21"/>
    </row>
    <row r="249" spans="1:28">
      <c r="A249" s="21"/>
      <c r="B249" s="21"/>
      <c r="C249" s="21"/>
      <c r="D249" s="28"/>
      <c r="E249" s="21"/>
      <c r="F249" s="21"/>
      <c r="G249" s="21"/>
      <c r="H249" s="21"/>
      <c r="AB249" s="21"/>
    </row>
    <row r="250" spans="1:28">
      <c r="A250" s="21"/>
      <c r="B250" s="21"/>
      <c r="C250" s="21"/>
      <c r="D250" s="28"/>
      <c r="E250" s="21"/>
      <c r="F250" s="21"/>
      <c r="G250" s="21"/>
      <c r="H250" s="21"/>
      <c r="AB250" s="21"/>
    </row>
    <row r="251" spans="1:28">
      <c r="A251" s="21"/>
      <c r="B251" s="21"/>
      <c r="C251" s="21"/>
      <c r="D251" s="28"/>
      <c r="E251" s="21"/>
      <c r="F251" s="21"/>
      <c r="G251" s="21"/>
      <c r="H251" s="21"/>
      <c r="AB251" s="21"/>
    </row>
    <row r="252" spans="1:28">
      <c r="A252" s="21"/>
      <c r="B252" s="21"/>
      <c r="C252" s="21"/>
      <c r="D252" s="28"/>
      <c r="E252" s="21"/>
      <c r="F252" s="21"/>
      <c r="G252" s="21"/>
      <c r="H252" s="21"/>
      <c r="AB252" s="21"/>
    </row>
    <row r="253" spans="1:28">
      <c r="A253" s="21"/>
      <c r="B253" s="21"/>
      <c r="C253" s="21"/>
      <c r="D253" s="28"/>
      <c r="E253" s="21"/>
      <c r="F253" s="21"/>
      <c r="G253" s="21"/>
      <c r="H253" s="21"/>
      <c r="AB253" s="21"/>
    </row>
    <row r="254" spans="1:28">
      <c r="A254" s="21"/>
      <c r="B254" s="21"/>
      <c r="C254" s="21"/>
      <c r="D254" s="28"/>
      <c r="E254" s="21"/>
      <c r="F254" s="21"/>
      <c r="G254" s="21"/>
      <c r="H254" s="21"/>
      <c r="AB254" s="21"/>
    </row>
    <row r="255" spans="1:28">
      <c r="A255" s="21"/>
      <c r="B255" s="21"/>
      <c r="C255" s="21"/>
      <c r="D255" s="28"/>
      <c r="E255" s="21"/>
      <c r="F255" s="21"/>
      <c r="G255" s="21"/>
      <c r="H255" s="21"/>
      <c r="AB255" s="21"/>
    </row>
    <row r="256" spans="1:28">
      <c r="A256" s="21"/>
      <c r="B256" s="21"/>
      <c r="C256" s="21"/>
      <c r="D256" s="28"/>
      <c r="E256" s="21"/>
      <c r="F256" s="21"/>
      <c r="G256" s="21"/>
      <c r="H256" s="21"/>
      <c r="AB256" s="21"/>
    </row>
    <row r="257" spans="1:28">
      <c r="A257" s="21"/>
      <c r="B257" s="21"/>
      <c r="C257" s="21"/>
      <c r="D257" s="28"/>
      <c r="E257" s="21"/>
      <c r="F257" s="21"/>
      <c r="G257" s="21"/>
      <c r="H257" s="21"/>
      <c r="AB257" s="21"/>
    </row>
    <row r="258" spans="1:28">
      <c r="A258" s="21"/>
      <c r="B258" s="21"/>
      <c r="C258" s="21"/>
      <c r="D258" s="28"/>
      <c r="E258" s="21"/>
      <c r="F258" s="21"/>
      <c r="G258" s="21"/>
      <c r="H258" s="21"/>
      <c r="AB258" s="21"/>
    </row>
    <row r="259" spans="1:28">
      <c r="A259" s="21"/>
      <c r="B259" s="21"/>
      <c r="C259" s="21"/>
      <c r="D259" s="28"/>
      <c r="E259" s="21"/>
      <c r="F259" s="21"/>
      <c r="G259" s="21"/>
      <c r="H259" s="21"/>
      <c r="AB259" s="21"/>
    </row>
    <row r="260" spans="1:28">
      <c r="A260" s="21"/>
      <c r="B260" s="21"/>
      <c r="C260" s="21"/>
      <c r="D260" s="28"/>
      <c r="E260" s="21"/>
      <c r="F260" s="21"/>
      <c r="G260" s="21"/>
      <c r="H260" s="21"/>
      <c r="AB260" s="21"/>
    </row>
    <row r="261" spans="1:28">
      <c r="A261" s="21"/>
      <c r="B261" s="21"/>
      <c r="C261" s="21"/>
      <c r="D261" s="28"/>
      <c r="E261" s="21"/>
      <c r="F261" s="21"/>
      <c r="G261" s="21"/>
      <c r="H261" s="21"/>
      <c r="AB261" s="21"/>
    </row>
    <row r="262" spans="1:28">
      <c r="A262" s="21"/>
      <c r="B262" s="21"/>
      <c r="C262" s="21"/>
      <c r="D262" s="28"/>
      <c r="E262" s="21"/>
      <c r="F262" s="21"/>
      <c r="G262" s="21"/>
      <c r="H262" s="21"/>
      <c r="AB262" s="21"/>
    </row>
    <row r="263" spans="1:28">
      <c r="A263" s="21"/>
      <c r="B263" s="21"/>
      <c r="C263" s="21"/>
      <c r="D263" s="28"/>
      <c r="E263" s="21"/>
      <c r="F263" s="21"/>
      <c r="G263" s="21"/>
      <c r="H263" s="21"/>
      <c r="AB263" s="21"/>
    </row>
    <row r="264" spans="1:28">
      <c r="A264" s="21"/>
      <c r="B264" s="21"/>
      <c r="C264" s="21"/>
      <c r="D264" s="28"/>
      <c r="E264" s="21"/>
      <c r="F264" s="21"/>
      <c r="G264" s="21"/>
      <c r="H264" s="21"/>
      <c r="AB264" s="21"/>
    </row>
    <row r="265" spans="1:28">
      <c r="A265" s="21"/>
      <c r="B265" s="21"/>
      <c r="C265" s="21"/>
      <c r="D265" s="28"/>
      <c r="E265" s="21"/>
      <c r="F265" s="21"/>
      <c r="G265" s="21"/>
      <c r="H265" s="21"/>
      <c r="AB265" s="21"/>
    </row>
    <row r="266" spans="1:28">
      <c r="A266" s="21"/>
      <c r="B266" s="21"/>
      <c r="C266" s="21"/>
      <c r="D266" s="28"/>
      <c r="E266" s="21"/>
      <c r="F266" s="21"/>
      <c r="G266" s="21"/>
      <c r="H266" s="21"/>
      <c r="AB266" s="21"/>
    </row>
    <row r="267" spans="1:28">
      <c r="A267" s="21"/>
      <c r="B267" s="21"/>
      <c r="C267" s="21"/>
      <c r="D267" s="28"/>
      <c r="E267" s="21"/>
      <c r="F267" s="21"/>
      <c r="G267" s="21"/>
      <c r="H267" s="21"/>
      <c r="AB267" s="21"/>
    </row>
    <row r="268" spans="1:28">
      <c r="A268" s="21"/>
      <c r="B268" s="21"/>
      <c r="C268" s="21"/>
      <c r="D268" s="28"/>
      <c r="E268" s="21"/>
      <c r="F268" s="21"/>
      <c r="G268" s="21"/>
      <c r="H268" s="21"/>
      <c r="AB268" s="21"/>
    </row>
    <row r="269" spans="1:28">
      <c r="A269" s="21"/>
      <c r="B269" s="21"/>
      <c r="C269" s="21"/>
      <c r="D269" s="28"/>
      <c r="E269" s="21"/>
      <c r="F269" s="21"/>
      <c r="G269" s="21"/>
      <c r="H269" s="21"/>
      <c r="AB269" s="21"/>
    </row>
    <row r="270" spans="1:28">
      <c r="A270" s="21"/>
      <c r="B270" s="21"/>
      <c r="C270" s="21"/>
      <c r="D270" s="28"/>
      <c r="E270" s="21"/>
      <c r="F270" s="21"/>
      <c r="G270" s="21"/>
      <c r="H270" s="21"/>
      <c r="AB270" s="21"/>
    </row>
    <row r="271" spans="1:28">
      <c r="A271" s="21"/>
      <c r="B271" s="21"/>
      <c r="C271" s="21"/>
      <c r="D271" s="28"/>
      <c r="E271" s="21"/>
      <c r="F271" s="21"/>
      <c r="G271" s="21"/>
      <c r="H271" s="21"/>
      <c r="AB271" s="21"/>
    </row>
    <row r="272" spans="1:28">
      <c r="A272" s="21"/>
      <c r="B272" s="21"/>
      <c r="C272" s="21"/>
      <c r="D272" s="28"/>
      <c r="E272" s="21"/>
      <c r="F272" s="21"/>
      <c r="G272" s="21"/>
      <c r="H272" s="21"/>
      <c r="AB272" s="21"/>
    </row>
    <row r="273" spans="1:28">
      <c r="A273" s="21"/>
      <c r="B273" s="21"/>
      <c r="C273" s="21"/>
      <c r="D273" s="28"/>
      <c r="E273" s="21"/>
      <c r="F273" s="21"/>
      <c r="G273" s="21"/>
      <c r="H273" s="21"/>
      <c r="AB273" s="21"/>
    </row>
    <row r="274" spans="1:28">
      <c r="A274" s="21"/>
      <c r="B274" s="21"/>
      <c r="C274" s="21"/>
      <c r="D274" s="28"/>
      <c r="E274" s="21"/>
      <c r="F274" s="21"/>
      <c r="G274" s="21"/>
      <c r="H274" s="21"/>
      <c r="AB274" s="21"/>
    </row>
    <row r="275" spans="1:28">
      <c r="A275" s="21"/>
      <c r="B275" s="21"/>
      <c r="C275" s="21"/>
      <c r="D275" s="28"/>
      <c r="E275" s="21"/>
      <c r="F275" s="21"/>
      <c r="G275" s="21"/>
      <c r="H275" s="21"/>
      <c r="AB275" s="21"/>
    </row>
    <row r="276" spans="1:28">
      <c r="A276" s="21"/>
      <c r="B276" s="21"/>
      <c r="C276" s="21"/>
      <c r="D276" s="28"/>
      <c r="E276" s="21"/>
      <c r="F276" s="21"/>
      <c r="G276" s="21"/>
      <c r="H276" s="21"/>
      <c r="AB276" s="21"/>
    </row>
    <row r="277" spans="1:28">
      <c r="A277" s="21"/>
      <c r="B277" s="21"/>
      <c r="C277" s="21"/>
      <c r="D277" s="28"/>
      <c r="E277" s="21"/>
      <c r="F277" s="21"/>
      <c r="G277" s="21"/>
      <c r="H277" s="21"/>
      <c r="AB277" s="21"/>
    </row>
    <row r="278" spans="1:28">
      <c r="A278" s="21"/>
      <c r="B278" s="21"/>
      <c r="C278" s="21"/>
      <c r="D278" s="28"/>
      <c r="E278" s="21"/>
      <c r="F278" s="21"/>
      <c r="G278" s="21"/>
      <c r="H278" s="21"/>
      <c r="AB278" s="21"/>
    </row>
    <row r="279" spans="1:28">
      <c r="A279" s="21"/>
      <c r="B279" s="21"/>
      <c r="C279" s="21"/>
      <c r="D279" s="28"/>
      <c r="E279" s="21"/>
      <c r="F279" s="21"/>
      <c r="G279" s="21"/>
      <c r="H279" s="21"/>
      <c r="AB279" s="21"/>
    </row>
    <row r="280" spans="1:28">
      <c r="A280" s="21"/>
      <c r="B280" s="21"/>
      <c r="C280" s="21"/>
      <c r="D280" s="28"/>
      <c r="E280" s="21"/>
      <c r="F280" s="21"/>
      <c r="G280" s="21"/>
      <c r="H280" s="21"/>
      <c r="AB280" s="21"/>
    </row>
    <row r="281" spans="1:28">
      <c r="A281" s="21"/>
      <c r="B281" s="21"/>
      <c r="C281" s="21"/>
      <c r="D281" s="28"/>
      <c r="E281" s="21"/>
      <c r="F281" s="21"/>
      <c r="G281" s="21"/>
      <c r="H281" s="21"/>
      <c r="AB281" s="21"/>
    </row>
    <row r="282" spans="1:28">
      <c r="A282" s="21"/>
      <c r="B282" s="21"/>
      <c r="C282" s="21"/>
      <c r="D282" s="28"/>
      <c r="E282" s="21"/>
      <c r="F282" s="21"/>
      <c r="G282" s="21"/>
      <c r="H282" s="21"/>
      <c r="AB282" s="21"/>
    </row>
    <row r="283" spans="1:28">
      <c r="A283" s="21"/>
      <c r="B283" s="21"/>
      <c r="C283" s="21"/>
      <c r="D283" s="28"/>
      <c r="E283" s="21"/>
      <c r="F283" s="21"/>
      <c r="G283" s="21"/>
      <c r="H283" s="21"/>
      <c r="AB283" s="21"/>
    </row>
    <row r="284" spans="1:28">
      <c r="A284" s="21"/>
      <c r="B284" s="21"/>
      <c r="C284" s="21"/>
      <c r="D284" s="28"/>
      <c r="E284" s="21"/>
      <c r="F284" s="21"/>
      <c r="G284" s="21"/>
      <c r="H284" s="21"/>
      <c r="AB284" s="21"/>
    </row>
    <row r="285" spans="1:28">
      <c r="A285" s="21"/>
      <c r="B285" s="21"/>
      <c r="C285" s="21"/>
      <c r="D285" s="28"/>
      <c r="E285" s="21"/>
      <c r="F285" s="21"/>
      <c r="G285" s="21"/>
      <c r="H285" s="21"/>
      <c r="AB285" s="21"/>
    </row>
    <row r="286" spans="1:28">
      <c r="A286" s="21"/>
      <c r="B286" s="21"/>
      <c r="C286" s="21"/>
      <c r="D286" s="28"/>
      <c r="E286" s="21"/>
      <c r="F286" s="21"/>
      <c r="G286" s="21"/>
      <c r="H286" s="21"/>
      <c r="AB286" s="21"/>
    </row>
    <row r="287" spans="1:28">
      <c r="A287" s="21"/>
      <c r="B287" s="21"/>
      <c r="C287" s="21"/>
      <c r="D287" s="28"/>
      <c r="E287" s="21"/>
      <c r="F287" s="21"/>
      <c r="G287" s="21"/>
      <c r="H287" s="21"/>
      <c r="AB287" s="21"/>
    </row>
    <row r="288" spans="1:28">
      <c r="A288" s="21"/>
      <c r="B288" s="21"/>
      <c r="C288" s="21"/>
      <c r="D288" s="28"/>
      <c r="E288" s="21"/>
      <c r="F288" s="21"/>
      <c r="G288" s="21"/>
      <c r="H288" s="21"/>
      <c r="AB288" s="21"/>
    </row>
    <row r="289" spans="1:28">
      <c r="A289" s="21"/>
      <c r="B289" s="21"/>
      <c r="C289" s="21"/>
      <c r="D289" s="28"/>
      <c r="E289" s="21"/>
      <c r="F289" s="21"/>
      <c r="G289" s="21"/>
      <c r="H289" s="21"/>
      <c r="AB289" s="21"/>
    </row>
    <row r="290" spans="1:28">
      <c r="A290" s="21"/>
      <c r="B290" s="21"/>
      <c r="C290" s="21"/>
      <c r="D290" s="28"/>
      <c r="E290" s="21"/>
      <c r="F290" s="21"/>
      <c r="G290" s="21"/>
      <c r="H290" s="21"/>
      <c r="AB290" s="21"/>
    </row>
    <row r="291" spans="1:28">
      <c r="A291" s="21"/>
      <c r="B291" s="21"/>
      <c r="C291" s="21"/>
      <c r="D291" s="28"/>
      <c r="E291" s="21"/>
      <c r="F291" s="21"/>
      <c r="G291" s="21"/>
      <c r="H291" s="21"/>
      <c r="AB291" s="21"/>
    </row>
    <row r="292" spans="1:28">
      <c r="A292" s="21"/>
      <c r="B292" s="21"/>
      <c r="C292" s="21"/>
      <c r="D292" s="28"/>
      <c r="E292" s="21"/>
      <c r="F292" s="21"/>
      <c r="G292" s="21"/>
      <c r="H292" s="21"/>
      <c r="AB292" s="21"/>
    </row>
    <row r="293" spans="1:28">
      <c r="A293" s="21"/>
      <c r="B293" s="21"/>
      <c r="C293" s="21"/>
      <c r="D293" s="28"/>
      <c r="E293" s="21"/>
      <c r="F293" s="21"/>
      <c r="G293" s="21"/>
      <c r="H293" s="21"/>
      <c r="AB293" s="21"/>
    </row>
    <row r="294" spans="1:28">
      <c r="A294" s="21"/>
      <c r="B294" s="21"/>
      <c r="C294" s="21"/>
      <c r="D294" s="28"/>
      <c r="E294" s="21"/>
      <c r="F294" s="21"/>
      <c r="G294" s="21"/>
      <c r="H294" s="21"/>
      <c r="AB294" s="21"/>
    </row>
    <row r="295" spans="1:28">
      <c r="A295" s="21"/>
      <c r="B295" s="21"/>
      <c r="C295" s="21"/>
      <c r="D295" s="28"/>
      <c r="E295" s="21"/>
      <c r="F295" s="21"/>
      <c r="G295" s="21"/>
      <c r="H295" s="21"/>
      <c r="AB295" s="21"/>
    </row>
    <row r="296" spans="1:28">
      <c r="A296" s="21"/>
      <c r="B296" s="21"/>
      <c r="C296" s="21"/>
      <c r="D296" s="28"/>
      <c r="E296" s="21"/>
      <c r="F296" s="21"/>
      <c r="G296" s="21"/>
      <c r="H296" s="21"/>
      <c r="AB296" s="21"/>
    </row>
    <row r="297" spans="1:28">
      <c r="A297" s="21"/>
      <c r="B297" s="21"/>
      <c r="C297" s="21"/>
      <c r="D297" s="28"/>
      <c r="E297" s="21"/>
      <c r="F297" s="21"/>
      <c r="G297" s="21"/>
      <c r="H297" s="21"/>
      <c r="AB297" s="21"/>
    </row>
    <row r="298" spans="1:28">
      <c r="A298" s="21"/>
      <c r="B298" s="21"/>
      <c r="C298" s="21"/>
      <c r="D298" s="28"/>
      <c r="E298" s="21"/>
      <c r="F298" s="21"/>
      <c r="G298" s="21"/>
      <c r="H298" s="21"/>
      <c r="AB298" s="21"/>
    </row>
    <row r="299" spans="1:28">
      <c r="A299" s="21"/>
      <c r="B299" s="21"/>
      <c r="C299" s="21"/>
      <c r="D299" s="28"/>
      <c r="E299" s="21"/>
      <c r="F299" s="21"/>
      <c r="G299" s="21"/>
      <c r="H299" s="21"/>
      <c r="AB299" s="21"/>
    </row>
    <row r="300" spans="1:28">
      <c r="A300" s="21"/>
      <c r="B300" s="21"/>
      <c r="C300" s="21"/>
      <c r="D300" s="28"/>
      <c r="E300" s="21"/>
      <c r="F300" s="21"/>
      <c r="G300" s="21"/>
      <c r="H300" s="21"/>
      <c r="AB300" s="21"/>
    </row>
    <row r="301" spans="1:28">
      <c r="A301" s="21"/>
      <c r="B301" s="21"/>
      <c r="C301" s="21"/>
      <c r="D301" s="28"/>
      <c r="E301" s="21"/>
      <c r="F301" s="21"/>
      <c r="G301" s="21"/>
      <c r="H301" s="21"/>
      <c r="AB301" s="21"/>
    </row>
    <row r="302" spans="1:28">
      <c r="A302" s="21"/>
      <c r="B302" s="21"/>
      <c r="C302" s="21"/>
      <c r="D302" s="28"/>
      <c r="E302" s="21"/>
      <c r="F302" s="21"/>
      <c r="G302" s="21"/>
      <c r="H302" s="21"/>
      <c r="AB302" s="21"/>
    </row>
    <row r="303" spans="1:28">
      <c r="A303" s="21"/>
      <c r="B303" s="21"/>
      <c r="C303" s="21"/>
      <c r="D303" s="28"/>
      <c r="E303" s="21"/>
      <c r="F303" s="21"/>
      <c r="G303" s="21"/>
      <c r="H303" s="21"/>
      <c r="AB303" s="21"/>
    </row>
    <row r="304" spans="1:28">
      <c r="A304" s="21"/>
      <c r="B304" s="21"/>
      <c r="C304" s="21"/>
      <c r="D304" s="28"/>
      <c r="E304" s="21"/>
      <c r="F304" s="21"/>
      <c r="G304" s="21"/>
      <c r="H304" s="21"/>
      <c r="AB304" s="21"/>
    </row>
    <row r="305" spans="1:28">
      <c r="A305" s="21"/>
      <c r="B305" s="21"/>
      <c r="C305" s="21"/>
      <c r="D305" s="28"/>
      <c r="E305" s="21"/>
      <c r="F305" s="21"/>
      <c r="G305" s="21"/>
      <c r="H305" s="21"/>
      <c r="AB305" s="21"/>
    </row>
    <row r="306" spans="1:28">
      <c r="A306" s="21"/>
      <c r="B306" s="21"/>
      <c r="C306" s="21"/>
      <c r="D306" s="28"/>
      <c r="E306" s="21"/>
      <c r="F306" s="21"/>
      <c r="G306" s="21"/>
      <c r="H306" s="21"/>
      <c r="AB306" s="21"/>
    </row>
    <row r="307" spans="1:28">
      <c r="A307" s="21"/>
      <c r="B307" s="21"/>
      <c r="C307" s="21"/>
      <c r="D307" s="28"/>
      <c r="E307" s="21"/>
      <c r="F307" s="21"/>
      <c r="G307" s="21"/>
      <c r="H307" s="21"/>
      <c r="AB307" s="21"/>
    </row>
    <row r="308" spans="1:28">
      <c r="A308" s="21"/>
      <c r="B308" s="21"/>
      <c r="C308" s="21"/>
      <c r="D308" s="28"/>
      <c r="E308" s="21"/>
      <c r="F308" s="21"/>
      <c r="G308" s="21"/>
      <c r="H308" s="21"/>
      <c r="AB308" s="21"/>
    </row>
    <row r="309" spans="1:28">
      <c r="A309" s="21"/>
      <c r="B309" s="21"/>
      <c r="C309" s="21"/>
      <c r="D309" s="28"/>
      <c r="E309" s="21"/>
      <c r="F309" s="21"/>
      <c r="G309" s="21"/>
      <c r="H309" s="21"/>
      <c r="AB309" s="21"/>
    </row>
    <row r="310" spans="1:28">
      <c r="A310" s="21"/>
      <c r="B310" s="21"/>
      <c r="C310" s="21"/>
      <c r="D310" s="28"/>
      <c r="E310" s="21"/>
      <c r="F310" s="21"/>
      <c r="G310" s="21"/>
      <c r="H310" s="21"/>
      <c r="AB310" s="21"/>
    </row>
    <row r="311" spans="1:28">
      <c r="A311" s="21"/>
      <c r="B311" s="21"/>
      <c r="C311" s="21"/>
      <c r="D311" s="28"/>
      <c r="E311" s="21"/>
      <c r="F311" s="21"/>
      <c r="G311" s="21"/>
      <c r="H311" s="21"/>
      <c r="AB311" s="21"/>
    </row>
    <row r="312" spans="1:28">
      <c r="A312" s="21"/>
      <c r="B312" s="21"/>
      <c r="C312" s="21"/>
      <c r="D312" s="28"/>
      <c r="E312" s="21"/>
      <c r="F312" s="21"/>
      <c r="G312" s="21"/>
      <c r="H312" s="21"/>
      <c r="AB312" s="21"/>
    </row>
    <row r="313" spans="1:28">
      <c r="A313" s="21"/>
      <c r="B313" s="21"/>
      <c r="C313" s="21"/>
      <c r="D313" s="28"/>
      <c r="E313" s="21"/>
      <c r="F313" s="21"/>
      <c r="G313" s="21"/>
      <c r="H313" s="21"/>
      <c r="AB313" s="21"/>
    </row>
    <row r="314" spans="1:28">
      <c r="A314" s="21"/>
      <c r="B314" s="21"/>
      <c r="C314" s="21"/>
      <c r="D314" s="28"/>
      <c r="E314" s="21"/>
      <c r="F314" s="21"/>
      <c r="G314" s="21"/>
      <c r="H314" s="21"/>
      <c r="AB314" s="21"/>
    </row>
    <row r="315" spans="1:28">
      <c r="A315" s="21"/>
      <c r="B315" s="21"/>
      <c r="C315" s="21"/>
      <c r="D315" s="28"/>
      <c r="E315" s="21"/>
      <c r="F315" s="21"/>
      <c r="G315" s="21"/>
      <c r="H315" s="21"/>
      <c r="AB315" s="21"/>
    </row>
    <row r="316" spans="1:28">
      <c r="A316" s="21"/>
      <c r="B316" s="21"/>
      <c r="C316" s="21"/>
      <c r="D316" s="28"/>
      <c r="E316" s="21"/>
      <c r="F316" s="21"/>
      <c r="G316" s="21"/>
      <c r="H316" s="21"/>
      <c r="AB316" s="21"/>
    </row>
    <row r="317" spans="1:28">
      <c r="A317" s="21"/>
      <c r="B317" s="21"/>
      <c r="C317" s="21"/>
      <c r="D317" s="28"/>
      <c r="E317" s="21"/>
      <c r="F317" s="21"/>
      <c r="G317" s="21"/>
      <c r="H317" s="21"/>
      <c r="AB317" s="21"/>
    </row>
    <row r="318" spans="1:28">
      <c r="A318" s="21"/>
      <c r="B318" s="21"/>
      <c r="C318" s="21"/>
      <c r="D318" s="28"/>
      <c r="E318" s="21"/>
      <c r="F318" s="21"/>
      <c r="G318" s="21"/>
      <c r="H318" s="21"/>
      <c r="AB318" s="21"/>
    </row>
    <row r="319" spans="1:28">
      <c r="A319" s="21"/>
      <c r="B319" s="21"/>
      <c r="C319" s="21"/>
      <c r="D319" s="28"/>
      <c r="E319" s="21"/>
      <c r="F319" s="21"/>
      <c r="G319" s="21"/>
      <c r="H319" s="21"/>
      <c r="AB319" s="21"/>
    </row>
    <row r="320" spans="1:28">
      <c r="A320" s="21"/>
      <c r="B320" s="21"/>
      <c r="C320" s="21"/>
      <c r="D320" s="28"/>
      <c r="E320" s="21"/>
      <c r="F320" s="21"/>
      <c r="G320" s="21"/>
      <c r="H320" s="21"/>
      <c r="AB320" s="21"/>
    </row>
    <row r="321" spans="1:28">
      <c r="A321" s="21"/>
      <c r="B321" s="21"/>
      <c r="C321" s="21"/>
      <c r="D321" s="28"/>
      <c r="E321" s="21"/>
      <c r="F321" s="21"/>
      <c r="G321" s="21"/>
      <c r="H321" s="21"/>
      <c r="AB321" s="21"/>
    </row>
    <row r="322" spans="1:28">
      <c r="A322" s="21"/>
      <c r="B322" s="21"/>
      <c r="C322" s="21"/>
      <c r="D322" s="28"/>
      <c r="E322" s="21"/>
      <c r="F322" s="21"/>
      <c r="G322" s="21"/>
      <c r="H322" s="21"/>
      <c r="AB322" s="21"/>
    </row>
    <row r="323" spans="1:28">
      <c r="A323" s="21"/>
      <c r="B323" s="21"/>
      <c r="C323" s="21"/>
      <c r="D323" s="28"/>
      <c r="E323" s="21"/>
      <c r="F323" s="21"/>
      <c r="G323" s="21"/>
      <c r="H323" s="21"/>
      <c r="AB323" s="21"/>
    </row>
    <row r="324" spans="1:28">
      <c r="A324" s="21"/>
      <c r="B324" s="21"/>
      <c r="C324" s="21"/>
      <c r="D324" s="28"/>
      <c r="E324" s="21"/>
      <c r="F324" s="21"/>
      <c r="G324" s="21"/>
      <c r="H324" s="21"/>
      <c r="AB324" s="21"/>
    </row>
    <row r="325" spans="1:28">
      <c r="A325" s="21"/>
      <c r="B325" s="21"/>
      <c r="C325" s="21"/>
      <c r="D325" s="28"/>
      <c r="E325" s="21"/>
      <c r="F325" s="21"/>
      <c r="G325" s="21"/>
      <c r="H325" s="21"/>
      <c r="AB325" s="21"/>
    </row>
    <row r="326" spans="1:28">
      <c r="A326" s="21"/>
      <c r="B326" s="21"/>
      <c r="C326" s="21"/>
      <c r="D326" s="28"/>
      <c r="E326" s="21"/>
      <c r="F326" s="21"/>
      <c r="G326" s="21"/>
      <c r="H326" s="21"/>
      <c r="AB326" s="21"/>
    </row>
    <row r="327" spans="1:28">
      <c r="A327" s="21"/>
      <c r="B327" s="21"/>
      <c r="C327" s="21"/>
      <c r="D327" s="28"/>
      <c r="E327" s="21"/>
      <c r="F327" s="21"/>
      <c r="G327" s="21"/>
      <c r="H327" s="21"/>
      <c r="AB327" s="21"/>
    </row>
    <row r="328" spans="1:28">
      <c r="A328" s="21"/>
      <c r="B328" s="21"/>
      <c r="C328" s="21"/>
      <c r="D328" s="28"/>
      <c r="E328" s="21"/>
      <c r="F328" s="21"/>
      <c r="G328" s="21"/>
      <c r="H328" s="21"/>
      <c r="AB328" s="21"/>
    </row>
    <row r="329" spans="1:28">
      <c r="A329" s="21"/>
      <c r="B329" s="21"/>
      <c r="C329" s="21"/>
      <c r="D329" s="28"/>
      <c r="E329" s="21"/>
      <c r="F329" s="21"/>
      <c r="G329" s="21"/>
      <c r="H329" s="21"/>
      <c r="AB329" s="21"/>
    </row>
    <row r="330" spans="1:28">
      <c r="A330" s="21"/>
      <c r="B330" s="21"/>
      <c r="C330" s="21"/>
      <c r="D330" s="28"/>
      <c r="E330" s="21"/>
      <c r="F330" s="21"/>
      <c r="G330" s="21"/>
      <c r="H330" s="21"/>
      <c r="AB330" s="21"/>
    </row>
    <row r="331" spans="1:28">
      <c r="A331" s="21"/>
      <c r="B331" s="21"/>
      <c r="C331" s="21"/>
      <c r="D331" s="28"/>
      <c r="E331" s="21"/>
      <c r="F331" s="21"/>
      <c r="G331" s="21"/>
      <c r="H331" s="21"/>
      <c r="AB331" s="21"/>
    </row>
    <row r="332" spans="1:28">
      <c r="A332" s="21"/>
      <c r="B332" s="21"/>
      <c r="C332" s="21"/>
      <c r="D332" s="28"/>
      <c r="E332" s="21"/>
      <c r="F332" s="21"/>
      <c r="G332" s="21"/>
      <c r="H332" s="21"/>
      <c r="AB332" s="21"/>
    </row>
    <row r="333" spans="1:28">
      <c r="A333" s="21"/>
      <c r="B333" s="21"/>
      <c r="C333" s="21"/>
      <c r="D333" s="28"/>
      <c r="E333" s="21"/>
      <c r="F333" s="21"/>
      <c r="G333" s="21"/>
      <c r="H333" s="21"/>
      <c r="AB333" s="21"/>
    </row>
    <row r="334" spans="1:28">
      <c r="A334" s="21"/>
      <c r="B334" s="21"/>
      <c r="C334" s="21"/>
      <c r="D334" s="28"/>
      <c r="E334" s="21"/>
      <c r="F334" s="21"/>
      <c r="G334" s="21"/>
      <c r="H334" s="21"/>
      <c r="AB334" s="21"/>
    </row>
    <row r="335" spans="1:28">
      <c r="A335" s="21"/>
      <c r="B335" s="21"/>
      <c r="C335" s="21"/>
      <c r="D335" s="28"/>
      <c r="E335" s="21"/>
      <c r="F335" s="21"/>
      <c r="G335" s="21"/>
      <c r="H335" s="21"/>
      <c r="AB335" s="21"/>
    </row>
    <row r="336" spans="1:28">
      <c r="A336" s="21"/>
      <c r="B336" s="21"/>
      <c r="C336" s="21"/>
      <c r="D336" s="28"/>
      <c r="E336" s="21"/>
      <c r="F336" s="21"/>
      <c r="G336" s="21"/>
      <c r="H336" s="21"/>
      <c r="AB336" s="21"/>
    </row>
    <row r="337" spans="1:28">
      <c r="A337" s="21"/>
      <c r="B337" s="21"/>
      <c r="C337" s="21"/>
      <c r="D337" s="28"/>
      <c r="E337" s="21"/>
      <c r="F337" s="21"/>
      <c r="G337" s="21"/>
      <c r="H337" s="21"/>
      <c r="AB337" s="21"/>
    </row>
    <row r="338" spans="1:28">
      <c r="A338" s="21"/>
      <c r="B338" s="21"/>
      <c r="C338" s="21"/>
      <c r="D338" s="28"/>
      <c r="E338" s="21"/>
      <c r="F338" s="21"/>
      <c r="G338" s="21"/>
      <c r="H338" s="21"/>
      <c r="AB338" s="21"/>
    </row>
    <row r="339" spans="1:28">
      <c r="A339" s="21"/>
      <c r="B339" s="21"/>
      <c r="C339" s="21"/>
      <c r="D339" s="28"/>
      <c r="E339" s="21"/>
      <c r="F339" s="21"/>
      <c r="G339" s="21"/>
      <c r="H339" s="21"/>
      <c r="AB339" s="21"/>
    </row>
    <row r="340" spans="1:28">
      <c r="A340" s="21"/>
      <c r="B340" s="21"/>
      <c r="C340" s="21"/>
      <c r="D340" s="28"/>
      <c r="E340" s="21"/>
      <c r="F340" s="21"/>
      <c r="G340" s="21"/>
      <c r="H340" s="21"/>
      <c r="AB340" s="21"/>
    </row>
    <row r="341" spans="1:28">
      <c r="A341" s="21"/>
      <c r="B341" s="21"/>
      <c r="C341" s="21"/>
      <c r="D341" s="28"/>
      <c r="E341" s="21"/>
      <c r="F341" s="21"/>
      <c r="G341" s="21"/>
      <c r="H341" s="21"/>
      <c r="AB341" s="21"/>
    </row>
    <row r="342" spans="1:28">
      <c r="A342" s="21"/>
      <c r="B342" s="21"/>
      <c r="C342" s="21"/>
      <c r="D342" s="28"/>
      <c r="E342" s="21"/>
      <c r="F342" s="21"/>
      <c r="G342" s="21"/>
      <c r="H342" s="21"/>
      <c r="AB342" s="21"/>
    </row>
    <row r="343" spans="1:28">
      <c r="A343" s="21"/>
      <c r="B343" s="21"/>
      <c r="C343" s="21"/>
      <c r="D343" s="28"/>
      <c r="E343" s="21"/>
      <c r="F343" s="21"/>
      <c r="G343" s="21"/>
      <c r="H343" s="21"/>
      <c r="AB343" s="21"/>
    </row>
    <row r="344" spans="1:28">
      <c r="A344" s="21"/>
      <c r="B344" s="21"/>
      <c r="C344" s="21"/>
      <c r="D344" s="28"/>
      <c r="E344" s="21"/>
      <c r="F344" s="21"/>
      <c r="G344" s="21"/>
      <c r="H344" s="21"/>
      <c r="AB344" s="21"/>
    </row>
    <row r="345" spans="1:28">
      <c r="A345" s="21"/>
      <c r="B345" s="21"/>
      <c r="C345" s="21"/>
      <c r="D345" s="28"/>
      <c r="E345" s="21"/>
      <c r="F345" s="21"/>
      <c r="G345" s="21"/>
      <c r="H345" s="21"/>
      <c r="AB345" s="21"/>
    </row>
    <row r="346" spans="1:28">
      <c r="A346" s="21"/>
      <c r="B346" s="21"/>
      <c r="C346" s="21"/>
      <c r="D346" s="28"/>
      <c r="E346" s="21"/>
      <c r="F346" s="21"/>
      <c r="G346" s="21"/>
      <c r="H346" s="21"/>
      <c r="AB346" s="21"/>
    </row>
    <row r="347" spans="1:28">
      <c r="A347" s="21"/>
      <c r="B347" s="21"/>
      <c r="C347" s="21"/>
      <c r="D347" s="28"/>
      <c r="E347" s="21"/>
      <c r="F347" s="21"/>
      <c r="G347" s="21"/>
      <c r="H347" s="21"/>
      <c r="AB347" s="21"/>
    </row>
    <row r="348" spans="1:28">
      <c r="A348" s="21"/>
      <c r="B348" s="21"/>
      <c r="C348" s="21"/>
      <c r="D348" s="28"/>
      <c r="E348" s="21"/>
      <c r="F348" s="21"/>
      <c r="G348" s="21"/>
      <c r="H348" s="21"/>
      <c r="AB348" s="21"/>
    </row>
    <row r="349" spans="1:28">
      <c r="A349" s="21"/>
      <c r="B349" s="21"/>
      <c r="C349" s="21"/>
      <c r="D349" s="28"/>
      <c r="E349" s="21"/>
      <c r="F349" s="21"/>
      <c r="G349" s="21"/>
      <c r="H349" s="21"/>
      <c r="AB349" s="21"/>
    </row>
    <row r="350" spans="1:28">
      <c r="A350" s="21"/>
      <c r="B350" s="21"/>
      <c r="C350" s="21"/>
      <c r="D350" s="28"/>
      <c r="E350" s="21"/>
      <c r="F350" s="21"/>
      <c r="G350" s="21"/>
      <c r="H350" s="21"/>
      <c r="AB350" s="21"/>
    </row>
    <row r="351" spans="1:28">
      <c r="A351" s="21"/>
      <c r="B351" s="21"/>
      <c r="C351" s="21"/>
      <c r="D351" s="28"/>
      <c r="E351" s="21"/>
      <c r="F351" s="21"/>
      <c r="G351" s="21"/>
      <c r="H351" s="21"/>
      <c r="AB351" s="21"/>
    </row>
    <row r="352" spans="1:28">
      <c r="A352" s="21"/>
      <c r="B352" s="21"/>
      <c r="C352" s="21"/>
      <c r="D352" s="28"/>
      <c r="E352" s="21"/>
      <c r="F352" s="21"/>
      <c r="G352" s="21"/>
      <c r="H352" s="21"/>
      <c r="AB352" s="21"/>
    </row>
    <row r="353" spans="1:28">
      <c r="A353" s="21"/>
      <c r="B353" s="21"/>
      <c r="C353" s="21"/>
      <c r="D353" s="28"/>
      <c r="E353" s="21"/>
      <c r="F353" s="21"/>
      <c r="G353" s="21"/>
      <c r="H353" s="21"/>
      <c r="AB353" s="21"/>
    </row>
    <row r="354" spans="1:28">
      <c r="A354" s="21"/>
      <c r="B354" s="21"/>
      <c r="C354" s="21"/>
      <c r="D354" s="28"/>
      <c r="E354" s="21"/>
      <c r="F354" s="21"/>
      <c r="G354" s="21"/>
      <c r="H354" s="21"/>
      <c r="AB354" s="21"/>
    </row>
    <row r="355" spans="1:28">
      <c r="A355" s="21"/>
      <c r="B355" s="21"/>
      <c r="C355" s="21"/>
      <c r="D355" s="28"/>
      <c r="E355" s="21"/>
      <c r="F355" s="21"/>
      <c r="G355" s="21"/>
      <c r="H355" s="21"/>
      <c r="AB355" s="21"/>
    </row>
    <row r="356" spans="1:28">
      <c r="A356" s="21"/>
      <c r="B356" s="21"/>
      <c r="C356" s="21"/>
      <c r="D356" s="28"/>
      <c r="E356" s="21"/>
      <c r="F356" s="21"/>
      <c r="G356" s="21"/>
      <c r="H356" s="21"/>
      <c r="AB356" s="21"/>
    </row>
    <row r="357" spans="1:28">
      <c r="A357" s="21"/>
      <c r="B357" s="21"/>
      <c r="C357" s="21"/>
      <c r="D357" s="28"/>
      <c r="E357" s="21"/>
      <c r="F357" s="21"/>
      <c r="G357" s="21"/>
      <c r="H357" s="21"/>
      <c r="AB357" s="21"/>
    </row>
    <row r="358" spans="1:28">
      <c r="A358" s="21"/>
      <c r="B358" s="21"/>
      <c r="C358" s="21"/>
      <c r="D358" s="28"/>
      <c r="E358" s="21"/>
      <c r="F358" s="21"/>
      <c r="G358" s="21"/>
      <c r="H358" s="21"/>
      <c r="AB358" s="21"/>
    </row>
    <row r="359" spans="1:28">
      <c r="A359" s="21"/>
      <c r="B359" s="21"/>
      <c r="C359" s="21"/>
      <c r="D359" s="28"/>
      <c r="E359" s="21"/>
      <c r="F359" s="21"/>
      <c r="G359" s="21"/>
      <c r="H359" s="21"/>
      <c r="AB359" s="21"/>
    </row>
    <row r="360" spans="1:28">
      <c r="A360" s="21"/>
      <c r="B360" s="21"/>
      <c r="C360" s="21"/>
      <c r="D360" s="28"/>
      <c r="E360" s="21"/>
      <c r="F360" s="21"/>
      <c r="G360" s="21"/>
      <c r="H360" s="21"/>
      <c r="AB360" s="21"/>
    </row>
    <row r="361" spans="1:28">
      <c r="A361" s="21"/>
      <c r="B361" s="21"/>
      <c r="C361" s="21"/>
      <c r="D361" s="28"/>
      <c r="E361" s="21"/>
      <c r="F361" s="21"/>
      <c r="G361" s="21"/>
      <c r="H361" s="21"/>
      <c r="AB361" s="21"/>
    </row>
    <row r="362" spans="1:28">
      <c r="A362" s="21"/>
      <c r="B362" s="21"/>
      <c r="C362" s="21"/>
      <c r="D362" s="28"/>
      <c r="E362" s="21"/>
      <c r="F362" s="21"/>
      <c r="G362" s="21"/>
      <c r="H362" s="21"/>
      <c r="AB362" s="21"/>
    </row>
    <row r="363" spans="1:28">
      <c r="A363" s="21"/>
      <c r="B363" s="21"/>
      <c r="C363" s="21"/>
      <c r="D363" s="28"/>
      <c r="E363" s="21"/>
      <c r="F363" s="21"/>
      <c r="G363" s="21"/>
      <c r="H363" s="21"/>
      <c r="AB363" s="21"/>
    </row>
    <row r="364" spans="1:28">
      <c r="A364" s="21"/>
      <c r="B364" s="21"/>
      <c r="C364" s="21"/>
      <c r="D364" s="28"/>
      <c r="E364" s="21"/>
      <c r="F364" s="21"/>
      <c r="G364" s="21"/>
      <c r="H364" s="21"/>
      <c r="AB364" s="21"/>
    </row>
    <row r="365" spans="1:28">
      <c r="A365" s="21"/>
      <c r="B365" s="21"/>
      <c r="C365" s="21"/>
      <c r="D365" s="28"/>
      <c r="E365" s="21"/>
      <c r="F365" s="21"/>
      <c r="G365" s="21"/>
      <c r="H365" s="21"/>
      <c r="AB365" s="21"/>
    </row>
    <row r="366" spans="1:28">
      <c r="A366" s="21"/>
      <c r="B366" s="21"/>
      <c r="C366" s="21"/>
      <c r="D366" s="28"/>
      <c r="E366" s="21"/>
      <c r="F366" s="21"/>
      <c r="G366" s="21"/>
      <c r="H366" s="21"/>
      <c r="AB366" s="21"/>
    </row>
    <row r="367" spans="1:28">
      <c r="A367" s="21"/>
      <c r="B367" s="21"/>
      <c r="C367" s="21"/>
      <c r="D367" s="28"/>
      <c r="E367" s="21"/>
      <c r="F367" s="21"/>
      <c r="G367" s="21"/>
      <c r="H367" s="21"/>
      <c r="AB367" s="21"/>
    </row>
    <row r="368" spans="1:28">
      <c r="A368" s="21"/>
      <c r="B368" s="21"/>
      <c r="C368" s="21"/>
      <c r="D368" s="28"/>
      <c r="E368" s="21"/>
      <c r="F368" s="21"/>
      <c r="G368" s="21"/>
      <c r="H368" s="21"/>
      <c r="AB368" s="21"/>
    </row>
    <row r="369" spans="1:28">
      <c r="A369" s="21"/>
      <c r="B369" s="21"/>
      <c r="C369" s="21"/>
      <c r="D369" s="28"/>
      <c r="E369" s="21"/>
      <c r="F369" s="21"/>
      <c r="G369" s="21"/>
      <c r="H369" s="21"/>
      <c r="AB369" s="21"/>
    </row>
    <row r="370" spans="1:28">
      <c r="A370" s="21"/>
      <c r="B370" s="21"/>
      <c r="C370" s="21"/>
      <c r="D370" s="28"/>
      <c r="E370" s="21"/>
      <c r="F370" s="21"/>
      <c r="G370" s="21"/>
      <c r="H370" s="21"/>
      <c r="AB370" s="21"/>
    </row>
    <row r="371" spans="1:28">
      <c r="A371" s="21"/>
      <c r="B371" s="21"/>
      <c r="C371" s="21"/>
      <c r="D371" s="28"/>
      <c r="E371" s="21"/>
      <c r="F371" s="21"/>
      <c r="G371" s="21"/>
      <c r="H371" s="21"/>
      <c r="AB371" s="21"/>
    </row>
    <row r="372" spans="1:28">
      <c r="A372" s="21"/>
      <c r="B372" s="21"/>
      <c r="C372" s="21"/>
      <c r="D372" s="28"/>
      <c r="E372" s="21"/>
      <c r="F372" s="21"/>
      <c r="G372" s="21"/>
      <c r="H372" s="21"/>
      <c r="AB372" s="21"/>
    </row>
    <row r="373" spans="1:28">
      <c r="A373" s="21"/>
      <c r="B373" s="21"/>
      <c r="C373" s="21"/>
      <c r="D373" s="28"/>
      <c r="E373" s="21"/>
      <c r="F373" s="21"/>
      <c r="G373" s="21"/>
      <c r="H373" s="21"/>
      <c r="AB373" s="21"/>
    </row>
    <row r="374" spans="1:28">
      <c r="A374" s="21"/>
      <c r="B374" s="21"/>
      <c r="C374" s="21"/>
      <c r="D374" s="28"/>
      <c r="E374" s="21"/>
      <c r="F374" s="21"/>
      <c r="G374" s="21"/>
      <c r="H374" s="21"/>
      <c r="AB374" s="21"/>
    </row>
    <row r="375" spans="1:28">
      <c r="A375" s="21"/>
      <c r="B375" s="21"/>
      <c r="C375" s="21"/>
      <c r="D375" s="28"/>
      <c r="E375" s="21"/>
      <c r="F375" s="21"/>
      <c r="G375" s="21"/>
      <c r="H375" s="21"/>
      <c r="AB375" s="21"/>
    </row>
    <row r="376" spans="1:28">
      <c r="A376" s="21"/>
      <c r="B376" s="21"/>
      <c r="C376" s="21"/>
      <c r="D376" s="28"/>
      <c r="E376" s="21"/>
      <c r="F376" s="21"/>
      <c r="G376" s="21"/>
      <c r="H376" s="21"/>
      <c r="AB376" s="21"/>
    </row>
    <row r="377" spans="1:28">
      <c r="A377" s="21"/>
      <c r="B377" s="21"/>
      <c r="C377" s="21"/>
      <c r="D377" s="28"/>
      <c r="E377" s="21"/>
      <c r="F377" s="21"/>
      <c r="G377" s="21"/>
      <c r="H377" s="21"/>
      <c r="AB377" s="21"/>
    </row>
    <row r="378" spans="1:28">
      <c r="A378" s="21"/>
      <c r="B378" s="21"/>
      <c r="C378" s="21"/>
      <c r="D378" s="28"/>
      <c r="E378" s="21"/>
      <c r="F378" s="21"/>
      <c r="G378" s="21"/>
      <c r="H378" s="21"/>
      <c r="AB378" s="21"/>
    </row>
    <row r="379" spans="1:28">
      <c r="A379" s="21"/>
      <c r="B379" s="21"/>
      <c r="C379" s="21"/>
      <c r="D379" s="28"/>
      <c r="E379" s="21"/>
      <c r="F379" s="21"/>
      <c r="G379" s="21"/>
      <c r="H379" s="21"/>
      <c r="AB379" s="21"/>
    </row>
    <row r="380" spans="1:28">
      <c r="A380" s="21"/>
      <c r="B380" s="21"/>
      <c r="C380" s="21"/>
      <c r="D380" s="28"/>
      <c r="E380" s="21"/>
      <c r="F380" s="21"/>
      <c r="G380" s="21"/>
      <c r="H380" s="21"/>
      <c r="AB380" s="21"/>
    </row>
    <row r="381" spans="1:28">
      <c r="A381" s="21"/>
      <c r="B381" s="21"/>
      <c r="C381" s="21"/>
      <c r="D381" s="28"/>
      <c r="E381" s="21"/>
      <c r="F381" s="21"/>
      <c r="G381" s="21"/>
      <c r="H381" s="21"/>
      <c r="AB381" s="21"/>
    </row>
    <row r="382" spans="1:28">
      <c r="A382" s="21"/>
      <c r="B382" s="21"/>
      <c r="C382" s="21"/>
      <c r="D382" s="28"/>
      <c r="E382" s="21"/>
      <c r="F382" s="21"/>
      <c r="G382" s="21"/>
      <c r="H382" s="21"/>
      <c r="AB382" s="21"/>
    </row>
    <row r="383" spans="1:28">
      <c r="A383" s="21"/>
      <c r="B383" s="21"/>
      <c r="C383" s="21"/>
      <c r="D383" s="28"/>
      <c r="E383" s="21"/>
      <c r="F383" s="21"/>
      <c r="G383" s="21"/>
      <c r="H383" s="21"/>
      <c r="AB383" s="21"/>
    </row>
    <row r="384" spans="1:28">
      <c r="A384" s="21"/>
      <c r="B384" s="21"/>
      <c r="C384" s="21"/>
      <c r="D384" s="28"/>
      <c r="E384" s="21"/>
      <c r="F384" s="21"/>
      <c r="G384" s="21"/>
      <c r="H384" s="21"/>
      <c r="AB384" s="21"/>
    </row>
    <row r="385" spans="1:28">
      <c r="A385" s="21"/>
      <c r="B385" s="21"/>
      <c r="C385" s="21"/>
      <c r="D385" s="28"/>
      <c r="E385" s="21"/>
      <c r="F385" s="21"/>
      <c r="G385" s="21"/>
      <c r="H385" s="21"/>
      <c r="AB385" s="21"/>
    </row>
    <row r="386" spans="1:28">
      <c r="A386" s="21"/>
      <c r="B386" s="21"/>
      <c r="C386" s="21"/>
      <c r="D386" s="28"/>
      <c r="E386" s="21"/>
      <c r="F386" s="21"/>
      <c r="G386" s="21"/>
      <c r="H386" s="21"/>
      <c r="AB386" s="21"/>
    </row>
    <row r="387" spans="1:28">
      <c r="A387" s="21"/>
      <c r="B387" s="21"/>
      <c r="C387" s="21"/>
      <c r="D387" s="28"/>
      <c r="E387" s="21"/>
      <c r="F387" s="21"/>
      <c r="G387" s="21"/>
      <c r="H387" s="21"/>
      <c r="AB387" s="21"/>
    </row>
    <row r="388" spans="1:28">
      <c r="A388" s="21"/>
      <c r="B388" s="21"/>
      <c r="C388" s="21"/>
      <c r="D388" s="28"/>
      <c r="E388" s="21"/>
      <c r="F388" s="21"/>
      <c r="G388" s="21"/>
      <c r="H388" s="21"/>
      <c r="AB388" s="21"/>
    </row>
    <row r="389" spans="1:28">
      <c r="A389" s="21"/>
      <c r="B389" s="21"/>
      <c r="C389" s="21"/>
      <c r="D389" s="28"/>
      <c r="E389" s="21"/>
      <c r="F389" s="21"/>
      <c r="G389" s="21"/>
      <c r="H389" s="21"/>
      <c r="AB389" s="21"/>
    </row>
    <row r="390" spans="1:28">
      <c r="A390" s="21"/>
      <c r="B390" s="21"/>
      <c r="C390" s="21"/>
      <c r="D390" s="28"/>
      <c r="E390" s="21"/>
      <c r="F390" s="21"/>
      <c r="G390" s="21"/>
      <c r="H390" s="21"/>
      <c r="AB390" s="21"/>
    </row>
    <row r="391" spans="1:28">
      <c r="A391" s="21"/>
      <c r="B391" s="21"/>
      <c r="C391" s="21"/>
      <c r="D391" s="28"/>
      <c r="E391" s="21"/>
      <c r="F391" s="21"/>
      <c r="G391" s="21"/>
      <c r="H391" s="21"/>
      <c r="AB391" s="21"/>
    </row>
    <row r="392" spans="1:28">
      <c r="A392" s="21"/>
      <c r="B392" s="21"/>
      <c r="C392" s="21"/>
      <c r="D392" s="28"/>
      <c r="E392" s="21"/>
      <c r="F392" s="21"/>
      <c r="G392" s="21"/>
      <c r="H392" s="21"/>
      <c r="AB392" s="21"/>
    </row>
    <row r="393" spans="1:28">
      <c r="A393" s="21"/>
      <c r="B393" s="21"/>
      <c r="C393" s="21"/>
      <c r="D393" s="28"/>
      <c r="E393" s="21"/>
      <c r="F393" s="21"/>
      <c r="G393" s="21"/>
      <c r="H393" s="21"/>
      <c r="AB393" s="21"/>
    </row>
    <row r="394" spans="1:28">
      <c r="A394" s="21"/>
      <c r="B394" s="21"/>
      <c r="C394" s="21"/>
      <c r="D394" s="28"/>
      <c r="E394" s="21"/>
      <c r="F394" s="21"/>
      <c r="G394" s="21"/>
      <c r="H394" s="21"/>
      <c r="AB394" s="21"/>
    </row>
    <row r="395" spans="1:28">
      <c r="A395" s="21"/>
      <c r="B395" s="21"/>
      <c r="C395" s="21"/>
      <c r="D395" s="28"/>
      <c r="E395" s="21"/>
      <c r="F395" s="21"/>
      <c r="G395" s="21"/>
      <c r="H395" s="21"/>
      <c r="AB395" s="21"/>
    </row>
    <row r="396" spans="1:28">
      <c r="A396" s="21"/>
      <c r="B396" s="21"/>
      <c r="C396" s="21"/>
      <c r="D396" s="28"/>
      <c r="E396" s="21"/>
      <c r="F396" s="21"/>
      <c r="G396" s="21"/>
      <c r="H396" s="21"/>
      <c r="AB396" s="21"/>
    </row>
    <row r="397" spans="1:28">
      <c r="A397" s="21"/>
      <c r="B397" s="21"/>
      <c r="C397" s="21"/>
      <c r="D397" s="28"/>
      <c r="E397" s="21"/>
      <c r="F397" s="21"/>
      <c r="G397" s="21"/>
      <c r="H397" s="21"/>
      <c r="AB397" s="21"/>
    </row>
    <row r="398" spans="1:28">
      <c r="A398" s="21"/>
      <c r="B398" s="21"/>
      <c r="C398" s="21"/>
      <c r="D398" s="28"/>
      <c r="E398" s="21"/>
      <c r="F398" s="21"/>
      <c r="G398" s="21"/>
      <c r="H398" s="21"/>
      <c r="AB398" s="21"/>
    </row>
    <row r="399" spans="1:28">
      <c r="A399" s="21"/>
      <c r="B399" s="21"/>
      <c r="C399" s="21"/>
      <c r="D399" s="28"/>
      <c r="E399" s="21"/>
      <c r="F399" s="21"/>
      <c r="G399" s="21"/>
      <c r="H399" s="21"/>
      <c r="AB399" s="21"/>
    </row>
    <row r="400" spans="1:28">
      <c r="A400" s="21"/>
      <c r="B400" s="21"/>
      <c r="C400" s="21"/>
      <c r="D400" s="28"/>
      <c r="E400" s="21"/>
      <c r="F400" s="21"/>
      <c r="G400" s="21"/>
      <c r="H400" s="21"/>
      <c r="AB400" s="21"/>
    </row>
    <row r="401" spans="1:28">
      <c r="A401" s="21"/>
      <c r="B401" s="21"/>
      <c r="C401" s="21"/>
      <c r="D401" s="28"/>
      <c r="E401" s="21"/>
      <c r="F401" s="21"/>
      <c r="G401" s="21"/>
      <c r="H401" s="21"/>
      <c r="AB401" s="21"/>
    </row>
    <row r="402" spans="1:28">
      <c r="A402" s="21"/>
      <c r="B402" s="21"/>
      <c r="C402" s="21"/>
      <c r="D402" s="28"/>
      <c r="E402" s="21"/>
      <c r="F402" s="21"/>
      <c r="G402" s="21"/>
      <c r="H402" s="21"/>
      <c r="AB402" s="21"/>
    </row>
    <row r="403" spans="1:28">
      <c r="A403" s="21"/>
      <c r="B403" s="21"/>
      <c r="C403" s="21"/>
      <c r="D403" s="28"/>
      <c r="E403" s="21"/>
      <c r="F403" s="21"/>
      <c r="G403" s="21"/>
      <c r="H403" s="21"/>
      <c r="AB403" s="21"/>
    </row>
    <row r="404" spans="1:28">
      <c r="A404" s="21"/>
      <c r="B404" s="21"/>
      <c r="C404" s="21"/>
      <c r="D404" s="28"/>
      <c r="E404" s="21"/>
      <c r="F404" s="21"/>
      <c r="G404" s="21"/>
      <c r="H404" s="21"/>
      <c r="AB404" s="21"/>
    </row>
    <row r="405" spans="1:28">
      <c r="A405" s="21"/>
      <c r="B405" s="21"/>
      <c r="C405" s="21"/>
      <c r="D405" s="28"/>
      <c r="E405" s="21"/>
      <c r="F405" s="21"/>
      <c r="G405" s="21"/>
      <c r="H405" s="21"/>
      <c r="AB405" s="21"/>
    </row>
    <row r="406" spans="1:28">
      <c r="A406" s="21"/>
      <c r="B406" s="21"/>
      <c r="C406" s="21"/>
      <c r="D406" s="28"/>
      <c r="E406" s="21"/>
      <c r="F406" s="21"/>
      <c r="G406" s="21"/>
      <c r="H406" s="21"/>
      <c r="AB406" s="21"/>
    </row>
    <row r="407" spans="1:28">
      <c r="A407" s="21"/>
      <c r="B407" s="21"/>
      <c r="C407" s="21"/>
      <c r="D407" s="28"/>
      <c r="E407" s="21"/>
      <c r="F407" s="21"/>
      <c r="G407" s="21"/>
      <c r="H407" s="21"/>
      <c r="AB407" s="21"/>
    </row>
    <row r="408" spans="1:28">
      <c r="A408" s="21"/>
      <c r="B408" s="21"/>
      <c r="C408" s="21"/>
      <c r="D408" s="28"/>
      <c r="E408" s="21"/>
      <c r="F408" s="21"/>
      <c r="G408" s="21"/>
      <c r="H408" s="21"/>
      <c r="AB408" s="21"/>
    </row>
    <row r="409" spans="1:28">
      <c r="A409" s="21"/>
      <c r="B409" s="21"/>
      <c r="C409" s="21"/>
      <c r="D409" s="28"/>
      <c r="E409" s="21"/>
      <c r="F409" s="21"/>
      <c r="G409" s="21"/>
      <c r="H409" s="21"/>
      <c r="AB409" s="21"/>
    </row>
    <row r="410" spans="1:28">
      <c r="A410" s="21"/>
      <c r="B410" s="21"/>
      <c r="C410" s="21"/>
      <c r="D410" s="28"/>
      <c r="E410" s="21"/>
      <c r="F410" s="21"/>
      <c r="G410" s="21"/>
      <c r="H410" s="21"/>
      <c r="AB410" s="21"/>
    </row>
    <row r="411" spans="1:28">
      <c r="A411" s="21"/>
      <c r="B411" s="21"/>
      <c r="C411" s="21"/>
      <c r="D411" s="28"/>
      <c r="E411" s="21"/>
      <c r="F411" s="21"/>
      <c r="G411" s="21"/>
      <c r="H411" s="21"/>
      <c r="AB411" s="21"/>
    </row>
    <row r="412" spans="1:28">
      <c r="A412" s="21"/>
      <c r="B412" s="21"/>
      <c r="C412" s="21"/>
      <c r="D412" s="28"/>
      <c r="E412" s="21"/>
      <c r="F412" s="21"/>
      <c r="G412" s="21"/>
      <c r="H412" s="21"/>
      <c r="AB412" s="21"/>
    </row>
    <row r="413" spans="1:28">
      <c r="A413" s="21"/>
      <c r="B413" s="21"/>
      <c r="C413" s="21"/>
      <c r="D413" s="28"/>
      <c r="E413" s="21"/>
      <c r="F413" s="21"/>
      <c r="G413" s="21"/>
      <c r="H413" s="21"/>
      <c r="AB413" s="21"/>
    </row>
    <row r="414" spans="1:28">
      <c r="A414" s="21"/>
      <c r="B414" s="21"/>
      <c r="C414" s="21"/>
      <c r="D414" s="28"/>
      <c r="E414" s="21"/>
      <c r="F414" s="21"/>
      <c r="G414" s="21"/>
      <c r="H414" s="21"/>
      <c r="AB414" s="21"/>
    </row>
    <row r="415" spans="1:28">
      <c r="A415" s="21"/>
      <c r="B415" s="21"/>
      <c r="C415" s="21"/>
      <c r="D415" s="28"/>
      <c r="E415" s="21"/>
      <c r="F415" s="21"/>
      <c r="G415" s="21"/>
      <c r="H415" s="21"/>
      <c r="AB415" s="21"/>
    </row>
    <row r="416" spans="1:28">
      <c r="A416" s="21"/>
      <c r="B416" s="21"/>
      <c r="C416" s="21"/>
      <c r="D416" s="28"/>
      <c r="E416" s="21"/>
      <c r="F416" s="21"/>
      <c r="G416" s="21"/>
      <c r="H416" s="21"/>
      <c r="AB416" s="21"/>
    </row>
    <row r="417" spans="1:28">
      <c r="A417" s="21"/>
      <c r="B417" s="21"/>
      <c r="C417" s="21"/>
      <c r="D417" s="28"/>
      <c r="E417" s="21"/>
      <c r="F417" s="21"/>
      <c r="G417" s="21"/>
      <c r="H417" s="21"/>
      <c r="AB417" s="21"/>
    </row>
    <row r="418" spans="1:28">
      <c r="A418" s="21"/>
      <c r="B418" s="21"/>
      <c r="C418" s="21"/>
      <c r="D418" s="28"/>
      <c r="E418" s="21"/>
      <c r="F418" s="21"/>
      <c r="G418" s="21"/>
      <c r="H418" s="21"/>
      <c r="AB418" s="21"/>
    </row>
    <row r="419" spans="1:28">
      <c r="A419" s="21"/>
      <c r="B419" s="21"/>
      <c r="C419" s="21"/>
      <c r="D419" s="28"/>
      <c r="E419" s="21"/>
      <c r="F419" s="21"/>
      <c r="G419" s="21"/>
      <c r="H419" s="21"/>
      <c r="AB419" s="21"/>
    </row>
    <row r="420" spans="1:28">
      <c r="A420" s="21"/>
      <c r="B420" s="21"/>
      <c r="C420" s="21"/>
      <c r="D420" s="28"/>
      <c r="E420" s="21"/>
      <c r="F420" s="21"/>
      <c r="G420" s="21"/>
      <c r="H420" s="21"/>
      <c r="AB420" s="21"/>
    </row>
    <row r="421" spans="1:28">
      <c r="A421" s="21"/>
      <c r="B421" s="21"/>
      <c r="C421" s="21"/>
      <c r="D421" s="28"/>
      <c r="E421" s="21"/>
      <c r="F421" s="21"/>
      <c r="G421" s="21"/>
      <c r="H421" s="21"/>
      <c r="AB421" s="21"/>
    </row>
    <row r="422" spans="1:28">
      <c r="A422" s="21"/>
      <c r="B422" s="21"/>
      <c r="C422" s="21"/>
      <c r="D422" s="28"/>
      <c r="E422" s="21"/>
      <c r="F422" s="21"/>
      <c r="G422" s="21"/>
      <c r="H422" s="21"/>
      <c r="AB422" s="21"/>
    </row>
    <row r="423" spans="1:28">
      <c r="A423" s="21"/>
      <c r="B423" s="21"/>
      <c r="C423" s="21"/>
      <c r="D423" s="28"/>
      <c r="E423" s="21"/>
      <c r="F423" s="21"/>
      <c r="G423" s="21"/>
      <c r="H423" s="21"/>
      <c r="AB423" s="21"/>
    </row>
    <row r="424" spans="1:28">
      <c r="A424" s="21"/>
      <c r="B424" s="21"/>
      <c r="C424" s="21"/>
      <c r="D424" s="28"/>
      <c r="E424" s="21"/>
      <c r="F424" s="21"/>
      <c r="G424" s="21"/>
      <c r="H424" s="21"/>
      <c r="AB424" s="21"/>
    </row>
    <row r="425" spans="1:28">
      <c r="A425" s="21"/>
      <c r="B425" s="21"/>
      <c r="C425" s="21"/>
      <c r="D425" s="28"/>
      <c r="E425" s="21"/>
      <c r="F425" s="21"/>
      <c r="G425" s="21"/>
      <c r="H425" s="21"/>
      <c r="AB425" s="21"/>
    </row>
    <row r="426" spans="1:28">
      <c r="A426" s="21"/>
      <c r="B426" s="21"/>
      <c r="C426" s="21"/>
      <c r="D426" s="28"/>
      <c r="E426" s="21"/>
      <c r="F426" s="21"/>
      <c r="G426" s="21"/>
      <c r="H426" s="21"/>
      <c r="AB426" s="21"/>
    </row>
    <row r="427" spans="1:28">
      <c r="A427" s="21"/>
      <c r="B427" s="21"/>
      <c r="C427" s="21"/>
      <c r="D427" s="28"/>
      <c r="E427" s="21"/>
      <c r="F427" s="21"/>
      <c r="G427" s="21"/>
      <c r="H427" s="21"/>
      <c r="AB427" s="21"/>
    </row>
    <row r="428" spans="1:28">
      <c r="A428" s="21"/>
      <c r="B428" s="21"/>
      <c r="C428" s="21"/>
      <c r="D428" s="28"/>
      <c r="E428" s="21"/>
      <c r="F428" s="21"/>
      <c r="G428" s="21"/>
      <c r="H428" s="21"/>
      <c r="AB428" s="21"/>
    </row>
    <row r="429" spans="1:28">
      <c r="A429" s="21"/>
      <c r="B429" s="21"/>
      <c r="C429" s="21"/>
      <c r="D429" s="28"/>
      <c r="E429" s="21"/>
      <c r="F429" s="21"/>
      <c r="G429" s="21"/>
      <c r="H429" s="21"/>
      <c r="AB429" s="21"/>
    </row>
    <row r="430" spans="1:28">
      <c r="A430" s="21"/>
      <c r="B430" s="21"/>
      <c r="C430" s="21"/>
      <c r="D430" s="28"/>
      <c r="E430" s="21"/>
      <c r="F430" s="21"/>
      <c r="G430" s="21"/>
      <c r="H430" s="21"/>
      <c r="AB430" s="21"/>
    </row>
    <row r="431" spans="1:28">
      <c r="A431" s="21"/>
      <c r="B431" s="21"/>
      <c r="C431" s="21"/>
      <c r="D431" s="28"/>
      <c r="E431" s="21"/>
      <c r="F431" s="21"/>
      <c r="G431" s="21"/>
      <c r="H431" s="21"/>
      <c r="AB431" s="21"/>
    </row>
    <row r="432" spans="1:28">
      <c r="A432" s="21"/>
      <c r="B432" s="21"/>
      <c r="C432" s="21"/>
      <c r="D432" s="28"/>
      <c r="E432" s="21"/>
      <c r="F432" s="21"/>
      <c r="G432" s="21"/>
      <c r="H432" s="21"/>
      <c r="AB432" s="21"/>
    </row>
    <row r="433" spans="1:28">
      <c r="A433" s="21"/>
      <c r="B433" s="21"/>
      <c r="C433" s="21"/>
      <c r="D433" s="28"/>
      <c r="E433" s="21"/>
      <c r="F433" s="21"/>
      <c r="G433" s="21"/>
      <c r="H433" s="21"/>
      <c r="AB433" s="21"/>
    </row>
    <row r="434" spans="1:28">
      <c r="A434" s="21"/>
      <c r="B434" s="21"/>
      <c r="C434" s="21"/>
      <c r="D434" s="28"/>
      <c r="E434" s="21"/>
      <c r="F434" s="21"/>
      <c r="G434" s="21"/>
      <c r="H434" s="21"/>
      <c r="AB434" s="21"/>
    </row>
    <row r="435" spans="1:28">
      <c r="A435" s="21"/>
      <c r="B435" s="21"/>
      <c r="C435" s="21"/>
      <c r="D435" s="28"/>
      <c r="E435" s="21"/>
      <c r="F435" s="21"/>
      <c r="G435" s="21"/>
      <c r="H435" s="21"/>
      <c r="AB435" s="21"/>
    </row>
    <row r="436" spans="1:28">
      <c r="A436" s="21"/>
      <c r="B436" s="21"/>
      <c r="C436" s="21"/>
      <c r="D436" s="28"/>
      <c r="E436" s="21"/>
      <c r="F436" s="21"/>
      <c r="G436" s="21"/>
      <c r="H436" s="21"/>
      <c r="AB436" s="21"/>
    </row>
    <row r="437" spans="1:28">
      <c r="A437" s="21"/>
      <c r="B437" s="21"/>
      <c r="C437" s="21"/>
      <c r="D437" s="28"/>
      <c r="E437" s="21"/>
      <c r="F437" s="21"/>
      <c r="G437" s="21"/>
      <c r="H437" s="21"/>
      <c r="AB437" s="21"/>
    </row>
    <row r="438" spans="1:28">
      <c r="A438" s="21"/>
      <c r="B438" s="21"/>
      <c r="C438" s="21"/>
      <c r="D438" s="28"/>
      <c r="E438" s="21"/>
      <c r="F438" s="21"/>
      <c r="G438" s="21"/>
      <c r="H438" s="21"/>
      <c r="AB438" s="21"/>
    </row>
    <row r="439" spans="1:28">
      <c r="A439" s="21"/>
      <c r="B439" s="21"/>
      <c r="C439" s="21"/>
      <c r="D439" s="28"/>
      <c r="E439" s="21"/>
      <c r="F439" s="21"/>
      <c r="G439" s="21"/>
      <c r="H439" s="21"/>
      <c r="AB439" s="21"/>
    </row>
    <row r="440" spans="1:28">
      <c r="A440" s="21"/>
      <c r="B440" s="21"/>
      <c r="C440" s="21"/>
      <c r="D440" s="28"/>
      <c r="E440" s="21"/>
      <c r="F440" s="21"/>
      <c r="G440" s="21"/>
      <c r="H440" s="21"/>
      <c r="AB440" s="21"/>
    </row>
    <row r="441" spans="1:28">
      <c r="A441" s="21"/>
      <c r="B441" s="21"/>
      <c r="C441" s="21"/>
      <c r="D441" s="28"/>
      <c r="E441" s="21"/>
      <c r="F441" s="21"/>
      <c r="G441" s="21"/>
      <c r="H441" s="21"/>
      <c r="AB441" s="21"/>
    </row>
    <row r="442" spans="1:28">
      <c r="A442" s="21"/>
      <c r="B442" s="21"/>
      <c r="C442" s="21"/>
      <c r="D442" s="28"/>
      <c r="E442" s="21"/>
      <c r="F442" s="21"/>
      <c r="G442" s="21"/>
      <c r="H442" s="21"/>
      <c r="AB442" s="21"/>
    </row>
    <row r="443" spans="1:28">
      <c r="A443" s="21"/>
      <c r="B443" s="21"/>
      <c r="C443" s="21"/>
      <c r="D443" s="28"/>
      <c r="E443" s="21"/>
      <c r="F443" s="21"/>
      <c r="G443" s="21"/>
      <c r="H443" s="21"/>
      <c r="AB443" s="21"/>
    </row>
    <row r="444" spans="1:28">
      <c r="A444" s="21"/>
      <c r="B444" s="21"/>
      <c r="C444" s="21"/>
      <c r="D444" s="28"/>
      <c r="E444" s="21"/>
      <c r="F444" s="21"/>
      <c r="G444" s="21"/>
      <c r="H444" s="21"/>
      <c r="AB444" s="21"/>
    </row>
    <row r="445" spans="1:28">
      <c r="A445" s="21"/>
      <c r="B445" s="21"/>
      <c r="C445" s="21"/>
      <c r="D445" s="28"/>
      <c r="E445" s="21"/>
      <c r="F445" s="21"/>
      <c r="G445" s="21"/>
      <c r="H445" s="21"/>
      <c r="AB445" s="21"/>
    </row>
    <row r="446" spans="1:28">
      <c r="A446" s="21"/>
      <c r="B446" s="21"/>
      <c r="C446" s="21"/>
      <c r="D446" s="28"/>
      <c r="E446" s="21"/>
      <c r="F446" s="21"/>
      <c r="G446" s="21"/>
      <c r="H446" s="21"/>
      <c r="AB446" s="21"/>
    </row>
    <row r="447" spans="1:28">
      <c r="A447" s="21"/>
      <c r="B447" s="21"/>
      <c r="C447" s="21"/>
      <c r="D447" s="28"/>
      <c r="E447" s="21"/>
      <c r="F447" s="21"/>
      <c r="G447" s="21"/>
      <c r="H447" s="21"/>
      <c r="AB447" s="21"/>
    </row>
    <row r="448" spans="1:28">
      <c r="A448" s="21"/>
      <c r="B448" s="21"/>
      <c r="C448" s="21"/>
      <c r="D448" s="28"/>
      <c r="E448" s="21"/>
      <c r="F448" s="21"/>
      <c r="G448" s="21"/>
      <c r="H448" s="21"/>
      <c r="AB448" s="21"/>
    </row>
    <row r="449" spans="1:28">
      <c r="A449" s="21"/>
      <c r="B449" s="21"/>
      <c r="C449" s="21"/>
      <c r="D449" s="28"/>
      <c r="E449" s="21"/>
      <c r="F449" s="21"/>
      <c r="G449" s="21"/>
      <c r="H449" s="21"/>
      <c r="AB449" s="21"/>
    </row>
    <row r="450" spans="1:28">
      <c r="A450" s="21"/>
      <c r="B450" s="21"/>
      <c r="C450" s="21"/>
      <c r="D450" s="28"/>
      <c r="E450" s="21"/>
      <c r="F450" s="21"/>
      <c r="G450" s="21"/>
      <c r="H450" s="21"/>
      <c r="AB450" s="21"/>
    </row>
    <row r="451" spans="1:28">
      <c r="A451" s="21"/>
      <c r="B451" s="21"/>
      <c r="C451" s="21"/>
      <c r="D451" s="28"/>
      <c r="E451" s="21"/>
      <c r="F451" s="21"/>
      <c r="G451" s="21"/>
      <c r="H451" s="21"/>
      <c r="AB451" s="21"/>
    </row>
    <row r="452" spans="1:28">
      <c r="A452" s="21"/>
      <c r="B452" s="21"/>
      <c r="C452" s="21"/>
      <c r="D452" s="28"/>
      <c r="E452" s="21"/>
      <c r="F452" s="21"/>
      <c r="G452" s="21"/>
      <c r="H452" s="21"/>
      <c r="AB452" s="21"/>
    </row>
    <row r="453" spans="1:28">
      <c r="A453" s="21"/>
      <c r="B453" s="21"/>
      <c r="C453" s="21"/>
      <c r="D453" s="28"/>
      <c r="E453" s="21"/>
      <c r="F453" s="21"/>
      <c r="G453" s="21"/>
      <c r="H453" s="21"/>
      <c r="AB453" s="21"/>
    </row>
    <row r="454" spans="1:28">
      <c r="A454" s="21"/>
      <c r="B454" s="21"/>
      <c r="C454" s="21"/>
      <c r="D454" s="28"/>
      <c r="E454" s="21"/>
      <c r="F454" s="21"/>
      <c r="G454" s="21"/>
      <c r="H454" s="21"/>
      <c r="AB454" s="21"/>
    </row>
    <row r="455" spans="1:28">
      <c r="A455" s="21"/>
      <c r="B455" s="21"/>
      <c r="C455" s="21"/>
      <c r="D455" s="28"/>
      <c r="E455" s="21"/>
      <c r="F455" s="21"/>
      <c r="G455" s="21"/>
      <c r="H455" s="21"/>
      <c r="AB455" s="21"/>
    </row>
    <row r="456" spans="1:28">
      <c r="A456" s="21"/>
      <c r="B456" s="21"/>
      <c r="C456" s="21"/>
      <c r="D456" s="28"/>
      <c r="E456" s="21"/>
      <c r="F456" s="21"/>
      <c r="G456" s="21"/>
      <c r="H456" s="21"/>
      <c r="AB456" s="21"/>
    </row>
    <row r="457" spans="1:28">
      <c r="A457" s="21"/>
      <c r="B457" s="21"/>
      <c r="C457" s="21"/>
      <c r="D457" s="28"/>
      <c r="E457" s="21"/>
      <c r="F457" s="21"/>
      <c r="G457" s="21"/>
      <c r="H457" s="21"/>
      <c r="AB457" s="21"/>
    </row>
    <row r="458" spans="1:28">
      <c r="A458" s="21"/>
      <c r="B458" s="21"/>
      <c r="C458" s="21"/>
      <c r="D458" s="28"/>
      <c r="E458" s="21"/>
      <c r="F458" s="21"/>
      <c r="G458" s="21"/>
      <c r="H458" s="21"/>
      <c r="AB458" s="21"/>
    </row>
    <row r="459" spans="1:28">
      <c r="A459" s="21"/>
      <c r="B459" s="21"/>
      <c r="C459" s="21"/>
      <c r="D459" s="28"/>
      <c r="E459" s="21"/>
      <c r="F459" s="21"/>
      <c r="G459" s="21"/>
      <c r="H459" s="21"/>
      <c r="AB459" s="21"/>
    </row>
    <row r="460" spans="1:28">
      <c r="A460" s="21"/>
      <c r="B460" s="21"/>
      <c r="C460" s="21"/>
      <c r="D460" s="28"/>
      <c r="E460" s="21"/>
      <c r="F460" s="21"/>
      <c r="G460" s="21"/>
      <c r="H460" s="21"/>
      <c r="AB460" s="21"/>
    </row>
    <row r="461" spans="1:28">
      <c r="A461" s="21"/>
      <c r="B461" s="21"/>
      <c r="C461" s="21"/>
      <c r="D461" s="28"/>
      <c r="E461" s="21"/>
      <c r="F461" s="21"/>
      <c r="G461" s="21"/>
      <c r="H461" s="21"/>
      <c r="AB461" s="21"/>
    </row>
    <row r="462" spans="1:28">
      <c r="A462" s="21"/>
      <c r="B462" s="21"/>
      <c r="C462" s="21"/>
      <c r="D462" s="28"/>
      <c r="E462" s="21"/>
      <c r="F462" s="21"/>
      <c r="G462" s="21"/>
      <c r="H462" s="21"/>
      <c r="AB462" s="21"/>
    </row>
    <row r="463" spans="1:28">
      <c r="A463" s="21"/>
      <c r="B463" s="21"/>
      <c r="C463" s="21"/>
      <c r="D463" s="28"/>
      <c r="E463" s="21"/>
      <c r="F463" s="21"/>
      <c r="G463" s="21"/>
      <c r="H463" s="21"/>
      <c r="AB463" s="21"/>
    </row>
    <row r="464" spans="1:28">
      <c r="A464" s="21"/>
      <c r="B464" s="21"/>
      <c r="C464" s="21"/>
      <c r="D464" s="28"/>
      <c r="E464" s="21"/>
      <c r="F464" s="21"/>
      <c r="G464" s="21"/>
      <c r="H464" s="21"/>
      <c r="AB464" s="21"/>
    </row>
    <row r="465" spans="1:28">
      <c r="A465" s="21"/>
      <c r="B465" s="21"/>
      <c r="C465" s="21"/>
      <c r="D465" s="28"/>
      <c r="E465" s="21"/>
      <c r="F465" s="21"/>
      <c r="G465" s="21"/>
      <c r="H465" s="21"/>
      <c r="AB465" s="21"/>
    </row>
    <row r="466" spans="1:28">
      <c r="A466" s="21"/>
      <c r="B466" s="21"/>
      <c r="C466" s="21"/>
      <c r="D466" s="28"/>
      <c r="E466" s="21"/>
      <c r="F466" s="21"/>
      <c r="G466" s="21"/>
      <c r="H466" s="21"/>
      <c r="AB466" s="21"/>
    </row>
    <row r="467" spans="1:28">
      <c r="A467" s="21"/>
      <c r="B467" s="21"/>
      <c r="C467" s="21"/>
      <c r="D467" s="28"/>
      <c r="E467" s="21"/>
      <c r="F467" s="21"/>
      <c r="G467" s="21"/>
      <c r="H467" s="21"/>
      <c r="AB467" s="21"/>
    </row>
    <row r="468" spans="1:28">
      <c r="A468" s="21"/>
      <c r="B468" s="21"/>
      <c r="C468" s="21"/>
      <c r="D468" s="28"/>
      <c r="E468" s="21"/>
      <c r="F468" s="21"/>
      <c r="G468" s="21"/>
      <c r="H468" s="21"/>
      <c r="AB468" s="21"/>
    </row>
    <row r="469" spans="1:28">
      <c r="A469" s="21"/>
      <c r="B469" s="21"/>
      <c r="C469" s="21"/>
      <c r="D469" s="28"/>
      <c r="E469" s="21"/>
      <c r="F469" s="21"/>
      <c r="G469" s="21"/>
      <c r="H469" s="21"/>
      <c r="AB469" s="21"/>
    </row>
    <row r="470" spans="1:28">
      <c r="A470" s="21"/>
      <c r="B470" s="21"/>
      <c r="C470" s="21"/>
      <c r="D470" s="28"/>
      <c r="E470" s="21"/>
      <c r="F470" s="21"/>
      <c r="G470" s="21"/>
      <c r="H470" s="21"/>
      <c r="AB470" s="21"/>
    </row>
    <row r="471" spans="1:28">
      <c r="A471" s="21"/>
      <c r="B471" s="21"/>
      <c r="C471" s="21"/>
      <c r="D471" s="28"/>
      <c r="E471" s="21"/>
      <c r="F471" s="21"/>
      <c r="G471" s="21"/>
      <c r="H471" s="21"/>
      <c r="AB471" s="21"/>
    </row>
    <row r="472" spans="1:28">
      <c r="A472" s="21"/>
      <c r="B472" s="21"/>
      <c r="C472" s="21"/>
      <c r="D472" s="28"/>
      <c r="E472" s="21"/>
      <c r="F472" s="21"/>
      <c r="G472" s="21"/>
      <c r="H472" s="21"/>
      <c r="AB472" s="21"/>
    </row>
    <row r="473" spans="1:28">
      <c r="A473" s="21"/>
      <c r="B473" s="21"/>
      <c r="C473" s="21"/>
      <c r="D473" s="28"/>
      <c r="E473" s="21"/>
      <c r="F473" s="21"/>
      <c r="G473" s="21"/>
      <c r="H473" s="21"/>
      <c r="AB473" s="21"/>
    </row>
    <row r="474" spans="1:28">
      <c r="A474" s="21"/>
      <c r="B474" s="21"/>
      <c r="C474" s="21"/>
      <c r="D474" s="28"/>
      <c r="E474" s="21"/>
      <c r="F474" s="21"/>
      <c r="G474" s="21"/>
      <c r="H474" s="21"/>
      <c r="AB474" s="21"/>
    </row>
    <row r="475" spans="1:28">
      <c r="A475" s="21"/>
      <c r="B475" s="21"/>
      <c r="C475" s="21"/>
      <c r="D475" s="28"/>
      <c r="E475" s="21"/>
      <c r="F475" s="21"/>
      <c r="G475" s="21"/>
      <c r="H475" s="21"/>
      <c r="AB475" s="21"/>
    </row>
    <row r="476" spans="1:28">
      <c r="A476" s="21"/>
      <c r="B476" s="21"/>
      <c r="C476" s="21"/>
      <c r="D476" s="28"/>
      <c r="E476" s="21"/>
      <c r="F476" s="21"/>
      <c r="G476" s="21"/>
      <c r="H476" s="21"/>
      <c r="AB476" s="21"/>
    </row>
    <row r="477" spans="1:28">
      <c r="A477" s="21"/>
      <c r="B477" s="21"/>
      <c r="C477" s="21"/>
      <c r="D477" s="28"/>
      <c r="E477" s="21"/>
      <c r="F477" s="21"/>
      <c r="G477" s="21"/>
      <c r="H477" s="21"/>
      <c r="AB477" s="21"/>
    </row>
    <row r="478" spans="1:28">
      <c r="A478" s="21"/>
      <c r="B478" s="21"/>
      <c r="C478" s="21"/>
      <c r="D478" s="28"/>
      <c r="E478" s="21"/>
      <c r="F478" s="21"/>
      <c r="G478" s="21"/>
      <c r="H478" s="21"/>
      <c r="AB478" s="21"/>
    </row>
    <row r="479" spans="1:28">
      <c r="A479" s="21"/>
      <c r="B479" s="21"/>
      <c r="C479" s="21"/>
      <c r="D479" s="28"/>
      <c r="E479" s="21"/>
      <c r="F479" s="21"/>
      <c r="G479" s="21"/>
      <c r="H479" s="21"/>
      <c r="AB479" s="21"/>
    </row>
    <row r="480" spans="1:28">
      <c r="A480" s="21"/>
      <c r="B480" s="21"/>
      <c r="C480" s="21"/>
      <c r="D480" s="28"/>
      <c r="E480" s="21"/>
      <c r="F480" s="21"/>
      <c r="G480" s="21"/>
      <c r="H480" s="21"/>
      <c r="AB480" s="21"/>
    </row>
    <row r="481" spans="1:28">
      <c r="A481" s="21"/>
      <c r="B481" s="21"/>
      <c r="C481" s="21"/>
      <c r="D481" s="28"/>
      <c r="E481" s="21"/>
      <c r="F481" s="21"/>
      <c r="G481" s="21"/>
      <c r="H481" s="21"/>
      <c r="AB481" s="21"/>
    </row>
    <row r="482" spans="1:28">
      <c r="A482" s="21"/>
      <c r="B482" s="21"/>
      <c r="C482" s="21"/>
      <c r="D482" s="28"/>
      <c r="E482" s="21"/>
      <c r="F482" s="21"/>
      <c r="G482" s="21"/>
      <c r="H482" s="21"/>
      <c r="AB482" s="21"/>
    </row>
    <row r="483" spans="1:28">
      <c r="A483" s="21"/>
      <c r="B483" s="21"/>
      <c r="C483" s="21"/>
      <c r="D483" s="28"/>
      <c r="E483" s="21"/>
      <c r="F483" s="21"/>
      <c r="G483" s="21"/>
      <c r="H483" s="21"/>
      <c r="AB483" s="21"/>
    </row>
    <row r="484" spans="1:28">
      <c r="A484" s="21"/>
      <c r="B484" s="21"/>
      <c r="C484" s="21"/>
      <c r="D484" s="28"/>
      <c r="E484" s="21"/>
      <c r="F484" s="21"/>
      <c r="G484" s="21"/>
      <c r="H484" s="21"/>
      <c r="AB484" s="21"/>
    </row>
    <row r="485" spans="1:28">
      <c r="A485" s="21"/>
      <c r="B485" s="21"/>
      <c r="C485" s="21"/>
      <c r="D485" s="28"/>
      <c r="E485" s="21"/>
      <c r="F485" s="21"/>
      <c r="G485" s="21"/>
      <c r="H485" s="21"/>
      <c r="AB485" s="21"/>
    </row>
    <row r="486" spans="1:28">
      <c r="A486" s="21"/>
      <c r="B486" s="21"/>
      <c r="C486" s="21"/>
      <c r="D486" s="28"/>
      <c r="E486" s="21"/>
      <c r="F486" s="21"/>
      <c r="G486" s="21"/>
      <c r="H486" s="21"/>
      <c r="AB486" s="21"/>
    </row>
    <row r="487" spans="1:28">
      <c r="A487" s="21"/>
      <c r="B487" s="21"/>
      <c r="C487" s="21"/>
      <c r="D487" s="28"/>
      <c r="E487" s="21"/>
      <c r="F487" s="21"/>
      <c r="G487" s="21"/>
      <c r="H487" s="21"/>
      <c r="AB487" s="21"/>
    </row>
    <row r="488" spans="1:28">
      <c r="A488" s="21"/>
      <c r="B488" s="21"/>
      <c r="C488" s="21"/>
      <c r="D488" s="28"/>
      <c r="E488" s="21"/>
      <c r="F488" s="21"/>
      <c r="G488" s="21"/>
      <c r="H488" s="21"/>
      <c r="AB488" s="21"/>
    </row>
    <row r="489" spans="1:28">
      <c r="A489" s="21"/>
      <c r="B489" s="21"/>
      <c r="C489" s="21"/>
      <c r="D489" s="28"/>
      <c r="E489" s="21"/>
      <c r="F489" s="21"/>
      <c r="G489" s="21"/>
      <c r="H489" s="21"/>
      <c r="AB489" s="21"/>
    </row>
    <row r="490" spans="1:28">
      <c r="A490" s="21"/>
      <c r="B490" s="21"/>
      <c r="C490" s="21"/>
      <c r="D490" s="28"/>
      <c r="E490" s="21"/>
      <c r="F490" s="21"/>
      <c r="G490" s="21"/>
      <c r="H490" s="21"/>
      <c r="AB490" s="21"/>
    </row>
    <row r="491" spans="1:28">
      <c r="A491" s="21"/>
      <c r="B491" s="21"/>
      <c r="C491" s="21"/>
      <c r="D491" s="28"/>
      <c r="E491" s="21"/>
      <c r="F491" s="21"/>
      <c r="G491" s="21"/>
      <c r="H491" s="21"/>
      <c r="AB491" s="21"/>
    </row>
    <row r="492" spans="1:28">
      <c r="A492" s="21"/>
      <c r="B492" s="21"/>
      <c r="C492" s="21"/>
      <c r="D492" s="28"/>
      <c r="E492" s="21"/>
      <c r="F492" s="21"/>
      <c r="G492" s="21"/>
      <c r="H492" s="21"/>
      <c r="AB492" s="21"/>
    </row>
    <row r="493" spans="1:28">
      <c r="A493" s="21"/>
      <c r="B493" s="21"/>
      <c r="C493" s="21"/>
      <c r="D493" s="28"/>
      <c r="E493" s="21"/>
      <c r="F493" s="21"/>
      <c r="G493" s="21"/>
      <c r="H493" s="21"/>
      <c r="AB493" s="21"/>
    </row>
    <row r="494" spans="1:28">
      <c r="A494" s="21"/>
      <c r="B494" s="21"/>
      <c r="C494" s="21"/>
      <c r="D494" s="28"/>
      <c r="E494" s="21"/>
      <c r="F494" s="21"/>
      <c r="G494" s="21"/>
      <c r="H494" s="21"/>
      <c r="AB494" s="21"/>
    </row>
    <row r="495" spans="1:28">
      <c r="A495" s="21"/>
      <c r="B495" s="21"/>
      <c r="C495" s="21"/>
      <c r="D495" s="28"/>
      <c r="E495" s="21"/>
      <c r="F495" s="21"/>
      <c r="G495" s="21"/>
      <c r="H495" s="21"/>
      <c r="AB495" s="21"/>
    </row>
    <row r="496" spans="1:28">
      <c r="A496" s="21"/>
      <c r="B496" s="21"/>
      <c r="C496" s="21"/>
      <c r="D496" s="28"/>
      <c r="E496" s="21"/>
      <c r="F496" s="21"/>
      <c r="G496" s="21"/>
      <c r="H496" s="21"/>
      <c r="AB496" s="21"/>
    </row>
    <row r="497" spans="1:28">
      <c r="A497" s="21"/>
      <c r="B497" s="21"/>
      <c r="C497" s="21"/>
      <c r="D497" s="28"/>
      <c r="E497" s="21"/>
      <c r="F497" s="21"/>
      <c r="G497" s="21"/>
      <c r="H497" s="21"/>
      <c r="AB497" s="21"/>
    </row>
    <row r="498" spans="1:28">
      <c r="A498" s="21"/>
      <c r="B498" s="21"/>
      <c r="C498" s="21"/>
      <c r="D498" s="28"/>
      <c r="E498" s="21"/>
      <c r="F498" s="21"/>
      <c r="G498" s="21"/>
      <c r="H498" s="21"/>
      <c r="AB498" s="21"/>
    </row>
    <row r="499" spans="1:28">
      <c r="A499" s="21"/>
      <c r="B499" s="21"/>
      <c r="C499" s="21"/>
      <c r="D499" s="28"/>
      <c r="E499" s="21"/>
      <c r="F499" s="21"/>
      <c r="G499" s="21"/>
      <c r="H499" s="21"/>
      <c r="AB499" s="21"/>
    </row>
    <row r="500" spans="1:28">
      <c r="A500" s="21"/>
      <c r="B500" s="21"/>
      <c r="C500" s="21"/>
      <c r="D500" s="28"/>
      <c r="E500" s="21"/>
      <c r="F500" s="21"/>
      <c r="G500" s="21"/>
      <c r="H500" s="21"/>
      <c r="AB500" s="21"/>
    </row>
    <row r="501" spans="1:28">
      <c r="A501" s="21"/>
      <c r="B501" s="21"/>
      <c r="C501" s="21"/>
      <c r="D501" s="28"/>
      <c r="E501" s="21"/>
      <c r="F501" s="21"/>
      <c r="G501" s="21"/>
      <c r="H501" s="21"/>
      <c r="AB501" s="21"/>
    </row>
    <row r="502" spans="1:28">
      <c r="A502" s="21"/>
      <c r="B502" s="21"/>
      <c r="C502" s="21"/>
      <c r="D502" s="28"/>
      <c r="E502" s="21"/>
      <c r="F502" s="21"/>
      <c r="G502" s="21"/>
      <c r="H502" s="21"/>
      <c r="AB502" s="21"/>
    </row>
    <row r="503" spans="1:28">
      <c r="A503" s="21"/>
      <c r="B503" s="21"/>
      <c r="C503" s="21"/>
      <c r="D503" s="28"/>
      <c r="E503" s="21"/>
      <c r="F503" s="21"/>
      <c r="G503" s="21"/>
      <c r="H503" s="21"/>
      <c r="AB503" s="21"/>
    </row>
    <row r="504" spans="1:28">
      <c r="A504" s="21"/>
      <c r="B504" s="21"/>
      <c r="C504" s="21"/>
      <c r="D504" s="28"/>
      <c r="E504" s="21"/>
      <c r="F504" s="21"/>
      <c r="G504" s="21"/>
      <c r="H504" s="21"/>
      <c r="AB504" s="21"/>
    </row>
    <row r="505" spans="1:28">
      <c r="A505" s="21"/>
      <c r="B505" s="21"/>
      <c r="C505" s="21"/>
      <c r="D505" s="28"/>
      <c r="E505" s="21"/>
      <c r="F505" s="21"/>
      <c r="G505" s="21"/>
      <c r="H505" s="21"/>
      <c r="AB505" s="21"/>
    </row>
    <row r="506" spans="1:28">
      <c r="A506" s="21"/>
      <c r="B506" s="21"/>
      <c r="C506" s="21"/>
      <c r="D506" s="28"/>
      <c r="E506" s="21"/>
      <c r="F506" s="21"/>
      <c r="G506" s="21"/>
      <c r="H506" s="21"/>
      <c r="AB506" s="21"/>
    </row>
    <row r="507" spans="1:28">
      <c r="A507" s="21"/>
      <c r="B507" s="21"/>
      <c r="C507" s="21"/>
      <c r="D507" s="28"/>
      <c r="E507" s="21"/>
      <c r="F507" s="21"/>
      <c r="G507" s="21"/>
      <c r="H507" s="21"/>
      <c r="AB507" s="21"/>
    </row>
    <row r="508" spans="1:28">
      <c r="A508" s="21"/>
      <c r="B508" s="21"/>
      <c r="C508" s="21"/>
      <c r="D508" s="28"/>
      <c r="E508" s="21"/>
      <c r="F508" s="21"/>
      <c r="G508" s="21"/>
      <c r="H508" s="21"/>
      <c r="AB508" s="21"/>
    </row>
    <row r="509" spans="1:28">
      <c r="A509" s="21"/>
      <c r="B509" s="21"/>
      <c r="C509" s="21"/>
      <c r="D509" s="28"/>
      <c r="E509" s="21"/>
      <c r="F509" s="21"/>
      <c r="G509" s="21"/>
      <c r="H509" s="21"/>
      <c r="AB509" s="21"/>
    </row>
    <row r="510" spans="1:28">
      <c r="A510" s="21"/>
      <c r="B510" s="21"/>
      <c r="C510" s="21"/>
      <c r="D510" s="28"/>
      <c r="E510" s="21"/>
      <c r="F510" s="21"/>
      <c r="G510" s="21"/>
      <c r="H510" s="21"/>
      <c r="AB510" s="21"/>
    </row>
    <row r="511" spans="1:28">
      <c r="A511" s="21"/>
      <c r="B511" s="21"/>
      <c r="C511" s="21"/>
      <c r="D511" s="28"/>
      <c r="E511" s="21"/>
      <c r="F511" s="21"/>
      <c r="G511" s="21"/>
      <c r="H511" s="21"/>
      <c r="AB511" s="21"/>
    </row>
    <row r="512" spans="1:28">
      <c r="A512" s="21"/>
      <c r="B512" s="21"/>
      <c r="C512" s="21"/>
      <c r="D512" s="28"/>
      <c r="E512" s="21"/>
      <c r="F512" s="21"/>
      <c r="G512" s="21"/>
      <c r="H512" s="21"/>
      <c r="AB512" s="21"/>
    </row>
    <row r="513" spans="1:28">
      <c r="A513" s="21"/>
      <c r="B513" s="21"/>
      <c r="C513" s="21"/>
      <c r="D513" s="28"/>
      <c r="E513" s="21"/>
      <c r="F513" s="21"/>
      <c r="G513" s="21"/>
      <c r="H513" s="21"/>
      <c r="AB513" s="21"/>
    </row>
    <row r="514" spans="1:28">
      <c r="A514" s="21"/>
      <c r="B514" s="21"/>
      <c r="C514" s="21"/>
      <c r="D514" s="28"/>
      <c r="E514" s="21"/>
      <c r="F514" s="21"/>
      <c r="G514" s="21"/>
      <c r="H514" s="21"/>
      <c r="AB514" s="21"/>
    </row>
    <row r="515" spans="1:28">
      <c r="A515" s="21"/>
      <c r="B515" s="21"/>
      <c r="C515" s="21"/>
      <c r="D515" s="28"/>
      <c r="E515" s="21"/>
      <c r="F515" s="21"/>
      <c r="G515" s="21"/>
      <c r="H515" s="21"/>
      <c r="AB515" s="21"/>
    </row>
    <row r="516" spans="1:28">
      <c r="A516" s="21"/>
      <c r="B516" s="21"/>
      <c r="C516" s="21"/>
      <c r="D516" s="28"/>
      <c r="E516" s="21"/>
      <c r="F516" s="21"/>
      <c r="G516" s="21"/>
      <c r="H516" s="21"/>
      <c r="AB516" s="21"/>
    </row>
    <row r="517" spans="1:28">
      <c r="A517" s="21"/>
      <c r="B517" s="21"/>
      <c r="C517" s="21"/>
      <c r="D517" s="28"/>
      <c r="E517" s="21"/>
      <c r="F517" s="21"/>
      <c r="G517" s="21"/>
      <c r="H517" s="21"/>
      <c r="AB517" s="21"/>
    </row>
    <row r="518" spans="1:28">
      <c r="A518" s="21"/>
      <c r="B518" s="21"/>
      <c r="C518" s="21"/>
      <c r="D518" s="28"/>
      <c r="E518" s="21"/>
      <c r="F518" s="21"/>
      <c r="G518" s="21"/>
      <c r="H518" s="21"/>
      <c r="AB518" s="21"/>
    </row>
    <row r="519" spans="1:28">
      <c r="A519" s="21"/>
      <c r="B519" s="21"/>
      <c r="C519" s="21"/>
      <c r="D519" s="28"/>
      <c r="E519" s="21"/>
      <c r="F519" s="21"/>
      <c r="G519" s="21"/>
      <c r="H519" s="21"/>
      <c r="AB519" s="21"/>
    </row>
    <row r="520" spans="1:28">
      <c r="A520" s="21"/>
      <c r="B520" s="21"/>
      <c r="C520" s="21"/>
      <c r="D520" s="28"/>
      <c r="E520" s="21"/>
      <c r="F520" s="21"/>
      <c r="G520" s="21"/>
      <c r="H520" s="21"/>
      <c r="AB520" s="21"/>
    </row>
    <row r="521" spans="1:28">
      <c r="A521" s="21"/>
      <c r="B521" s="21"/>
      <c r="C521" s="21"/>
      <c r="D521" s="28"/>
      <c r="E521" s="21"/>
      <c r="F521" s="21"/>
      <c r="G521" s="21"/>
      <c r="H521" s="21"/>
      <c r="AB521" s="21"/>
    </row>
    <row r="522" spans="1:28">
      <c r="A522" s="21"/>
      <c r="B522" s="21"/>
      <c r="C522" s="21"/>
      <c r="D522" s="28"/>
      <c r="E522" s="21"/>
      <c r="F522" s="21"/>
      <c r="G522" s="21"/>
      <c r="H522" s="21"/>
      <c r="AB522" s="21"/>
    </row>
    <row r="523" spans="1:28">
      <c r="A523" s="21"/>
      <c r="B523" s="21"/>
      <c r="C523" s="21"/>
      <c r="D523" s="28"/>
      <c r="E523" s="21"/>
      <c r="F523" s="21"/>
      <c r="G523" s="21"/>
      <c r="H523" s="21"/>
      <c r="AB523" s="21"/>
    </row>
    <row r="524" spans="1:28">
      <c r="A524" s="21"/>
      <c r="B524" s="21"/>
      <c r="C524" s="21"/>
      <c r="D524" s="28"/>
      <c r="E524" s="21"/>
      <c r="F524" s="21"/>
      <c r="G524" s="21"/>
      <c r="H524" s="21"/>
      <c r="AB524" s="21"/>
    </row>
    <row r="525" spans="1:28">
      <c r="A525" s="21"/>
      <c r="B525" s="21"/>
      <c r="C525" s="21"/>
      <c r="D525" s="28"/>
      <c r="E525" s="21"/>
      <c r="F525" s="21"/>
      <c r="G525" s="21"/>
      <c r="H525" s="21"/>
      <c r="AB525" s="21"/>
    </row>
    <row r="526" spans="1:28">
      <c r="A526" s="21"/>
      <c r="B526" s="21"/>
      <c r="C526" s="21"/>
      <c r="D526" s="28"/>
      <c r="E526" s="21"/>
      <c r="F526" s="21"/>
      <c r="G526" s="21"/>
      <c r="H526" s="21"/>
      <c r="AB526" s="21"/>
    </row>
    <row r="527" spans="1:28">
      <c r="A527" s="21"/>
      <c r="B527" s="21"/>
      <c r="C527" s="21"/>
      <c r="D527" s="28"/>
      <c r="E527" s="21"/>
      <c r="F527" s="21"/>
      <c r="G527" s="21"/>
      <c r="H527" s="21"/>
      <c r="AB527" s="21"/>
    </row>
    <row r="528" spans="1:28">
      <c r="A528" s="21"/>
      <c r="B528" s="21"/>
      <c r="C528" s="21"/>
      <c r="D528" s="28"/>
      <c r="E528" s="21"/>
      <c r="F528" s="21"/>
      <c r="G528" s="21"/>
      <c r="H528" s="21"/>
      <c r="AB528" s="21"/>
    </row>
    <row r="529" spans="1:28">
      <c r="A529" s="21"/>
      <c r="B529" s="21"/>
      <c r="C529" s="21"/>
      <c r="D529" s="28"/>
      <c r="E529" s="21"/>
      <c r="F529" s="21"/>
      <c r="G529" s="21"/>
      <c r="H529" s="21"/>
      <c r="AB529" s="21"/>
    </row>
    <row r="530" spans="1:28">
      <c r="A530" s="21"/>
      <c r="B530" s="21"/>
      <c r="C530" s="21"/>
      <c r="D530" s="28"/>
      <c r="E530" s="21"/>
      <c r="F530" s="21"/>
      <c r="G530" s="21"/>
      <c r="H530" s="21"/>
      <c r="AB530" s="21"/>
    </row>
    <row r="531" spans="1:28">
      <c r="A531" s="21"/>
      <c r="B531" s="21"/>
      <c r="C531" s="21"/>
      <c r="D531" s="28"/>
      <c r="E531" s="21"/>
      <c r="F531" s="21"/>
      <c r="G531" s="21"/>
      <c r="H531" s="21"/>
      <c r="AB531" s="21"/>
    </row>
    <row r="532" spans="1:28">
      <c r="A532" s="21"/>
      <c r="B532" s="21"/>
      <c r="C532" s="21"/>
      <c r="D532" s="28"/>
      <c r="E532" s="21"/>
      <c r="F532" s="21"/>
      <c r="G532" s="21"/>
      <c r="H532" s="21"/>
      <c r="AB532" s="21"/>
    </row>
    <row r="533" spans="1:28">
      <c r="A533" s="21"/>
      <c r="B533" s="21"/>
      <c r="C533" s="21"/>
      <c r="D533" s="28"/>
      <c r="E533" s="21"/>
      <c r="F533" s="21"/>
      <c r="G533" s="21"/>
      <c r="H533" s="21"/>
    </row>
    <row r="534" spans="1:28">
      <c r="A534" s="21"/>
      <c r="B534" s="21"/>
      <c r="C534" s="21"/>
      <c r="D534" s="28"/>
      <c r="E534" s="21"/>
      <c r="F534" s="21"/>
      <c r="G534" s="21"/>
      <c r="H534" s="21"/>
    </row>
    <row r="535" spans="1:28">
      <c r="A535" s="21"/>
      <c r="B535" s="21"/>
      <c r="C535" s="21"/>
      <c r="D535" s="28"/>
      <c r="E535" s="21"/>
      <c r="F535" s="21"/>
      <c r="G535" s="21"/>
      <c r="H535" s="21"/>
    </row>
    <row r="536" spans="1:28">
      <c r="A536" s="21"/>
      <c r="B536" s="21"/>
      <c r="C536" s="21"/>
      <c r="D536" s="28"/>
      <c r="E536" s="21"/>
      <c r="F536" s="21"/>
      <c r="G536" s="21"/>
      <c r="H536" s="21"/>
    </row>
    <row r="537" spans="1:28">
      <c r="A537" s="21"/>
      <c r="B537" s="21"/>
      <c r="C537" s="21"/>
      <c r="D537" s="28"/>
      <c r="E537" s="21"/>
      <c r="F537" s="21"/>
      <c r="G537" s="21"/>
      <c r="H537" s="21"/>
    </row>
    <row r="538" spans="1:28">
      <c r="A538" s="21"/>
      <c r="B538" s="21"/>
      <c r="C538" s="21"/>
      <c r="D538" s="28"/>
      <c r="E538" s="21"/>
      <c r="F538" s="21"/>
      <c r="G538" s="21"/>
      <c r="H538" s="21"/>
    </row>
    <row r="539" spans="1:28">
      <c r="A539" s="21"/>
      <c r="B539" s="21"/>
      <c r="C539" s="21"/>
      <c r="D539" s="28"/>
      <c r="E539" s="21"/>
      <c r="F539" s="21"/>
      <c r="G539" s="21"/>
      <c r="H539" s="21"/>
    </row>
    <row r="540" spans="1:28">
      <c r="A540" s="21"/>
      <c r="B540" s="21"/>
      <c r="C540" s="21"/>
      <c r="D540" s="28"/>
      <c r="E540" s="21"/>
      <c r="F540" s="21"/>
      <c r="G540" s="21"/>
      <c r="H540" s="21"/>
    </row>
    <row r="541" spans="1:28">
      <c r="A541" s="21"/>
      <c r="B541" s="21"/>
      <c r="C541" s="21"/>
      <c r="D541" s="28"/>
      <c r="E541" s="21"/>
      <c r="F541" s="21"/>
      <c r="G541" s="21"/>
      <c r="H541" s="21"/>
    </row>
    <row r="542" spans="1:28">
      <c r="A542" s="21"/>
      <c r="B542" s="21"/>
      <c r="C542" s="21"/>
      <c r="D542" s="28"/>
      <c r="E542" s="21"/>
      <c r="F542" s="21"/>
      <c r="G542" s="21"/>
      <c r="H542" s="21"/>
    </row>
    <row r="543" spans="1:28">
      <c r="A543" s="21"/>
      <c r="B543" s="21"/>
      <c r="C543" s="21"/>
      <c r="D543" s="28"/>
      <c r="E543" s="21"/>
      <c r="F543" s="21"/>
      <c r="G543" s="21"/>
      <c r="H543" s="21"/>
    </row>
    <row r="544" spans="1:28">
      <c r="A544" s="21"/>
      <c r="B544" s="21"/>
      <c r="C544" s="21"/>
      <c r="D544" s="28"/>
      <c r="E544" s="21"/>
      <c r="F544" s="21"/>
      <c r="G544" s="21"/>
      <c r="H544" s="21"/>
    </row>
    <row r="545" spans="1:8">
      <c r="A545" s="21"/>
      <c r="B545" s="21"/>
      <c r="C545" s="21"/>
      <c r="D545" s="28"/>
      <c r="E545" s="21"/>
      <c r="F545" s="21"/>
      <c r="G545" s="21"/>
      <c r="H545" s="21"/>
    </row>
    <row r="546" spans="1:8">
      <c r="A546" s="21"/>
      <c r="B546" s="21"/>
      <c r="C546" s="21"/>
      <c r="D546" s="28"/>
      <c r="E546" s="21"/>
      <c r="F546" s="21"/>
      <c r="G546" s="21"/>
      <c r="H546" s="21"/>
    </row>
    <row r="547" spans="1:8">
      <c r="A547" s="21"/>
      <c r="B547" s="21"/>
      <c r="C547" s="21"/>
      <c r="D547" s="28"/>
      <c r="E547" s="21"/>
      <c r="F547" s="21"/>
      <c r="G547" s="21"/>
      <c r="H547" s="21"/>
    </row>
    <row r="548" spans="1:8">
      <c r="A548" s="21"/>
      <c r="B548" s="21"/>
      <c r="C548" s="21"/>
      <c r="D548" s="28"/>
      <c r="E548" s="21"/>
      <c r="F548" s="21"/>
      <c r="G548" s="21"/>
      <c r="H548" s="21"/>
    </row>
    <row r="549" spans="1:8">
      <c r="A549" s="21"/>
      <c r="B549" s="21"/>
      <c r="C549" s="21"/>
      <c r="D549" s="28"/>
      <c r="E549" s="21"/>
      <c r="F549" s="21"/>
      <c r="G549" s="21"/>
      <c r="H549" s="21"/>
    </row>
    <row r="550" spans="1:8">
      <c r="A550" s="21"/>
      <c r="B550" s="21"/>
      <c r="C550" s="21"/>
      <c r="D550" s="28"/>
      <c r="E550" s="21"/>
      <c r="F550" s="21"/>
      <c r="G550" s="21"/>
      <c r="H550" s="21"/>
    </row>
    <row r="551" spans="1:8">
      <c r="A551" s="21"/>
      <c r="B551" s="21"/>
      <c r="C551" s="21"/>
      <c r="D551" s="28"/>
      <c r="E551" s="21"/>
      <c r="F551" s="21"/>
      <c r="G551" s="21"/>
      <c r="H551" s="21"/>
    </row>
    <row r="552" spans="1:8">
      <c r="A552" s="21"/>
      <c r="B552" s="21"/>
      <c r="C552" s="21"/>
      <c r="D552" s="28"/>
      <c r="E552" s="21"/>
      <c r="F552" s="21"/>
      <c r="G552" s="21"/>
      <c r="H552" s="21"/>
    </row>
    <row r="553" spans="1:8">
      <c r="A553" s="21"/>
      <c r="B553" s="21"/>
      <c r="C553" s="21"/>
      <c r="D553" s="28"/>
      <c r="E553" s="21"/>
      <c r="F553" s="21"/>
      <c r="G553" s="21"/>
      <c r="H553" s="21"/>
    </row>
    <row r="554" spans="1:8">
      <c r="A554" s="21"/>
      <c r="B554" s="21"/>
      <c r="C554" s="21"/>
      <c r="D554" s="28"/>
      <c r="E554" s="21"/>
      <c r="F554" s="21"/>
      <c r="G554" s="21"/>
      <c r="H554" s="21"/>
    </row>
    <row r="555" spans="1:8">
      <c r="A555" s="21"/>
      <c r="B555" s="21"/>
      <c r="C555" s="21"/>
      <c r="D555" s="28"/>
      <c r="E555" s="21"/>
      <c r="F555" s="21"/>
      <c r="G555" s="21"/>
      <c r="H555" s="21"/>
    </row>
    <row r="556" spans="1:8">
      <c r="A556" s="21"/>
      <c r="B556" s="21"/>
      <c r="C556" s="21"/>
      <c r="D556" s="28"/>
      <c r="E556" s="21"/>
      <c r="F556" s="21"/>
      <c r="G556" s="21"/>
      <c r="H556" s="21"/>
    </row>
    <row r="557" spans="1:8">
      <c r="A557" s="21"/>
      <c r="B557" s="21"/>
      <c r="C557" s="21"/>
      <c r="D557" s="28"/>
      <c r="E557" s="21"/>
      <c r="F557" s="21"/>
      <c r="G557" s="21"/>
      <c r="H557" s="21"/>
    </row>
    <row r="558" spans="1:8">
      <c r="A558" s="21"/>
      <c r="B558" s="21"/>
      <c r="C558" s="21"/>
      <c r="D558" s="28"/>
      <c r="E558" s="21"/>
      <c r="F558" s="21"/>
      <c r="G558" s="21"/>
      <c r="H558" s="21"/>
    </row>
    <row r="559" spans="1:8">
      <c r="A559" s="21"/>
      <c r="B559" s="21"/>
      <c r="C559" s="21"/>
      <c r="D559" s="28"/>
      <c r="E559" s="21"/>
      <c r="F559" s="21"/>
      <c r="G559" s="21"/>
      <c r="H559" s="21"/>
    </row>
    <row r="560" spans="1:8">
      <c r="A560" s="21"/>
      <c r="B560" s="21"/>
      <c r="C560" s="21"/>
      <c r="D560" s="28"/>
      <c r="E560" s="21"/>
      <c r="F560" s="21"/>
      <c r="G560" s="21"/>
      <c r="H560" s="21"/>
    </row>
    <row r="561" spans="1:8">
      <c r="A561" s="21"/>
      <c r="B561" s="21"/>
      <c r="C561" s="21"/>
      <c r="D561" s="28"/>
      <c r="E561" s="21"/>
      <c r="F561" s="21"/>
      <c r="G561" s="21"/>
      <c r="H561" s="21"/>
    </row>
    <row r="562" spans="1:8">
      <c r="A562" s="21"/>
      <c r="B562" s="21"/>
      <c r="C562" s="21"/>
      <c r="D562" s="28"/>
      <c r="E562" s="21"/>
      <c r="F562" s="21"/>
      <c r="G562" s="21"/>
      <c r="H562" s="21"/>
    </row>
    <row r="563" spans="1:8">
      <c r="A563" s="21"/>
      <c r="B563" s="21"/>
      <c r="C563" s="21"/>
      <c r="D563" s="28"/>
      <c r="E563" s="21"/>
      <c r="F563" s="21"/>
      <c r="G563" s="21"/>
      <c r="H563" s="21"/>
    </row>
    <row r="564" spans="1:8">
      <c r="A564" s="21"/>
      <c r="B564" s="21"/>
      <c r="C564" s="21"/>
      <c r="D564" s="28"/>
      <c r="E564" s="21"/>
      <c r="F564" s="21"/>
      <c r="G564" s="21"/>
      <c r="H564" s="21"/>
    </row>
    <row r="565" spans="1:8">
      <c r="A565" s="21"/>
      <c r="B565" s="21"/>
      <c r="C565" s="21"/>
      <c r="D565" s="28"/>
      <c r="E565" s="21"/>
      <c r="F565" s="21"/>
      <c r="G565" s="21"/>
      <c r="H565" s="21"/>
    </row>
    <row r="566" spans="1:8">
      <c r="A566" s="21"/>
      <c r="B566" s="21"/>
      <c r="C566" s="21"/>
      <c r="D566" s="28"/>
      <c r="E566" s="21"/>
      <c r="F566" s="21"/>
      <c r="G566" s="21"/>
      <c r="H566" s="21"/>
    </row>
    <row r="567" spans="1:8">
      <c r="A567" s="21"/>
      <c r="B567" s="21"/>
      <c r="C567" s="21"/>
      <c r="D567" s="28"/>
      <c r="E567" s="21"/>
      <c r="F567" s="21"/>
      <c r="G567" s="21"/>
      <c r="H567" s="21"/>
    </row>
    <row r="568" spans="1:8">
      <c r="A568" s="21"/>
      <c r="B568" s="21"/>
      <c r="C568" s="21"/>
      <c r="D568" s="28"/>
      <c r="E568" s="21"/>
      <c r="F568" s="21"/>
      <c r="G568" s="21"/>
      <c r="H568" s="21"/>
    </row>
    <row r="569" spans="1:8">
      <c r="A569" s="21"/>
      <c r="B569" s="21"/>
      <c r="C569" s="21"/>
      <c r="D569" s="28"/>
      <c r="E569" s="21"/>
      <c r="F569" s="21"/>
      <c r="G569" s="21"/>
      <c r="H569" s="21"/>
    </row>
    <row r="570" spans="1:8">
      <c r="A570" s="21"/>
      <c r="B570" s="21"/>
      <c r="C570" s="21"/>
      <c r="D570" s="28"/>
      <c r="E570" s="21"/>
      <c r="F570" s="21"/>
      <c r="G570" s="21"/>
      <c r="H570" s="21"/>
    </row>
    <row r="571" spans="1:8">
      <c r="A571" s="21"/>
      <c r="B571" s="21"/>
      <c r="C571" s="21"/>
      <c r="D571" s="28"/>
      <c r="E571" s="21"/>
      <c r="F571" s="21"/>
      <c r="G571" s="21"/>
      <c r="H571" s="21"/>
    </row>
    <row r="572" spans="1:8">
      <c r="A572" s="21"/>
      <c r="B572" s="21"/>
      <c r="C572" s="21"/>
      <c r="D572" s="28"/>
      <c r="E572" s="21"/>
      <c r="F572" s="21"/>
      <c r="G572" s="21"/>
      <c r="H572" s="21"/>
    </row>
    <row r="573" spans="1:8">
      <c r="A573" s="21"/>
      <c r="B573" s="21"/>
      <c r="C573" s="21"/>
      <c r="D573" s="28"/>
      <c r="E573" s="21"/>
      <c r="F573" s="21"/>
      <c r="G573" s="21"/>
      <c r="H573" s="21"/>
    </row>
    <row r="574" spans="1:8">
      <c r="A574" s="21"/>
      <c r="B574" s="21"/>
      <c r="C574" s="21"/>
      <c r="D574" s="28"/>
      <c r="E574" s="21"/>
      <c r="F574" s="21"/>
      <c r="G574" s="21"/>
      <c r="H574" s="21"/>
    </row>
    <row r="575" spans="1:8">
      <c r="A575" s="21"/>
      <c r="B575" s="21"/>
      <c r="C575" s="21"/>
      <c r="D575" s="28"/>
      <c r="E575" s="21"/>
      <c r="F575" s="21"/>
      <c r="G575" s="21"/>
      <c r="H575" s="21"/>
    </row>
    <row r="576" spans="1:8">
      <c r="A576" s="21"/>
      <c r="B576" s="21"/>
      <c r="C576" s="21"/>
      <c r="D576" s="28"/>
      <c r="E576" s="21"/>
      <c r="F576" s="21"/>
      <c r="G576" s="21"/>
      <c r="H576" s="21"/>
    </row>
    <row r="577" spans="1:8">
      <c r="A577" s="21"/>
      <c r="B577" s="21"/>
      <c r="C577" s="21"/>
      <c r="D577" s="28"/>
      <c r="E577" s="21"/>
      <c r="F577" s="21"/>
      <c r="G577" s="21"/>
      <c r="H577" s="21"/>
    </row>
    <row r="578" spans="1:8">
      <c r="A578" s="21"/>
      <c r="B578" s="21"/>
      <c r="C578" s="21"/>
      <c r="D578" s="28"/>
      <c r="E578" s="21"/>
      <c r="F578" s="21"/>
      <c r="G578" s="21"/>
      <c r="H578" s="21"/>
    </row>
    <row r="579" spans="1:8">
      <c r="A579" s="21"/>
      <c r="B579" s="21"/>
      <c r="C579" s="21"/>
      <c r="D579" s="28"/>
      <c r="E579" s="21"/>
      <c r="F579" s="21"/>
      <c r="G579" s="21"/>
      <c r="H579" s="21"/>
    </row>
    <row r="580" spans="1:8">
      <c r="A580" s="21"/>
      <c r="B580" s="21"/>
      <c r="C580" s="21"/>
      <c r="D580" s="28"/>
      <c r="E580" s="21"/>
      <c r="F580" s="21"/>
      <c r="G580" s="21"/>
      <c r="H580" s="21"/>
    </row>
    <row r="581" spans="1:8">
      <c r="A581" s="21"/>
      <c r="B581" s="21"/>
      <c r="C581" s="21"/>
      <c r="D581" s="28"/>
      <c r="E581" s="21"/>
      <c r="F581" s="21"/>
      <c r="G581" s="21"/>
      <c r="H581" s="21"/>
    </row>
    <row r="582" spans="1:8">
      <c r="A582" s="21"/>
      <c r="B582" s="21"/>
      <c r="C582" s="21"/>
      <c r="D582" s="28"/>
      <c r="E582" s="21"/>
      <c r="F582" s="21"/>
      <c r="G582" s="21"/>
      <c r="H582" s="21"/>
    </row>
    <row r="583" spans="1:8">
      <c r="A583" s="21"/>
      <c r="B583" s="21"/>
      <c r="C583" s="21"/>
      <c r="D583" s="28"/>
      <c r="E583" s="21"/>
      <c r="F583" s="21"/>
      <c r="G583" s="21"/>
      <c r="H583" s="21"/>
    </row>
    <row r="584" spans="1:8">
      <c r="A584" s="21"/>
      <c r="B584" s="21"/>
      <c r="C584" s="21"/>
      <c r="D584" s="28"/>
      <c r="E584" s="21"/>
      <c r="F584" s="21"/>
      <c r="G584" s="21"/>
      <c r="H584" s="21"/>
    </row>
    <row r="585" spans="1:8">
      <c r="A585" s="21"/>
      <c r="B585" s="21"/>
      <c r="C585" s="21"/>
      <c r="D585" s="28"/>
      <c r="E585" s="21"/>
      <c r="F585" s="21"/>
      <c r="G585" s="21"/>
      <c r="H585" s="21"/>
    </row>
    <row r="586" spans="1:8">
      <c r="A586" s="21"/>
      <c r="B586" s="21"/>
      <c r="C586" s="21"/>
      <c r="D586" s="28"/>
      <c r="E586" s="21"/>
      <c r="F586" s="21"/>
      <c r="G586" s="21"/>
      <c r="H586" s="21"/>
    </row>
    <row r="587" spans="1:8">
      <c r="A587" s="21"/>
      <c r="B587" s="21"/>
      <c r="C587" s="21"/>
      <c r="D587" s="28"/>
      <c r="E587" s="21"/>
      <c r="F587" s="21"/>
      <c r="G587" s="21"/>
      <c r="H587" s="21"/>
    </row>
    <row r="588" spans="1:8">
      <c r="A588" s="21"/>
      <c r="B588" s="21"/>
      <c r="C588" s="21"/>
      <c r="D588" s="28"/>
      <c r="E588" s="21"/>
      <c r="F588" s="21"/>
      <c r="G588" s="21"/>
      <c r="H588" s="21"/>
    </row>
    <row r="589" spans="1:8">
      <c r="A589" s="21"/>
      <c r="B589" s="21"/>
      <c r="C589" s="21"/>
      <c r="D589" s="28"/>
      <c r="E589" s="21"/>
      <c r="F589" s="21"/>
      <c r="G589" s="21"/>
      <c r="H589" s="21"/>
    </row>
    <row r="590" spans="1:8">
      <c r="A590" s="21"/>
      <c r="B590" s="21"/>
      <c r="C590" s="21"/>
      <c r="D590" s="28"/>
      <c r="E590" s="21"/>
      <c r="F590" s="21"/>
      <c r="G590" s="21"/>
      <c r="H590" s="21"/>
    </row>
    <row r="591" spans="1:8">
      <c r="A591" s="21"/>
      <c r="B591" s="21"/>
      <c r="C591" s="21"/>
      <c r="D591" s="28"/>
      <c r="E591" s="21"/>
      <c r="F591" s="21"/>
      <c r="G591" s="21"/>
      <c r="H591" s="21"/>
    </row>
    <row r="592" spans="1:8">
      <c r="A592" s="21"/>
      <c r="B592" s="21"/>
      <c r="C592" s="21"/>
      <c r="D592" s="28"/>
      <c r="E592" s="21"/>
      <c r="F592" s="21"/>
      <c r="G592" s="21"/>
      <c r="H592" s="21"/>
    </row>
    <row r="593" spans="1:8">
      <c r="A593" s="21"/>
      <c r="B593" s="21"/>
      <c r="C593" s="21"/>
      <c r="D593" s="28"/>
      <c r="E593" s="21"/>
      <c r="F593" s="21"/>
      <c r="G593" s="21"/>
      <c r="H593" s="21"/>
    </row>
    <row r="594" spans="1:8">
      <c r="A594" s="21"/>
      <c r="B594" s="21"/>
      <c r="C594" s="21"/>
      <c r="D594" s="28"/>
      <c r="E594" s="21"/>
      <c r="F594" s="21"/>
      <c r="G594" s="21"/>
      <c r="H594" s="21"/>
    </row>
    <row r="595" spans="1:8">
      <c r="A595" s="21"/>
      <c r="B595" s="21"/>
      <c r="C595" s="21"/>
      <c r="D595" s="28"/>
      <c r="E595" s="21"/>
      <c r="F595" s="21"/>
      <c r="G595" s="21"/>
      <c r="H595" s="21"/>
    </row>
    <row r="596" spans="1:8">
      <c r="A596" s="21"/>
      <c r="B596" s="21"/>
      <c r="C596" s="21"/>
      <c r="D596" s="28"/>
      <c r="E596" s="21"/>
      <c r="F596" s="21"/>
      <c r="G596" s="21"/>
      <c r="H596" s="21"/>
    </row>
    <row r="597" spans="1:8">
      <c r="A597" s="21"/>
      <c r="B597" s="21"/>
      <c r="C597" s="21"/>
      <c r="D597" s="28"/>
      <c r="E597" s="21"/>
      <c r="F597" s="21"/>
      <c r="G597" s="21"/>
      <c r="H597" s="21"/>
    </row>
    <row r="598" spans="1:8">
      <c r="A598" s="21"/>
      <c r="B598" s="21"/>
      <c r="C598" s="21"/>
      <c r="D598" s="28"/>
      <c r="E598" s="21"/>
      <c r="F598" s="21"/>
      <c r="G598" s="21"/>
      <c r="H598" s="21"/>
    </row>
    <row r="599" spans="1:8">
      <c r="A599" s="21"/>
      <c r="B599" s="21"/>
      <c r="C599" s="21"/>
      <c r="D599" s="28"/>
      <c r="E599" s="21"/>
      <c r="F599" s="21"/>
      <c r="G599" s="21"/>
      <c r="H599" s="21"/>
    </row>
    <row r="600" spans="1:8">
      <c r="A600" s="21"/>
      <c r="B600" s="21"/>
      <c r="C600" s="21"/>
      <c r="D600" s="28"/>
      <c r="E600" s="21"/>
      <c r="F600" s="21"/>
      <c r="G600" s="21"/>
      <c r="H600" s="21"/>
    </row>
    <row r="601" spans="1:8">
      <c r="A601" s="21"/>
      <c r="B601" s="21"/>
      <c r="C601" s="21"/>
      <c r="D601" s="28"/>
      <c r="E601" s="21"/>
      <c r="F601" s="21"/>
      <c r="G601" s="21"/>
      <c r="H601" s="21"/>
    </row>
    <row r="602" spans="1:8">
      <c r="A602" s="21"/>
      <c r="B602" s="21"/>
      <c r="C602" s="21"/>
      <c r="D602" s="28"/>
      <c r="E602" s="21"/>
      <c r="F602" s="21"/>
      <c r="G602" s="21"/>
      <c r="H602" s="21"/>
    </row>
    <row r="603" spans="1:8">
      <c r="A603" s="21"/>
      <c r="B603" s="21"/>
      <c r="C603" s="21"/>
      <c r="D603" s="28"/>
      <c r="E603" s="21"/>
      <c r="F603" s="21"/>
      <c r="G603" s="21"/>
      <c r="H603" s="21"/>
    </row>
    <row r="604" spans="1:8">
      <c r="A604" s="21"/>
      <c r="B604" s="21"/>
      <c r="C604" s="21"/>
      <c r="D604" s="28"/>
      <c r="E604" s="21"/>
      <c r="F604" s="21"/>
      <c r="G604" s="21"/>
      <c r="H604" s="21"/>
    </row>
    <row r="605" spans="1:8">
      <c r="A605" s="21"/>
      <c r="B605" s="21"/>
      <c r="C605" s="21"/>
      <c r="D605" s="28"/>
      <c r="E605" s="21"/>
      <c r="F605" s="21"/>
      <c r="G605" s="21"/>
      <c r="H605" s="21"/>
    </row>
    <row r="606" spans="1:8">
      <c r="A606" s="21"/>
      <c r="B606" s="21"/>
      <c r="C606" s="21"/>
      <c r="D606" s="28"/>
      <c r="E606" s="21"/>
      <c r="F606" s="21"/>
      <c r="G606" s="21"/>
      <c r="H606" s="21"/>
    </row>
    <row r="607" spans="1:8">
      <c r="A607" s="21"/>
      <c r="B607" s="21"/>
      <c r="C607" s="21"/>
      <c r="D607" s="28"/>
      <c r="E607" s="21"/>
      <c r="F607" s="21"/>
      <c r="G607" s="21"/>
      <c r="H607" s="21"/>
    </row>
    <row r="608" spans="1:8">
      <c r="A608" s="21"/>
      <c r="B608" s="21"/>
      <c r="C608" s="21"/>
      <c r="D608" s="28"/>
      <c r="E608" s="21"/>
      <c r="F608" s="21"/>
      <c r="G608" s="21"/>
      <c r="H608" s="21"/>
    </row>
    <row r="609" spans="1:8">
      <c r="A609" s="21"/>
      <c r="B609" s="21"/>
      <c r="C609" s="21"/>
      <c r="D609" s="28"/>
      <c r="E609" s="21"/>
      <c r="F609" s="21"/>
      <c r="G609" s="21"/>
      <c r="H609" s="21"/>
    </row>
    <row r="610" spans="1:8">
      <c r="A610" s="21"/>
      <c r="B610" s="21"/>
      <c r="C610" s="21"/>
      <c r="D610" s="28"/>
      <c r="E610" s="21"/>
      <c r="F610" s="21"/>
      <c r="G610" s="21"/>
      <c r="H610" s="21"/>
    </row>
    <row r="611" spans="1:8">
      <c r="A611" s="21"/>
      <c r="B611" s="21"/>
      <c r="C611" s="21"/>
      <c r="D611" s="28"/>
      <c r="E611" s="21"/>
      <c r="F611" s="21"/>
      <c r="G611" s="21"/>
      <c r="H611" s="21"/>
    </row>
    <row r="612" spans="1:8">
      <c r="A612" s="21"/>
      <c r="B612" s="21"/>
      <c r="C612" s="21"/>
      <c r="D612" s="28"/>
      <c r="E612" s="21"/>
      <c r="F612" s="21"/>
      <c r="G612" s="21"/>
      <c r="H612" s="21"/>
    </row>
    <row r="613" spans="1:8">
      <c r="A613" s="21"/>
      <c r="B613" s="21"/>
      <c r="C613" s="21"/>
      <c r="D613" s="28"/>
      <c r="E613" s="21"/>
      <c r="F613" s="21"/>
      <c r="G613" s="21"/>
      <c r="H613" s="21"/>
    </row>
    <row r="614" spans="1:8">
      <c r="A614" s="21"/>
      <c r="B614" s="21"/>
      <c r="C614" s="21"/>
      <c r="D614" s="28"/>
      <c r="E614" s="21"/>
      <c r="F614" s="21"/>
      <c r="G614" s="21"/>
      <c r="H614" s="21"/>
    </row>
    <row r="615" spans="1:8">
      <c r="A615" s="21"/>
      <c r="B615" s="21"/>
      <c r="C615" s="21"/>
      <c r="D615" s="28"/>
      <c r="E615" s="21"/>
      <c r="F615" s="21"/>
      <c r="G615" s="21"/>
      <c r="H615" s="21"/>
    </row>
    <row r="616" spans="1:8">
      <c r="A616" s="21"/>
      <c r="B616" s="21"/>
      <c r="C616" s="21"/>
      <c r="D616" s="28"/>
      <c r="E616" s="21"/>
      <c r="F616" s="21"/>
      <c r="G616" s="21"/>
      <c r="H616" s="21"/>
    </row>
    <row r="617" spans="1:8">
      <c r="A617" s="21"/>
      <c r="B617" s="21"/>
      <c r="C617" s="21"/>
      <c r="D617" s="28"/>
      <c r="E617" s="21"/>
      <c r="F617" s="21"/>
      <c r="G617" s="21"/>
      <c r="H617" s="21"/>
    </row>
    <row r="618" spans="1:8">
      <c r="A618" s="21"/>
      <c r="B618" s="21"/>
      <c r="C618" s="21"/>
      <c r="D618" s="28"/>
      <c r="E618" s="21"/>
      <c r="F618" s="21"/>
      <c r="G618" s="21"/>
      <c r="H618" s="21"/>
    </row>
    <row r="619" spans="1:8">
      <c r="A619" s="21"/>
      <c r="B619" s="21"/>
      <c r="C619" s="21"/>
      <c r="D619" s="28"/>
      <c r="E619" s="21"/>
      <c r="F619" s="21"/>
      <c r="G619" s="21"/>
      <c r="H619" s="21"/>
    </row>
    <row r="620" spans="1:8">
      <c r="A620" s="21"/>
      <c r="B620" s="21"/>
      <c r="C620" s="21"/>
      <c r="D620" s="28"/>
      <c r="E620" s="21"/>
      <c r="F620" s="21"/>
      <c r="G620" s="21"/>
      <c r="H620" s="21"/>
    </row>
    <row r="621" spans="1:8">
      <c r="A621" s="21"/>
      <c r="B621" s="21"/>
      <c r="C621" s="21"/>
      <c r="D621" s="28"/>
      <c r="E621" s="21"/>
      <c r="F621" s="21"/>
      <c r="G621" s="21"/>
      <c r="H621" s="21"/>
    </row>
    <row r="622" spans="1:8">
      <c r="A622" s="21"/>
      <c r="B622" s="21"/>
      <c r="C622" s="21"/>
      <c r="D622" s="28"/>
      <c r="E622" s="21"/>
      <c r="F622" s="21"/>
      <c r="G622" s="21"/>
      <c r="H622" s="21"/>
    </row>
    <row r="623" spans="1:8">
      <c r="A623" s="21"/>
      <c r="B623" s="21"/>
      <c r="C623" s="21"/>
      <c r="D623" s="28"/>
      <c r="E623" s="21"/>
      <c r="F623" s="21"/>
      <c r="G623" s="21"/>
      <c r="H623" s="21"/>
    </row>
    <row r="624" spans="1:8">
      <c r="A624" s="21"/>
      <c r="B624" s="21"/>
      <c r="C624" s="21"/>
      <c r="D624" s="28"/>
      <c r="E624" s="21"/>
      <c r="F624" s="21"/>
      <c r="G624" s="21"/>
      <c r="H624" s="21"/>
    </row>
    <row r="625" spans="1:8">
      <c r="A625" s="21"/>
      <c r="B625" s="21"/>
      <c r="C625" s="21"/>
      <c r="D625" s="28"/>
      <c r="E625" s="21"/>
      <c r="F625" s="21"/>
      <c r="G625" s="21"/>
      <c r="H625" s="21"/>
    </row>
    <row r="626" spans="1:8">
      <c r="A626" s="21"/>
      <c r="B626" s="21"/>
      <c r="C626" s="21"/>
      <c r="D626" s="28"/>
      <c r="E626" s="21"/>
      <c r="F626" s="21"/>
      <c r="G626" s="21"/>
      <c r="H626" s="21"/>
    </row>
    <row r="627" spans="1:8">
      <c r="A627" s="21"/>
      <c r="B627" s="21"/>
      <c r="C627" s="21"/>
      <c r="D627" s="28"/>
      <c r="E627" s="21"/>
      <c r="F627" s="21"/>
      <c r="G627" s="21"/>
      <c r="H627" s="21"/>
    </row>
    <row r="628" spans="1:8">
      <c r="A628" s="21"/>
      <c r="B628" s="21"/>
      <c r="C628" s="21"/>
      <c r="D628" s="28"/>
      <c r="E628" s="21"/>
      <c r="F628" s="21"/>
      <c r="G628" s="21"/>
      <c r="H628" s="21"/>
    </row>
    <row r="629" spans="1:8">
      <c r="A629" s="21"/>
      <c r="B629" s="21"/>
      <c r="C629" s="21"/>
      <c r="D629" s="28"/>
      <c r="E629" s="21"/>
      <c r="F629" s="21"/>
      <c r="G629" s="21"/>
      <c r="H629" s="21"/>
    </row>
    <row r="630" spans="1:8">
      <c r="A630" s="21"/>
      <c r="B630" s="21"/>
      <c r="C630" s="21"/>
      <c r="D630" s="28"/>
      <c r="E630" s="21"/>
      <c r="F630" s="21"/>
      <c r="G630" s="21"/>
      <c r="H630" s="21"/>
    </row>
    <row r="631" spans="1:8">
      <c r="A631" s="21"/>
      <c r="B631" s="21"/>
      <c r="C631" s="21"/>
      <c r="D631" s="28"/>
      <c r="E631" s="21"/>
      <c r="F631" s="21"/>
      <c r="G631" s="21"/>
      <c r="H631" s="21"/>
    </row>
    <row r="632" spans="1:8">
      <c r="A632" s="21"/>
      <c r="B632" s="21"/>
      <c r="C632" s="21"/>
      <c r="D632" s="28"/>
      <c r="E632" s="21"/>
      <c r="F632" s="21"/>
      <c r="G632" s="21"/>
      <c r="H632" s="21"/>
    </row>
    <row r="633" spans="1:8">
      <c r="A633" s="21"/>
      <c r="B633" s="21"/>
      <c r="C633" s="21"/>
      <c r="D633" s="28"/>
      <c r="E633" s="21"/>
      <c r="F633" s="21"/>
      <c r="G633" s="21"/>
      <c r="H633" s="21"/>
    </row>
    <row r="634" spans="1:8">
      <c r="A634" s="21"/>
      <c r="B634" s="21"/>
      <c r="C634" s="21"/>
      <c r="D634" s="28"/>
      <c r="E634" s="21"/>
      <c r="F634" s="21"/>
      <c r="G634" s="21"/>
      <c r="H634" s="21"/>
    </row>
    <row r="635" spans="1:8">
      <c r="A635" s="21"/>
      <c r="B635" s="21"/>
      <c r="C635" s="21"/>
      <c r="D635" s="28"/>
      <c r="E635" s="21"/>
      <c r="F635" s="21"/>
      <c r="G635" s="21"/>
      <c r="H635" s="21"/>
    </row>
    <row r="636" spans="1:8">
      <c r="A636" s="21"/>
      <c r="B636" s="21"/>
      <c r="C636" s="21"/>
      <c r="D636" s="28"/>
      <c r="E636" s="21"/>
      <c r="F636" s="21"/>
      <c r="G636" s="21"/>
      <c r="H636" s="21"/>
    </row>
    <row r="637" spans="1:8">
      <c r="A637" s="21"/>
      <c r="B637" s="21"/>
      <c r="C637" s="21"/>
      <c r="D637" s="28"/>
      <c r="E637" s="21"/>
      <c r="F637" s="21"/>
      <c r="G637" s="21"/>
      <c r="H637" s="21"/>
    </row>
    <row r="638" spans="1:8">
      <c r="A638" s="21"/>
      <c r="B638" s="21"/>
      <c r="C638" s="21"/>
      <c r="D638" s="28"/>
      <c r="E638" s="21"/>
      <c r="F638" s="21"/>
      <c r="G638" s="21"/>
      <c r="H638" s="21"/>
    </row>
    <row r="639" spans="1:8">
      <c r="A639" s="21"/>
      <c r="B639" s="21"/>
      <c r="C639" s="21"/>
      <c r="D639" s="28"/>
      <c r="E639" s="21"/>
      <c r="F639" s="21"/>
      <c r="G639" s="21"/>
      <c r="H639" s="21"/>
    </row>
    <row r="640" spans="1:8">
      <c r="A640" s="21"/>
      <c r="B640" s="21"/>
      <c r="C640" s="21"/>
      <c r="D640" s="28"/>
      <c r="E640" s="21"/>
      <c r="F640" s="21"/>
      <c r="G640" s="21"/>
      <c r="H640" s="21"/>
    </row>
    <row r="641" spans="1:8">
      <c r="A641" s="21"/>
      <c r="B641" s="21"/>
      <c r="C641" s="21"/>
      <c r="D641" s="28"/>
      <c r="E641" s="21"/>
      <c r="F641" s="21"/>
      <c r="G641" s="21"/>
      <c r="H641" s="21"/>
    </row>
    <row r="642" spans="1:8">
      <c r="A642" s="21"/>
      <c r="B642" s="21"/>
      <c r="C642" s="21"/>
      <c r="D642" s="28"/>
      <c r="E642" s="21"/>
      <c r="F642" s="21"/>
      <c r="G642" s="21"/>
      <c r="H642" s="21"/>
    </row>
    <row r="643" spans="1:8">
      <c r="A643" s="21"/>
      <c r="B643" s="21"/>
      <c r="C643" s="21"/>
      <c r="D643" s="28"/>
      <c r="E643" s="21"/>
      <c r="F643" s="21"/>
      <c r="G643" s="21"/>
      <c r="H643" s="21"/>
    </row>
    <row r="644" spans="1:8">
      <c r="A644" s="21"/>
      <c r="B644" s="21"/>
      <c r="C644" s="21"/>
      <c r="D644" s="28"/>
      <c r="E644" s="21"/>
      <c r="F644" s="21"/>
      <c r="G644" s="21"/>
      <c r="H644" s="21"/>
    </row>
    <row r="645" spans="1:8">
      <c r="A645" s="21"/>
      <c r="B645" s="21"/>
      <c r="C645" s="21"/>
      <c r="D645" s="28"/>
      <c r="E645" s="21"/>
      <c r="F645" s="21"/>
      <c r="G645" s="21"/>
      <c r="H645" s="21"/>
    </row>
    <row r="646" spans="1:8">
      <c r="A646" s="21"/>
      <c r="B646" s="21"/>
      <c r="C646" s="21"/>
      <c r="D646" s="28"/>
      <c r="E646" s="21"/>
      <c r="F646" s="21"/>
      <c r="G646" s="21"/>
      <c r="H646" s="21"/>
    </row>
    <row r="647" spans="1:8">
      <c r="A647" s="21"/>
      <c r="B647" s="21"/>
      <c r="C647" s="21"/>
      <c r="D647" s="28"/>
      <c r="E647" s="21"/>
      <c r="F647" s="21"/>
      <c r="G647" s="21"/>
      <c r="H647" s="21"/>
    </row>
    <row r="648" spans="1:8">
      <c r="A648" s="21"/>
      <c r="B648" s="21"/>
      <c r="C648" s="21"/>
      <c r="D648" s="28"/>
      <c r="E648" s="21"/>
      <c r="F648" s="21"/>
      <c r="G648" s="21"/>
      <c r="H648" s="21"/>
    </row>
    <row r="649" spans="1:8">
      <c r="A649" s="21"/>
      <c r="B649" s="21"/>
      <c r="C649" s="21"/>
      <c r="D649" s="28"/>
      <c r="E649" s="21"/>
      <c r="F649" s="21"/>
      <c r="G649" s="21"/>
      <c r="H649" s="21"/>
    </row>
    <row r="650" spans="1:8">
      <c r="A650" s="21"/>
      <c r="B650" s="21"/>
      <c r="C650" s="21"/>
      <c r="D650" s="28"/>
      <c r="E650" s="21"/>
      <c r="F650" s="21"/>
      <c r="G650" s="21"/>
      <c r="H650" s="21"/>
    </row>
    <row r="651" spans="1:8">
      <c r="A651" s="21"/>
      <c r="B651" s="21"/>
      <c r="C651" s="21"/>
      <c r="D651" s="28"/>
      <c r="E651" s="21"/>
      <c r="F651" s="21"/>
      <c r="G651" s="21"/>
      <c r="H651" s="21"/>
    </row>
    <row r="652" spans="1:8">
      <c r="A652" s="21"/>
      <c r="B652" s="21"/>
      <c r="C652" s="21"/>
      <c r="D652" s="28"/>
      <c r="E652" s="21"/>
      <c r="F652" s="21"/>
      <c r="G652" s="21"/>
      <c r="H652" s="21"/>
    </row>
    <row r="653" spans="1:8">
      <c r="A653" s="21"/>
      <c r="B653" s="21"/>
      <c r="C653" s="21"/>
      <c r="D653" s="28"/>
      <c r="E653" s="21"/>
      <c r="F653" s="21"/>
      <c r="G653" s="21"/>
      <c r="H653" s="21"/>
    </row>
    <row r="654" spans="1:8">
      <c r="A654" s="21"/>
      <c r="B654" s="21"/>
      <c r="C654" s="21"/>
      <c r="D654" s="28"/>
      <c r="E654" s="21"/>
      <c r="F654" s="21"/>
      <c r="G654" s="21"/>
      <c r="H654" s="21"/>
    </row>
    <row r="655" spans="1:8">
      <c r="A655" s="21"/>
      <c r="B655" s="21"/>
      <c r="C655" s="21"/>
      <c r="D655" s="28"/>
      <c r="E655" s="21"/>
      <c r="F655" s="21"/>
      <c r="G655" s="21"/>
      <c r="H655" s="21"/>
    </row>
    <row r="656" spans="1:8">
      <c r="A656" s="21"/>
      <c r="B656" s="21"/>
      <c r="C656" s="21"/>
      <c r="D656" s="28"/>
      <c r="E656" s="21"/>
      <c r="F656" s="21"/>
      <c r="G656" s="21"/>
      <c r="H656" s="21"/>
    </row>
    <row r="657" spans="1:8">
      <c r="A657" s="21"/>
      <c r="B657" s="21"/>
      <c r="C657" s="21"/>
      <c r="D657" s="28"/>
      <c r="E657" s="21"/>
      <c r="F657" s="21"/>
      <c r="G657" s="21"/>
      <c r="H657" s="21"/>
    </row>
    <row r="658" spans="1:8">
      <c r="A658" s="21"/>
      <c r="B658" s="21"/>
      <c r="C658" s="21"/>
      <c r="D658" s="28"/>
      <c r="E658" s="21"/>
      <c r="F658" s="21"/>
      <c r="G658" s="21"/>
      <c r="H658" s="21"/>
    </row>
    <row r="659" spans="1:8">
      <c r="A659" s="21"/>
      <c r="B659" s="21"/>
      <c r="C659" s="21"/>
      <c r="D659" s="28"/>
      <c r="E659" s="21"/>
      <c r="F659" s="21"/>
      <c r="G659" s="21"/>
      <c r="H659" s="21"/>
    </row>
    <row r="660" spans="1:8">
      <c r="A660" s="21"/>
      <c r="B660" s="21"/>
      <c r="C660" s="21"/>
      <c r="D660" s="28"/>
      <c r="E660" s="21"/>
      <c r="F660" s="21"/>
      <c r="G660" s="21"/>
      <c r="H660" s="21"/>
    </row>
    <row r="661" spans="1:8">
      <c r="A661" s="21"/>
      <c r="B661" s="21"/>
      <c r="C661" s="21"/>
      <c r="D661" s="28"/>
      <c r="E661" s="21"/>
      <c r="F661" s="21"/>
      <c r="G661" s="21"/>
      <c r="H661" s="21"/>
    </row>
    <row r="662" spans="1:8">
      <c r="A662" s="21"/>
      <c r="B662" s="21"/>
      <c r="C662" s="21"/>
      <c r="D662" s="28"/>
      <c r="E662" s="21"/>
      <c r="F662" s="21"/>
      <c r="G662" s="21"/>
      <c r="H662" s="21"/>
    </row>
    <row r="663" spans="1:8">
      <c r="A663" s="21"/>
      <c r="B663" s="21"/>
      <c r="C663" s="21"/>
      <c r="D663" s="28"/>
      <c r="E663" s="21"/>
      <c r="F663" s="21"/>
      <c r="G663" s="21"/>
      <c r="H663" s="21"/>
    </row>
    <row r="664" spans="1:8">
      <c r="A664" s="21"/>
      <c r="B664" s="21"/>
      <c r="C664" s="21"/>
      <c r="D664" s="28"/>
      <c r="E664" s="21"/>
      <c r="F664" s="21"/>
      <c r="G664" s="21"/>
      <c r="H664" s="21"/>
    </row>
    <row r="665" spans="1:8">
      <c r="A665" s="21"/>
      <c r="B665" s="21"/>
      <c r="C665" s="21"/>
      <c r="D665" s="28"/>
      <c r="E665" s="21"/>
      <c r="F665" s="21"/>
      <c r="G665" s="21"/>
      <c r="H665" s="21"/>
    </row>
    <row r="666" spans="1:8">
      <c r="A666" s="21"/>
      <c r="B666" s="21"/>
      <c r="C666" s="21"/>
      <c r="D666" s="28"/>
      <c r="E666" s="21"/>
      <c r="F666" s="21"/>
      <c r="G666" s="21"/>
      <c r="H666" s="21"/>
    </row>
    <row r="667" spans="1:8">
      <c r="A667" s="21"/>
      <c r="B667" s="21"/>
      <c r="C667" s="21"/>
      <c r="D667" s="28"/>
      <c r="E667" s="21"/>
      <c r="F667" s="21"/>
      <c r="G667" s="21"/>
      <c r="H667" s="21"/>
    </row>
    <row r="668" spans="1:8">
      <c r="A668" s="21"/>
      <c r="B668" s="21"/>
      <c r="C668" s="21"/>
      <c r="D668" s="28"/>
      <c r="E668" s="21"/>
      <c r="F668" s="21"/>
      <c r="G668" s="21"/>
      <c r="H668" s="21"/>
    </row>
    <row r="669" spans="1:8">
      <c r="A669" s="21"/>
      <c r="B669" s="21"/>
      <c r="C669" s="21"/>
      <c r="D669" s="28"/>
      <c r="E669" s="21"/>
      <c r="F669" s="21"/>
      <c r="G669" s="21"/>
      <c r="H669" s="21"/>
    </row>
    <row r="670" spans="1:8">
      <c r="A670" s="21"/>
      <c r="B670" s="21"/>
      <c r="C670" s="21"/>
      <c r="D670" s="28"/>
      <c r="E670" s="21"/>
      <c r="F670" s="21"/>
      <c r="G670" s="21"/>
      <c r="H670" s="21"/>
    </row>
    <row r="671" spans="1:8">
      <c r="A671" s="21"/>
      <c r="B671" s="21"/>
      <c r="C671" s="21"/>
      <c r="D671" s="28"/>
      <c r="E671" s="21"/>
      <c r="F671" s="21"/>
      <c r="G671" s="21"/>
      <c r="H671" s="21"/>
    </row>
    <row r="672" spans="1:8">
      <c r="A672" s="21"/>
      <c r="B672" s="21"/>
      <c r="C672" s="21"/>
      <c r="D672" s="28"/>
      <c r="E672" s="21"/>
      <c r="F672" s="21"/>
      <c r="G672" s="21"/>
      <c r="H672" s="21"/>
    </row>
    <row r="673" spans="1:8">
      <c r="A673" s="21"/>
      <c r="B673" s="21"/>
      <c r="C673" s="21"/>
      <c r="D673" s="28"/>
      <c r="E673" s="21"/>
      <c r="F673" s="21"/>
      <c r="G673" s="21"/>
      <c r="H673" s="21"/>
    </row>
    <row r="674" spans="1:8">
      <c r="A674" s="21"/>
      <c r="B674" s="21"/>
      <c r="C674" s="21"/>
      <c r="D674" s="28"/>
      <c r="E674" s="21"/>
      <c r="F674" s="21"/>
      <c r="G674" s="21"/>
      <c r="H674" s="21"/>
    </row>
    <row r="675" spans="1:8">
      <c r="A675" s="21"/>
      <c r="B675" s="21"/>
      <c r="C675" s="21"/>
      <c r="D675" s="28"/>
      <c r="E675" s="21"/>
      <c r="F675" s="21"/>
      <c r="G675" s="21"/>
      <c r="H675" s="21"/>
    </row>
    <row r="676" spans="1:8">
      <c r="A676" s="21"/>
      <c r="B676" s="21"/>
      <c r="C676" s="21"/>
      <c r="D676" s="28"/>
      <c r="E676" s="21"/>
      <c r="F676" s="21"/>
      <c r="G676" s="21"/>
      <c r="H676" s="21"/>
    </row>
    <row r="677" spans="1:8">
      <c r="A677" s="21"/>
      <c r="B677" s="21"/>
      <c r="C677" s="21"/>
      <c r="D677" s="28"/>
      <c r="E677" s="21"/>
      <c r="F677" s="21"/>
      <c r="G677" s="21"/>
      <c r="H677" s="21"/>
    </row>
    <row r="678" spans="1:8">
      <c r="A678" s="21"/>
      <c r="B678" s="21"/>
      <c r="C678" s="21"/>
      <c r="D678" s="28"/>
      <c r="E678" s="21"/>
      <c r="F678" s="21"/>
      <c r="G678" s="21"/>
      <c r="H678" s="21"/>
    </row>
    <row r="679" spans="1:8">
      <c r="A679" s="21"/>
      <c r="B679" s="21"/>
      <c r="C679" s="21"/>
      <c r="D679" s="28"/>
      <c r="E679" s="21"/>
      <c r="F679" s="21"/>
      <c r="G679" s="21"/>
      <c r="H679" s="21"/>
    </row>
    <row r="680" spans="1:8">
      <c r="A680" s="21"/>
      <c r="B680" s="21"/>
      <c r="C680" s="21"/>
      <c r="D680" s="28"/>
      <c r="E680" s="21"/>
      <c r="F680" s="21"/>
      <c r="G680" s="21"/>
      <c r="H680" s="21"/>
    </row>
    <row r="681" spans="1:8">
      <c r="A681" s="21"/>
      <c r="B681" s="21"/>
      <c r="C681" s="21"/>
      <c r="D681" s="28"/>
      <c r="E681" s="21"/>
      <c r="F681" s="21"/>
      <c r="G681" s="21"/>
      <c r="H681" s="21"/>
    </row>
    <row r="682" spans="1:8">
      <c r="A682" s="21"/>
      <c r="B682" s="21"/>
      <c r="C682" s="21"/>
      <c r="D682" s="28"/>
      <c r="E682" s="21"/>
      <c r="F682" s="21"/>
      <c r="G682" s="21"/>
      <c r="H682" s="21"/>
    </row>
    <row r="683" spans="1:8">
      <c r="A683" s="21"/>
      <c r="B683" s="21"/>
      <c r="C683" s="21"/>
      <c r="D683" s="28"/>
      <c r="E683" s="21"/>
      <c r="F683" s="21"/>
      <c r="G683" s="21"/>
      <c r="H683" s="21"/>
    </row>
  </sheetData>
  <autoFilter ref="A1:BA91" xr:uid="{00000000-0009-0000-0000-000004000000}"/>
  <phoneticPr fontId="3"/>
  <dataValidations count="21">
    <dataValidation type="list" allowBlank="1" showInputMessage="1" showErrorMessage="1" sqref="F2:F683" xr:uid="{B8FD6215-2131-4A7D-8A74-B9C60368DEC6}">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3B152A06-7231-4DE6-A8F8-EB3DE37CD870}">
      <formula1>$AR$2:$AR$30</formula1>
    </dataValidation>
    <dataValidation type="list" allowBlank="1" showInputMessage="1" showErrorMessage="1" sqref="J2:J1000" xr:uid="{F3EF8081-D8CC-4D6A-90D8-513BDEB54C1B}">
      <formula1>$AP$2:$AP$29</formula1>
    </dataValidation>
    <dataValidation type="list" allowBlank="1" showInputMessage="1" showErrorMessage="1" sqref="K2:K1000" xr:uid="{6D34A8A2-E1BA-405C-ADEF-2F53DBFDF360}">
      <formula1>$AR$2:$AR$29</formula1>
    </dataValidation>
    <dataValidation type="list" allowBlank="1" showInputMessage="1" showErrorMessage="1" sqref="H2:H1429" xr:uid="{E69EBB2D-B496-4796-91A8-4E48995F55E2}">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C27C1563-3C20-4828-AB25-40F8EFBF9A91}">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BD15DEB0-6D82-4FDB-A54D-729B05A56439}">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CC159686-2228-4821-B848-C81034244E8B}">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3F9724EF-28C6-41E4-8F9C-411CB1F6EAE8}">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FE1ED228-F795-4903-BB9D-D4D10DEBE831}">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5BF15C14-CAC1-483A-A824-5D171A005E91}">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5452E4C3-4344-4748-A878-4FAE2654F582}"/>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2DF61E58-F303-4A3E-803D-EF6E5A7ADDDC}">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99F44B95-0BE7-43A4-B42C-C77414C2D696}">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227E9447-433B-48F6-B1A9-6A19D87F8480}">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5520AF52-B3EA-4309-A07C-FCE72C12ACD6}">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4B9B5235-DFBF-409F-A3CA-D8C905B931C8}">
      <formula1>$AV$2:$AV$22</formula1>
    </dataValidation>
    <dataValidation type="list" allowBlank="1" showInputMessage="1" showErrorMessage="1" sqref="E2:E683" xr:uid="{7FA6B136-F7F7-49D5-949A-4FA2CBB3B329}">
      <formula1>$AG$2:$AG$11</formula1>
    </dataValidation>
    <dataValidation type="list" allowBlank="1" showInputMessage="1" showErrorMessage="1" sqref="A2:A683" xr:uid="{FB90DA78-DC4E-4223-862C-6D4AA2C91964}">
      <formula1>$AE$2:$AE$19</formula1>
    </dataValidation>
    <dataValidation type="list" allowBlank="1" showInputMessage="1" showErrorMessage="1" sqref="Y96:AA500 Y2:AA94" xr:uid="{EDD209B4-23C8-4993-8728-8086BA4CEA2F}">
      <formula1>$AV$2:$AV$21</formula1>
    </dataValidation>
    <dataValidation type="decimal" allowBlank="1" showInputMessage="1" showErrorMessage="1" error="硬度を正しく入力して下さい。" sqref="O96:P500 O5:P10 P11:P16 O17:P34 O41:P94 P35:P40" xr:uid="{B311D766-82C7-400C-BE47-7F780E1E69A3}">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F703-2723-438E-B270-29C9E526CF05}">
  <dimension ref="A1:BA219"/>
  <sheetViews>
    <sheetView zoomScale="85" zoomScaleNormal="85" workbookViewId="0">
      <pane ySplit="1" topLeftCell="A2" activePane="bottomLeft" state="frozen"/>
      <selection pane="bottomLeft" activeCell="A2" sqref="A2"/>
    </sheetView>
  </sheetViews>
  <sheetFormatPr defaultColWidth="8.875" defaultRowHeight="13.5"/>
  <cols>
    <col min="1" max="3" width="8.875" style="10"/>
    <col min="4" max="4" width="13.5" style="10" bestFit="1" customWidth="1"/>
    <col min="5" max="5" width="9.625" style="10" bestFit="1" customWidth="1"/>
    <col min="6" max="16" width="8.875" style="10"/>
    <col min="17" max="17" width="8.875" style="24"/>
    <col min="18" max="19" width="8.875" style="10"/>
    <col min="20" max="20" width="8.875" style="24"/>
    <col min="21" max="21" width="8.875" style="10"/>
    <col min="22" max="22" width="8.875" style="24"/>
    <col min="23" max="32" width="8.875" style="10"/>
    <col min="33" max="33" width="19.625" style="10" bestFit="1" customWidth="1"/>
    <col min="34" max="259" width="8.875" style="10"/>
    <col min="260" max="260" width="10.5" style="10" bestFit="1" customWidth="1"/>
    <col min="261" max="261" width="9.625" style="10" bestFit="1" customWidth="1"/>
    <col min="262" max="515" width="8.875" style="10"/>
    <col min="516" max="516" width="10.5" style="10" bestFit="1" customWidth="1"/>
    <col min="517" max="517" width="9.625" style="10" bestFit="1" customWidth="1"/>
    <col min="518" max="771" width="8.875" style="10"/>
    <col min="772" max="772" width="10.5" style="10" bestFit="1" customWidth="1"/>
    <col min="773" max="773" width="9.625" style="10" bestFit="1" customWidth="1"/>
    <col min="774" max="1027" width="8.875" style="10"/>
    <col min="1028" max="1028" width="10.5" style="10" bestFit="1" customWidth="1"/>
    <col min="1029" max="1029" width="9.625" style="10" bestFit="1" customWidth="1"/>
    <col min="1030" max="1283" width="8.875" style="10"/>
    <col min="1284" max="1284" width="10.5" style="10" bestFit="1" customWidth="1"/>
    <col min="1285" max="1285" width="9.625" style="10" bestFit="1" customWidth="1"/>
    <col min="1286" max="1539" width="8.875" style="10"/>
    <col min="1540" max="1540" width="10.5" style="10" bestFit="1" customWidth="1"/>
    <col min="1541" max="1541" width="9.625" style="10" bestFit="1" customWidth="1"/>
    <col min="1542" max="1795" width="8.875" style="10"/>
    <col min="1796" max="1796" width="10.5" style="10" bestFit="1" customWidth="1"/>
    <col min="1797" max="1797" width="9.625" style="10" bestFit="1" customWidth="1"/>
    <col min="1798" max="2051" width="8.875" style="10"/>
    <col min="2052" max="2052" width="10.5" style="10" bestFit="1" customWidth="1"/>
    <col min="2053" max="2053" width="9.625" style="10" bestFit="1" customWidth="1"/>
    <col min="2054" max="2307" width="8.875" style="10"/>
    <col min="2308" max="2308" width="10.5" style="10" bestFit="1" customWidth="1"/>
    <col min="2309" max="2309" width="9.625" style="10" bestFit="1" customWidth="1"/>
    <col min="2310" max="2563" width="8.875" style="10"/>
    <col min="2564" max="2564" width="10.5" style="10" bestFit="1" customWidth="1"/>
    <col min="2565" max="2565" width="9.625" style="10" bestFit="1" customWidth="1"/>
    <col min="2566" max="2819" width="8.875" style="10"/>
    <col min="2820" max="2820" width="10.5" style="10" bestFit="1" customWidth="1"/>
    <col min="2821" max="2821" width="9.625" style="10" bestFit="1" customWidth="1"/>
    <col min="2822" max="3075" width="8.875" style="10"/>
    <col min="3076" max="3076" width="10.5" style="10" bestFit="1" customWidth="1"/>
    <col min="3077" max="3077" width="9.625" style="10" bestFit="1" customWidth="1"/>
    <col min="3078" max="3331" width="8.875" style="10"/>
    <col min="3332" max="3332" width="10.5" style="10" bestFit="1" customWidth="1"/>
    <col min="3333" max="3333" width="9.625" style="10" bestFit="1" customWidth="1"/>
    <col min="3334" max="3587" width="8.875" style="10"/>
    <col min="3588" max="3588" width="10.5" style="10" bestFit="1" customWidth="1"/>
    <col min="3589" max="3589" width="9.625" style="10" bestFit="1" customWidth="1"/>
    <col min="3590" max="3843" width="8.875" style="10"/>
    <col min="3844" max="3844" width="10.5" style="10" bestFit="1" customWidth="1"/>
    <col min="3845" max="3845" width="9.625" style="10" bestFit="1" customWidth="1"/>
    <col min="3846" max="4099" width="8.875" style="10"/>
    <col min="4100" max="4100" width="10.5" style="10" bestFit="1" customWidth="1"/>
    <col min="4101" max="4101" width="9.625" style="10" bestFit="1" customWidth="1"/>
    <col min="4102" max="4355" width="8.875" style="10"/>
    <col min="4356" max="4356" width="10.5" style="10" bestFit="1" customWidth="1"/>
    <col min="4357" max="4357" width="9.625" style="10" bestFit="1" customWidth="1"/>
    <col min="4358" max="4611" width="8.875" style="10"/>
    <col min="4612" max="4612" width="10.5" style="10" bestFit="1" customWidth="1"/>
    <col min="4613" max="4613" width="9.625" style="10" bestFit="1" customWidth="1"/>
    <col min="4614" max="4867" width="8.875" style="10"/>
    <col min="4868" max="4868" width="10.5" style="10" bestFit="1" customWidth="1"/>
    <col min="4869" max="4869" width="9.625" style="10" bestFit="1" customWidth="1"/>
    <col min="4870" max="5123" width="8.875" style="10"/>
    <col min="5124" max="5124" width="10.5" style="10" bestFit="1" customWidth="1"/>
    <col min="5125" max="5125" width="9.625" style="10" bestFit="1" customWidth="1"/>
    <col min="5126" max="5379" width="8.875" style="10"/>
    <col min="5380" max="5380" width="10.5" style="10" bestFit="1" customWidth="1"/>
    <col min="5381" max="5381" width="9.625" style="10" bestFit="1" customWidth="1"/>
    <col min="5382" max="5635" width="8.875" style="10"/>
    <col min="5636" max="5636" width="10.5" style="10" bestFit="1" customWidth="1"/>
    <col min="5637" max="5637" width="9.625" style="10" bestFit="1" customWidth="1"/>
    <col min="5638" max="5891" width="8.875" style="10"/>
    <col min="5892" max="5892" width="10.5" style="10" bestFit="1" customWidth="1"/>
    <col min="5893" max="5893" width="9.625" style="10" bestFit="1" customWidth="1"/>
    <col min="5894" max="6147" width="8.875" style="10"/>
    <col min="6148" max="6148" width="10.5" style="10" bestFit="1" customWidth="1"/>
    <col min="6149" max="6149" width="9.625" style="10" bestFit="1" customWidth="1"/>
    <col min="6150" max="6403" width="8.875" style="10"/>
    <col min="6404" max="6404" width="10.5" style="10" bestFit="1" customWidth="1"/>
    <col min="6405" max="6405" width="9.625" style="10" bestFit="1" customWidth="1"/>
    <col min="6406" max="6659" width="8.875" style="10"/>
    <col min="6660" max="6660" width="10.5" style="10" bestFit="1" customWidth="1"/>
    <col min="6661" max="6661" width="9.625" style="10" bestFit="1" customWidth="1"/>
    <col min="6662" max="6915" width="8.875" style="10"/>
    <col min="6916" max="6916" width="10.5" style="10" bestFit="1" customWidth="1"/>
    <col min="6917" max="6917" width="9.625" style="10" bestFit="1" customWidth="1"/>
    <col min="6918" max="7171" width="8.875" style="10"/>
    <col min="7172" max="7172" width="10.5" style="10" bestFit="1" customWidth="1"/>
    <col min="7173" max="7173" width="9.625" style="10" bestFit="1" customWidth="1"/>
    <col min="7174" max="7427" width="8.875" style="10"/>
    <col min="7428" max="7428" width="10.5" style="10" bestFit="1" customWidth="1"/>
    <col min="7429" max="7429" width="9.625" style="10" bestFit="1" customWidth="1"/>
    <col min="7430" max="7683" width="8.875" style="10"/>
    <col min="7684" max="7684" width="10.5" style="10" bestFit="1" customWidth="1"/>
    <col min="7685" max="7685" width="9.625" style="10" bestFit="1" customWidth="1"/>
    <col min="7686" max="7939" width="8.875" style="10"/>
    <col min="7940" max="7940" width="10.5" style="10" bestFit="1" customWidth="1"/>
    <col min="7941" max="7941" width="9.625" style="10" bestFit="1" customWidth="1"/>
    <col min="7942" max="8195" width="8.875" style="10"/>
    <col min="8196" max="8196" width="10.5" style="10" bestFit="1" customWidth="1"/>
    <col min="8197" max="8197" width="9.625" style="10" bestFit="1" customWidth="1"/>
    <col min="8198" max="8451" width="8.875" style="10"/>
    <col min="8452" max="8452" width="10.5" style="10" bestFit="1" customWidth="1"/>
    <col min="8453" max="8453" width="9.625" style="10" bestFit="1" customWidth="1"/>
    <col min="8454" max="8707" width="8.875" style="10"/>
    <col min="8708" max="8708" width="10.5" style="10" bestFit="1" customWidth="1"/>
    <col min="8709" max="8709" width="9.625" style="10" bestFit="1" customWidth="1"/>
    <col min="8710" max="8963" width="8.875" style="10"/>
    <col min="8964" max="8964" width="10.5" style="10" bestFit="1" customWidth="1"/>
    <col min="8965" max="8965" width="9.625" style="10" bestFit="1" customWidth="1"/>
    <col min="8966" max="9219" width="8.875" style="10"/>
    <col min="9220" max="9220" width="10.5" style="10" bestFit="1" customWidth="1"/>
    <col min="9221" max="9221" width="9.625" style="10" bestFit="1" customWidth="1"/>
    <col min="9222" max="9475" width="8.875" style="10"/>
    <col min="9476" max="9476" width="10.5" style="10" bestFit="1" customWidth="1"/>
    <col min="9477" max="9477" width="9.625" style="10" bestFit="1" customWidth="1"/>
    <col min="9478" max="9731" width="8.875" style="10"/>
    <col min="9732" max="9732" width="10.5" style="10" bestFit="1" customWidth="1"/>
    <col min="9733" max="9733" width="9.625" style="10" bestFit="1" customWidth="1"/>
    <col min="9734" max="9987" width="8.875" style="10"/>
    <col min="9988" max="9988" width="10.5" style="10" bestFit="1" customWidth="1"/>
    <col min="9989" max="9989" width="9.625" style="10" bestFit="1" customWidth="1"/>
    <col min="9990" max="10243" width="8.875" style="10"/>
    <col min="10244" max="10244" width="10.5" style="10" bestFit="1" customWidth="1"/>
    <col min="10245" max="10245" width="9.625" style="10" bestFit="1" customWidth="1"/>
    <col min="10246" max="10499" width="8.875" style="10"/>
    <col min="10500" max="10500" width="10.5" style="10" bestFit="1" customWidth="1"/>
    <col min="10501" max="10501" width="9.625" style="10" bestFit="1" customWidth="1"/>
    <col min="10502" max="10755" width="8.875" style="10"/>
    <col min="10756" max="10756" width="10.5" style="10" bestFit="1" customWidth="1"/>
    <col min="10757" max="10757" width="9.625" style="10" bestFit="1" customWidth="1"/>
    <col min="10758" max="11011" width="8.875" style="10"/>
    <col min="11012" max="11012" width="10.5" style="10" bestFit="1" customWidth="1"/>
    <col min="11013" max="11013" width="9.625" style="10" bestFit="1" customWidth="1"/>
    <col min="11014" max="11267" width="8.875" style="10"/>
    <col min="11268" max="11268" width="10.5" style="10" bestFit="1" customWidth="1"/>
    <col min="11269" max="11269" width="9.625" style="10" bestFit="1" customWidth="1"/>
    <col min="11270" max="11523" width="8.875" style="10"/>
    <col min="11524" max="11524" width="10.5" style="10" bestFit="1" customWidth="1"/>
    <col min="11525" max="11525" width="9.625" style="10" bestFit="1" customWidth="1"/>
    <col min="11526" max="11779" width="8.875" style="10"/>
    <col min="11780" max="11780" width="10.5" style="10" bestFit="1" customWidth="1"/>
    <col min="11781" max="11781" width="9.625" style="10" bestFit="1" customWidth="1"/>
    <col min="11782" max="12035" width="8.875" style="10"/>
    <col min="12036" max="12036" width="10.5" style="10" bestFit="1" customWidth="1"/>
    <col min="12037" max="12037" width="9.625" style="10" bestFit="1" customWidth="1"/>
    <col min="12038" max="12291" width="8.875" style="10"/>
    <col min="12292" max="12292" width="10.5" style="10" bestFit="1" customWidth="1"/>
    <col min="12293" max="12293" width="9.625" style="10" bestFit="1" customWidth="1"/>
    <col min="12294" max="12547" width="8.875" style="10"/>
    <col min="12548" max="12548" width="10.5" style="10" bestFit="1" customWidth="1"/>
    <col min="12549" max="12549" width="9.625" style="10" bestFit="1" customWidth="1"/>
    <col min="12550" max="12803" width="8.875" style="10"/>
    <col min="12804" max="12804" width="10.5" style="10" bestFit="1" customWidth="1"/>
    <col min="12805" max="12805" width="9.625" style="10" bestFit="1" customWidth="1"/>
    <col min="12806" max="13059" width="8.875" style="10"/>
    <col min="13060" max="13060" width="10.5" style="10" bestFit="1" customWidth="1"/>
    <col min="13061" max="13061" width="9.625" style="10" bestFit="1" customWidth="1"/>
    <col min="13062" max="13315" width="8.875" style="10"/>
    <col min="13316" max="13316" width="10.5" style="10" bestFit="1" customWidth="1"/>
    <col min="13317" max="13317" width="9.625" style="10" bestFit="1" customWidth="1"/>
    <col min="13318" max="13571" width="8.875" style="10"/>
    <col min="13572" max="13572" width="10.5" style="10" bestFit="1" customWidth="1"/>
    <col min="13573" max="13573" width="9.625" style="10" bestFit="1" customWidth="1"/>
    <col min="13574" max="13827" width="8.875" style="10"/>
    <col min="13828" max="13828" width="10.5" style="10" bestFit="1" customWidth="1"/>
    <col min="13829" max="13829" width="9.625" style="10" bestFit="1" customWidth="1"/>
    <col min="13830" max="14083" width="8.875" style="10"/>
    <col min="14084" max="14084" width="10.5" style="10" bestFit="1" customWidth="1"/>
    <col min="14085" max="14085" width="9.625" style="10" bestFit="1" customWidth="1"/>
    <col min="14086" max="14339" width="8.875" style="10"/>
    <col min="14340" max="14340" width="10.5" style="10" bestFit="1" customWidth="1"/>
    <col min="14341" max="14341" width="9.625" style="10" bestFit="1" customWidth="1"/>
    <col min="14342" max="14595" width="8.875" style="10"/>
    <col min="14596" max="14596" width="10.5" style="10" bestFit="1" customWidth="1"/>
    <col min="14597" max="14597" width="9.625" style="10" bestFit="1" customWidth="1"/>
    <col min="14598" max="14851" width="8.875" style="10"/>
    <col min="14852" max="14852" width="10.5" style="10" bestFit="1" customWidth="1"/>
    <col min="14853" max="14853" width="9.625" style="10" bestFit="1" customWidth="1"/>
    <col min="14854" max="15107" width="8.875" style="10"/>
    <col min="15108" max="15108" width="10.5" style="10" bestFit="1" customWidth="1"/>
    <col min="15109" max="15109" width="9.625" style="10" bestFit="1" customWidth="1"/>
    <col min="15110" max="15363" width="8.875" style="10"/>
    <col min="15364" max="15364" width="10.5" style="10" bestFit="1" customWidth="1"/>
    <col min="15365" max="15365" width="9.625" style="10" bestFit="1" customWidth="1"/>
    <col min="15366" max="15619" width="8.875" style="10"/>
    <col min="15620" max="15620" width="10.5" style="10" bestFit="1" customWidth="1"/>
    <col min="15621" max="15621" width="9.625" style="10" bestFit="1" customWidth="1"/>
    <col min="15622" max="15875" width="8.875" style="10"/>
    <col min="15876" max="15876" width="10.5" style="10" bestFit="1" customWidth="1"/>
    <col min="15877" max="15877" width="9.625" style="10" bestFit="1" customWidth="1"/>
    <col min="15878" max="16131" width="8.875" style="10"/>
    <col min="16132" max="16132" width="10.5" style="10" bestFit="1" customWidth="1"/>
    <col min="16133" max="16133" width="9.625" style="10" bestFit="1" customWidth="1"/>
    <col min="16134" max="16384" width="8.875" style="10"/>
  </cols>
  <sheetData>
    <row r="1" spans="1:53" ht="45">
      <c r="A1" s="1" t="s">
        <v>0</v>
      </c>
      <c r="B1" s="2" t="s">
        <v>1</v>
      </c>
      <c r="C1" s="2" t="s">
        <v>2</v>
      </c>
      <c r="D1" s="3" t="s">
        <v>3</v>
      </c>
      <c r="E1" s="4" t="s">
        <v>4</v>
      </c>
      <c r="F1" s="4" t="s">
        <v>5</v>
      </c>
      <c r="G1" s="4" t="s">
        <v>6</v>
      </c>
      <c r="H1" s="4" t="s">
        <v>7</v>
      </c>
      <c r="I1" s="4" t="s">
        <v>8</v>
      </c>
      <c r="J1" s="4" t="s">
        <v>9</v>
      </c>
      <c r="K1" s="4" t="s">
        <v>10</v>
      </c>
      <c r="L1" s="3" t="s">
        <v>11</v>
      </c>
      <c r="M1" s="3" t="s">
        <v>12</v>
      </c>
      <c r="N1" s="3" t="s">
        <v>286</v>
      </c>
      <c r="O1" s="3" t="s">
        <v>14</v>
      </c>
      <c r="P1" s="3" t="s">
        <v>15</v>
      </c>
      <c r="Q1" s="5" t="s">
        <v>16</v>
      </c>
      <c r="R1" s="3" t="s">
        <v>17</v>
      </c>
      <c r="S1" s="3" t="s">
        <v>18</v>
      </c>
      <c r="T1" s="5" t="s">
        <v>19</v>
      </c>
      <c r="U1" s="69" t="s">
        <v>248</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26" customFormat="1" ht="13.5" customHeight="1">
      <c r="A2" s="126" t="s">
        <v>86</v>
      </c>
      <c r="B2" s="126" t="s">
        <v>36</v>
      </c>
      <c r="C2" s="166">
        <v>2020</v>
      </c>
      <c r="D2" s="167" t="s">
        <v>287</v>
      </c>
      <c r="E2" s="126" t="s">
        <v>288</v>
      </c>
      <c r="F2" s="126" t="s">
        <v>289</v>
      </c>
      <c r="G2" s="126" t="s">
        <v>39</v>
      </c>
      <c r="H2" s="126" t="s">
        <v>40</v>
      </c>
      <c r="I2" s="126" t="s">
        <v>41</v>
      </c>
      <c r="J2" s="126" t="s">
        <v>42</v>
      </c>
      <c r="K2" s="126" t="s">
        <v>43</v>
      </c>
      <c r="L2" s="126">
        <v>1</v>
      </c>
      <c r="N2" s="126">
        <v>8</v>
      </c>
      <c r="O2" s="126">
        <v>0.39</v>
      </c>
      <c r="P2" s="126">
        <v>0.34</v>
      </c>
      <c r="Q2" s="152">
        <f>IF(OR(O2="",P2=""),"",AVERAGE(O2,P2))</f>
        <v>0.36499999999999999</v>
      </c>
      <c r="R2" s="126">
        <v>13.5</v>
      </c>
      <c r="S2" s="126">
        <v>101</v>
      </c>
      <c r="T2" s="138">
        <f t="shared" ref="T2:T57" si="0">IF(H2="","",IF(OR(H2="GREEN",H2="GK"),IF(S2&gt;=$AX$2,VLOOKUP(S2,$AX$2:$AY$12,2,1),""),IF(S2&gt;=$AZ$2,VLOOKUP(S2,$AZ$2:$BA$12,2,1),"")))</f>
        <v>33</v>
      </c>
      <c r="U2" s="126">
        <v>398</v>
      </c>
      <c r="V2" s="138">
        <f t="shared" ref="V2:V65" si="1">IF(J2="","",IF(OR(J2="GREEN",J2="GK"),IF(U2&gt;=$AX$2,VLOOKUP(U2,$AX$2:$AY$12,2,1),""),IF(U2&gt;=$AZ$2,VLOOKUP(U2,$AZ$2:$BA$12,2,1),"")))</f>
        <v>16</v>
      </c>
      <c r="W2" s="126">
        <v>2</v>
      </c>
      <c r="X2" s="126" t="s">
        <v>44</v>
      </c>
      <c r="Y2" s="126" t="s">
        <v>46</v>
      </c>
      <c r="Z2" s="126" t="s">
        <v>45</v>
      </c>
      <c r="AA2" s="126" t="s">
        <v>54</v>
      </c>
      <c r="AB2" s="126" t="s">
        <v>48</v>
      </c>
      <c r="AE2" s="33" t="s">
        <v>49</v>
      </c>
      <c r="AG2" s="168" t="s">
        <v>290</v>
      </c>
      <c r="AH2" s="169" t="s">
        <v>291</v>
      </c>
      <c r="AJ2" s="132" t="s">
        <v>39</v>
      </c>
      <c r="AL2" s="133" t="s">
        <v>51</v>
      </c>
      <c r="AN2" s="132" t="s">
        <v>292</v>
      </c>
      <c r="AP2" s="132" t="s">
        <v>42</v>
      </c>
      <c r="AR2" s="132" t="s">
        <v>53</v>
      </c>
      <c r="AT2" s="132" t="s">
        <v>44</v>
      </c>
      <c r="AV2" s="139" t="s">
        <v>79</v>
      </c>
      <c r="AX2" s="134">
        <v>1</v>
      </c>
      <c r="AY2" s="135">
        <v>50</v>
      </c>
      <c r="AZ2" s="135">
        <v>1</v>
      </c>
      <c r="BA2" s="136">
        <v>50</v>
      </c>
    </row>
    <row r="3" spans="1:53" s="126" customFormat="1" ht="13.5" customHeight="1">
      <c r="A3" s="126" t="s">
        <v>86</v>
      </c>
      <c r="B3" s="126" t="s">
        <v>36</v>
      </c>
      <c r="C3" s="166">
        <v>2020</v>
      </c>
      <c r="D3" s="167" t="s">
        <v>287</v>
      </c>
      <c r="E3" s="126" t="s">
        <v>288</v>
      </c>
      <c r="F3" s="126" t="s">
        <v>289</v>
      </c>
      <c r="G3" s="126" t="s">
        <v>39</v>
      </c>
      <c r="H3" s="126" t="s">
        <v>40</v>
      </c>
      <c r="I3" s="126" t="s">
        <v>41</v>
      </c>
      <c r="J3" s="126" t="s">
        <v>42</v>
      </c>
      <c r="K3" s="126" t="s">
        <v>43</v>
      </c>
      <c r="L3" s="126">
        <v>2</v>
      </c>
      <c r="N3" s="126">
        <v>8</v>
      </c>
      <c r="O3" s="126">
        <v>0.55000000000000004</v>
      </c>
      <c r="P3" s="126">
        <v>0.52</v>
      </c>
      <c r="Q3" s="152">
        <f t="shared" ref="Q3:Q66" si="2">IF(OR(O3="",P3=""),"",AVERAGE(O3,P3))</f>
        <v>0.53500000000000003</v>
      </c>
      <c r="R3" s="126">
        <v>14.1</v>
      </c>
      <c r="S3" s="126">
        <v>101</v>
      </c>
      <c r="T3" s="138">
        <f t="shared" si="0"/>
        <v>33</v>
      </c>
      <c r="U3" s="126">
        <v>398</v>
      </c>
      <c r="V3" s="138">
        <f t="shared" si="1"/>
        <v>16</v>
      </c>
      <c r="W3" s="126">
        <v>2</v>
      </c>
      <c r="X3" s="126" t="s">
        <v>44</v>
      </c>
      <c r="Y3" s="126" t="s">
        <v>46</v>
      </c>
      <c r="Z3" s="126" t="s">
        <v>45</v>
      </c>
      <c r="AA3" s="126" t="s">
        <v>54</v>
      </c>
      <c r="AB3" s="126" t="s">
        <v>48</v>
      </c>
      <c r="AE3" s="34" t="s">
        <v>55</v>
      </c>
      <c r="AG3" s="168" t="s">
        <v>293</v>
      </c>
      <c r="AH3" s="169" t="s">
        <v>294</v>
      </c>
      <c r="AJ3" s="139" t="s">
        <v>58</v>
      </c>
      <c r="AL3" s="139" t="s">
        <v>59</v>
      </c>
      <c r="AN3" s="139" t="s">
        <v>60</v>
      </c>
      <c r="AP3" s="139" t="s">
        <v>61</v>
      </c>
      <c r="AR3" s="139" t="s">
        <v>62</v>
      </c>
      <c r="AT3" s="139" t="s">
        <v>63</v>
      </c>
      <c r="AV3" s="139" t="s">
        <v>155</v>
      </c>
      <c r="AX3" s="140">
        <v>72</v>
      </c>
      <c r="AY3" s="141">
        <v>46</v>
      </c>
      <c r="AZ3" s="141">
        <v>71</v>
      </c>
      <c r="BA3" s="142">
        <v>42</v>
      </c>
    </row>
    <row r="4" spans="1:53" s="126" customFormat="1" ht="13.5" customHeight="1">
      <c r="A4" s="126" t="s">
        <v>86</v>
      </c>
      <c r="B4" s="126" t="s">
        <v>36</v>
      </c>
      <c r="C4" s="166">
        <v>2020</v>
      </c>
      <c r="D4" s="167" t="s">
        <v>287</v>
      </c>
      <c r="E4" s="126" t="s">
        <v>288</v>
      </c>
      <c r="F4" s="126" t="s">
        <v>289</v>
      </c>
      <c r="G4" s="126" t="s">
        <v>39</v>
      </c>
      <c r="H4" s="126" t="s">
        <v>40</v>
      </c>
      <c r="I4" s="126" t="s">
        <v>41</v>
      </c>
      <c r="J4" s="126" t="s">
        <v>42</v>
      </c>
      <c r="K4" s="126" t="s">
        <v>43</v>
      </c>
      <c r="L4" s="126">
        <v>3</v>
      </c>
      <c r="N4" s="126">
        <v>8</v>
      </c>
      <c r="O4" s="126">
        <v>0.25</v>
      </c>
      <c r="P4" s="126">
        <v>0.22</v>
      </c>
      <c r="Q4" s="152">
        <f t="shared" si="2"/>
        <v>0.23499999999999999</v>
      </c>
      <c r="R4" s="126">
        <v>15.1</v>
      </c>
      <c r="S4" s="126">
        <v>100</v>
      </c>
      <c r="T4" s="138">
        <f t="shared" si="0"/>
        <v>33</v>
      </c>
      <c r="U4" s="126">
        <v>398</v>
      </c>
      <c r="V4" s="138">
        <f t="shared" si="1"/>
        <v>16</v>
      </c>
      <c r="W4" s="126">
        <v>2</v>
      </c>
      <c r="X4" s="126" t="s">
        <v>44</v>
      </c>
      <c r="Y4" s="126" t="s">
        <v>46</v>
      </c>
      <c r="Z4" s="126" t="s">
        <v>45</v>
      </c>
      <c r="AA4" s="126" t="s">
        <v>54</v>
      </c>
      <c r="AB4" s="126" t="s">
        <v>48</v>
      </c>
      <c r="AE4" s="34" t="s">
        <v>35</v>
      </c>
      <c r="AG4" s="168" t="s">
        <v>295</v>
      </c>
      <c r="AH4" s="169" t="s">
        <v>296</v>
      </c>
      <c r="AJ4" s="143" t="s">
        <v>67</v>
      </c>
      <c r="AL4" s="139" t="s">
        <v>68</v>
      </c>
      <c r="AN4" s="144" t="s">
        <v>69</v>
      </c>
      <c r="AP4" s="139" t="s">
        <v>70</v>
      </c>
      <c r="AR4" s="139" t="s">
        <v>297</v>
      </c>
      <c r="AT4" s="144"/>
      <c r="AV4" s="139" t="s">
        <v>163</v>
      </c>
      <c r="AX4" s="140">
        <v>75</v>
      </c>
      <c r="AY4" s="141">
        <v>42</v>
      </c>
      <c r="AZ4" s="141">
        <v>76</v>
      </c>
      <c r="BA4" s="142">
        <v>39</v>
      </c>
    </row>
    <row r="5" spans="1:53" s="126" customFormat="1" ht="13.5" customHeight="1">
      <c r="A5" s="126" t="s">
        <v>86</v>
      </c>
      <c r="B5" s="126" t="s">
        <v>36</v>
      </c>
      <c r="C5" s="166">
        <v>2020</v>
      </c>
      <c r="D5" s="167" t="s">
        <v>287</v>
      </c>
      <c r="E5" s="126" t="s">
        <v>288</v>
      </c>
      <c r="F5" s="126" t="s">
        <v>289</v>
      </c>
      <c r="G5" s="126" t="s">
        <v>39</v>
      </c>
      <c r="H5" s="126" t="s">
        <v>59</v>
      </c>
      <c r="I5" s="126" t="s">
        <v>298</v>
      </c>
      <c r="J5" s="126" t="s">
        <v>121</v>
      </c>
      <c r="K5" s="126" t="s">
        <v>299</v>
      </c>
      <c r="L5" s="126">
        <v>1</v>
      </c>
      <c r="N5" s="126">
        <v>4</v>
      </c>
      <c r="O5" s="126">
        <v>0.63</v>
      </c>
      <c r="P5" s="126">
        <v>0.71</v>
      </c>
      <c r="Q5" s="152">
        <f t="shared" si="2"/>
        <v>0.66999999999999993</v>
      </c>
      <c r="R5" s="126">
        <v>12.1</v>
      </c>
      <c r="S5" s="126">
        <v>95</v>
      </c>
      <c r="T5" s="138">
        <f t="shared" si="0"/>
        <v>36</v>
      </c>
      <c r="U5" s="126">
        <v>398</v>
      </c>
      <c r="V5" s="138">
        <f t="shared" si="1"/>
        <v>16</v>
      </c>
      <c r="W5" s="126">
        <v>2</v>
      </c>
      <c r="X5" s="126" t="s">
        <v>44</v>
      </c>
      <c r="Y5" s="126" t="s">
        <v>46</v>
      </c>
      <c r="Z5" s="126" t="s">
        <v>45</v>
      </c>
      <c r="AA5" s="126" t="s">
        <v>54</v>
      </c>
      <c r="AB5" s="126" t="s">
        <v>48</v>
      </c>
      <c r="AE5" s="34" t="s">
        <v>72</v>
      </c>
      <c r="AG5" s="168" t="s">
        <v>300</v>
      </c>
      <c r="AH5" s="169" t="s">
        <v>301</v>
      </c>
      <c r="AJ5" s="144"/>
      <c r="AL5" s="139" t="s">
        <v>75</v>
      </c>
      <c r="AN5" s="145" t="s">
        <v>76</v>
      </c>
      <c r="AP5" s="139" t="s">
        <v>302</v>
      </c>
      <c r="AR5" s="139" t="s">
        <v>78</v>
      </c>
      <c r="AV5" s="139" t="s">
        <v>165</v>
      </c>
      <c r="AX5" s="140">
        <v>84</v>
      </c>
      <c r="AY5" s="141">
        <v>39</v>
      </c>
      <c r="AZ5" s="141">
        <v>84</v>
      </c>
      <c r="BA5" s="142">
        <v>36</v>
      </c>
    </row>
    <row r="6" spans="1:53" s="126" customFormat="1" ht="13.5" customHeight="1">
      <c r="A6" s="126" t="s">
        <v>86</v>
      </c>
      <c r="B6" s="126" t="s">
        <v>36</v>
      </c>
      <c r="C6" s="166">
        <v>2020</v>
      </c>
      <c r="D6" s="167" t="s">
        <v>287</v>
      </c>
      <c r="E6" s="126" t="s">
        <v>288</v>
      </c>
      <c r="F6" s="126" t="s">
        <v>289</v>
      </c>
      <c r="G6" s="126" t="s">
        <v>39</v>
      </c>
      <c r="H6" s="126" t="s">
        <v>59</v>
      </c>
      <c r="I6" s="126" t="s">
        <v>41</v>
      </c>
      <c r="J6" s="126" t="s">
        <v>121</v>
      </c>
      <c r="K6" s="126" t="s">
        <v>299</v>
      </c>
      <c r="L6" s="126">
        <v>2</v>
      </c>
      <c r="N6" s="126">
        <v>4</v>
      </c>
      <c r="O6" s="126">
        <v>0.56999999999999995</v>
      </c>
      <c r="P6" s="126">
        <v>0.66</v>
      </c>
      <c r="Q6" s="152">
        <f>IF(OR(O6="",P6=""),"",AVERAGE(O6,P6))</f>
        <v>0.61499999999999999</v>
      </c>
      <c r="R6" s="126">
        <v>12</v>
      </c>
      <c r="S6" s="126">
        <v>94</v>
      </c>
      <c r="T6" s="138">
        <f t="shared" si="0"/>
        <v>36</v>
      </c>
      <c r="U6" s="126">
        <v>398</v>
      </c>
      <c r="V6" s="138">
        <f t="shared" si="1"/>
        <v>16</v>
      </c>
      <c r="W6" s="126">
        <v>2</v>
      </c>
      <c r="X6" s="126" t="s">
        <v>44</v>
      </c>
      <c r="Y6" s="126" t="s">
        <v>46</v>
      </c>
      <c r="Z6" s="126" t="s">
        <v>45</v>
      </c>
      <c r="AA6" s="126" t="s">
        <v>54</v>
      </c>
      <c r="AB6" s="126" t="s">
        <v>48</v>
      </c>
      <c r="AE6" s="34" t="s">
        <v>80</v>
      </c>
      <c r="AG6" s="168" t="s">
        <v>303</v>
      </c>
      <c r="AH6" s="169" t="s">
        <v>304</v>
      </c>
      <c r="AL6" s="139" t="s">
        <v>83</v>
      </c>
      <c r="AN6" s="145" t="s">
        <v>84</v>
      </c>
      <c r="AP6" s="139" t="s">
        <v>85</v>
      </c>
      <c r="AR6" s="139" t="s">
        <v>305</v>
      </c>
      <c r="AV6" s="139" t="s">
        <v>87</v>
      </c>
      <c r="AX6" s="140">
        <v>97</v>
      </c>
      <c r="AY6" s="141">
        <v>36</v>
      </c>
      <c r="AZ6" s="141">
        <v>99</v>
      </c>
      <c r="BA6" s="142">
        <v>33</v>
      </c>
    </row>
    <row r="7" spans="1:53" s="126" customFormat="1" ht="13.5" customHeight="1">
      <c r="A7" s="126" t="s">
        <v>86</v>
      </c>
      <c r="B7" s="126" t="s">
        <v>36</v>
      </c>
      <c r="C7" s="166">
        <v>2020</v>
      </c>
      <c r="D7" s="167" t="s">
        <v>287</v>
      </c>
      <c r="E7" s="126" t="s">
        <v>288</v>
      </c>
      <c r="F7" s="126" t="s">
        <v>289</v>
      </c>
      <c r="G7" s="126" t="s">
        <v>39</v>
      </c>
      <c r="H7" s="126" t="s">
        <v>59</v>
      </c>
      <c r="I7" s="126" t="s">
        <v>41</v>
      </c>
      <c r="J7" s="126" t="s">
        <v>121</v>
      </c>
      <c r="K7" s="126" t="s">
        <v>299</v>
      </c>
      <c r="L7" s="126">
        <v>3</v>
      </c>
      <c r="N7" s="126">
        <v>4</v>
      </c>
      <c r="O7" s="126">
        <v>0.62</v>
      </c>
      <c r="P7" s="126">
        <v>0.57999999999999996</v>
      </c>
      <c r="Q7" s="152">
        <f t="shared" si="2"/>
        <v>0.6</v>
      </c>
      <c r="R7" s="126">
        <v>12.8</v>
      </c>
      <c r="S7" s="126">
        <v>93</v>
      </c>
      <c r="T7" s="138">
        <f t="shared" si="0"/>
        <v>36</v>
      </c>
      <c r="U7" s="126">
        <v>398</v>
      </c>
      <c r="V7" s="138">
        <f t="shared" si="1"/>
        <v>16</v>
      </c>
      <c r="W7" s="126">
        <v>2</v>
      </c>
      <c r="X7" s="126" t="s">
        <v>44</v>
      </c>
      <c r="Y7" s="126" t="s">
        <v>46</v>
      </c>
      <c r="Z7" s="126" t="s">
        <v>45</v>
      </c>
      <c r="AA7" s="126" t="s">
        <v>54</v>
      </c>
      <c r="AB7" s="126" t="s">
        <v>48</v>
      </c>
      <c r="AE7" s="34" t="s">
        <v>88</v>
      </c>
      <c r="AG7" s="168" t="s">
        <v>306</v>
      </c>
      <c r="AH7" s="169" t="s">
        <v>307</v>
      </c>
      <c r="AL7" s="146" t="s">
        <v>90</v>
      </c>
      <c r="AP7" s="139" t="s">
        <v>91</v>
      </c>
      <c r="AR7" s="139" t="s">
        <v>299</v>
      </c>
      <c r="AV7" s="139" t="s">
        <v>93</v>
      </c>
      <c r="AX7" s="140">
        <v>109</v>
      </c>
      <c r="AY7" s="141">
        <v>33</v>
      </c>
      <c r="AZ7" s="141">
        <v>113</v>
      </c>
      <c r="BA7" s="142">
        <v>30</v>
      </c>
    </row>
    <row r="8" spans="1:53" s="126" customFormat="1" ht="13.5" customHeight="1">
      <c r="A8" s="126" t="s">
        <v>86</v>
      </c>
      <c r="B8" s="126" t="s">
        <v>36</v>
      </c>
      <c r="C8" s="166">
        <v>2020</v>
      </c>
      <c r="D8" s="167" t="s">
        <v>287</v>
      </c>
      <c r="E8" s="126" t="s">
        <v>288</v>
      </c>
      <c r="F8" s="126" t="s">
        <v>289</v>
      </c>
      <c r="G8" s="126" t="s">
        <v>39</v>
      </c>
      <c r="H8" s="126" t="s">
        <v>51</v>
      </c>
      <c r="I8" s="126" t="s">
        <v>41</v>
      </c>
      <c r="J8" s="126" t="s">
        <v>121</v>
      </c>
      <c r="K8" s="126" t="s">
        <v>297</v>
      </c>
      <c r="L8" s="126">
        <v>1</v>
      </c>
      <c r="N8" s="126">
        <v>5</v>
      </c>
      <c r="O8" s="126">
        <v>1.1299999999999999</v>
      </c>
      <c r="P8" s="126">
        <v>1.08</v>
      </c>
      <c r="Q8" s="152">
        <f t="shared" si="2"/>
        <v>1.105</v>
      </c>
      <c r="R8" s="126">
        <v>10.5</v>
      </c>
      <c r="S8" s="126">
        <v>76</v>
      </c>
      <c r="T8" s="138">
        <f t="shared" si="0"/>
        <v>39</v>
      </c>
      <c r="U8" s="126">
        <v>398</v>
      </c>
      <c r="V8" s="138">
        <f t="shared" si="1"/>
        <v>16</v>
      </c>
      <c r="W8" s="126">
        <v>1</v>
      </c>
      <c r="X8" s="126" t="s">
        <v>44</v>
      </c>
      <c r="Y8" s="126" t="s">
        <v>46</v>
      </c>
      <c r="Z8" s="126" t="s">
        <v>45</v>
      </c>
      <c r="AA8" s="126" t="s">
        <v>54</v>
      </c>
      <c r="AB8" s="126" t="s">
        <v>48</v>
      </c>
      <c r="AE8" s="34" t="s">
        <v>86</v>
      </c>
      <c r="AG8" s="170" t="s">
        <v>308</v>
      </c>
      <c r="AH8" s="169" t="s">
        <v>309</v>
      </c>
      <c r="AL8" s="146" t="s">
        <v>96</v>
      </c>
      <c r="AP8" s="139" t="s">
        <v>97</v>
      </c>
      <c r="AR8" s="139" t="s">
        <v>98</v>
      </c>
      <c r="AV8" s="139" t="s">
        <v>99</v>
      </c>
      <c r="AX8" s="140">
        <v>119</v>
      </c>
      <c r="AY8" s="141">
        <v>30</v>
      </c>
      <c r="AZ8" s="141">
        <v>121</v>
      </c>
      <c r="BA8" s="142">
        <v>27</v>
      </c>
    </row>
    <row r="9" spans="1:53" s="126" customFormat="1" ht="13.5" customHeight="1">
      <c r="A9" s="126" t="s">
        <v>86</v>
      </c>
      <c r="B9" s="126" t="s">
        <v>36</v>
      </c>
      <c r="C9" s="166">
        <v>2020</v>
      </c>
      <c r="D9" s="167" t="s">
        <v>287</v>
      </c>
      <c r="E9" s="126" t="s">
        <v>288</v>
      </c>
      <c r="F9" s="126" t="s">
        <v>289</v>
      </c>
      <c r="G9" s="126" t="s">
        <v>39</v>
      </c>
      <c r="H9" s="126" t="s">
        <v>51</v>
      </c>
      <c r="I9" s="126" t="s">
        <v>41</v>
      </c>
      <c r="J9" s="126" t="s">
        <v>121</v>
      </c>
      <c r="K9" s="126" t="s">
        <v>297</v>
      </c>
      <c r="L9" s="126">
        <v>2</v>
      </c>
      <c r="N9" s="126">
        <v>5</v>
      </c>
      <c r="O9" s="126">
        <v>1.0900000000000001</v>
      </c>
      <c r="P9" s="126">
        <v>1.04</v>
      </c>
      <c r="Q9" s="152">
        <f t="shared" si="2"/>
        <v>1.0649999999999999</v>
      </c>
      <c r="R9" s="126">
        <v>11</v>
      </c>
      <c r="S9" s="126">
        <v>74</v>
      </c>
      <c r="T9" s="138">
        <f t="shared" si="0"/>
        <v>42</v>
      </c>
      <c r="U9" s="126">
        <v>398</v>
      </c>
      <c r="V9" s="138">
        <f t="shared" si="1"/>
        <v>16</v>
      </c>
      <c r="W9" s="126">
        <v>1</v>
      </c>
      <c r="X9" s="126" t="s">
        <v>44</v>
      </c>
      <c r="Y9" s="126" t="s">
        <v>46</v>
      </c>
      <c r="Z9" s="126" t="s">
        <v>45</v>
      </c>
      <c r="AA9" s="126" t="s">
        <v>54</v>
      </c>
      <c r="AB9" s="126" t="s">
        <v>48</v>
      </c>
      <c r="AE9" s="34" t="s">
        <v>100</v>
      </c>
      <c r="AG9" s="170" t="s">
        <v>310</v>
      </c>
      <c r="AH9" s="169" t="s">
        <v>289</v>
      </c>
      <c r="AL9" s="139" t="s">
        <v>102</v>
      </c>
      <c r="AP9" s="139" t="s">
        <v>311</v>
      </c>
      <c r="AR9" s="139" t="s">
        <v>104</v>
      </c>
      <c r="AV9" s="139" t="s">
        <v>105</v>
      </c>
      <c r="AX9" s="140">
        <v>128</v>
      </c>
      <c r="AY9" s="141">
        <v>27</v>
      </c>
      <c r="AZ9" s="141">
        <v>129</v>
      </c>
      <c r="BA9" s="142">
        <v>25</v>
      </c>
    </row>
    <row r="10" spans="1:53" s="126" customFormat="1" ht="13.5" customHeight="1">
      <c r="A10" s="126" t="s">
        <v>86</v>
      </c>
      <c r="B10" s="126" t="s">
        <v>36</v>
      </c>
      <c r="C10" s="166">
        <v>2020</v>
      </c>
      <c r="D10" s="167" t="s">
        <v>287</v>
      </c>
      <c r="E10" s="126" t="s">
        <v>288</v>
      </c>
      <c r="F10" s="126" t="s">
        <v>289</v>
      </c>
      <c r="G10" s="126" t="s">
        <v>39</v>
      </c>
      <c r="H10" s="126" t="s">
        <v>51</v>
      </c>
      <c r="I10" s="126" t="s">
        <v>41</v>
      </c>
      <c r="J10" s="126" t="s">
        <v>121</v>
      </c>
      <c r="K10" s="126" t="s">
        <v>297</v>
      </c>
      <c r="L10" s="126">
        <v>3</v>
      </c>
      <c r="N10" s="126">
        <v>5</v>
      </c>
      <c r="O10" s="126">
        <v>1.07</v>
      </c>
      <c r="P10" s="126">
        <v>1.06</v>
      </c>
      <c r="Q10" s="152">
        <f t="shared" si="2"/>
        <v>1.0649999999999999</v>
      </c>
      <c r="R10" s="126">
        <v>11.2</v>
      </c>
      <c r="S10" s="126">
        <v>81</v>
      </c>
      <c r="T10" s="138">
        <f t="shared" si="0"/>
        <v>39</v>
      </c>
      <c r="U10" s="126">
        <v>398</v>
      </c>
      <c r="V10" s="138">
        <f t="shared" si="1"/>
        <v>16</v>
      </c>
      <c r="W10" s="126">
        <v>1</v>
      </c>
      <c r="X10" s="126" t="s">
        <v>44</v>
      </c>
      <c r="Y10" s="126" t="s">
        <v>46</v>
      </c>
      <c r="Z10" s="126" t="s">
        <v>45</v>
      </c>
      <c r="AA10" s="126" t="s">
        <v>54</v>
      </c>
      <c r="AB10" s="126" t="s">
        <v>48</v>
      </c>
      <c r="AE10" s="34" t="s">
        <v>106</v>
      </c>
      <c r="AG10" s="168" t="s">
        <v>312</v>
      </c>
      <c r="AH10" s="169" t="s">
        <v>301</v>
      </c>
      <c r="AL10" s="155"/>
      <c r="AP10" s="139" t="s">
        <v>109</v>
      </c>
      <c r="AR10" s="139" t="s">
        <v>110</v>
      </c>
      <c r="AV10" s="139" t="s">
        <v>111</v>
      </c>
      <c r="AX10" s="140">
        <v>138</v>
      </c>
      <c r="AY10" s="141">
        <v>25</v>
      </c>
      <c r="AZ10" s="141">
        <v>138</v>
      </c>
      <c r="BA10" s="142">
        <v>22</v>
      </c>
    </row>
    <row r="11" spans="1:53" s="126" customFormat="1" ht="13.5" customHeight="1">
      <c r="A11" s="126" t="s">
        <v>86</v>
      </c>
      <c r="B11" s="126" t="s">
        <v>36</v>
      </c>
      <c r="C11" s="166">
        <v>2020</v>
      </c>
      <c r="D11" s="167" t="s">
        <v>287</v>
      </c>
      <c r="E11" s="126" t="s">
        <v>293</v>
      </c>
      <c r="F11" s="126" t="s">
        <v>294</v>
      </c>
      <c r="G11" s="126" t="s">
        <v>39</v>
      </c>
      <c r="H11" s="126" t="s">
        <v>40</v>
      </c>
      <c r="I11" s="126" t="s">
        <v>41</v>
      </c>
      <c r="J11" s="126" t="s">
        <v>42</v>
      </c>
      <c r="K11" s="126" t="s">
        <v>43</v>
      </c>
      <c r="L11" s="126">
        <v>1</v>
      </c>
      <c r="N11" s="126">
        <v>4</v>
      </c>
      <c r="O11" s="126">
        <v>0.62</v>
      </c>
      <c r="P11" s="126">
        <v>0.67</v>
      </c>
      <c r="Q11" s="152">
        <f t="shared" si="2"/>
        <v>0.64500000000000002</v>
      </c>
      <c r="R11" s="126">
        <v>14.9</v>
      </c>
      <c r="S11" s="126">
        <v>97</v>
      </c>
      <c r="T11" s="138">
        <f t="shared" si="0"/>
        <v>36</v>
      </c>
      <c r="U11" s="126">
        <v>298</v>
      </c>
      <c r="V11" s="138">
        <f t="shared" si="1"/>
        <v>16</v>
      </c>
      <c r="W11" s="126">
        <v>2</v>
      </c>
      <c r="X11" s="126" t="s">
        <v>44</v>
      </c>
      <c r="Y11" s="126" t="s">
        <v>45</v>
      </c>
      <c r="Z11" s="126" t="s">
        <v>46</v>
      </c>
      <c r="AA11" s="126" t="s">
        <v>54</v>
      </c>
      <c r="AB11" s="126" t="s">
        <v>48</v>
      </c>
      <c r="AE11" s="34" t="s">
        <v>272</v>
      </c>
      <c r="AG11" s="170" t="s">
        <v>313</v>
      </c>
      <c r="AH11" s="169" t="s">
        <v>314</v>
      </c>
      <c r="AL11" s="155"/>
      <c r="AP11" s="139" t="s">
        <v>315</v>
      </c>
      <c r="AR11" s="139" t="s">
        <v>316</v>
      </c>
      <c r="AV11" s="139" t="s">
        <v>317</v>
      </c>
      <c r="AX11" s="140">
        <v>151</v>
      </c>
      <c r="AY11" s="141">
        <v>22</v>
      </c>
      <c r="AZ11" s="141">
        <v>152</v>
      </c>
      <c r="BA11" s="142">
        <v>18</v>
      </c>
    </row>
    <row r="12" spans="1:53" s="126" customFormat="1" ht="13.5" customHeight="1">
      <c r="A12" s="126" t="s">
        <v>86</v>
      </c>
      <c r="B12" s="126" t="s">
        <v>36</v>
      </c>
      <c r="C12" s="166">
        <v>2020</v>
      </c>
      <c r="D12" s="167" t="s">
        <v>287</v>
      </c>
      <c r="E12" s="126" t="s">
        <v>293</v>
      </c>
      <c r="F12" s="126" t="s">
        <v>294</v>
      </c>
      <c r="G12" s="126" t="s">
        <v>39</v>
      </c>
      <c r="H12" s="126" t="s">
        <v>40</v>
      </c>
      <c r="I12" s="126" t="s">
        <v>41</v>
      </c>
      <c r="J12" s="126" t="s">
        <v>42</v>
      </c>
      <c r="K12" s="126" t="s">
        <v>43</v>
      </c>
      <c r="L12" s="126">
        <v>2</v>
      </c>
      <c r="N12" s="126">
        <v>4</v>
      </c>
      <c r="O12" s="126">
        <v>0.4</v>
      </c>
      <c r="P12" s="126">
        <v>0.4</v>
      </c>
      <c r="Q12" s="152">
        <f t="shared" si="2"/>
        <v>0.4</v>
      </c>
      <c r="R12" s="126">
        <v>16.399999999999999</v>
      </c>
      <c r="S12" s="126">
        <v>106</v>
      </c>
      <c r="T12" s="138">
        <f t="shared" si="0"/>
        <v>33</v>
      </c>
      <c r="U12" s="126">
        <v>298</v>
      </c>
      <c r="V12" s="138">
        <f t="shared" si="1"/>
        <v>16</v>
      </c>
      <c r="W12" s="126">
        <v>2</v>
      </c>
      <c r="X12" s="126" t="s">
        <v>44</v>
      </c>
      <c r="Y12" s="126" t="s">
        <v>45</v>
      </c>
      <c r="Z12" s="126" t="s">
        <v>46</v>
      </c>
      <c r="AA12" s="126" t="s">
        <v>54</v>
      </c>
      <c r="AB12" s="126" t="s">
        <v>48</v>
      </c>
      <c r="AE12" s="34" t="s">
        <v>275</v>
      </c>
      <c r="AG12" s="139"/>
      <c r="AH12" s="171"/>
      <c r="AL12" s="155"/>
      <c r="AP12" s="139" t="s">
        <v>219</v>
      </c>
      <c r="AR12" s="139" t="s">
        <v>276</v>
      </c>
      <c r="AV12" s="139" t="s">
        <v>221</v>
      </c>
      <c r="AX12" s="148">
        <v>180</v>
      </c>
      <c r="AY12" s="149">
        <v>18</v>
      </c>
      <c r="AZ12" s="149">
        <v>181</v>
      </c>
      <c r="BA12" s="150">
        <v>16</v>
      </c>
    </row>
    <row r="13" spans="1:53" s="126" customFormat="1" ht="13.5" customHeight="1">
      <c r="A13" s="126" t="s">
        <v>86</v>
      </c>
      <c r="B13" s="126" t="s">
        <v>36</v>
      </c>
      <c r="C13" s="166">
        <v>2020</v>
      </c>
      <c r="D13" s="167" t="s">
        <v>287</v>
      </c>
      <c r="E13" s="126" t="s">
        <v>293</v>
      </c>
      <c r="F13" s="126" t="s">
        <v>294</v>
      </c>
      <c r="G13" s="126" t="s">
        <v>39</v>
      </c>
      <c r="H13" s="126" t="s">
        <v>40</v>
      </c>
      <c r="I13" s="126" t="s">
        <v>41</v>
      </c>
      <c r="J13" s="126" t="s">
        <v>42</v>
      </c>
      <c r="K13" s="126" t="s">
        <v>43</v>
      </c>
      <c r="L13" s="126">
        <v>3</v>
      </c>
      <c r="N13" s="126">
        <v>4</v>
      </c>
      <c r="O13" s="126">
        <v>0.28000000000000003</v>
      </c>
      <c r="P13" s="126">
        <v>0.32</v>
      </c>
      <c r="Q13" s="152">
        <f t="shared" si="2"/>
        <v>0.30000000000000004</v>
      </c>
      <c r="R13" s="126">
        <v>14</v>
      </c>
      <c r="S13" s="126">
        <v>97</v>
      </c>
      <c r="T13" s="138">
        <f t="shared" si="0"/>
        <v>36</v>
      </c>
      <c r="U13" s="126">
        <v>298</v>
      </c>
      <c r="V13" s="138">
        <f t="shared" si="1"/>
        <v>16</v>
      </c>
      <c r="W13" s="126">
        <v>2</v>
      </c>
      <c r="X13" s="126" t="s">
        <v>44</v>
      </c>
      <c r="Y13" s="126" t="s">
        <v>45</v>
      </c>
      <c r="Z13" s="126" t="s">
        <v>46</v>
      </c>
      <c r="AA13" s="126" t="s">
        <v>54</v>
      </c>
      <c r="AB13" s="126" t="s">
        <v>48</v>
      </c>
      <c r="AE13" s="34" t="s">
        <v>277</v>
      </c>
      <c r="AG13" s="139"/>
      <c r="AH13" s="139"/>
      <c r="AP13" s="139" t="s">
        <v>223</v>
      </c>
      <c r="AR13" s="139" t="s">
        <v>106</v>
      </c>
      <c r="AV13" s="139" t="s">
        <v>224</v>
      </c>
    </row>
    <row r="14" spans="1:53" s="126" customFormat="1" ht="13.5" customHeight="1">
      <c r="A14" s="126" t="s">
        <v>86</v>
      </c>
      <c r="B14" s="126" t="s">
        <v>36</v>
      </c>
      <c r="C14" s="166">
        <v>2020</v>
      </c>
      <c r="D14" s="167" t="s">
        <v>287</v>
      </c>
      <c r="E14" s="126" t="s">
        <v>293</v>
      </c>
      <c r="F14" s="126" t="s">
        <v>294</v>
      </c>
      <c r="G14" s="126" t="s">
        <v>39</v>
      </c>
      <c r="H14" s="126" t="s">
        <v>40</v>
      </c>
      <c r="I14" s="126" t="s">
        <v>41</v>
      </c>
      <c r="J14" s="126" t="s">
        <v>42</v>
      </c>
      <c r="K14" s="126" t="s">
        <v>43</v>
      </c>
      <c r="L14" s="126">
        <v>1</v>
      </c>
      <c r="N14" s="126">
        <v>1</v>
      </c>
      <c r="O14" s="126">
        <v>0.37</v>
      </c>
      <c r="P14" s="126">
        <v>0.34</v>
      </c>
      <c r="Q14" s="152">
        <f t="shared" si="2"/>
        <v>0.35499999999999998</v>
      </c>
      <c r="R14" s="126">
        <v>15.4</v>
      </c>
      <c r="S14" s="126">
        <v>137</v>
      </c>
      <c r="T14" s="138">
        <f>IF(H14="","",IF(OR(H14="GREEN",H14="GK"),IF(S14&gt;=$AX$2,VLOOKUP(S14,$AX$2:$AY$12,2,1),""),IF(S14&gt;=$AZ$2,VLOOKUP(S14,$AZ$2:$BA$12,2,1),"")))</f>
        <v>25</v>
      </c>
      <c r="U14" s="126">
        <v>118</v>
      </c>
      <c r="V14" s="138">
        <f t="shared" si="1"/>
        <v>30</v>
      </c>
      <c r="W14" s="126">
        <v>1</v>
      </c>
      <c r="X14" s="126" t="s">
        <v>44</v>
      </c>
      <c r="Y14" s="126" t="s">
        <v>45</v>
      </c>
      <c r="Z14" s="126" t="s">
        <v>46</v>
      </c>
      <c r="AA14" s="126" t="s">
        <v>54</v>
      </c>
      <c r="AB14" s="126" t="s">
        <v>48</v>
      </c>
      <c r="AE14" s="34" t="s">
        <v>112</v>
      </c>
      <c r="AG14" s="139"/>
      <c r="AH14" s="139"/>
      <c r="AP14" s="139" t="s">
        <v>318</v>
      </c>
      <c r="AR14" s="139" t="s">
        <v>114</v>
      </c>
      <c r="AV14" s="139" t="s">
        <v>115</v>
      </c>
    </row>
    <row r="15" spans="1:53" s="126" customFormat="1" ht="13.5" customHeight="1">
      <c r="A15" s="126" t="s">
        <v>86</v>
      </c>
      <c r="B15" s="126" t="s">
        <v>36</v>
      </c>
      <c r="C15" s="166">
        <v>2020</v>
      </c>
      <c r="D15" s="167" t="s">
        <v>287</v>
      </c>
      <c r="E15" s="126" t="s">
        <v>293</v>
      </c>
      <c r="F15" s="126" t="s">
        <v>294</v>
      </c>
      <c r="G15" s="126" t="s">
        <v>39</v>
      </c>
      <c r="H15" s="126" t="s">
        <v>40</v>
      </c>
      <c r="I15" s="126" t="s">
        <v>41</v>
      </c>
      <c r="J15" s="126" t="s">
        <v>42</v>
      </c>
      <c r="K15" s="126" t="s">
        <v>43</v>
      </c>
      <c r="L15" s="126">
        <v>2</v>
      </c>
      <c r="N15" s="126">
        <v>1</v>
      </c>
      <c r="O15" s="126">
        <v>0.57999999999999996</v>
      </c>
      <c r="P15" s="126">
        <v>0.45</v>
      </c>
      <c r="Q15" s="152">
        <f t="shared" si="2"/>
        <v>0.51500000000000001</v>
      </c>
      <c r="R15" s="126">
        <v>15</v>
      </c>
      <c r="S15" s="126">
        <v>135</v>
      </c>
      <c r="T15" s="138">
        <f t="shared" si="0"/>
        <v>25</v>
      </c>
      <c r="U15" s="126">
        <v>118</v>
      </c>
      <c r="V15" s="138">
        <f t="shared" si="1"/>
        <v>30</v>
      </c>
      <c r="W15" s="126">
        <v>1</v>
      </c>
      <c r="X15" s="126" t="s">
        <v>44</v>
      </c>
      <c r="Y15" s="126" t="s">
        <v>45</v>
      </c>
      <c r="Z15" s="126" t="s">
        <v>46</v>
      </c>
      <c r="AA15" s="126" t="s">
        <v>54</v>
      </c>
      <c r="AB15" s="126" t="s">
        <v>48</v>
      </c>
      <c r="AE15" s="34" t="s">
        <v>116</v>
      </c>
      <c r="AG15" s="139"/>
      <c r="AH15" s="139"/>
      <c r="AP15" s="139" t="s">
        <v>319</v>
      </c>
      <c r="AR15" s="139" t="s">
        <v>118</v>
      </c>
      <c r="AV15" s="139" t="s">
        <v>119</v>
      </c>
    </row>
    <row r="16" spans="1:53" s="126" customFormat="1" ht="13.5" customHeight="1">
      <c r="A16" s="126" t="s">
        <v>86</v>
      </c>
      <c r="B16" s="126" t="s">
        <v>36</v>
      </c>
      <c r="C16" s="166">
        <v>2020</v>
      </c>
      <c r="D16" s="167" t="s">
        <v>287</v>
      </c>
      <c r="E16" s="126" t="s">
        <v>293</v>
      </c>
      <c r="F16" s="126" t="s">
        <v>294</v>
      </c>
      <c r="G16" s="126" t="s">
        <v>39</v>
      </c>
      <c r="H16" s="126" t="s">
        <v>40</v>
      </c>
      <c r="I16" s="126" t="s">
        <v>41</v>
      </c>
      <c r="J16" s="126" t="s">
        <v>42</v>
      </c>
      <c r="K16" s="126" t="s">
        <v>43</v>
      </c>
      <c r="L16" s="126">
        <v>3</v>
      </c>
      <c r="N16" s="126">
        <v>1</v>
      </c>
      <c r="O16" s="126">
        <v>0.37</v>
      </c>
      <c r="P16" s="126">
        <v>0.32</v>
      </c>
      <c r="Q16" s="152">
        <f t="shared" si="2"/>
        <v>0.34499999999999997</v>
      </c>
      <c r="R16" s="126">
        <v>15.2</v>
      </c>
      <c r="S16" s="126">
        <v>130</v>
      </c>
      <c r="T16" s="138">
        <f t="shared" si="0"/>
        <v>25</v>
      </c>
      <c r="U16" s="126">
        <v>118</v>
      </c>
      <c r="V16" s="138">
        <f t="shared" si="1"/>
        <v>30</v>
      </c>
      <c r="W16" s="126">
        <v>1</v>
      </c>
      <c r="X16" s="126" t="s">
        <v>44</v>
      </c>
      <c r="Y16" s="126" t="s">
        <v>45</v>
      </c>
      <c r="Z16" s="126" t="s">
        <v>46</v>
      </c>
      <c r="AA16" s="126" t="s">
        <v>54</v>
      </c>
      <c r="AB16" s="126" t="s">
        <v>48</v>
      </c>
      <c r="AE16" s="34" t="s">
        <v>120</v>
      </c>
      <c r="AG16" s="144"/>
      <c r="AH16" s="144"/>
      <c r="AP16" s="139" t="s">
        <v>121</v>
      </c>
      <c r="AR16" s="139" t="s">
        <v>122</v>
      </c>
      <c r="AV16" s="139" t="s">
        <v>46</v>
      </c>
    </row>
    <row r="17" spans="1:48" s="126" customFormat="1" ht="13.5" customHeight="1">
      <c r="A17" s="126" t="s">
        <v>86</v>
      </c>
      <c r="B17" s="126" t="s">
        <v>36</v>
      </c>
      <c r="C17" s="166">
        <v>2020</v>
      </c>
      <c r="D17" s="167" t="s">
        <v>287</v>
      </c>
      <c r="E17" s="126" t="s">
        <v>293</v>
      </c>
      <c r="F17" s="126" t="s">
        <v>294</v>
      </c>
      <c r="G17" s="126" t="s">
        <v>39</v>
      </c>
      <c r="H17" s="126" t="s">
        <v>51</v>
      </c>
      <c r="I17" s="126" t="s">
        <v>41</v>
      </c>
      <c r="J17" s="126" t="s">
        <v>121</v>
      </c>
      <c r="K17" s="126" t="s">
        <v>297</v>
      </c>
      <c r="L17" s="126">
        <v>1</v>
      </c>
      <c r="N17" s="126">
        <v>3</v>
      </c>
      <c r="O17" s="126">
        <v>0.56000000000000005</v>
      </c>
      <c r="P17" s="126">
        <v>0.5</v>
      </c>
      <c r="Q17" s="152">
        <f t="shared" si="2"/>
        <v>0.53</v>
      </c>
      <c r="R17" s="126">
        <v>14</v>
      </c>
      <c r="S17" s="126">
        <v>156</v>
      </c>
      <c r="T17" s="138">
        <f t="shared" si="0"/>
        <v>18</v>
      </c>
      <c r="U17" s="126">
        <v>398</v>
      </c>
      <c r="V17" s="138">
        <f t="shared" si="1"/>
        <v>16</v>
      </c>
      <c r="W17" s="126">
        <v>2</v>
      </c>
      <c r="X17" s="126" t="s">
        <v>44</v>
      </c>
      <c r="Y17" s="126" t="s">
        <v>45</v>
      </c>
      <c r="Z17" s="126" t="s">
        <v>46</v>
      </c>
      <c r="AA17" s="126" t="s">
        <v>54</v>
      </c>
      <c r="AB17" s="126" t="s">
        <v>48</v>
      </c>
      <c r="AE17" s="34" t="s">
        <v>124</v>
      </c>
      <c r="AP17" s="143" t="s">
        <v>125</v>
      </c>
      <c r="AR17" s="139" t="s">
        <v>126</v>
      </c>
      <c r="AV17" s="139" t="s">
        <v>127</v>
      </c>
    </row>
    <row r="18" spans="1:48" s="126" customFormat="1" ht="13.5" customHeight="1">
      <c r="A18" s="126" t="s">
        <v>86</v>
      </c>
      <c r="B18" s="126" t="s">
        <v>36</v>
      </c>
      <c r="C18" s="166">
        <v>2020</v>
      </c>
      <c r="D18" s="167" t="s">
        <v>287</v>
      </c>
      <c r="E18" s="126" t="s">
        <v>293</v>
      </c>
      <c r="F18" s="126" t="s">
        <v>294</v>
      </c>
      <c r="G18" s="126" t="s">
        <v>39</v>
      </c>
      <c r="H18" s="126" t="s">
        <v>51</v>
      </c>
      <c r="I18" s="126" t="s">
        <v>41</v>
      </c>
      <c r="J18" s="126" t="s">
        <v>121</v>
      </c>
      <c r="K18" s="126" t="s">
        <v>297</v>
      </c>
      <c r="L18" s="126">
        <v>2</v>
      </c>
      <c r="N18" s="126">
        <v>3</v>
      </c>
      <c r="O18" s="126">
        <v>0.57999999999999996</v>
      </c>
      <c r="P18" s="126">
        <v>0.47</v>
      </c>
      <c r="Q18" s="152">
        <f t="shared" si="2"/>
        <v>0.52499999999999991</v>
      </c>
      <c r="R18" s="126">
        <v>13.1</v>
      </c>
      <c r="S18" s="126">
        <v>135</v>
      </c>
      <c r="T18" s="138">
        <f t="shared" si="0"/>
        <v>25</v>
      </c>
      <c r="U18" s="126">
        <v>398</v>
      </c>
      <c r="V18" s="138">
        <f t="shared" si="1"/>
        <v>16</v>
      </c>
      <c r="W18" s="126">
        <v>2</v>
      </c>
      <c r="X18" s="126" t="s">
        <v>44</v>
      </c>
      <c r="Y18" s="126" t="s">
        <v>45</v>
      </c>
      <c r="Z18" s="126" t="s">
        <v>46</v>
      </c>
      <c r="AA18" s="126" t="s">
        <v>54</v>
      </c>
      <c r="AB18" s="126" t="s">
        <v>48</v>
      </c>
      <c r="AE18" s="34" t="s">
        <v>128</v>
      </c>
      <c r="AP18" s="143" t="s">
        <v>320</v>
      </c>
      <c r="AR18" s="139" t="s">
        <v>130</v>
      </c>
      <c r="AV18" s="139" t="s">
        <v>131</v>
      </c>
    </row>
    <row r="19" spans="1:48" s="126" customFormat="1" ht="13.5" customHeight="1">
      <c r="A19" s="126" t="s">
        <v>86</v>
      </c>
      <c r="B19" s="126" t="s">
        <v>36</v>
      </c>
      <c r="C19" s="166">
        <v>2020</v>
      </c>
      <c r="D19" s="167" t="s">
        <v>287</v>
      </c>
      <c r="E19" s="126" t="s">
        <v>293</v>
      </c>
      <c r="F19" s="126" t="s">
        <v>294</v>
      </c>
      <c r="G19" s="126" t="s">
        <v>39</v>
      </c>
      <c r="H19" s="126" t="s">
        <v>51</v>
      </c>
      <c r="I19" s="126" t="s">
        <v>41</v>
      </c>
      <c r="J19" s="126" t="s">
        <v>121</v>
      </c>
      <c r="K19" s="126" t="s">
        <v>297</v>
      </c>
      <c r="L19" s="126">
        <v>3</v>
      </c>
      <c r="N19" s="126">
        <v>3</v>
      </c>
      <c r="O19" s="126">
        <v>0.63</v>
      </c>
      <c r="P19" s="126">
        <v>0.67</v>
      </c>
      <c r="Q19" s="152">
        <f t="shared" si="2"/>
        <v>0.65</v>
      </c>
      <c r="R19" s="126">
        <v>14.3</v>
      </c>
      <c r="S19" s="126">
        <v>146</v>
      </c>
      <c r="T19" s="138">
        <f t="shared" si="0"/>
        <v>22</v>
      </c>
      <c r="U19" s="126">
        <v>398</v>
      </c>
      <c r="V19" s="138">
        <f t="shared" si="1"/>
        <v>16</v>
      </c>
      <c r="W19" s="126">
        <v>2</v>
      </c>
      <c r="X19" s="126" t="s">
        <v>44</v>
      </c>
      <c r="Y19" s="126" t="s">
        <v>45</v>
      </c>
      <c r="Z19" s="126" t="s">
        <v>46</v>
      </c>
      <c r="AA19" s="126" t="s">
        <v>54</v>
      </c>
      <c r="AB19" s="126" t="s">
        <v>48</v>
      </c>
      <c r="AE19" s="35" t="s">
        <v>104</v>
      </c>
      <c r="AP19" s="143" t="s">
        <v>132</v>
      </c>
      <c r="AR19" s="139" t="s">
        <v>133</v>
      </c>
      <c r="AV19" s="139" t="s">
        <v>321</v>
      </c>
    </row>
    <row r="20" spans="1:48" s="126" customFormat="1" ht="13.5" customHeight="1">
      <c r="A20" s="126" t="s">
        <v>86</v>
      </c>
      <c r="B20" s="126" t="s">
        <v>36</v>
      </c>
      <c r="C20" s="166">
        <v>2020</v>
      </c>
      <c r="D20" s="167" t="s">
        <v>287</v>
      </c>
      <c r="E20" s="126" t="s">
        <v>290</v>
      </c>
      <c r="F20" s="126" t="s">
        <v>291</v>
      </c>
      <c r="G20" s="126" t="s">
        <v>39</v>
      </c>
      <c r="H20" s="126" t="s">
        <v>40</v>
      </c>
      <c r="I20" s="126" t="s">
        <v>41</v>
      </c>
      <c r="J20" s="126" t="s">
        <v>42</v>
      </c>
      <c r="K20" s="126" t="s">
        <v>43</v>
      </c>
      <c r="L20" s="126">
        <v>1</v>
      </c>
      <c r="N20" s="126">
        <v>5</v>
      </c>
      <c r="O20" s="126">
        <v>0.52</v>
      </c>
      <c r="P20" s="126">
        <v>0.45</v>
      </c>
      <c r="Q20" s="152">
        <f>IF(OR(O20="",P20=""),"",AVERAGE(O20,P20))</f>
        <v>0.48499999999999999</v>
      </c>
      <c r="R20" s="126">
        <v>13.3</v>
      </c>
      <c r="S20" s="126">
        <v>99</v>
      </c>
      <c r="T20" s="138">
        <f t="shared" si="0"/>
        <v>33</v>
      </c>
      <c r="U20" s="126">
        <v>197</v>
      </c>
      <c r="V20" s="138">
        <f t="shared" si="1"/>
        <v>16</v>
      </c>
      <c r="W20" s="126">
        <v>5</v>
      </c>
      <c r="X20" s="126" t="s">
        <v>63</v>
      </c>
      <c r="Y20" s="126" t="s">
        <v>46</v>
      </c>
      <c r="Z20" s="126" t="s">
        <v>45</v>
      </c>
      <c r="AA20" s="126" t="s">
        <v>160</v>
      </c>
      <c r="AB20" s="126" t="s">
        <v>48</v>
      </c>
      <c r="AE20" s="35"/>
      <c r="AP20" s="143" t="s">
        <v>135</v>
      </c>
      <c r="AR20" s="139" t="s">
        <v>136</v>
      </c>
      <c r="AV20" s="143" t="s">
        <v>137</v>
      </c>
    </row>
    <row r="21" spans="1:48" s="126" customFormat="1" ht="13.5" customHeight="1">
      <c r="A21" s="126" t="s">
        <v>86</v>
      </c>
      <c r="B21" s="126" t="s">
        <v>36</v>
      </c>
      <c r="C21" s="166">
        <v>2020</v>
      </c>
      <c r="D21" s="167" t="s">
        <v>287</v>
      </c>
      <c r="E21" s="126" t="s">
        <v>290</v>
      </c>
      <c r="F21" s="126" t="s">
        <v>291</v>
      </c>
      <c r="G21" s="126" t="s">
        <v>39</v>
      </c>
      <c r="H21" s="126" t="s">
        <v>40</v>
      </c>
      <c r="I21" s="126" t="s">
        <v>41</v>
      </c>
      <c r="J21" s="126" t="s">
        <v>42</v>
      </c>
      <c r="K21" s="126" t="s">
        <v>43</v>
      </c>
      <c r="L21" s="126">
        <v>2</v>
      </c>
      <c r="N21" s="126">
        <v>5</v>
      </c>
      <c r="O21" s="126">
        <v>0.22</v>
      </c>
      <c r="P21" s="126">
        <v>0.28999999999999998</v>
      </c>
      <c r="Q21" s="152">
        <f t="shared" si="2"/>
        <v>0.255</v>
      </c>
      <c r="R21" s="126">
        <v>13.2</v>
      </c>
      <c r="S21" s="126">
        <v>105</v>
      </c>
      <c r="T21" s="138">
        <f t="shared" si="0"/>
        <v>33</v>
      </c>
      <c r="U21" s="126">
        <v>197</v>
      </c>
      <c r="V21" s="138">
        <f t="shared" si="1"/>
        <v>16</v>
      </c>
      <c r="W21" s="126">
        <v>5</v>
      </c>
      <c r="X21" s="126" t="s">
        <v>63</v>
      </c>
      <c r="Y21" s="126" t="s">
        <v>46</v>
      </c>
      <c r="Z21" s="126" t="s">
        <v>45</v>
      </c>
      <c r="AA21" s="126" t="s">
        <v>160</v>
      </c>
      <c r="AB21" s="126" t="s">
        <v>48</v>
      </c>
      <c r="AE21" s="144"/>
      <c r="AP21" s="143" t="s">
        <v>322</v>
      </c>
      <c r="AR21" s="139" t="s">
        <v>139</v>
      </c>
      <c r="AV21" s="143" t="s">
        <v>140</v>
      </c>
    </row>
    <row r="22" spans="1:48" s="126" customFormat="1" ht="13.5" customHeight="1">
      <c r="A22" s="126" t="s">
        <v>86</v>
      </c>
      <c r="B22" s="126" t="s">
        <v>36</v>
      </c>
      <c r="C22" s="166">
        <v>2020</v>
      </c>
      <c r="D22" s="167" t="s">
        <v>287</v>
      </c>
      <c r="E22" s="126" t="s">
        <v>290</v>
      </c>
      <c r="F22" s="126" t="s">
        <v>291</v>
      </c>
      <c r="G22" s="126" t="s">
        <v>39</v>
      </c>
      <c r="H22" s="126" t="s">
        <v>40</v>
      </c>
      <c r="I22" s="126" t="s">
        <v>41</v>
      </c>
      <c r="J22" s="126" t="s">
        <v>42</v>
      </c>
      <c r="K22" s="126" t="s">
        <v>43</v>
      </c>
      <c r="L22" s="126">
        <v>3</v>
      </c>
      <c r="N22" s="126">
        <v>5</v>
      </c>
      <c r="O22" s="126">
        <v>0.49</v>
      </c>
      <c r="P22" s="126">
        <v>0.47</v>
      </c>
      <c r="Q22" s="152">
        <f t="shared" si="2"/>
        <v>0.48</v>
      </c>
      <c r="R22" s="126">
        <v>13.3</v>
      </c>
      <c r="S22" s="126">
        <v>102</v>
      </c>
      <c r="T22" s="138">
        <f t="shared" si="0"/>
        <v>33</v>
      </c>
      <c r="U22" s="126">
        <v>197</v>
      </c>
      <c r="V22" s="138">
        <f t="shared" si="1"/>
        <v>16</v>
      </c>
      <c r="W22" s="126">
        <v>5</v>
      </c>
      <c r="X22" s="126" t="s">
        <v>63</v>
      </c>
      <c r="Y22" s="126" t="s">
        <v>46</v>
      </c>
      <c r="Z22" s="126" t="s">
        <v>45</v>
      </c>
      <c r="AA22" s="126" t="s">
        <v>160</v>
      </c>
      <c r="AB22" s="126" t="s">
        <v>48</v>
      </c>
      <c r="AP22" s="143" t="s">
        <v>323</v>
      </c>
      <c r="AR22" s="139" t="s">
        <v>142</v>
      </c>
      <c r="AV22" s="143" t="s">
        <v>324</v>
      </c>
    </row>
    <row r="23" spans="1:48" s="126" customFormat="1" ht="13.5" customHeight="1">
      <c r="A23" s="126" t="s">
        <v>86</v>
      </c>
      <c r="B23" s="126" t="s">
        <v>36</v>
      </c>
      <c r="C23" s="166">
        <v>2020</v>
      </c>
      <c r="D23" s="167" t="s">
        <v>287</v>
      </c>
      <c r="E23" s="126" t="s">
        <v>290</v>
      </c>
      <c r="F23" s="126" t="s">
        <v>291</v>
      </c>
      <c r="G23" s="126" t="s">
        <v>39</v>
      </c>
      <c r="H23" s="126" t="s">
        <v>51</v>
      </c>
      <c r="I23" s="126" t="s">
        <v>41</v>
      </c>
      <c r="J23" s="126" t="s">
        <v>121</v>
      </c>
      <c r="K23" s="126" t="s">
        <v>297</v>
      </c>
      <c r="L23" s="126">
        <v>1</v>
      </c>
      <c r="N23" s="126">
        <v>5</v>
      </c>
      <c r="O23" s="126">
        <v>0.56999999999999995</v>
      </c>
      <c r="P23" s="126">
        <v>0.48</v>
      </c>
      <c r="Q23" s="152">
        <f t="shared" si="2"/>
        <v>0.52499999999999991</v>
      </c>
      <c r="R23" s="126">
        <v>12.1</v>
      </c>
      <c r="S23" s="126">
        <v>74</v>
      </c>
      <c r="T23" s="138">
        <f t="shared" si="0"/>
        <v>42</v>
      </c>
      <c r="U23" s="126">
        <v>297</v>
      </c>
      <c r="V23" s="138">
        <f t="shared" si="1"/>
        <v>16</v>
      </c>
      <c r="W23" s="126">
        <v>4</v>
      </c>
      <c r="X23" s="126" t="s">
        <v>63</v>
      </c>
      <c r="Y23" s="126" t="s">
        <v>46</v>
      </c>
      <c r="Z23" s="126" t="s">
        <v>45</v>
      </c>
      <c r="AA23" s="126" t="s">
        <v>160</v>
      </c>
      <c r="AB23" s="126" t="s">
        <v>48</v>
      </c>
      <c r="AP23" s="143" t="s">
        <v>325</v>
      </c>
      <c r="AR23" s="139" t="s">
        <v>88</v>
      </c>
      <c r="AV23" s="143" t="s">
        <v>326</v>
      </c>
    </row>
    <row r="24" spans="1:48" s="126" customFormat="1" ht="13.5" customHeight="1">
      <c r="A24" s="126" t="s">
        <v>86</v>
      </c>
      <c r="B24" s="126" t="s">
        <v>36</v>
      </c>
      <c r="C24" s="166">
        <v>2020</v>
      </c>
      <c r="D24" s="167" t="s">
        <v>287</v>
      </c>
      <c r="E24" s="126" t="s">
        <v>290</v>
      </c>
      <c r="F24" s="126" t="s">
        <v>291</v>
      </c>
      <c r="G24" s="126" t="s">
        <v>39</v>
      </c>
      <c r="H24" s="126" t="s">
        <v>51</v>
      </c>
      <c r="I24" s="126" t="s">
        <v>41</v>
      </c>
      <c r="J24" s="126" t="s">
        <v>121</v>
      </c>
      <c r="K24" s="126" t="s">
        <v>297</v>
      </c>
      <c r="L24" s="126">
        <v>2</v>
      </c>
      <c r="N24" s="126">
        <v>5</v>
      </c>
      <c r="O24" s="126">
        <v>0.65</v>
      </c>
      <c r="P24" s="126">
        <v>0.7</v>
      </c>
      <c r="Q24" s="152">
        <f t="shared" si="2"/>
        <v>0.67500000000000004</v>
      </c>
      <c r="R24" s="126">
        <v>11.4</v>
      </c>
      <c r="S24" s="126">
        <v>76</v>
      </c>
      <c r="T24" s="138">
        <f t="shared" si="0"/>
        <v>39</v>
      </c>
      <c r="U24" s="126">
        <v>297</v>
      </c>
      <c r="V24" s="138">
        <f t="shared" si="1"/>
        <v>16</v>
      </c>
      <c r="W24" s="126">
        <v>4</v>
      </c>
      <c r="X24" s="126" t="s">
        <v>63</v>
      </c>
      <c r="Y24" s="126" t="s">
        <v>46</v>
      </c>
      <c r="Z24" s="126" t="s">
        <v>45</v>
      </c>
      <c r="AA24" s="126" t="s">
        <v>160</v>
      </c>
      <c r="AB24" s="126" t="s">
        <v>48</v>
      </c>
      <c r="AP24" s="143" t="s">
        <v>327</v>
      </c>
      <c r="AR24" s="139" t="s">
        <v>328</v>
      </c>
      <c r="AV24" s="143" t="s">
        <v>329</v>
      </c>
    </row>
    <row r="25" spans="1:48" s="126" customFormat="1" ht="13.5" customHeight="1">
      <c r="A25" s="126" t="s">
        <v>86</v>
      </c>
      <c r="B25" s="126" t="s">
        <v>36</v>
      </c>
      <c r="C25" s="166">
        <v>2020</v>
      </c>
      <c r="D25" s="167" t="s">
        <v>287</v>
      </c>
      <c r="E25" s="126" t="s">
        <v>290</v>
      </c>
      <c r="F25" s="126" t="s">
        <v>291</v>
      </c>
      <c r="G25" s="126" t="s">
        <v>39</v>
      </c>
      <c r="H25" s="126" t="s">
        <v>51</v>
      </c>
      <c r="I25" s="126" t="s">
        <v>41</v>
      </c>
      <c r="J25" s="126" t="s">
        <v>121</v>
      </c>
      <c r="K25" s="126" t="s">
        <v>297</v>
      </c>
      <c r="L25" s="126">
        <v>3</v>
      </c>
      <c r="N25" s="126">
        <v>5</v>
      </c>
      <c r="O25" s="126">
        <v>0.51</v>
      </c>
      <c r="P25" s="126">
        <v>0.51</v>
      </c>
      <c r="Q25" s="152">
        <f t="shared" si="2"/>
        <v>0.51</v>
      </c>
      <c r="R25" s="126">
        <v>13.9</v>
      </c>
      <c r="S25" s="126">
        <v>115</v>
      </c>
      <c r="T25" s="138">
        <f t="shared" si="0"/>
        <v>30</v>
      </c>
      <c r="U25" s="126">
        <v>297</v>
      </c>
      <c r="V25" s="138">
        <f t="shared" si="1"/>
        <v>16</v>
      </c>
      <c r="W25" s="126">
        <v>4</v>
      </c>
      <c r="X25" s="126" t="s">
        <v>63</v>
      </c>
      <c r="Y25" s="126" t="s">
        <v>46</v>
      </c>
      <c r="Z25" s="126" t="s">
        <v>45</v>
      </c>
      <c r="AA25" s="126" t="s">
        <v>160</v>
      </c>
      <c r="AB25" s="126" t="s">
        <v>48</v>
      </c>
      <c r="AP25" s="143" t="s">
        <v>330</v>
      </c>
      <c r="AR25" s="143" t="s">
        <v>331</v>
      </c>
      <c r="AV25" s="143" t="s">
        <v>332</v>
      </c>
    </row>
    <row r="26" spans="1:48" s="126" customFormat="1" ht="13.5" customHeight="1">
      <c r="A26" s="126" t="s">
        <v>86</v>
      </c>
      <c r="B26" s="126" t="s">
        <v>36</v>
      </c>
      <c r="C26" s="166">
        <v>2020</v>
      </c>
      <c r="D26" s="167" t="s">
        <v>287</v>
      </c>
      <c r="E26" s="126" t="s">
        <v>290</v>
      </c>
      <c r="F26" s="126" t="s">
        <v>291</v>
      </c>
      <c r="G26" s="126" t="s">
        <v>39</v>
      </c>
      <c r="H26" s="126" t="s">
        <v>59</v>
      </c>
      <c r="I26" s="126" t="s">
        <v>41</v>
      </c>
      <c r="J26" s="126" t="s">
        <v>121</v>
      </c>
      <c r="K26" s="126" t="s">
        <v>122</v>
      </c>
      <c r="L26" s="126">
        <v>1</v>
      </c>
      <c r="N26" s="126">
        <v>4</v>
      </c>
      <c r="O26" s="126">
        <v>0.44</v>
      </c>
      <c r="P26" s="126">
        <v>0.41</v>
      </c>
      <c r="Q26" s="152">
        <f t="shared" si="2"/>
        <v>0.42499999999999999</v>
      </c>
      <c r="R26" s="126">
        <v>15.2</v>
      </c>
      <c r="S26" s="126">
        <v>84</v>
      </c>
      <c r="T26" s="138">
        <f t="shared" si="0"/>
        <v>36</v>
      </c>
      <c r="U26" s="126">
        <v>397</v>
      </c>
      <c r="V26" s="138">
        <f t="shared" si="1"/>
        <v>16</v>
      </c>
      <c r="W26" s="126">
        <v>1</v>
      </c>
      <c r="X26" s="126" t="s">
        <v>44</v>
      </c>
      <c r="Y26" s="126" t="s">
        <v>46</v>
      </c>
      <c r="Z26" s="126" t="s">
        <v>45</v>
      </c>
      <c r="AA26" s="126" t="s">
        <v>160</v>
      </c>
      <c r="AB26" s="126" t="s">
        <v>48</v>
      </c>
      <c r="AP26" s="143" t="s">
        <v>145</v>
      </c>
      <c r="AR26" s="143" t="s">
        <v>333</v>
      </c>
      <c r="AV26" s="143"/>
    </row>
    <row r="27" spans="1:48" s="126" customFormat="1" ht="13.5" customHeight="1">
      <c r="A27" s="126" t="s">
        <v>86</v>
      </c>
      <c r="B27" s="126" t="s">
        <v>36</v>
      </c>
      <c r="C27" s="166">
        <v>2020</v>
      </c>
      <c r="D27" s="167" t="s">
        <v>287</v>
      </c>
      <c r="E27" s="126" t="s">
        <v>290</v>
      </c>
      <c r="F27" s="126" t="s">
        <v>291</v>
      </c>
      <c r="G27" s="126" t="s">
        <v>39</v>
      </c>
      <c r="H27" s="126" t="s">
        <v>59</v>
      </c>
      <c r="I27" s="126" t="s">
        <v>41</v>
      </c>
      <c r="J27" s="126" t="s">
        <v>121</v>
      </c>
      <c r="K27" s="126" t="s">
        <v>122</v>
      </c>
      <c r="L27" s="126">
        <v>2</v>
      </c>
      <c r="N27" s="126">
        <v>4</v>
      </c>
      <c r="O27" s="126">
        <v>0.27</v>
      </c>
      <c r="P27" s="126">
        <v>0.27</v>
      </c>
      <c r="Q27" s="152">
        <f t="shared" si="2"/>
        <v>0.27</v>
      </c>
      <c r="R27" s="126">
        <v>14.8</v>
      </c>
      <c r="S27" s="126">
        <v>81</v>
      </c>
      <c r="T27" s="138">
        <f>IF(H27="","",IF(OR(H27="GREEN",H27="GK"),IF(S27&gt;=$AX$2,VLOOKUP(S27,$AX$2:$AY$12,2,1),""),IF(S27&gt;=$AZ$2,VLOOKUP(S27,$AZ$2:$BA$12,2,1),"")))</f>
        <v>39</v>
      </c>
      <c r="U27" s="126">
        <v>397</v>
      </c>
      <c r="V27" s="138">
        <f t="shared" si="1"/>
        <v>16</v>
      </c>
      <c r="W27" s="126">
        <v>1</v>
      </c>
      <c r="X27" s="126" t="s">
        <v>44</v>
      </c>
      <c r="Y27" s="126" t="s">
        <v>46</v>
      </c>
      <c r="Z27" s="126" t="s">
        <v>45</v>
      </c>
      <c r="AA27" s="126" t="s">
        <v>160</v>
      </c>
      <c r="AB27" s="126" t="s">
        <v>48</v>
      </c>
      <c r="AP27" s="143" t="s">
        <v>146</v>
      </c>
      <c r="AR27" s="139" t="s">
        <v>123</v>
      </c>
      <c r="AV27" s="143"/>
    </row>
    <row r="28" spans="1:48" s="126" customFormat="1" ht="13.5" customHeight="1">
      <c r="A28" s="126" t="s">
        <v>86</v>
      </c>
      <c r="B28" s="126" t="s">
        <v>36</v>
      </c>
      <c r="C28" s="166">
        <v>2020</v>
      </c>
      <c r="D28" s="167" t="s">
        <v>287</v>
      </c>
      <c r="E28" s="126" t="s">
        <v>290</v>
      </c>
      <c r="F28" s="126" t="s">
        <v>291</v>
      </c>
      <c r="G28" s="126" t="s">
        <v>39</v>
      </c>
      <c r="H28" s="126" t="s">
        <v>59</v>
      </c>
      <c r="I28" s="126" t="s">
        <v>41</v>
      </c>
      <c r="J28" s="126" t="s">
        <v>121</v>
      </c>
      <c r="K28" s="126" t="s">
        <v>122</v>
      </c>
      <c r="L28" s="126">
        <v>3</v>
      </c>
      <c r="N28" s="126">
        <v>4</v>
      </c>
      <c r="O28" s="126">
        <v>0.4</v>
      </c>
      <c r="P28" s="126">
        <v>0.42</v>
      </c>
      <c r="Q28" s="152">
        <f t="shared" si="2"/>
        <v>0.41000000000000003</v>
      </c>
      <c r="R28" s="126">
        <v>13.8</v>
      </c>
      <c r="S28" s="126">
        <v>83</v>
      </c>
      <c r="T28" s="138">
        <f t="shared" si="0"/>
        <v>39</v>
      </c>
      <c r="U28" s="126">
        <v>397</v>
      </c>
      <c r="V28" s="138">
        <f t="shared" si="1"/>
        <v>16</v>
      </c>
      <c r="W28" s="126">
        <v>1</v>
      </c>
      <c r="X28" s="126" t="s">
        <v>44</v>
      </c>
      <c r="Y28" s="126" t="s">
        <v>46</v>
      </c>
      <c r="Z28" s="126" t="s">
        <v>45</v>
      </c>
      <c r="AA28" s="126" t="s">
        <v>160</v>
      </c>
      <c r="AB28" s="126" t="s">
        <v>48</v>
      </c>
      <c r="AP28" s="143" t="s">
        <v>148</v>
      </c>
      <c r="AR28" s="139" t="s">
        <v>147</v>
      </c>
      <c r="AV28" s="143"/>
    </row>
    <row r="29" spans="1:48" s="126" customFormat="1" ht="13.5" customHeight="1">
      <c r="A29" s="126" t="s">
        <v>86</v>
      </c>
      <c r="B29" s="126" t="s">
        <v>36</v>
      </c>
      <c r="C29" s="166">
        <v>2020</v>
      </c>
      <c r="D29" s="167" t="s">
        <v>287</v>
      </c>
      <c r="E29" s="126" t="s">
        <v>300</v>
      </c>
      <c r="F29" s="126" t="s">
        <v>301</v>
      </c>
      <c r="G29" s="126" t="s">
        <v>39</v>
      </c>
      <c r="H29" s="126" t="s">
        <v>40</v>
      </c>
      <c r="I29" s="126" t="s">
        <v>41</v>
      </c>
      <c r="J29" s="126" t="s">
        <v>42</v>
      </c>
      <c r="K29" s="126" t="s">
        <v>43</v>
      </c>
      <c r="L29" s="126">
        <v>1</v>
      </c>
      <c r="N29" s="126">
        <v>4</v>
      </c>
      <c r="O29" s="126">
        <v>0.38</v>
      </c>
      <c r="P29" s="126">
        <v>0.31</v>
      </c>
      <c r="Q29" s="152">
        <f t="shared" si="2"/>
        <v>0.34499999999999997</v>
      </c>
      <c r="R29" s="126">
        <v>16.2</v>
      </c>
      <c r="S29" s="126">
        <v>104</v>
      </c>
      <c r="T29" s="138">
        <f>IF(H29="","",IF(OR(H29="GREEN",H29="GK"),IF(S29&gt;=$AX$2,VLOOKUP(S29,$AX$2:$AY$12,2,1),""),IF(S29&gt;=$AZ$2,VLOOKUP(S29,$AZ$2:$BA$12,2,1),"")))</f>
        <v>33</v>
      </c>
      <c r="U29" s="126">
        <v>199</v>
      </c>
      <c r="V29" s="138">
        <f t="shared" si="1"/>
        <v>16</v>
      </c>
      <c r="W29" s="126">
        <v>4</v>
      </c>
      <c r="X29" s="126" t="s">
        <v>44</v>
      </c>
      <c r="Y29" s="126" t="s">
        <v>46</v>
      </c>
      <c r="Z29" s="126" t="s">
        <v>45</v>
      </c>
      <c r="AA29" s="126" t="s">
        <v>54</v>
      </c>
      <c r="AB29" s="126" t="s">
        <v>48</v>
      </c>
      <c r="AP29" s="143" t="s">
        <v>150</v>
      </c>
      <c r="AR29" s="139" t="s">
        <v>149</v>
      </c>
      <c r="AV29" s="143"/>
    </row>
    <row r="30" spans="1:48" s="126" customFormat="1" ht="13.5" customHeight="1">
      <c r="A30" s="126" t="s">
        <v>86</v>
      </c>
      <c r="B30" s="126" t="s">
        <v>36</v>
      </c>
      <c r="C30" s="166">
        <v>2020</v>
      </c>
      <c r="D30" s="167" t="s">
        <v>287</v>
      </c>
      <c r="E30" s="126" t="s">
        <v>300</v>
      </c>
      <c r="F30" s="126" t="s">
        <v>301</v>
      </c>
      <c r="G30" s="126" t="s">
        <v>39</v>
      </c>
      <c r="H30" s="126" t="s">
        <v>40</v>
      </c>
      <c r="I30" s="126" t="s">
        <v>41</v>
      </c>
      <c r="J30" s="126" t="s">
        <v>42</v>
      </c>
      <c r="K30" s="126" t="s">
        <v>43</v>
      </c>
      <c r="L30" s="126">
        <v>2</v>
      </c>
      <c r="N30" s="126">
        <v>4</v>
      </c>
      <c r="O30" s="126">
        <v>0.38</v>
      </c>
      <c r="P30" s="126">
        <v>0.41</v>
      </c>
      <c r="Q30" s="152">
        <f t="shared" si="2"/>
        <v>0.39500000000000002</v>
      </c>
      <c r="R30" s="126">
        <v>16.600000000000001</v>
      </c>
      <c r="S30" s="126">
        <v>100</v>
      </c>
      <c r="T30" s="138">
        <f>IF(H30="","",IF(OR(H30="GREEN",H30="GK"),IF(S30&gt;=$AX$2,VLOOKUP(S30,$AX$2:$AY$12,2,1),""),IF(S30&gt;=$AZ$2,VLOOKUP(S30,$AZ$2:$BA$12,2,1),"")))</f>
        <v>33</v>
      </c>
      <c r="U30" s="126">
        <v>199</v>
      </c>
      <c r="V30" s="138">
        <f t="shared" si="1"/>
        <v>16</v>
      </c>
      <c r="W30" s="126">
        <v>4</v>
      </c>
      <c r="X30" s="126" t="s">
        <v>44</v>
      </c>
      <c r="Y30" s="126" t="s">
        <v>46</v>
      </c>
      <c r="Z30" s="126" t="s">
        <v>45</v>
      </c>
      <c r="AA30" s="126" t="s">
        <v>54</v>
      </c>
      <c r="AB30" s="126" t="s">
        <v>48</v>
      </c>
      <c r="AR30" s="144"/>
      <c r="AV30" s="143"/>
    </row>
    <row r="31" spans="1:48" s="126" customFormat="1" ht="13.5" customHeight="1">
      <c r="A31" s="126" t="s">
        <v>86</v>
      </c>
      <c r="B31" s="126" t="s">
        <v>36</v>
      </c>
      <c r="C31" s="166">
        <v>2020</v>
      </c>
      <c r="D31" s="167" t="s">
        <v>287</v>
      </c>
      <c r="E31" s="126" t="s">
        <v>300</v>
      </c>
      <c r="F31" s="126" t="s">
        <v>301</v>
      </c>
      <c r="G31" s="126" t="s">
        <v>39</v>
      </c>
      <c r="H31" s="126" t="s">
        <v>40</v>
      </c>
      <c r="I31" s="126" t="s">
        <v>41</v>
      </c>
      <c r="J31" s="126" t="s">
        <v>42</v>
      </c>
      <c r="K31" s="126" t="s">
        <v>43</v>
      </c>
      <c r="L31" s="126">
        <v>3</v>
      </c>
      <c r="N31" s="126">
        <v>4</v>
      </c>
      <c r="O31" s="126">
        <v>0.38</v>
      </c>
      <c r="P31" s="126">
        <v>0.43</v>
      </c>
      <c r="Q31" s="152">
        <f t="shared" si="2"/>
        <v>0.40500000000000003</v>
      </c>
      <c r="R31" s="126">
        <v>16.899999999999999</v>
      </c>
      <c r="S31" s="126">
        <v>104</v>
      </c>
      <c r="T31" s="138">
        <f>IF(H31="","",IF(OR(H31="GREEN",H31="GK"),IF(S31&gt;=$AX$2,VLOOKUP(S31,$AX$2:$AY$12,2,1),""),IF(S31&gt;=$AZ$2,VLOOKUP(S31,$AZ$2:$BA$12,2,1),"")))</f>
        <v>33</v>
      </c>
      <c r="U31" s="126">
        <v>199</v>
      </c>
      <c r="V31" s="138">
        <f t="shared" si="1"/>
        <v>16</v>
      </c>
      <c r="W31" s="126">
        <v>4</v>
      </c>
      <c r="X31" s="126" t="s">
        <v>44</v>
      </c>
      <c r="Y31" s="126" t="s">
        <v>46</v>
      </c>
      <c r="Z31" s="126" t="s">
        <v>45</v>
      </c>
      <c r="AA31" s="126" t="s">
        <v>54</v>
      </c>
      <c r="AB31" s="126" t="s">
        <v>48</v>
      </c>
      <c r="AV31" s="143"/>
    </row>
    <row r="32" spans="1:48" s="126" customFormat="1" ht="13.5" customHeight="1">
      <c r="A32" s="126" t="s">
        <v>86</v>
      </c>
      <c r="B32" s="126" t="s">
        <v>36</v>
      </c>
      <c r="C32" s="166">
        <v>2020</v>
      </c>
      <c r="D32" s="167" t="s">
        <v>287</v>
      </c>
      <c r="E32" s="126" t="s">
        <v>300</v>
      </c>
      <c r="F32" s="126" t="s">
        <v>301</v>
      </c>
      <c r="G32" s="126" t="s">
        <v>39</v>
      </c>
      <c r="H32" s="126" t="s">
        <v>40</v>
      </c>
      <c r="I32" s="126" t="s">
        <v>41</v>
      </c>
      <c r="J32" s="126" t="s">
        <v>42</v>
      </c>
      <c r="K32" s="126" t="s">
        <v>43</v>
      </c>
      <c r="L32" s="126">
        <v>1</v>
      </c>
      <c r="N32" s="126">
        <v>1</v>
      </c>
      <c r="O32" s="126">
        <v>0.25</v>
      </c>
      <c r="P32" s="126">
        <v>0.25</v>
      </c>
      <c r="Q32" s="152">
        <f t="shared" si="2"/>
        <v>0.25</v>
      </c>
      <c r="R32" s="126">
        <v>14.4</v>
      </c>
      <c r="S32" s="126">
        <v>124</v>
      </c>
      <c r="T32" s="138">
        <f t="shared" si="0"/>
        <v>27</v>
      </c>
      <c r="U32" s="126">
        <v>159</v>
      </c>
      <c r="V32" s="138">
        <f t="shared" si="1"/>
        <v>18</v>
      </c>
      <c r="W32" s="126">
        <v>2</v>
      </c>
      <c r="X32" s="126" t="s">
        <v>44</v>
      </c>
      <c r="Y32" s="126" t="s">
        <v>46</v>
      </c>
      <c r="Z32" s="126" t="s">
        <v>45</v>
      </c>
      <c r="AA32" s="126" t="s">
        <v>54</v>
      </c>
      <c r="AB32" s="126" t="s">
        <v>48</v>
      </c>
      <c r="AV32" s="143"/>
    </row>
    <row r="33" spans="1:48" s="126" customFormat="1" ht="13.5" customHeight="1">
      <c r="A33" s="126" t="s">
        <v>86</v>
      </c>
      <c r="B33" s="126" t="s">
        <v>36</v>
      </c>
      <c r="C33" s="166">
        <v>2020</v>
      </c>
      <c r="D33" s="167" t="s">
        <v>287</v>
      </c>
      <c r="E33" s="126" t="s">
        <v>300</v>
      </c>
      <c r="F33" s="126" t="s">
        <v>301</v>
      </c>
      <c r="G33" s="126" t="s">
        <v>39</v>
      </c>
      <c r="H33" s="126" t="s">
        <v>40</v>
      </c>
      <c r="I33" s="126" t="s">
        <v>41</v>
      </c>
      <c r="J33" s="126" t="s">
        <v>42</v>
      </c>
      <c r="K33" s="126" t="s">
        <v>43</v>
      </c>
      <c r="L33" s="126">
        <v>2</v>
      </c>
      <c r="N33" s="126">
        <v>1</v>
      </c>
      <c r="O33" s="126">
        <v>0.44</v>
      </c>
      <c r="P33" s="126">
        <v>0.35</v>
      </c>
      <c r="Q33" s="152">
        <f t="shared" si="2"/>
        <v>0.39500000000000002</v>
      </c>
      <c r="R33" s="126">
        <v>15.4</v>
      </c>
      <c r="S33" s="126">
        <v>121</v>
      </c>
      <c r="T33" s="138">
        <f>IF(H33="","",IF(OR(H33="GREEN",H33="GK"),IF(S33&gt;=$AX$2,VLOOKUP(S33,$AX$2:$AY$12,2,1),""),IF(S33&gt;=$AZ$2,VLOOKUP(S33,$AZ$2:$BA$12,2,1),"")))</f>
        <v>27</v>
      </c>
      <c r="U33" s="126">
        <v>159</v>
      </c>
      <c r="V33" s="138">
        <f t="shared" si="1"/>
        <v>18</v>
      </c>
      <c r="W33" s="126">
        <v>2</v>
      </c>
      <c r="X33" s="126" t="s">
        <v>44</v>
      </c>
      <c r="Y33" s="126" t="s">
        <v>46</v>
      </c>
      <c r="Z33" s="126" t="s">
        <v>45</v>
      </c>
      <c r="AA33" s="126" t="s">
        <v>54</v>
      </c>
      <c r="AB33" s="126" t="s">
        <v>48</v>
      </c>
      <c r="AV33" s="143"/>
    </row>
    <row r="34" spans="1:48" s="126" customFormat="1" ht="13.5" customHeight="1">
      <c r="A34" s="126" t="s">
        <v>86</v>
      </c>
      <c r="B34" s="126" t="s">
        <v>36</v>
      </c>
      <c r="C34" s="166">
        <v>2020</v>
      </c>
      <c r="D34" s="167" t="s">
        <v>287</v>
      </c>
      <c r="E34" s="126" t="s">
        <v>300</v>
      </c>
      <c r="F34" s="126" t="s">
        <v>301</v>
      </c>
      <c r="G34" s="126" t="s">
        <v>39</v>
      </c>
      <c r="H34" s="126" t="s">
        <v>40</v>
      </c>
      <c r="I34" s="126" t="s">
        <v>41</v>
      </c>
      <c r="J34" s="126" t="s">
        <v>42</v>
      </c>
      <c r="K34" s="126" t="s">
        <v>43</v>
      </c>
      <c r="L34" s="126">
        <v>3</v>
      </c>
      <c r="N34" s="126">
        <v>1</v>
      </c>
      <c r="O34" s="126">
        <v>0.28999999999999998</v>
      </c>
      <c r="P34" s="126">
        <v>0.27</v>
      </c>
      <c r="Q34" s="152">
        <f t="shared" si="2"/>
        <v>0.28000000000000003</v>
      </c>
      <c r="R34" s="126">
        <v>15.6</v>
      </c>
      <c r="S34" s="126">
        <v>130</v>
      </c>
      <c r="T34" s="138">
        <f>IF(H34="","",IF(OR(H34="GREEN",H34="GK"),IF(S34&gt;=$AX$2,VLOOKUP(S34,$AX$2:$AY$12,2,1),""),IF(S34&gt;=$AZ$2,VLOOKUP(S34,$AZ$2:$BA$12,2,1),"")))</f>
        <v>25</v>
      </c>
      <c r="U34" s="126">
        <v>159</v>
      </c>
      <c r="V34" s="138">
        <f t="shared" si="1"/>
        <v>18</v>
      </c>
      <c r="W34" s="126">
        <v>2</v>
      </c>
      <c r="X34" s="126" t="s">
        <v>44</v>
      </c>
      <c r="Y34" s="126" t="s">
        <v>46</v>
      </c>
      <c r="Z34" s="126" t="s">
        <v>45</v>
      </c>
      <c r="AA34" s="126" t="s">
        <v>54</v>
      </c>
      <c r="AB34" s="126" t="s">
        <v>48</v>
      </c>
      <c r="AV34" s="143"/>
    </row>
    <row r="35" spans="1:48" s="126" customFormat="1" ht="13.5" customHeight="1">
      <c r="A35" s="126" t="s">
        <v>86</v>
      </c>
      <c r="B35" s="126" t="s">
        <v>36</v>
      </c>
      <c r="C35" s="166">
        <v>2020</v>
      </c>
      <c r="D35" s="167" t="s">
        <v>287</v>
      </c>
      <c r="E35" s="126" t="s">
        <v>312</v>
      </c>
      <c r="F35" s="126" t="s">
        <v>301</v>
      </c>
      <c r="G35" s="126" t="s">
        <v>39</v>
      </c>
      <c r="H35" s="126" t="s">
        <v>40</v>
      </c>
      <c r="I35" s="126" t="s">
        <v>41</v>
      </c>
      <c r="J35" s="126" t="s">
        <v>42</v>
      </c>
      <c r="K35" s="126" t="s">
        <v>43</v>
      </c>
      <c r="L35" s="126">
        <v>1</v>
      </c>
      <c r="N35" s="126">
        <v>4</v>
      </c>
      <c r="O35" s="126">
        <v>0.33</v>
      </c>
      <c r="P35" s="126">
        <v>0.3</v>
      </c>
      <c r="Q35" s="152">
        <f t="shared" si="2"/>
        <v>0.315</v>
      </c>
      <c r="R35" s="126">
        <v>16</v>
      </c>
      <c r="S35" s="126">
        <v>100</v>
      </c>
      <c r="T35" s="138">
        <f t="shared" si="0"/>
        <v>33</v>
      </c>
      <c r="U35" s="126">
        <v>398</v>
      </c>
      <c r="V35" s="138">
        <f t="shared" si="1"/>
        <v>16</v>
      </c>
      <c r="W35" s="126">
        <v>1</v>
      </c>
      <c r="X35" s="126" t="s">
        <v>63</v>
      </c>
      <c r="Y35" s="126" t="s">
        <v>46</v>
      </c>
      <c r="Z35" s="126" t="s">
        <v>54</v>
      </c>
      <c r="AA35" s="126" t="s">
        <v>45</v>
      </c>
      <c r="AB35" s="126" t="s">
        <v>48</v>
      </c>
      <c r="AV35" s="143"/>
    </row>
    <row r="36" spans="1:48" s="126" customFormat="1" ht="13.5" customHeight="1">
      <c r="A36" s="126" t="s">
        <v>86</v>
      </c>
      <c r="B36" s="126" t="s">
        <v>36</v>
      </c>
      <c r="C36" s="166">
        <v>2020</v>
      </c>
      <c r="D36" s="167" t="s">
        <v>287</v>
      </c>
      <c r="E36" s="126" t="s">
        <v>312</v>
      </c>
      <c r="F36" s="126" t="s">
        <v>301</v>
      </c>
      <c r="G36" s="126" t="s">
        <v>39</v>
      </c>
      <c r="H36" s="126" t="s">
        <v>40</v>
      </c>
      <c r="I36" s="126" t="s">
        <v>41</v>
      </c>
      <c r="J36" s="126" t="s">
        <v>42</v>
      </c>
      <c r="K36" s="126" t="s">
        <v>43</v>
      </c>
      <c r="L36" s="126">
        <v>2</v>
      </c>
      <c r="N36" s="126">
        <v>4</v>
      </c>
      <c r="O36" s="126">
        <v>0.59</v>
      </c>
      <c r="P36" s="126">
        <v>0.74</v>
      </c>
      <c r="Q36" s="152">
        <f t="shared" si="2"/>
        <v>0.66500000000000004</v>
      </c>
      <c r="R36" s="126">
        <v>14.8</v>
      </c>
      <c r="S36" s="126">
        <v>104</v>
      </c>
      <c r="T36" s="138">
        <f t="shared" si="0"/>
        <v>33</v>
      </c>
      <c r="U36" s="126">
        <v>398</v>
      </c>
      <c r="V36" s="138">
        <f t="shared" si="1"/>
        <v>16</v>
      </c>
      <c r="W36" s="126">
        <v>1</v>
      </c>
      <c r="X36" s="126" t="s">
        <v>63</v>
      </c>
      <c r="Y36" s="126" t="s">
        <v>46</v>
      </c>
      <c r="Z36" s="126" t="s">
        <v>54</v>
      </c>
      <c r="AA36" s="126" t="s">
        <v>45</v>
      </c>
      <c r="AB36" s="126" t="s">
        <v>48</v>
      </c>
      <c r="AV36" s="143"/>
    </row>
    <row r="37" spans="1:48" s="126" customFormat="1" ht="13.5" customHeight="1">
      <c r="A37" s="126" t="s">
        <v>86</v>
      </c>
      <c r="B37" s="126" t="s">
        <v>36</v>
      </c>
      <c r="C37" s="166">
        <v>2020</v>
      </c>
      <c r="D37" s="167" t="s">
        <v>287</v>
      </c>
      <c r="E37" s="126" t="s">
        <v>312</v>
      </c>
      <c r="F37" s="126" t="s">
        <v>301</v>
      </c>
      <c r="G37" s="126" t="s">
        <v>39</v>
      </c>
      <c r="H37" s="126" t="s">
        <v>40</v>
      </c>
      <c r="I37" s="126" t="s">
        <v>41</v>
      </c>
      <c r="J37" s="126" t="s">
        <v>42</v>
      </c>
      <c r="K37" s="126" t="s">
        <v>43</v>
      </c>
      <c r="L37" s="126">
        <v>3</v>
      </c>
      <c r="N37" s="126">
        <v>4</v>
      </c>
      <c r="O37" s="126">
        <v>0.64</v>
      </c>
      <c r="P37" s="126">
        <v>0.65</v>
      </c>
      <c r="Q37" s="152">
        <f t="shared" si="2"/>
        <v>0.64500000000000002</v>
      </c>
      <c r="R37" s="126">
        <v>14.6</v>
      </c>
      <c r="S37" s="126">
        <v>101</v>
      </c>
      <c r="T37" s="138">
        <f t="shared" si="0"/>
        <v>33</v>
      </c>
      <c r="U37" s="126">
        <v>398</v>
      </c>
      <c r="V37" s="138">
        <f t="shared" si="1"/>
        <v>16</v>
      </c>
      <c r="W37" s="126">
        <v>1</v>
      </c>
      <c r="X37" s="126" t="s">
        <v>63</v>
      </c>
      <c r="Y37" s="126" t="s">
        <v>46</v>
      </c>
      <c r="Z37" s="126" t="s">
        <v>54</v>
      </c>
      <c r="AA37" s="126" t="s">
        <v>45</v>
      </c>
      <c r="AB37" s="126" t="s">
        <v>48</v>
      </c>
      <c r="AV37" s="143"/>
    </row>
    <row r="38" spans="1:48" s="126" customFormat="1" ht="13.5" customHeight="1">
      <c r="A38" s="126" t="s">
        <v>86</v>
      </c>
      <c r="B38" s="126" t="s">
        <v>36</v>
      </c>
      <c r="C38" s="166">
        <v>2020</v>
      </c>
      <c r="D38" s="167" t="s">
        <v>287</v>
      </c>
      <c r="E38" s="126" t="s">
        <v>312</v>
      </c>
      <c r="F38" s="126" t="s">
        <v>301</v>
      </c>
      <c r="G38" s="126" t="s">
        <v>39</v>
      </c>
      <c r="H38" s="126" t="s">
        <v>59</v>
      </c>
      <c r="I38" s="126" t="s">
        <v>41</v>
      </c>
      <c r="J38" s="126" t="s">
        <v>121</v>
      </c>
      <c r="K38" s="126" t="s">
        <v>299</v>
      </c>
      <c r="L38" s="126">
        <v>1</v>
      </c>
      <c r="N38" s="126">
        <v>4</v>
      </c>
      <c r="O38" s="126">
        <v>0.5</v>
      </c>
      <c r="P38" s="126">
        <v>0.43</v>
      </c>
      <c r="Q38" s="152">
        <f t="shared" si="2"/>
        <v>0.46499999999999997</v>
      </c>
      <c r="R38" s="126">
        <v>14.1</v>
      </c>
      <c r="S38" s="126">
        <v>94</v>
      </c>
      <c r="T38" s="138">
        <f>IF(H38="","",IF(OR(H38="GREEN",H38="GK"),IF(S38&gt;=$AX$2,VLOOKUP(S38,$AX$2:$AY$12,2,1),""),IF(S38&gt;=$AZ$2,VLOOKUP(S38,$AZ$2:$BA$12,2,1),"")))</f>
        <v>36</v>
      </c>
      <c r="U38" s="126">
        <v>498</v>
      </c>
      <c r="V38" s="138">
        <f t="shared" si="1"/>
        <v>16</v>
      </c>
      <c r="W38" s="126">
        <v>1</v>
      </c>
      <c r="X38" s="126" t="s">
        <v>63</v>
      </c>
      <c r="Y38" s="126" t="s">
        <v>46</v>
      </c>
      <c r="Z38" s="126" t="s">
        <v>54</v>
      </c>
      <c r="AA38" s="126" t="s">
        <v>45</v>
      </c>
      <c r="AB38" s="126" t="s">
        <v>48</v>
      </c>
      <c r="AV38" s="144"/>
    </row>
    <row r="39" spans="1:48" s="126" customFormat="1" ht="13.5" customHeight="1">
      <c r="A39" s="126" t="s">
        <v>86</v>
      </c>
      <c r="B39" s="126" t="s">
        <v>36</v>
      </c>
      <c r="C39" s="166">
        <v>2020</v>
      </c>
      <c r="D39" s="167" t="s">
        <v>287</v>
      </c>
      <c r="E39" s="126" t="s">
        <v>312</v>
      </c>
      <c r="F39" s="126" t="s">
        <v>301</v>
      </c>
      <c r="G39" s="126" t="s">
        <v>39</v>
      </c>
      <c r="H39" s="126" t="s">
        <v>59</v>
      </c>
      <c r="I39" s="126" t="s">
        <v>41</v>
      </c>
      <c r="J39" s="126" t="s">
        <v>121</v>
      </c>
      <c r="K39" s="126" t="s">
        <v>299</v>
      </c>
      <c r="L39" s="126">
        <v>2</v>
      </c>
      <c r="N39" s="126">
        <v>4</v>
      </c>
      <c r="O39" s="126">
        <v>0.39</v>
      </c>
      <c r="P39" s="126">
        <v>0.32</v>
      </c>
      <c r="Q39" s="152">
        <f t="shared" si="2"/>
        <v>0.35499999999999998</v>
      </c>
      <c r="R39" s="126">
        <v>14.2</v>
      </c>
      <c r="S39" s="126">
        <v>95</v>
      </c>
      <c r="T39" s="138">
        <f t="shared" si="0"/>
        <v>36</v>
      </c>
      <c r="U39" s="126">
        <v>498</v>
      </c>
      <c r="V39" s="138">
        <f t="shared" si="1"/>
        <v>16</v>
      </c>
      <c r="W39" s="126">
        <v>1</v>
      </c>
      <c r="X39" s="126" t="s">
        <v>63</v>
      </c>
      <c r="Y39" s="126" t="s">
        <v>46</v>
      </c>
      <c r="Z39" s="126" t="s">
        <v>54</v>
      </c>
      <c r="AA39" s="126" t="s">
        <v>45</v>
      </c>
      <c r="AB39" s="126" t="s">
        <v>48</v>
      </c>
    </row>
    <row r="40" spans="1:48" s="126" customFormat="1" ht="13.5" customHeight="1">
      <c r="A40" s="126" t="s">
        <v>86</v>
      </c>
      <c r="B40" s="126" t="s">
        <v>36</v>
      </c>
      <c r="C40" s="166">
        <v>2020</v>
      </c>
      <c r="D40" s="167" t="s">
        <v>287</v>
      </c>
      <c r="E40" s="126" t="s">
        <v>312</v>
      </c>
      <c r="F40" s="126" t="s">
        <v>301</v>
      </c>
      <c r="G40" s="126" t="s">
        <v>39</v>
      </c>
      <c r="H40" s="126" t="s">
        <v>59</v>
      </c>
      <c r="I40" s="126" t="s">
        <v>41</v>
      </c>
      <c r="J40" s="126" t="s">
        <v>121</v>
      </c>
      <c r="K40" s="126" t="s">
        <v>299</v>
      </c>
      <c r="L40" s="126">
        <v>3</v>
      </c>
      <c r="N40" s="126">
        <v>4</v>
      </c>
      <c r="O40" s="126">
        <v>0.28999999999999998</v>
      </c>
      <c r="P40" s="126">
        <v>0.22</v>
      </c>
      <c r="Q40" s="152">
        <f t="shared" si="2"/>
        <v>0.255</v>
      </c>
      <c r="R40" s="126">
        <v>14.2</v>
      </c>
      <c r="S40" s="126">
        <v>93</v>
      </c>
      <c r="T40" s="138">
        <f t="shared" si="0"/>
        <v>36</v>
      </c>
      <c r="U40" s="126">
        <v>498</v>
      </c>
      <c r="V40" s="138">
        <f t="shared" si="1"/>
        <v>16</v>
      </c>
      <c r="W40" s="126">
        <v>1</v>
      </c>
      <c r="X40" s="126" t="s">
        <v>63</v>
      </c>
      <c r="Y40" s="126" t="s">
        <v>46</v>
      </c>
      <c r="Z40" s="126" t="s">
        <v>54</v>
      </c>
      <c r="AA40" s="126" t="s">
        <v>45</v>
      </c>
      <c r="AB40" s="126" t="s">
        <v>48</v>
      </c>
    </row>
    <row r="41" spans="1:48" s="126" customFormat="1" ht="13.5" customHeight="1">
      <c r="A41" s="126" t="s">
        <v>86</v>
      </c>
      <c r="B41" s="126" t="s">
        <v>36</v>
      </c>
      <c r="C41" s="166">
        <v>2020</v>
      </c>
      <c r="D41" s="167" t="s">
        <v>287</v>
      </c>
      <c r="E41" s="126" t="s">
        <v>312</v>
      </c>
      <c r="F41" s="126" t="s">
        <v>301</v>
      </c>
      <c r="G41" s="126" t="s">
        <v>39</v>
      </c>
      <c r="H41" s="126" t="s">
        <v>51</v>
      </c>
      <c r="I41" s="126" t="s">
        <v>41</v>
      </c>
      <c r="J41" s="126" t="s">
        <v>121</v>
      </c>
      <c r="K41" s="126" t="s">
        <v>305</v>
      </c>
      <c r="L41" s="126">
        <v>1</v>
      </c>
      <c r="N41" s="126">
        <v>2</v>
      </c>
      <c r="O41" s="126">
        <v>0.74</v>
      </c>
      <c r="P41" s="126">
        <v>0.85</v>
      </c>
      <c r="Q41" s="152">
        <f t="shared" si="2"/>
        <v>0.79499999999999993</v>
      </c>
      <c r="R41" s="126">
        <v>12.1</v>
      </c>
      <c r="S41" s="126">
        <v>123</v>
      </c>
      <c r="T41" s="138">
        <f t="shared" si="0"/>
        <v>27</v>
      </c>
      <c r="U41" s="126">
        <v>298</v>
      </c>
      <c r="V41" s="138">
        <f t="shared" si="1"/>
        <v>16</v>
      </c>
      <c r="W41" s="126">
        <v>1</v>
      </c>
      <c r="X41" s="126" t="s">
        <v>63</v>
      </c>
      <c r="Y41" s="126" t="s">
        <v>46</v>
      </c>
      <c r="Z41" s="126" t="s">
        <v>54</v>
      </c>
      <c r="AA41" s="126" t="s">
        <v>45</v>
      </c>
      <c r="AB41" s="126" t="s">
        <v>48</v>
      </c>
    </row>
    <row r="42" spans="1:48" s="126" customFormat="1" ht="13.5" customHeight="1">
      <c r="A42" s="126" t="s">
        <v>86</v>
      </c>
      <c r="B42" s="126" t="s">
        <v>36</v>
      </c>
      <c r="C42" s="166">
        <v>2020</v>
      </c>
      <c r="D42" s="167" t="s">
        <v>287</v>
      </c>
      <c r="E42" s="126" t="s">
        <v>312</v>
      </c>
      <c r="F42" s="126" t="s">
        <v>301</v>
      </c>
      <c r="G42" s="126" t="s">
        <v>39</v>
      </c>
      <c r="H42" s="126" t="s">
        <v>51</v>
      </c>
      <c r="I42" s="126" t="s">
        <v>41</v>
      </c>
      <c r="J42" s="126" t="s">
        <v>121</v>
      </c>
      <c r="K42" s="126" t="s">
        <v>305</v>
      </c>
      <c r="L42" s="126">
        <v>2</v>
      </c>
      <c r="N42" s="126">
        <v>2</v>
      </c>
      <c r="O42" s="126">
        <v>0.46</v>
      </c>
      <c r="P42" s="126">
        <v>0.45</v>
      </c>
      <c r="Q42" s="152">
        <f t="shared" si="2"/>
        <v>0.45500000000000002</v>
      </c>
      <c r="R42" s="126">
        <v>15.2</v>
      </c>
      <c r="S42" s="126">
        <v>115</v>
      </c>
      <c r="T42" s="138">
        <f>IF(H42="","",IF(OR(H42="GREEN",H42="GK"),IF(S42&gt;=$AX$2,VLOOKUP(S42,$AX$2:$AY$12,2,1),""),IF(S42&gt;=$AZ$2,VLOOKUP(S42,$AZ$2:$BA$12,2,1),"")))</f>
        <v>30</v>
      </c>
      <c r="U42" s="126">
        <v>298</v>
      </c>
      <c r="V42" s="138">
        <f t="shared" si="1"/>
        <v>16</v>
      </c>
      <c r="W42" s="126">
        <v>1</v>
      </c>
      <c r="X42" s="126" t="s">
        <v>63</v>
      </c>
      <c r="Y42" s="126" t="s">
        <v>46</v>
      </c>
      <c r="Z42" s="126" t="s">
        <v>54</v>
      </c>
      <c r="AA42" s="126" t="s">
        <v>45</v>
      </c>
      <c r="AB42" s="126" t="s">
        <v>48</v>
      </c>
    </row>
    <row r="43" spans="1:48" s="126" customFormat="1" ht="13.5" customHeight="1">
      <c r="A43" s="126" t="s">
        <v>86</v>
      </c>
      <c r="B43" s="126" t="s">
        <v>36</v>
      </c>
      <c r="C43" s="166">
        <v>2020</v>
      </c>
      <c r="D43" s="167" t="s">
        <v>287</v>
      </c>
      <c r="E43" s="126" t="s">
        <v>312</v>
      </c>
      <c r="F43" s="126" t="s">
        <v>301</v>
      </c>
      <c r="G43" s="126" t="s">
        <v>39</v>
      </c>
      <c r="H43" s="126" t="s">
        <v>51</v>
      </c>
      <c r="I43" s="126" t="s">
        <v>41</v>
      </c>
      <c r="J43" s="126" t="s">
        <v>121</v>
      </c>
      <c r="K43" s="126" t="s">
        <v>305</v>
      </c>
      <c r="L43" s="126">
        <v>3</v>
      </c>
      <c r="N43" s="126">
        <v>2</v>
      </c>
      <c r="O43" s="126">
        <v>0.65</v>
      </c>
      <c r="P43" s="126">
        <v>0.52</v>
      </c>
      <c r="Q43" s="152">
        <f>IF(OR(O43="",P43=""),"",AVERAGE(O43,P43))</f>
        <v>0.58499999999999996</v>
      </c>
      <c r="R43" s="126">
        <v>13.2</v>
      </c>
      <c r="S43" s="126">
        <v>121</v>
      </c>
      <c r="T43" s="138">
        <f t="shared" si="0"/>
        <v>27</v>
      </c>
      <c r="U43" s="126">
        <v>298</v>
      </c>
      <c r="V43" s="138">
        <f t="shared" si="1"/>
        <v>16</v>
      </c>
      <c r="W43" s="126">
        <v>1</v>
      </c>
      <c r="X43" s="126" t="s">
        <v>63</v>
      </c>
      <c r="Y43" s="126" t="s">
        <v>46</v>
      </c>
      <c r="Z43" s="126" t="s">
        <v>54</v>
      </c>
      <c r="AA43" s="126" t="s">
        <v>45</v>
      </c>
      <c r="AB43" s="126" t="s">
        <v>48</v>
      </c>
    </row>
    <row r="44" spans="1:48" s="126" customFormat="1" ht="13.5" customHeight="1">
      <c r="A44" s="126" t="s">
        <v>86</v>
      </c>
      <c r="B44" s="126" t="s">
        <v>36</v>
      </c>
      <c r="C44" s="166">
        <v>2020</v>
      </c>
      <c r="D44" s="167" t="s">
        <v>287</v>
      </c>
      <c r="E44" s="126" t="s">
        <v>308</v>
      </c>
      <c r="F44" s="126" t="s">
        <v>309</v>
      </c>
      <c r="G44" s="126" t="s">
        <v>39</v>
      </c>
      <c r="H44" s="126" t="s">
        <v>40</v>
      </c>
      <c r="I44" s="126" t="s">
        <v>41</v>
      </c>
      <c r="J44" s="126" t="s">
        <v>42</v>
      </c>
      <c r="K44" s="126" t="s">
        <v>43</v>
      </c>
      <c r="L44" s="126">
        <v>1</v>
      </c>
      <c r="N44" s="126">
        <v>10</v>
      </c>
      <c r="O44" s="126">
        <v>0.26</v>
      </c>
      <c r="P44" s="126">
        <v>0.24</v>
      </c>
      <c r="Q44" s="152">
        <f t="shared" si="2"/>
        <v>0.25</v>
      </c>
      <c r="R44" s="126">
        <v>13.7</v>
      </c>
      <c r="S44" s="126">
        <v>82</v>
      </c>
      <c r="T44" s="138">
        <f>IF(H44="","",IF(OR(H44="GREEN",H44="GK"),IF(S44&gt;=$AX$2,VLOOKUP(S44,$AX$2:$AY$12,2,1),""),IF(S44&gt;=$AZ$2,VLOOKUP(S44,$AZ$2:$BA$12,2,1),"")))</f>
        <v>39</v>
      </c>
      <c r="U44" s="126">
        <v>798</v>
      </c>
      <c r="V44" s="138">
        <f t="shared" si="1"/>
        <v>16</v>
      </c>
      <c r="W44" s="126">
        <v>1</v>
      </c>
      <c r="X44" s="126" t="s">
        <v>63</v>
      </c>
      <c r="Y44" s="126" t="s">
        <v>45</v>
      </c>
      <c r="Z44" s="126" t="s">
        <v>46</v>
      </c>
      <c r="AA44" s="126" t="s">
        <v>160</v>
      </c>
      <c r="AB44" s="126" t="s">
        <v>48</v>
      </c>
    </row>
    <row r="45" spans="1:48" s="126" customFormat="1" ht="13.5" customHeight="1">
      <c r="A45" s="126" t="s">
        <v>86</v>
      </c>
      <c r="B45" s="126" t="s">
        <v>36</v>
      </c>
      <c r="C45" s="166">
        <v>2020</v>
      </c>
      <c r="D45" s="167" t="s">
        <v>287</v>
      </c>
      <c r="E45" s="126" t="s">
        <v>308</v>
      </c>
      <c r="F45" s="126" t="s">
        <v>309</v>
      </c>
      <c r="G45" s="126" t="s">
        <v>39</v>
      </c>
      <c r="H45" s="126" t="s">
        <v>40</v>
      </c>
      <c r="I45" s="126" t="s">
        <v>41</v>
      </c>
      <c r="J45" s="126" t="s">
        <v>42</v>
      </c>
      <c r="K45" s="126" t="s">
        <v>43</v>
      </c>
      <c r="L45" s="126">
        <v>2</v>
      </c>
      <c r="N45" s="126">
        <v>10</v>
      </c>
      <c r="O45" s="126">
        <v>0.35</v>
      </c>
      <c r="P45" s="126">
        <v>0.31</v>
      </c>
      <c r="Q45" s="152">
        <f t="shared" si="2"/>
        <v>0.32999999999999996</v>
      </c>
      <c r="R45" s="126">
        <v>14.6</v>
      </c>
      <c r="S45" s="126">
        <v>84</v>
      </c>
      <c r="T45" s="138">
        <f>IF(H45="","",IF(OR(H45="GREEN",H45="GK"),IF(S45&gt;=$AX$2,VLOOKUP(S45,$AX$2:$AY$12,2,1),""),IF(S45&gt;=$AZ$2,VLOOKUP(S45,$AZ$2:$BA$12,2,1),"")))</f>
        <v>36</v>
      </c>
      <c r="U45" s="126">
        <v>798</v>
      </c>
      <c r="V45" s="138">
        <f t="shared" si="1"/>
        <v>16</v>
      </c>
      <c r="W45" s="126">
        <v>1</v>
      </c>
      <c r="X45" s="126" t="s">
        <v>63</v>
      </c>
      <c r="Y45" s="126" t="s">
        <v>45</v>
      </c>
      <c r="Z45" s="126" t="s">
        <v>46</v>
      </c>
      <c r="AA45" s="126" t="s">
        <v>160</v>
      </c>
      <c r="AB45" s="126" t="s">
        <v>48</v>
      </c>
    </row>
    <row r="46" spans="1:48" s="126" customFormat="1" ht="13.5" customHeight="1">
      <c r="A46" s="126" t="s">
        <v>86</v>
      </c>
      <c r="B46" s="126" t="s">
        <v>36</v>
      </c>
      <c r="C46" s="166">
        <v>2020</v>
      </c>
      <c r="D46" s="167" t="s">
        <v>287</v>
      </c>
      <c r="E46" s="126" t="s">
        <v>308</v>
      </c>
      <c r="F46" s="126" t="s">
        <v>309</v>
      </c>
      <c r="G46" s="126" t="s">
        <v>39</v>
      </c>
      <c r="H46" s="126" t="s">
        <v>40</v>
      </c>
      <c r="I46" s="126" t="s">
        <v>41</v>
      </c>
      <c r="J46" s="126" t="s">
        <v>42</v>
      </c>
      <c r="K46" s="126" t="s">
        <v>43</v>
      </c>
      <c r="L46" s="126">
        <v>3</v>
      </c>
      <c r="N46" s="126">
        <v>10</v>
      </c>
      <c r="O46" s="126">
        <v>0.32</v>
      </c>
      <c r="P46" s="126">
        <v>0.26</v>
      </c>
      <c r="Q46" s="152">
        <f t="shared" si="2"/>
        <v>0.29000000000000004</v>
      </c>
      <c r="R46" s="126">
        <v>15</v>
      </c>
      <c r="S46" s="126">
        <v>76</v>
      </c>
      <c r="T46" s="138">
        <f>IF(H46="","",IF(OR(H46="GREEN",H46="GK"),IF(S46&gt;=$AX$2,VLOOKUP(S46,$AX$2:$AY$12,2,1),""),IF(S46&gt;=$AZ$2,VLOOKUP(S46,$AZ$2:$BA$12,2,1),"")))</f>
        <v>39</v>
      </c>
      <c r="U46" s="126">
        <v>798</v>
      </c>
      <c r="V46" s="138">
        <f t="shared" si="1"/>
        <v>16</v>
      </c>
      <c r="W46" s="126">
        <v>1</v>
      </c>
      <c r="X46" s="126" t="s">
        <v>63</v>
      </c>
      <c r="Y46" s="126" t="s">
        <v>45</v>
      </c>
      <c r="Z46" s="126" t="s">
        <v>46</v>
      </c>
      <c r="AA46" s="126" t="s">
        <v>160</v>
      </c>
      <c r="AB46" s="126" t="s">
        <v>48</v>
      </c>
    </row>
    <row r="47" spans="1:48" s="126" customFormat="1" ht="13.5" customHeight="1">
      <c r="A47" s="126" t="s">
        <v>86</v>
      </c>
      <c r="B47" s="126" t="s">
        <v>36</v>
      </c>
      <c r="C47" s="166">
        <v>2020</v>
      </c>
      <c r="D47" s="167" t="s">
        <v>287</v>
      </c>
      <c r="E47" s="126" t="s">
        <v>308</v>
      </c>
      <c r="F47" s="126" t="s">
        <v>309</v>
      </c>
      <c r="G47" s="126" t="s">
        <v>39</v>
      </c>
      <c r="H47" s="126" t="s">
        <v>40</v>
      </c>
      <c r="I47" s="126" t="s">
        <v>196</v>
      </c>
      <c r="J47" s="126" t="s">
        <v>42</v>
      </c>
      <c r="K47" s="126" t="s">
        <v>43</v>
      </c>
      <c r="L47" s="126">
        <v>1</v>
      </c>
      <c r="N47" s="126">
        <v>4</v>
      </c>
      <c r="O47" s="126">
        <v>0.42</v>
      </c>
      <c r="P47" s="126">
        <v>0.36</v>
      </c>
      <c r="Q47" s="152">
        <f t="shared" si="2"/>
        <v>0.39</v>
      </c>
      <c r="R47" s="126">
        <v>14.5</v>
      </c>
      <c r="S47" s="126">
        <v>76</v>
      </c>
      <c r="T47" s="138">
        <f t="shared" si="0"/>
        <v>39</v>
      </c>
      <c r="U47" s="126">
        <v>398</v>
      </c>
      <c r="V47" s="138">
        <f t="shared" si="1"/>
        <v>16</v>
      </c>
      <c r="W47" s="126">
        <v>1</v>
      </c>
      <c r="X47" s="126" t="s">
        <v>63</v>
      </c>
      <c r="Y47" s="126" t="s">
        <v>45</v>
      </c>
      <c r="Z47" s="126" t="s">
        <v>46</v>
      </c>
      <c r="AA47" s="126" t="s">
        <v>160</v>
      </c>
      <c r="AB47" s="126" t="s">
        <v>48</v>
      </c>
    </row>
    <row r="48" spans="1:48" s="126" customFormat="1" ht="13.5" customHeight="1">
      <c r="A48" s="126" t="s">
        <v>86</v>
      </c>
      <c r="B48" s="126" t="s">
        <v>36</v>
      </c>
      <c r="C48" s="166">
        <v>2020</v>
      </c>
      <c r="D48" s="167" t="s">
        <v>287</v>
      </c>
      <c r="E48" s="126" t="s">
        <v>308</v>
      </c>
      <c r="F48" s="126" t="s">
        <v>309</v>
      </c>
      <c r="G48" s="126" t="s">
        <v>39</v>
      </c>
      <c r="H48" s="126" t="s">
        <v>40</v>
      </c>
      <c r="I48" s="126" t="s">
        <v>196</v>
      </c>
      <c r="J48" s="126" t="s">
        <v>42</v>
      </c>
      <c r="K48" s="126" t="s">
        <v>43</v>
      </c>
      <c r="L48" s="126">
        <v>2</v>
      </c>
      <c r="N48" s="126">
        <v>4</v>
      </c>
      <c r="O48" s="126">
        <v>0.36</v>
      </c>
      <c r="P48" s="126">
        <v>0.25</v>
      </c>
      <c r="Q48" s="152">
        <f t="shared" si="2"/>
        <v>0.30499999999999999</v>
      </c>
      <c r="R48" s="126">
        <v>15.5</v>
      </c>
      <c r="S48" s="126">
        <v>78</v>
      </c>
      <c r="T48" s="138">
        <f t="shared" si="0"/>
        <v>39</v>
      </c>
      <c r="U48" s="126">
        <v>398</v>
      </c>
      <c r="V48" s="138">
        <f t="shared" si="1"/>
        <v>16</v>
      </c>
      <c r="W48" s="126">
        <v>1</v>
      </c>
      <c r="X48" s="126" t="s">
        <v>63</v>
      </c>
      <c r="Y48" s="126" t="s">
        <v>45</v>
      </c>
      <c r="Z48" s="126" t="s">
        <v>46</v>
      </c>
      <c r="AA48" s="126" t="s">
        <v>160</v>
      </c>
      <c r="AB48" s="126" t="s">
        <v>48</v>
      </c>
    </row>
    <row r="49" spans="1:28" s="126" customFormat="1" ht="13.5" customHeight="1">
      <c r="A49" s="126" t="s">
        <v>86</v>
      </c>
      <c r="B49" s="126" t="s">
        <v>36</v>
      </c>
      <c r="C49" s="166">
        <v>2020</v>
      </c>
      <c r="D49" s="167" t="s">
        <v>287</v>
      </c>
      <c r="E49" s="126" t="s">
        <v>308</v>
      </c>
      <c r="F49" s="126" t="s">
        <v>309</v>
      </c>
      <c r="G49" s="126" t="s">
        <v>39</v>
      </c>
      <c r="H49" s="126" t="s">
        <v>40</v>
      </c>
      <c r="I49" s="126" t="s">
        <v>196</v>
      </c>
      <c r="J49" s="126" t="s">
        <v>42</v>
      </c>
      <c r="K49" s="126" t="s">
        <v>43</v>
      </c>
      <c r="L49" s="126">
        <v>3</v>
      </c>
      <c r="N49" s="126">
        <v>4</v>
      </c>
      <c r="O49" s="126">
        <v>0.28000000000000003</v>
      </c>
      <c r="P49" s="126">
        <v>0.28000000000000003</v>
      </c>
      <c r="Q49" s="152">
        <f t="shared" si="2"/>
        <v>0.28000000000000003</v>
      </c>
      <c r="R49" s="126">
        <v>15.5</v>
      </c>
      <c r="S49" s="126">
        <v>82</v>
      </c>
      <c r="T49" s="138">
        <f t="shared" si="0"/>
        <v>39</v>
      </c>
      <c r="U49" s="126">
        <v>398</v>
      </c>
      <c r="V49" s="138">
        <f t="shared" si="1"/>
        <v>16</v>
      </c>
      <c r="W49" s="126">
        <v>1</v>
      </c>
      <c r="X49" s="126" t="s">
        <v>63</v>
      </c>
      <c r="Y49" s="126" t="s">
        <v>45</v>
      </c>
      <c r="Z49" s="126" t="s">
        <v>46</v>
      </c>
      <c r="AA49" s="126" t="s">
        <v>160</v>
      </c>
      <c r="AB49" s="126" t="s">
        <v>48</v>
      </c>
    </row>
    <row r="50" spans="1:28" s="126" customFormat="1" ht="13.5" customHeight="1">
      <c r="A50" s="126" t="s">
        <v>86</v>
      </c>
      <c r="B50" s="126" t="s">
        <v>36</v>
      </c>
      <c r="C50" s="166">
        <v>2020</v>
      </c>
      <c r="D50" s="167" t="s">
        <v>287</v>
      </c>
      <c r="E50" s="126" t="s">
        <v>308</v>
      </c>
      <c r="F50" s="126" t="s">
        <v>309</v>
      </c>
      <c r="G50" s="126" t="s">
        <v>39</v>
      </c>
      <c r="H50" s="126" t="s">
        <v>59</v>
      </c>
      <c r="I50" s="126" t="s">
        <v>41</v>
      </c>
      <c r="J50" s="126" t="s">
        <v>315</v>
      </c>
      <c r="K50" s="126" t="s">
        <v>297</v>
      </c>
      <c r="L50" s="126">
        <v>1</v>
      </c>
      <c r="N50" s="126">
        <v>1</v>
      </c>
      <c r="O50" s="126">
        <v>1.07</v>
      </c>
      <c r="P50" s="126">
        <v>1.1000000000000001</v>
      </c>
      <c r="Q50" s="152">
        <f t="shared" si="2"/>
        <v>1.085</v>
      </c>
      <c r="R50" s="126">
        <v>10.9</v>
      </c>
      <c r="S50" s="126">
        <v>125</v>
      </c>
      <c r="T50" s="138">
        <f>IF(H50="","",IF(OR(H50="GREEN",H50="GK"),IF(S50&gt;=$AX$2,VLOOKUP(S50,$AX$2:$AY$12,2,1),""),IF(S50&gt;=$AZ$2,VLOOKUP(S50,$AZ$2:$BA$12,2,1),"")))</f>
        <v>27</v>
      </c>
      <c r="U50" s="126">
        <v>128</v>
      </c>
      <c r="V50" s="138">
        <f t="shared" si="1"/>
        <v>27</v>
      </c>
      <c r="W50" s="126">
        <v>1</v>
      </c>
      <c r="X50" s="126" t="s">
        <v>63</v>
      </c>
      <c r="Y50" s="126" t="s">
        <v>45</v>
      </c>
      <c r="Z50" s="126" t="s">
        <v>46</v>
      </c>
      <c r="AA50" s="126" t="s">
        <v>160</v>
      </c>
      <c r="AB50" s="126" t="s">
        <v>48</v>
      </c>
    </row>
    <row r="51" spans="1:28" s="126" customFormat="1" ht="13.5" customHeight="1">
      <c r="A51" s="126" t="s">
        <v>86</v>
      </c>
      <c r="B51" s="126" t="s">
        <v>36</v>
      </c>
      <c r="C51" s="166">
        <v>2020</v>
      </c>
      <c r="D51" s="167" t="s">
        <v>287</v>
      </c>
      <c r="E51" s="126" t="s">
        <v>308</v>
      </c>
      <c r="F51" s="126" t="s">
        <v>309</v>
      </c>
      <c r="G51" s="126" t="s">
        <v>39</v>
      </c>
      <c r="H51" s="126" t="s">
        <v>59</v>
      </c>
      <c r="I51" s="126" t="s">
        <v>41</v>
      </c>
      <c r="J51" s="126" t="s">
        <v>315</v>
      </c>
      <c r="K51" s="126" t="s">
        <v>297</v>
      </c>
      <c r="L51" s="126">
        <v>2</v>
      </c>
      <c r="N51" s="126">
        <v>1</v>
      </c>
      <c r="O51" s="126">
        <v>0.98</v>
      </c>
      <c r="P51" s="126">
        <v>1.1299999999999999</v>
      </c>
      <c r="Q51" s="152">
        <f t="shared" si="2"/>
        <v>1.0549999999999999</v>
      </c>
      <c r="R51" s="126">
        <v>11</v>
      </c>
      <c r="S51" s="126">
        <v>121</v>
      </c>
      <c r="T51" s="138">
        <f t="shared" si="0"/>
        <v>27</v>
      </c>
      <c r="U51" s="126">
        <v>128</v>
      </c>
      <c r="V51" s="138">
        <f t="shared" si="1"/>
        <v>27</v>
      </c>
      <c r="W51" s="126">
        <v>1</v>
      </c>
      <c r="X51" s="126" t="s">
        <v>63</v>
      </c>
      <c r="Y51" s="126" t="s">
        <v>45</v>
      </c>
      <c r="Z51" s="126" t="s">
        <v>46</v>
      </c>
      <c r="AA51" s="126" t="s">
        <v>160</v>
      </c>
      <c r="AB51" s="126" t="s">
        <v>48</v>
      </c>
    </row>
    <row r="52" spans="1:28" s="126" customFormat="1" ht="13.5" customHeight="1">
      <c r="A52" s="126" t="s">
        <v>86</v>
      </c>
      <c r="B52" s="126" t="s">
        <v>36</v>
      </c>
      <c r="C52" s="166">
        <v>2020</v>
      </c>
      <c r="D52" s="167" t="s">
        <v>287</v>
      </c>
      <c r="E52" s="126" t="s">
        <v>308</v>
      </c>
      <c r="F52" s="126" t="s">
        <v>309</v>
      </c>
      <c r="G52" s="126" t="s">
        <v>39</v>
      </c>
      <c r="H52" s="126" t="s">
        <v>59</v>
      </c>
      <c r="I52" s="126" t="s">
        <v>41</v>
      </c>
      <c r="J52" s="126" t="s">
        <v>315</v>
      </c>
      <c r="K52" s="126" t="s">
        <v>297</v>
      </c>
      <c r="L52" s="126">
        <v>3</v>
      </c>
      <c r="N52" s="126">
        <v>1</v>
      </c>
      <c r="O52" s="126">
        <v>1.1399999999999999</v>
      </c>
      <c r="P52" s="126">
        <v>1.03</v>
      </c>
      <c r="Q52" s="152">
        <f t="shared" si="2"/>
        <v>1.085</v>
      </c>
      <c r="R52" s="126">
        <v>11.2</v>
      </c>
      <c r="S52" s="126">
        <v>98</v>
      </c>
      <c r="T52" s="138">
        <f t="shared" si="0"/>
        <v>36</v>
      </c>
      <c r="U52" s="126">
        <v>128</v>
      </c>
      <c r="V52" s="138">
        <f t="shared" si="1"/>
        <v>27</v>
      </c>
      <c r="W52" s="126">
        <v>1</v>
      </c>
      <c r="X52" s="126" t="s">
        <v>63</v>
      </c>
      <c r="Y52" s="126" t="s">
        <v>45</v>
      </c>
      <c r="Z52" s="126" t="s">
        <v>46</v>
      </c>
      <c r="AA52" s="126" t="s">
        <v>160</v>
      </c>
      <c r="AB52" s="126" t="s">
        <v>48</v>
      </c>
    </row>
    <row r="53" spans="1:28" s="126" customFormat="1" ht="13.5" customHeight="1">
      <c r="A53" s="126" t="s">
        <v>86</v>
      </c>
      <c r="B53" s="126" t="s">
        <v>36</v>
      </c>
      <c r="C53" s="166">
        <v>2020</v>
      </c>
      <c r="D53" s="167" t="s">
        <v>287</v>
      </c>
      <c r="E53" s="126" t="s">
        <v>306</v>
      </c>
      <c r="F53" s="126" t="s">
        <v>307</v>
      </c>
      <c r="G53" s="126" t="s">
        <v>39</v>
      </c>
      <c r="H53" s="126" t="s">
        <v>40</v>
      </c>
      <c r="I53" s="126" t="s">
        <v>41</v>
      </c>
      <c r="J53" s="126" t="s">
        <v>42</v>
      </c>
      <c r="K53" s="126" t="s">
        <v>43</v>
      </c>
      <c r="L53" s="126">
        <v>1</v>
      </c>
      <c r="N53" s="126">
        <v>6</v>
      </c>
      <c r="O53" s="126">
        <v>0.32</v>
      </c>
      <c r="P53" s="126">
        <v>0.45</v>
      </c>
      <c r="Q53" s="152">
        <f t="shared" si="2"/>
        <v>0.38500000000000001</v>
      </c>
      <c r="R53" s="126">
        <v>15.3</v>
      </c>
      <c r="S53" s="126">
        <v>94</v>
      </c>
      <c r="T53" s="138">
        <f>IF(H53="","",IF(OR(H53="GREEN",H53="GK"),IF(S53&gt;=$AX$2,VLOOKUP(S53,$AX$2:$AY$12,2,1),""),IF(S53&gt;=$AZ$2,VLOOKUP(S53,$AZ$2:$BA$12,2,1),"")))</f>
        <v>36</v>
      </c>
      <c r="U53" s="126">
        <v>399</v>
      </c>
      <c r="V53" s="138">
        <f t="shared" si="1"/>
        <v>16</v>
      </c>
      <c r="W53" s="126">
        <v>2</v>
      </c>
      <c r="X53" s="126" t="s">
        <v>44</v>
      </c>
      <c r="Y53" s="126" t="s">
        <v>46</v>
      </c>
      <c r="Z53" s="126" t="s">
        <v>45</v>
      </c>
      <c r="AA53" s="126" t="s">
        <v>160</v>
      </c>
      <c r="AB53" s="126" t="s">
        <v>48</v>
      </c>
    </row>
    <row r="54" spans="1:28" s="126" customFormat="1" ht="13.5" customHeight="1">
      <c r="A54" s="126" t="s">
        <v>86</v>
      </c>
      <c r="B54" s="126" t="s">
        <v>36</v>
      </c>
      <c r="C54" s="166">
        <v>2020</v>
      </c>
      <c r="D54" s="167" t="s">
        <v>287</v>
      </c>
      <c r="E54" s="126" t="s">
        <v>306</v>
      </c>
      <c r="F54" s="126" t="s">
        <v>307</v>
      </c>
      <c r="G54" s="126" t="s">
        <v>39</v>
      </c>
      <c r="H54" s="126" t="s">
        <v>40</v>
      </c>
      <c r="I54" s="126" t="s">
        <v>41</v>
      </c>
      <c r="J54" s="126" t="s">
        <v>42</v>
      </c>
      <c r="K54" s="126" t="s">
        <v>43</v>
      </c>
      <c r="L54" s="126">
        <v>2</v>
      </c>
      <c r="N54" s="126">
        <v>6</v>
      </c>
      <c r="O54" s="126">
        <v>0.33</v>
      </c>
      <c r="P54" s="126">
        <v>0.4</v>
      </c>
      <c r="Q54" s="152">
        <f t="shared" si="2"/>
        <v>0.36499999999999999</v>
      </c>
      <c r="R54" s="126">
        <v>15.9</v>
      </c>
      <c r="S54" s="126">
        <v>92</v>
      </c>
      <c r="T54" s="138">
        <f>IF(H54="","",IF(OR(H54="GREEN",H54="GK"),IF(S54&gt;=$AX$2,VLOOKUP(S54,$AX$2:$AY$12,2,1),""),IF(S54&gt;=$AZ$2,VLOOKUP(S54,$AZ$2:$BA$12,2,1),"")))</f>
        <v>36</v>
      </c>
      <c r="U54" s="126">
        <v>399</v>
      </c>
      <c r="V54" s="138">
        <f t="shared" si="1"/>
        <v>16</v>
      </c>
      <c r="W54" s="126">
        <v>2</v>
      </c>
      <c r="X54" s="126" t="s">
        <v>44</v>
      </c>
      <c r="Y54" s="126" t="s">
        <v>46</v>
      </c>
      <c r="Z54" s="126" t="s">
        <v>45</v>
      </c>
      <c r="AA54" s="126" t="s">
        <v>160</v>
      </c>
      <c r="AB54" s="126" t="s">
        <v>48</v>
      </c>
    </row>
    <row r="55" spans="1:28" s="126" customFormat="1" ht="13.5" customHeight="1">
      <c r="A55" s="126" t="s">
        <v>86</v>
      </c>
      <c r="B55" s="126" t="s">
        <v>36</v>
      </c>
      <c r="C55" s="166">
        <v>2020</v>
      </c>
      <c r="D55" s="167" t="s">
        <v>287</v>
      </c>
      <c r="E55" s="126" t="s">
        <v>306</v>
      </c>
      <c r="F55" s="126" t="s">
        <v>307</v>
      </c>
      <c r="G55" s="126" t="s">
        <v>39</v>
      </c>
      <c r="H55" s="126" t="s">
        <v>40</v>
      </c>
      <c r="I55" s="126" t="s">
        <v>41</v>
      </c>
      <c r="J55" s="126" t="s">
        <v>42</v>
      </c>
      <c r="K55" s="126" t="s">
        <v>43</v>
      </c>
      <c r="L55" s="126">
        <v>3</v>
      </c>
      <c r="N55" s="126">
        <v>6</v>
      </c>
      <c r="O55" s="126">
        <v>0.55000000000000004</v>
      </c>
      <c r="P55" s="126">
        <v>0.56999999999999995</v>
      </c>
      <c r="Q55" s="152">
        <f t="shared" si="2"/>
        <v>0.56000000000000005</v>
      </c>
      <c r="R55" s="126">
        <v>14.6</v>
      </c>
      <c r="S55" s="126">
        <v>90</v>
      </c>
      <c r="T55" s="138">
        <f>IF(H55="","",IF(OR(H55="GREEN",H55="GK"),IF(S55&gt;=$AX$2,VLOOKUP(S55,$AX$2:$AY$12,2,1),""),IF(S55&gt;=$AZ$2,VLOOKUP(S55,$AZ$2:$BA$12,2,1),"")))</f>
        <v>36</v>
      </c>
      <c r="U55" s="126">
        <v>399</v>
      </c>
      <c r="V55" s="138">
        <f t="shared" si="1"/>
        <v>16</v>
      </c>
      <c r="W55" s="126">
        <v>2</v>
      </c>
      <c r="X55" s="126" t="s">
        <v>44</v>
      </c>
      <c r="Y55" s="126" t="s">
        <v>46</v>
      </c>
      <c r="Z55" s="126" t="s">
        <v>45</v>
      </c>
      <c r="AA55" s="126" t="s">
        <v>160</v>
      </c>
      <c r="AB55" s="126" t="s">
        <v>48</v>
      </c>
    </row>
    <row r="56" spans="1:28" s="126" customFormat="1" ht="13.5" customHeight="1">
      <c r="A56" s="126" t="s">
        <v>86</v>
      </c>
      <c r="B56" s="126" t="s">
        <v>36</v>
      </c>
      <c r="C56" s="166">
        <v>2020</v>
      </c>
      <c r="D56" s="167" t="s">
        <v>287</v>
      </c>
      <c r="E56" s="126" t="s">
        <v>306</v>
      </c>
      <c r="F56" s="126" t="s">
        <v>307</v>
      </c>
      <c r="G56" s="126" t="s">
        <v>39</v>
      </c>
      <c r="H56" s="126" t="s">
        <v>40</v>
      </c>
      <c r="I56" s="126" t="s">
        <v>41</v>
      </c>
      <c r="J56" s="126" t="s">
        <v>42</v>
      </c>
      <c r="K56" s="126" t="s">
        <v>43</v>
      </c>
      <c r="L56" s="126">
        <v>1</v>
      </c>
      <c r="N56" s="126">
        <v>3</v>
      </c>
      <c r="O56" s="126">
        <v>0.28999999999999998</v>
      </c>
      <c r="P56" s="126">
        <v>0.31</v>
      </c>
      <c r="Q56" s="152">
        <f t="shared" si="2"/>
        <v>0.3</v>
      </c>
      <c r="R56" s="126">
        <v>15.7</v>
      </c>
      <c r="S56" s="126">
        <v>121</v>
      </c>
      <c r="T56" s="138">
        <f t="shared" si="0"/>
        <v>27</v>
      </c>
      <c r="U56" s="126">
        <v>399</v>
      </c>
      <c r="V56" s="138">
        <f t="shared" si="1"/>
        <v>16</v>
      </c>
      <c r="W56" s="126">
        <v>2</v>
      </c>
      <c r="X56" s="126" t="s">
        <v>44</v>
      </c>
      <c r="Y56" s="126" t="s">
        <v>46</v>
      </c>
      <c r="Z56" s="126" t="s">
        <v>45</v>
      </c>
      <c r="AA56" s="126" t="s">
        <v>160</v>
      </c>
      <c r="AB56" s="126" t="s">
        <v>48</v>
      </c>
    </row>
    <row r="57" spans="1:28" s="126" customFormat="1" ht="13.5" customHeight="1">
      <c r="A57" s="126" t="s">
        <v>86</v>
      </c>
      <c r="B57" s="126" t="s">
        <v>36</v>
      </c>
      <c r="C57" s="166">
        <v>2020</v>
      </c>
      <c r="D57" s="167" t="s">
        <v>287</v>
      </c>
      <c r="E57" s="126" t="s">
        <v>306</v>
      </c>
      <c r="F57" s="126" t="s">
        <v>307</v>
      </c>
      <c r="G57" s="126" t="s">
        <v>39</v>
      </c>
      <c r="H57" s="126" t="s">
        <v>40</v>
      </c>
      <c r="I57" s="126" t="s">
        <v>41</v>
      </c>
      <c r="J57" s="126" t="s">
        <v>42</v>
      </c>
      <c r="K57" s="126" t="s">
        <v>43</v>
      </c>
      <c r="L57" s="126">
        <v>2</v>
      </c>
      <c r="N57" s="126">
        <v>3</v>
      </c>
      <c r="O57" s="126">
        <v>0.47</v>
      </c>
      <c r="P57" s="126">
        <v>0.47</v>
      </c>
      <c r="Q57" s="152">
        <f t="shared" si="2"/>
        <v>0.47</v>
      </c>
      <c r="R57" s="126">
        <v>16.2</v>
      </c>
      <c r="S57" s="126">
        <v>140</v>
      </c>
      <c r="T57" s="138">
        <f t="shared" si="0"/>
        <v>22</v>
      </c>
      <c r="U57" s="126">
        <v>399</v>
      </c>
      <c r="V57" s="138">
        <f t="shared" si="1"/>
        <v>16</v>
      </c>
      <c r="W57" s="126">
        <v>2</v>
      </c>
      <c r="X57" s="126" t="s">
        <v>44</v>
      </c>
      <c r="Y57" s="126" t="s">
        <v>46</v>
      </c>
      <c r="Z57" s="126" t="s">
        <v>45</v>
      </c>
      <c r="AA57" s="126" t="s">
        <v>160</v>
      </c>
      <c r="AB57" s="126" t="s">
        <v>48</v>
      </c>
    </row>
    <row r="58" spans="1:28" s="126" customFormat="1" ht="13.5" customHeight="1">
      <c r="A58" s="126" t="s">
        <v>86</v>
      </c>
      <c r="B58" s="126" t="s">
        <v>36</v>
      </c>
      <c r="C58" s="166">
        <v>2020</v>
      </c>
      <c r="D58" s="167" t="s">
        <v>287</v>
      </c>
      <c r="E58" s="126" t="s">
        <v>306</v>
      </c>
      <c r="F58" s="126" t="s">
        <v>307</v>
      </c>
      <c r="G58" s="126" t="s">
        <v>39</v>
      </c>
      <c r="H58" s="126" t="s">
        <v>40</v>
      </c>
      <c r="I58" s="126" t="s">
        <v>41</v>
      </c>
      <c r="J58" s="126" t="s">
        <v>42</v>
      </c>
      <c r="K58" s="126" t="s">
        <v>43</v>
      </c>
      <c r="L58" s="126">
        <v>3</v>
      </c>
      <c r="N58" s="126">
        <v>3</v>
      </c>
      <c r="O58" s="126">
        <v>0.31</v>
      </c>
      <c r="P58" s="126">
        <v>0.45</v>
      </c>
      <c r="Q58" s="152">
        <f t="shared" si="2"/>
        <v>0.38</v>
      </c>
      <c r="R58" s="126">
        <v>15.7</v>
      </c>
      <c r="S58" s="126">
        <v>140</v>
      </c>
      <c r="T58" s="138">
        <f>IF(H58="","",IF(OR(H58="GREEN",H58="GK"),IF(S58&gt;=$AX$2,VLOOKUP(S58,$AX$2:$AY$12,2,1),""),IF(S58&gt;=$AZ$2,VLOOKUP(S58,$AZ$2:$BA$12,2,1),"")))</f>
        <v>22</v>
      </c>
      <c r="U58" s="126">
        <v>399</v>
      </c>
      <c r="V58" s="138">
        <f t="shared" si="1"/>
        <v>16</v>
      </c>
      <c r="W58" s="126">
        <v>2</v>
      </c>
      <c r="X58" s="126" t="s">
        <v>44</v>
      </c>
      <c r="Y58" s="126" t="s">
        <v>46</v>
      </c>
      <c r="Z58" s="126" t="s">
        <v>45</v>
      </c>
      <c r="AA58" s="126" t="s">
        <v>160</v>
      </c>
      <c r="AB58" s="126" t="s">
        <v>48</v>
      </c>
    </row>
    <row r="59" spans="1:28" s="126" customFormat="1" ht="13.5" customHeight="1">
      <c r="A59" s="126" t="s">
        <v>86</v>
      </c>
      <c r="B59" s="126" t="s">
        <v>36</v>
      </c>
      <c r="C59" s="166">
        <v>2020</v>
      </c>
      <c r="D59" s="167" t="s">
        <v>287</v>
      </c>
      <c r="E59" s="126" t="s">
        <v>306</v>
      </c>
      <c r="F59" s="126" t="s">
        <v>307</v>
      </c>
      <c r="G59" s="126" t="s">
        <v>39</v>
      </c>
      <c r="H59" s="126" t="s">
        <v>40</v>
      </c>
      <c r="I59" s="126" t="s">
        <v>41</v>
      </c>
      <c r="J59" s="126" t="s">
        <v>42</v>
      </c>
      <c r="K59" s="126" t="s">
        <v>43</v>
      </c>
      <c r="L59" s="126">
        <v>1</v>
      </c>
      <c r="N59" s="126">
        <v>1</v>
      </c>
      <c r="O59" s="126">
        <v>0.43</v>
      </c>
      <c r="P59" s="126">
        <v>0.49</v>
      </c>
      <c r="Q59" s="152">
        <f t="shared" si="2"/>
        <v>0.45999999999999996</v>
      </c>
      <c r="R59" s="126">
        <v>14.9</v>
      </c>
      <c r="S59" s="126">
        <v>143</v>
      </c>
      <c r="T59" s="138">
        <f>IF(H59="","",IF(OR(H59="GREEN",H59="GK"),IF(S59&gt;=$AX$2,VLOOKUP(S59,$AX$2:$AY$12,2,1),""),IF(S59&gt;=$AZ$2,VLOOKUP(S59,$AZ$2:$BA$12,2,1),"")))</f>
        <v>22</v>
      </c>
      <c r="U59" s="126">
        <v>100</v>
      </c>
      <c r="V59" s="138">
        <f t="shared" si="1"/>
        <v>33</v>
      </c>
      <c r="W59" s="126">
        <v>2</v>
      </c>
      <c r="X59" s="126" t="s">
        <v>44</v>
      </c>
      <c r="Y59" s="126" t="s">
        <v>46</v>
      </c>
      <c r="Z59" s="126" t="s">
        <v>45</v>
      </c>
      <c r="AA59" s="126" t="s">
        <v>160</v>
      </c>
      <c r="AB59" s="126" t="s">
        <v>48</v>
      </c>
    </row>
    <row r="60" spans="1:28" s="126" customFormat="1" ht="13.5" customHeight="1">
      <c r="A60" s="126" t="s">
        <v>86</v>
      </c>
      <c r="B60" s="126" t="s">
        <v>36</v>
      </c>
      <c r="C60" s="166">
        <v>2020</v>
      </c>
      <c r="D60" s="167" t="s">
        <v>287</v>
      </c>
      <c r="E60" s="126" t="s">
        <v>306</v>
      </c>
      <c r="F60" s="126" t="s">
        <v>307</v>
      </c>
      <c r="G60" s="126" t="s">
        <v>39</v>
      </c>
      <c r="H60" s="126" t="s">
        <v>40</v>
      </c>
      <c r="I60" s="126" t="s">
        <v>41</v>
      </c>
      <c r="J60" s="126" t="s">
        <v>42</v>
      </c>
      <c r="K60" s="126" t="s">
        <v>43</v>
      </c>
      <c r="L60" s="126">
        <v>2</v>
      </c>
      <c r="N60" s="126">
        <v>1</v>
      </c>
      <c r="O60" s="126">
        <v>0.23</v>
      </c>
      <c r="P60" s="126">
        <v>0.25</v>
      </c>
      <c r="Q60" s="152">
        <f t="shared" si="2"/>
        <v>0.24</v>
      </c>
      <c r="R60" s="126">
        <v>14.4</v>
      </c>
      <c r="S60" s="126">
        <v>136</v>
      </c>
      <c r="T60" s="138">
        <f>IF(H60="","",IF(OR(H60="GREEN",H60="GK"),IF(S60&gt;=$AX$2,VLOOKUP(S60,$AX$2:$AY$12,2,1),""),IF(S60&gt;=$AZ$2,VLOOKUP(S60,$AZ$2:$BA$12,2,1),"")))</f>
        <v>25</v>
      </c>
      <c r="U60" s="126">
        <v>100</v>
      </c>
      <c r="V60" s="138">
        <f t="shared" si="1"/>
        <v>33</v>
      </c>
      <c r="W60" s="126">
        <v>2</v>
      </c>
      <c r="X60" s="126" t="s">
        <v>44</v>
      </c>
      <c r="Y60" s="126" t="s">
        <v>46</v>
      </c>
      <c r="Z60" s="126" t="s">
        <v>45</v>
      </c>
      <c r="AA60" s="126" t="s">
        <v>160</v>
      </c>
      <c r="AB60" s="126" t="s">
        <v>48</v>
      </c>
    </row>
    <row r="61" spans="1:28" s="126" customFormat="1" ht="13.5" customHeight="1">
      <c r="A61" s="126" t="s">
        <v>86</v>
      </c>
      <c r="B61" s="126" t="s">
        <v>36</v>
      </c>
      <c r="C61" s="166">
        <v>2020</v>
      </c>
      <c r="D61" s="167" t="s">
        <v>287</v>
      </c>
      <c r="E61" s="126" t="s">
        <v>306</v>
      </c>
      <c r="F61" s="126" t="s">
        <v>307</v>
      </c>
      <c r="G61" s="126" t="s">
        <v>39</v>
      </c>
      <c r="H61" s="126" t="s">
        <v>40</v>
      </c>
      <c r="I61" s="126" t="s">
        <v>41</v>
      </c>
      <c r="J61" s="126" t="s">
        <v>42</v>
      </c>
      <c r="K61" s="126" t="s">
        <v>43</v>
      </c>
      <c r="L61" s="126">
        <v>3</v>
      </c>
      <c r="N61" s="126">
        <v>1</v>
      </c>
      <c r="O61" s="126">
        <v>0.25</v>
      </c>
      <c r="P61" s="126">
        <v>0.26</v>
      </c>
      <c r="Q61" s="152">
        <f t="shared" si="2"/>
        <v>0.255</v>
      </c>
      <c r="R61" s="126">
        <v>15.6</v>
      </c>
      <c r="S61" s="126">
        <v>136</v>
      </c>
      <c r="T61" s="138">
        <f>IF(H61="","",IF(OR(H61="GREEN",H61="GK"),IF(S61&gt;=$AX$2,VLOOKUP(S61,$AX$2:$AY$12,2,1),""),IF(S61&gt;=$AZ$2,VLOOKUP(S61,$AZ$2:$BA$12,2,1),"")))</f>
        <v>25</v>
      </c>
      <c r="U61" s="126">
        <v>100</v>
      </c>
      <c r="V61" s="138">
        <f t="shared" si="1"/>
        <v>33</v>
      </c>
      <c r="W61" s="126">
        <v>2</v>
      </c>
      <c r="X61" s="126" t="s">
        <v>44</v>
      </c>
      <c r="Y61" s="126" t="s">
        <v>46</v>
      </c>
      <c r="Z61" s="126" t="s">
        <v>45</v>
      </c>
      <c r="AA61" s="126" t="s">
        <v>160</v>
      </c>
      <c r="AB61" s="126" t="s">
        <v>48</v>
      </c>
    </row>
    <row r="62" spans="1:28" s="126" customFormat="1" ht="13.5" customHeight="1">
      <c r="A62" s="126" t="s">
        <v>86</v>
      </c>
      <c r="B62" s="126" t="s">
        <v>36</v>
      </c>
      <c r="C62" s="166">
        <v>2020</v>
      </c>
      <c r="D62" s="167" t="s">
        <v>287</v>
      </c>
      <c r="E62" s="126" t="s">
        <v>295</v>
      </c>
      <c r="F62" s="126" t="s">
        <v>296</v>
      </c>
      <c r="G62" s="126" t="s">
        <v>58</v>
      </c>
      <c r="H62" s="126" t="s">
        <v>51</v>
      </c>
      <c r="I62" s="126" t="s">
        <v>41</v>
      </c>
      <c r="J62" s="126" t="s">
        <v>121</v>
      </c>
      <c r="K62" s="126" t="s">
        <v>122</v>
      </c>
      <c r="L62" s="126">
        <v>1</v>
      </c>
      <c r="N62" s="126">
        <v>3</v>
      </c>
      <c r="O62" s="126">
        <v>0.62</v>
      </c>
      <c r="P62" s="126">
        <v>0.6</v>
      </c>
      <c r="Q62" s="152">
        <f t="shared" si="2"/>
        <v>0.61</v>
      </c>
      <c r="R62" s="126">
        <v>11.3</v>
      </c>
      <c r="S62" s="126">
        <v>135</v>
      </c>
      <c r="T62" s="138">
        <f>IF(H62="","",IF(OR(H62="GREEN",H62="GK"),IF(S62&gt;=$AX$2,VLOOKUP(S62,$AX$2:$AY$12,2,1),""),IF(S62&gt;=$AZ$2,VLOOKUP(S62,$AZ$2:$BA$12,2,1),"")))</f>
        <v>25</v>
      </c>
      <c r="U62" s="126">
        <v>298</v>
      </c>
      <c r="V62" s="138">
        <f t="shared" si="1"/>
        <v>16</v>
      </c>
      <c r="W62" s="126">
        <v>1</v>
      </c>
      <c r="X62" s="126" t="s">
        <v>44</v>
      </c>
      <c r="Y62" s="126" t="s">
        <v>45</v>
      </c>
      <c r="Z62" s="126" t="s">
        <v>160</v>
      </c>
      <c r="AA62" s="126" t="s">
        <v>46</v>
      </c>
      <c r="AB62" s="126" t="s">
        <v>48</v>
      </c>
    </row>
    <row r="63" spans="1:28" s="126" customFormat="1" ht="13.5" customHeight="1">
      <c r="A63" s="126" t="s">
        <v>86</v>
      </c>
      <c r="B63" s="126" t="s">
        <v>36</v>
      </c>
      <c r="C63" s="166">
        <v>2020</v>
      </c>
      <c r="D63" s="167" t="s">
        <v>287</v>
      </c>
      <c r="E63" s="126" t="s">
        <v>295</v>
      </c>
      <c r="F63" s="126" t="s">
        <v>296</v>
      </c>
      <c r="G63" s="126" t="s">
        <v>58</v>
      </c>
      <c r="H63" s="126" t="s">
        <v>51</v>
      </c>
      <c r="I63" s="126" t="s">
        <v>41</v>
      </c>
      <c r="J63" s="126" t="s">
        <v>121</v>
      </c>
      <c r="K63" s="126" t="s">
        <v>122</v>
      </c>
      <c r="L63" s="126">
        <v>2</v>
      </c>
      <c r="N63" s="126">
        <v>3</v>
      </c>
      <c r="O63" s="126">
        <v>0.67</v>
      </c>
      <c r="P63" s="126">
        <v>0.7</v>
      </c>
      <c r="Q63" s="152">
        <f t="shared" si="2"/>
        <v>0.68500000000000005</v>
      </c>
      <c r="R63" s="126">
        <v>11.6</v>
      </c>
      <c r="S63" s="126">
        <v>138</v>
      </c>
      <c r="T63" s="138">
        <f t="shared" ref="T63:T137" si="3">IF(H63="","",IF(OR(H63="GREEN",H63="GK"),IF(S63&gt;=$AX$2,VLOOKUP(S63,$AX$2:$AY$12,2,1),""),IF(S63&gt;=$AZ$2,VLOOKUP(S63,$AZ$2:$BA$12,2,1),"")))</f>
        <v>22</v>
      </c>
      <c r="U63" s="126">
        <v>298</v>
      </c>
      <c r="V63" s="138">
        <f t="shared" si="1"/>
        <v>16</v>
      </c>
      <c r="W63" s="126">
        <v>1</v>
      </c>
      <c r="X63" s="126" t="s">
        <v>44</v>
      </c>
      <c r="Y63" s="126" t="s">
        <v>45</v>
      </c>
      <c r="Z63" s="126" t="s">
        <v>160</v>
      </c>
      <c r="AA63" s="126" t="s">
        <v>46</v>
      </c>
      <c r="AB63" s="126" t="s">
        <v>48</v>
      </c>
    </row>
    <row r="64" spans="1:28" s="126" customFormat="1" ht="13.5" customHeight="1">
      <c r="A64" s="126" t="s">
        <v>86</v>
      </c>
      <c r="B64" s="126" t="s">
        <v>36</v>
      </c>
      <c r="C64" s="166">
        <v>2020</v>
      </c>
      <c r="D64" s="167" t="s">
        <v>287</v>
      </c>
      <c r="E64" s="126" t="s">
        <v>295</v>
      </c>
      <c r="F64" s="126" t="s">
        <v>296</v>
      </c>
      <c r="G64" s="126" t="s">
        <v>58</v>
      </c>
      <c r="H64" s="126" t="s">
        <v>51</v>
      </c>
      <c r="I64" s="126" t="s">
        <v>41</v>
      </c>
      <c r="J64" s="126" t="s">
        <v>121</v>
      </c>
      <c r="K64" s="126" t="s">
        <v>122</v>
      </c>
      <c r="L64" s="126">
        <v>3</v>
      </c>
      <c r="N64" s="126">
        <v>3</v>
      </c>
      <c r="O64" s="126">
        <v>0.63</v>
      </c>
      <c r="P64" s="126">
        <v>0.65</v>
      </c>
      <c r="Q64" s="152">
        <f>IF(OR(O64="",P64=""),"",AVERAGE(O64,P64))</f>
        <v>0.64</v>
      </c>
      <c r="R64" s="126">
        <v>10.8</v>
      </c>
      <c r="S64" s="126">
        <v>140</v>
      </c>
      <c r="T64" s="138">
        <f t="shared" si="3"/>
        <v>22</v>
      </c>
      <c r="U64" s="126">
        <v>298</v>
      </c>
      <c r="V64" s="138">
        <f t="shared" si="1"/>
        <v>16</v>
      </c>
      <c r="W64" s="126">
        <v>1</v>
      </c>
      <c r="X64" s="126" t="s">
        <v>44</v>
      </c>
      <c r="Y64" s="126" t="s">
        <v>45</v>
      </c>
      <c r="Z64" s="126" t="s">
        <v>160</v>
      </c>
      <c r="AA64" s="126" t="s">
        <v>46</v>
      </c>
      <c r="AB64" s="126" t="s">
        <v>48</v>
      </c>
    </row>
    <row r="65" spans="1:28" s="126" customFormat="1" ht="13.5" customHeight="1">
      <c r="A65" s="126" t="s">
        <v>86</v>
      </c>
      <c r="B65" s="126" t="s">
        <v>36</v>
      </c>
      <c r="C65" s="166">
        <v>2020</v>
      </c>
      <c r="D65" s="167" t="s">
        <v>287</v>
      </c>
      <c r="E65" s="126" t="s">
        <v>313</v>
      </c>
      <c r="F65" s="126" t="s">
        <v>314</v>
      </c>
      <c r="G65" s="126" t="s">
        <v>58</v>
      </c>
      <c r="H65" s="126" t="s">
        <v>40</v>
      </c>
      <c r="I65" s="126" t="s">
        <v>41</v>
      </c>
      <c r="J65" s="126" t="s">
        <v>42</v>
      </c>
      <c r="K65" s="126" t="s">
        <v>43</v>
      </c>
      <c r="L65" s="126">
        <v>1</v>
      </c>
      <c r="N65" s="126">
        <v>5</v>
      </c>
      <c r="O65" s="126">
        <v>0.53</v>
      </c>
      <c r="P65" s="126">
        <v>0.62</v>
      </c>
      <c r="Q65" s="152">
        <f t="shared" si="2"/>
        <v>0.57499999999999996</v>
      </c>
      <c r="R65" s="126">
        <v>14.5</v>
      </c>
      <c r="S65" s="126">
        <v>92</v>
      </c>
      <c r="T65" s="138">
        <f>IF(H65="","",IF(OR(H65="GREEN",H65="GK"),IF(S65&gt;=$AX$2,VLOOKUP(S65,$AX$2:$AY$12,2,1),""),IF(S65&gt;=$AZ$2,VLOOKUP(S65,$AZ$2:$BA$12,2,1),"")))</f>
        <v>36</v>
      </c>
      <c r="U65" s="126">
        <v>298</v>
      </c>
      <c r="V65" s="138">
        <f t="shared" si="1"/>
        <v>16</v>
      </c>
      <c r="W65" s="126">
        <v>1</v>
      </c>
      <c r="X65" s="126" t="s">
        <v>44</v>
      </c>
      <c r="Y65" s="126" t="s">
        <v>46</v>
      </c>
      <c r="Z65" s="126" t="s">
        <v>45</v>
      </c>
      <c r="AA65" s="126" t="s">
        <v>160</v>
      </c>
      <c r="AB65" s="126" t="s">
        <v>48</v>
      </c>
    </row>
    <row r="66" spans="1:28" s="126" customFormat="1" ht="13.5" customHeight="1">
      <c r="A66" s="126" t="s">
        <v>86</v>
      </c>
      <c r="B66" s="126" t="s">
        <v>36</v>
      </c>
      <c r="C66" s="166">
        <v>2020</v>
      </c>
      <c r="D66" s="167" t="s">
        <v>287</v>
      </c>
      <c r="E66" s="126" t="s">
        <v>313</v>
      </c>
      <c r="F66" s="126" t="s">
        <v>314</v>
      </c>
      <c r="G66" s="126" t="s">
        <v>58</v>
      </c>
      <c r="H66" s="126" t="s">
        <v>40</v>
      </c>
      <c r="I66" s="126" t="s">
        <v>41</v>
      </c>
      <c r="J66" s="126" t="s">
        <v>42</v>
      </c>
      <c r="K66" s="126" t="s">
        <v>43</v>
      </c>
      <c r="L66" s="126">
        <v>2</v>
      </c>
      <c r="N66" s="126">
        <v>5</v>
      </c>
      <c r="O66" s="126">
        <v>0.62</v>
      </c>
      <c r="P66" s="126">
        <v>0.63</v>
      </c>
      <c r="Q66" s="152">
        <f t="shared" si="2"/>
        <v>0.625</v>
      </c>
      <c r="R66" s="126">
        <v>12.4</v>
      </c>
      <c r="S66" s="126">
        <v>90</v>
      </c>
      <c r="T66" s="138">
        <f t="shared" si="3"/>
        <v>36</v>
      </c>
      <c r="U66" s="126">
        <v>298</v>
      </c>
      <c r="V66" s="138">
        <f t="shared" ref="V66:V152" si="4">IF(J66="","",IF(OR(J66="GREEN",J66="GK"),IF(U66&gt;=$AX$2,VLOOKUP(U66,$AX$2:$AY$12,2,1),""),IF(U66&gt;=$AZ$2,VLOOKUP(U66,$AZ$2:$BA$12,2,1),"")))</f>
        <v>16</v>
      </c>
      <c r="W66" s="126">
        <v>1</v>
      </c>
      <c r="X66" s="126" t="s">
        <v>44</v>
      </c>
      <c r="Y66" s="126" t="s">
        <v>46</v>
      </c>
      <c r="Z66" s="126" t="s">
        <v>45</v>
      </c>
      <c r="AA66" s="126" t="s">
        <v>160</v>
      </c>
      <c r="AB66" s="126" t="s">
        <v>48</v>
      </c>
    </row>
    <row r="67" spans="1:28" s="126" customFormat="1" ht="13.5" customHeight="1">
      <c r="A67" s="126" t="s">
        <v>86</v>
      </c>
      <c r="B67" s="126" t="s">
        <v>36</v>
      </c>
      <c r="C67" s="166">
        <v>2020</v>
      </c>
      <c r="D67" s="167" t="s">
        <v>287</v>
      </c>
      <c r="E67" s="126" t="s">
        <v>313</v>
      </c>
      <c r="F67" s="126" t="s">
        <v>314</v>
      </c>
      <c r="G67" s="126" t="s">
        <v>58</v>
      </c>
      <c r="H67" s="126" t="s">
        <v>40</v>
      </c>
      <c r="I67" s="126" t="s">
        <v>41</v>
      </c>
      <c r="J67" s="126" t="s">
        <v>42</v>
      </c>
      <c r="K67" s="126" t="s">
        <v>43</v>
      </c>
      <c r="L67" s="126">
        <v>3</v>
      </c>
      <c r="N67" s="126">
        <v>5</v>
      </c>
      <c r="O67" s="126">
        <v>0.6</v>
      </c>
      <c r="P67" s="126">
        <v>0.56999999999999995</v>
      </c>
      <c r="Q67" s="152">
        <f t="shared" ref="Q67:Q130" si="5">IF(OR(O67="",P67=""),"",AVERAGE(O67,P67))</f>
        <v>0.58499999999999996</v>
      </c>
      <c r="R67" s="126">
        <v>13.8</v>
      </c>
      <c r="S67" s="126">
        <v>98</v>
      </c>
      <c r="T67" s="138">
        <f t="shared" si="3"/>
        <v>36</v>
      </c>
      <c r="U67" s="126">
        <v>298</v>
      </c>
      <c r="V67" s="138">
        <f t="shared" si="4"/>
        <v>16</v>
      </c>
      <c r="W67" s="126">
        <v>1</v>
      </c>
      <c r="X67" s="126" t="s">
        <v>44</v>
      </c>
      <c r="Y67" s="126" t="s">
        <v>46</v>
      </c>
      <c r="Z67" s="126" t="s">
        <v>45</v>
      </c>
      <c r="AA67" s="126" t="s">
        <v>160</v>
      </c>
      <c r="AB67" s="126" t="s">
        <v>48</v>
      </c>
    </row>
    <row r="68" spans="1:28" s="126" customFormat="1" ht="13.5" customHeight="1">
      <c r="A68" s="126" t="s">
        <v>86</v>
      </c>
      <c r="B68" s="126" t="s">
        <v>36</v>
      </c>
      <c r="C68" s="166">
        <v>2020</v>
      </c>
      <c r="D68" s="167" t="s">
        <v>287</v>
      </c>
      <c r="E68" s="126" t="s">
        <v>313</v>
      </c>
      <c r="F68" s="126" t="s">
        <v>314</v>
      </c>
      <c r="G68" s="126" t="s">
        <v>58</v>
      </c>
      <c r="H68" s="126" t="s">
        <v>40</v>
      </c>
      <c r="I68" s="126" t="s">
        <v>41</v>
      </c>
      <c r="J68" s="126" t="s">
        <v>42</v>
      </c>
      <c r="K68" s="126" t="s">
        <v>43</v>
      </c>
      <c r="L68" s="126">
        <v>1</v>
      </c>
      <c r="N68" s="126">
        <v>1</v>
      </c>
      <c r="O68" s="126">
        <v>0.51</v>
      </c>
      <c r="P68" s="126">
        <v>0.56000000000000005</v>
      </c>
      <c r="Q68" s="152">
        <f t="shared" si="5"/>
        <v>0.53500000000000003</v>
      </c>
      <c r="R68" s="126">
        <v>15.2</v>
      </c>
      <c r="S68" s="126">
        <v>128</v>
      </c>
      <c r="T68" s="138">
        <f t="shared" si="3"/>
        <v>27</v>
      </c>
      <c r="U68" s="126">
        <v>98</v>
      </c>
      <c r="V68" s="138">
        <f t="shared" si="4"/>
        <v>36</v>
      </c>
      <c r="W68" s="126">
        <v>1</v>
      </c>
      <c r="X68" s="126" t="s">
        <v>44</v>
      </c>
      <c r="Y68" s="126" t="s">
        <v>46</v>
      </c>
      <c r="Z68" s="126" t="s">
        <v>45</v>
      </c>
      <c r="AA68" s="126" t="s">
        <v>160</v>
      </c>
      <c r="AB68" s="126" t="s">
        <v>48</v>
      </c>
    </row>
    <row r="69" spans="1:28" s="126" customFormat="1" ht="13.5" customHeight="1">
      <c r="A69" s="126" t="s">
        <v>86</v>
      </c>
      <c r="B69" s="126" t="s">
        <v>36</v>
      </c>
      <c r="C69" s="166">
        <v>2020</v>
      </c>
      <c r="D69" s="167" t="s">
        <v>287</v>
      </c>
      <c r="E69" s="126" t="s">
        <v>313</v>
      </c>
      <c r="F69" s="126" t="s">
        <v>314</v>
      </c>
      <c r="G69" s="126" t="s">
        <v>58</v>
      </c>
      <c r="H69" s="126" t="s">
        <v>40</v>
      </c>
      <c r="I69" s="126" t="s">
        <v>41</v>
      </c>
      <c r="J69" s="126" t="s">
        <v>42</v>
      </c>
      <c r="K69" s="126" t="s">
        <v>43</v>
      </c>
      <c r="L69" s="126">
        <v>2</v>
      </c>
      <c r="N69" s="126">
        <v>1</v>
      </c>
      <c r="O69" s="126">
        <v>0.56999999999999995</v>
      </c>
      <c r="P69" s="126">
        <v>0.56999999999999995</v>
      </c>
      <c r="Q69" s="152">
        <f t="shared" si="5"/>
        <v>0.56999999999999995</v>
      </c>
      <c r="R69" s="126">
        <v>14.5</v>
      </c>
      <c r="S69" s="126">
        <v>135</v>
      </c>
      <c r="T69" s="138">
        <f t="shared" si="3"/>
        <v>25</v>
      </c>
      <c r="U69" s="126">
        <v>98</v>
      </c>
      <c r="V69" s="138">
        <f t="shared" si="4"/>
        <v>36</v>
      </c>
      <c r="W69" s="126">
        <v>1</v>
      </c>
      <c r="X69" s="126" t="s">
        <v>44</v>
      </c>
      <c r="Y69" s="126" t="s">
        <v>46</v>
      </c>
      <c r="Z69" s="126" t="s">
        <v>45</v>
      </c>
      <c r="AA69" s="126" t="s">
        <v>160</v>
      </c>
      <c r="AB69" s="126" t="s">
        <v>48</v>
      </c>
    </row>
    <row r="70" spans="1:28" s="126" customFormat="1" ht="13.5" customHeight="1">
      <c r="A70" s="126" t="s">
        <v>86</v>
      </c>
      <c r="B70" s="126" t="s">
        <v>36</v>
      </c>
      <c r="C70" s="166">
        <v>2020</v>
      </c>
      <c r="D70" s="167" t="s">
        <v>287</v>
      </c>
      <c r="E70" s="126" t="s">
        <v>313</v>
      </c>
      <c r="F70" s="126" t="s">
        <v>314</v>
      </c>
      <c r="G70" s="126" t="s">
        <v>58</v>
      </c>
      <c r="H70" s="126" t="s">
        <v>40</v>
      </c>
      <c r="I70" s="126" t="s">
        <v>41</v>
      </c>
      <c r="J70" s="126" t="s">
        <v>42</v>
      </c>
      <c r="K70" s="126" t="s">
        <v>43</v>
      </c>
      <c r="L70" s="126">
        <v>3</v>
      </c>
      <c r="N70" s="126">
        <v>1</v>
      </c>
      <c r="O70" s="126">
        <v>0.63</v>
      </c>
      <c r="P70" s="126">
        <v>0.57999999999999996</v>
      </c>
      <c r="Q70" s="152">
        <f t="shared" si="5"/>
        <v>0.60499999999999998</v>
      </c>
      <c r="R70" s="126">
        <v>13.3</v>
      </c>
      <c r="S70" s="126">
        <v>132</v>
      </c>
      <c r="T70" s="138">
        <f t="shared" si="3"/>
        <v>25</v>
      </c>
      <c r="U70" s="126">
        <v>98</v>
      </c>
      <c r="V70" s="138">
        <f t="shared" si="4"/>
        <v>36</v>
      </c>
      <c r="W70" s="126">
        <v>1</v>
      </c>
      <c r="X70" s="126" t="s">
        <v>44</v>
      </c>
      <c r="Y70" s="126" t="s">
        <v>46</v>
      </c>
      <c r="Z70" s="126" t="s">
        <v>45</v>
      </c>
      <c r="AA70" s="126" t="s">
        <v>160</v>
      </c>
      <c r="AB70" s="126" t="s">
        <v>48</v>
      </c>
    </row>
    <row r="71" spans="1:28" s="126" customFormat="1" ht="13.5" customHeight="1">
      <c r="A71" s="126" t="s">
        <v>86</v>
      </c>
      <c r="B71" s="126" t="s">
        <v>36</v>
      </c>
      <c r="C71" s="166">
        <v>2020</v>
      </c>
      <c r="D71" s="167" t="s">
        <v>287</v>
      </c>
      <c r="E71" s="126" t="s">
        <v>308</v>
      </c>
      <c r="F71" s="126" t="s">
        <v>304</v>
      </c>
      <c r="G71" s="126" t="s">
        <v>39</v>
      </c>
      <c r="H71" s="126" t="s">
        <v>40</v>
      </c>
      <c r="I71" s="126" t="s">
        <v>41</v>
      </c>
      <c r="J71" s="126" t="s">
        <v>42</v>
      </c>
      <c r="K71" s="126" t="s">
        <v>43</v>
      </c>
      <c r="L71" s="126">
        <v>1</v>
      </c>
      <c r="N71" s="126">
        <v>4</v>
      </c>
      <c r="O71" s="126">
        <v>0.34</v>
      </c>
      <c r="P71" s="126">
        <v>0.32</v>
      </c>
      <c r="Q71" s="152">
        <f t="shared" si="5"/>
        <v>0.33</v>
      </c>
      <c r="R71" s="126">
        <v>14.2</v>
      </c>
      <c r="S71" s="126">
        <v>107</v>
      </c>
      <c r="T71" s="138">
        <f t="shared" si="3"/>
        <v>33</v>
      </c>
      <c r="U71" s="126">
        <v>358</v>
      </c>
      <c r="V71" s="138">
        <f t="shared" si="4"/>
        <v>16</v>
      </c>
      <c r="W71" s="126">
        <v>2</v>
      </c>
      <c r="X71" s="126" t="s">
        <v>44</v>
      </c>
      <c r="Y71" s="126" t="s">
        <v>46</v>
      </c>
      <c r="Z71" s="126" t="s">
        <v>160</v>
      </c>
      <c r="AA71" s="126" t="s">
        <v>54</v>
      </c>
      <c r="AB71" s="126" t="s">
        <v>48</v>
      </c>
    </row>
    <row r="72" spans="1:28" s="126" customFormat="1" ht="13.5" customHeight="1">
      <c r="A72" s="126" t="s">
        <v>86</v>
      </c>
      <c r="B72" s="126" t="s">
        <v>36</v>
      </c>
      <c r="C72" s="166">
        <v>2020</v>
      </c>
      <c r="D72" s="167" t="s">
        <v>287</v>
      </c>
      <c r="E72" s="126" t="s">
        <v>308</v>
      </c>
      <c r="F72" s="126" t="s">
        <v>304</v>
      </c>
      <c r="G72" s="126" t="s">
        <v>39</v>
      </c>
      <c r="H72" s="126" t="s">
        <v>40</v>
      </c>
      <c r="I72" s="126" t="s">
        <v>41</v>
      </c>
      <c r="J72" s="126" t="s">
        <v>42</v>
      </c>
      <c r="K72" s="126" t="s">
        <v>43</v>
      </c>
      <c r="L72" s="126">
        <v>2</v>
      </c>
      <c r="N72" s="126">
        <v>4</v>
      </c>
      <c r="O72" s="126">
        <v>0.28999999999999998</v>
      </c>
      <c r="P72" s="126">
        <v>0.28999999999999998</v>
      </c>
      <c r="Q72" s="152">
        <f t="shared" si="5"/>
        <v>0.28999999999999998</v>
      </c>
      <c r="R72" s="126">
        <v>14.9</v>
      </c>
      <c r="S72" s="126">
        <v>108</v>
      </c>
      <c r="T72" s="138">
        <f>IF(H72="","",IF(OR(H72="GREEN",H72="GK"),IF(S72&gt;=$AX$2,VLOOKUP(S72,$AX$2:$AY$12,2,1),""),IF(S72&gt;=$AZ$2,VLOOKUP(S72,$AZ$2:$BA$12,2,1),"")))</f>
        <v>33</v>
      </c>
      <c r="U72" s="126">
        <v>358</v>
      </c>
      <c r="V72" s="138">
        <f t="shared" si="4"/>
        <v>16</v>
      </c>
      <c r="W72" s="126">
        <v>2</v>
      </c>
      <c r="X72" s="126" t="s">
        <v>44</v>
      </c>
      <c r="Y72" s="126" t="s">
        <v>46</v>
      </c>
      <c r="Z72" s="126" t="s">
        <v>160</v>
      </c>
      <c r="AA72" s="126" t="s">
        <v>54</v>
      </c>
      <c r="AB72" s="126" t="s">
        <v>48</v>
      </c>
    </row>
    <row r="73" spans="1:28" s="126" customFormat="1" ht="13.5" customHeight="1">
      <c r="A73" s="126" t="s">
        <v>86</v>
      </c>
      <c r="B73" s="126" t="s">
        <v>36</v>
      </c>
      <c r="C73" s="166">
        <v>2020</v>
      </c>
      <c r="D73" s="167" t="s">
        <v>287</v>
      </c>
      <c r="E73" s="126" t="s">
        <v>308</v>
      </c>
      <c r="F73" s="126" t="s">
        <v>304</v>
      </c>
      <c r="G73" s="126" t="s">
        <v>39</v>
      </c>
      <c r="H73" s="126" t="s">
        <v>40</v>
      </c>
      <c r="I73" s="126" t="s">
        <v>41</v>
      </c>
      <c r="J73" s="126" t="s">
        <v>42</v>
      </c>
      <c r="K73" s="126" t="s">
        <v>43</v>
      </c>
      <c r="L73" s="126">
        <v>3</v>
      </c>
      <c r="N73" s="126">
        <v>4</v>
      </c>
      <c r="O73" s="126">
        <v>0.32</v>
      </c>
      <c r="P73" s="126">
        <v>0.37</v>
      </c>
      <c r="Q73" s="152">
        <f t="shared" si="5"/>
        <v>0.34499999999999997</v>
      </c>
      <c r="R73" s="126">
        <v>14</v>
      </c>
      <c r="S73" s="126">
        <v>114</v>
      </c>
      <c r="T73" s="138">
        <f t="shared" si="3"/>
        <v>30</v>
      </c>
      <c r="U73" s="126">
        <v>358</v>
      </c>
      <c r="V73" s="138">
        <f t="shared" si="4"/>
        <v>16</v>
      </c>
      <c r="W73" s="126">
        <v>2</v>
      </c>
      <c r="X73" s="126" t="s">
        <v>44</v>
      </c>
      <c r="Y73" s="126" t="s">
        <v>46</v>
      </c>
      <c r="Z73" s="126" t="s">
        <v>160</v>
      </c>
      <c r="AA73" s="126" t="s">
        <v>54</v>
      </c>
      <c r="AB73" s="126" t="s">
        <v>48</v>
      </c>
    </row>
    <row r="74" spans="1:28">
      <c r="C74" s="73"/>
      <c r="D74" s="74"/>
      <c r="Q74" s="26" t="str">
        <f t="shared" si="5"/>
        <v/>
      </c>
      <c r="T74" s="24" t="str">
        <f t="shared" si="3"/>
        <v/>
      </c>
      <c r="V74" s="24" t="str">
        <f t="shared" si="4"/>
        <v/>
      </c>
    </row>
    <row r="75" spans="1:28">
      <c r="C75" s="73"/>
      <c r="D75" s="74"/>
      <c r="Q75" s="26" t="str">
        <f t="shared" si="5"/>
        <v/>
      </c>
      <c r="T75" s="24" t="str">
        <f t="shared" si="3"/>
        <v/>
      </c>
      <c r="V75" s="24" t="str">
        <f t="shared" si="4"/>
        <v/>
      </c>
    </row>
    <row r="76" spans="1:28">
      <c r="C76" s="73"/>
      <c r="D76" s="74"/>
      <c r="Q76" s="26" t="str">
        <f t="shared" si="5"/>
        <v/>
      </c>
      <c r="T76" s="24" t="str">
        <f t="shared" si="3"/>
        <v/>
      </c>
      <c r="V76" s="24" t="str">
        <f t="shared" si="4"/>
        <v/>
      </c>
    </row>
    <row r="77" spans="1:28">
      <c r="C77" s="73"/>
      <c r="D77" s="74"/>
      <c r="Q77" s="26" t="str">
        <f t="shared" si="5"/>
        <v/>
      </c>
      <c r="T77" s="24" t="str">
        <f t="shared" si="3"/>
        <v/>
      </c>
      <c r="V77" s="24" t="str">
        <f t="shared" si="4"/>
        <v/>
      </c>
    </row>
    <row r="78" spans="1:28">
      <c r="C78" s="73"/>
      <c r="D78" s="74"/>
      <c r="Q78" s="26" t="str">
        <f t="shared" si="5"/>
        <v/>
      </c>
      <c r="T78" s="24" t="str">
        <f t="shared" si="3"/>
        <v/>
      </c>
      <c r="V78" s="24" t="str">
        <f t="shared" si="4"/>
        <v/>
      </c>
    </row>
    <row r="79" spans="1:28">
      <c r="C79" s="73"/>
      <c r="D79" s="74"/>
      <c r="Q79" s="26" t="str">
        <f t="shared" si="5"/>
        <v/>
      </c>
      <c r="T79" s="24" t="str">
        <f t="shared" si="3"/>
        <v/>
      </c>
      <c r="V79" s="24" t="str">
        <f t="shared" si="4"/>
        <v/>
      </c>
    </row>
    <row r="80" spans="1:28">
      <c r="C80" s="73"/>
      <c r="D80" s="74"/>
      <c r="Q80" s="26" t="str">
        <f t="shared" si="5"/>
        <v/>
      </c>
      <c r="T80" s="24" t="str">
        <f t="shared" si="3"/>
        <v/>
      </c>
      <c r="V80" s="24" t="str">
        <f t="shared" si="4"/>
        <v/>
      </c>
    </row>
    <row r="81" spans="3:22">
      <c r="C81" s="73"/>
      <c r="D81" s="74"/>
      <c r="Q81" s="26" t="str">
        <f t="shared" si="5"/>
        <v/>
      </c>
      <c r="T81" s="24" t="str">
        <f t="shared" si="3"/>
        <v/>
      </c>
      <c r="V81" s="24" t="str">
        <f t="shared" si="4"/>
        <v/>
      </c>
    </row>
    <row r="82" spans="3:22">
      <c r="C82" s="73"/>
      <c r="D82" s="74"/>
      <c r="Q82" s="26" t="str">
        <f t="shared" si="5"/>
        <v/>
      </c>
      <c r="T82" s="24" t="str">
        <f t="shared" si="3"/>
        <v/>
      </c>
      <c r="V82" s="24" t="str">
        <f t="shared" si="4"/>
        <v/>
      </c>
    </row>
    <row r="83" spans="3:22">
      <c r="C83" s="73"/>
      <c r="D83" s="74"/>
      <c r="Q83" s="26" t="str">
        <f t="shared" si="5"/>
        <v/>
      </c>
      <c r="T83" s="24" t="str">
        <f t="shared" si="3"/>
        <v/>
      </c>
      <c r="V83" s="24" t="str">
        <f t="shared" si="4"/>
        <v/>
      </c>
    </row>
    <row r="84" spans="3:22">
      <c r="C84" s="73"/>
      <c r="D84" s="74"/>
      <c r="Q84" s="26" t="str">
        <f t="shared" si="5"/>
        <v/>
      </c>
      <c r="T84" s="24" t="str">
        <f t="shared" si="3"/>
        <v/>
      </c>
      <c r="V84" s="24" t="str">
        <f t="shared" si="4"/>
        <v/>
      </c>
    </row>
    <row r="85" spans="3:22">
      <c r="C85" s="73"/>
      <c r="D85" s="74"/>
      <c r="Q85" s="26" t="str">
        <f t="shared" si="5"/>
        <v/>
      </c>
      <c r="T85" s="24" t="str">
        <f t="shared" si="3"/>
        <v/>
      </c>
      <c r="V85" s="24" t="str">
        <f t="shared" si="4"/>
        <v/>
      </c>
    </row>
    <row r="86" spans="3:22">
      <c r="C86" s="73"/>
      <c r="D86" s="74"/>
      <c r="Q86" s="26" t="str">
        <f t="shared" si="5"/>
        <v/>
      </c>
      <c r="T86" s="24" t="str">
        <f t="shared" si="3"/>
        <v/>
      </c>
      <c r="V86" s="24" t="str">
        <f t="shared" si="4"/>
        <v/>
      </c>
    </row>
    <row r="87" spans="3:22">
      <c r="C87" s="73"/>
      <c r="D87" s="74"/>
      <c r="Q87" s="26" t="str">
        <f t="shared" si="5"/>
        <v/>
      </c>
      <c r="T87" s="24" t="str">
        <f t="shared" si="3"/>
        <v/>
      </c>
      <c r="V87" s="24" t="str">
        <f t="shared" si="4"/>
        <v/>
      </c>
    </row>
    <row r="88" spans="3:22">
      <c r="C88" s="73"/>
      <c r="D88" s="74"/>
      <c r="Q88" s="26" t="str">
        <f t="shared" si="5"/>
        <v/>
      </c>
      <c r="T88" s="24" t="str">
        <f t="shared" si="3"/>
        <v/>
      </c>
      <c r="V88" s="24" t="str">
        <f t="shared" si="4"/>
        <v/>
      </c>
    </row>
    <row r="89" spans="3:22">
      <c r="C89" s="73"/>
      <c r="D89" s="74"/>
      <c r="Q89" s="26" t="str">
        <f t="shared" si="5"/>
        <v/>
      </c>
      <c r="T89" s="24" t="str">
        <f t="shared" si="3"/>
        <v/>
      </c>
      <c r="V89" s="24" t="str">
        <f t="shared" si="4"/>
        <v/>
      </c>
    </row>
    <row r="90" spans="3:22">
      <c r="C90" s="73"/>
      <c r="D90" s="74"/>
      <c r="Q90" s="26" t="str">
        <f t="shared" si="5"/>
        <v/>
      </c>
      <c r="T90" s="24" t="str">
        <f t="shared" si="3"/>
        <v/>
      </c>
      <c r="V90" s="24" t="str">
        <f t="shared" si="4"/>
        <v/>
      </c>
    </row>
    <row r="91" spans="3:22">
      <c r="C91" s="73"/>
      <c r="D91" s="74"/>
      <c r="Q91" s="26" t="str">
        <f t="shared" si="5"/>
        <v/>
      </c>
      <c r="T91" s="24" t="str">
        <f t="shared" si="3"/>
        <v/>
      </c>
      <c r="V91" s="24" t="str">
        <f t="shared" si="4"/>
        <v/>
      </c>
    </row>
    <row r="92" spans="3:22">
      <c r="C92" s="73"/>
      <c r="D92" s="74"/>
      <c r="Q92" s="26" t="str">
        <f t="shared" si="5"/>
        <v/>
      </c>
      <c r="T92" s="24" t="str">
        <f t="shared" si="3"/>
        <v/>
      </c>
      <c r="V92" s="24" t="str">
        <f t="shared" si="4"/>
        <v/>
      </c>
    </row>
    <row r="93" spans="3:22">
      <c r="C93" s="73"/>
      <c r="D93" s="74"/>
      <c r="Q93" s="26" t="str">
        <f t="shared" si="5"/>
        <v/>
      </c>
      <c r="T93" s="24" t="str">
        <f t="shared" si="3"/>
        <v/>
      </c>
      <c r="V93" s="24" t="str">
        <f t="shared" si="4"/>
        <v/>
      </c>
    </row>
    <row r="94" spans="3:22">
      <c r="C94" s="73"/>
      <c r="D94" s="74"/>
      <c r="Q94" s="26" t="str">
        <f t="shared" si="5"/>
        <v/>
      </c>
      <c r="T94" s="24" t="str">
        <f t="shared" si="3"/>
        <v/>
      </c>
      <c r="V94" s="24" t="str">
        <f t="shared" si="4"/>
        <v/>
      </c>
    </row>
    <row r="95" spans="3:22">
      <c r="C95" s="73"/>
      <c r="D95" s="74"/>
      <c r="Q95" s="26" t="str">
        <f t="shared" si="5"/>
        <v/>
      </c>
      <c r="T95" s="24" t="str">
        <f t="shared" si="3"/>
        <v/>
      </c>
      <c r="V95" s="24" t="str">
        <f t="shared" si="4"/>
        <v/>
      </c>
    </row>
    <row r="96" spans="3:22">
      <c r="C96" s="73"/>
      <c r="D96" s="74"/>
      <c r="Q96" s="26" t="str">
        <f t="shared" si="5"/>
        <v/>
      </c>
      <c r="T96" s="24" t="str">
        <f t="shared" si="3"/>
        <v/>
      </c>
      <c r="V96" s="24" t="str">
        <f t="shared" si="4"/>
        <v/>
      </c>
    </row>
    <row r="97" spans="3:22">
      <c r="C97" s="73"/>
      <c r="D97" s="74"/>
      <c r="Q97" s="26" t="str">
        <f t="shared" si="5"/>
        <v/>
      </c>
      <c r="T97" s="24" t="str">
        <f>IF(H97="","",IF(OR(H97="GREEN",H97="GK"),IF(S97&gt;=$AX$2,VLOOKUP(S97,$AX$2:$AY$12,2,1),""),IF(S97&gt;=$AZ$2,VLOOKUP(S97,$AZ$2:$BA$12,2,1),"")))</f>
        <v/>
      </c>
      <c r="V97" s="24" t="str">
        <f t="shared" si="4"/>
        <v/>
      </c>
    </row>
    <row r="98" spans="3:22">
      <c r="C98" s="73"/>
      <c r="D98" s="74"/>
      <c r="Q98" s="26" t="str">
        <f t="shared" si="5"/>
        <v/>
      </c>
      <c r="T98" s="24" t="str">
        <f>IF(H98="","",IF(OR(H98="GREEN",H98="GK"),IF(S98&gt;=$AX$2,VLOOKUP(S98,$AX$2:$AY$12,2,1),""),IF(S98&gt;=$AZ$2,VLOOKUP(S98,$AZ$2:$BA$12,2,1),"")))</f>
        <v/>
      </c>
      <c r="V98" s="24" t="str">
        <f t="shared" si="4"/>
        <v/>
      </c>
    </row>
    <row r="99" spans="3:22">
      <c r="C99" s="73"/>
      <c r="D99" s="74"/>
      <c r="Q99" s="26" t="str">
        <f t="shared" si="5"/>
        <v/>
      </c>
      <c r="T99" s="24" t="str">
        <f t="shared" si="3"/>
        <v/>
      </c>
      <c r="V99" s="24" t="str">
        <f t="shared" si="4"/>
        <v/>
      </c>
    </row>
    <row r="100" spans="3:22">
      <c r="C100" s="73"/>
      <c r="D100" s="74"/>
      <c r="Q100" s="26" t="str">
        <f t="shared" si="5"/>
        <v/>
      </c>
      <c r="T100" s="24" t="str">
        <f t="shared" si="3"/>
        <v/>
      </c>
      <c r="V100" s="24" t="str">
        <f t="shared" si="4"/>
        <v/>
      </c>
    </row>
    <row r="101" spans="3:22">
      <c r="C101" s="73"/>
      <c r="D101" s="74"/>
      <c r="Q101" s="26" t="str">
        <f t="shared" si="5"/>
        <v/>
      </c>
      <c r="T101" s="24" t="str">
        <f t="shared" si="3"/>
        <v/>
      </c>
      <c r="V101" s="24" t="str">
        <f t="shared" si="4"/>
        <v/>
      </c>
    </row>
    <row r="102" spans="3:22">
      <c r="C102" s="73"/>
      <c r="D102" s="74"/>
      <c r="Q102" s="26" t="str">
        <f t="shared" si="5"/>
        <v/>
      </c>
      <c r="T102" s="24" t="str">
        <f t="shared" si="3"/>
        <v/>
      </c>
      <c r="V102" s="24" t="str">
        <f t="shared" si="4"/>
        <v/>
      </c>
    </row>
    <row r="103" spans="3:22">
      <c r="C103" s="73"/>
      <c r="D103" s="74"/>
      <c r="Q103" s="26" t="str">
        <f t="shared" si="5"/>
        <v/>
      </c>
      <c r="T103" s="24" t="str">
        <f t="shared" si="3"/>
        <v/>
      </c>
      <c r="V103" s="24" t="str">
        <f t="shared" si="4"/>
        <v/>
      </c>
    </row>
    <row r="104" spans="3:22">
      <c r="C104" s="73"/>
      <c r="D104" s="74"/>
      <c r="Q104" s="26" t="str">
        <f t="shared" si="5"/>
        <v/>
      </c>
      <c r="T104" s="24" t="str">
        <f t="shared" si="3"/>
        <v/>
      </c>
      <c r="V104" s="24" t="str">
        <f t="shared" si="4"/>
        <v/>
      </c>
    </row>
    <row r="105" spans="3:22">
      <c r="C105" s="73"/>
      <c r="D105" s="74"/>
      <c r="Q105" s="26" t="str">
        <f t="shared" si="5"/>
        <v/>
      </c>
      <c r="T105" s="24" t="str">
        <f t="shared" si="3"/>
        <v/>
      </c>
      <c r="V105" s="24" t="str">
        <f t="shared" si="4"/>
        <v/>
      </c>
    </row>
    <row r="106" spans="3:22">
      <c r="C106" s="73"/>
      <c r="D106" s="74"/>
      <c r="Q106" s="26" t="str">
        <f t="shared" si="5"/>
        <v/>
      </c>
      <c r="T106" s="24" t="str">
        <f t="shared" si="3"/>
        <v/>
      </c>
      <c r="V106" s="24" t="str">
        <f t="shared" si="4"/>
        <v/>
      </c>
    </row>
    <row r="107" spans="3:22">
      <c r="C107" s="73"/>
      <c r="D107" s="74"/>
      <c r="Q107" s="26" t="str">
        <f t="shared" si="5"/>
        <v/>
      </c>
      <c r="T107" s="24" t="str">
        <f t="shared" si="3"/>
        <v/>
      </c>
      <c r="V107" s="24" t="str">
        <f t="shared" si="4"/>
        <v/>
      </c>
    </row>
    <row r="108" spans="3:22">
      <c r="C108" s="73"/>
      <c r="D108" s="74"/>
      <c r="Q108" s="26" t="str">
        <f t="shared" si="5"/>
        <v/>
      </c>
      <c r="T108" s="24" t="str">
        <f t="shared" si="3"/>
        <v/>
      </c>
      <c r="V108" s="24" t="str">
        <f t="shared" si="4"/>
        <v/>
      </c>
    </row>
    <row r="109" spans="3:22">
      <c r="C109" s="73"/>
      <c r="D109" s="74"/>
      <c r="Q109" s="26" t="str">
        <f t="shared" si="5"/>
        <v/>
      </c>
      <c r="T109" s="24" t="str">
        <f t="shared" si="3"/>
        <v/>
      </c>
      <c r="V109" s="24" t="str">
        <f t="shared" si="4"/>
        <v/>
      </c>
    </row>
    <row r="110" spans="3:22">
      <c r="C110" s="73"/>
      <c r="D110" s="74"/>
      <c r="Q110" s="26" t="str">
        <f t="shared" si="5"/>
        <v/>
      </c>
      <c r="T110" s="24" t="str">
        <f t="shared" si="3"/>
        <v/>
      </c>
      <c r="V110" s="24" t="str">
        <f t="shared" si="4"/>
        <v/>
      </c>
    </row>
    <row r="111" spans="3:22">
      <c r="C111" s="73"/>
      <c r="D111" s="74"/>
      <c r="Q111" s="26" t="str">
        <f t="shared" si="5"/>
        <v/>
      </c>
      <c r="T111" s="24" t="str">
        <f t="shared" si="3"/>
        <v/>
      </c>
      <c r="V111" s="24" t="str">
        <f t="shared" si="4"/>
        <v/>
      </c>
    </row>
    <row r="112" spans="3:22">
      <c r="C112" s="73"/>
      <c r="D112" s="74"/>
      <c r="Q112" s="26" t="str">
        <f t="shared" si="5"/>
        <v/>
      </c>
      <c r="T112" s="24" t="str">
        <f t="shared" si="3"/>
        <v/>
      </c>
      <c r="V112" s="24" t="str">
        <f t="shared" si="4"/>
        <v/>
      </c>
    </row>
    <row r="113" spans="3:22">
      <c r="C113" s="73"/>
      <c r="D113" s="74"/>
      <c r="Q113" s="26" t="str">
        <f t="shared" si="5"/>
        <v/>
      </c>
      <c r="T113" s="24" t="str">
        <f t="shared" si="3"/>
        <v/>
      </c>
      <c r="V113" s="24" t="str">
        <f t="shared" si="4"/>
        <v/>
      </c>
    </row>
    <row r="114" spans="3:22">
      <c r="C114" s="73"/>
      <c r="D114" s="74"/>
      <c r="Q114" s="26" t="str">
        <f t="shared" si="5"/>
        <v/>
      </c>
      <c r="T114" s="24" t="str">
        <f t="shared" si="3"/>
        <v/>
      </c>
      <c r="V114" s="24" t="str">
        <f t="shared" si="4"/>
        <v/>
      </c>
    </row>
    <row r="115" spans="3:22">
      <c r="C115" s="73"/>
      <c r="D115" s="74"/>
      <c r="Q115" s="26" t="str">
        <f t="shared" si="5"/>
        <v/>
      </c>
      <c r="T115" s="24" t="str">
        <f t="shared" si="3"/>
        <v/>
      </c>
      <c r="V115" s="24" t="str">
        <f t="shared" si="4"/>
        <v/>
      </c>
    </row>
    <row r="116" spans="3:22">
      <c r="C116" s="73"/>
      <c r="D116" s="74"/>
      <c r="Q116" s="26" t="str">
        <f t="shared" si="5"/>
        <v/>
      </c>
      <c r="T116" s="24" t="str">
        <f t="shared" si="3"/>
        <v/>
      </c>
      <c r="V116" s="24" t="str">
        <f t="shared" si="4"/>
        <v/>
      </c>
    </row>
    <row r="117" spans="3:22">
      <c r="C117" s="73"/>
      <c r="D117" s="74"/>
      <c r="Q117" s="26" t="str">
        <f t="shared" si="5"/>
        <v/>
      </c>
      <c r="T117" s="24" t="str">
        <f t="shared" si="3"/>
        <v/>
      </c>
      <c r="V117" s="24" t="str">
        <f t="shared" si="4"/>
        <v/>
      </c>
    </row>
    <row r="118" spans="3:22">
      <c r="C118" s="73"/>
      <c r="D118" s="74"/>
      <c r="Q118" s="26" t="str">
        <f t="shared" si="5"/>
        <v/>
      </c>
      <c r="T118" s="24" t="str">
        <f t="shared" si="3"/>
        <v/>
      </c>
      <c r="V118" s="24" t="str">
        <f t="shared" si="4"/>
        <v/>
      </c>
    </row>
    <row r="119" spans="3:22">
      <c r="C119" s="73"/>
      <c r="D119" s="74"/>
      <c r="Q119" s="26" t="str">
        <f t="shared" si="5"/>
        <v/>
      </c>
      <c r="T119" s="24" t="str">
        <f t="shared" si="3"/>
        <v/>
      </c>
      <c r="V119" s="24" t="str">
        <f t="shared" si="4"/>
        <v/>
      </c>
    </row>
    <row r="120" spans="3:22">
      <c r="C120" s="73"/>
      <c r="D120" s="74"/>
      <c r="Q120" s="26" t="str">
        <f t="shared" si="5"/>
        <v/>
      </c>
      <c r="T120" s="24" t="str">
        <f t="shared" si="3"/>
        <v/>
      </c>
      <c r="V120" s="24" t="str">
        <f t="shared" si="4"/>
        <v/>
      </c>
    </row>
    <row r="121" spans="3:22">
      <c r="C121" s="73"/>
      <c r="D121" s="74"/>
      <c r="Q121" s="26" t="str">
        <f t="shared" si="5"/>
        <v/>
      </c>
      <c r="T121" s="24" t="str">
        <f t="shared" si="3"/>
        <v/>
      </c>
      <c r="V121" s="24" t="str">
        <f t="shared" si="4"/>
        <v/>
      </c>
    </row>
    <row r="122" spans="3:22">
      <c r="C122" s="73"/>
      <c r="D122" s="74"/>
      <c r="Q122" s="26" t="str">
        <f t="shared" si="5"/>
        <v/>
      </c>
      <c r="T122" s="24" t="str">
        <f t="shared" si="3"/>
        <v/>
      </c>
      <c r="V122" s="24" t="str">
        <f t="shared" si="4"/>
        <v/>
      </c>
    </row>
    <row r="123" spans="3:22">
      <c r="C123" s="73"/>
      <c r="D123" s="74"/>
      <c r="Q123" s="26" t="str">
        <f t="shared" si="5"/>
        <v/>
      </c>
      <c r="T123" s="24" t="str">
        <f t="shared" si="3"/>
        <v/>
      </c>
      <c r="V123" s="24" t="str">
        <f t="shared" si="4"/>
        <v/>
      </c>
    </row>
    <row r="124" spans="3:22">
      <c r="C124" s="73"/>
      <c r="D124" s="74"/>
      <c r="Q124" s="26" t="str">
        <f t="shared" si="5"/>
        <v/>
      </c>
      <c r="T124" s="24" t="str">
        <f t="shared" si="3"/>
        <v/>
      </c>
      <c r="V124" s="24" t="str">
        <f t="shared" si="4"/>
        <v/>
      </c>
    </row>
    <row r="125" spans="3:22">
      <c r="C125" s="73"/>
      <c r="D125" s="74"/>
      <c r="Q125" s="26" t="str">
        <f t="shared" si="5"/>
        <v/>
      </c>
      <c r="T125" s="24" t="str">
        <f t="shared" si="3"/>
        <v/>
      </c>
      <c r="V125" s="24" t="str">
        <f t="shared" si="4"/>
        <v/>
      </c>
    </row>
    <row r="126" spans="3:22">
      <c r="C126" s="73"/>
      <c r="D126" s="74"/>
      <c r="Q126" s="26" t="str">
        <f t="shared" si="5"/>
        <v/>
      </c>
      <c r="T126" s="24" t="str">
        <f t="shared" si="3"/>
        <v/>
      </c>
      <c r="V126" s="24" t="str">
        <f t="shared" si="4"/>
        <v/>
      </c>
    </row>
    <row r="127" spans="3:22">
      <c r="C127" s="73"/>
      <c r="D127" s="74"/>
      <c r="Q127" s="26" t="str">
        <f t="shared" si="5"/>
        <v/>
      </c>
      <c r="T127" s="24" t="str">
        <f t="shared" si="3"/>
        <v/>
      </c>
      <c r="V127" s="24" t="str">
        <f t="shared" si="4"/>
        <v/>
      </c>
    </row>
    <row r="128" spans="3:22">
      <c r="C128" s="73"/>
      <c r="D128" s="74"/>
      <c r="Q128" s="26" t="str">
        <f t="shared" si="5"/>
        <v/>
      </c>
      <c r="T128" s="24" t="str">
        <f t="shared" si="3"/>
        <v/>
      </c>
      <c r="V128" s="24" t="str">
        <f t="shared" si="4"/>
        <v/>
      </c>
    </row>
    <row r="129" spans="3:22">
      <c r="C129" s="73"/>
      <c r="D129" s="74"/>
      <c r="Q129" s="26" t="str">
        <f t="shared" si="5"/>
        <v/>
      </c>
      <c r="T129" s="24" t="str">
        <f t="shared" si="3"/>
        <v/>
      </c>
      <c r="V129" s="24" t="str">
        <f t="shared" si="4"/>
        <v/>
      </c>
    </row>
    <row r="130" spans="3:22">
      <c r="C130" s="73"/>
      <c r="D130" s="74"/>
      <c r="Q130" s="26" t="str">
        <f t="shared" si="5"/>
        <v/>
      </c>
      <c r="T130" s="24" t="str">
        <f t="shared" si="3"/>
        <v/>
      </c>
      <c r="V130" s="24" t="str">
        <f t="shared" si="4"/>
        <v/>
      </c>
    </row>
    <row r="131" spans="3:22">
      <c r="C131" s="73"/>
      <c r="D131" s="74"/>
      <c r="Q131" s="26" t="str">
        <f>IF(OR(O131="",P131=""),"",AVERAGE(O131,P131))</f>
        <v/>
      </c>
      <c r="T131" s="24" t="str">
        <f t="shared" si="3"/>
        <v/>
      </c>
      <c r="V131" s="24" t="str">
        <f t="shared" si="4"/>
        <v/>
      </c>
    </row>
    <row r="132" spans="3:22">
      <c r="C132" s="73"/>
      <c r="D132" s="74"/>
      <c r="Q132" s="26" t="str">
        <f t="shared" ref="Q132:Q195" si="6">IF(OR(O132="",P132=""),"",AVERAGE(O132,P132))</f>
        <v/>
      </c>
      <c r="T132" s="24" t="str">
        <f t="shared" si="3"/>
        <v/>
      </c>
      <c r="V132" s="24" t="str">
        <f t="shared" si="4"/>
        <v/>
      </c>
    </row>
    <row r="133" spans="3:22">
      <c r="C133" s="73"/>
      <c r="D133" s="74"/>
      <c r="Q133" s="26" t="str">
        <f t="shared" si="6"/>
        <v/>
      </c>
      <c r="T133" s="24" t="str">
        <f t="shared" si="3"/>
        <v/>
      </c>
      <c r="V133" s="24" t="str">
        <f t="shared" si="4"/>
        <v/>
      </c>
    </row>
    <row r="134" spans="3:22">
      <c r="C134" s="73"/>
      <c r="D134" s="74"/>
      <c r="Q134" s="26" t="str">
        <f t="shared" si="6"/>
        <v/>
      </c>
      <c r="T134" s="24" t="str">
        <f t="shared" si="3"/>
        <v/>
      </c>
      <c r="V134" s="24" t="str">
        <f t="shared" si="4"/>
        <v/>
      </c>
    </row>
    <row r="135" spans="3:22">
      <c r="C135" s="73"/>
      <c r="D135" s="74"/>
      <c r="Q135" s="26" t="str">
        <f>IF(OR(O135="",P135=""),"",AVERAGE(O135,P135))</f>
        <v/>
      </c>
      <c r="T135" s="24" t="str">
        <f t="shared" si="3"/>
        <v/>
      </c>
      <c r="V135" s="24" t="str">
        <f t="shared" si="4"/>
        <v/>
      </c>
    </row>
    <row r="136" spans="3:22">
      <c r="C136" s="73"/>
      <c r="D136" s="74"/>
      <c r="Q136" s="26" t="str">
        <f t="shared" si="6"/>
        <v/>
      </c>
      <c r="T136" s="24" t="str">
        <f t="shared" si="3"/>
        <v/>
      </c>
      <c r="V136" s="24" t="str">
        <f t="shared" si="4"/>
        <v/>
      </c>
    </row>
    <row r="137" spans="3:22">
      <c r="C137" s="73"/>
      <c r="D137" s="74"/>
      <c r="Q137" s="26" t="str">
        <f t="shared" si="6"/>
        <v/>
      </c>
      <c r="T137" s="24" t="str">
        <f t="shared" si="3"/>
        <v/>
      </c>
      <c r="V137" s="24" t="str">
        <f t="shared" si="4"/>
        <v/>
      </c>
    </row>
    <row r="138" spans="3:22">
      <c r="C138" s="73"/>
      <c r="D138" s="74"/>
      <c r="Q138" s="26" t="str">
        <f t="shared" si="6"/>
        <v/>
      </c>
      <c r="T138" s="24" t="str">
        <f t="shared" ref="T138:T152" si="7">IF(H138="","",IF(OR(H138="GREEN",H138="GK"),IF(S138&gt;=$AX$2,VLOOKUP(S138,$AX$2:$AY$12,2,1),""),IF(S138&gt;=$AZ$2,VLOOKUP(S138,$AZ$2:$BA$12,2,1),"")))</f>
        <v/>
      </c>
      <c r="V138" s="24" t="str">
        <f t="shared" si="4"/>
        <v/>
      </c>
    </row>
    <row r="139" spans="3:22">
      <c r="C139" s="73"/>
      <c r="D139" s="74"/>
      <c r="Q139" s="26" t="str">
        <f t="shared" si="6"/>
        <v/>
      </c>
      <c r="T139" s="24" t="str">
        <f t="shared" si="7"/>
        <v/>
      </c>
      <c r="V139" s="24" t="str">
        <f t="shared" si="4"/>
        <v/>
      </c>
    </row>
    <row r="140" spans="3:22">
      <c r="C140" s="73"/>
      <c r="D140" s="74"/>
      <c r="Q140" s="26" t="str">
        <f t="shared" si="6"/>
        <v/>
      </c>
      <c r="T140" s="24" t="str">
        <f t="shared" si="7"/>
        <v/>
      </c>
      <c r="V140" s="24" t="str">
        <f t="shared" si="4"/>
        <v/>
      </c>
    </row>
    <row r="141" spans="3:22">
      <c r="C141" s="73"/>
      <c r="D141" s="74"/>
      <c r="Q141" s="26" t="str">
        <f t="shared" si="6"/>
        <v/>
      </c>
      <c r="T141" s="24" t="str">
        <f t="shared" si="7"/>
        <v/>
      </c>
      <c r="V141" s="24" t="str">
        <f t="shared" si="4"/>
        <v/>
      </c>
    </row>
    <row r="142" spans="3:22">
      <c r="C142" s="73"/>
      <c r="D142" s="74"/>
      <c r="Q142" s="26" t="str">
        <f t="shared" si="6"/>
        <v/>
      </c>
      <c r="T142" s="24" t="str">
        <f t="shared" si="7"/>
        <v/>
      </c>
      <c r="V142" s="24" t="str">
        <f t="shared" si="4"/>
        <v/>
      </c>
    </row>
    <row r="143" spans="3:22">
      <c r="C143" s="73"/>
      <c r="D143" s="74"/>
      <c r="Q143" s="26" t="str">
        <f t="shared" si="6"/>
        <v/>
      </c>
      <c r="T143" s="24" t="str">
        <f t="shared" si="7"/>
        <v/>
      </c>
      <c r="V143" s="24" t="str">
        <f t="shared" si="4"/>
        <v/>
      </c>
    </row>
    <row r="144" spans="3:22">
      <c r="C144" s="73"/>
      <c r="D144" s="74"/>
      <c r="Q144" s="26" t="str">
        <f t="shared" si="6"/>
        <v/>
      </c>
      <c r="T144" s="24" t="str">
        <f t="shared" si="7"/>
        <v/>
      </c>
      <c r="V144" s="24" t="str">
        <f t="shared" si="4"/>
        <v/>
      </c>
    </row>
    <row r="145" spans="3:22">
      <c r="C145" s="73"/>
      <c r="D145" s="74"/>
      <c r="Q145" s="26" t="str">
        <f t="shared" si="6"/>
        <v/>
      </c>
      <c r="T145" s="24" t="str">
        <f t="shared" si="7"/>
        <v/>
      </c>
      <c r="V145" s="24" t="str">
        <f t="shared" si="4"/>
        <v/>
      </c>
    </row>
    <row r="146" spans="3:22">
      <c r="Q146" s="26" t="str">
        <f t="shared" si="6"/>
        <v/>
      </c>
      <c r="T146" s="24" t="str">
        <f t="shared" si="7"/>
        <v/>
      </c>
      <c r="V146" s="24" t="str">
        <f t="shared" si="4"/>
        <v/>
      </c>
    </row>
    <row r="147" spans="3:22">
      <c r="Q147" s="26" t="str">
        <f t="shared" si="6"/>
        <v/>
      </c>
      <c r="T147" s="24" t="str">
        <f t="shared" si="7"/>
        <v/>
      </c>
      <c r="V147" s="24" t="str">
        <f t="shared" si="4"/>
        <v/>
      </c>
    </row>
    <row r="148" spans="3:22">
      <c r="Q148" s="26" t="str">
        <f t="shared" si="6"/>
        <v/>
      </c>
      <c r="T148" s="24" t="str">
        <f t="shared" si="7"/>
        <v/>
      </c>
      <c r="V148" s="24" t="str">
        <f t="shared" si="4"/>
        <v/>
      </c>
    </row>
    <row r="149" spans="3:22">
      <c r="Q149" s="26" t="str">
        <f t="shared" si="6"/>
        <v/>
      </c>
      <c r="T149" s="24" t="str">
        <f t="shared" si="7"/>
        <v/>
      </c>
      <c r="V149" s="24" t="str">
        <f t="shared" si="4"/>
        <v/>
      </c>
    </row>
    <row r="150" spans="3:22">
      <c r="Q150" s="26" t="str">
        <f t="shared" si="6"/>
        <v/>
      </c>
      <c r="T150" s="24" t="str">
        <f t="shared" si="7"/>
        <v/>
      </c>
      <c r="V150" s="24" t="str">
        <f t="shared" si="4"/>
        <v/>
      </c>
    </row>
    <row r="151" spans="3:22">
      <c r="Q151" s="26" t="str">
        <f t="shared" si="6"/>
        <v/>
      </c>
      <c r="T151" s="24" t="str">
        <f t="shared" si="7"/>
        <v/>
      </c>
      <c r="V151" s="24" t="str">
        <f t="shared" si="4"/>
        <v/>
      </c>
    </row>
    <row r="152" spans="3:22">
      <c r="Q152" s="26" t="str">
        <f t="shared" si="6"/>
        <v/>
      </c>
      <c r="T152" s="24" t="str">
        <f t="shared" si="7"/>
        <v/>
      </c>
      <c r="V152" s="24" t="str">
        <f t="shared" si="4"/>
        <v/>
      </c>
    </row>
    <row r="153" spans="3:22">
      <c r="Q153" s="26" t="str">
        <f t="shared" si="6"/>
        <v/>
      </c>
    </row>
    <row r="154" spans="3:22">
      <c r="Q154" s="26" t="str">
        <f t="shared" si="6"/>
        <v/>
      </c>
    </row>
    <row r="155" spans="3:22">
      <c r="Q155" s="26" t="str">
        <f t="shared" si="6"/>
        <v/>
      </c>
    </row>
    <row r="156" spans="3:22">
      <c r="Q156" s="26" t="str">
        <f t="shared" si="6"/>
        <v/>
      </c>
    </row>
    <row r="157" spans="3:22">
      <c r="Q157" s="26" t="str">
        <f t="shared" si="6"/>
        <v/>
      </c>
    </row>
    <row r="158" spans="3:22">
      <c r="Q158" s="26" t="str">
        <f t="shared" si="6"/>
        <v/>
      </c>
    </row>
    <row r="159" spans="3:22">
      <c r="Q159" s="26" t="str">
        <f t="shared" si="6"/>
        <v/>
      </c>
    </row>
    <row r="160" spans="3:22">
      <c r="Q160" s="26" t="str">
        <f t="shared" si="6"/>
        <v/>
      </c>
    </row>
    <row r="161" spans="17:17">
      <c r="Q161" s="26" t="str">
        <f t="shared" si="6"/>
        <v/>
      </c>
    </row>
    <row r="162" spans="17:17">
      <c r="Q162" s="26" t="str">
        <f t="shared" si="6"/>
        <v/>
      </c>
    </row>
    <row r="163" spans="17:17">
      <c r="Q163" s="26" t="str">
        <f t="shared" si="6"/>
        <v/>
      </c>
    </row>
    <row r="164" spans="17:17">
      <c r="Q164" s="26" t="str">
        <f t="shared" si="6"/>
        <v/>
      </c>
    </row>
    <row r="165" spans="17:17">
      <c r="Q165" s="26" t="str">
        <f t="shared" si="6"/>
        <v/>
      </c>
    </row>
    <row r="166" spans="17:17">
      <c r="Q166" s="26" t="str">
        <f t="shared" si="6"/>
        <v/>
      </c>
    </row>
    <row r="167" spans="17:17">
      <c r="Q167" s="26" t="str">
        <f t="shared" si="6"/>
        <v/>
      </c>
    </row>
    <row r="168" spans="17:17">
      <c r="Q168" s="26" t="str">
        <f t="shared" si="6"/>
        <v/>
      </c>
    </row>
    <row r="169" spans="17:17">
      <c r="Q169" s="26" t="str">
        <f t="shared" si="6"/>
        <v/>
      </c>
    </row>
    <row r="170" spans="17:17">
      <c r="Q170" s="26" t="str">
        <f t="shared" si="6"/>
        <v/>
      </c>
    </row>
    <row r="171" spans="17:17">
      <c r="Q171" s="26" t="str">
        <f t="shared" si="6"/>
        <v/>
      </c>
    </row>
    <row r="172" spans="17:17">
      <c r="Q172" s="26" t="str">
        <f t="shared" si="6"/>
        <v/>
      </c>
    </row>
    <row r="173" spans="17:17">
      <c r="Q173" s="26" t="str">
        <f t="shared" si="6"/>
        <v/>
      </c>
    </row>
    <row r="174" spans="17:17">
      <c r="Q174" s="26" t="str">
        <f t="shared" si="6"/>
        <v/>
      </c>
    </row>
    <row r="175" spans="17:17">
      <c r="Q175" s="26" t="str">
        <f t="shared" si="6"/>
        <v/>
      </c>
    </row>
    <row r="176" spans="17:17">
      <c r="Q176" s="26" t="str">
        <f t="shared" si="6"/>
        <v/>
      </c>
    </row>
    <row r="177" spans="17:17">
      <c r="Q177" s="26" t="str">
        <f t="shared" si="6"/>
        <v/>
      </c>
    </row>
    <row r="178" spans="17:17">
      <c r="Q178" s="26" t="str">
        <f t="shared" si="6"/>
        <v/>
      </c>
    </row>
    <row r="179" spans="17:17">
      <c r="Q179" s="26" t="str">
        <f t="shared" si="6"/>
        <v/>
      </c>
    </row>
    <row r="180" spans="17:17">
      <c r="Q180" s="26" t="str">
        <f t="shared" si="6"/>
        <v/>
      </c>
    </row>
    <row r="181" spans="17:17">
      <c r="Q181" s="26" t="str">
        <f t="shared" si="6"/>
        <v/>
      </c>
    </row>
    <row r="182" spans="17:17">
      <c r="Q182" s="26" t="str">
        <f t="shared" si="6"/>
        <v/>
      </c>
    </row>
    <row r="183" spans="17:17">
      <c r="Q183" s="26" t="str">
        <f t="shared" si="6"/>
        <v/>
      </c>
    </row>
    <row r="184" spans="17:17">
      <c r="Q184" s="26" t="str">
        <f t="shared" si="6"/>
        <v/>
      </c>
    </row>
    <row r="185" spans="17:17">
      <c r="Q185" s="26" t="str">
        <f t="shared" si="6"/>
        <v/>
      </c>
    </row>
    <row r="186" spans="17:17">
      <c r="Q186" s="26" t="str">
        <f t="shared" si="6"/>
        <v/>
      </c>
    </row>
    <row r="187" spans="17:17">
      <c r="Q187" s="26" t="str">
        <f t="shared" si="6"/>
        <v/>
      </c>
    </row>
    <row r="188" spans="17:17">
      <c r="Q188" s="26" t="str">
        <f t="shared" si="6"/>
        <v/>
      </c>
    </row>
    <row r="189" spans="17:17">
      <c r="Q189" s="26" t="str">
        <f t="shared" si="6"/>
        <v/>
      </c>
    </row>
    <row r="190" spans="17:17">
      <c r="Q190" s="26" t="str">
        <f t="shared" si="6"/>
        <v/>
      </c>
    </row>
    <row r="191" spans="17:17">
      <c r="Q191" s="26" t="str">
        <f t="shared" si="6"/>
        <v/>
      </c>
    </row>
    <row r="192" spans="17:17">
      <c r="Q192" s="26" t="str">
        <f t="shared" si="6"/>
        <v/>
      </c>
    </row>
    <row r="193" spans="17:17">
      <c r="Q193" s="26" t="str">
        <f t="shared" si="6"/>
        <v/>
      </c>
    </row>
    <row r="194" spans="17:17">
      <c r="Q194" s="26" t="str">
        <f t="shared" si="6"/>
        <v/>
      </c>
    </row>
    <row r="195" spans="17:17">
      <c r="Q195" s="26" t="str">
        <f t="shared" si="6"/>
        <v/>
      </c>
    </row>
    <row r="196" spans="17:17">
      <c r="Q196" s="26" t="str">
        <f t="shared" ref="Q196:Q219" si="8">IF(OR(O196="",P196=""),"",AVERAGE(O196,P196))</f>
        <v/>
      </c>
    </row>
    <row r="197" spans="17:17">
      <c r="Q197" s="26" t="str">
        <f t="shared" si="8"/>
        <v/>
      </c>
    </row>
    <row r="198" spans="17:17">
      <c r="Q198" s="26" t="str">
        <f t="shared" si="8"/>
        <v/>
      </c>
    </row>
    <row r="199" spans="17:17">
      <c r="Q199" s="26" t="str">
        <f t="shared" si="8"/>
        <v/>
      </c>
    </row>
    <row r="200" spans="17:17">
      <c r="Q200" s="26" t="str">
        <f t="shared" si="8"/>
        <v/>
      </c>
    </row>
    <row r="201" spans="17:17">
      <c r="Q201" s="26" t="str">
        <f t="shared" si="8"/>
        <v/>
      </c>
    </row>
    <row r="202" spans="17:17">
      <c r="Q202" s="26" t="str">
        <f t="shared" si="8"/>
        <v/>
      </c>
    </row>
    <row r="203" spans="17:17">
      <c r="Q203" s="26" t="str">
        <f t="shared" si="8"/>
        <v/>
      </c>
    </row>
    <row r="204" spans="17:17">
      <c r="Q204" s="26" t="str">
        <f t="shared" si="8"/>
        <v/>
      </c>
    </row>
    <row r="205" spans="17:17">
      <c r="Q205" s="26" t="str">
        <f t="shared" si="8"/>
        <v/>
      </c>
    </row>
    <row r="206" spans="17:17">
      <c r="Q206" s="26" t="str">
        <f t="shared" si="8"/>
        <v/>
      </c>
    </row>
    <row r="207" spans="17:17">
      <c r="Q207" s="26" t="str">
        <f t="shared" si="8"/>
        <v/>
      </c>
    </row>
    <row r="208" spans="17:17">
      <c r="Q208" s="26" t="str">
        <f t="shared" si="8"/>
        <v/>
      </c>
    </row>
    <row r="209" spans="17:17">
      <c r="Q209" s="26" t="str">
        <f t="shared" si="8"/>
        <v/>
      </c>
    </row>
    <row r="210" spans="17:17">
      <c r="Q210" s="26" t="str">
        <f t="shared" si="8"/>
        <v/>
      </c>
    </row>
    <row r="211" spans="17:17">
      <c r="Q211" s="26" t="str">
        <f t="shared" si="8"/>
        <v/>
      </c>
    </row>
    <row r="212" spans="17:17">
      <c r="Q212" s="26" t="str">
        <f t="shared" si="8"/>
        <v/>
      </c>
    </row>
    <row r="213" spans="17:17">
      <c r="Q213" s="26" t="str">
        <f t="shared" si="8"/>
        <v/>
      </c>
    </row>
    <row r="214" spans="17:17">
      <c r="Q214" s="26" t="str">
        <f t="shared" si="8"/>
        <v/>
      </c>
    </row>
    <row r="215" spans="17:17">
      <c r="Q215" s="26" t="str">
        <f t="shared" si="8"/>
        <v/>
      </c>
    </row>
    <row r="216" spans="17:17">
      <c r="Q216" s="26" t="str">
        <f t="shared" si="8"/>
        <v/>
      </c>
    </row>
    <row r="217" spans="17:17">
      <c r="Q217" s="26" t="str">
        <f t="shared" si="8"/>
        <v/>
      </c>
    </row>
    <row r="218" spans="17:17">
      <c r="Q218" s="26" t="str">
        <f t="shared" si="8"/>
        <v/>
      </c>
    </row>
    <row r="219" spans="17:17">
      <c r="Q219" s="26" t="str">
        <f t="shared" si="8"/>
        <v/>
      </c>
    </row>
  </sheetData>
  <autoFilter ref="A1:BA152" xr:uid="{00000000-0009-0000-0000-000005000000}"/>
  <phoneticPr fontId="3"/>
  <dataValidations count="20">
    <dataValidation type="list" allowBlank="1" showInputMessage="1" showErrorMessage="1" sqref="K2:K1000" xr:uid="{52ED9081-630C-49E9-BAB3-EFC455CEB07A}">
      <formula1>$AR$2:$AR$29</formula1>
    </dataValidation>
    <dataValidation type="list" allowBlank="1" showInputMessage="1" showErrorMessage="1" sqref="J2:J1000" xr:uid="{729783BC-EC6C-4D77-8594-417325BE8F0E}">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5009FCC9-55D1-44F5-941D-68AA782838B4}">
      <formula1>$AR$2:$AR$30</formula1>
    </dataValidation>
    <dataValidation type="list" allowBlank="1" showInputMessage="1" showErrorMessage="1" sqref="H2:H1307" xr:uid="{142AF6A3-40A5-48FF-AF1D-64D9F0C7DB6E}">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42897EE1-6E59-47BD-9511-0684BF1D2F71}">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66F1C72D-40E5-4B08-902A-F854E509CF43}">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3B23173C-A40E-4C31-A63C-3A33E1D6DD65}">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D3311024-2C42-4F44-B0EE-E17FF60D2520}">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A8DE8F16-B28A-40E6-A3AD-7DB56A31262F}">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E0CA49CA-458B-42C4-B6F3-D0E2AA799847}">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6575A6D6-CEB1-4E1B-BE7A-A618F84FE977}">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867164A0-8CF6-4D90-96B4-870125A2F376}">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448226E3-D87E-4EFE-913B-E0FD922C38F8}">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CFFB5517-BE03-4761-ABDA-4E8BB4BC7FD4}">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DEF44222-7A3B-4F2E-A03C-F05AE1B5BCB9}">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8FADEC50-C8DB-4DC9-9990-8C3722B8CC06}">
      <formula1>#REF!</formula1>
    </dataValidation>
    <dataValidation type="list" allowBlank="1" showInputMessage="1" showErrorMessage="1" sqref="E2:E492" xr:uid="{ECD21DEF-DC8D-45CE-9DA3-8844F58E6A0D}">
      <formula1>$AG$2:$AG$11</formula1>
    </dataValidation>
    <dataValidation type="decimal" allowBlank="1" showInputMessage="1" showErrorMessage="1" error="硬度を正しく入力して下さい。" sqref="O2:P492" xr:uid="{BF86926A-4B44-4870-824C-5927F40B5C6F}">
      <formula1>0</formula1>
      <formula2>7</formula2>
    </dataValidation>
    <dataValidation type="list" allowBlank="1" showInputMessage="1" showErrorMessage="1" sqref="F2:F1446" xr:uid="{2F0810B6-3B99-4DCD-BBBC-D71FBE63B910}">
      <formula1>$AH$2:$AH$11</formula1>
    </dataValidation>
    <dataValidation type="list" allowBlank="1" showInputMessage="1" showErrorMessage="1" sqref="AC38 Y2:AA583" xr:uid="{7E28DFFC-37EF-4AEE-B933-397325C89786}">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361"/>
  <sheetViews>
    <sheetView zoomScale="85" zoomScaleNormal="85" zoomScaleSheetLayoutView="100" workbookViewId="0">
      <pane ySplit="1" topLeftCell="A2" activePane="bottomLeft" state="frozen"/>
      <selection pane="bottomLeft" activeCell="A2" sqref="A2"/>
    </sheetView>
  </sheetViews>
  <sheetFormatPr defaultColWidth="9" defaultRowHeight="13.5"/>
  <cols>
    <col min="1" max="1" width="7.875" style="10" customWidth="1"/>
    <col min="2" max="2" width="6.75" style="10" customWidth="1"/>
    <col min="3" max="3" width="8.25" style="10" customWidth="1"/>
    <col min="4" max="4" width="10.375" style="10" customWidth="1"/>
    <col min="5" max="16" width="9" style="10" customWidth="1"/>
    <col min="17" max="17" width="9" style="24" customWidth="1"/>
    <col min="18" max="19" width="9" style="10" customWidth="1"/>
    <col min="20" max="20" width="9" style="24" customWidth="1"/>
    <col min="21" max="21" width="9" style="10" customWidth="1"/>
    <col min="22" max="22" width="9" style="24" customWidth="1"/>
    <col min="23" max="28" width="9" style="10" customWidth="1"/>
    <col min="29" max="30" width="9" style="10"/>
    <col min="31" max="31" width="10.125" style="10" bestFit="1" customWidth="1"/>
    <col min="32" max="32" width="9" style="10"/>
    <col min="33" max="33" width="13.875" style="10" bestFit="1" customWidth="1"/>
    <col min="34" max="34" width="12.375" style="10" bestFit="1" customWidth="1"/>
    <col min="35" max="35" width="9" style="23"/>
    <col min="36" max="36" width="13.125" style="23" bestFit="1" customWidth="1"/>
    <col min="37" max="37" width="9" style="23"/>
    <col min="38" max="38" width="13.375" style="23" bestFit="1" customWidth="1"/>
    <col min="39" max="39" width="9" style="23"/>
    <col min="40" max="40" width="13.125" style="10" bestFit="1" customWidth="1"/>
    <col min="41" max="41" width="9" style="10"/>
    <col min="42" max="42" width="13.625" style="10" bestFit="1" customWidth="1"/>
    <col min="43" max="43" width="9" style="10"/>
    <col min="44" max="44" width="11.625" style="10" bestFit="1" customWidth="1"/>
    <col min="45" max="45" width="9" style="10"/>
    <col min="46" max="46" width="13.125" style="10" bestFit="1" customWidth="1"/>
    <col min="47" max="47" width="9" style="10"/>
    <col min="48" max="48" width="14.75" style="10" bestFit="1" customWidth="1"/>
    <col min="49" max="49" width="9" style="10"/>
    <col min="50" max="50" width="13.125" style="10" bestFit="1" customWidth="1"/>
    <col min="51" max="51" width="11.375" style="10" bestFit="1" customWidth="1"/>
    <col min="52" max="52" width="13.125" style="10" bestFit="1" customWidth="1"/>
    <col min="53" max="53" width="10.375" style="10" bestFit="1" customWidth="1"/>
    <col min="54" max="16384" width="9" style="10"/>
  </cols>
  <sheetData>
    <row r="1" spans="1:53" ht="4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6" t="s">
        <v>20</v>
      </c>
      <c r="V1" s="7" t="s">
        <v>21</v>
      </c>
      <c r="W1" s="3" t="s">
        <v>22</v>
      </c>
      <c r="X1" s="4" t="s">
        <v>23</v>
      </c>
      <c r="Y1" s="4" t="s">
        <v>24</v>
      </c>
      <c r="Z1" s="4" t="s">
        <v>25</v>
      </c>
      <c r="AA1" s="8" t="s">
        <v>26</v>
      </c>
      <c r="AB1" s="9" t="s">
        <v>27</v>
      </c>
      <c r="AE1" s="11" t="s">
        <v>0</v>
      </c>
      <c r="AF1" s="12"/>
      <c r="AG1" s="11" t="s">
        <v>4</v>
      </c>
      <c r="AH1" s="11" t="s">
        <v>5</v>
      </c>
      <c r="AI1" s="13"/>
      <c r="AJ1" s="14" t="s">
        <v>6</v>
      </c>
      <c r="AK1" s="13"/>
      <c r="AL1" s="15" t="s">
        <v>7</v>
      </c>
      <c r="AM1" s="13"/>
      <c r="AN1" s="16" t="s">
        <v>8</v>
      </c>
      <c r="AO1" s="12"/>
      <c r="AP1" s="16" t="s">
        <v>28</v>
      </c>
      <c r="AQ1" s="12"/>
      <c r="AR1" s="16" t="s">
        <v>10</v>
      </c>
      <c r="AS1" s="12"/>
      <c r="AT1" s="17" t="s">
        <v>29</v>
      </c>
      <c r="AU1" s="12"/>
      <c r="AV1" s="16" t="s">
        <v>30</v>
      </c>
      <c r="AX1" s="18" t="s">
        <v>31</v>
      </c>
      <c r="AY1" s="19" t="s">
        <v>32</v>
      </c>
      <c r="AZ1" s="19" t="s">
        <v>33</v>
      </c>
      <c r="BA1" s="20" t="s">
        <v>34</v>
      </c>
    </row>
    <row r="2" spans="1:53" s="179" customFormat="1" ht="13.5" customHeight="1">
      <c r="A2" s="177" t="s">
        <v>35</v>
      </c>
      <c r="B2" s="177" t="s">
        <v>36</v>
      </c>
      <c r="C2" s="177">
        <v>2020</v>
      </c>
      <c r="D2" s="178" t="s">
        <v>161</v>
      </c>
      <c r="E2" s="177" t="s">
        <v>37</v>
      </c>
      <c r="F2" s="177" t="s">
        <v>38</v>
      </c>
      <c r="G2" s="177" t="s">
        <v>39</v>
      </c>
      <c r="H2" s="177" t="s">
        <v>40</v>
      </c>
      <c r="I2" s="177" t="s">
        <v>41</v>
      </c>
      <c r="J2" s="179" t="s">
        <v>42</v>
      </c>
      <c r="K2" s="179" t="s">
        <v>43</v>
      </c>
      <c r="L2" s="177">
        <v>1</v>
      </c>
      <c r="M2" s="180"/>
      <c r="N2" s="180">
        <v>1</v>
      </c>
      <c r="O2" s="180">
        <v>0.65</v>
      </c>
      <c r="P2" s="180">
        <v>0.9</v>
      </c>
      <c r="Q2" s="181">
        <f t="shared" ref="Q2:Q70" si="0">IF(OR(O2="",P2=""),"",AVERAGE(O2,P2))</f>
        <v>0.77500000000000002</v>
      </c>
      <c r="R2" s="182">
        <v>14.5</v>
      </c>
      <c r="S2" s="183">
        <v>115</v>
      </c>
      <c r="T2" s="184">
        <f t="shared" ref="T2:T33" si="1">IF(H2="","",IF(OR(H2="GREEN",H2="GK"),IF(S2&gt;=$AX$2,VLOOKUP(S2,$AX$2:$AY$7,2,1),""),IF(S2&gt;=$AZ$2,VLOOKUP(S2,$AZ$2:$BA$7,2,1),"")))</f>
        <v>30</v>
      </c>
      <c r="U2" s="185">
        <v>98</v>
      </c>
      <c r="V2" s="186">
        <f t="shared" ref="V2:V70" si="2">IF(OR(N2="",U2="",T2=""),"",U2/N2*T2)</f>
        <v>2940</v>
      </c>
      <c r="W2" s="187">
        <v>2</v>
      </c>
      <c r="X2" s="188" t="s">
        <v>44</v>
      </c>
      <c r="Y2" s="188" t="s">
        <v>163</v>
      </c>
      <c r="Z2" s="188" t="s">
        <v>164</v>
      </c>
      <c r="AA2" s="188" t="s">
        <v>167</v>
      </c>
      <c r="AB2" s="179" t="s">
        <v>48</v>
      </c>
      <c r="AE2" s="189" t="s">
        <v>49</v>
      </c>
      <c r="AG2" s="190" t="s">
        <v>50</v>
      </c>
      <c r="AH2" s="190" t="s">
        <v>38</v>
      </c>
      <c r="AI2" s="191"/>
      <c r="AJ2" s="192" t="s">
        <v>39</v>
      </c>
      <c r="AK2" s="191"/>
      <c r="AL2" s="189" t="s">
        <v>51</v>
      </c>
      <c r="AM2" s="191"/>
      <c r="AN2" s="193" t="s">
        <v>52</v>
      </c>
      <c r="AP2" s="193" t="s">
        <v>42</v>
      </c>
      <c r="AR2" s="193" t="s">
        <v>53</v>
      </c>
      <c r="AT2" s="193" t="s">
        <v>44</v>
      </c>
      <c r="AV2" s="193" t="s">
        <v>54</v>
      </c>
      <c r="AX2" s="194">
        <v>1</v>
      </c>
      <c r="AY2" s="195">
        <v>50</v>
      </c>
      <c r="AZ2" s="195">
        <v>1</v>
      </c>
      <c r="BA2" s="196">
        <v>50</v>
      </c>
    </row>
    <row r="3" spans="1:53" s="179" customFormat="1" ht="13.5" customHeight="1">
      <c r="A3" s="177" t="s">
        <v>35</v>
      </c>
      <c r="B3" s="177" t="s">
        <v>36</v>
      </c>
      <c r="C3" s="177">
        <v>2020</v>
      </c>
      <c r="D3" s="178" t="s">
        <v>161</v>
      </c>
      <c r="E3" s="177" t="s">
        <v>37</v>
      </c>
      <c r="F3" s="177" t="s">
        <v>38</v>
      </c>
      <c r="G3" s="177" t="s">
        <v>39</v>
      </c>
      <c r="H3" s="177" t="s">
        <v>40</v>
      </c>
      <c r="I3" s="177" t="s">
        <v>41</v>
      </c>
      <c r="J3" s="179" t="s">
        <v>42</v>
      </c>
      <c r="K3" s="179" t="s">
        <v>43</v>
      </c>
      <c r="L3" s="177">
        <v>2</v>
      </c>
      <c r="N3" s="179">
        <v>1</v>
      </c>
      <c r="O3" s="179">
        <v>0.9</v>
      </c>
      <c r="P3" s="197">
        <v>0.9</v>
      </c>
      <c r="Q3" s="198">
        <f t="shared" si="0"/>
        <v>0.9</v>
      </c>
      <c r="R3" s="199">
        <v>15.1</v>
      </c>
      <c r="S3" s="199">
        <v>112</v>
      </c>
      <c r="T3" s="184">
        <f t="shared" si="1"/>
        <v>33</v>
      </c>
      <c r="U3" s="185">
        <v>98</v>
      </c>
      <c r="V3" s="200">
        <f t="shared" si="2"/>
        <v>3234</v>
      </c>
      <c r="W3" s="187">
        <v>2</v>
      </c>
      <c r="X3" s="188" t="s">
        <v>44</v>
      </c>
      <c r="Y3" s="188" t="s">
        <v>45</v>
      </c>
      <c r="Z3" s="188" t="s">
        <v>46</v>
      </c>
      <c r="AA3" s="188" t="s">
        <v>115</v>
      </c>
      <c r="AB3" s="179" t="s">
        <v>48</v>
      </c>
      <c r="AE3" s="201" t="s">
        <v>55</v>
      </c>
      <c r="AG3" s="202" t="s">
        <v>56</v>
      </c>
      <c r="AH3" s="202" t="s">
        <v>57</v>
      </c>
      <c r="AI3" s="191"/>
      <c r="AJ3" s="203" t="s">
        <v>58</v>
      </c>
      <c r="AK3" s="191"/>
      <c r="AL3" s="201" t="s">
        <v>59</v>
      </c>
      <c r="AM3" s="191"/>
      <c r="AN3" s="201" t="s">
        <v>60</v>
      </c>
      <c r="AP3" s="201" t="s">
        <v>61</v>
      </c>
      <c r="AR3" s="201" t="s">
        <v>62</v>
      </c>
      <c r="AT3" s="201" t="s">
        <v>63</v>
      </c>
      <c r="AV3" s="201" t="s">
        <v>64</v>
      </c>
      <c r="AX3" s="204">
        <v>72</v>
      </c>
      <c r="AY3" s="205">
        <v>46</v>
      </c>
      <c r="AZ3" s="205">
        <v>71</v>
      </c>
      <c r="BA3" s="206">
        <v>42</v>
      </c>
    </row>
    <row r="4" spans="1:53" s="179" customFormat="1" ht="13.5" customHeight="1">
      <c r="A4" s="177" t="s">
        <v>35</v>
      </c>
      <c r="B4" s="177" t="s">
        <v>36</v>
      </c>
      <c r="C4" s="177">
        <v>2020</v>
      </c>
      <c r="D4" s="178" t="s">
        <v>161</v>
      </c>
      <c r="E4" s="177" t="s">
        <v>37</v>
      </c>
      <c r="F4" s="177" t="s">
        <v>38</v>
      </c>
      <c r="G4" s="177" t="s">
        <v>39</v>
      </c>
      <c r="H4" s="177" t="s">
        <v>40</v>
      </c>
      <c r="I4" s="177" t="s">
        <v>41</v>
      </c>
      <c r="J4" s="179" t="s">
        <v>42</v>
      </c>
      <c r="K4" s="179" t="s">
        <v>43</v>
      </c>
      <c r="L4" s="177">
        <v>3</v>
      </c>
      <c r="N4" s="179">
        <v>1</v>
      </c>
      <c r="O4" s="179">
        <v>0.7</v>
      </c>
      <c r="P4" s="197">
        <v>0.85</v>
      </c>
      <c r="Q4" s="207">
        <f t="shared" si="0"/>
        <v>0.77499999999999991</v>
      </c>
      <c r="R4" s="199">
        <v>13</v>
      </c>
      <c r="S4" s="199">
        <v>109</v>
      </c>
      <c r="T4" s="184">
        <f t="shared" si="1"/>
        <v>33</v>
      </c>
      <c r="U4" s="185">
        <v>98</v>
      </c>
      <c r="V4" s="200">
        <f t="shared" si="2"/>
        <v>3234</v>
      </c>
      <c r="W4" s="187">
        <v>2</v>
      </c>
      <c r="X4" s="188" t="s">
        <v>44</v>
      </c>
      <c r="Y4" s="188" t="s">
        <v>45</v>
      </c>
      <c r="Z4" s="188" t="s">
        <v>46</v>
      </c>
      <c r="AA4" s="188" t="s">
        <v>115</v>
      </c>
      <c r="AB4" s="179" t="s">
        <v>48</v>
      </c>
      <c r="AE4" s="201" t="s">
        <v>35</v>
      </c>
      <c r="AG4" s="202" t="s">
        <v>65</v>
      </c>
      <c r="AH4" s="202" t="s">
        <v>66</v>
      </c>
      <c r="AI4" s="191"/>
      <c r="AJ4" s="208" t="s">
        <v>67</v>
      </c>
      <c r="AK4" s="191"/>
      <c r="AL4" s="201" t="s">
        <v>68</v>
      </c>
      <c r="AM4" s="191"/>
      <c r="AN4" s="209" t="s">
        <v>69</v>
      </c>
      <c r="AP4" s="201" t="s">
        <v>70</v>
      </c>
      <c r="AR4" s="201" t="s">
        <v>71</v>
      </c>
      <c r="AT4" s="209"/>
      <c r="AV4" s="201" t="s">
        <v>47</v>
      </c>
      <c r="AX4" s="204">
        <v>75</v>
      </c>
      <c r="AY4" s="205">
        <v>42</v>
      </c>
      <c r="AZ4" s="205">
        <v>76</v>
      </c>
      <c r="BA4" s="206">
        <v>39</v>
      </c>
    </row>
    <row r="5" spans="1:53" s="179" customFormat="1" ht="13.5" customHeight="1">
      <c r="A5" s="177" t="s">
        <v>35</v>
      </c>
      <c r="B5" s="177" t="s">
        <v>36</v>
      </c>
      <c r="C5" s="177">
        <v>2020</v>
      </c>
      <c r="D5" s="178" t="s">
        <v>161</v>
      </c>
      <c r="E5" s="177" t="s">
        <v>37</v>
      </c>
      <c r="F5" s="177" t="s">
        <v>38</v>
      </c>
      <c r="G5" s="177" t="s">
        <v>39</v>
      </c>
      <c r="H5" s="177" t="s">
        <v>156</v>
      </c>
      <c r="I5" s="177" t="s">
        <v>41</v>
      </c>
      <c r="J5" s="179" t="s">
        <v>42</v>
      </c>
      <c r="K5" s="179" t="s">
        <v>43</v>
      </c>
      <c r="L5" s="177">
        <v>1</v>
      </c>
      <c r="N5" s="179">
        <v>1</v>
      </c>
      <c r="O5" s="179">
        <v>0.65</v>
      </c>
      <c r="P5" s="197">
        <v>0.6</v>
      </c>
      <c r="Q5" s="198">
        <f t="shared" ref="Q5:Q7" si="3">IF(OR(O5="",P5=""),"",AVERAGE(O5,P5))</f>
        <v>0.625</v>
      </c>
      <c r="R5" s="199">
        <v>16.8</v>
      </c>
      <c r="S5" s="199">
        <v>128</v>
      </c>
      <c r="T5" s="210">
        <f t="shared" si="1"/>
        <v>33</v>
      </c>
      <c r="U5" s="211">
        <v>148</v>
      </c>
      <c r="V5" s="212">
        <f t="shared" ref="V5:V7" si="4">IF(OR(N5="",U5="",T5=""),"",U5/N5*T5)</f>
        <v>4884</v>
      </c>
      <c r="W5" s="187">
        <v>2</v>
      </c>
      <c r="X5" s="188" t="s">
        <v>44</v>
      </c>
      <c r="Y5" s="188" t="s">
        <v>45</v>
      </c>
      <c r="Z5" s="188" t="s">
        <v>46</v>
      </c>
      <c r="AA5" s="188" t="s">
        <v>115</v>
      </c>
      <c r="AB5" s="179" t="s">
        <v>48</v>
      </c>
      <c r="AE5" s="201" t="s">
        <v>72</v>
      </c>
      <c r="AG5" s="202" t="s">
        <v>73</v>
      </c>
      <c r="AH5" s="202" t="s">
        <v>74</v>
      </c>
      <c r="AI5" s="191"/>
      <c r="AJ5" s="213"/>
      <c r="AK5" s="191"/>
      <c r="AL5" s="201" t="s">
        <v>75</v>
      </c>
      <c r="AM5" s="191"/>
      <c r="AN5" s="214" t="s">
        <v>76</v>
      </c>
      <c r="AP5" s="201" t="s">
        <v>77</v>
      </c>
      <c r="AR5" s="201" t="s">
        <v>78</v>
      </c>
      <c r="AV5" s="201" t="s">
        <v>79</v>
      </c>
      <c r="AX5" s="204">
        <v>84</v>
      </c>
      <c r="AY5" s="205">
        <v>39</v>
      </c>
      <c r="AZ5" s="205">
        <v>84</v>
      </c>
      <c r="BA5" s="206">
        <v>36</v>
      </c>
    </row>
    <row r="6" spans="1:53" s="179" customFormat="1" ht="13.5" customHeight="1">
      <c r="A6" s="177" t="s">
        <v>35</v>
      </c>
      <c r="B6" s="177" t="s">
        <v>36</v>
      </c>
      <c r="C6" s="177">
        <v>2020</v>
      </c>
      <c r="D6" s="178" t="s">
        <v>161</v>
      </c>
      <c r="E6" s="177" t="s">
        <v>37</v>
      </c>
      <c r="F6" s="177" t="s">
        <v>38</v>
      </c>
      <c r="G6" s="177" t="s">
        <v>39</v>
      </c>
      <c r="H6" s="177" t="s">
        <v>156</v>
      </c>
      <c r="I6" s="177" t="s">
        <v>41</v>
      </c>
      <c r="J6" s="179" t="s">
        <v>42</v>
      </c>
      <c r="K6" s="179" t="s">
        <v>43</v>
      </c>
      <c r="L6" s="177">
        <v>2</v>
      </c>
      <c r="N6" s="179">
        <v>1</v>
      </c>
      <c r="O6" s="179">
        <v>0.65</v>
      </c>
      <c r="P6" s="197">
        <v>0.65</v>
      </c>
      <c r="Q6" s="198">
        <f t="shared" si="3"/>
        <v>0.65</v>
      </c>
      <c r="R6" s="199">
        <v>18</v>
      </c>
      <c r="S6" s="199">
        <v>125</v>
      </c>
      <c r="T6" s="184">
        <f t="shared" si="1"/>
        <v>33</v>
      </c>
      <c r="U6" s="211">
        <v>148</v>
      </c>
      <c r="V6" s="200">
        <f t="shared" si="4"/>
        <v>4884</v>
      </c>
      <c r="W6" s="187">
        <v>2</v>
      </c>
      <c r="X6" s="188" t="s">
        <v>44</v>
      </c>
      <c r="Y6" s="188" t="s">
        <v>45</v>
      </c>
      <c r="Z6" s="188" t="s">
        <v>46</v>
      </c>
      <c r="AA6" s="188" t="s">
        <v>115</v>
      </c>
      <c r="AB6" s="179" t="s">
        <v>48</v>
      </c>
      <c r="AE6" s="201" t="s">
        <v>80</v>
      </c>
      <c r="AG6" s="202" t="s">
        <v>81</v>
      </c>
      <c r="AH6" s="202" t="s">
        <v>82</v>
      </c>
      <c r="AI6" s="191"/>
      <c r="AJ6" s="191"/>
      <c r="AK6" s="191"/>
      <c r="AL6" s="201" t="s">
        <v>83</v>
      </c>
      <c r="AM6" s="191"/>
      <c r="AN6" s="214" t="s">
        <v>84</v>
      </c>
      <c r="AP6" s="201" t="s">
        <v>85</v>
      </c>
      <c r="AR6" s="201" t="s">
        <v>86</v>
      </c>
      <c r="AV6" s="201" t="s">
        <v>87</v>
      </c>
      <c r="AX6" s="204">
        <v>97</v>
      </c>
      <c r="AY6" s="205">
        <v>36</v>
      </c>
      <c r="AZ6" s="205">
        <v>99</v>
      </c>
      <c r="BA6" s="206">
        <v>33</v>
      </c>
    </row>
    <row r="7" spans="1:53" s="179" customFormat="1" ht="13.5" customHeight="1">
      <c r="A7" s="177" t="s">
        <v>35</v>
      </c>
      <c r="B7" s="177" t="s">
        <v>36</v>
      </c>
      <c r="C7" s="177">
        <v>2020</v>
      </c>
      <c r="D7" s="178" t="s">
        <v>161</v>
      </c>
      <c r="E7" s="177" t="s">
        <v>37</v>
      </c>
      <c r="F7" s="177" t="s">
        <v>38</v>
      </c>
      <c r="G7" s="177" t="s">
        <v>39</v>
      </c>
      <c r="H7" s="177" t="s">
        <v>156</v>
      </c>
      <c r="I7" s="177" t="s">
        <v>41</v>
      </c>
      <c r="J7" s="179" t="s">
        <v>42</v>
      </c>
      <c r="K7" s="179" t="s">
        <v>43</v>
      </c>
      <c r="L7" s="177">
        <v>3</v>
      </c>
      <c r="N7" s="179">
        <v>1</v>
      </c>
      <c r="O7" s="179">
        <v>0.5</v>
      </c>
      <c r="P7" s="197">
        <v>0.6</v>
      </c>
      <c r="Q7" s="207">
        <f t="shared" si="3"/>
        <v>0.55000000000000004</v>
      </c>
      <c r="R7" s="199">
        <v>18.7</v>
      </c>
      <c r="S7" s="199">
        <v>117</v>
      </c>
      <c r="T7" s="184">
        <f t="shared" si="1"/>
        <v>33</v>
      </c>
      <c r="U7" s="211">
        <v>148</v>
      </c>
      <c r="V7" s="200">
        <f t="shared" si="4"/>
        <v>4884</v>
      </c>
      <c r="W7" s="187">
        <v>2</v>
      </c>
      <c r="X7" s="188" t="s">
        <v>44</v>
      </c>
      <c r="Y7" s="188" t="s">
        <v>45</v>
      </c>
      <c r="Z7" s="188" t="s">
        <v>46</v>
      </c>
      <c r="AA7" s="188" t="s">
        <v>115</v>
      </c>
      <c r="AB7" s="179" t="s">
        <v>48</v>
      </c>
      <c r="AE7" s="201" t="s">
        <v>88</v>
      </c>
      <c r="AG7" s="202" t="s">
        <v>89</v>
      </c>
      <c r="AH7" s="202" t="s">
        <v>74</v>
      </c>
      <c r="AI7" s="191"/>
      <c r="AJ7" s="191"/>
      <c r="AK7" s="191"/>
      <c r="AL7" s="215" t="s">
        <v>90</v>
      </c>
      <c r="AM7" s="191"/>
      <c r="AP7" s="201" t="s">
        <v>91</v>
      </c>
      <c r="AR7" s="201" t="s">
        <v>92</v>
      </c>
      <c r="AV7" s="201" t="s">
        <v>93</v>
      </c>
      <c r="AX7" s="204">
        <v>109</v>
      </c>
      <c r="AY7" s="205">
        <v>33</v>
      </c>
      <c r="AZ7" s="205">
        <v>113</v>
      </c>
      <c r="BA7" s="206">
        <v>30</v>
      </c>
    </row>
    <row r="8" spans="1:53" s="179" customFormat="1" ht="13.5" customHeight="1">
      <c r="A8" s="177" t="s">
        <v>35</v>
      </c>
      <c r="B8" s="177" t="s">
        <v>36</v>
      </c>
      <c r="C8" s="177">
        <v>2020</v>
      </c>
      <c r="D8" s="178" t="s">
        <v>161</v>
      </c>
      <c r="E8" s="177" t="s">
        <v>94</v>
      </c>
      <c r="F8" s="177" t="s">
        <v>57</v>
      </c>
      <c r="G8" s="177" t="s">
        <v>39</v>
      </c>
      <c r="H8" s="177" t="s">
        <v>40</v>
      </c>
      <c r="I8" s="177" t="s">
        <v>41</v>
      </c>
      <c r="J8" s="179" t="s">
        <v>42</v>
      </c>
      <c r="K8" s="179" t="s">
        <v>43</v>
      </c>
      <c r="L8" s="177">
        <v>1</v>
      </c>
      <c r="N8" s="179">
        <v>1</v>
      </c>
      <c r="O8" s="179">
        <v>1</v>
      </c>
      <c r="P8" s="179">
        <v>0.75</v>
      </c>
      <c r="Q8" s="207">
        <f t="shared" si="0"/>
        <v>0.875</v>
      </c>
      <c r="R8" s="216">
        <v>14.6</v>
      </c>
      <c r="S8" s="216">
        <v>123</v>
      </c>
      <c r="T8" s="184">
        <f t="shared" si="1"/>
        <v>30</v>
      </c>
      <c r="U8" s="211">
        <v>128</v>
      </c>
      <c r="V8" s="200">
        <f t="shared" si="2"/>
        <v>3840</v>
      </c>
      <c r="W8" s="217">
        <v>4</v>
      </c>
      <c r="X8" s="218" t="s">
        <v>44</v>
      </c>
      <c r="Y8" s="188" t="s">
        <v>164</v>
      </c>
      <c r="Z8" s="188" t="s">
        <v>165</v>
      </c>
      <c r="AA8" s="188" t="s">
        <v>115</v>
      </c>
      <c r="AB8" s="179" t="s">
        <v>48</v>
      </c>
      <c r="AE8" s="201" t="s">
        <v>86</v>
      </c>
      <c r="AG8" s="202" t="s">
        <v>95</v>
      </c>
      <c r="AH8" s="202" t="s">
        <v>74</v>
      </c>
      <c r="AI8" s="191"/>
      <c r="AJ8" s="191"/>
      <c r="AK8" s="191"/>
      <c r="AL8" s="215" t="s">
        <v>96</v>
      </c>
      <c r="AM8" s="191"/>
      <c r="AP8" s="201" t="s">
        <v>97</v>
      </c>
      <c r="AR8" s="201" t="s">
        <v>98</v>
      </c>
      <c r="AV8" s="201" t="s">
        <v>99</v>
      </c>
      <c r="AX8" s="204">
        <v>151</v>
      </c>
      <c r="AY8" s="205">
        <v>22</v>
      </c>
      <c r="AZ8" s="205">
        <v>152</v>
      </c>
      <c r="BA8" s="206">
        <v>18</v>
      </c>
    </row>
    <row r="9" spans="1:53" s="179" customFormat="1" ht="13.5" customHeight="1">
      <c r="A9" s="177" t="s">
        <v>35</v>
      </c>
      <c r="B9" s="177" t="s">
        <v>36</v>
      </c>
      <c r="C9" s="177">
        <v>2020</v>
      </c>
      <c r="D9" s="178" t="s">
        <v>161</v>
      </c>
      <c r="E9" s="177" t="s">
        <v>94</v>
      </c>
      <c r="F9" s="177" t="s">
        <v>57</v>
      </c>
      <c r="G9" s="177" t="s">
        <v>39</v>
      </c>
      <c r="H9" s="177" t="s">
        <v>40</v>
      </c>
      <c r="I9" s="177" t="s">
        <v>41</v>
      </c>
      <c r="J9" s="179" t="s">
        <v>42</v>
      </c>
      <c r="K9" s="179" t="s">
        <v>43</v>
      </c>
      <c r="L9" s="177">
        <v>2</v>
      </c>
      <c r="N9" s="179">
        <v>1</v>
      </c>
      <c r="O9" s="179">
        <v>0.8</v>
      </c>
      <c r="P9" s="179">
        <v>0.6</v>
      </c>
      <c r="Q9" s="207">
        <f t="shared" si="0"/>
        <v>0.7</v>
      </c>
      <c r="R9" s="216">
        <v>17.399999999999999</v>
      </c>
      <c r="S9" s="216">
        <v>115</v>
      </c>
      <c r="T9" s="184">
        <f t="shared" si="1"/>
        <v>30</v>
      </c>
      <c r="U9" s="185">
        <v>128</v>
      </c>
      <c r="V9" s="200">
        <f t="shared" si="2"/>
        <v>3840</v>
      </c>
      <c r="W9" s="217">
        <v>4</v>
      </c>
      <c r="X9" s="218" t="s">
        <v>44</v>
      </c>
      <c r="Y9" s="188" t="s">
        <v>46</v>
      </c>
      <c r="Z9" s="188" t="s">
        <v>54</v>
      </c>
      <c r="AA9" s="188" t="s">
        <v>115</v>
      </c>
      <c r="AB9" s="179" t="s">
        <v>48</v>
      </c>
      <c r="AE9" s="201" t="s">
        <v>100</v>
      </c>
      <c r="AG9" s="202" t="s">
        <v>101</v>
      </c>
      <c r="AH9" s="202" t="s">
        <v>74</v>
      </c>
      <c r="AI9" s="191"/>
      <c r="AJ9" s="191"/>
      <c r="AK9" s="191"/>
      <c r="AL9" s="201" t="s">
        <v>102</v>
      </c>
      <c r="AM9" s="191"/>
      <c r="AP9" s="201" t="s">
        <v>103</v>
      </c>
      <c r="AR9" s="201" t="s">
        <v>104</v>
      </c>
      <c r="AV9" s="201" t="s">
        <v>105</v>
      </c>
      <c r="AX9" s="219">
        <v>180</v>
      </c>
      <c r="AY9" s="220">
        <v>18</v>
      </c>
      <c r="AZ9" s="220">
        <v>181</v>
      </c>
      <c r="BA9" s="221">
        <v>16</v>
      </c>
    </row>
    <row r="10" spans="1:53" s="179" customFormat="1" ht="13.5" customHeight="1">
      <c r="A10" s="177" t="s">
        <v>35</v>
      </c>
      <c r="B10" s="177" t="s">
        <v>36</v>
      </c>
      <c r="C10" s="177">
        <v>2020</v>
      </c>
      <c r="D10" s="178" t="s">
        <v>161</v>
      </c>
      <c r="E10" s="177" t="s">
        <v>94</v>
      </c>
      <c r="F10" s="177" t="s">
        <v>57</v>
      </c>
      <c r="G10" s="177" t="s">
        <v>39</v>
      </c>
      <c r="H10" s="177" t="s">
        <v>40</v>
      </c>
      <c r="I10" s="177" t="s">
        <v>41</v>
      </c>
      <c r="J10" s="179" t="s">
        <v>42</v>
      </c>
      <c r="K10" s="179" t="s">
        <v>43</v>
      </c>
      <c r="L10" s="177">
        <v>3</v>
      </c>
      <c r="N10" s="179">
        <v>1</v>
      </c>
      <c r="O10" s="179">
        <v>0.75</v>
      </c>
      <c r="P10" s="179">
        <v>0.7</v>
      </c>
      <c r="Q10" s="207">
        <f t="shared" si="0"/>
        <v>0.72499999999999998</v>
      </c>
      <c r="R10" s="216">
        <v>14.2</v>
      </c>
      <c r="S10" s="216">
        <v>124</v>
      </c>
      <c r="T10" s="184">
        <f t="shared" si="1"/>
        <v>30</v>
      </c>
      <c r="U10" s="185">
        <v>128</v>
      </c>
      <c r="V10" s="200">
        <f t="shared" si="2"/>
        <v>3840</v>
      </c>
      <c r="W10" s="217">
        <v>4</v>
      </c>
      <c r="X10" s="218" t="s">
        <v>44</v>
      </c>
      <c r="Y10" s="188" t="s">
        <v>46</v>
      </c>
      <c r="Z10" s="188" t="s">
        <v>54</v>
      </c>
      <c r="AA10" s="188" t="s">
        <v>115</v>
      </c>
      <c r="AB10" s="179" t="s">
        <v>48</v>
      </c>
      <c r="AE10" s="201" t="s">
        <v>106</v>
      </c>
      <c r="AG10" s="202" t="s">
        <v>107</v>
      </c>
      <c r="AH10" s="202" t="s">
        <v>108</v>
      </c>
      <c r="AI10" s="191"/>
      <c r="AJ10" s="191"/>
      <c r="AK10" s="191"/>
      <c r="AL10" s="197"/>
      <c r="AM10" s="191"/>
      <c r="AP10" s="201" t="s">
        <v>109</v>
      </c>
      <c r="AR10" s="201" t="s">
        <v>110</v>
      </c>
      <c r="AV10" s="201" t="s">
        <v>111</v>
      </c>
    </row>
    <row r="11" spans="1:53" s="179" customFormat="1" ht="13.5" customHeight="1">
      <c r="A11" s="177" t="s">
        <v>35</v>
      </c>
      <c r="B11" s="177" t="s">
        <v>36</v>
      </c>
      <c r="C11" s="177">
        <v>2020</v>
      </c>
      <c r="D11" s="178" t="s">
        <v>161</v>
      </c>
      <c r="E11" s="177" t="s">
        <v>94</v>
      </c>
      <c r="F11" s="177" t="s">
        <v>57</v>
      </c>
      <c r="G11" s="177" t="s">
        <v>39</v>
      </c>
      <c r="H11" s="177" t="s">
        <v>40</v>
      </c>
      <c r="I11" s="177" t="s">
        <v>41</v>
      </c>
      <c r="J11" s="179" t="s">
        <v>42</v>
      </c>
      <c r="K11" s="179" t="s">
        <v>43</v>
      </c>
      <c r="L11" s="177">
        <v>1</v>
      </c>
      <c r="N11" s="179">
        <v>4</v>
      </c>
      <c r="O11" s="179">
        <v>0.55000000000000004</v>
      </c>
      <c r="P11" s="179">
        <v>0.5</v>
      </c>
      <c r="Q11" s="207">
        <f t="shared" si="0"/>
        <v>0.52500000000000002</v>
      </c>
      <c r="R11" s="216">
        <v>17.3</v>
      </c>
      <c r="S11" s="216">
        <v>81</v>
      </c>
      <c r="T11" s="184">
        <f t="shared" si="1"/>
        <v>39</v>
      </c>
      <c r="U11" s="185">
        <v>398</v>
      </c>
      <c r="V11" s="200">
        <f t="shared" si="2"/>
        <v>3880.5</v>
      </c>
      <c r="W11" s="217">
        <v>4</v>
      </c>
      <c r="X11" s="218" t="s">
        <v>44</v>
      </c>
      <c r="Y11" s="188" t="s">
        <v>46</v>
      </c>
      <c r="Z11" s="188" t="s">
        <v>54</v>
      </c>
      <c r="AA11" s="188" t="s">
        <v>115</v>
      </c>
      <c r="AB11" s="179" t="s">
        <v>48</v>
      </c>
      <c r="AC11" s="197"/>
      <c r="AE11" s="201" t="s">
        <v>112</v>
      </c>
      <c r="AI11" s="191"/>
      <c r="AJ11" s="191"/>
      <c r="AK11" s="191"/>
      <c r="AL11" s="191"/>
      <c r="AM11" s="191"/>
      <c r="AP11" s="201" t="s">
        <v>113</v>
      </c>
      <c r="AR11" s="201" t="s">
        <v>114</v>
      </c>
      <c r="AV11" s="201" t="s">
        <v>115</v>
      </c>
    </row>
    <row r="12" spans="1:53" s="179" customFormat="1" ht="13.5" customHeight="1">
      <c r="A12" s="177" t="s">
        <v>35</v>
      </c>
      <c r="B12" s="177" t="s">
        <v>36</v>
      </c>
      <c r="C12" s="177">
        <v>2020</v>
      </c>
      <c r="D12" s="178" t="s">
        <v>161</v>
      </c>
      <c r="E12" s="177" t="s">
        <v>94</v>
      </c>
      <c r="F12" s="177" t="s">
        <v>57</v>
      </c>
      <c r="G12" s="177" t="s">
        <v>39</v>
      </c>
      <c r="H12" s="177" t="s">
        <v>40</v>
      </c>
      <c r="I12" s="177" t="s">
        <v>41</v>
      </c>
      <c r="J12" s="179" t="s">
        <v>42</v>
      </c>
      <c r="K12" s="179" t="s">
        <v>43</v>
      </c>
      <c r="L12" s="177">
        <v>2</v>
      </c>
      <c r="N12" s="179">
        <v>4</v>
      </c>
      <c r="O12" s="179">
        <v>0.7</v>
      </c>
      <c r="P12" s="179">
        <v>0.75</v>
      </c>
      <c r="Q12" s="207">
        <f t="shared" si="0"/>
        <v>0.72499999999999998</v>
      </c>
      <c r="R12" s="216">
        <v>18.8</v>
      </c>
      <c r="S12" s="216">
        <v>88</v>
      </c>
      <c r="T12" s="184">
        <f t="shared" si="1"/>
        <v>36</v>
      </c>
      <c r="U12" s="185">
        <v>398</v>
      </c>
      <c r="V12" s="200">
        <f t="shared" si="2"/>
        <v>3582</v>
      </c>
      <c r="W12" s="217">
        <v>4</v>
      </c>
      <c r="X12" s="218" t="s">
        <v>44</v>
      </c>
      <c r="Y12" s="188" t="s">
        <v>46</v>
      </c>
      <c r="Z12" s="188" t="s">
        <v>54</v>
      </c>
      <c r="AA12" s="188" t="s">
        <v>115</v>
      </c>
      <c r="AB12" s="179" t="s">
        <v>48</v>
      </c>
      <c r="AC12" s="197"/>
      <c r="AE12" s="201" t="s">
        <v>116</v>
      </c>
      <c r="AI12" s="191"/>
      <c r="AJ12" s="191"/>
      <c r="AK12" s="191"/>
      <c r="AL12" s="191"/>
      <c r="AM12" s="191"/>
      <c r="AP12" s="201" t="s">
        <v>117</v>
      </c>
      <c r="AR12" s="201" t="s">
        <v>118</v>
      </c>
      <c r="AV12" s="201" t="s">
        <v>119</v>
      </c>
    </row>
    <row r="13" spans="1:53" s="179" customFormat="1" ht="13.5" customHeight="1">
      <c r="A13" s="177" t="s">
        <v>35</v>
      </c>
      <c r="B13" s="177" t="s">
        <v>36</v>
      </c>
      <c r="C13" s="177">
        <v>2020</v>
      </c>
      <c r="D13" s="178" t="s">
        <v>161</v>
      </c>
      <c r="E13" s="177" t="s">
        <v>94</v>
      </c>
      <c r="F13" s="177" t="s">
        <v>57</v>
      </c>
      <c r="G13" s="177" t="s">
        <v>39</v>
      </c>
      <c r="H13" s="177" t="s">
        <v>40</v>
      </c>
      <c r="I13" s="177" t="s">
        <v>41</v>
      </c>
      <c r="J13" s="179" t="s">
        <v>42</v>
      </c>
      <c r="K13" s="179" t="s">
        <v>43</v>
      </c>
      <c r="L13" s="177">
        <v>3</v>
      </c>
      <c r="N13" s="179">
        <v>4</v>
      </c>
      <c r="O13" s="179">
        <v>1</v>
      </c>
      <c r="P13" s="179">
        <v>0.8</v>
      </c>
      <c r="Q13" s="207">
        <f t="shared" si="0"/>
        <v>0.9</v>
      </c>
      <c r="R13" s="216">
        <v>16.2</v>
      </c>
      <c r="S13" s="216">
        <v>85</v>
      </c>
      <c r="T13" s="184">
        <f t="shared" si="1"/>
        <v>36</v>
      </c>
      <c r="U13" s="185">
        <v>398</v>
      </c>
      <c r="V13" s="200">
        <f t="shared" si="2"/>
        <v>3582</v>
      </c>
      <c r="W13" s="217">
        <v>4</v>
      </c>
      <c r="X13" s="218" t="s">
        <v>44</v>
      </c>
      <c r="Y13" s="188" t="s">
        <v>46</v>
      </c>
      <c r="Z13" s="188" t="s">
        <v>54</v>
      </c>
      <c r="AA13" s="188" t="s">
        <v>115</v>
      </c>
      <c r="AB13" s="179" t="s">
        <v>48</v>
      </c>
      <c r="AC13" s="197"/>
      <c r="AE13" s="201" t="s">
        <v>120</v>
      </c>
      <c r="AI13" s="191"/>
      <c r="AJ13" s="191"/>
      <c r="AK13" s="191"/>
      <c r="AL13" s="191"/>
      <c r="AM13" s="191"/>
      <c r="AP13" s="201" t="s">
        <v>121</v>
      </c>
      <c r="AR13" s="201" t="s">
        <v>122</v>
      </c>
      <c r="AV13" s="201" t="s">
        <v>46</v>
      </c>
    </row>
    <row r="14" spans="1:53" s="179" customFormat="1" ht="13.5" customHeight="1">
      <c r="A14" s="177" t="s">
        <v>35</v>
      </c>
      <c r="B14" s="177" t="s">
        <v>36</v>
      </c>
      <c r="C14" s="177">
        <v>2020</v>
      </c>
      <c r="D14" s="178" t="s">
        <v>161</v>
      </c>
      <c r="E14" s="177" t="s">
        <v>94</v>
      </c>
      <c r="F14" s="177" t="s">
        <v>57</v>
      </c>
      <c r="G14" s="177" t="s">
        <v>39</v>
      </c>
      <c r="H14" s="177" t="s">
        <v>40</v>
      </c>
      <c r="I14" s="177" t="s">
        <v>41</v>
      </c>
      <c r="J14" s="179" t="s">
        <v>42</v>
      </c>
      <c r="K14" s="179" t="s">
        <v>43</v>
      </c>
      <c r="L14" s="177">
        <v>1</v>
      </c>
      <c r="N14" s="179">
        <v>8</v>
      </c>
      <c r="O14" s="179">
        <v>0.65</v>
      </c>
      <c r="P14" s="179">
        <v>0.6</v>
      </c>
      <c r="Q14" s="207">
        <f t="shared" ref="Q14:Q16" si="5">IF(OR(O14="",P14=""),"",AVERAGE(O14,P14))</f>
        <v>0.625</v>
      </c>
      <c r="R14" s="216">
        <v>18.5</v>
      </c>
      <c r="S14" s="216">
        <v>83</v>
      </c>
      <c r="T14" s="184">
        <f t="shared" si="1"/>
        <v>39</v>
      </c>
      <c r="U14" s="185">
        <v>698</v>
      </c>
      <c r="V14" s="200">
        <f t="shared" ref="V14:V16" si="6">IF(OR(N14="",U14="",T14=""),"",U14/N14*T14)</f>
        <v>3402.75</v>
      </c>
      <c r="W14" s="217">
        <v>4</v>
      </c>
      <c r="X14" s="218" t="s">
        <v>44</v>
      </c>
      <c r="Y14" s="188" t="s">
        <v>46</v>
      </c>
      <c r="Z14" s="188" t="s">
        <v>54</v>
      </c>
      <c r="AA14" s="188" t="s">
        <v>115</v>
      </c>
      <c r="AB14" s="179" t="s">
        <v>48</v>
      </c>
      <c r="AC14" s="197"/>
      <c r="AE14" s="201" t="s">
        <v>112</v>
      </c>
      <c r="AI14" s="191"/>
      <c r="AJ14" s="191"/>
      <c r="AK14" s="191"/>
      <c r="AL14" s="191"/>
      <c r="AM14" s="191"/>
      <c r="AP14" s="201" t="s">
        <v>113</v>
      </c>
      <c r="AR14" s="201" t="s">
        <v>114</v>
      </c>
      <c r="AV14" s="201" t="s">
        <v>115</v>
      </c>
    </row>
    <row r="15" spans="1:53" s="179" customFormat="1" ht="13.5" customHeight="1">
      <c r="A15" s="177" t="s">
        <v>35</v>
      </c>
      <c r="B15" s="177" t="s">
        <v>36</v>
      </c>
      <c r="C15" s="177">
        <v>2020</v>
      </c>
      <c r="D15" s="178" t="s">
        <v>161</v>
      </c>
      <c r="E15" s="177" t="s">
        <v>94</v>
      </c>
      <c r="F15" s="177" t="s">
        <v>57</v>
      </c>
      <c r="G15" s="177" t="s">
        <v>39</v>
      </c>
      <c r="H15" s="177" t="s">
        <v>40</v>
      </c>
      <c r="I15" s="177" t="s">
        <v>41</v>
      </c>
      <c r="J15" s="179" t="s">
        <v>42</v>
      </c>
      <c r="K15" s="179" t="s">
        <v>43</v>
      </c>
      <c r="L15" s="177">
        <v>2</v>
      </c>
      <c r="N15" s="179">
        <v>8</v>
      </c>
      <c r="O15" s="179">
        <v>0.8</v>
      </c>
      <c r="P15" s="179">
        <v>0.85</v>
      </c>
      <c r="Q15" s="207">
        <f t="shared" si="5"/>
        <v>0.82499999999999996</v>
      </c>
      <c r="R15" s="216">
        <v>14.7</v>
      </c>
      <c r="S15" s="216">
        <v>87</v>
      </c>
      <c r="T15" s="184">
        <f t="shared" si="1"/>
        <v>36</v>
      </c>
      <c r="U15" s="185">
        <v>698</v>
      </c>
      <c r="V15" s="200">
        <f t="shared" si="6"/>
        <v>3141</v>
      </c>
      <c r="W15" s="217">
        <v>4</v>
      </c>
      <c r="X15" s="218" t="s">
        <v>44</v>
      </c>
      <c r="Y15" s="188" t="s">
        <v>46</v>
      </c>
      <c r="Z15" s="188" t="s">
        <v>54</v>
      </c>
      <c r="AA15" s="188" t="s">
        <v>115</v>
      </c>
      <c r="AB15" s="179" t="s">
        <v>48</v>
      </c>
      <c r="AC15" s="197"/>
      <c r="AE15" s="201" t="s">
        <v>116</v>
      </c>
      <c r="AI15" s="191"/>
      <c r="AJ15" s="191"/>
      <c r="AK15" s="191"/>
      <c r="AL15" s="191"/>
      <c r="AM15" s="191"/>
      <c r="AP15" s="201" t="s">
        <v>117</v>
      </c>
      <c r="AR15" s="201" t="s">
        <v>126</v>
      </c>
      <c r="AV15" s="201" t="s">
        <v>119</v>
      </c>
    </row>
    <row r="16" spans="1:53" s="179" customFormat="1" ht="13.5" customHeight="1">
      <c r="A16" s="177" t="s">
        <v>35</v>
      </c>
      <c r="B16" s="177" t="s">
        <v>36</v>
      </c>
      <c r="C16" s="177">
        <v>2020</v>
      </c>
      <c r="D16" s="178" t="s">
        <v>161</v>
      </c>
      <c r="E16" s="177" t="s">
        <v>94</v>
      </c>
      <c r="F16" s="177" t="s">
        <v>57</v>
      </c>
      <c r="G16" s="177" t="s">
        <v>39</v>
      </c>
      <c r="H16" s="177" t="s">
        <v>40</v>
      </c>
      <c r="I16" s="177" t="s">
        <v>41</v>
      </c>
      <c r="J16" s="179" t="s">
        <v>42</v>
      </c>
      <c r="K16" s="179" t="s">
        <v>43</v>
      </c>
      <c r="L16" s="177">
        <v>3</v>
      </c>
      <c r="N16" s="179">
        <v>8</v>
      </c>
      <c r="O16" s="179">
        <v>0.7</v>
      </c>
      <c r="P16" s="179">
        <v>0.7</v>
      </c>
      <c r="Q16" s="207">
        <f t="shared" si="5"/>
        <v>0.7</v>
      </c>
      <c r="R16" s="216">
        <v>17.899999999999999</v>
      </c>
      <c r="S16" s="216">
        <v>86</v>
      </c>
      <c r="T16" s="184">
        <f t="shared" si="1"/>
        <v>36</v>
      </c>
      <c r="U16" s="185">
        <v>698</v>
      </c>
      <c r="V16" s="200">
        <f t="shared" si="6"/>
        <v>3141</v>
      </c>
      <c r="W16" s="217">
        <v>4</v>
      </c>
      <c r="X16" s="218" t="s">
        <v>44</v>
      </c>
      <c r="Y16" s="188" t="s">
        <v>46</v>
      </c>
      <c r="Z16" s="188" t="s">
        <v>54</v>
      </c>
      <c r="AA16" s="188" t="s">
        <v>115</v>
      </c>
      <c r="AB16" s="179" t="s">
        <v>48</v>
      </c>
      <c r="AC16" s="197"/>
      <c r="AE16" s="201" t="s">
        <v>120</v>
      </c>
      <c r="AI16" s="191"/>
      <c r="AJ16" s="191"/>
      <c r="AK16" s="191"/>
      <c r="AL16" s="191"/>
      <c r="AM16" s="191"/>
      <c r="AP16" s="201" t="s">
        <v>121</v>
      </c>
      <c r="AR16" s="201" t="s">
        <v>130</v>
      </c>
      <c r="AV16" s="201" t="s">
        <v>46</v>
      </c>
    </row>
    <row r="17" spans="1:48" s="179" customFormat="1" ht="13.5" customHeight="1">
      <c r="A17" s="177" t="s">
        <v>35</v>
      </c>
      <c r="B17" s="177" t="s">
        <v>36</v>
      </c>
      <c r="C17" s="177">
        <v>2020</v>
      </c>
      <c r="D17" s="178" t="s">
        <v>161</v>
      </c>
      <c r="E17" s="177" t="s">
        <v>94</v>
      </c>
      <c r="F17" s="177" t="s">
        <v>57</v>
      </c>
      <c r="G17" s="177" t="s">
        <v>39</v>
      </c>
      <c r="H17" s="177" t="s">
        <v>156</v>
      </c>
      <c r="I17" s="177" t="s">
        <v>41</v>
      </c>
      <c r="J17" s="179" t="s">
        <v>42</v>
      </c>
      <c r="K17" s="179" t="s">
        <v>78</v>
      </c>
      <c r="L17" s="177">
        <v>1</v>
      </c>
      <c r="N17" s="179">
        <v>3</v>
      </c>
      <c r="O17" s="179">
        <v>0.75</v>
      </c>
      <c r="P17" s="179">
        <v>0.75</v>
      </c>
      <c r="Q17" s="207">
        <f t="shared" si="0"/>
        <v>0.75</v>
      </c>
      <c r="R17" s="216">
        <v>15.1</v>
      </c>
      <c r="S17" s="216">
        <v>115</v>
      </c>
      <c r="T17" s="184">
        <f t="shared" si="1"/>
        <v>33</v>
      </c>
      <c r="U17" s="185">
        <v>398</v>
      </c>
      <c r="V17" s="200">
        <f t="shared" si="2"/>
        <v>4378</v>
      </c>
      <c r="W17" s="217">
        <v>4</v>
      </c>
      <c r="X17" s="218" t="s">
        <v>44</v>
      </c>
      <c r="Y17" s="188" t="s">
        <v>46</v>
      </c>
      <c r="Z17" s="188" t="s">
        <v>54</v>
      </c>
      <c r="AA17" s="188" t="s">
        <v>115</v>
      </c>
      <c r="AB17" s="179" t="s">
        <v>48</v>
      </c>
      <c r="AC17" s="197"/>
      <c r="AE17" s="201" t="s">
        <v>124</v>
      </c>
      <c r="AI17" s="191"/>
      <c r="AJ17" s="191"/>
      <c r="AK17" s="191"/>
      <c r="AL17" s="191"/>
      <c r="AM17" s="191"/>
      <c r="AP17" s="222" t="s">
        <v>125</v>
      </c>
      <c r="AR17" s="201" t="s">
        <v>133</v>
      </c>
      <c r="AV17" s="201" t="s">
        <v>127</v>
      </c>
    </row>
    <row r="18" spans="1:48" s="179" customFormat="1" ht="13.5" customHeight="1">
      <c r="A18" s="177" t="s">
        <v>35</v>
      </c>
      <c r="B18" s="177" t="s">
        <v>36</v>
      </c>
      <c r="C18" s="177">
        <v>2020</v>
      </c>
      <c r="D18" s="178" t="s">
        <v>161</v>
      </c>
      <c r="E18" s="177" t="s">
        <v>94</v>
      </c>
      <c r="F18" s="177" t="s">
        <v>57</v>
      </c>
      <c r="G18" s="177" t="s">
        <v>39</v>
      </c>
      <c r="H18" s="177" t="s">
        <v>156</v>
      </c>
      <c r="I18" s="177" t="s">
        <v>41</v>
      </c>
      <c r="J18" s="179" t="s">
        <v>42</v>
      </c>
      <c r="K18" s="179" t="s">
        <v>78</v>
      </c>
      <c r="L18" s="177">
        <v>2</v>
      </c>
      <c r="N18" s="179">
        <v>3</v>
      </c>
      <c r="O18" s="179">
        <v>0.75</v>
      </c>
      <c r="P18" s="179">
        <v>0.65</v>
      </c>
      <c r="Q18" s="207">
        <f t="shared" si="0"/>
        <v>0.7</v>
      </c>
      <c r="R18" s="216">
        <v>14.7</v>
      </c>
      <c r="S18" s="216">
        <v>97</v>
      </c>
      <c r="T18" s="184">
        <f t="shared" si="1"/>
        <v>36</v>
      </c>
      <c r="U18" s="185">
        <v>398</v>
      </c>
      <c r="V18" s="200">
        <f t="shared" si="2"/>
        <v>4776</v>
      </c>
      <c r="W18" s="217">
        <v>4</v>
      </c>
      <c r="X18" s="218" t="s">
        <v>44</v>
      </c>
      <c r="Y18" s="188" t="s">
        <v>46</v>
      </c>
      <c r="Z18" s="188" t="s">
        <v>54</v>
      </c>
      <c r="AA18" s="188" t="s">
        <v>115</v>
      </c>
      <c r="AB18" s="179" t="s">
        <v>48</v>
      </c>
      <c r="AC18" s="197"/>
      <c r="AE18" s="201" t="s">
        <v>128</v>
      </c>
      <c r="AI18" s="191"/>
      <c r="AJ18" s="191"/>
      <c r="AK18" s="191"/>
      <c r="AL18" s="191"/>
      <c r="AM18" s="191"/>
      <c r="AP18" s="222" t="s">
        <v>129</v>
      </c>
      <c r="AR18" s="201" t="s">
        <v>136</v>
      </c>
      <c r="AV18" s="201" t="s">
        <v>131</v>
      </c>
    </row>
    <row r="19" spans="1:48" s="179" customFormat="1" ht="13.5" customHeight="1">
      <c r="A19" s="177" t="s">
        <v>35</v>
      </c>
      <c r="B19" s="177" t="s">
        <v>36</v>
      </c>
      <c r="C19" s="177">
        <v>2020</v>
      </c>
      <c r="D19" s="178" t="s">
        <v>161</v>
      </c>
      <c r="E19" s="177" t="s">
        <v>94</v>
      </c>
      <c r="F19" s="177" t="s">
        <v>57</v>
      </c>
      <c r="G19" s="177" t="s">
        <v>39</v>
      </c>
      <c r="H19" s="177" t="s">
        <v>156</v>
      </c>
      <c r="I19" s="177" t="s">
        <v>41</v>
      </c>
      <c r="J19" s="179" t="s">
        <v>42</v>
      </c>
      <c r="K19" s="179" t="s">
        <v>78</v>
      </c>
      <c r="L19" s="177">
        <v>3</v>
      </c>
      <c r="N19" s="179">
        <v>3</v>
      </c>
      <c r="O19" s="179">
        <v>0.55000000000000004</v>
      </c>
      <c r="P19" s="179">
        <v>0.65</v>
      </c>
      <c r="Q19" s="207">
        <f t="shared" si="0"/>
        <v>0.60000000000000009</v>
      </c>
      <c r="R19" s="216">
        <v>14.4</v>
      </c>
      <c r="S19" s="216">
        <v>88</v>
      </c>
      <c r="T19" s="184">
        <f t="shared" si="1"/>
        <v>39</v>
      </c>
      <c r="U19" s="185">
        <v>398</v>
      </c>
      <c r="V19" s="200">
        <f t="shared" si="2"/>
        <v>5174</v>
      </c>
      <c r="W19" s="217">
        <v>4</v>
      </c>
      <c r="X19" s="218" t="s">
        <v>44</v>
      </c>
      <c r="Y19" s="188" t="s">
        <v>46</v>
      </c>
      <c r="Z19" s="188" t="s">
        <v>54</v>
      </c>
      <c r="AA19" s="188" t="s">
        <v>115</v>
      </c>
      <c r="AB19" s="179" t="s">
        <v>48</v>
      </c>
      <c r="AC19" s="197"/>
      <c r="AE19" s="222" t="s">
        <v>104</v>
      </c>
      <c r="AI19" s="191"/>
      <c r="AJ19" s="191"/>
      <c r="AK19" s="191"/>
      <c r="AL19" s="191"/>
      <c r="AM19" s="191"/>
      <c r="AP19" s="222" t="s">
        <v>132</v>
      </c>
      <c r="AR19" s="201" t="s">
        <v>139</v>
      </c>
      <c r="AV19" s="201" t="s">
        <v>45</v>
      </c>
    </row>
    <row r="20" spans="1:48" s="223" customFormat="1" ht="13.5" customHeight="1">
      <c r="A20" s="177" t="s">
        <v>35</v>
      </c>
      <c r="B20" s="177" t="s">
        <v>36</v>
      </c>
      <c r="C20" s="177">
        <v>2020</v>
      </c>
      <c r="D20" s="178" t="s">
        <v>161</v>
      </c>
      <c r="E20" s="177" t="s">
        <v>94</v>
      </c>
      <c r="F20" s="177" t="s">
        <v>57</v>
      </c>
      <c r="G20" s="177" t="s">
        <v>39</v>
      </c>
      <c r="H20" s="177" t="s">
        <v>59</v>
      </c>
      <c r="I20" s="177" t="s">
        <v>41</v>
      </c>
      <c r="J20" s="179" t="s">
        <v>121</v>
      </c>
      <c r="K20" s="179" t="s">
        <v>134</v>
      </c>
      <c r="L20" s="177">
        <v>1</v>
      </c>
      <c r="M20" s="179"/>
      <c r="N20" s="179">
        <v>4</v>
      </c>
      <c r="O20" s="179">
        <v>0.6</v>
      </c>
      <c r="P20" s="179">
        <v>0.65</v>
      </c>
      <c r="Q20" s="207">
        <f t="shared" si="0"/>
        <v>0.625</v>
      </c>
      <c r="R20" s="216">
        <v>16.2</v>
      </c>
      <c r="S20" s="216">
        <v>86</v>
      </c>
      <c r="T20" s="184">
        <f t="shared" si="1"/>
        <v>36</v>
      </c>
      <c r="U20" s="185">
        <v>398</v>
      </c>
      <c r="V20" s="200">
        <f t="shared" si="2"/>
        <v>3582</v>
      </c>
      <c r="W20" s="217">
        <v>4</v>
      </c>
      <c r="X20" s="218" t="s">
        <v>44</v>
      </c>
      <c r="Y20" s="188" t="s">
        <v>46</v>
      </c>
      <c r="Z20" s="188" t="s">
        <v>54</v>
      </c>
      <c r="AA20" s="188" t="s">
        <v>115</v>
      </c>
      <c r="AB20" s="179" t="s">
        <v>48</v>
      </c>
      <c r="AE20" s="224"/>
      <c r="AP20" s="224" t="s">
        <v>135</v>
      </c>
      <c r="AR20" s="225" t="s">
        <v>142</v>
      </c>
      <c r="AV20" s="224" t="s">
        <v>137</v>
      </c>
    </row>
    <row r="21" spans="1:48" s="179" customFormat="1" ht="13.5" customHeight="1">
      <c r="A21" s="177" t="s">
        <v>35</v>
      </c>
      <c r="B21" s="177" t="s">
        <v>36</v>
      </c>
      <c r="C21" s="177">
        <v>2020</v>
      </c>
      <c r="D21" s="178" t="s">
        <v>161</v>
      </c>
      <c r="E21" s="177" t="s">
        <v>94</v>
      </c>
      <c r="F21" s="177" t="s">
        <v>57</v>
      </c>
      <c r="G21" s="177" t="s">
        <v>39</v>
      </c>
      <c r="H21" s="177" t="s">
        <v>59</v>
      </c>
      <c r="I21" s="177" t="s">
        <v>41</v>
      </c>
      <c r="J21" s="179" t="s">
        <v>121</v>
      </c>
      <c r="K21" s="179" t="s">
        <v>134</v>
      </c>
      <c r="L21" s="177">
        <v>2</v>
      </c>
      <c r="N21" s="179">
        <v>4</v>
      </c>
      <c r="O21" s="179">
        <v>0.65</v>
      </c>
      <c r="P21" s="179">
        <v>0.65</v>
      </c>
      <c r="Q21" s="207">
        <f t="shared" si="0"/>
        <v>0.65</v>
      </c>
      <c r="R21" s="216">
        <v>12.1</v>
      </c>
      <c r="S21" s="216">
        <v>90</v>
      </c>
      <c r="T21" s="184">
        <f t="shared" si="1"/>
        <v>36</v>
      </c>
      <c r="U21" s="185">
        <v>398</v>
      </c>
      <c r="V21" s="200">
        <f t="shared" si="2"/>
        <v>3582</v>
      </c>
      <c r="W21" s="217">
        <v>4</v>
      </c>
      <c r="X21" s="218" t="s">
        <v>44</v>
      </c>
      <c r="Y21" s="188" t="s">
        <v>46</v>
      </c>
      <c r="Z21" s="188" t="s">
        <v>54</v>
      </c>
      <c r="AA21" s="188" t="s">
        <v>115</v>
      </c>
      <c r="AB21" s="179" t="s">
        <v>48</v>
      </c>
      <c r="AE21" s="209"/>
      <c r="AI21" s="191"/>
      <c r="AJ21" s="191"/>
      <c r="AK21" s="191"/>
      <c r="AL21" s="191"/>
      <c r="AM21" s="191"/>
      <c r="AP21" s="222" t="s">
        <v>138</v>
      </c>
      <c r="AR21" s="201" t="s">
        <v>123</v>
      </c>
      <c r="AV21" s="222" t="s">
        <v>140</v>
      </c>
    </row>
    <row r="22" spans="1:48" s="179" customFormat="1" ht="13.5" customHeight="1">
      <c r="A22" s="177" t="s">
        <v>35</v>
      </c>
      <c r="B22" s="177" t="s">
        <v>36</v>
      </c>
      <c r="C22" s="177">
        <v>2020</v>
      </c>
      <c r="D22" s="178" t="s">
        <v>161</v>
      </c>
      <c r="E22" s="177" t="s">
        <v>94</v>
      </c>
      <c r="F22" s="177" t="s">
        <v>57</v>
      </c>
      <c r="G22" s="177" t="s">
        <v>39</v>
      </c>
      <c r="H22" s="177" t="s">
        <v>59</v>
      </c>
      <c r="I22" s="177" t="s">
        <v>41</v>
      </c>
      <c r="J22" s="179" t="s">
        <v>121</v>
      </c>
      <c r="K22" s="179" t="s">
        <v>134</v>
      </c>
      <c r="L22" s="177">
        <v>3</v>
      </c>
      <c r="N22" s="179">
        <v>4</v>
      </c>
      <c r="O22" s="179">
        <v>0.3</v>
      </c>
      <c r="P22" s="179">
        <v>0.55000000000000004</v>
      </c>
      <c r="Q22" s="207">
        <f t="shared" si="0"/>
        <v>0.42500000000000004</v>
      </c>
      <c r="R22" s="216">
        <v>13.4</v>
      </c>
      <c r="S22" s="216">
        <v>92</v>
      </c>
      <c r="T22" s="184">
        <f t="shared" si="1"/>
        <v>36</v>
      </c>
      <c r="U22" s="185">
        <v>398</v>
      </c>
      <c r="V22" s="200">
        <f t="shared" si="2"/>
        <v>3582</v>
      </c>
      <c r="W22" s="217">
        <v>4</v>
      </c>
      <c r="X22" s="218" t="s">
        <v>44</v>
      </c>
      <c r="Y22" s="188" t="s">
        <v>46</v>
      </c>
      <c r="Z22" s="188" t="s">
        <v>54</v>
      </c>
      <c r="AA22" s="188" t="s">
        <v>115</v>
      </c>
      <c r="AB22" s="179" t="s">
        <v>48</v>
      </c>
      <c r="AI22" s="191"/>
      <c r="AJ22" s="191"/>
      <c r="AK22" s="191"/>
      <c r="AL22" s="191"/>
      <c r="AM22" s="191"/>
      <c r="AP22" s="222" t="s">
        <v>141</v>
      </c>
      <c r="AR22" s="201" t="s">
        <v>147</v>
      </c>
      <c r="AV22" s="222" t="s">
        <v>155</v>
      </c>
    </row>
    <row r="23" spans="1:48" s="179" customFormat="1" ht="13.5" customHeight="1">
      <c r="A23" s="177" t="s">
        <v>35</v>
      </c>
      <c r="B23" s="177" t="s">
        <v>36</v>
      </c>
      <c r="C23" s="177">
        <v>2020</v>
      </c>
      <c r="D23" s="178" t="s">
        <v>161</v>
      </c>
      <c r="E23" s="226" t="s">
        <v>151</v>
      </c>
      <c r="F23" s="177" t="s">
        <v>82</v>
      </c>
      <c r="G23" s="177" t="s">
        <v>39</v>
      </c>
      <c r="H23" s="177" t="s">
        <v>156</v>
      </c>
      <c r="I23" s="177" t="s">
        <v>41</v>
      </c>
      <c r="J23" s="179" t="s">
        <v>42</v>
      </c>
      <c r="K23" s="179" t="s">
        <v>78</v>
      </c>
      <c r="L23" s="177">
        <v>1</v>
      </c>
      <c r="N23" s="179">
        <v>1</v>
      </c>
      <c r="O23" s="179">
        <v>0.65</v>
      </c>
      <c r="P23" s="179">
        <v>0.7</v>
      </c>
      <c r="Q23" s="207">
        <f t="shared" si="0"/>
        <v>0.67500000000000004</v>
      </c>
      <c r="R23" s="227">
        <v>15.8</v>
      </c>
      <c r="S23" s="227">
        <v>102</v>
      </c>
      <c r="T23" s="184">
        <f t="shared" si="1"/>
        <v>36</v>
      </c>
      <c r="U23" s="227">
        <v>138</v>
      </c>
      <c r="V23" s="200">
        <f t="shared" si="2"/>
        <v>4968</v>
      </c>
      <c r="W23" s="227">
        <v>3</v>
      </c>
      <c r="X23" s="218" t="s">
        <v>63</v>
      </c>
      <c r="Y23" s="188" t="s">
        <v>163</v>
      </c>
      <c r="Z23" s="188" t="s">
        <v>164</v>
      </c>
      <c r="AA23" s="188" t="s">
        <v>165</v>
      </c>
      <c r="AB23" s="179" t="s">
        <v>166</v>
      </c>
      <c r="AI23" s="191"/>
      <c r="AJ23" s="191"/>
      <c r="AK23" s="191"/>
      <c r="AL23" s="191"/>
      <c r="AM23" s="191"/>
      <c r="AP23" s="222" t="s">
        <v>145</v>
      </c>
      <c r="AR23" s="201" t="s">
        <v>149</v>
      </c>
      <c r="AV23" s="222"/>
    </row>
    <row r="24" spans="1:48" s="179" customFormat="1" ht="13.5" customHeight="1">
      <c r="A24" s="177" t="s">
        <v>35</v>
      </c>
      <c r="B24" s="177" t="s">
        <v>36</v>
      </c>
      <c r="C24" s="177">
        <v>2020</v>
      </c>
      <c r="D24" s="178" t="s">
        <v>161</v>
      </c>
      <c r="E24" s="177" t="s">
        <v>151</v>
      </c>
      <c r="F24" s="177" t="s">
        <v>82</v>
      </c>
      <c r="G24" s="177" t="s">
        <v>39</v>
      </c>
      <c r="H24" s="177" t="s">
        <v>156</v>
      </c>
      <c r="I24" s="177" t="s">
        <v>41</v>
      </c>
      <c r="J24" s="179" t="s">
        <v>42</v>
      </c>
      <c r="K24" s="179" t="s">
        <v>78</v>
      </c>
      <c r="L24" s="177">
        <v>2</v>
      </c>
      <c r="N24" s="179">
        <v>1</v>
      </c>
      <c r="O24" s="179">
        <v>0.6</v>
      </c>
      <c r="P24" s="179">
        <v>0.55000000000000004</v>
      </c>
      <c r="Q24" s="207">
        <f t="shared" si="0"/>
        <v>0.57499999999999996</v>
      </c>
      <c r="R24" s="227">
        <v>14.2</v>
      </c>
      <c r="S24" s="227">
        <v>97</v>
      </c>
      <c r="T24" s="184">
        <f t="shared" si="1"/>
        <v>36</v>
      </c>
      <c r="U24" s="227">
        <v>138</v>
      </c>
      <c r="V24" s="200">
        <f t="shared" si="2"/>
        <v>4968</v>
      </c>
      <c r="W24" s="227">
        <v>3</v>
      </c>
      <c r="X24" s="218" t="s">
        <v>63</v>
      </c>
      <c r="Y24" s="188" t="s">
        <v>45</v>
      </c>
      <c r="Z24" s="188" t="s">
        <v>46</v>
      </c>
      <c r="AA24" s="188" t="s">
        <v>54</v>
      </c>
      <c r="AB24" s="179" t="s">
        <v>166</v>
      </c>
      <c r="AI24" s="191"/>
      <c r="AJ24" s="191"/>
      <c r="AK24" s="191"/>
      <c r="AL24" s="191"/>
      <c r="AM24" s="191"/>
      <c r="AP24" s="222" t="s">
        <v>146</v>
      </c>
      <c r="AR24" s="201" t="s">
        <v>134</v>
      </c>
      <c r="AV24" s="222"/>
    </row>
    <row r="25" spans="1:48" s="179" customFormat="1" ht="13.5" customHeight="1">
      <c r="A25" s="177" t="s">
        <v>35</v>
      </c>
      <c r="B25" s="177" t="s">
        <v>36</v>
      </c>
      <c r="C25" s="177">
        <v>2020</v>
      </c>
      <c r="D25" s="178" t="s">
        <v>161</v>
      </c>
      <c r="E25" s="177" t="s">
        <v>151</v>
      </c>
      <c r="F25" s="177" t="s">
        <v>82</v>
      </c>
      <c r="G25" s="177" t="s">
        <v>39</v>
      </c>
      <c r="H25" s="177" t="s">
        <v>156</v>
      </c>
      <c r="I25" s="177" t="s">
        <v>41</v>
      </c>
      <c r="J25" s="179" t="s">
        <v>42</v>
      </c>
      <c r="K25" s="179" t="s">
        <v>78</v>
      </c>
      <c r="L25" s="177">
        <v>3</v>
      </c>
      <c r="N25" s="179">
        <v>1</v>
      </c>
      <c r="O25" s="179">
        <v>0.7</v>
      </c>
      <c r="P25" s="179">
        <v>0.65</v>
      </c>
      <c r="Q25" s="207">
        <f t="shared" si="0"/>
        <v>0.67500000000000004</v>
      </c>
      <c r="R25" s="227">
        <v>15.9</v>
      </c>
      <c r="S25" s="227">
        <v>98</v>
      </c>
      <c r="T25" s="184">
        <f t="shared" si="1"/>
        <v>36</v>
      </c>
      <c r="U25" s="227">
        <v>138</v>
      </c>
      <c r="V25" s="200">
        <f t="shared" si="2"/>
        <v>4968</v>
      </c>
      <c r="W25" s="227">
        <v>3</v>
      </c>
      <c r="X25" s="218" t="s">
        <v>63</v>
      </c>
      <c r="Y25" s="188" t="s">
        <v>45</v>
      </c>
      <c r="Z25" s="188" t="s">
        <v>46</v>
      </c>
      <c r="AA25" s="188" t="s">
        <v>54</v>
      </c>
      <c r="AB25" s="179" t="s">
        <v>166</v>
      </c>
      <c r="AI25" s="191"/>
      <c r="AJ25" s="191"/>
      <c r="AK25" s="191"/>
      <c r="AL25" s="191"/>
      <c r="AM25" s="191"/>
      <c r="AP25" s="222" t="s">
        <v>148</v>
      </c>
      <c r="AR25" s="201"/>
      <c r="AV25" s="222"/>
    </row>
    <row r="26" spans="1:48" s="179" customFormat="1" ht="13.5" customHeight="1">
      <c r="A26" s="226" t="s">
        <v>35</v>
      </c>
      <c r="B26" s="177" t="s">
        <v>36</v>
      </c>
      <c r="C26" s="177">
        <v>2020</v>
      </c>
      <c r="D26" s="178" t="s">
        <v>161</v>
      </c>
      <c r="E26" s="226" t="s">
        <v>151</v>
      </c>
      <c r="F26" s="226" t="s">
        <v>82</v>
      </c>
      <c r="G26" s="177" t="s">
        <v>39</v>
      </c>
      <c r="H26" s="226" t="s">
        <v>156</v>
      </c>
      <c r="I26" s="226" t="s">
        <v>41</v>
      </c>
      <c r="J26" s="179" t="s">
        <v>42</v>
      </c>
      <c r="K26" s="223" t="s">
        <v>78</v>
      </c>
      <c r="L26" s="226">
        <v>1</v>
      </c>
      <c r="M26" s="223"/>
      <c r="N26" s="223">
        <v>4</v>
      </c>
      <c r="O26" s="223">
        <v>0.75</v>
      </c>
      <c r="P26" s="223">
        <v>0.65</v>
      </c>
      <c r="Q26" s="207">
        <f t="shared" si="0"/>
        <v>0.7</v>
      </c>
      <c r="R26" s="223">
        <v>12.9</v>
      </c>
      <c r="S26" s="223">
        <v>91</v>
      </c>
      <c r="T26" s="184">
        <f t="shared" si="1"/>
        <v>39</v>
      </c>
      <c r="U26" s="223">
        <v>498</v>
      </c>
      <c r="V26" s="200">
        <f t="shared" si="2"/>
        <v>4855.5</v>
      </c>
      <c r="W26" s="223">
        <v>3</v>
      </c>
      <c r="X26" s="218" t="s">
        <v>63</v>
      </c>
      <c r="Y26" s="228" t="s">
        <v>45</v>
      </c>
      <c r="Z26" s="228" t="s">
        <v>46</v>
      </c>
      <c r="AA26" s="228" t="s">
        <v>54</v>
      </c>
      <c r="AB26" s="223" t="s">
        <v>48</v>
      </c>
      <c r="AI26" s="191"/>
      <c r="AJ26" s="191"/>
      <c r="AK26" s="191"/>
      <c r="AL26" s="191"/>
      <c r="AM26" s="191"/>
      <c r="AP26" s="222" t="s">
        <v>150</v>
      </c>
      <c r="AR26" s="201"/>
      <c r="AV26" s="222"/>
    </row>
    <row r="27" spans="1:48" s="179" customFormat="1" ht="13.5" customHeight="1">
      <c r="A27" s="177" t="s">
        <v>35</v>
      </c>
      <c r="B27" s="177" t="s">
        <v>36</v>
      </c>
      <c r="C27" s="177">
        <v>2020</v>
      </c>
      <c r="D27" s="178" t="s">
        <v>161</v>
      </c>
      <c r="E27" s="177" t="s">
        <v>151</v>
      </c>
      <c r="F27" s="177" t="s">
        <v>82</v>
      </c>
      <c r="G27" s="177" t="s">
        <v>39</v>
      </c>
      <c r="H27" s="177" t="s">
        <v>156</v>
      </c>
      <c r="I27" s="177" t="s">
        <v>41</v>
      </c>
      <c r="J27" s="179" t="s">
        <v>42</v>
      </c>
      <c r="K27" s="179" t="s">
        <v>78</v>
      </c>
      <c r="L27" s="177">
        <v>2</v>
      </c>
      <c r="N27" s="179">
        <v>4</v>
      </c>
      <c r="O27" s="179">
        <v>0.8</v>
      </c>
      <c r="P27" s="179">
        <v>0.65</v>
      </c>
      <c r="Q27" s="207">
        <f t="shared" ref="Q27:Q28" si="7">IF(OR(O27="",P27=""),"",AVERAGE(O27,P27))</f>
        <v>0.72500000000000009</v>
      </c>
      <c r="R27" s="179">
        <v>13.7</v>
      </c>
      <c r="S27" s="179">
        <v>93</v>
      </c>
      <c r="T27" s="184">
        <f t="shared" si="1"/>
        <v>39</v>
      </c>
      <c r="U27" s="179">
        <v>498</v>
      </c>
      <c r="V27" s="200">
        <f t="shared" ref="V27:V28" si="8">IF(OR(N27="",U27="",T27=""),"",U27/N27*T27)</f>
        <v>4855.5</v>
      </c>
      <c r="W27" s="179">
        <v>3</v>
      </c>
      <c r="X27" s="218" t="s">
        <v>63</v>
      </c>
      <c r="Y27" s="188" t="s">
        <v>45</v>
      </c>
      <c r="Z27" s="188" t="s">
        <v>46</v>
      </c>
      <c r="AA27" s="188" t="s">
        <v>54</v>
      </c>
      <c r="AB27" s="179" t="s">
        <v>48</v>
      </c>
      <c r="AI27" s="191"/>
      <c r="AJ27" s="191"/>
      <c r="AK27" s="191"/>
      <c r="AL27" s="191"/>
      <c r="AM27" s="191"/>
      <c r="AP27" s="222" t="s">
        <v>157</v>
      </c>
      <c r="AR27" s="201"/>
    </row>
    <row r="28" spans="1:48" s="179" customFormat="1" ht="13.5" customHeight="1">
      <c r="A28" s="177" t="s">
        <v>35</v>
      </c>
      <c r="B28" s="177" t="s">
        <v>36</v>
      </c>
      <c r="C28" s="177">
        <v>2020</v>
      </c>
      <c r="D28" s="178" t="s">
        <v>161</v>
      </c>
      <c r="E28" s="177" t="s">
        <v>151</v>
      </c>
      <c r="F28" s="177" t="s">
        <v>82</v>
      </c>
      <c r="G28" s="177" t="s">
        <v>39</v>
      </c>
      <c r="H28" s="177" t="s">
        <v>156</v>
      </c>
      <c r="I28" s="177" t="s">
        <v>41</v>
      </c>
      <c r="J28" s="179" t="s">
        <v>42</v>
      </c>
      <c r="K28" s="179" t="s">
        <v>78</v>
      </c>
      <c r="L28" s="177">
        <v>3</v>
      </c>
      <c r="N28" s="179">
        <v>4</v>
      </c>
      <c r="O28" s="179">
        <v>0.6</v>
      </c>
      <c r="P28" s="179">
        <v>0.65</v>
      </c>
      <c r="Q28" s="207">
        <f t="shared" si="7"/>
        <v>0.625</v>
      </c>
      <c r="R28" s="179">
        <v>15.6</v>
      </c>
      <c r="S28" s="179">
        <v>75</v>
      </c>
      <c r="T28" s="184">
        <f t="shared" si="1"/>
        <v>42</v>
      </c>
      <c r="U28" s="179">
        <v>498</v>
      </c>
      <c r="V28" s="200">
        <f t="shared" si="8"/>
        <v>5229</v>
      </c>
      <c r="W28" s="179">
        <v>3</v>
      </c>
      <c r="X28" s="218" t="s">
        <v>63</v>
      </c>
      <c r="Y28" s="188" t="s">
        <v>45</v>
      </c>
      <c r="Z28" s="188" t="s">
        <v>46</v>
      </c>
      <c r="AA28" s="188" t="s">
        <v>54</v>
      </c>
      <c r="AB28" s="179" t="s">
        <v>48</v>
      </c>
      <c r="AI28" s="191"/>
      <c r="AJ28" s="191"/>
      <c r="AK28" s="191"/>
      <c r="AL28" s="191"/>
      <c r="AM28" s="191"/>
      <c r="AP28" s="209" t="s">
        <v>159</v>
      </c>
    </row>
    <row r="29" spans="1:48" s="179" customFormat="1" ht="13.5" customHeight="1">
      <c r="A29" s="177" t="s">
        <v>35</v>
      </c>
      <c r="B29" s="177" t="s">
        <v>36</v>
      </c>
      <c r="C29" s="177">
        <v>2020</v>
      </c>
      <c r="D29" s="178" t="s">
        <v>161</v>
      </c>
      <c r="E29" s="177" t="s">
        <v>73</v>
      </c>
      <c r="F29" s="177" t="s">
        <v>74</v>
      </c>
      <c r="G29" s="177" t="s">
        <v>39</v>
      </c>
      <c r="H29" s="177" t="s">
        <v>40</v>
      </c>
      <c r="I29" s="177" t="s">
        <v>41</v>
      </c>
      <c r="J29" s="179" t="s">
        <v>42</v>
      </c>
      <c r="K29" s="179" t="s">
        <v>144</v>
      </c>
      <c r="L29" s="177">
        <v>1</v>
      </c>
      <c r="N29" s="179">
        <v>8</v>
      </c>
      <c r="O29" s="179">
        <v>0.65</v>
      </c>
      <c r="P29" s="179">
        <v>0.75</v>
      </c>
      <c r="Q29" s="207">
        <f t="shared" si="0"/>
        <v>0.7</v>
      </c>
      <c r="R29" s="216">
        <v>14</v>
      </c>
      <c r="S29" s="216">
        <v>86</v>
      </c>
      <c r="T29" s="184">
        <f t="shared" si="1"/>
        <v>36</v>
      </c>
      <c r="U29" s="185">
        <v>480</v>
      </c>
      <c r="V29" s="200">
        <f t="shared" si="2"/>
        <v>2160</v>
      </c>
      <c r="W29" s="217">
        <v>2</v>
      </c>
      <c r="X29" s="218" t="s">
        <v>44</v>
      </c>
      <c r="Y29" s="188" t="s">
        <v>46</v>
      </c>
      <c r="Z29" s="188" t="s">
        <v>45</v>
      </c>
      <c r="AA29" s="188" t="s">
        <v>54</v>
      </c>
      <c r="AB29" s="179" t="s">
        <v>48</v>
      </c>
      <c r="AC29" s="197"/>
      <c r="AI29" s="191"/>
      <c r="AJ29" s="191"/>
      <c r="AK29" s="191"/>
      <c r="AL29" s="191"/>
      <c r="AM29" s="191"/>
      <c r="AP29" s="227"/>
    </row>
    <row r="30" spans="1:48" s="179" customFormat="1" ht="13.5" customHeight="1">
      <c r="A30" s="177" t="s">
        <v>35</v>
      </c>
      <c r="B30" s="177" t="s">
        <v>36</v>
      </c>
      <c r="C30" s="177">
        <v>2020</v>
      </c>
      <c r="D30" s="178" t="s">
        <v>161</v>
      </c>
      <c r="E30" s="177" t="s">
        <v>73</v>
      </c>
      <c r="F30" s="177" t="s">
        <v>74</v>
      </c>
      <c r="G30" s="177" t="s">
        <v>39</v>
      </c>
      <c r="H30" s="177" t="s">
        <v>40</v>
      </c>
      <c r="I30" s="177" t="s">
        <v>41</v>
      </c>
      <c r="J30" s="179" t="s">
        <v>42</v>
      </c>
      <c r="K30" s="179" t="s">
        <v>144</v>
      </c>
      <c r="L30" s="177">
        <v>2</v>
      </c>
      <c r="N30" s="179">
        <v>8</v>
      </c>
      <c r="O30" s="179">
        <v>0.4</v>
      </c>
      <c r="P30" s="179">
        <v>0.55000000000000004</v>
      </c>
      <c r="Q30" s="207">
        <f t="shared" si="0"/>
        <v>0.47500000000000003</v>
      </c>
      <c r="R30" s="216">
        <v>13.6</v>
      </c>
      <c r="S30" s="216">
        <v>91</v>
      </c>
      <c r="T30" s="184">
        <f t="shared" si="1"/>
        <v>36</v>
      </c>
      <c r="U30" s="185">
        <v>480</v>
      </c>
      <c r="V30" s="200">
        <f t="shared" si="2"/>
        <v>2160</v>
      </c>
      <c r="W30" s="217">
        <v>2</v>
      </c>
      <c r="X30" s="218" t="s">
        <v>44</v>
      </c>
      <c r="Y30" s="188" t="s">
        <v>46</v>
      </c>
      <c r="Z30" s="188" t="s">
        <v>45</v>
      </c>
      <c r="AA30" s="188" t="s">
        <v>54</v>
      </c>
      <c r="AB30" s="179" t="s">
        <v>48</v>
      </c>
      <c r="AC30" s="197"/>
      <c r="AI30" s="191"/>
      <c r="AJ30" s="191"/>
      <c r="AK30" s="191"/>
      <c r="AL30" s="191"/>
      <c r="AM30" s="191"/>
      <c r="AP30" s="227"/>
    </row>
    <row r="31" spans="1:48" s="179" customFormat="1" ht="13.5" customHeight="1">
      <c r="A31" s="177" t="s">
        <v>35</v>
      </c>
      <c r="B31" s="177" t="s">
        <v>36</v>
      </c>
      <c r="C31" s="177">
        <v>2020</v>
      </c>
      <c r="D31" s="178" t="s">
        <v>161</v>
      </c>
      <c r="E31" s="177" t="s">
        <v>73</v>
      </c>
      <c r="F31" s="177" t="s">
        <v>74</v>
      </c>
      <c r="G31" s="177" t="s">
        <v>39</v>
      </c>
      <c r="H31" s="177" t="s">
        <v>40</v>
      </c>
      <c r="I31" s="177" t="s">
        <v>41</v>
      </c>
      <c r="J31" s="179" t="s">
        <v>42</v>
      </c>
      <c r="K31" s="179" t="s">
        <v>144</v>
      </c>
      <c r="L31" s="177">
        <v>3</v>
      </c>
      <c r="N31" s="179">
        <v>8</v>
      </c>
      <c r="O31" s="179">
        <v>0.6</v>
      </c>
      <c r="P31" s="179">
        <v>0.7</v>
      </c>
      <c r="Q31" s="207">
        <f t="shared" si="0"/>
        <v>0.64999999999999991</v>
      </c>
      <c r="R31" s="216">
        <v>13.1</v>
      </c>
      <c r="S31" s="216">
        <v>84</v>
      </c>
      <c r="T31" s="184">
        <f t="shared" si="1"/>
        <v>36</v>
      </c>
      <c r="U31" s="185">
        <v>480</v>
      </c>
      <c r="V31" s="200">
        <f t="shared" si="2"/>
        <v>2160</v>
      </c>
      <c r="W31" s="217">
        <v>2</v>
      </c>
      <c r="X31" s="218" t="s">
        <v>44</v>
      </c>
      <c r="Y31" s="188" t="s">
        <v>46</v>
      </c>
      <c r="Z31" s="188" t="s">
        <v>45</v>
      </c>
      <c r="AA31" s="188" t="s">
        <v>54</v>
      </c>
      <c r="AB31" s="179" t="s">
        <v>48</v>
      </c>
      <c r="AC31" s="197"/>
      <c r="AI31" s="191"/>
      <c r="AJ31" s="191"/>
      <c r="AK31" s="191"/>
      <c r="AL31" s="191"/>
      <c r="AM31" s="191"/>
      <c r="AP31" s="227"/>
    </row>
    <row r="32" spans="1:48" s="179" customFormat="1" ht="13.5" customHeight="1">
      <c r="A32" s="177" t="s">
        <v>35</v>
      </c>
      <c r="B32" s="177" t="s">
        <v>36</v>
      </c>
      <c r="C32" s="177">
        <v>2020</v>
      </c>
      <c r="D32" s="178" t="s">
        <v>161</v>
      </c>
      <c r="E32" s="177" t="s">
        <v>143</v>
      </c>
      <c r="F32" s="177" t="s">
        <v>66</v>
      </c>
      <c r="G32" s="177" t="s">
        <v>39</v>
      </c>
      <c r="H32" s="177" t="s">
        <v>40</v>
      </c>
      <c r="I32" s="177" t="s">
        <v>41</v>
      </c>
      <c r="J32" s="179" t="s">
        <v>42</v>
      </c>
      <c r="K32" s="179" t="s">
        <v>144</v>
      </c>
      <c r="L32" s="177">
        <v>1</v>
      </c>
      <c r="N32" s="179">
        <v>1</v>
      </c>
      <c r="O32" s="179">
        <v>0.6</v>
      </c>
      <c r="P32" s="179">
        <v>0.7</v>
      </c>
      <c r="Q32" s="207">
        <f t="shared" ref="Q32:Q37" si="9">IF(OR(O32="",P32=""),"",AVERAGE(O32,P32))</f>
        <v>0.64999999999999991</v>
      </c>
      <c r="R32" s="216">
        <v>14.8</v>
      </c>
      <c r="S32" s="216">
        <v>120</v>
      </c>
      <c r="T32" s="184">
        <f t="shared" si="1"/>
        <v>30</v>
      </c>
      <c r="U32" s="185">
        <v>98</v>
      </c>
      <c r="V32" s="200">
        <f t="shared" ref="V32:V37" si="10">IF(OR(N32="",U32="",T32=""),"",U32/N32*T32)</f>
        <v>2940</v>
      </c>
      <c r="W32" s="217">
        <v>2</v>
      </c>
      <c r="X32" s="218" t="s">
        <v>63</v>
      </c>
      <c r="Y32" s="188" t="s">
        <v>164</v>
      </c>
      <c r="Z32" s="188" t="s">
        <v>163</v>
      </c>
      <c r="AA32" s="188" t="s">
        <v>165</v>
      </c>
      <c r="AB32" s="179" t="s">
        <v>48</v>
      </c>
      <c r="AC32" s="197"/>
      <c r="AI32" s="191"/>
      <c r="AJ32" s="191"/>
      <c r="AK32" s="191"/>
      <c r="AL32" s="191"/>
      <c r="AM32" s="191"/>
      <c r="AP32" s="227"/>
    </row>
    <row r="33" spans="1:42" s="179" customFormat="1" ht="13.5" customHeight="1">
      <c r="A33" s="177" t="s">
        <v>35</v>
      </c>
      <c r="B33" s="177" t="s">
        <v>36</v>
      </c>
      <c r="C33" s="177">
        <v>2020</v>
      </c>
      <c r="D33" s="178" t="s">
        <v>161</v>
      </c>
      <c r="E33" s="177" t="s">
        <v>143</v>
      </c>
      <c r="F33" s="177" t="s">
        <v>66</v>
      </c>
      <c r="G33" s="177" t="s">
        <v>39</v>
      </c>
      <c r="H33" s="177" t="s">
        <v>40</v>
      </c>
      <c r="I33" s="177" t="s">
        <v>41</v>
      </c>
      <c r="J33" s="179" t="s">
        <v>42</v>
      </c>
      <c r="K33" s="179" t="s">
        <v>144</v>
      </c>
      <c r="L33" s="177">
        <v>2</v>
      </c>
      <c r="N33" s="179">
        <v>1</v>
      </c>
      <c r="O33" s="179">
        <v>0.65</v>
      </c>
      <c r="P33" s="179">
        <v>0.7</v>
      </c>
      <c r="Q33" s="207">
        <f t="shared" si="9"/>
        <v>0.67500000000000004</v>
      </c>
      <c r="R33" s="216">
        <v>16.899999999999999</v>
      </c>
      <c r="S33" s="216">
        <v>118</v>
      </c>
      <c r="T33" s="184">
        <f t="shared" si="1"/>
        <v>30</v>
      </c>
      <c r="U33" s="185">
        <v>98</v>
      </c>
      <c r="V33" s="200">
        <f t="shared" si="10"/>
        <v>2940</v>
      </c>
      <c r="W33" s="217">
        <v>2</v>
      </c>
      <c r="X33" s="218" t="s">
        <v>63</v>
      </c>
      <c r="Y33" s="188" t="s">
        <v>46</v>
      </c>
      <c r="Z33" s="188" t="s">
        <v>45</v>
      </c>
      <c r="AA33" s="188" t="s">
        <v>54</v>
      </c>
      <c r="AB33" s="179" t="s">
        <v>48</v>
      </c>
      <c r="AC33" s="197"/>
      <c r="AI33" s="191"/>
      <c r="AJ33" s="191"/>
      <c r="AK33" s="191"/>
      <c r="AL33" s="191"/>
      <c r="AM33" s="191"/>
      <c r="AP33" s="227"/>
    </row>
    <row r="34" spans="1:42" s="179" customFormat="1" ht="13.5" customHeight="1">
      <c r="A34" s="177" t="s">
        <v>35</v>
      </c>
      <c r="B34" s="177" t="s">
        <v>36</v>
      </c>
      <c r="C34" s="177">
        <v>2020</v>
      </c>
      <c r="D34" s="178" t="s">
        <v>161</v>
      </c>
      <c r="E34" s="177" t="s">
        <v>143</v>
      </c>
      <c r="F34" s="177" t="s">
        <v>66</v>
      </c>
      <c r="G34" s="177" t="s">
        <v>39</v>
      </c>
      <c r="H34" s="177" t="s">
        <v>40</v>
      </c>
      <c r="I34" s="177" t="s">
        <v>41</v>
      </c>
      <c r="J34" s="179" t="s">
        <v>42</v>
      </c>
      <c r="K34" s="179" t="s">
        <v>144</v>
      </c>
      <c r="L34" s="177">
        <v>3</v>
      </c>
      <c r="N34" s="179">
        <v>1</v>
      </c>
      <c r="O34" s="179">
        <v>0.75</v>
      </c>
      <c r="P34" s="179">
        <v>0.6</v>
      </c>
      <c r="Q34" s="207">
        <f t="shared" si="9"/>
        <v>0.67500000000000004</v>
      </c>
      <c r="R34" s="216">
        <v>15.9</v>
      </c>
      <c r="S34" s="216">
        <v>115</v>
      </c>
      <c r="T34" s="184">
        <f t="shared" ref="T34:T65" si="11">IF(H34="","",IF(OR(H34="GREEN",H34="GK"),IF(S34&gt;=$AX$2,VLOOKUP(S34,$AX$2:$AY$7,2,1),""),IF(S34&gt;=$AZ$2,VLOOKUP(S34,$AZ$2:$BA$7,2,1),"")))</f>
        <v>30</v>
      </c>
      <c r="U34" s="185">
        <v>98</v>
      </c>
      <c r="V34" s="200">
        <f t="shared" si="10"/>
        <v>2940</v>
      </c>
      <c r="W34" s="217">
        <v>2</v>
      </c>
      <c r="X34" s="218" t="s">
        <v>63</v>
      </c>
      <c r="Y34" s="188" t="s">
        <v>46</v>
      </c>
      <c r="Z34" s="188" t="s">
        <v>45</v>
      </c>
      <c r="AA34" s="188" t="s">
        <v>54</v>
      </c>
      <c r="AB34" s="179" t="s">
        <v>48</v>
      </c>
      <c r="AC34" s="197"/>
      <c r="AI34" s="191"/>
      <c r="AJ34" s="191"/>
      <c r="AK34" s="191"/>
      <c r="AL34" s="191"/>
      <c r="AM34" s="191"/>
      <c r="AP34" s="227"/>
    </row>
    <row r="35" spans="1:42" s="223" customFormat="1" ht="13.5" customHeight="1">
      <c r="A35" s="177" t="s">
        <v>35</v>
      </c>
      <c r="B35" s="177" t="s">
        <v>36</v>
      </c>
      <c r="C35" s="177">
        <v>2020</v>
      </c>
      <c r="D35" s="178" t="s">
        <v>161</v>
      </c>
      <c r="E35" s="177" t="s">
        <v>143</v>
      </c>
      <c r="F35" s="177" t="s">
        <v>66</v>
      </c>
      <c r="G35" s="177" t="s">
        <v>39</v>
      </c>
      <c r="H35" s="177" t="s">
        <v>40</v>
      </c>
      <c r="I35" s="177" t="s">
        <v>41</v>
      </c>
      <c r="J35" s="179" t="s">
        <v>42</v>
      </c>
      <c r="K35" s="179" t="s">
        <v>144</v>
      </c>
      <c r="L35" s="177">
        <v>1</v>
      </c>
      <c r="M35" s="179"/>
      <c r="N35" s="179">
        <v>5</v>
      </c>
      <c r="O35" s="179">
        <v>0.8</v>
      </c>
      <c r="P35" s="179">
        <v>0.95</v>
      </c>
      <c r="Q35" s="207">
        <f t="shared" si="9"/>
        <v>0.875</v>
      </c>
      <c r="R35" s="216">
        <v>14.6</v>
      </c>
      <c r="S35" s="216">
        <v>79</v>
      </c>
      <c r="T35" s="184">
        <f t="shared" si="11"/>
        <v>39</v>
      </c>
      <c r="U35" s="185">
        <v>298</v>
      </c>
      <c r="V35" s="200">
        <f>IF(OR(N35="",U35="",T35=""),"",U35/N35*T35)</f>
        <v>2324.4</v>
      </c>
      <c r="W35" s="217">
        <v>2</v>
      </c>
      <c r="X35" s="218" t="s">
        <v>63</v>
      </c>
      <c r="Y35" s="188" t="s">
        <v>46</v>
      </c>
      <c r="Z35" s="188" t="s">
        <v>45</v>
      </c>
      <c r="AA35" s="188" t="s">
        <v>54</v>
      </c>
      <c r="AB35" s="179" t="s">
        <v>48</v>
      </c>
    </row>
    <row r="36" spans="1:42" s="179" customFormat="1" ht="13.5" customHeight="1">
      <c r="A36" s="177" t="s">
        <v>35</v>
      </c>
      <c r="B36" s="177" t="s">
        <v>36</v>
      </c>
      <c r="C36" s="177">
        <v>2020</v>
      </c>
      <c r="D36" s="178" t="s">
        <v>161</v>
      </c>
      <c r="E36" s="177" t="s">
        <v>143</v>
      </c>
      <c r="F36" s="177" t="s">
        <v>66</v>
      </c>
      <c r="G36" s="177" t="s">
        <v>39</v>
      </c>
      <c r="H36" s="177" t="s">
        <v>40</v>
      </c>
      <c r="I36" s="177" t="s">
        <v>41</v>
      </c>
      <c r="J36" s="179" t="s">
        <v>42</v>
      </c>
      <c r="K36" s="179" t="s">
        <v>144</v>
      </c>
      <c r="L36" s="177">
        <v>2</v>
      </c>
      <c r="N36" s="179">
        <v>5</v>
      </c>
      <c r="O36" s="179">
        <v>0.8</v>
      </c>
      <c r="P36" s="179">
        <v>1.2</v>
      </c>
      <c r="Q36" s="207">
        <f t="shared" si="9"/>
        <v>1</v>
      </c>
      <c r="R36" s="216">
        <v>13.3</v>
      </c>
      <c r="S36" s="216">
        <v>80</v>
      </c>
      <c r="T36" s="184">
        <f t="shared" si="11"/>
        <v>39</v>
      </c>
      <c r="U36" s="185">
        <v>298</v>
      </c>
      <c r="V36" s="200">
        <f t="shared" si="10"/>
        <v>2324.4</v>
      </c>
      <c r="W36" s="217">
        <v>2</v>
      </c>
      <c r="X36" s="218" t="s">
        <v>63</v>
      </c>
      <c r="Y36" s="188" t="s">
        <v>46</v>
      </c>
      <c r="Z36" s="188" t="s">
        <v>45</v>
      </c>
      <c r="AA36" s="188" t="s">
        <v>54</v>
      </c>
      <c r="AB36" s="179" t="s">
        <v>48</v>
      </c>
      <c r="AI36" s="191"/>
      <c r="AJ36" s="191"/>
      <c r="AK36" s="191"/>
      <c r="AL36" s="191"/>
      <c r="AM36" s="191"/>
    </row>
    <row r="37" spans="1:42" s="179" customFormat="1" ht="13.5" customHeight="1">
      <c r="A37" s="177" t="s">
        <v>35</v>
      </c>
      <c r="B37" s="177" t="s">
        <v>36</v>
      </c>
      <c r="C37" s="177">
        <v>2020</v>
      </c>
      <c r="D37" s="178" t="s">
        <v>161</v>
      </c>
      <c r="E37" s="177" t="s">
        <v>143</v>
      </c>
      <c r="F37" s="177" t="s">
        <v>66</v>
      </c>
      <c r="G37" s="177" t="s">
        <v>39</v>
      </c>
      <c r="H37" s="177" t="s">
        <v>40</v>
      </c>
      <c r="I37" s="177" t="s">
        <v>41</v>
      </c>
      <c r="J37" s="179" t="s">
        <v>42</v>
      </c>
      <c r="K37" s="179" t="s">
        <v>144</v>
      </c>
      <c r="L37" s="177">
        <v>3</v>
      </c>
      <c r="N37" s="179">
        <v>5</v>
      </c>
      <c r="O37" s="179">
        <v>0.8</v>
      </c>
      <c r="P37" s="179">
        <v>0.9</v>
      </c>
      <c r="Q37" s="207">
        <f t="shared" si="9"/>
        <v>0.85000000000000009</v>
      </c>
      <c r="R37" s="216">
        <v>15.2</v>
      </c>
      <c r="S37" s="216">
        <v>79</v>
      </c>
      <c r="T37" s="184">
        <f t="shared" si="11"/>
        <v>39</v>
      </c>
      <c r="U37" s="185">
        <v>298</v>
      </c>
      <c r="V37" s="200">
        <f t="shared" si="10"/>
        <v>2324.4</v>
      </c>
      <c r="W37" s="217">
        <v>2</v>
      </c>
      <c r="X37" s="218" t="s">
        <v>63</v>
      </c>
      <c r="Y37" s="188" t="s">
        <v>46</v>
      </c>
      <c r="Z37" s="188" t="s">
        <v>45</v>
      </c>
      <c r="AA37" s="188" t="s">
        <v>54</v>
      </c>
      <c r="AB37" s="179" t="s">
        <v>48</v>
      </c>
      <c r="AI37" s="191"/>
      <c r="AJ37" s="191"/>
      <c r="AK37" s="191"/>
      <c r="AL37" s="191"/>
      <c r="AM37" s="191"/>
    </row>
    <row r="38" spans="1:42" s="179" customFormat="1" ht="13.5" customHeight="1">
      <c r="A38" s="177" t="s">
        <v>35</v>
      </c>
      <c r="B38" s="226" t="s">
        <v>36</v>
      </c>
      <c r="C38" s="226">
        <v>2020</v>
      </c>
      <c r="D38" s="178" t="s">
        <v>161</v>
      </c>
      <c r="E38" s="226" t="s">
        <v>152</v>
      </c>
      <c r="F38" s="226" t="s">
        <v>74</v>
      </c>
      <c r="G38" s="226" t="s">
        <v>39</v>
      </c>
      <c r="H38" s="226" t="s">
        <v>40</v>
      </c>
      <c r="I38" s="226" t="s">
        <v>41</v>
      </c>
      <c r="J38" s="223" t="s">
        <v>42</v>
      </c>
      <c r="K38" s="223" t="s">
        <v>144</v>
      </c>
      <c r="L38" s="226">
        <v>1</v>
      </c>
      <c r="M38" s="223"/>
      <c r="N38" s="223">
        <v>1</v>
      </c>
      <c r="O38" s="223">
        <v>0.95</v>
      </c>
      <c r="P38" s="223">
        <v>0.7</v>
      </c>
      <c r="Q38" s="207">
        <f t="shared" ref="Q38:Q43" si="12">IF(OR(O38="",P38=""),"",AVERAGE(O38,P38))</f>
        <v>0.82499999999999996</v>
      </c>
      <c r="R38" s="223">
        <v>15.9</v>
      </c>
      <c r="S38" s="223">
        <v>125</v>
      </c>
      <c r="T38" s="184">
        <f t="shared" si="11"/>
        <v>30</v>
      </c>
      <c r="U38" s="223">
        <v>98</v>
      </c>
      <c r="V38" s="200">
        <f t="shared" ref="V38:V43" si="13">IF(OR(N38="",U38="",T38=""),"",U38/N38*T38)</f>
        <v>2940</v>
      </c>
      <c r="W38" s="223">
        <v>4</v>
      </c>
      <c r="X38" s="229" t="s">
        <v>63</v>
      </c>
      <c r="Y38" s="228" t="s">
        <v>54</v>
      </c>
      <c r="Z38" s="228" t="s">
        <v>164</v>
      </c>
      <c r="AA38" s="228" t="s">
        <v>163</v>
      </c>
      <c r="AB38" s="223" t="s">
        <v>48</v>
      </c>
      <c r="AI38" s="191"/>
      <c r="AJ38" s="191"/>
      <c r="AK38" s="191"/>
      <c r="AL38" s="191"/>
      <c r="AM38" s="191"/>
    </row>
    <row r="39" spans="1:42" s="179" customFormat="1" ht="13.5" customHeight="1">
      <c r="A39" s="177" t="s">
        <v>35</v>
      </c>
      <c r="B39" s="177" t="s">
        <v>36</v>
      </c>
      <c r="C39" s="177">
        <v>2020</v>
      </c>
      <c r="D39" s="178" t="s">
        <v>161</v>
      </c>
      <c r="E39" s="177" t="s">
        <v>152</v>
      </c>
      <c r="F39" s="177" t="s">
        <v>74</v>
      </c>
      <c r="G39" s="177" t="s">
        <v>39</v>
      </c>
      <c r="H39" s="177" t="s">
        <v>40</v>
      </c>
      <c r="I39" s="226" t="s">
        <v>41</v>
      </c>
      <c r="J39" s="179" t="s">
        <v>42</v>
      </c>
      <c r="K39" s="179" t="s">
        <v>144</v>
      </c>
      <c r="L39" s="177">
        <v>2</v>
      </c>
      <c r="N39" s="179">
        <v>1</v>
      </c>
      <c r="O39" s="179">
        <v>1</v>
      </c>
      <c r="P39" s="179">
        <v>0.8</v>
      </c>
      <c r="Q39" s="207">
        <f t="shared" si="12"/>
        <v>0.9</v>
      </c>
      <c r="R39" s="179">
        <v>15.3</v>
      </c>
      <c r="S39" s="179">
        <v>110</v>
      </c>
      <c r="T39" s="184">
        <f t="shared" si="11"/>
        <v>33</v>
      </c>
      <c r="U39" s="179">
        <v>98</v>
      </c>
      <c r="V39" s="200">
        <f t="shared" si="13"/>
        <v>3234</v>
      </c>
      <c r="W39" s="223">
        <v>4</v>
      </c>
      <c r="X39" s="218" t="s">
        <v>63</v>
      </c>
      <c r="Y39" s="188" t="s">
        <v>54</v>
      </c>
      <c r="Z39" s="188" t="s">
        <v>46</v>
      </c>
      <c r="AA39" s="188" t="s">
        <v>45</v>
      </c>
      <c r="AB39" s="179" t="s">
        <v>48</v>
      </c>
      <c r="AI39" s="191"/>
      <c r="AJ39" s="191"/>
      <c r="AK39" s="191"/>
      <c r="AL39" s="191"/>
      <c r="AM39" s="191"/>
    </row>
    <row r="40" spans="1:42" s="179" customFormat="1" ht="13.5" customHeight="1">
      <c r="A40" s="177" t="s">
        <v>35</v>
      </c>
      <c r="B40" s="177" t="s">
        <v>36</v>
      </c>
      <c r="C40" s="177">
        <v>2020</v>
      </c>
      <c r="D40" s="178" t="s">
        <v>161</v>
      </c>
      <c r="E40" s="177" t="s">
        <v>152</v>
      </c>
      <c r="F40" s="177" t="s">
        <v>74</v>
      </c>
      <c r="G40" s="177" t="s">
        <v>39</v>
      </c>
      <c r="H40" s="177" t="s">
        <v>40</v>
      </c>
      <c r="I40" s="226" t="s">
        <v>41</v>
      </c>
      <c r="J40" s="179" t="s">
        <v>42</v>
      </c>
      <c r="K40" s="179" t="s">
        <v>144</v>
      </c>
      <c r="L40" s="177">
        <v>3</v>
      </c>
      <c r="N40" s="179">
        <v>1</v>
      </c>
      <c r="O40" s="179">
        <v>0.7</v>
      </c>
      <c r="P40" s="179">
        <v>0.65</v>
      </c>
      <c r="Q40" s="207">
        <f t="shared" si="12"/>
        <v>0.67500000000000004</v>
      </c>
      <c r="R40" s="179">
        <v>14.4</v>
      </c>
      <c r="S40" s="179">
        <v>107</v>
      </c>
      <c r="T40" s="184">
        <f t="shared" si="11"/>
        <v>33</v>
      </c>
      <c r="U40" s="179">
        <v>98</v>
      </c>
      <c r="V40" s="200">
        <f t="shared" si="13"/>
        <v>3234</v>
      </c>
      <c r="W40" s="223">
        <v>4</v>
      </c>
      <c r="X40" s="218" t="s">
        <v>63</v>
      </c>
      <c r="Y40" s="188" t="s">
        <v>54</v>
      </c>
      <c r="Z40" s="188" t="s">
        <v>46</v>
      </c>
      <c r="AA40" s="188" t="s">
        <v>45</v>
      </c>
      <c r="AB40" s="179" t="s">
        <v>48</v>
      </c>
      <c r="AI40" s="191"/>
      <c r="AJ40" s="191"/>
      <c r="AK40" s="191"/>
      <c r="AL40" s="191"/>
      <c r="AM40" s="191"/>
    </row>
    <row r="41" spans="1:42" s="179" customFormat="1" ht="13.5" customHeight="1">
      <c r="A41" s="226" t="s">
        <v>35</v>
      </c>
      <c r="B41" s="177" t="s">
        <v>36</v>
      </c>
      <c r="C41" s="177">
        <v>2020</v>
      </c>
      <c r="D41" s="178" t="s">
        <v>161</v>
      </c>
      <c r="E41" s="177" t="s">
        <v>152</v>
      </c>
      <c r="F41" s="177" t="s">
        <v>74</v>
      </c>
      <c r="G41" s="177" t="s">
        <v>39</v>
      </c>
      <c r="H41" s="177" t="s">
        <v>40</v>
      </c>
      <c r="I41" s="226" t="s">
        <v>41</v>
      </c>
      <c r="J41" s="179" t="s">
        <v>42</v>
      </c>
      <c r="K41" s="179" t="s">
        <v>144</v>
      </c>
      <c r="L41" s="177">
        <v>1</v>
      </c>
      <c r="N41" s="179">
        <v>8</v>
      </c>
      <c r="O41" s="179">
        <v>0.65</v>
      </c>
      <c r="P41" s="179">
        <v>0.55000000000000004</v>
      </c>
      <c r="Q41" s="207">
        <f t="shared" si="12"/>
        <v>0.60000000000000009</v>
      </c>
      <c r="R41" s="179">
        <v>15.4</v>
      </c>
      <c r="S41" s="179">
        <v>102</v>
      </c>
      <c r="T41" s="184">
        <f t="shared" si="11"/>
        <v>33</v>
      </c>
      <c r="U41" s="179">
        <v>698</v>
      </c>
      <c r="V41" s="200">
        <f t="shared" si="13"/>
        <v>2879.25</v>
      </c>
      <c r="W41" s="223">
        <v>4</v>
      </c>
      <c r="X41" s="218" t="s">
        <v>63</v>
      </c>
      <c r="Y41" s="188" t="s">
        <v>54</v>
      </c>
      <c r="Z41" s="188" t="s">
        <v>46</v>
      </c>
      <c r="AA41" s="188" t="s">
        <v>45</v>
      </c>
      <c r="AB41" s="179" t="s">
        <v>48</v>
      </c>
      <c r="AI41" s="191"/>
      <c r="AJ41" s="191"/>
      <c r="AK41" s="191"/>
      <c r="AL41" s="191"/>
      <c r="AM41" s="191"/>
    </row>
    <row r="42" spans="1:42" s="179" customFormat="1" ht="13.5" customHeight="1">
      <c r="A42" s="177" t="s">
        <v>35</v>
      </c>
      <c r="B42" s="177" t="s">
        <v>36</v>
      </c>
      <c r="C42" s="177">
        <v>2020</v>
      </c>
      <c r="D42" s="178" t="s">
        <v>161</v>
      </c>
      <c r="E42" s="177" t="s">
        <v>152</v>
      </c>
      <c r="F42" s="177" t="s">
        <v>74</v>
      </c>
      <c r="G42" s="177" t="s">
        <v>39</v>
      </c>
      <c r="H42" s="177" t="s">
        <v>40</v>
      </c>
      <c r="I42" s="226" t="s">
        <v>41</v>
      </c>
      <c r="J42" s="179" t="s">
        <v>42</v>
      </c>
      <c r="K42" s="179" t="s">
        <v>144</v>
      </c>
      <c r="L42" s="177">
        <v>2</v>
      </c>
      <c r="N42" s="179">
        <v>8</v>
      </c>
      <c r="O42" s="179">
        <v>0.75</v>
      </c>
      <c r="P42" s="179">
        <v>0.65</v>
      </c>
      <c r="Q42" s="207">
        <f t="shared" si="12"/>
        <v>0.7</v>
      </c>
      <c r="R42" s="179">
        <v>14.5</v>
      </c>
      <c r="S42" s="179">
        <v>105</v>
      </c>
      <c r="T42" s="184">
        <f t="shared" si="11"/>
        <v>33</v>
      </c>
      <c r="U42" s="179">
        <v>698</v>
      </c>
      <c r="V42" s="200">
        <f t="shared" si="13"/>
        <v>2879.25</v>
      </c>
      <c r="W42" s="223">
        <v>4</v>
      </c>
      <c r="X42" s="218" t="s">
        <v>63</v>
      </c>
      <c r="Y42" s="188" t="s">
        <v>54</v>
      </c>
      <c r="Z42" s="188" t="s">
        <v>46</v>
      </c>
      <c r="AA42" s="188" t="s">
        <v>45</v>
      </c>
      <c r="AB42" s="179" t="s">
        <v>48</v>
      </c>
      <c r="AI42" s="191"/>
      <c r="AJ42" s="191"/>
      <c r="AK42" s="191"/>
      <c r="AL42" s="191"/>
      <c r="AM42" s="191"/>
    </row>
    <row r="43" spans="1:42" s="179" customFormat="1" ht="13.5" customHeight="1">
      <c r="A43" s="177" t="s">
        <v>35</v>
      </c>
      <c r="B43" s="177" t="s">
        <v>36</v>
      </c>
      <c r="C43" s="177">
        <v>2020</v>
      </c>
      <c r="D43" s="178" t="s">
        <v>161</v>
      </c>
      <c r="E43" s="177" t="s">
        <v>152</v>
      </c>
      <c r="F43" s="177" t="s">
        <v>74</v>
      </c>
      <c r="G43" s="177" t="s">
        <v>39</v>
      </c>
      <c r="H43" s="177" t="s">
        <v>40</v>
      </c>
      <c r="I43" s="226" t="s">
        <v>41</v>
      </c>
      <c r="J43" s="179" t="s">
        <v>42</v>
      </c>
      <c r="K43" s="179" t="s">
        <v>144</v>
      </c>
      <c r="L43" s="177">
        <v>3</v>
      </c>
      <c r="N43" s="179">
        <v>8</v>
      </c>
      <c r="O43" s="179">
        <v>0.6</v>
      </c>
      <c r="P43" s="179">
        <v>0.75</v>
      </c>
      <c r="Q43" s="207">
        <f t="shared" si="12"/>
        <v>0.67500000000000004</v>
      </c>
      <c r="R43" s="179">
        <v>15.4</v>
      </c>
      <c r="S43" s="179">
        <v>98</v>
      </c>
      <c r="T43" s="184">
        <f t="shared" si="11"/>
        <v>36</v>
      </c>
      <c r="U43" s="179">
        <v>698</v>
      </c>
      <c r="V43" s="200">
        <f t="shared" si="13"/>
        <v>3141</v>
      </c>
      <c r="W43" s="223">
        <v>4</v>
      </c>
      <c r="X43" s="218" t="s">
        <v>63</v>
      </c>
      <c r="Y43" s="188" t="s">
        <v>54</v>
      </c>
      <c r="Z43" s="188" t="s">
        <v>46</v>
      </c>
      <c r="AA43" s="188" t="s">
        <v>45</v>
      </c>
      <c r="AB43" s="179" t="s">
        <v>48</v>
      </c>
      <c r="AI43" s="191"/>
      <c r="AJ43" s="191"/>
      <c r="AK43" s="191"/>
      <c r="AL43" s="191"/>
      <c r="AM43" s="191"/>
    </row>
    <row r="44" spans="1:42" s="179" customFormat="1" ht="13.5" customHeight="1">
      <c r="A44" s="177" t="s">
        <v>35</v>
      </c>
      <c r="B44" s="177" t="s">
        <v>36</v>
      </c>
      <c r="C44" s="177">
        <v>2020</v>
      </c>
      <c r="D44" s="178" t="s">
        <v>161</v>
      </c>
      <c r="E44" s="177" t="s">
        <v>95</v>
      </c>
      <c r="F44" s="177" t="s">
        <v>74</v>
      </c>
      <c r="G44" s="177" t="s">
        <v>39</v>
      </c>
      <c r="H44" s="177" t="s">
        <v>40</v>
      </c>
      <c r="I44" s="177" t="s">
        <v>41</v>
      </c>
      <c r="J44" s="179" t="s">
        <v>42</v>
      </c>
      <c r="K44" s="179" t="s">
        <v>144</v>
      </c>
      <c r="L44" s="177">
        <v>1</v>
      </c>
      <c r="N44" s="179">
        <v>1</v>
      </c>
      <c r="O44" s="179">
        <v>0.8</v>
      </c>
      <c r="P44" s="179">
        <v>0.75</v>
      </c>
      <c r="Q44" s="207">
        <f t="shared" si="0"/>
        <v>0.77500000000000002</v>
      </c>
      <c r="R44" s="179">
        <v>15.1</v>
      </c>
      <c r="S44" s="179">
        <v>121</v>
      </c>
      <c r="T44" s="184">
        <f t="shared" si="11"/>
        <v>30</v>
      </c>
      <c r="U44" s="179">
        <v>89</v>
      </c>
      <c r="V44" s="200">
        <f t="shared" si="2"/>
        <v>2670</v>
      </c>
      <c r="W44" s="179">
        <v>10</v>
      </c>
      <c r="X44" s="179" t="s">
        <v>63</v>
      </c>
      <c r="Y44" s="188" t="s">
        <v>46</v>
      </c>
      <c r="Z44" s="188" t="s">
        <v>160</v>
      </c>
      <c r="AA44" s="188" t="s">
        <v>54</v>
      </c>
      <c r="AB44" s="179" t="s">
        <v>48</v>
      </c>
      <c r="AI44" s="191"/>
      <c r="AJ44" s="191"/>
      <c r="AK44" s="191"/>
      <c r="AL44" s="191"/>
      <c r="AM44" s="191"/>
    </row>
    <row r="45" spans="1:42" s="179" customFormat="1" ht="13.5" customHeight="1">
      <c r="A45" s="177" t="s">
        <v>35</v>
      </c>
      <c r="B45" s="177" t="s">
        <v>36</v>
      </c>
      <c r="C45" s="177">
        <v>2020</v>
      </c>
      <c r="D45" s="178" t="s">
        <v>161</v>
      </c>
      <c r="E45" s="177" t="s">
        <v>95</v>
      </c>
      <c r="F45" s="177" t="s">
        <v>74</v>
      </c>
      <c r="G45" s="177" t="s">
        <v>39</v>
      </c>
      <c r="H45" s="177" t="s">
        <v>40</v>
      </c>
      <c r="I45" s="177" t="s">
        <v>41</v>
      </c>
      <c r="J45" s="179" t="s">
        <v>42</v>
      </c>
      <c r="K45" s="179" t="s">
        <v>144</v>
      </c>
      <c r="L45" s="177">
        <v>2</v>
      </c>
      <c r="N45" s="179">
        <v>1</v>
      </c>
      <c r="O45" s="179">
        <v>0.75</v>
      </c>
      <c r="P45" s="179">
        <v>0.65</v>
      </c>
      <c r="Q45" s="207">
        <f t="shared" si="0"/>
        <v>0.7</v>
      </c>
      <c r="R45" s="179">
        <v>15.6</v>
      </c>
      <c r="S45" s="179">
        <v>129</v>
      </c>
      <c r="T45" s="184">
        <f t="shared" si="11"/>
        <v>30</v>
      </c>
      <c r="U45" s="179">
        <v>89</v>
      </c>
      <c r="V45" s="200">
        <f t="shared" si="2"/>
        <v>2670</v>
      </c>
      <c r="W45" s="179">
        <v>10</v>
      </c>
      <c r="X45" s="179" t="s">
        <v>63</v>
      </c>
      <c r="Y45" s="188" t="s">
        <v>46</v>
      </c>
      <c r="Z45" s="188" t="s">
        <v>160</v>
      </c>
      <c r="AA45" s="188" t="s">
        <v>54</v>
      </c>
      <c r="AB45" s="179" t="s">
        <v>48</v>
      </c>
      <c r="AI45" s="191"/>
      <c r="AJ45" s="191"/>
      <c r="AK45" s="191"/>
      <c r="AL45" s="191"/>
      <c r="AM45" s="191"/>
    </row>
    <row r="46" spans="1:42" s="179" customFormat="1" ht="13.5" customHeight="1">
      <c r="A46" s="177" t="s">
        <v>35</v>
      </c>
      <c r="B46" s="177" t="s">
        <v>36</v>
      </c>
      <c r="C46" s="177">
        <v>2020</v>
      </c>
      <c r="D46" s="178" t="s">
        <v>161</v>
      </c>
      <c r="E46" s="177" t="s">
        <v>95</v>
      </c>
      <c r="F46" s="177" t="s">
        <v>74</v>
      </c>
      <c r="G46" s="177" t="s">
        <v>39</v>
      </c>
      <c r="H46" s="177" t="s">
        <v>40</v>
      </c>
      <c r="I46" s="177" t="s">
        <v>41</v>
      </c>
      <c r="J46" s="179" t="s">
        <v>42</v>
      </c>
      <c r="K46" s="179" t="s">
        <v>144</v>
      </c>
      <c r="L46" s="177">
        <v>3</v>
      </c>
      <c r="N46" s="179">
        <v>1</v>
      </c>
      <c r="O46" s="179">
        <v>0.65</v>
      </c>
      <c r="P46" s="179">
        <v>0.6</v>
      </c>
      <c r="Q46" s="207">
        <f t="shared" si="0"/>
        <v>0.625</v>
      </c>
      <c r="R46" s="179">
        <v>15</v>
      </c>
      <c r="S46" s="179">
        <v>118</v>
      </c>
      <c r="T46" s="184">
        <f t="shared" si="11"/>
        <v>30</v>
      </c>
      <c r="U46" s="179">
        <v>89</v>
      </c>
      <c r="V46" s="200">
        <f t="shared" si="2"/>
        <v>2670</v>
      </c>
      <c r="W46" s="179">
        <v>10</v>
      </c>
      <c r="X46" s="179" t="s">
        <v>63</v>
      </c>
      <c r="Y46" s="188" t="s">
        <v>46</v>
      </c>
      <c r="Z46" s="188" t="s">
        <v>160</v>
      </c>
      <c r="AA46" s="188" t="s">
        <v>54</v>
      </c>
      <c r="AB46" s="179" t="s">
        <v>48</v>
      </c>
      <c r="AI46" s="191"/>
      <c r="AJ46" s="191"/>
      <c r="AK46" s="191"/>
      <c r="AL46" s="191"/>
      <c r="AM46" s="191"/>
    </row>
    <row r="47" spans="1:42" s="179" customFormat="1" ht="13.5" customHeight="1">
      <c r="A47" s="177" t="s">
        <v>35</v>
      </c>
      <c r="B47" s="177" t="s">
        <v>36</v>
      </c>
      <c r="C47" s="177">
        <v>2020</v>
      </c>
      <c r="D47" s="178" t="s">
        <v>161</v>
      </c>
      <c r="E47" s="177" t="s">
        <v>95</v>
      </c>
      <c r="F47" s="177" t="s">
        <v>74</v>
      </c>
      <c r="G47" s="177" t="s">
        <v>39</v>
      </c>
      <c r="H47" s="177" t="s">
        <v>40</v>
      </c>
      <c r="I47" s="177" t="s">
        <v>41</v>
      </c>
      <c r="J47" s="179" t="s">
        <v>42</v>
      </c>
      <c r="K47" s="179" t="s">
        <v>144</v>
      </c>
      <c r="L47" s="177">
        <v>1</v>
      </c>
      <c r="N47" s="179">
        <v>5</v>
      </c>
      <c r="O47" s="179">
        <v>0.8</v>
      </c>
      <c r="P47" s="179">
        <v>0.8</v>
      </c>
      <c r="Q47" s="207">
        <f t="shared" si="0"/>
        <v>0.8</v>
      </c>
      <c r="R47" s="179">
        <v>14.1</v>
      </c>
      <c r="S47" s="179">
        <v>95</v>
      </c>
      <c r="T47" s="184">
        <f t="shared" si="11"/>
        <v>36</v>
      </c>
      <c r="U47" s="179">
        <v>377</v>
      </c>
      <c r="V47" s="200">
        <f t="shared" si="2"/>
        <v>2714.4</v>
      </c>
      <c r="W47" s="179">
        <v>10</v>
      </c>
      <c r="X47" s="179" t="s">
        <v>63</v>
      </c>
      <c r="Y47" s="188" t="s">
        <v>46</v>
      </c>
      <c r="Z47" s="188" t="s">
        <v>160</v>
      </c>
      <c r="AA47" s="188" t="s">
        <v>54</v>
      </c>
      <c r="AB47" s="179" t="s">
        <v>48</v>
      </c>
      <c r="AI47" s="191"/>
      <c r="AJ47" s="191"/>
      <c r="AK47" s="191"/>
      <c r="AL47" s="191"/>
      <c r="AM47" s="191"/>
    </row>
    <row r="48" spans="1:42" s="179" customFormat="1" ht="13.5" customHeight="1">
      <c r="A48" s="177" t="s">
        <v>35</v>
      </c>
      <c r="B48" s="177" t="s">
        <v>36</v>
      </c>
      <c r="C48" s="177">
        <v>2020</v>
      </c>
      <c r="D48" s="178" t="s">
        <v>161</v>
      </c>
      <c r="E48" s="177" t="s">
        <v>95</v>
      </c>
      <c r="F48" s="177" t="s">
        <v>74</v>
      </c>
      <c r="G48" s="177" t="s">
        <v>39</v>
      </c>
      <c r="H48" s="177" t="s">
        <v>40</v>
      </c>
      <c r="I48" s="177" t="s">
        <v>41</v>
      </c>
      <c r="J48" s="179" t="s">
        <v>42</v>
      </c>
      <c r="K48" s="179" t="s">
        <v>144</v>
      </c>
      <c r="L48" s="177">
        <v>2</v>
      </c>
      <c r="N48" s="179">
        <v>5</v>
      </c>
      <c r="O48" s="179">
        <v>0.95</v>
      </c>
      <c r="P48" s="179">
        <v>0.8</v>
      </c>
      <c r="Q48" s="207">
        <f t="shared" si="0"/>
        <v>0.875</v>
      </c>
      <c r="R48" s="179">
        <v>14.1</v>
      </c>
      <c r="S48" s="179">
        <v>100</v>
      </c>
      <c r="T48" s="184">
        <f t="shared" si="11"/>
        <v>33</v>
      </c>
      <c r="U48" s="179">
        <v>377</v>
      </c>
      <c r="V48" s="200">
        <f t="shared" si="2"/>
        <v>2488.2000000000003</v>
      </c>
      <c r="W48" s="179">
        <v>10</v>
      </c>
      <c r="X48" s="179" t="s">
        <v>63</v>
      </c>
      <c r="Y48" s="188" t="s">
        <v>46</v>
      </c>
      <c r="Z48" s="188" t="s">
        <v>160</v>
      </c>
      <c r="AA48" s="188" t="s">
        <v>54</v>
      </c>
      <c r="AB48" s="179" t="s">
        <v>48</v>
      </c>
      <c r="AI48" s="191"/>
      <c r="AJ48" s="191"/>
      <c r="AK48" s="191"/>
      <c r="AL48" s="191"/>
      <c r="AM48" s="191"/>
    </row>
    <row r="49" spans="1:39" s="179" customFormat="1" ht="13.5" customHeight="1">
      <c r="A49" s="177" t="s">
        <v>35</v>
      </c>
      <c r="B49" s="177" t="s">
        <v>36</v>
      </c>
      <c r="C49" s="177">
        <v>2020</v>
      </c>
      <c r="D49" s="178" t="s">
        <v>161</v>
      </c>
      <c r="E49" s="177" t="s">
        <v>95</v>
      </c>
      <c r="F49" s="177" t="s">
        <v>74</v>
      </c>
      <c r="G49" s="177" t="s">
        <v>39</v>
      </c>
      <c r="H49" s="177" t="s">
        <v>40</v>
      </c>
      <c r="I49" s="177" t="s">
        <v>41</v>
      </c>
      <c r="J49" s="179" t="s">
        <v>42</v>
      </c>
      <c r="K49" s="179" t="s">
        <v>144</v>
      </c>
      <c r="L49" s="177">
        <v>3</v>
      </c>
      <c r="N49" s="179">
        <v>5</v>
      </c>
      <c r="O49" s="179">
        <v>0.6</v>
      </c>
      <c r="P49" s="179">
        <v>0.85</v>
      </c>
      <c r="Q49" s="207">
        <f t="shared" si="0"/>
        <v>0.72499999999999998</v>
      </c>
      <c r="R49" s="179">
        <v>13.6</v>
      </c>
      <c r="S49" s="179">
        <v>97</v>
      </c>
      <c r="T49" s="184">
        <f t="shared" si="11"/>
        <v>36</v>
      </c>
      <c r="U49" s="179">
        <v>377</v>
      </c>
      <c r="V49" s="200">
        <f t="shared" si="2"/>
        <v>2714.4</v>
      </c>
      <c r="W49" s="179">
        <v>10</v>
      </c>
      <c r="X49" s="179" t="s">
        <v>63</v>
      </c>
      <c r="Y49" s="188" t="s">
        <v>46</v>
      </c>
      <c r="Z49" s="188" t="s">
        <v>160</v>
      </c>
      <c r="AA49" s="188" t="s">
        <v>54</v>
      </c>
      <c r="AB49" s="179" t="s">
        <v>48</v>
      </c>
      <c r="AI49" s="191"/>
      <c r="AJ49" s="191"/>
      <c r="AK49" s="191"/>
      <c r="AL49" s="191"/>
      <c r="AM49" s="191"/>
    </row>
    <row r="50" spans="1:39" s="179" customFormat="1" ht="13.5" customHeight="1">
      <c r="A50" s="177" t="s">
        <v>35</v>
      </c>
      <c r="B50" s="177" t="s">
        <v>36</v>
      </c>
      <c r="C50" s="177">
        <v>2020</v>
      </c>
      <c r="D50" s="178" t="s">
        <v>161</v>
      </c>
      <c r="E50" s="177" t="s">
        <v>101</v>
      </c>
      <c r="F50" s="177" t="s">
        <v>74</v>
      </c>
      <c r="G50" s="177" t="s">
        <v>39</v>
      </c>
      <c r="H50" s="177" t="s">
        <v>40</v>
      </c>
      <c r="I50" s="177" t="s">
        <v>41</v>
      </c>
      <c r="J50" s="179" t="s">
        <v>42</v>
      </c>
      <c r="K50" s="179" t="s">
        <v>144</v>
      </c>
      <c r="L50" s="177">
        <v>1</v>
      </c>
      <c r="N50" s="179">
        <v>1</v>
      </c>
      <c r="O50" s="179">
        <v>0.55000000000000004</v>
      </c>
      <c r="P50" s="179">
        <v>0.5</v>
      </c>
      <c r="Q50" s="207">
        <f t="shared" si="0"/>
        <v>0.52500000000000002</v>
      </c>
      <c r="R50" s="179">
        <v>14.4</v>
      </c>
      <c r="S50" s="179">
        <v>118</v>
      </c>
      <c r="T50" s="184">
        <f t="shared" si="11"/>
        <v>30</v>
      </c>
      <c r="U50" s="179">
        <v>100</v>
      </c>
      <c r="V50" s="200">
        <f t="shared" si="2"/>
        <v>3000</v>
      </c>
      <c r="W50" s="179">
        <v>4</v>
      </c>
      <c r="X50" s="179" t="s">
        <v>153</v>
      </c>
      <c r="Y50" s="188" t="s">
        <v>46</v>
      </c>
      <c r="Z50" s="188" t="s">
        <v>160</v>
      </c>
      <c r="AA50" s="188" t="s">
        <v>54</v>
      </c>
      <c r="AB50" s="179" t="s">
        <v>48</v>
      </c>
      <c r="AI50" s="191"/>
      <c r="AJ50" s="191"/>
      <c r="AK50" s="191"/>
      <c r="AL50" s="191"/>
      <c r="AM50" s="191"/>
    </row>
    <row r="51" spans="1:39" s="179" customFormat="1" ht="13.5" customHeight="1">
      <c r="A51" s="177" t="s">
        <v>35</v>
      </c>
      <c r="B51" s="177" t="s">
        <v>36</v>
      </c>
      <c r="C51" s="177">
        <v>2020</v>
      </c>
      <c r="D51" s="178" t="s">
        <v>161</v>
      </c>
      <c r="E51" s="177" t="s">
        <v>101</v>
      </c>
      <c r="F51" s="177" t="s">
        <v>74</v>
      </c>
      <c r="G51" s="177" t="s">
        <v>39</v>
      </c>
      <c r="H51" s="177" t="s">
        <v>40</v>
      </c>
      <c r="I51" s="177" t="s">
        <v>41</v>
      </c>
      <c r="J51" s="179" t="s">
        <v>42</v>
      </c>
      <c r="K51" s="179" t="s">
        <v>144</v>
      </c>
      <c r="L51" s="177">
        <v>2</v>
      </c>
      <c r="N51" s="179">
        <v>1</v>
      </c>
      <c r="O51" s="179">
        <v>0.8</v>
      </c>
      <c r="P51" s="179">
        <v>0.5</v>
      </c>
      <c r="Q51" s="207">
        <f t="shared" si="0"/>
        <v>0.65</v>
      </c>
      <c r="R51" s="179">
        <v>13.6</v>
      </c>
      <c r="S51" s="179">
        <v>120</v>
      </c>
      <c r="T51" s="184">
        <f t="shared" si="11"/>
        <v>30</v>
      </c>
      <c r="U51" s="179">
        <v>100</v>
      </c>
      <c r="V51" s="200">
        <f t="shared" si="2"/>
        <v>3000</v>
      </c>
      <c r="W51" s="179">
        <v>4</v>
      </c>
      <c r="X51" s="179" t="s">
        <v>153</v>
      </c>
      <c r="Y51" s="188" t="s">
        <v>46</v>
      </c>
      <c r="Z51" s="188" t="s">
        <v>160</v>
      </c>
      <c r="AA51" s="188" t="s">
        <v>54</v>
      </c>
      <c r="AB51" s="179" t="s">
        <v>48</v>
      </c>
      <c r="AI51" s="191"/>
      <c r="AJ51" s="191"/>
      <c r="AK51" s="191"/>
      <c r="AL51" s="191"/>
      <c r="AM51" s="191"/>
    </row>
    <row r="52" spans="1:39" s="179" customFormat="1" ht="13.5" customHeight="1">
      <c r="A52" s="177" t="s">
        <v>35</v>
      </c>
      <c r="B52" s="177" t="s">
        <v>36</v>
      </c>
      <c r="C52" s="177">
        <v>2020</v>
      </c>
      <c r="D52" s="178" t="s">
        <v>161</v>
      </c>
      <c r="E52" s="177" t="s">
        <v>101</v>
      </c>
      <c r="F52" s="177" t="s">
        <v>74</v>
      </c>
      <c r="G52" s="177" t="s">
        <v>39</v>
      </c>
      <c r="H52" s="177" t="s">
        <v>40</v>
      </c>
      <c r="I52" s="177" t="s">
        <v>41</v>
      </c>
      <c r="J52" s="179" t="s">
        <v>42</v>
      </c>
      <c r="K52" s="179" t="s">
        <v>144</v>
      </c>
      <c r="L52" s="177">
        <v>3</v>
      </c>
      <c r="N52" s="179">
        <v>1</v>
      </c>
      <c r="O52" s="179">
        <v>0.3</v>
      </c>
      <c r="P52" s="179">
        <v>0.45</v>
      </c>
      <c r="Q52" s="207">
        <f t="shared" si="0"/>
        <v>0.375</v>
      </c>
      <c r="R52" s="179">
        <v>15.7</v>
      </c>
      <c r="S52" s="179">
        <v>118</v>
      </c>
      <c r="T52" s="184">
        <f t="shared" si="11"/>
        <v>30</v>
      </c>
      <c r="U52" s="179">
        <v>100</v>
      </c>
      <c r="V52" s="200">
        <f t="shared" si="2"/>
        <v>3000</v>
      </c>
      <c r="W52" s="179">
        <v>4</v>
      </c>
      <c r="X52" s="179" t="s">
        <v>153</v>
      </c>
      <c r="Y52" s="188" t="s">
        <v>46</v>
      </c>
      <c r="Z52" s="188" t="s">
        <v>160</v>
      </c>
      <c r="AA52" s="188" t="s">
        <v>54</v>
      </c>
      <c r="AB52" s="179" t="s">
        <v>48</v>
      </c>
      <c r="AI52" s="191"/>
      <c r="AJ52" s="191"/>
      <c r="AK52" s="191"/>
      <c r="AL52" s="191"/>
      <c r="AM52" s="191"/>
    </row>
    <row r="53" spans="1:39" s="179" customFormat="1" ht="13.5" customHeight="1">
      <c r="A53" s="177" t="s">
        <v>35</v>
      </c>
      <c r="B53" s="177" t="s">
        <v>36</v>
      </c>
      <c r="C53" s="177">
        <v>2020</v>
      </c>
      <c r="D53" s="178" t="s">
        <v>161</v>
      </c>
      <c r="E53" s="177" t="s">
        <v>101</v>
      </c>
      <c r="F53" s="177" t="s">
        <v>74</v>
      </c>
      <c r="G53" s="177" t="s">
        <v>39</v>
      </c>
      <c r="H53" s="177" t="s">
        <v>40</v>
      </c>
      <c r="I53" s="177" t="s">
        <v>41</v>
      </c>
      <c r="J53" s="179" t="s">
        <v>42</v>
      </c>
      <c r="K53" s="179" t="s">
        <v>144</v>
      </c>
      <c r="L53" s="177">
        <v>1</v>
      </c>
      <c r="N53" s="179">
        <v>4</v>
      </c>
      <c r="O53" s="179">
        <v>1</v>
      </c>
      <c r="P53" s="179">
        <v>1</v>
      </c>
      <c r="Q53" s="207">
        <f t="shared" si="0"/>
        <v>1</v>
      </c>
      <c r="R53" s="179">
        <v>16.8</v>
      </c>
      <c r="S53" s="179">
        <v>104</v>
      </c>
      <c r="T53" s="184">
        <f t="shared" si="11"/>
        <v>33</v>
      </c>
      <c r="U53" s="179">
        <v>358</v>
      </c>
      <c r="V53" s="200">
        <f t="shared" si="2"/>
        <v>2953.5</v>
      </c>
      <c r="W53" s="179">
        <v>4</v>
      </c>
      <c r="X53" s="179" t="s">
        <v>153</v>
      </c>
      <c r="Y53" s="188" t="s">
        <v>46</v>
      </c>
      <c r="Z53" s="188" t="s">
        <v>160</v>
      </c>
      <c r="AA53" s="188" t="s">
        <v>54</v>
      </c>
      <c r="AB53" s="179" t="s">
        <v>48</v>
      </c>
      <c r="AI53" s="191"/>
      <c r="AJ53" s="191"/>
      <c r="AK53" s="191"/>
      <c r="AL53" s="191"/>
      <c r="AM53" s="191"/>
    </row>
    <row r="54" spans="1:39" s="179" customFormat="1" ht="13.5" customHeight="1">
      <c r="A54" s="177" t="s">
        <v>35</v>
      </c>
      <c r="B54" s="177" t="s">
        <v>36</v>
      </c>
      <c r="C54" s="177">
        <v>2020</v>
      </c>
      <c r="D54" s="178" t="s">
        <v>161</v>
      </c>
      <c r="E54" s="177" t="s">
        <v>101</v>
      </c>
      <c r="F54" s="177" t="s">
        <v>74</v>
      </c>
      <c r="G54" s="177" t="s">
        <v>39</v>
      </c>
      <c r="H54" s="177" t="s">
        <v>40</v>
      </c>
      <c r="I54" s="177" t="s">
        <v>41</v>
      </c>
      <c r="J54" s="179" t="s">
        <v>42</v>
      </c>
      <c r="K54" s="179" t="s">
        <v>144</v>
      </c>
      <c r="L54" s="177">
        <v>2</v>
      </c>
      <c r="N54" s="179">
        <v>4</v>
      </c>
      <c r="O54" s="179">
        <v>0.85</v>
      </c>
      <c r="P54" s="179">
        <v>0.95</v>
      </c>
      <c r="Q54" s="207">
        <f t="shared" si="0"/>
        <v>0.89999999999999991</v>
      </c>
      <c r="R54" s="179">
        <v>16.3</v>
      </c>
      <c r="S54" s="179">
        <v>97</v>
      </c>
      <c r="T54" s="184">
        <f t="shared" si="11"/>
        <v>36</v>
      </c>
      <c r="U54" s="179">
        <v>358</v>
      </c>
      <c r="V54" s="200">
        <f t="shared" si="2"/>
        <v>3222</v>
      </c>
      <c r="W54" s="179">
        <v>4</v>
      </c>
      <c r="X54" s="179" t="s">
        <v>44</v>
      </c>
      <c r="Y54" s="188" t="s">
        <v>46</v>
      </c>
      <c r="Z54" s="188" t="s">
        <v>160</v>
      </c>
      <c r="AA54" s="188" t="s">
        <v>54</v>
      </c>
      <c r="AB54" s="179" t="s">
        <v>48</v>
      </c>
      <c r="AI54" s="191"/>
      <c r="AJ54" s="191"/>
      <c r="AK54" s="191"/>
      <c r="AL54" s="191"/>
      <c r="AM54" s="191"/>
    </row>
    <row r="55" spans="1:39" s="179" customFormat="1" ht="13.5" customHeight="1">
      <c r="A55" s="177" t="s">
        <v>35</v>
      </c>
      <c r="B55" s="177" t="s">
        <v>36</v>
      </c>
      <c r="C55" s="177">
        <v>2020</v>
      </c>
      <c r="D55" s="178" t="s">
        <v>161</v>
      </c>
      <c r="E55" s="177" t="s">
        <v>101</v>
      </c>
      <c r="F55" s="177" t="s">
        <v>74</v>
      </c>
      <c r="G55" s="177" t="s">
        <v>39</v>
      </c>
      <c r="H55" s="177" t="s">
        <v>40</v>
      </c>
      <c r="I55" s="177" t="s">
        <v>41</v>
      </c>
      <c r="J55" s="179" t="s">
        <v>42</v>
      </c>
      <c r="K55" s="179" t="s">
        <v>144</v>
      </c>
      <c r="L55" s="177">
        <v>3</v>
      </c>
      <c r="N55" s="179">
        <v>4</v>
      </c>
      <c r="O55" s="179">
        <v>0.95</v>
      </c>
      <c r="P55" s="179">
        <v>0.8</v>
      </c>
      <c r="Q55" s="207">
        <f t="shared" si="0"/>
        <v>0.875</v>
      </c>
      <c r="R55" s="179">
        <v>17.100000000000001</v>
      </c>
      <c r="S55" s="179">
        <v>101</v>
      </c>
      <c r="T55" s="184">
        <f t="shared" si="11"/>
        <v>33</v>
      </c>
      <c r="U55" s="179">
        <v>358</v>
      </c>
      <c r="V55" s="200">
        <f t="shared" si="2"/>
        <v>2953.5</v>
      </c>
      <c r="W55" s="179">
        <v>4</v>
      </c>
      <c r="X55" s="179" t="s">
        <v>153</v>
      </c>
      <c r="Y55" s="188" t="s">
        <v>46</v>
      </c>
      <c r="Z55" s="188" t="s">
        <v>160</v>
      </c>
      <c r="AA55" s="188" t="s">
        <v>54</v>
      </c>
      <c r="AB55" s="179" t="s">
        <v>48</v>
      </c>
      <c r="AI55" s="191"/>
      <c r="AJ55" s="191"/>
      <c r="AK55" s="191"/>
      <c r="AL55" s="191"/>
      <c r="AM55" s="191"/>
    </row>
    <row r="56" spans="1:39" s="179" customFormat="1" ht="13.5" customHeight="1">
      <c r="A56" s="177" t="s">
        <v>35</v>
      </c>
      <c r="B56" s="177" t="s">
        <v>36</v>
      </c>
      <c r="C56" s="177">
        <v>2020</v>
      </c>
      <c r="D56" s="178" t="s">
        <v>161</v>
      </c>
      <c r="E56" s="177" t="s">
        <v>101</v>
      </c>
      <c r="F56" s="177" t="s">
        <v>74</v>
      </c>
      <c r="G56" s="177" t="s">
        <v>39</v>
      </c>
      <c r="H56" s="177" t="s">
        <v>59</v>
      </c>
      <c r="I56" s="177" t="s">
        <v>41</v>
      </c>
      <c r="J56" s="179" t="s">
        <v>158</v>
      </c>
      <c r="K56" s="179" t="s">
        <v>122</v>
      </c>
      <c r="L56" s="177">
        <v>1</v>
      </c>
      <c r="N56" s="179">
        <v>5</v>
      </c>
      <c r="O56" s="179">
        <v>0.95</v>
      </c>
      <c r="P56" s="179">
        <v>0.65</v>
      </c>
      <c r="Q56" s="207">
        <f t="shared" ref="Q56:Q58" si="14">IF(OR(O56="",P56=""),"",AVERAGE(O56,P56))</f>
        <v>0.8</v>
      </c>
      <c r="R56" s="179">
        <v>16.899999999999999</v>
      </c>
      <c r="S56" s="179">
        <v>97</v>
      </c>
      <c r="T56" s="184">
        <f t="shared" si="11"/>
        <v>36</v>
      </c>
      <c r="U56" s="179">
        <v>458</v>
      </c>
      <c r="V56" s="200">
        <f t="shared" ref="V56:V58" si="15">IF(OR(N56="",U56="",T56=""),"",U56/N56*T56)</f>
        <v>3297.6</v>
      </c>
      <c r="W56" s="179">
        <v>4</v>
      </c>
      <c r="X56" s="179" t="s">
        <v>153</v>
      </c>
      <c r="Y56" s="188" t="s">
        <v>46</v>
      </c>
      <c r="Z56" s="188" t="s">
        <v>160</v>
      </c>
      <c r="AA56" s="188" t="s">
        <v>54</v>
      </c>
      <c r="AB56" s="179" t="s">
        <v>48</v>
      </c>
      <c r="AI56" s="191"/>
      <c r="AJ56" s="191"/>
      <c r="AK56" s="191"/>
      <c r="AL56" s="191"/>
      <c r="AM56" s="191"/>
    </row>
    <row r="57" spans="1:39" s="179" customFormat="1" ht="13.5" customHeight="1">
      <c r="A57" s="177" t="s">
        <v>35</v>
      </c>
      <c r="B57" s="177" t="s">
        <v>36</v>
      </c>
      <c r="C57" s="177">
        <v>2020</v>
      </c>
      <c r="D57" s="178" t="s">
        <v>161</v>
      </c>
      <c r="E57" s="177" t="s">
        <v>101</v>
      </c>
      <c r="F57" s="177" t="s">
        <v>74</v>
      </c>
      <c r="G57" s="177" t="s">
        <v>39</v>
      </c>
      <c r="H57" s="177" t="s">
        <v>59</v>
      </c>
      <c r="I57" s="177" t="s">
        <v>41</v>
      </c>
      <c r="J57" s="179" t="s">
        <v>158</v>
      </c>
      <c r="K57" s="179" t="s">
        <v>122</v>
      </c>
      <c r="L57" s="177">
        <v>2</v>
      </c>
      <c r="N57" s="179">
        <v>5</v>
      </c>
      <c r="O57" s="179">
        <v>0.75</v>
      </c>
      <c r="P57" s="179">
        <v>0.7</v>
      </c>
      <c r="Q57" s="207">
        <f t="shared" si="14"/>
        <v>0.72499999999999998</v>
      </c>
      <c r="R57" s="179">
        <v>16.3</v>
      </c>
      <c r="S57" s="179">
        <v>93</v>
      </c>
      <c r="T57" s="184">
        <f t="shared" si="11"/>
        <v>36</v>
      </c>
      <c r="U57" s="179">
        <v>458</v>
      </c>
      <c r="V57" s="200">
        <f t="shared" si="15"/>
        <v>3297.6</v>
      </c>
      <c r="W57" s="179">
        <v>4</v>
      </c>
      <c r="X57" s="179" t="s">
        <v>153</v>
      </c>
      <c r="Y57" s="188" t="s">
        <v>46</v>
      </c>
      <c r="Z57" s="188" t="s">
        <v>160</v>
      </c>
      <c r="AA57" s="188" t="s">
        <v>54</v>
      </c>
      <c r="AB57" s="179" t="s">
        <v>48</v>
      </c>
      <c r="AI57" s="191"/>
      <c r="AJ57" s="191"/>
      <c r="AK57" s="191"/>
      <c r="AL57" s="191"/>
      <c r="AM57" s="191"/>
    </row>
    <row r="58" spans="1:39" s="179" customFormat="1" ht="13.5" customHeight="1">
      <c r="A58" s="177" t="s">
        <v>35</v>
      </c>
      <c r="B58" s="177" t="s">
        <v>36</v>
      </c>
      <c r="C58" s="177">
        <v>2020</v>
      </c>
      <c r="D58" s="178" t="s">
        <v>161</v>
      </c>
      <c r="E58" s="177" t="s">
        <v>101</v>
      </c>
      <c r="F58" s="177" t="s">
        <v>74</v>
      </c>
      <c r="G58" s="177" t="s">
        <v>39</v>
      </c>
      <c r="H58" s="177" t="s">
        <v>59</v>
      </c>
      <c r="I58" s="177" t="s">
        <v>41</v>
      </c>
      <c r="J58" s="179" t="s">
        <v>158</v>
      </c>
      <c r="K58" s="179" t="s">
        <v>122</v>
      </c>
      <c r="L58" s="177">
        <v>3</v>
      </c>
      <c r="N58" s="179">
        <v>5</v>
      </c>
      <c r="O58" s="179">
        <v>0.65</v>
      </c>
      <c r="P58" s="179">
        <v>0.75</v>
      </c>
      <c r="Q58" s="207">
        <f t="shared" si="14"/>
        <v>0.7</v>
      </c>
      <c r="R58" s="179">
        <v>14.7</v>
      </c>
      <c r="S58" s="179">
        <v>92</v>
      </c>
      <c r="T58" s="184">
        <f t="shared" si="11"/>
        <v>36</v>
      </c>
      <c r="U58" s="179">
        <v>458</v>
      </c>
      <c r="V58" s="200">
        <f t="shared" si="15"/>
        <v>3297.6</v>
      </c>
      <c r="W58" s="179">
        <v>4</v>
      </c>
      <c r="X58" s="179" t="s">
        <v>153</v>
      </c>
      <c r="Y58" s="188" t="s">
        <v>46</v>
      </c>
      <c r="Z58" s="188" t="s">
        <v>160</v>
      </c>
      <c r="AA58" s="188" t="s">
        <v>54</v>
      </c>
      <c r="AB58" s="179" t="s">
        <v>48</v>
      </c>
      <c r="AI58" s="191"/>
      <c r="AJ58" s="191"/>
      <c r="AK58" s="191"/>
      <c r="AL58" s="191"/>
      <c r="AM58" s="191"/>
    </row>
    <row r="59" spans="1:39" s="179" customFormat="1" ht="13.5" customHeight="1">
      <c r="A59" s="177" t="s">
        <v>35</v>
      </c>
      <c r="B59" s="177" t="s">
        <v>36</v>
      </c>
      <c r="C59" s="177">
        <v>2020</v>
      </c>
      <c r="D59" s="178" t="s">
        <v>161</v>
      </c>
      <c r="E59" s="177" t="s">
        <v>107</v>
      </c>
      <c r="F59" s="177" t="s">
        <v>108</v>
      </c>
      <c r="G59" s="177" t="s">
        <v>39</v>
      </c>
      <c r="H59" s="177" t="s">
        <v>40</v>
      </c>
      <c r="I59" s="177" t="s">
        <v>41</v>
      </c>
      <c r="J59" s="179" t="s">
        <v>42</v>
      </c>
      <c r="K59" s="179" t="s">
        <v>144</v>
      </c>
      <c r="L59" s="177">
        <v>1</v>
      </c>
      <c r="N59" s="179">
        <v>4</v>
      </c>
      <c r="O59" s="179">
        <v>0.2</v>
      </c>
      <c r="P59" s="179">
        <v>0.2</v>
      </c>
      <c r="Q59" s="207">
        <f t="shared" si="0"/>
        <v>0.2</v>
      </c>
      <c r="R59" s="179">
        <v>16.2</v>
      </c>
      <c r="S59" s="179">
        <v>93</v>
      </c>
      <c r="T59" s="184">
        <f t="shared" si="11"/>
        <v>36</v>
      </c>
      <c r="U59" s="179">
        <v>499</v>
      </c>
      <c r="V59" s="200">
        <f t="shared" si="2"/>
        <v>4491</v>
      </c>
      <c r="W59" s="179">
        <v>1</v>
      </c>
      <c r="X59" s="218" t="s">
        <v>44</v>
      </c>
      <c r="Y59" s="188" t="s">
        <v>54</v>
      </c>
      <c r="Z59" s="188" t="s">
        <v>46</v>
      </c>
      <c r="AA59" s="188" t="s">
        <v>45</v>
      </c>
      <c r="AB59" s="179" t="s">
        <v>48</v>
      </c>
      <c r="AI59" s="191"/>
      <c r="AJ59" s="191"/>
      <c r="AK59" s="191"/>
      <c r="AL59" s="191"/>
      <c r="AM59" s="191"/>
    </row>
    <row r="60" spans="1:39" s="179" customFormat="1" ht="13.5" customHeight="1">
      <c r="A60" s="177" t="s">
        <v>35</v>
      </c>
      <c r="B60" s="177" t="s">
        <v>36</v>
      </c>
      <c r="C60" s="177">
        <v>2020</v>
      </c>
      <c r="D60" s="178" t="s">
        <v>161</v>
      </c>
      <c r="E60" s="177" t="s">
        <v>107</v>
      </c>
      <c r="F60" s="177" t="s">
        <v>108</v>
      </c>
      <c r="G60" s="177" t="s">
        <v>39</v>
      </c>
      <c r="H60" s="177" t="s">
        <v>40</v>
      </c>
      <c r="I60" s="177" t="s">
        <v>41</v>
      </c>
      <c r="J60" s="179" t="s">
        <v>42</v>
      </c>
      <c r="K60" s="179" t="s">
        <v>144</v>
      </c>
      <c r="L60" s="177">
        <v>2</v>
      </c>
      <c r="N60" s="179">
        <v>4</v>
      </c>
      <c r="O60" s="179">
        <v>0.25</v>
      </c>
      <c r="P60" s="179">
        <v>0.2</v>
      </c>
      <c r="Q60" s="207">
        <f t="shared" si="0"/>
        <v>0.22500000000000001</v>
      </c>
      <c r="R60" s="179">
        <v>15.1</v>
      </c>
      <c r="S60" s="179">
        <v>103</v>
      </c>
      <c r="T60" s="184">
        <f t="shared" si="11"/>
        <v>33</v>
      </c>
      <c r="U60" s="179">
        <v>499</v>
      </c>
      <c r="V60" s="200">
        <f t="shared" si="2"/>
        <v>4116.75</v>
      </c>
      <c r="W60" s="179">
        <v>1</v>
      </c>
      <c r="X60" s="218" t="s">
        <v>44</v>
      </c>
      <c r="Y60" s="188" t="s">
        <v>54</v>
      </c>
      <c r="Z60" s="188" t="s">
        <v>46</v>
      </c>
      <c r="AA60" s="188" t="s">
        <v>45</v>
      </c>
      <c r="AB60" s="179" t="s">
        <v>48</v>
      </c>
      <c r="AI60" s="191"/>
      <c r="AJ60" s="191"/>
      <c r="AK60" s="191"/>
      <c r="AL60" s="191"/>
      <c r="AM60" s="191"/>
    </row>
    <row r="61" spans="1:39" s="179" customFormat="1" ht="13.5" customHeight="1">
      <c r="A61" s="177" t="s">
        <v>35</v>
      </c>
      <c r="B61" s="177" t="s">
        <v>36</v>
      </c>
      <c r="C61" s="177">
        <v>2020</v>
      </c>
      <c r="D61" s="178" t="s">
        <v>161</v>
      </c>
      <c r="E61" s="177" t="s">
        <v>107</v>
      </c>
      <c r="F61" s="177" t="s">
        <v>108</v>
      </c>
      <c r="G61" s="177" t="s">
        <v>39</v>
      </c>
      <c r="H61" s="177" t="s">
        <v>40</v>
      </c>
      <c r="I61" s="177" t="s">
        <v>41</v>
      </c>
      <c r="J61" s="179" t="s">
        <v>42</v>
      </c>
      <c r="K61" s="179" t="s">
        <v>144</v>
      </c>
      <c r="L61" s="177">
        <v>3</v>
      </c>
      <c r="N61" s="179">
        <v>4</v>
      </c>
      <c r="O61" s="179">
        <v>0.25</v>
      </c>
      <c r="P61" s="179">
        <v>0.3</v>
      </c>
      <c r="Q61" s="207">
        <f t="shared" si="0"/>
        <v>0.27500000000000002</v>
      </c>
      <c r="R61" s="179">
        <v>15.7</v>
      </c>
      <c r="S61" s="179">
        <v>103</v>
      </c>
      <c r="T61" s="184">
        <f t="shared" si="11"/>
        <v>33</v>
      </c>
      <c r="U61" s="179">
        <v>499</v>
      </c>
      <c r="V61" s="200">
        <f t="shared" si="2"/>
        <v>4116.75</v>
      </c>
      <c r="W61" s="179">
        <v>1</v>
      </c>
      <c r="X61" s="218" t="s">
        <v>44</v>
      </c>
      <c r="Y61" s="188" t="s">
        <v>54</v>
      </c>
      <c r="Z61" s="188" t="s">
        <v>46</v>
      </c>
      <c r="AA61" s="188" t="s">
        <v>45</v>
      </c>
      <c r="AB61" s="179" t="s">
        <v>48</v>
      </c>
      <c r="AI61" s="191"/>
      <c r="AJ61" s="191"/>
      <c r="AK61" s="191"/>
      <c r="AL61" s="191"/>
      <c r="AM61" s="191"/>
    </row>
    <row r="62" spans="1:39" s="179" customFormat="1" ht="13.5" customHeight="1">
      <c r="A62" s="177" t="s">
        <v>35</v>
      </c>
      <c r="B62" s="177" t="s">
        <v>36</v>
      </c>
      <c r="C62" s="177">
        <v>2020</v>
      </c>
      <c r="D62" s="178" t="s">
        <v>161</v>
      </c>
      <c r="E62" s="177" t="s">
        <v>107</v>
      </c>
      <c r="F62" s="177" t="s">
        <v>108</v>
      </c>
      <c r="G62" s="177" t="s">
        <v>39</v>
      </c>
      <c r="H62" s="177" t="s">
        <v>156</v>
      </c>
      <c r="I62" s="177" t="s">
        <v>41</v>
      </c>
      <c r="J62" s="179" t="s">
        <v>42</v>
      </c>
      <c r="K62" s="179" t="s">
        <v>78</v>
      </c>
      <c r="L62" s="177">
        <v>1</v>
      </c>
      <c r="N62" s="179">
        <v>4</v>
      </c>
      <c r="O62" s="179">
        <v>0.65</v>
      </c>
      <c r="P62" s="179">
        <v>0.7</v>
      </c>
      <c r="Q62" s="207">
        <f t="shared" si="0"/>
        <v>0.67500000000000004</v>
      </c>
      <c r="R62" s="179">
        <v>13.7</v>
      </c>
      <c r="S62" s="179">
        <v>108</v>
      </c>
      <c r="T62" s="184">
        <f t="shared" si="11"/>
        <v>36</v>
      </c>
      <c r="U62" s="179">
        <v>599</v>
      </c>
      <c r="V62" s="200">
        <f t="shared" si="2"/>
        <v>5391</v>
      </c>
      <c r="W62" s="179">
        <v>1</v>
      </c>
      <c r="X62" s="218" t="s">
        <v>44</v>
      </c>
      <c r="Y62" s="188" t="s">
        <v>54</v>
      </c>
      <c r="Z62" s="188" t="s">
        <v>46</v>
      </c>
      <c r="AA62" s="188" t="s">
        <v>45</v>
      </c>
      <c r="AB62" s="179" t="s">
        <v>48</v>
      </c>
      <c r="AI62" s="191"/>
      <c r="AJ62" s="191"/>
      <c r="AK62" s="191"/>
      <c r="AL62" s="191"/>
      <c r="AM62" s="191"/>
    </row>
    <row r="63" spans="1:39" s="179" customFormat="1" ht="13.5" customHeight="1">
      <c r="A63" s="177" t="s">
        <v>35</v>
      </c>
      <c r="B63" s="177" t="s">
        <v>36</v>
      </c>
      <c r="C63" s="177">
        <v>2020</v>
      </c>
      <c r="D63" s="178" t="s">
        <v>161</v>
      </c>
      <c r="E63" s="177" t="s">
        <v>107</v>
      </c>
      <c r="F63" s="177" t="s">
        <v>108</v>
      </c>
      <c r="G63" s="177" t="s">
        <v>39</v>
      </c>
      <c r="H63" s="177" t="s">
        <v>156</v>
      </c>
      <c r="I63" s="177" t="s">
        <v>41</v>
      </c>
      <c r="J63" s="179" t="s">
        <v>42</v>
      </c>
      <c r="K63" s="179" t="s">
        <v>78</v>
      </c>
      <c r="L63" s="177">
        <v>2</v>
      </c>
      <c r="N63" s="179">
        <v>4</v>
      </c>
      <c r="O63" s="179">
        <v>0.6</v>
      </c>
      <c r="P63" s="179">
        <v>0.6</v>
      </c>
      <c r="Q63" s="207">
        <f t="shared" si="0"/>
        <v>0.6</v>
      </c>
      <c r="R63" s="179">
        <v>11.4</v>
      </c>
      <c r="S63" s="179">
        <v>102</v>
      </c>
      <c r="T63" s="184">
        <f t="shared" si="11"/>
        <v>36</v>
      </c>
      <c r="U63" s="179">
        <v>599</v>
      </c>
      <c r="V63" s="200">
        <f t="shared" si="2"/>
        <v>5391</v>
      </c>
      <c r="W63" s="179">
        <v>1</v>
      </c>
      <c r="X63" s="218" t="s">
        <v>44</v>
      </c>
      <c r="Y63" s="188" t="s">
        <v>54</v>
      </c>
      <c r="Z63" s="188" t="s">
        <v>46</v>
      </c>
      <c r="AA63" s="188" t="s">
        <v>45</v>
      </c>
      <c r="AB63" s="179" t="s">
        <v>48</v>
      </c>
      <c r="AI63" s="191"/>
      <c r="AJ63" s="191"/>
      <c r="AK63" s="191"/>
      <c r="AL63" s="191"/>
      <c r="AM63" s="191"/>
    </row>
    <row r="64" spans="1:39" s="179" customFormat="1" ht="13.5" customHeight="1">
      <c r="A64" s="177" t="s">
        <v>35</v>
      </c>
      <c r="B64" s="177" t="s">
        <v>36</v>
      </c>
      <c r="C64" s="177">
        <v>2020</v>
      </c>
      <c r="D64" s="178" t="s">
        <v>161</v>
      </c>
      <c r="E64" s="177" t="s">
        <v>107</v>
      </c>
      <c r="F64" s="177" t="s">
        <v>108</v>
      </c>
      <c r="G64" s="177" t="s">
        <v>39</v>
      </c>
      <c r="H64" s="177" t="s">
        <v>156</v>
      </c>
      <c r="I64" s="177" t="s">
        <v>41</v>
      </c>
      <c r="J64" s="179" t="s">
        <v>42</v>
      </c>
      <c r="K64" s="179" t="s">
        <v>78</v>
      </c>
      <c r="L64" s="177">
        <v>3</v>
      </c>
      <c r="N64" s="179">
        <v>4</v>
      </c>
      <c r="O64" s="179">
        <v>0.75</v>
      </c>
      <c r="P64" s="179">
        <v>0.45</v>
      </c>
      <c r="Q64" s="207">
        <f t="shared" si="0"/>
        <v>0.6</v>
      </c>
      <c r="R64" s="179">
        <v>11</v>
      </c>
      <c r="S64" s="179">
        <v>101</v>
      </c>
      <c r="T64" s="184">
        <f t="shared" si="11"/>
        <v>36</v>
      </c>
      <c r="U64" s="179">
        <v>599</v>
      </c>
      <c r="V64" s="200">
        <f t="shared" si="2"/>
        <v>5391</v>
      </c>
      <c r="W64" s="179">
        <v>1</v>
      </c>
      <c r="X64" s="218" t="s">
        <v>44</v>
      </c>
      <c r="Y64" s="188" t="s">
        <v>54</v>
      </c>
      <c r="Z64" s="188" t="s">
        <v>46</v>
      </c>
      <c r="AA64" s="188" t="s">
        <v>45</v>
      </c>
      <c r="AB64" s="179" t="s">
        <v>48</v>
      </c>
      <c r="AI64" s="191"/>
      <c r="AJ64" s="191"/>
      <c r="AK64" s="191"/>
      <c r="AL64" s="191"/>
      <c r="AM64" s="191"/>
    </row>
    <row r="65" spans="1:39" s="179" customFormat="1" ht="13.5" customHeight="1">
      <c r="A65" s="177" t="s">
        <v>35</v>
      </c>
      <c r="B65" s="177" t="s">
        <v>36</v>
      </c>
      <c r="C65" s="177">
        <v>2020</v>
      </c>
      <c r="D65" s="178" t="s">
        <v>162</v>
      </c>
      <c r="E65" s="177" t="s">
        <v>151</v>
      </c>
      <c r="F65" s="177" t="s">
        <v>74</v>
      </c>
      <c r="G65" s="177" t="s">
        <v>39</v>
      </c>
      <c r="H65" s="177" t="s">
        <v>154</v>
      </c>
      <c r="I65" s="177" t="s">
        <v>41</v>
      </c>
      <c r="J65" s="179" t="s">
        <v>42</v>
      </c>
      <c r="K65" s="179" t="s">
        <v>144</v>
      </c>
      <c r="L65" s="177">
        <v>1</v>
      </c>
      <c r="N65" s="179">
        <v>1</v>
      </c>
      <c r="O65" s="179">
        <v>0.65</v>
      </c>
      <c r="P65" s="179">
        <v>0.55000000000000004</v>
      </c>
      <c r="Q65" s="207">
        <f t="shared" si="0"/>
        <v>0.60000000000000009</v>
      </c>
      <c r="R65" s="179">
        <v>14.3</v>
      </c>
      <c r="S65" s="179">
        <v>128</v>
      </c>
      <c r="T65" s="184">
        <f t="shared" si="11"/>
        <v>30</v>
      </c>
      <c r="U65" s="179">
        <v>98</v>
      </c>
      <c r="V65" s="200">
        <f t="shared" si="2"/>
        <v>2940</v>
      </c>
      <c r="W65" s="179">
        <v>4</v>
      </c>
      <c r="X65" s="218" t="s">
        <v>63</v>
      </c>
      <c r="Y65" s="188" t="s">
        <v>46</v>
      </c>
      <c r="Z65" s="188" t="s">
        <v>54</v>
      </c>
      <c r="AA65" s="188" t="s">
        <v>45</v>
      </c>
      <c r="AB65" s="179" t="s">
        <v>48</v>
      </c>
      <c r="AI65" s="191"/>
      <c r="AJ65" s="191"/>
      <c r="AK65" s="191"/>
      <c r="AL65" s="191"/>
      <c r="AM65" s="191"/>
    </row>
    <row r="66" spans="1:39" s="179" customFormat="1" ht="13.5" customHeight="1">
      <c r="A66" s="177" t="s">
        <v>35</v>
      </c>
      <c r="B66" s="177" t="s">
        <v>36</v>
      </c>
      <c r="C66" s="177">
        <v>2020</v>
      </c>
      <c r="D66" s="178" t="s">
        <v>161</v>
      </c>
      <c r="E66" s="177" t="s">
        <v>151</v>
      </c>
      <c r="F66" s="177" t="s">
        <v>74</v>
      </c>
      <c r="G66" s="177" t="s">
        <v>39</v>
      </c>
      <c r="H66" s="177" t="s">
        <v>154</v>
      </c>
      <c r="I66" s="177" t="s">
        <v>41</v>
      </c>
      <c r="J66" s="179" t="s">
        <v>42</v>
      </c>
      <c r="K66" s="179" t="s">
        <v>144</v>
      </c>
      <c r="L66" s="177">
        <v>2</v>
      </c>
      <c r="N66" s="179">
        <v>1</v>
      </c>
      <c r="O66" s="179">
        <v>0.35</v>
      </c>
      <c r="P66" s="179">
        <v>0.35</v>
      </c>
      <c r="Q66" s="207">
        <f t="shared" si="0"/>
        <v>0.35</v>
      </c>
      <c r="R66" s="179">
        <v>16.5</v>
      </c>
      <c r="S66" s="179">
        <v>135</v>
      </c>
      <c r="T66" s="184">
        <f t="shared" ref="T66:T97" si="16">IF(H66="","",IF(OR(H66="GREEN",H66="GK"),IF(S66&gt;=$AX$2,VLOOKUP(S66,$AX$2:$AY$7,2,1),""),IF(S66&gt;=$AZ$2,VLOOKUP(S66,$AZ$2:$BA$7,2,1),"")))</f>
        <v>30</v>
      </c>
      <c r="U66" s="179">
        <v>98</v>
      </c>
      <c r="V66" s="200">
        <f t="shared" si="2"/>
        <v>2940</v>
      </c>
      <c r="W66" s="179">
        <v>4</v>
      </c>
      <c r="X66" s="218" t="s">
        <v>63</v>
      </c>
      <c r="Y66" s="188" t="s">
        <v>46</v>
      </c>
      <c r="Z66" s="188" t="s">
        <v>54</v>
      </c>
      <c r="AA66" s="188" t="s">
        <v>45</v>
      </c>
      <c r="AB66" s="179" t="s">
        <v>48</v>
      </c>
      <c r="AI66" s="191"/>
      <c r="AJ66" s="191"/>
      <c r="AK66" s="191"/>
      <c r="AL66" s="191"/>
      <c r="AM66" s="191"/>
    </row>
    <row r="67" spans="1:39" s="179" customFormat="1" ht="13.5" customHeight="1">
      <c r="A67" s="177" t="s">
        <v>35</v>
      </c>
      <c r="B67" s="177" t="s">
        <v>36</v>
      </c>
      <c r="C67" s="177">
        <v>2020</v>
      </c>
      <c r="D67" s="178" t="s">
        <v>161</v>
      </c>
      <c r="E67" s="177" t="s">
        <v>151</v>
      </c>
      <c r="F67" s="177" t="s">
        <v>74</v>
      </c>
      <c r="G67" s="177" t="s">
        <v>39</v>
      </c>
      <c r="H67" s="177" t="s">
        <v>154</v>
      </c>
      <c r="I67" s="177" t="s">
        <v>41</v>
      </c>
      <c r="J67" s="179" t="s">
        <v>42</v>
      </c>
      <c r="K67" s="179" t="s">
        <v>144</v>
      </c>
      <c r="L67" s="177">
        <v>3</v>
      </c>
      <c r="N67" s="179">
        <v>1</v>
      </c>
      <c r="O67" s="179">
        <v>0.55000000000000004</v>
      </c>
      <c r="P67" s="179">
        <v>0.55000000000000004</v>
      </c>
      <c r="Q67" s="207">
        <f t="shared" si="0"/>
        <v>0.55000000000000004</v>
      </c>
      <c r="R67" s="179">
        <v>14.9</v>
      </c>
      <c r="S67" s="179">
        <v>129</v>
      </c>
      <c r="T67" s="184">
        <f t="shared" si="16"/>
        <v>30</v>
      </c>
      <c r="U67" s="179">
        <v>98</v>
      </c>
      <c r="V67" s="200">
        <f t="shared" si="2"/>
        <v>2940</v>
      </c>
      <c r="W67" s="179">
        <v>4</v>
      </c>
      <c r="X67" s="218" t="s">
        <v>63</v>
      </c>
      <c r="Y67" s="188" t="s">
        <v>46</v>
      </c>
      <c r="Z67" s="188" t="s">
        <v>54</v>
      </c>
      <c r="AA67" s="188" t="s">
        <v>45</v>
      </c>
      <c r="AB67" s="179" t="s">
        <v>48</v>
      </c>
      <c r="AI67" s="191"/>
      <c r="AJ67" s="191"/>
      <c r="AK67" s="191"/>
      <c r="AL67" s="191"/>
      <c r="AM67" s="191"/>
    </row>
    <row r="68" spans="1:39" s="179" customFormat="1" ht="13.5" customHeight="1">
      <c r="A68" s="177" t="s">
        <v>35</v>
      </c>
      <c r="B68" s="177" t="s">
        <v>36</v>
      </c>
      <c r="C68" s="177">
        <v>2020</v>
      </c>
      <c r="D68" s="178" t="s">
        <v>161</v>
      </c>
      <c r="E68" s="177" t="s">
        <v>151</v>
      </c>
      <c r="F68" s="177" t="s">
        <v>74</v>
      </c>
      <c r="G68" s="177" t="s">
        <v>39</v>
      </c>
      <c r="H68" s="177" t="s">
        <v>156</v>
      </c>
      <c r="I68" s="177" t="s">
        <v>41</v>
      </c>
      <c r="J68" s="179" t="s">
        <v>42</v>
      </c>
      <c r="K68" s="179" t="s">
        <v>78</v>
      </c>
      <c r="L68" s="177">
        <v>1</v>
      </c>
      <c r="N68" s="179">
        <v>3</v>
      </c>
      <c r="O68" s="179">
        <v>0.85</v>
      </c>
      <c r="P68" s="179">
        <v>1</v>
      </c>
      <c r="Q68" s="207">
        <f t="shared" si="0"/>
        <v>0.92500000000000004</v>
      </c>
      <c r="R68" s="179">
        <v>14</v>
      </c>
      <c r="S68" s="179">
        <v>129</v>
      </c>
      <c r="T68" s="184">
        <f t="shared" si="16"/>
        <v>33</v>
      </c>
      <c r="U68" s="179">
        <v>398</v>
      </c>
      <c r="V68" s="200">
        <f t="shared" si="2"/>
        <v>4378</v>
      </c>
      <c r="W68" s="179">
        <v>4</v>
      </c>
      <c r="X68" s="218" t="s">
        <v>63</v>
      </c>
      <c r="Y68" s="188" t="s">
        <v>46</v>
      </c>
      <c r="Z68" s="188" t="s">
        <v>54</v>
      </c>
      <c r="AA68" s="188" t="s">
        <v>45</v>
      </c>
      <c r="AB68" s="179" t="s">
        <v>48</v>
      </c>
      <c r="AI68" s="191"/>
      <c r="AJ68" s="191"/>
      <c r="AK68" s="191"/>
      <c r="AL68" s="191"/>
      <c r="AM68" s="191"/>
    </row>
    <row r="69" spans="1:39" s="179" customFormat="1" ht="13.5" customHeight="1">
      <c r="A69" s="177" t="s">
        <v>35</v>
      </c>
      <c r="B69" s="177" t="s">
        <v>36</v>
      </c>
      <c r="C69" s="177">
        <v>2020</v>
      </c>
      <c r="D69" s="178" t="s">
        <v>161</v>
      </c>
      <c r="E69" s="177" t="s">
        <v>151</v>
      </c>
      <c r="F69" s="177" t="s">
        <v>74</v>
      </c>
      <c r="G69" s="177" t="s">
        <v>39</v>
      </c>
      <c r="H69" s="177" t="s">
        <v>156</v>
      </c>
      <c r="I69" s="177" t="s">
        <v>41</v>
      </c>
      <c r="J69" s="179" t="s">
        <v>42</v>
      </c>
      <c r="K69" s="179" t="s">
        <v>78</v>
      </c>
      <c r="L69" s="177">
        <v>2</v>
      </c>
      <c r="N69" s="179">
        <v>3</v>
      </c>
      <c r="O69" s="179">
        <v>0.75</v>
      </c>
      <c r="P69" s="179">
        <v>0.65</v>
      </c>
      <c r="Q69" s="207">
        <f t="shared" si="0"/>
        <v>0.7</v>
      </c>
      <c r="R69" s="179">
        <v>15.9</v>
      </c>
      <c r="S69" s="179">
        <v>136</v>
      </c>
      <c r="T69" s="184">
        <f t="shared" si="16"/>
        <v>33</v>
      </c>
      <c r="U69" s="179">
        <v>398</v>
      </c>
      <c r="V69" s="200">
        <f t="shared" si="2"/>
        <v>4378</v>
      </c>
      <c r="W69" s="179">
        <v>4</v>
      </c>
      <c r="X69" s="218" t="s">
        <v>63</v>
      </c>
      <c r="Y69" s="188" t="s">
        <v>46</v>
      </c>
      <c r="Z69" s="188" t="s">
        <v>54</v>
      </c>
      <c r="AA69" s="188" t="s">
        <v>45</v>
      </c>
      <c r="AB69" s="179" t="s">
        <v>48</v>
      </c>
      <c r="AI69" s="191"/>
      <c r="AJ69" s="191"/>
      <c r="AK69" s="191"/>
      <c r="AL69" s="191"/>
      <c r="AM69" s="191"/>
    </row>
    <row r="70" spans="1:39" s="179" customFormat="1" ht="13.5" customHeight="1">
      <c r="A70" s="177" t="s">
        <v>35</v>
      </c>
      <c r="B70" s="177" t="s">
        <v>36</v>
      </c>
      <c r="C70" s="177">
        <v>2020</v>
      </c>
      <c r="D70" s="178" t="s">
        <v>161</v>
      </c>
      <c r="E70" s="177" t="s">
        <v>151</v>
      </c>
      <c r="F70" s="177" t="s">
        <v>74</v>
      </c>
      <c r="G70" s="177" t="s">
        <v>39</v>
      </c>
      <c r="H70" s="177" t="s">
        <v>156</v>
      </c>
      <c r="I70" s="177" t="s">
        <v>41</v>
      </c>
      <c r="J70" s="179" t="s">
        <v>42</v>
      </c>
      <c r="K70" s="179" t="s">
        <v>78</v>
      </c>
      <c r="L70" s="177">
        <v>3</v>
      </c>
      <c r="N70" s="179">
        <v>3</v>
      </c>
      <c r="O70" s="179">
        <v>0.65</v>
      </c>
      <c r="P70" s="179">
        <v>0.8</v>
      </c>
      <c r="Q70" s="207">
        <f t="shared" si="0"/>
        <v>0.72500000000000009</v>
      </c>
      <c r="R70" s="179">
        <v>14.2</v>
      </c>
      <c r="S70" s="179">
        <v>134</v>
      </c>
      <c r="T70" s="184">
        <f t="shared" si="16"/>
        <v>33</v>
      </c>
      <c r="U70" s="179">
        <v>398</v>
      </c>
      <c r="V70" s="200">
        <f t="shared" si="2"/>
        <v>4378</v>
      </c>
      <c r="W70" s="179">
        <v>4</v>
      </c>
      <c r="X70" s="218" t="s">
        <v>63</v>
      </c>
      <c r="Y70" s="188" t="s">
        <v>46</v>
      </c>
      <c r="Z70" s="188" t="s">
        <v>54</v>
      </c>
      <c r="AA70" s="188" t="s">
        <v>45</v>
      </c>
      <c r="AB70" s="179" t="s">
        <v>48</v>
      </c>
      <c r="AI70" s="191"/>
      <c r="AJ70" s="191"/>
      <c r="AK70" s="191"/>
      <c r="AL70" s="191"/>
      <c r="AM70" s="191"/>
    </row>
    <row r="71" spans="1:39" s="37" customFormat="1" ht="13.5" customHeight="1">
      <c r="A71" s="36"/>
      <c r="B71" s="21"/>
      <c r="C71" s="21"/>
      <c r="D71" s="32"/>
      <c r="E71" s="21"/>
      <c r="F71" s="21"/>
      <c r="G71" s="21"/>
      <c r="H71" s="21"/>
      <c r="I71" s="21"/>
      <c r="J71" s="10"/>
      <c r="K71" s="10"/>
      <c r="L71" s="21"/>
      <c r="M71" s="10"/>
      <c r="N71" s="10"/>
      <c r="O71" s="10"/>
      <c r="P71" s="10"/>
      <c r="Q71" s="26"/>
      <c r="R71" s="10"/>
      <c r="S71" s="10"/>
      <c r="T71" s="24"/>
      <c r="U71" s="10"/>
      <c r="V71" s="25"/>
      <c r="W71" s="10"/>
      <c r="X71" s="27"/>
      <c r="Y71" s="22"/>
      <c r="Z71" s="22"/>
      <c r="AA71" s="22"/>
      <c r="AB71" s="10"/>
      <c r="AI71" s="38"/>
      <c r="AJ71" s="38"/>
      <c r="AK71" s="38"/>
      <c r="AL71" s="38"/>
      <c r="AM71" s="38"/>
    </row>
    <row r="72" spans="1:39" s="37" customFormat="1" ht="13.5" customHeight="1">
      <c r="A72" s="36"/>
      <c r="B72" s="21"/>
      <c r="C72" s="21"/>
      <c r="D72" s="32"/>
      <c r="E72" s="21"/>
      <c r="F72" s="21"/>
      <c r="G72" s="21"/>
      <c r="H72" s="21"/>
      <c r="I72" s="21"/>
      <c r="J72" s="10"/>
      <c r="K72" s="10"/>
      <c r="L72" s="21"/>
      <c r="M72" s="10"/>
      <c r="N72" s="10"/>
      <c r="O72" s="10"/>
      <c r="P72" s="10"/>
      <c r="Q72" s="26"/>
      <c r="R72" s="10"/>
      <c r="S72" s="10"/>
      <c r="T72" s="24"/>
      <c r="U72" s="10"/>
      <c r="V72" s="25"/>
      <c r="W72" s="10"/>
      <c r="X72" s="27"/>
      <c r="Y72" s="22"/>
      <c r="Z72" s="22"/>
      <c r="AA72" s="22"/>
      <c r="AB72" s="10"/>
      <c r="AI72" s="38"/>
      <c r="AJ72" s="38"/>
      <c r="AK72" s="38"/>
      <c r="AL72" s="38"/>
      <c r="AM72" s="38"/>
    </row>
    <row r="73" spans="1:39" s="37" customFormat="1" ht="13.5" customHeight="1">
      <c r="A73" s="36"/>
      <c r="B73" s="21"/>
      <c r="C73" s="21"/>
      <c r="D73" s="32"/>
      <c r="E73" s="21"/>
      <c r="F73" s="21"/>
      <c r="G73" s="21"/>
      <c r="H73" s="21"/>
      <c r="I73" s="21"/>
      <c r="J73" s="10"/>
      <c r="K73" s="10"/>
      <c r="L73" s="21"/>
      <c r="M73" s="10"/>
      <c r="N73" s="10"/>
      <c r="O73" s="10"/>
      <c r="P73" s="10"/>
      <c r="Q73" s="26"/>
      <c r="R73" s="10"/>
      <c r="S73" s="10"/>
      <c r="T73" s="24"/>
      <c r="U73" s="10"/>
      <c r="V73" s="25"/>
      <c r="W73" s="10"/>
      <c r="X73" s="27"/>
      <c r="Y73" s="22"/>
      <c r="Z73" s="22"/>
      <c r="AA73" s="22"/>
      <c r="AB73" s="10"/>
      <c r="AI73" s="38"/>
      <c r="AJ73" s="38"/>
      <c r="AK73" s="38"/>
      <c r="AL73" s="38"/>
      <c r="AM73" s="38"/>
    </row>
    <row r="74" spans="1:39" s="37" customFormat="1" ht="13.5" customHeight="1">
      <c r="A74" s="21"/>
      <c r="B74" s="21"/>
      <c r="C74" s="21"/>
      <c r="D74" s="32"/>
      <c r="E74" s="21"/>
      <c r="F74" s="21"/>
      <c r="G74" s="21"/>
      <c r="H74" s="21"/>
      <c r="I74" s="21"/>
      <c r="J74" s="10"/>
      <c r="K74" s="10"/>
      <c r="L74" s="21"/>
      <c r="M74" s="10"/>
      <c r="N74" s="10"/>
      <c r="O74" s="10"/>
      <c r="P74" s="10"/>
      <c r="Q74" s="26"/>
      <c r="R74" s="10"/>
      <c r="S74" s="10"/>
      <c r="T74" s="24"/>
      <c r="U74" s="10"/>
      <c r="V74" s="25"/>
      <c r="W74" s="10"/>
      <c r="X74" s="27"/>
      <c r="Y74" s="22"/>
      <c r="Z74" s="22"/>
      <c r="AA74" s="22"/>
      <c r="AB74" s="10"/>
      <c r="AI74" s="38"/>
      <c r="AJ74" s="38"/>
      <c r="AK74" s="38"/>
      <c r="AL74" s="38"/>
      <c r="AM74" s="38"/>
    </row>
    <row r="75" spans="1:39" s="37" customFormat="1" ht="13.5" customHeight="1">
      <c r="A75" s="21"/>
      <c r="B75" s="21"/>
      <c r="C75" s="21"/>
      <c r="D75" s="28"/>
      <c r="E75" s="21"/>
      <c r="F75" s="21"/>
      <c r="G75" s="21"/>
      <c r="H75" s="21"/>
      <c r="I75" s="21"/>
      <c r="J75" s="10"/>
      <c r="K75" s="10"/>
      <c r="L75" s="21"/>
      <c r="M75" s="10"/>
      <c r="N75" s="10"/>
      <c r="O75" s="10"/>
      <c r="P75" s="10"/>
      <c r="Q75" s="26"/>
      <c r="R75" s="10"/>
      <c r="S75" s="10"/>
      <c r="T75" s="24"/>
      <c r="U75" s="10"/>
      <c r="V75" s="25"/>
      <c r="W75" s="10"/>
      <c r="X75" s="27"/>
      <c r="Y75" s="22"/>
      <c r="Z75" s="22"/>
      <c r="AA75" s="22"/>
      <c r="AB75" s="10"/>
      <c r="AI75" s="38"/>
      <c r="AJ75" s="38"/>
      <c r="AK75" s="38"/>
      <c r="AL75" s="38"/>
      <c r="AM75" s="38"/>
    </row>
    <row r="76" spans="1:39" s="37" customFormat="1" ht="13.5" customHeight="1">
      <c r="A76" s="21"/>
      <c r="B76" s="21"/>
      <c r="C76" s="21"/>
      <c r="D76" s="28"/>
      <c r="E76" s="21"/>
      <c r="F76" s="21"/>
      <c r="G76" s="21"/>
      <c r="H76" s="21"/>
      <c r="I76" s="21"/>
      <c r="J76" s="10"/>
      <c r="K76" s="10"/>
      <c r="L76" s="21"/>
      <c r="M76" s="10"/>
      <c r="N76" s="10"/>
      <c r="O76" s="10"/>
      <c r="P76" s="10"/>
      <c r="Q76" s="26"/>
      <c r="R76" s="10"/>
      <c r="S76" s="10"/>
      <c r="T76" s="24"/>
      <c r="U76" s="10"/>
      <c r="V76" s="25"/>
      <c r="W76" s="10"/>
      <c r="X76" s="27"/>
      <c r="Y76" s="22"/>
      <c r="Z76" s="22"/>
      <c r="AA76" s="22"/>
      <c r="AB76" s="10"/>
      <c r="AI76" s="38"/>
      <c r="AJ76" s="38"/>
      <c r="AK76" s="38"/>
      <c r="AL76" s="38"/>
      <c r="AM76" s="38"/>
    </row>
    <row r="77" spans="1:39" s="37" customFormat="1" ht="13.5" customHeight="1">
      <c r="A77" s="21"/>
      <c r="B77" s="21"/>
      <c r="C77" s="21"/>
      <c r="D77" s="28"/>
      <c r="E77" s="21"/>
      <c r="F77" s="21"/>
      <c r="G77" s="21"/>
      <c r="H77" s="21"/>
      <c r="I77" s="21"/>
      <c r="J77" s="10"/>
      <c r="K77" s="10"/>
      <c r="L77" s="21"/>
      <c r="M77" s="10"/>
      <c r="N77" s="10"/>
      <c r="O77" s="10"/>
      <c r="P77" s="10"/>
      <c r="Q77" s="26"/>
      <c r="R77" s="10"/>
      <c r="S77" s="10"/>
      <c r="T77" s="24"/>
      <c r="U77" s="10"/>
      <c r="V77" s="25"/>
      <c r="W77" s="10"/>
      <c r="X77" s="27"/>
      <c r="Y77" s="22"/>
      <c r="Z77" s="22"/>
      <c r="AA77" s="22"/>
      <c r="AB77" s="10"/>
      <c r="AI77" s="38"/>
      <c r="AJ77" s="38"/>
      <c r="AK77" s="38"/>
      <c r="AL77" s="38"/>
      <c r="AM77" s="38"/>
    </row>
    <row r="78" spans="1:39" s="37" customFormat="1" ht="13.5" customHeight="1">
      <c r="A78" s="21"/>
      <c r="B78" s="21"/>
      <c r="C78" s="21"/>
      <c r="D78" s="28"/>
      <c r="E78" s="21"/>
      <c r="F78" s="21"/>
      <c r="G78" s="21"/>
      <c r="H78" s="21"/>
      <c r="I78" s="21"/>
      <c r="J78" s="10"/>
      <c r="K78" s="10"/>
      <c r="L78" s="21"/>
      <c r="M78" s="10"/>
      <c r="N78" s="10"/>
      <c r="O78" s="10"/>
      <c r="P78" s="10"/>
      <c r="Q78" s="26"/>
      <c r="R78" s="10"/>
      <c r="S78" s="10"/>
      <c r="T78" s="24"/>
      <c r="U78" s="10"/>
      <c r="V78" s="25"/>
      <c r="W78" s="10"/>
      <c r="X78" s="27"/>
      <c r="Y78" s="22"/>
      <c r="Z78" s="22"/>
      <c r="AA78" s="22"/>
      <c r="AB78" s="10"/>
      <c r="AI78" s="38"/>
      <c r="AJ78" s="38"/>
      <c r="AK78" s="38"/>
      <c r="AL78" s="38"/>
      <c r="AM78" s="38"/>
    </row>
    <row r="79" spans="1:39" s="37" customFormat="1" ht="13.5" customHeight="1">
      <c r="A79" s="21"/>
      <c r="B79" s="21"/>
      <c r="C79" s="21"/>
      <c r="D79" s="28"/>
      <c r="E79" s="21"/>
      <c r="F79" s="21"/>
      <c r="G79" s="21"/>
      <c r="H79" s="21"/>
      <c r="I79" s="21"/>
      <c r="J79" s="10"/>
      <c r="K79" s="10"/>
      <c r="L79" s="21"/>
      <c r="M79" s="10"/>
      <c r="N79" s="10"/>
      <c r="O79" s="10"/>
      <c r="P79" s="10"/>
      <c r="Q79" s="26"/>
      <c r="R79" s="10"/>
      <c r="S79" s="10"/>
      <c r="T79" s="24"/>
      <c r="U79" s="10"/>
      <c r="V79" s="25"/>
      <c r="W79" s="10"/>
      <c r="X79" s="27"/>
      <c r="Y79" s="22"/>
      <c r="Z79" s="22"/>
      <c r="AA79" s="22"/>
      <c r="AB79" s="10"/>
      <c r="AI79" s="38"/>
      <c r="AJ79" s="38"/>
      <c r="AK79" s="38"/>
      <c r="AL79" s="38"/>
      <c r="AM79" s="38"/>
    </row>
    <row r="80" spans="1:39" s="37" customFormat="1" ht="13.5" customHeight="1">
      <c r="A80" s="21"/>
      <c r="B80" s="21"/>
      <c r="C80" s="21"/>
      <c r="D80" s="28"/>
      <c r="E80" s="21"/>
      <c r="F80" s="21"/>
      <c r="G80" s="21"/>
      <c r="H80" s="21"/>
      <c r="I80" s="21"/>
      <c r="J80" s="10"/>
      <c r="K80" s="10"/>
      <c r="L80" s="21"/>
      <c r="M80" s="10"/>
      <c r="N80" s="10"/>
      <c r="O80" s="10"/>
      <c r="P80" s="10"/>
      <c r="Q80" s="26"/>
      <c r="R80" s="10"/>
      <c r="S80" s="10"/>
      <c r="T80" s="24"/>
      <c r="U80" s="10"/>
      <c r="V80" s="25"/>
      <c r="W80" s="10"/>
      <c r="X80" s="27"/>
      <c r="Y80" s="22"/>
      <c r="Z80" s="22"/>
      <c r="AA80" s="22"/>
      <c r="AB80" s="10"/>
      <c r="AI80" s="38"/>
      <c r="AJ80" s="38"/>
      <c r="AK80" s="38"/>
      <c r="AL80" s="38"/>
      <c r="AM80" s="38"/>
    </row>
    <row r="81" spans="1:39" s="37" customFormat="1" ht="13.5" customHeight="1">
      <c r="A81" s="21"/>
      <c r="B81" s="21"/>
      <c r="C81" s="21"/>
      <c r="D81" s="28"/>
      <c r="E81" s="21"/>
      <c r="F81" s="21"/>
      <c r="G81" s="21"/>
      <c r="H81" s="21"/>
      <c r="I81" s="21"/>
      <c r="J81" s="10"/>
      <c r="K81" s="10"/>
      <c r="L81" s="21"/>
      <c r="M81" s="10"/>
      <c r="N81" s="10"/>
      <c r="O81" s="10"/>
      <c r="P81" s="10"/>
      <c r="Q81" s="26"/>
      <c r="R81" s="10"/>
      <c r="S81" s="10"/>
      <c r="T81" s="24"/>
      <c r="U81" s="10"/>
      <c r="V81" s="25"/>
      <c r="W81" s="10"/>
      <c r="X81" s="27"/>
      <c r="Y81" s="22"/>
      <c r="Z81" s="22"/>
      <c r="AA81" s="22"/>
      <c r="AB81" s="10"/>
      <c r="AI81" s="38"/>
      <c r="AJ81" s="38"/>
      <c r="AK81" s="38"/>
      <c r="AL81" s="38"/>
      <c r="AM81" s="38"/>
    </row>
    <row r="82" spans="1:39" s="37" customFormat="1" ht="13.5" customHeight="1">
      <c r="A82" s="21"/>
      <c r="B82" s="21"/>
      <c r="C82" s="21"/>
      <c r="D82" s="28"/>
      <c r="E82" s="21"/>
      <c r="F82" s="21"/>
      <c r="G82" s="21"/>
      <c r="H82" s="21"/>
      <c r="I82" s="21"/>
      <c r="J82" s="10"/>
      <c r="K82" s="10"/>
      <c r="L82" s="21"/>
      <c r="M82" s="10"/>
      <c r="N82" s="10"/>
      <c r="O82" s="10"/>
      <c r="P82" s="10"/>
      <c r="Q82" s="26"/>
      <c r="R82" s="10"/>
      <c r="S82" s="10"/>
      <c r="T82" s="24"/>
      <c r="U82" s="10"/>
      <c r="V82" s="25"/>
      <c r="W82" s="10"/>
      <c r="X82" s="27"/>
      <c r="Y82" s="22"/>
      <c r="Z82" s="22"/>
      <c r="AA82" s="22"/>
      <c r="AB82" s="10"/>
      <c r="AI82" s="38"/>
      <c r="AJ82" s="38"/>
      <c r="AK82" s="38"/>
      <c r="AL82" s="38"/>
      <c r="AM82" s="38"/>
    </row>
    <row r="83" spans="1:39" ht="13.5" customHeight="1">
      <c r="A83" s="21"/>
      <c r="B83" s="21"/>
      <c r="C83" s="21"/>
      <c r="D83" s="28"/>
      <c r="E83" s="21"/>
      <c r="F83" s="21"/>
      <c r="G83" s="21"/>
      <c r="H83" s="21"/>
      <c r="I83" s="21"/>
      <c r="L83" s="21"/>
      <c r="Q83" s="26"/>
      <c r="V83" s="25"/>
      <c r="X83" s="27"/>
      <c r="Y83" s="22"/>
      <c r="Z83" s="22"/>
      <c r="AA83" s="22"/>
    </row>
    <row r="84" spans="1:39" ht="13.5" customHeight="1">
      <c r="A84" s="21"/>
      <c r="B84" s="21"/>
      <c r="C84" s="21"/>
      <c r="D84" s="28"/>
      <c r="E84" s="21"/>
      <c r="F84" s="21"/>
      <c r="G84" s="21"/>
      <c r="H84" s="21"/>
      <c r="I84" s="21"/>
      <c r="L84" s="21"/>
      <c r="Q84" s="26"/>
      <c r="V84" s="25"/>
      <c r="X84" s="27"/>
      <c r="Y84" s="22"/>
      <c r="Z84" s="22"/>
      <c r="AA84" s="22"/>
    </row>
    <row r="85" spans="1:39" ht="13.5" customHeight="1">
      <c r="A85" s="21"/>
      <c r="B85" s="21"/>
      <c r="C85" s="21"/>
      <c r="D85" s="28"/>
      <c r="E85" s="21"/>
      <c r="F85" s="21"/>
      <c r="G85" s="21"/>
      <c r="H85" s="21"/>
      <c r="I85" s="21"/>
      <c r="L85" s="21"/>
      <c r="Q85" s="26"/>
      <c r="V85" s="25"/>
      <c r="X85" s="27"/>
      <c r="Y85" s="22"/>
      <c r="Z85" s="22"/>
      <c r="AA85" s="22"/>
    </row>
    <row r="86" spans="1:39" ht="13.5" customHeight="1">
      <c r="A86" s="21"/>
      <c r="B86" s="21"/>
      <c r="C86" s="21"/>
      <c r="D86" s="28"/>
      <c r="E86" s="21"/>
      <c r="F86" s="21"/>
      <c r="G86" s="21"/>
      <c r="H86" s="21"/>
      <c r="I86" s="21"/>
      <c r="L86" s="21"/>
      <c r="Q86" s="26"/>
      <c r="V86" s="25"/>
      <c r="X86" s="27"/>
      <c r="Y86" s="22"/>
      <c r="Z86" s="22"/>
      <c r="AA86" s="22"/>
    </row>
    <row r="87" spans="1:39">
      <c r="A87" s="21"/>
      <c r="B87" s="21"/>
      <c r="C87" s="21"/>
      <c r="D87" s="28"/>
      <c r="E87" s="21"/>
      <c r="F87" s="21"/>
      <c r="G87" s="21"/>
      <c r="H87" s="21"/>
      <c r="I87" s="21"/>
      <c r="L87" s="21"/>
      <c r="Q87" s="26"/>
      <c r="V87" s="25"/>
      <c r="X87" s="27"/>
      <c r="Y87" s="22"/>
      <c r="Z87" s="22"/>
      <c r="AA87" s="22"/>
    </row>
    <row r="88" spans="1:39">
      <c r="A88" s="21"/>
      <c r="B88" s="21"/>
      <c r="C88" s="21"/>
      <c r="D88" s="28"/>
      <c r="E88" s="21"/>
      <c r="F88" s="21"/>
      <c r="G88" s="21"/>
      <c r="H88" s="21"/>
      <c r="I88" s="21"/>
      <c r="L88" s="21"/>
      <c r="Q88" s="26"/>
      <c r="V88" s="25"/>
      <c r="X88" s="27"/>
      <c r="Y88" s="22"/>
      <c r="Z88" s="22"/>
      <c r="AA88" s="22"/>
    </row>
    <row r="89" spans="1:39">
      <c r="A89" s="21"/>
      <c r="B89" s="21"/>
      <c r="C89" s="21"/>
      <c r="D89" s="28"/>
      <c r="E89" s="21"/>
      <c r="F89" s="21"/>
      <c r="G89" s="21"/>
      <c r="H89" s="21"/>
      <c r="I89" s="21"/>
      <c r="L89" s="21"/>
      <c r="Q89" s="26"/>
      <c r="V89" s="25"/>
      <c r="X89" s="27"/>
      <c r="Y89" s="22"/>
      <c r="Z89" s="22"/>
      <c r="AA89" s="22"/>
    </row>
    <row r="90" spans="1:39">
      <c r="A90" s="21"/>
      <c r="B90" s="21"/>
      <c r="C90" s="21"/>
      <c r="D90" s="28"/>
      <c r="E90" s="21"/>
      <c r="F90" s="21"/>
      <c r="G90" s="21"/>
      <c r="H90" s="21"/>
      <c r="I90" s="21"/>
      <c r="L90" s="21"/>
      <c r="Q90" s="26"/>
      <c r="V90" s="25"/>
      <c r="X90" s="27"/>
      <c r="Y90" s="22"/>
      <c r="Z90" s="22"/>
      <c r="AA90" s="22"/>
    </row>
    <row r="91" spans="1:39">
      <c r="A91" s="21"/>
      <c r="B91" s="21"/>
      <c r="C91" s="21"/>
      <c r="D91" s="28"/>
      <c r="E91" s="21"/>
      <c r="F91" s="21"/>
      <c r="G91" s="21"/>
      <c r="H91" s="21"/>
      <c r="I91" s="21"/>
      <c r="L91" s="21"/>
      <c r="Q91" s="26"/>
      <c r="V91" s="25"/>
      <c r="X91" s="27"/>
      <c r="Y91" s="22"/>
      <c r="Z91" s="22"/>
      <c r="AA91" s="22"/>
    </row>
    <row r="92" spans="1:39">
      <c r="A92" s="21"/>
      <c r="B92" s="21"/>
      <c r="C92" s="21"/>
      <c r="D92" s="28"/>
      <c r="E92" s="21"/>
      <c r="F92" s="21"/>
      <c r="G92" s="21"/>
      <c r="H92" s="21"/>
      <c r="I92" s="21"/>
      <c r="L92" s="21"/>
      <c r="Q92" s="26"/>
      <c r="V92" s="25"/>
      <c r="X92" s="27"/>
      <c r="Y92" s="22"/>
      <c r="Z92" s="22"/>
      <c r="AA92" s="22"/>
    </row>
    <row r="93" spans="1:39">
      <c r="A93" s="21"/>
      <c r="B93" s="21"/>
      <c r="C93" s="21"/>
      <c r="D93" s="28"/>
      <c r="E93" s="21"/>
      <c r="F93" s="21"/>
      <c r="G93" s="21"/>
      <c r="H93" s="21"/>
      <c r="I93" s="21"/>
      <c r="L93" s="21"/>
      <c r="Q93" s="26"/>
      <c r="V93" s="25"/>
      <c r="X93" s="27"/>
      <c r="Y93" s="22"/>
      <c r="Z93" s="22"/>
      <c r="AA93" s="22"/>
    </row>
    <row r="94" spans="1:39">
      <c r="A94" s="21"/>
      <c r="B94" s="21"/>
      <c r="C94" s="21"/>
      <c r="D94" s="28"/>
      <c r="E94" s="21"/>
      <c r="F94" s="21"/>
      <c r="G94" s="21"/>
      <c r="H94" s="21"/>
      <c r="I94" s="21"/>
      <c r="L94" s="21"/>
      <c r="Q94" s="26"/>
      <c r="V94" s="25"/>
      <c r="X94" s="27"/>
      <c r="Y94" s="22"/>
      <c r="Z94" s="22"/>
      <c r="AA94" s="22"/>
    </row>
    <row r="95" spans="1:39">
      <c r="A95" s="21"/>
      <c r="B95" s="21"/>
      <c r="C95" s="21"/>
      <c r="D95" s="28"/>
      <c r="E95" s="21"/>
      <c r="F95" s="21"/>
      <c r="G95" s="21"/>
      <c r="H95" s="21"/>
      <c r="I95" s="21"/>
      <c r="L95" s="21"/>
      <c r="Q95" s="26"/>
      <c r="V95" s="25"/>
      <c r="X95" s="27"/>
      <c r="Y95" s="22"/>
      <c r="Z95" s="22"/>
      <c r="AA95" s="22"/>
    </row>
    <row r="96" spans="1:39">
      <c r="A96" s="21"/>
      <c r="B96" s="21"/>
      <c r="C96" s="21"/>
      <c r="D96" s="28"/>
      <c r="E96" s="21"/>
      <c r="F96" s="21"/>
      <c r="G96" s="21"/>
      <c r="H96" s="21"/>
      <c r="I96" s="21"/>
      <c r="L96" s="21"/>
      <c r="Q96" s="26"/>
      <c r="V96" s="25"/>
      <c r="X96" s="27"/>
      <c r="Y96" s="22"/>
      <c r="Z96" s="22"/>
      <c r="AA96" s="22"/>
    </row>
    <row r="97" spans="1:27">
      <c r="A97" s="21"/>
      <c r="B97" s="21"/>
      <c r="C97" s="21"/>
      <c r="D97" s="28"/>
      <c r="E97" s="21"/>
      <c r="F97" s="21"/>
      <c r="G97" s="21"/>
      <c r="H97" s="21"/>
      <c r="I97" s="21"/>
      <c r="L97" s="21"/>
      <c r="Q97" s="26"/>
      <c r="V97" s="25"/>
      <c r="X97" s="27"/>
      <c r="Y97" s="22"/>
      <c r="Z97" s="22"/>
      <c r="AA97" s="22"/>
    </row>
    <row r="98" spans="1:27">
      <c r="A98" s="21"/>
      <c r="B98" s="21"/>
      <c r="C98" s="21"/>
      <c r="D98" s="28"/>
      <c r="E98" s="21"/>
      <c r="F98" s="21"/>
      <c r="G98" s="21"/>
      <c r="H98" s="21"/>
      <c r="I98" s="21"/>
      <c r="L98" s="21"/>
      <c r="Q98" s="26"/>
      <c r="V98" s="25"/>
      <c r="X98" s="27"/>
      <c r="Y98" s="22"/>
      <c r="Z98" s="22"/>
      <c r="AA98" s="22"/>
    </row>
    <row r="99" spans="1:27">
      <c r="A99" s="21"/>
      <c r="B99" s="21"/>
      <c r="C99" s="21"/>
      <c r="D99" s="28"/>
      <c r="E99" s="21"/>
      <c r="F99" s="21"/>
      <c r="G99" s="21"/>
      <c r="H99" s="21"/>
      <c r="I99" s="21"/>
      <c r="L99" s="21"/>
      <c r="Q99" s="26"/>
      <c r="V99" s="25"/>
      <c r="X99" s="27"/>
      <c r="Y99" s="22"/>
      <c r="Z99" s="22"/>
      <c r="AA99" s="22"/>
    </row>
    <row r="100" spans="1:27">
      <c r="A100" s="21"/>
      <c r="B100" s="21"/>
      <c r="C100" s="21"/>
      <c r="D100" s="28"/>
      <c r="E100" s="21"/>
      <c r="F100" s="21"/>
      <c r="G100" s="21"/>
      <c r="H100" s="21"/>
      <c r="I100" s="21"/>
      <c r="L100" s="21"/>
      <c r="Q100" s="26"/>
      <c r="V100" s="25"/>
      <c r="X100" s="27"/>
      <c r="Y100" s="22"/>
      <c r="Z100" s="22"/>
      <c r="AA100" s="22"/>
    </row>
    <row r="101" spans="1:27">
      <c r="A101" s="21"/>
      <c r="B101" s="21"/>
      <c r="C101" s="21"/>
      <c r="D101" s="28"/>
      <c r="E101" s="21"/>
      <c r="F101" s="21"/>
      <c r="G101" s="21"/>
      <c r="H101" s="21"/>
      <c r="I101" s="21"/>
      <c r="L101" s="21"/>
      <c r="Q101" s="26"/>
      <c r="V101" s="25"/>
      <c r="X101" s="27"/>
      <c r="Y101" s="22"/>
      <c r="Z101" s="22"/>
      <c r="AA101" s="22"/>
    </row>
    <row r="102" spans="1:27">
      <c r="A102" s="21"/>
      <c r="B102" s="21"/>
      <c r="C102" s="21"/>
      <c r="D102" s="28"/>
      <c r="E102" s="21"/>
      <c r="F102" s="21"/>
      <c r="G102" s="21"/>
      <c r="H102" s="21"/>
      <c r="I102" s="21"/>
      <c r="L102" s="21"/>
      <c r="Q102" s="26"/>
      <c r="V102" s="25"/>
      <c r="X102" s="27"/>
      <c r="Y102" s="22"/>
      <c r="Z102" s="22"/>
      <c r="AA102" s="22"/>
    </row>
    <row r="103" spans="1:27">
      <c r="A103" s="21"/>
      <c r="B103" s="21"/>
      <c r="C103" s="21"/>
      <c r="D103" s="28"/>
      <c r="E103" s="21"/>
      <c r="F103" s="21"/>
      <c r="G103" s="21"/>
      <c r="H103" s="21"/>
      <c r="I103" s="21"/>
      <c r="L103" s="21"/>
      <c r="Q103" s="26"/>
      <c r="V103" s="25"/>
      <c r="X103" s="27"/>
      <c r="Y103" s="22"/>
      <c r="Z103" s="22"/>
      <c r="AA103" s="22"/>
    </row>
    <row r="104" spans="1:27">
      <c r="A104" s="21"/>
      <c r="B104" s="21"/>
      <c r="C104" s="21"/>
      <c r="D104" s="28"/>
      <c r="E104" s="21"/>
      <c r="F104" s="21"/>
      <c r="G104" s="21"/>
      <c r="H104" s="21"/>
      <c r="I104" s="21"/>
      <c r="L104" s="21"/>
      <c r="Q104" s="26"/>
      <c r="V104" s="25"/>
      <c r="X104" s="27"/>
      <c r="Y104" s="22"/>
      <c r="Z104" s="22"/>
      <c r="AA104" s="22"/>
    </row>
    <row r="105" spans="1:27">
      <c r="A105" s="21"/>
      <c r="B105" s="21"/>
      <c r="C105" s="21"/>
      <c r="D105" s="28"/>
      <c r="E105" s="21"/>
      <c r="F105" s="21"/>
      <c r="G105" s="21"/>
      <c r="H105" s="21"/>
      <c r="I105" s="21"/>
      <c r="L105" s="21"/>
      <c r="Q105" s="26"/>
      <c r="V105" s="25"/>
      <c r="X105" s="27"/>
      <c r="Y105" s="22"/>
      <c r="Z105" s="22"/>
      <c r="AA105" s="22"/>
    </row>
    <row r="106" spans="1:27">
      <c r="A106" s="21"/>
      <c r="B106" s="21"/>
      <c r="C106" s="21"/>
      <c r="D106" s="28"/>
      <c r="E106" s="21"/>
      <c r="F106" s="21"/>
      <c r="G106" s="21"/>
      <c r="H106" s="21"/>
      <c r="I106" s="21"/>
      <c r="L106" s="21"/>
      <c r="Q106" s="26"/>
      <c r="V106" s="25"/>
      <c r="X106" s="27"/>
      <c r="Y106" s="22"/>
      <c r="Z106" s="22"/>
      <c r="AA106" s="22"/>
    </row>
    <row r="107" spans="1:27">
      <c r="A107" s="21"/>
      <c r="B107" s="21"/>
      <c r="C107" s="21"/>
      <c r="D107" s="28"/>
      <c r="E107" s="21"/>
      <c r="F107" s="21"/>
      <c r="G107" s="21"/>
      <c r="H107" s="21"/>
      <c r="I107" s="21"/>
      <c r="L107" s="21"/>
      <c r="Q107" s="26"/>
      <c r="V107" s="25"/>
      <c r="X107" s="27"/>
      <c r="Y107" s="22"/>
      <c r="Z107" s="22"/>
      <c r="AA107" s="22"/>
    </row>
    <row r="108" spans="1:27">
      <c r="A108" s="21"/>
      <c r="B108" s="21"/>
      <c r="C108" s="21"/>
      <c r="D108" s="28"/>
      <c r="E108" s="21"/>
      <c r="F108" s="21"/>
      <c r="G108" s="21"/>
      <c r="H108" s="21"/>
      <c r="I108" s="21"/>
      <c r="L108" s="21"/>
      <c r="Q108" s="26"/>
      <c r="V108" s="25"/>
      <c r="X108" s="27"/>
      <c r="Y108" s="22"/>
      <c r="Z108" s="22"/>
      <c r="AA108" s="22"/>
    </row>
    <row r="109" spans="1:27">
      <c r="A109" s="21"/>
      <c r="B109" s="21"/>
      <c r="C109" s="21"/>
      <c r="D109" s="28"/>
      <c r="E109" s="21"/>
      <c r="F109" s="21"/>
      <c r="G109" s="21"/>
      <c r="H109" s="21"/>
      <c r="I109" s="21"/>
      <c r="L109" s="21"/>
      <c r="Q109" s="26"/>
      <c r="V109" s="25"/>
      <c r="X109" s="27"/>
      <c r="Y109" s="22"/>
      <c r="Z109" s="22"/>
      <c r="AA109" s="22"/>
    </row>
    <row r="110" spans="1:27">
      <c r="A110" s="21"/>
      <c r="B110" s="21"/>
      <c r="C110" s="21"/>
      <c r="D110" s="28"/>
      <c r="E110" s="21"/>
      <c r="F110" s="21"/>
      <c r="G110" s="21"/>
      <c r="H110" s="21"/>
      <c r="I110" s="21"/>
      <c r="L110" s="21"/>
      <c r="Q110" s="26"/>
      <c r="V110" s="25"/>
      <c r="X110" s="27"/>
      <c r="Y110" s="22"/>
      <c r="AA110" s="22"/>
    </row>
    <row r="111" spans="1:27">
      <c r="A111" s="21"/>
      <c r="B111" s="21"/>
      <c r="C111" s="21"/>
      <c r="D111" s="28"/>
      <c r="E111" s="21"/>
      <c r="F111" s="21"/>
      <c r="G111" s="21"/>
      <c r="H111" s="21"/>
      <c r="I111" s="21"/>
      <c r="L111" s="21"/>
      <c r="Q111" s="26"/>
      <c r="V111" s="25"/>
      <c r="X111" s="27"/>
      <c r="Y111" s="22"/>
      <c r="AA111" s="22"/>
    </row>
    <row r="112" spans="1:27">
      <c r="A112" s="21"/>
      <c r="B112" s="21"/>
      <c r="C112" s="21"/>
      <c r="D112" s="28"/>
      <c r="E112" s="21"/>
      <c r="F112" s="21"/>
      <c r="G112" s="21"/>
      <c r="H112" s="21"/>
      <c r="I112" s="21"/>
      <c r="L112" s="21"/>
      <c r="Q112" s="26"/>
      <c r="V112" s="25"/>
      <c r="X112" s="27"/>
      <c r="Y112" s="22"/>
      <c r="AA112" s="22"/>
    </row>
    <row r="113" spans="1:27">
      <c r="A113" s="21"/>
      <c r="B113" s="21"/>
      <c r="C113" s="21"/>
      <c r="D113" s="28"/>
      <c r="E113" s="21"/>
      <c r="F113" s="21"/>
      <c r="G113" s="21"/>
      <c r="H113" s="21"/>
      <c r="I113" s="21"/>
      <c r="L113" s="21"/>
      <c r="Q113" s="26"/>
      <c r="V113" s="25"/>
      <c r="X113" s="27"/>
      <c r="Y113" s="22"/>
      <c r="AA113" s="22"/>
    </row>
    <row r="114" spans="1:27">
      <c r="A114" s="21"/>
      <c r="B114" s="21"/>
      <c r="C114" s="21"/>
      <c r="D114" s="28"/>
      <c r="E114" s="21"/>
      <c r="F114" s="21"/>
      <c r="G114" s="21"/>
      <c r="H114" s="21"/>
      <c r="I114" s="21"/>
      <c r="L114" s="21"/>
      <c r="Q114" s="26"/>
      <c r="V114" s="25"/>
      <c r="X114" s="27"/>
      <c r="Y114" s="22"/>
      <c r="AA114" s="22"/>
    </row>
    <row r="115" spans="1:27">
      <c r="A115" s="21"/>
      <c r="B115" s="21"/>
      <c r="C115" s="21"/>
      <c r="D115" s="28"/>
      <c r="E115" s="21"/>
      <c r="F115" s="21"/>
      <c r="G115" s="21"/>
      <c r="H115" s="21"/>
      <c r="I115" s="21"/>
      <c r="L115" s="21"/>
      <c r="Q115" s="26"/>
      <c r="V115" s="25"/>
      <c r="X115" s="27"/>
      <c r="Y115" s="22"/>
      <c r="AA115" s="22"/>
    </row>
    <row r="116" spans="1:27">
      <c r="A116" s="21"/>
      <c r="B116" s="21"/>
      <c r="C116" s="21"/>
      <c r="D116" s="28"/>
      <c r="E116" s="21"/>
      <c r="F116" s="21"/>
      <c r="G116" s="21"/>
      <c r="H116" s="21"/>
      <c r="I116" s="21"/>
      <c r="L116" s="21"/>
      <c r="Q116" s="26"/>
      <c r="V116" s="25"/>
      <c r="X116" s="27"/>
      <c r="Y116" s="22"/>
      <c r="AA116" s="22"/>
    </row>
    <row r="117" spans="1:27">
      <c r="A117" s="21"/>
      <c r="B117" s="21"/>
      <c r="C117" s="21"/>
      <c r="D117" s="28"/>
      <c r="E117" s="21"/>
      <c r="F117" s="21"/>
      <c r="G117" s="21"/>
      <c r="H117" s="21"/>
      <c r="I117" s="21"/>
      <c r="L117" s="21"/>
      <c r="Q117" s="26"/>
      <c r="V117" s="25"/>
      <c r="X117" s="27"/>
      <c r="Y117" s="22"/>
      <c r="AA117" s="22"/>
    </row>
    <row r="118" spans="1:27">
      <c r="A118" s="21"/>
      <c r="B118" s="21"/>
      <c r="C118" s="21"/>
      <c r="D118" s="28"/>
      <c r="E118" s="21"/>
      <c r="F118" s="21"/>
      <c r="G118" s="21"/>
      <c r="H118" s="21"/>
      <c r="I118" s="21"/>
      <c r="L118" s="21"/>
      <c r="Q118" s="26"/>
      <c r="V118" s="25"/>
      <c r="X118" s="27"/>
      <c r="Y118" s="22"/>
      <c r="AA118" s="22"/>
    </row>
    <row r="119" spans="1:27">
      <c r="A119" s="21"/>
      <c r="B119" s="21"/>
      <c r="C119" s="21"/>
      <c r="D119" s="28"/>
      <c r="E119" s="21"/>
      <c r="F119" s="21"/>
      <c r="G119" s="21"/>
      <c r="H119" s="21"/>
      <c r="I119" s="21"/>
      <c r="L119" s="21"/>
      <c r="Q119" s="26"/>
      <c r="V119" s="25"/>
      <c r="X119" s="27"/>
      <c r="Y119" s="22"/>
      <c r="AA119" s="22"/>
    </row>
    <row r="120" spans="1:27">
      <c r="A120" s="21"/>
      <c r="B120" s="21"/>
      <c r="C120" s="21"/>
      <c r="D120" s="28"/>
      <c r="E120" s="21"/>
      <c r="F120" s="21"/>
      <c r="G120" s="21"/>
      <c r="H120" s="21"/>
      <c r="I120" s="21"/>
      <c r="L120" s="21"/>
      <c r="Q120" s="26"/>
      <c r="V120" s="25"/>
      <c r="X120" s="27"/>
      <c r="Y120" s="22"/>
      <c r="AA120" s="22"/>
    </row>
    <row r="121" spans="1:27">
      <c r="A121" s="21"/>
      <c r="B121" s="21"/>
      <c r="C121" s="21"/>
      <c r="D121" s="28"/>
      <c r="E121" s="21"/>
      <c r="F121" s="21"/>
      <c r="G121" s="21"/>
      <c r="H121" s="21"/>
      <c r="I121" s="21"/>
      <c r="L121" s="21"/>
      <c r="Q121" s="26"/>
      <c r="V121" s="25"/>
      <c r="X121" s="27"/>
      <c r="Y121" s="22"/>
      <c r="AA121" s="22"/>
    </row>
    <row r="122" spans="1:27">
      <c r="A122" s="21"/>
      <c r="B122" s="21"/>
      <c r="C122" s="21"/>
      <c r="D122" s="28"/>
      <c r="E122" s="21"/>
      <c r="F122" s="21"/>
      <c r="G122" s="21"/>
      <c r="H122" s="21"/>
      <c r="I122" s="21"/>
      <c r="L122" s="21"/>
      <c r="Q122" s="26"/>
      <c r="V122" s="25"/>
      <c r="X122" s="27"/>
      <c r="Y122" s="22"/>
      <c r="AA122" s="22"/>
    </row>
    <row r="123" spans="1:27">
      <c r="A123" s="21"/>
      <c r="B123" s="21"/>
      <c r="C123" s="21"/>
      <c r="D123" s="28"/>
      <c r="E123" s="21"/>
      <c r="F123" s="21"/>
      <c r="G123" s="21"/>
      <c r="H123" s="21"/>
      <c r="I123" s="21"/>
      <c r="L123" s="21"/>
      <c r="Q123" s="26"/>
      <c r="V123" s="25"/>
      <c r="X123" s="27"/>
      <c r="Y123" s="22"/>
      <c r="AA123" s="22"/>
    </row>
    <row r="124" spans="1:27">
      <c r="A124" s="21"/>
      <c r="B124" s="21"/>
      <c r="C124" s="21"/>
      <c r="D124" s="28"/>
      <c r="E124" s="21"/>
      <c r="F124" s="21"/>
      <c r="G124" s="21"/>
      <c r="H124" s="21"/>
      <c r="I124" s="21"/>
      <c r="L124" s="21"/>
      <c r="Q124" s="26"/>
      <c r="V124" s="25"/>
      <c r="X124" s="27"/>
      <c r="Y124" s="22"/>
      <c r="AA124" s="22"/>
    </row>
    <row r="125" spans="1:27">
      <c r="A125" s="21"/>
      <c r="B125" s="21"/>
      <c r="C125" s="21"/>
      <c r="D125" s="28"/>
      <c r="E125" s="21"/>
      <c r="F125" s="21"/>
      <c r="G125" s="21"/>
      <c r="H125" s="21"/>
      <c r="I125" s="21"/>
      <c r="L125" s="21"/>
      <c r="Q125" s="26"/>
      <c r="V125" s="25"/>
      <c r="AA125" s="22"/>
    </row>
    <row r="126" spans="1:27">
      <c r="A126" s="21"/>
      <c r="B126" s="21"/>
      <c r="C126" s="21"/>
      <c r="D126" s="28"/>
      <c r="E126" s="21"/>
      <c r="F126" s="21"/>
      <c r="G126" s="21"/>
      <c r="H126" s="21"/>
      <c r="I126" s="21"/>
      <c r="L126" s="21"/>
      <c r="Q126" s="26"/>
      <c r="V126" s="25"/>
      <c r="AA126" s="22"/>
    </row>
    <row r="127" spans="1:27">
      <c r="A127" s="21"/>
      <c r="B127" s="21"/>
      <c r="C127" s="21"/>
      <c r="D127" s="28"/>
      <c r="E127" s="21"/>
      <c r="F127" s="21"/>
      <c r="G127" s="21"/>
      <c r="H127" s="21"/>
      <c r="I127" s="21"/>
      <c r="L127" s="21"/>
      <c r="Q127" s="26"/>
      <c r="V127" s="25"/>
      <c r="AA127" s="22"/>
    </row>
    <row r="128" spans="1:27">
      <c r="A128" s="21"/>
      <c r="B128" s="21"/>
      <c r="C128" s="21"/>
      <c r="D128" s="28"/>
      <c r="E128" s="21"/>
      <c r="F128" s="21"/>
      <c r="G128" s="21"/>
      <c r="H128" s="21"/>
      <c r="I128" s="21"/>
      <c r="L128" s="21"/>
      <c r="Q128" s="26"/>
      <c r="V128" s="25"/>
      <c r="AA128" s="22"/>
    </row>
    <row r="129" spans="1:27">
      <c r="A129" s="21"/>
      <c r="B129" s="21"/>
      <c r="C129" s="21"/>
      <c r="D129" s="28"/>
      <c r="E129" s="21"/>
      <c r="F129" s="21"/>
      <c r="G129" s="21"/>
      <c r="H129" s="21"/>
      <c r="I129" s="21"/>
      <c r="L129" s="21"/>
      <c r="Q129" s="26"/>
      <c r="V129" s="25"/>
      <c r="AA129" s="22"/>
    </row>
    <row r="130" spans="1:27">
      <c r="A130" s="21"/>
      <c r="B130" s="21"/>
      <c r="C130" s="21"/>
      <c r="D130" s="28"/>
      <c r="E130" s="21"/>
      <c r="F130" s="21"/>
      <c r="G130" s="21"/>
      <c r="H130" s="21"/>
      <c r="I130" s="21"/>
      <c r="L130" s="21"/>
      <c r="Q130" s="26"/>
      <c r="V130" s="25"/>
      <c r="AA130" s="22"/>
    </row>
    <row r="131" spans="1:27">
      <c r="A131" s="21"/>
      <c r="B131" s="21"/>
      <c r="C131" s="21"/>
      <c r="D131" s="28"/>
      <c r="E131" s="21"/>
      <c r="F131" s="21"/>
      <c r="G131" s="21"/>
      <c r="H131" s="21"/>
      <c r="I131" s="21"/>
      <c r="L131" s="21"/>
      <c r="Q131" s="26"/>
      <c r="V131" s="25"/>
      <c r="AA131" s="22"/>
    </row>
    <row r="132" spans="1:27">
      <c r="A132" s="21"/>
      <c r="B132" s="21"/>
      <c r="C132" s="21"/>
      <c r="D132" s="28"/>
      <c r="E132" s="21"/>
      <c r="F132" s="21"/>
      <c r="G132" s="21"/>
      <c r="H132" s="21"/>
      <c r="I132" s="21"/>
      <c r="L132" s="21"/>
      <c r="Q132" s="26"/>
      <c r="V132" s="25"/>
      <c r="AA132" s="22"/>
    </row>
    <row r="133" spans="1:27">
      <c r="A133" s="21"/>
      <c r="B133" s="21"/>
      <c r="C133" s="21"/>
      <c r="D133" s="28"/>
      <c r="E133" s="21"/>
      <c r="F133" s="21"/>
      <c r="G133" s="21"/>
      <c r="H133" s="21"/>
      <c r="I133" s="21"/>
      <c r="L133" s="21"/>
      <c r="Q133" s="26"/>
      <c r="V133" s="25"/>
      <c r="AA133" s="22"/>
    </row>
    <row r="134" spans="1:27">
      <c r="A134" s="21"/>
      <c r="B134" s="21"/>
      <c r="C134" s="21"/>
      <c r="D134" s="28"/>
      <c r="E134" s="21"/>
      <c r="F134" s="21"/>
      <c r="G134" s="21"/>
      <c r="H134" s="21"/>
      <c r="I134" s="21"/>
      <c r="L134" s="21"/>
      <c r="Q134" s="26"/>
      <c r="V134" s="25"/>
      <c r="AA134" s="22"/>
    </row>
    <row r="135" spans="1:27">
      <c r="A135" s="21"/>
      <c r="B135" s="21"/>
      <c r="C135" s="21"/>
      <c r="D135" s="28"/>
      <c r="E135" s="21"/>
      <c r="F135" s="21"/>
      <c r="G135" s="21"/>
      <c r="H135" s="21"/>
      <c r="I135" s="21"/>
      <c r="L135" s="21"/>
      <c r="Q135" s="26"/>
      <c r="V135" s="25"/>
      <c r="AA135" s="22"/>
    </row>
    <row r="136" spans="1:27">
      <c r="A136" s="21"/>
      <c r="B136" s="21"/>
      <c r="C136" s="21"/>
      <c r="D136" s="28"/>
      <c r="E136" s="21"/>
      <c r="F136" s="21"/>
      <c r="G136" s="21"/>
      <c r="H136" s="21"/>
      <c r="I136" s="21"/>
      <c r="L136" s="21"/>
      <c r="Q136" s="26"/>
      <c r="V136" s="25"/>
      <c r="AA136" s="22"/>
    </row>
    <row r="137" spans="1:27">
      <c r="A137" s="21"/>
      <c r="B137" s="21"/>
      <c r="C137" s="21"/>
      <c r="D137" s="28"/>
      <c r="E137" s="21"/>
      <c r="F137" s="21"/>
      <c r="G137" s="21"/>
      <c r="H137" s="21"/>
      <c r="I137" s="21"/>
      <c r="L137" s="21"/>
      <c r="Q137" s="26"/>
      <c r="V137" s="25"/>
      <c r="AA137" s="22"/>
    </row>
    <row r="138" spans="1:27">
      <c r="A138" s="21"/>
      <c r="B138" s="21"/>
      <c r="C138" s="21"/>
      <c r="D138" s="28"/>
      <c r="E138" s="21"/>
      <c r="F138" s="21"/>
      <c r="G138" s="21"/>
      <c r="H138" s="21"/>
      <c r="I138" s="21"/>
      <c r="L138" s="21"/>
      <c r="Q138" s="26"/>
      <c r="V138" s="25"/>
      <c r="AA138" s="22"/>
    </row>
    <row r="139" spans="1:27">
      <c r="A139" s="21"/>
      <c r="B139" s="21"/>
      <c r="C139" s="21"/>
      <c r="D139" s="28"/>
      <c r="E139" s="21"/>
      <c r="F139" s="21"/>
      <c r="G139" s="21"/>
      <c r="H139" s="21"/>
      <c r="I139" s="21"/>
      <c r="L139" s="21"/>
      <c r="Q139" s="26"/>
      <c r="V139" s="25"/>
      <c r="AA139" s="22"/>
    </row>
    <row r="140" spans="1:27">
      <c r="A140" s="21"/>
      <c r="B140" s="21"/>
      <c r="C140" s="21"/>
      <c r="D140" s="28"/>
      <c r="E140" s="21"/>
      <c r="F140" s="21"/>
      <c r="G140" s="21"/>
      <c r="H140" s="21"/>
      <c r="I140" s="21"/>
      <c r="L140" s="21"/>
      <c r="Q140" s="26"/>
      <c r="V140" s="25"/>
      <c r="AA140" s="22"/>
    </row>
    <row r="141" spans="1:27">
      <c r="A141" s="21"/>
      <c r="B141" s="21"/>
      <c r="C141" s="21"/>
      <c r="D141" s="28"/>
      <c r="E141" s="21"/>
      <c r="F141" s="21"/>
      <c r="G141" s="21"/>
      <c r="H141" s="21"/>
      <c r="I141" s="21"/>
      <c r="L141" s="21"/>
      <c r="Q141" s="26"/>
      <c r="V141" s="25"/>
      <c r="AA141" s="22"/>
    </row>
    <row r="142" spans="1:27">
      <c r="A142" s="21"/>
      <c r="B142" s="21"/>
      <c r="C142" s="21"/>
      <c r="D142" s="28"/>
      <c r="E142" s="21"/>
      <c r="F142" s="21"/>
      <c r="G142" s="21"/>
      <c r="H142" s="21"/>
      <c r="I142" s="21"/>
      <c r="L142" s="21"/>
      <c r="Q142" s="26"/>
      <c r="V142" s="25"/>
      <c r="AA142" s="22"/>
    </row>
    <row r="143" spans="1:27">
      <c r="A143" s="21"/>
      <c r="B143" s="21"/>
      <c r="C143" s="21"/>
      <c r="D143" s="28"/>
      <c r="E143" s="21"/>
      <c r="F143" s="21"/>
      <c r="G143" s="21"/>
      <c r="H143" s="21"/>
      <c r="I143" s="21"/>
      <c r="L143" s="21"/>
      <c r="Q143" s="26"/>
      <c r="V143" s="25"/>
      <c r="AA143" s="22"/>
    </row>
    <row r="144" spans="1:27">
      <c r="A144" s="21"/>
      <c r="B144" s="21"/>
      <c r="C144" s="21"/>
      <c r="D144" s="28"/>
      <c r="E144" s="21"/>
      <c r="F144" s="21"/>
      <c r="G144" s="21"/>
      <c r="H144" s="21"/>
      <c r="I144" s="21"/>
      <c r="L144" s="21"/>
      <c r="Q144" s="26"/>
      <c r="V144" s="25"/>
      <c r="AA144" s="22"/>
    </row>
    <row r="145" spans="1:27">
      <c r="A145" s="21"/>
      <c r="B145" s="21"/>
      <c r="C145" s="21"/>
      <c r="D145" s="28"/>
      <c r="E145" s="21"/>
      <c r="F145" s="21"/>
      <c r="G145" s="21"/>
      <c r="H145" s="21"/>
      <c r="I145" s="21"/>
      <c r="L145" s="21"/>
      <c r="Q145" s="26"/>
      <c r="V145" s="25"/>
      <c r="AA145" s="22"/>
    </row>
    <row r="146" spans="1:27">
      <c r="A146" s="21"/>
      <c r="B146" s="21"/>
      <c r="C146" s="21"/>
      <c r="D146" s="28"/>
      <c r="E146" s="21"/>
      <c r="F146" s="21"/>
      <c r="G146" s="21"/>
      <c r="H146" s="21"/>
      <c r="I146" s="21"/>
      <c r="L146" s="21"/>
      <c r="Q146" s="26"/>
      <c r="V146" s="25"/>
      <c r="AA146" s="22"/>
    </row>
    <row r="147" spans="1:27">
      <c r="A147" s="21"/>
      <c r="B147" s="21"/>
      <c r="C147" s="21"/>
      <c r="D147" s="28"/>
      <c r="E147" s="21"/>
      <c r="F147" s="21"/>
      <c r="G147" s="21"/>
      <c r="H147" s="21"/>
      <c r="I147" s="21"/>
      <c r="L147" s="21"/>
      <c r="Q147" s="26"/>
      <c r="V147" s="25"/>
      <c r="AA147" s="22"/>
    </row>
    <row r="148" spans="1:27">
      <c r="A148" s="21"/>
      <c r="B148" s="21"/>
      <c r="C148" s="21"/>
      <c r="D148" s="28"/>
      <c r="E148" s="21"/>
      <c r="F148" s="21"/>
      <c r="G148" s="21"/>
      <c r="H148" s="21"/>
      <c r="I148" s="21"/>
      <c r="L148" s="21"/>
      <c r="Q148" s="26"/>
      <c r="V148" s="25"/>
      <c r="AA148" s="22"/>
    </row>
    <row r="149" spans="1:27">
      <c r="A149" s="21"/>
      <c r="B149" s="21"/>
      <c r="C149" s="21"/>
      <c r="D149" s="28"/>
      <c r="E149" s="21"/>
      <c r="F149" s="21"/>
      <c r="G149" s="21"/>
      <c r="H149" s="21"/>
      <c r="I149" s="21"/>
      <c r="L149" s="21"/>
      <c r="Q149" s="26"/>
      <c r="V149" s="25"/>
      <c r="AA149" s="22"/>
    </row>
    <row r="150" spans="1:27">
      <c r="A150" s="21"/>
      <c r="B150" s="21"/>
      <c r="C150" s="21"/>
      <c r="D150" s="28"/>
      <c r="E150" s="21"/>
      <c r="F150" s="21"/>
      <c r="G150" s="21"/>
      <c r="H150" s="21"/>
      <c r="I150" s="21"/>
      <c r="L150" s="21"/>
      <c r="Q150" s="26"/>
      <c r="V150" s="25"/>
      <c r="AA150" s="22"/>
    </row>
    <row r="151" spans="1:27">
      <c r="A151" s="21"/>
      <c r="B151" s="21"/>
      <c r="C151" s="21"/>
      <c r="D151" s="28"/>
      <c r="E151" s="21"/>
      <c r="F151" s="21"/>
      <c r="G151" s="21"/>
      <c r="H151" s="21"/>
      <c r="I151" s="21"/>
      <c r="L151" s="21"/>
      <c r="Q151" s="26"/>
      <c r="V151" s="25"/>
      <c r="AA151" s="22"/>
    </row>
    <row r="152" spans="1:27">
      <c r="A152" s="21"/>
      <c r="B152" s="21"/>
      <c r="C152" s="21"/>
      <c r="D152" s="28"/>
      <c r="E152" s="21"/>
      <c r="F152" s="21"/>
      <c r="G152" s="21"/>
      <c r="H152" s="21"/>
      <c r="I152" s="21"/>
      <c r="L152" s="21"/>
      <c r="Q152" s="26"/>
      <c r="V152" s="25"/>
      <c r="AA152" s="22"/>
    </row>
    <row r="153" spans="1:27">
      <c r="A153" s="21"/>
      <c r="B153" s="21"/>
      <c r="C153" s="21"/>
      <c r="D153" s="28"/>
      <c r="E153" s="21"/>
      <c r="F153" s="21"/>
      <c r="G153" s="21"/>
      <c r="H153" s="21"/>
      <c r="I153" s="21"/>
      <c r="L153" s="21"/>
      <c r="Q153" s="26"/>
      <c r="V153" s="25"/>
      <c r="AA153" s="22"/>
    </row>
    <row r="154" spans="1:27">
      <c r="A154" s="21"/>
      <c r="B154" s="21"/>
      <c r="C154" s="21"/>
      <c r="D154" s="28"/>
      <c r="E154" s="21"/>
      <c r="F154" s="21"/>
      <c r="G154" s="21"/>
      <c r="H154" s="21"/>
      <c r="I154" s="21"/>
      <c r="L154" s="21"/>
      <c r="Q154" s="26"/>
      <c r="V154" s="25"/>
      <c r="AA154" s="22"/>
    </row>
    <row r="155" spans="1:27">
      <c r="A155" s="21"/>
      <c r="B155" s="21"/>
      <c r="C155" s="21"/>
      <c r="D155" s="28"/>
      <c r="E155" s="21"/>
      <c r="F155" s="21"/>
      <c r="G155" s="21"/>
      <c r="H155" s="21"/>
      <c r="I155" s="21"/>
      <c r="L155" s="21"/>
      <c r="Q155" s="26"/>
      <c r="V155" s="25"/>
      <c r="AA155" s="22"/>
    </row>
    <row r="156" spans="1:27">
      <c r="A156" s="21"/>
      <c r="B156" s="21"/>
      <c r="C156" s="21"/>
      <c r="D156" s="28"/>
      <c r="E156" s="21"/>
      <c r="F156" s="21"/>
      <c r="G156" s="21"/>
      <c r="H156" s="21"/>
      <c r="I156" s="21"/>
      <c r="L156" s="21"/>
      <c r="Q156" s="26"/>
      <c r="V156" s="25"/>
      <c r="AA156" s="22"/>
    </row>
    <row r="157" spans="1:27">
      <c r="A157" s="21"/>
      <c r="B157" s="21"/>
      <c r="C157" s="21"/>
      <c r="D157" s="28"/>
      <c r="E157" s="30"/>
      <c r="F157" s="30"/>
      <c r="G157" s="30"/>
      <c r="H157" s="30"/>
      <c r="I157" s="30"/>
      <c r="Q157" s="26"/>
      <c r="AA157" s="22"/>
    </row>
    <row r="158" spans="1:27">
      <c r="A158" s="21"/>
      <c r="B158" s="21"/>
      <c r="C158" s="21"/>
      <c r="D158" s="28"/>
      <c r="E158" s="30"/>
      <c r="F158" s="30"/>
      <c r="G158" s="30"/>
      <c r="H158" s="30"/>
      <c r="I158" s="30"/>
      <c r="Q158" s="26"/>
      <c r="AA158" s="22"/>
    </row>
    <row r="159" spans="1:27">
      <c r="A159" s="21"/>
      <c r="B159" s="21"/>
      <c r="C159" s="21"/>
      <c r="D159" s="28"/>
      <c r="E159" s="30"/>
      <c r="F159" s="30"/>
      <c r="G159" s="30"/>
      <c r="H159" s="30"/>
      <c r="I159" s="30"/>
      <c r="Q159" s="26"/>
      <c r="AA159" s="22"/>
    </row>
    <row r="160" spans="1:27">
      <c r="A160" s="21"/>
      <c r="B160" s="21"/>
      <c r="C160" s="21"/>
      <c r="D160" s="28"/>
      <c r="E160" s="30"/>
      <c r="F160" s="30"/>
      <c r="G160" s="30"/>
      <c r="H160" s="30"/>
      <c r="I160" s="30"/>
      <c r="Q160" s="26"/>
      <c r="AA160" s="22"/>
    </row>
    <row r="161" spans="1:27">
      <c r="A161" s="21"/>
      <c r="B161" s="21"/>
      <c r="C161" s="21"/>
      <c r="D161" s="28"/>
      <c r="E161" s="30"/>
      <c r="F161" s="30"/>
      <c r="G161" s="30"/>
      <c r="H161" s="30"/>
      <c r="I161" s="30"/>
      <c r="Q161" s="26"/>
      <c r="AA161" s="22"/>
    </row>
    <row r="162" spans="1:27">
      <c r="A162" s="21"/>
      <c r="B162" s="21"/>
      <c r="C162" s="21"/>
      <c r="D162" s="28"/>
      <c r="E162" s="30"/>
      <c r="F162" s="30"/>
      <c r="G162" s="30"/>
      <c r="H162" s="30"/>
      <c r="I162" s="30"/>
      <c r="Q162" s="26"/>
      <c r="AA162" s="22"/>
    </row>
    <row r="163" spans="1:27" ht="18.75">
      <c r="A163" s="21"/>
      <c r="B163" s="30"/>
      <c r="C163" s="30"/>
      <c r="D163" s="31"/>
      <c r="E163" s="30"/>
      <c r="F163" s="30"/>
      <c r="G163" s="30"/>
      <c r="H163" s="30"/>
      <c r="I163" s="30"/>
      <c r="Q163" s="26"/>
      <c r="AA163" s="22"/>
    </row>
    <row r="164" spans="1:27" ht="18.75">
      <c r="A164" s="21"/>
      <c r="B164" s="30"/>
      <c r="C164" s="30"/>
      <c r="D164" s="31"/>
      <c r="E164" s="30"/>
      <c r="F164" s="30"/>
      <c r="G164" s="30"/>
      <c r="H164" s="30"/>
      <c r="I164" s="30"/>
      <c r="Q164" s="26"/>
      <c r="AA164" s="22"/>
    </row>
    <row r="165" spans="1:27" ht="18.75">
      <c r="A165" s="21"/>
      <c r="B165" s="30"/>
      <c r="C165" s="30"/>
      <c r="D165" s="31"/>
      <c r="E165" s="30"/>
      <c r="F165" s="30"/>
      <c r="G165" s="30"/>
      <c r="H165" s="30"/>
      <c r="I165" s="30"/>
      <c r="Q165" s="26"/>
      <c r="AA165" s="22"/>
    </row>
    <row r="166" spans="1:27" ht="18.75">
      <c r="A166" s="29"/>
      <c r="B166" s="30"/>
      <c r="C166" s="30"/>
      <c r="D166" s="31"/>
      <c r="E166" s="30"/>
      <c r="F166" s="30"/>
      <c r="G166" s="30"/>
      <c r="H166" s="30"/>
      <c r="I166" s="30"/>
      <c r="Q166" s="26"/>
      <c r="AA166" s="22"/>
    </row>
    <row r="167" spans="1:27" ht="18.75">
      <c r="A167" s="29"/>
      <c r="B167" s="30"/>
      <c r="C167" s="30"/>
      <c r="D167" s="31"/>
      <c r="E167" s="30"/>
      <c r="F167" s="30"/>
      <c r="G167" s="30"/>
      <c r="H167" s="30"/>
      <c r="I167" s="30"/>
      <c r="Q167" s="26"/>
    </row>
    <row r="168" spans="1:27" ht="18.75">
      <c r="A168" s="29"/>
      <c r="B168" s="30"/>
      <c r="C168" s="30"/>
      <c r="D168" s="31"/>
      <c r="E168" s="30"/>
      <c r="F168" s="30"/>
      <c r="G168" s="30"/>
      <c r="H168" s="30"/>
      <c r="I168" s="30"/>
      <c r="Q168" s="26"/>
    </row>
    <row r="169" spans="1:27" ht="18.75">
      <c r="A169" s="29"/>
      <c r="B169" s="30"/>
      <c r="C169" s="30"/>
      <c r="D169" s="31"/>
      <c r="E169" s="30"/>
      <c r="F169" s="30"/>
      <c r="G169" s="30"/>
      <c r="H169" s="30"/>
      <c r="I169" s="30"/>
      <c r="Q169" s="26"/>
    </row>
    <row r="170" spans="1:27" ht="18.75">
      <c r="A170" s="29"/>
      <c r="B170" s="30"/>
      <c r="C170" s="30"/>
      <c r="D170" s="31"/>
      <c r="E170" s="30"/>
      <c r="F170" s="30"/>
      <c r="G170" s="30"/>
      <c r="H170" s="30"/>
      <c r="I170" s="30"/>
      <c r="Q170" s="26"/>
    </row>
    <row r="171" spans="1:27" ht="18.75">
      <c r="A171" s="29"/>
      <c r="B171" s="30"/>
      <c r="C171" s="30"/>
      <c r="D171" s="31"/>
      <c r="E171" s="30"/>
      <c r="F171" s="30"/>
      <c r="G171" s="30"/>
      <c r="H171" s="30"/>
      <c r="I171" s="30"/>
      <c r="Q171" s="26"/>
    </row>
    <row r="172" spans="1:27" ht="18.75">
      <c r="A172" s="29"/>
      <c r="B172" s="30"/>
      <c r="C172" s="30"/>
      <c r="D172" s="31"/>
      <c r="E172" s="30"/>
      <c r="F172" s="30"/>
      <c r="G172" s="30"/>
      <c r="H172" s="30"/>
      <c r="I172" s="30"/>
      <c r="Q172" s="26"/>
    </row>
    <row r="173" spans="1:27" ht="18.75">
      <c r="A173" s="29"/>
      <c r="B173" s="30"/>
      <c r="C173" s="30"/>
      <c r="D173" s="31"/>
      <c r="E173" s="30"/>
      <c r="F173" s="30"/>
      <c r="G173" s="30"/>
      <c r="H173" s="30"/>
      <c r="I173" s="30"/>
      <c r="Q173" s="26"/>
    </row>
    <row r="174" spans="1:27" ht="18.75">
      <c r="A174" s="29"/>
      <c r="B174" s="30"/>
      <c r="C174" s="30"/>
      <c r="D174" s="31"/>
      <c r="E174" s="30"/>
      <c r="F174" s="30"/>
      <c r="G174" s="30"/>
      <c r="H174" s="30"/>
      <c r="I174" s="30"/>
      <c r="Q174" s="26"/>
    </row>
    <row r="175" spans="1:27" ht="18.75">
      <c r="A175" s="29"/>
      <c r="B175" s="30"/>
      <c r="C175" s="30"/>
      <c r="D175" s="31"/>
      <c r="E175" s="30"/>
      <c r="F175" s="30"/>
      <c r="G175" s="30"/>
      <c r="H175" s="30"/>
      <c r="I175" s="30"/>
      <c r="Q175" s="26"/>
    </row>
    <row r="176" spans="1:27" ht="18.75">
      <c r="A176" s="29"/>
      <c r="B176" s="30"/>
      <c r="C176" s="30"/>
      <c r="D176" s="31"/>
      <c r="E176" s="30"/>
      <c r="F176" s="30"/>
      <c r="G176" s="30"/>
      <c r="H176" s="30"/>
      <c r="I176" s="30"/>
      <c r="Q176" s="26"/>
    </row>
    <row r="177" spans="1:17" ht="18.75">
      <c r="A177" s="29"/>
      <c r="B177" s="30"/>
      <c r="C177" s="30"/>
      <c r="D177" s="31"/>
      <c r="E177" s="30"/>
      <c r="F177" s="30"/>
      <c r="G177" s="30"/>
      <c r="H177" s="30"/>
      <c r="I177" s="30"/>
      <c r="Q177" s="26"/>
    </row>
    <row r="178" spans="1:17" ht="18.75">
      <c r="A178" s="29"/>
      <c r="B178" s="30"/>
      <c r="C178" s="30"/>
      <c r="D178" s="31"/>
      <c r="E178" s="30"/>
      <c r="F178" s="30"/>
      <c r="G178" s="30"/>
      <c r="H178" s="30"/>
      <c r="I178" s="30"/>
      <c r="Q178" s="26"/>
    </row>
    <row r="179" spans="1:17" ht="18.75">
      <c r="A179" s="29"/>
      <c r="B179" s="30"/>
      <c r="C179" s="30"/>
      <c r="D179" s="31"/>
      <c r="E179" s="30"/>
      <c r="F179" s="30"/>
      <c r="G179" s="30"/>
      <c r="H179" s="30"/>
      <c r="I179" s="30"/>
      <c r="Q179" s="26"/>
    </row>
    <row r="180" spans="1:17" ht="18.75">
      <c r="A180" s="29"/>
      <c r="B180" s="30"/>
      <c r="C180" s="30"/>
      <c r="D180" s="31"/>
      <c r="E180" s="30"/>
      <c r="F180" s="30"/>
      <c r="G180" s="30"/>
      <c r="H180" s="30"/>
      <c r="I180" s="30"/>
      <c r="Q180" s="26"/>
    </row>
    <row r="181" spans="1:17" ht="18.75">
      <c r="A181" s="29"/>
      <c r="B181" s="30"/>
      <c r="C181" s="30"/>
      <c r="D181" s="31"/>
      <c r="E181" s="30"/>
      <c r="F181" s="30"/>
      <c r="G181" s="30"/>
      <c r="H181" s="30"/>
      <c r="I181" s="30"/>
      <c r="Q181" s="26"/>
    </row>
    <row r="182" spans="1:17" ht="18.75">
      <c r="A182" s="29"/>
      <c r="B182" s="30"/>
      <c r="C182" s="30"/>
      <c r="D182" s="31"/>
      <c r="E182" s="30"/>
      <c r="F182" s="30"/>
      <c r="G182" s="30"/>
      <c r="H182" s="30"/>
      <c r="I182" s="30"/>
      <c r="Q182" s="26"/>
    </row>
    <row r="183" spans="1:17" ht="18.75">
      <c r="A183" s="29"/>
      <c r="B183" s="30"/>
      <c r="C183" s="30"/>
      <c r="D183" s="31"/>
      <c r="E183" s="30"/>
      <c r="F183" s="30"/>
      <c r="G183" s="30"/>
      <c r="H183" s="30"/>
      <c r="I183" s="30"/>
      <c r="Q183" s="26"/>
    </row>
    <row r="184" spans="1:17" ht="18.75">
      <c r="A184" s="29"/>
      <c r="B184" s="30"/>
      <c r="C184" s="30"/>
      <c r="D184" s="31"/>
      <c r="E184" s="30"/>
      <c r="F184" s="30"/>
      <c r="G184" s="30"/>
      <c r="H184" s="30"/>
      <c r="I184" s="30"/>
      <c r="Q184" s="26"/>
    </row>
    <row r="185" spans="1:17" ht="18.75">
      <c r="A185" s="29"/>
      <c r="B185" s="30"/>
      <c r="C185" s="30"/>
      <c r="D185" s="31"/>
      <c r="E185" s="30"/>
      <c r="F185" s="30"/>
      <c r="G185" s="30"/>
      <c r="H185" s="30"/>
      <c r="I185" s="30"/>
      <c r="Q185" s="26"/>
    </row>
    <row r="186" spans="1:17" ht="18.75">
      <c r="A186" s="29"/>
      <c r="B186" s="30"/>
      <c r="C186" s="30"/>
      <c r="D186" s="31"/>
      <c r="E186" s="30"/>
      <c r="F186" s="30"/>
      <c r="G186" s="30"/>
      <c r="H186" s="30"/>
      <c r="I186" s="30"/>
      <c r="Q186" s="26"/>
    </row>
    <row r="187" spans="1:17" ht="18.75">
      <c r="A187" s="29"/>
      <c r="B187" s="30"/>
      <c r="C187" s="30"/>
      <c r="D187" s="31"/>
      <c r="E187" s="30"/>
      <c r="F187" s="30"/>
      <c r="G187" s="30"/>
      <c r="H187" s="30"/>
      <c r="I187" s="30"/>
      <c r="Q187" s="26"/>
    </row>
    <row r="188" spans="1:17" ht="18.75">
      <c r="A188" s="29"/>
      <c r="B188" s="30"/>
      <c r="C188" s="30"/>
      <c r="D188" s="31"/>
      <c r="E188" s="30"/>
      <c r="F188" s="30"/>
      <c r="G188" s="30"/>
      <c r="H188" s="30"/>
      <c r="I188" s="30"/>
      <c r="Q188" s="26"/>
    </row>
    <row r="189" spans="1:17" ht="18.75">
      <c r="A189" s="29"/>
      <c r="B189" s="30"/>
      <c r="C189" s="30"/>
      <c r="D189" s="31"/>
      <c r="E189" s="30"/>
      <c r="F189" s="30"/>
      <c r="G189" s="30"/>
      <c r="H189" s="30"/>
      <c r="I189" s="30"/>
      <c r="Q189" s="26"/>
    </row>
    <row r="190" spans="1:17" ht="18.75">
      <c r="A190" s="29"/>
      <c r="B190" s="30"/>
      <c r="C190" s="30"/>
      <c r="D190" s="31"/>
      <c r="E190" s="30"/>
      <c r="F190" s="30"/>
      <c r="G190" s="30"/>
      <c r="H190" s="30"/>
      <c r="I190" s="30"/>
      <c r="Q190" s="26"/>
    </row>
    <row r="191" spans="1:17" ht="18.75">
      <c r="A191" s="29"/>
      <c r="B191" s="30"/>
      <c r="C191" s="30"/>
      <c r="D191" s="31"/>
      <c r="E191" s="30"/>
      <c r="F191" s="30"/>
      <c r="G191" s="30"/>
      <c r="H191" s="30"/>
      <c r="I191" s="30"/>
      <c r="Q191" s="26"/>
    </row>
    <row r="192" spans="1:17" ht="18.75">
      <c r="A192" s="29"/>
      <c r="B192" s="30"/>
      <c r="C192" s="30"/>
      <c r="D192" s="31"/>
      <c r="E192" s="30"/>
      <c r="F192" s="30"/>
      <c r="G192" s="30"/>
      <c r="H192" s="30"/>
      <c r="I192" s="30"/>
      <c r="Q192" s="26"/>
    </row>
    <row r="193" spans="1:17" ht="18.75">
      <c r="A193" s="29"/>
      <c r="B193" s="30"/>
      <c r="C193" s="30"/>
      <c r="D193" s="31"/>
      <c r="E193" s="30"/>
      <c r="F193" s="30"/>
      <c r="G193" s="30"/>
      <c r="H193" s="30"/>
      <c r="I193" s="30"/>
      <c r="Q193" s="26"/>
    </row>
    <row r="194" spans="1:17" ht="18.75">
      <c r="A194" s="29"/>
      <c r="B194" s="30"/>
      <c r="C194" s="30"/>
      <c r="D194" s="31"/>
      <c r="E194" s="30"/>
      <c r="F194" s="30"/>
      <c r="G194" s="30"/>
      <c r="H194" s="30"/>
      <c r="I194" s="30"/>
      <c r="Q194" s="26"/>
    </row>
    <row r="195" spans="1:17" ht="18.75">
      <c r="A195" s="29"/>
      <c r="B195" s="30"/>
      <c r="C195" s="30"/>
      <c r="D195" s="31"/>
      <c r="E195" s="30"/>
      <c r="F195" s="30"/>
      <c r="G195" s="30"/>
      <c r="H195" s="30"/>
      <c r="I195" s="30"/>
      <c r="Q195" s="26"/>
    </row>
    <row r="196" spans="1:17" ht="18.75">
      <c r="A196" s="29"/>
      <c r="B196" s="30"/>
      <c r="C196" s="30"/>
      <c r="D196" s="31"/>
      <c r="E196" s="30"/>
      <c r="F196" s="30"/>
      <c r="G196" s="30"/>
      <c r="H196" s="30"/>
      <c r="I196" s="30"/>
      <c r="Q196" s="26"/>
    </row>
    <row r="197" spans="1:17" ht="18.75">
      <c r="A197" s="29"/>
      <c r="B197" s="30"/>
      <c r="C197" s="30"/>
      <c r="D197" s="31"/>
      <c r="E197" s="30"/>
      <c r="F197" s="30"/>
      <c r="G197" s="30"/>
      <c r="H197" s="30"/>
      <c r="I197" s="30"/>
      <c r="Q197" s="26"/>
    </row>
    <row r="198" spans="1:17" ht="18.75">
      <c r="A198" s="29"/>
      <c r="B198" s="30"/>
      <c r="C198" s="30"/>
      <c r="D198" s="31"/>
      <c r="E198" s="30"/>
      <c r="F198" s="30"/>
      <c r="G198" s="30"/>
      <c r="H198" s="30"/>
      <c r="I198" s="30"/>
      <c r="Q198" s="26"/>
    </row>
    <row r="199" spans="1:17" ht="18.75">
      <c r="A199" s="29"/>
      <c r="B199" s="30"/>
      <c r="C199" s="30"/>
      <c r="D199" s="31"/>
      <c r="E199" s="30"/>
      <c r="F199" s="30"/>
      <c r="G199" s="30"/>
      <c r="H199" s="30"/>
      <c r="I199" s="30"/>
      <c r="Q199" s="26"/>
    </row>
    <row r="200" spans="1:17" ht="18.75">
      <c r="A200" s="29"/>
      <c r="B200" s="30"/>
      <c r="C200" s="30"/>
      <c r="D200" s="31"/>
      <c r="E200" s="30"/>
      <c r="F200" s="30"/>
      <c r="G200" s="30"/>
      <c r="H200" s="30"/>
      <c r="I200" s="30"/>
      <c r="Q200" s="26"/>
    </row>
    <row r="201" spans="1:17" ht="18.75">
      <c r="A201" s="29"/>
      <c r="B201" s="30"/>
      <c r="C201" s="30"/>
      <c r="D201" s="31"/>
      <c r="E201" s="30"/>
      <c r="F201" s="30"/>
      <c r="G201" s="30"/>
      <c r="H201" s="30"/>
      <c r="I201" s="30"/>
      <c r="Q201" s="26"/>
    </row>
    <row r="202" spans="1:17" ht="18.75">
      <c r="A202" s="29"/>
      <c r="B202" s="30"/>
      <c r="C202" s="30"/>
      <c r="D202" s="31"/>
      <c r="E202" s="30"/>
      <c r="F202" s="30"/>
      <c r="G202" s="30"/>
      <c r="H202" s="30"/>
      <c r="I202" s="30"/>
      <c r="Q202" s="26"/>
    </row>
    <row r="203" spans="1:17" ht="18.75">
      <c r="A203" s="29"/>
      <c r="B203" s="30"/>
      <c r="C203" s="30"/>
      <c r="D203" s="31"/>
      <c r="E203" s="30"/>
      <c r="F203" s="30"/>
      <c r="G203" s="30"/>
      <c r="H203" s="30"/>
      <c r="I203" s="30"/>
      <c r="Q203" s="26"/>
    </row>
    <row r="204" spans="1:17" ht="18.75">
      <c r="A204" s="29"/>
      <c r="B204" s="30"/>
      <c r="C204" s="30"/>
      <c r="D204" s="31"/>
      <c r="E204" s="30"/>
      <c r="F204" s="30"/>
      <c r="G204" s="30"/>
      <c r="H204" s="30"/>
      <c r="I204" s="30"/>
      <c r="Q204" s="26"/>
    </row>
    <row r="205" spans="1:17" ht="18.75">
      <c r="A205" s="29"/>
      <c r="B205" s="30"/>
      <c r="C205" s="30"/>
      <c r="D205" s="31"/>
      <c r="E205" s="30"/>
      <c r="F205" s="30"/>
      <c r="G205" s="30"/>
      <c r="H205" s="30"/>
      <c r="I205" s="30"/>
      <c r="Q205" s="26"/>
    </row>
    <row r="206" spans="1:17" ht="18.75">
      <c r="A206" s="29"/>
      <c r="B206" s="30"/>
      <c r="C206" s="30"/>
      <c r="D206" s="31"/>
      <c r="E206" s="30"/>
      <c r="F206" s="30"/>
      <c r="G206" s="30"/>
      <c r="H206" s="30"/>
      <c r="I206" s="30"/>
      <c r="Q206" s="26"/>
    </row>
    <row r="207" spans="1:17" ht="18.75">
      <c r="A207" s="29"/>
      <c r="B207" s="30"/>
      <c r="C207" s="30"/>
      <c r="D207" s="31"/>
      <c r="E207" s="30"/>
      <c r="F207" s="30"/>
      <c r="G207" s="30"/>
      <c r="H207" s="30"/>
      <c r="I207" s="30"/>
      <c r="Q207" s="26"/>
    </row>
    <row r="208" spans="1:17" ht="18.75">
      <c r="A208" s="29"/>
      <c r="B208" s="30"/>
      <c r="C208" s="30"/>
      <c r="D208" s="31"/>
      <c r="E208" s="30"/>
      <c r="F208" s="30"/>
      <c r="G208" s="30"/>
      <c r="H208" s="30"/>
      <c r="I208" s="30"/>
      <c r="Q208" s="26"/>
    </row>
    <row r="209" spans="1:17" ht="18.75">
      <c r="A209" s="29"/>
      <c r="B209" s="30"/>
      <c r="C209" s="30"/>
      <c r="D209" s="31"/>
      <c r="E209" s="30"/>
      <c r="F209" s="30"/>
      <c r="G209" s="30"/>
      <c r="H209" s="30"/>
      <c r="I209" s="30"/>
      <c r="Q209" s="26"/>
    </row>
    <row r="210" spans="1:17" ht="18.75">
      <c r="A210" s="29"/>
      <c r="B210" s="30"/>
      <c r="C210" s="30"/>
      <c r="D210" s="31"/>
      <c r="E210" s="30"/>
      <c r="F210" s="30"/>
      <c r="G210" s="30"/>
      <c r="H210" s="30"/>
      <c r="I210" s="30"/>
      <c r="Q210" s="26"/>
    </row>
    <row r="211" spans="1:17" ht="18.75">
      <c r="A211" s="29"/>
      <c r="B211" s="30"/>
      <c r="C211" s="30"/>
      <c r="D211" s="31"/>
      <c r="E211" s="30"/>
      <c r="F211" s="30"/>
      <c r="G211" s="30"/>
      <c r="H211" s="30"/>
      <c r="I211" s="30"/>
      <c r="Q211" s="26"/>
    </row>
    <row r="212" spans="1:17" ht="18.75">
      <c r="A212" s="29"/>
      <c r="B212" s="30"/>
      <c r="C212" s="30"/>
      <c r="D212" s="31"/>
      <c r="E212" s="30"/>
      <c r="F212" s="30"/>
      <c r="G212" s="30"/>
      <c r="H212" s="30"/>
      <c r="I212" s="30"/>
      <c r="Q212" s="26"/>
    </row>
    <row r="213" spans="1:17" ht="18.75">
      <c r="A213" s="29"/>
      <c r="B213" s="30"/>
      <c r="C213" s="30"/>
      <c r="D213" s="31"/>
      <c r="E213" s="30"/>
      <c r="F213" s="30"/>
      <c r="G213" s="30"/>
      <c r="H213" s="30"/>
      <c r="I213" s="30"/>
      <c r="Q213" s="26"/>
    </row>
    <row r="214" spans="1:17" ht="18.75">
      <c r="A214" s="29"/>
      <c r="B214" s="30"/>
      <c r="C214" s="30"/>
      <c r="D214" s="31"/>
      <c r="E214" s="30"/>
      <c r="F214" s="30"/>
      <c r="G214" s="30"/>
      <c r="H214" s="30"/>
      <c r="I214" s="30"/>
      <c r="Q214" s="26"/>
    </row>
    <row r="215" spans="1:17" ht="18.75">
      <c r="A215" s="29"/>
      <c r="B215" s="30"/>
      <c r="C215" s="30"/>
      <c r="D215" s="31"/>
      <c r="E215" s="30"/>
      <c r="F215" s="30"/>
      <c r="G215" s="30"/>
      <c r="H215" s="30"/>
      <c r="I215" s="30"/>
      <c r="Q215" s="26"/>
    </row>
    <row r="216" spans="1:17" ht="18.75">
      <c r="A216" s="29"/>
      <c r="B216" s="30"/>
      <c r="C216" s="30"/>
      <c r="D216" s="31"/>
      <c r="E216" s="30"/>
      <c r="F216" s="30"/>
      <c r="G216" s="30"/>
      <c r="H216" s="30"/>
      <c r="I216" s="30"/>
      <c r="Q216" s="26"/>
    </row>
    <row r="217" spans="1:17" ht="18.75">
      <c r="A217" s="29"/>
      <c r="B217" s="30"/>
      <c r="C217" s="30"/>
      <c r="D217" s="31"/>
      <c r="E217" s="30"/>
      <c r="F217" s="30"/>
      <c r="G217" s="30"/>
      <c r="H217" s="30"/>
      <c r="I217" s="30"/>
      <c r="Q217" s="26"/>
    </row>
    <row r="218" spans="1:17" ht="18.75">
      <c r="A218" s="29"/>
      <c r="B218" s="30"/>
      <c r="C218" s="30"/>
      <c r="D218" s="31"/>
      <c r="E218" s="30"/>
      <c r="F218" s="30"/>
      <c r="G218" s="30"/>
      <c r="H218" s="30"/>
      <c r="I218" s="30"/>
      <c r="Q218" s="26"/>
    </row>
    <row r="219" spans="1:17" ht="18.75">
      <c r="A219" s="29"/>
      <c r="B219" s="30"/>
      <c r="C219" s="30"/>
      <c r="D219" s="31"/>
      <c r="E219" s="30"/>
      <c r="F219" s="30"/>
      <c r="G219" s="30"/>
      <c r="H219" s="30"/>
      <c r="I219" s="30"/>
      <c r="Q219" s="26"/>
    </row>
    <row r="220" spans="1:17" ht="18.75">
      <c r="A220" s="29"/>
      <c r="B220" s="30"/>
      <c r="C220" s="30"/>
      <c r="D220" s="31"/>
      <c r="E220" s="30"/>
      <c r="F220" s="30"/>
      <c r="G220" s="30"/>
      <c r="H220" s="30"/>
      <c r="I220" s="30"/>
      <c r="Q220" s="26"/>
    </row>
    <row r="221" spans="1:17" ht="18.75">
      <c r="A221" s="29"/>
      <c r="B221" s="30"/>
      <c r="C221" s="30"/>
      <c r="D221" s="31"/>
      <c r="E221" s="30"/>
      <c r="F221" s="30"/>
      <c r="G221" s="30"/>
      <c r="H221" s="30"/>
      <c r="I221" s="30"/>
      <c r="Q221" s="26"/>
    </row>
    <row r="222" spans="1:17" ht="18.75">
      <c r="A222" s="29"/>
      <c r="B222" s="30"/>
      <c r="C222" s="30"/>
      <c r="D222" s="31"/>
      <c r="E222" s="30"/>
      <c r="F222" s="30"/>
      <c r="G222" s="30"/>
      <c r="H222" s="30"/>
      <c r="I222" s="30"/>
      <c r="Q222" s="26"/>
    </row>
    <row r="223" spans="1:17" ht="18.75">
      <c r="A223" s="29"/>
      <c r="B223" s="30"/>
      <c r="C223" s="30"/>
      <c r="D223" s="31"/>
      <c r="E223" s="30"/>
      <c r="F223" s="30"/>
      <c r="G223" s="30"/>
      <c r="H223" s="30"/>
      <c r="I223" s="30"/>
      <c r="Q223" s="26"/>
    </row>
    <row r="224" spans="1:17" ht="18.75">
      <c r="A224" s="29"/>
      <c r="B224" s="30"/>
      <c r="C224" s="30"/>
      <c r="D224" s="31"/>
      <c r="E224" s="30"/>
      <c r="F224" s="30"/>
      <c r="G224" s="30"/>
      <c r="H224" s="30"/>
      <c r="I224" s="30"/>
      <c r="Q224" s="26"/>
    </row>
    <row r="225" spans="1:17" ht="18.75">
      <c r="A225" s="29"/>
      <c r="B225" s="30"/>
      <c r="C225" s="30"/>
      <c r="D225" s="31"/>
      <c r="E225" s="30"/>
      <c r="F225" s="30"/>
      <c r="G225" s="30"/>
      <c r="H225" s="30"/>
      <c r="I225" s="30"/>
      <c r="Q225" s="26"/>
    </row>
    <row r="226" spans="1:17" ht="18.75">
      <c r="A226" s="29"/>
      <c r="B226" s="30"/>
      <c r="C226" s="30"/>
      <c r="D226" s="31"/>
      <c r="E226" s="30"/>
      <c r="F226" s="30"/>
      <c r="G226" s="30"/>
      <c r="H226" s="30"/>
      <c r="I226" s="30"/>
      <c r="Q226" s="26"/>
    </row>
    <row r="227" spans="1:17" ht="18.75">
      <c r="A227" s="29"/>
      <c r="B227" s="30"/>
      <c r="C227" s="30"/>
      <c r="D227" s="31"/>
      <c r="E227" s="30"/>
      <c r="F227" s="30"/>
      <c r="G227" s="30"/>
      <c r="H227" s="30"/>
      <c r="I227" s="30"/>
      <c r="Q227" s="26"/>
    </row>
    <row r="228" spans="1:17" ht="18.75">
      <c r="A228" s="29"/>
      <c r="B228" s="30"/>
      <c r="C228" s="30"/>
      <c r="D228" s="31"/>
      <c r="E228" s="30"/>
      <c r="F228" s="30"/>
      <c r="G228" s="30"/>
      <c r="H228" s="30"/>
      <c r="I228" s="30"/>
      <c r="Q228" s="26"/>
    </row>
    <row r="229" spans="1:17" ht="18.75">
      <c r="A229" s="29"/>
      <c r="B229" s="30"/>
      <c r="C229" s="30"/>
      <c r="D229" s="31"/>
      <c r="E229" s="30"/>
      <c r="F229" s="30"/>
      <c r="G229" s="30"/>
      <c r="H229" s="30"/>
      <c r="I229" s="30"/>
      <c r="Q229" s="26"/>
    </row>
    <row r="230" spans="1:17" ht="18.75">
      <c r="A230" s="29"/>
      <c r="B230" s="30"/>
      <c r="C230" s="30"/>
      <c r="D230" s="31"/>
      <c r="E230" s="30"/>
      <c r="F230" s="30"/>
      <c r="G230" s="30"/>
      <c r="H230" s="30"/>
      <c r="I230" s="30"/>
      <c r="Q230" s="26"/>
    </row>
    <row r="231" spans="1:17" ht="18.75">
      <c r="A231" s="29"/>
      <c r="B231" s="30"/>
      <c r="C231" s="30"/>
      <c r="D231" s="31"/>
      <c r="E231" s="30"/>
      <c r="F231" s="30"/>
      <c r="G231" s="30"/>
      <c r="H231" s="30"/>
      <c r="I231" s="30"/>
      <c r="Q231" s="26"/>
    </row>
    <row r="232" spans="1:17" ht="18.75">
      <c r="A232" s="29"/>
      <c r="B232" s="30"/>
      <c r="C232" s="30"/>
      <c r="D232" s="31"/>
      <c r="E232" s="30"/>
      <c r="F232" s="30"/>
      <c r="G232" s="30"/>
      <c r="H232" s="30"/>
      <c r="I232" s="30"/>
      <c r="Q232" s="26"/>
    </row>
    <row r="233" spans="1:17" ht="18.75">
      <c r="A233" s="29"/>
      <c r="B233" s="30"/>
      <c r="C233" s="30"/>
      <c r="D233" s="31"/>
      <c r="E233" s="30"/>
      <c r="F233" s="30"/>
      <c r="G233" s="30"/>
      <c r="H233" s="30"/>
      <c r="I233" s="30"/>
      <c r="Q233" s="26"/>
    </row>
    <row r="234" spans="1:17" ht="18.75">
      <c r="A234" s="29"/>
      <c r="B234" s="30"/>
      <c r="C234" s="30"/>
      <c r="D234" s="31"/>
      <c r="E234" s="30"/>
      <c r="F234" s="30"/>
      <c r="G234" s="30"/>
      <c r="H234" s="30"/>
      <c r="I234" s="30"/>
      <c r="Q234" s="26"/>
    </row>
    <row r="235" spans="1:17" ht="18.75">
      <c r="A235" s="29"/>
      <c r="B235" s="30"/>
      <c r="C235" s="30"/>
      <c r="D235" s="31"/>
      <c r="E235" s="30"/>
      <c r="F235" s="30"/>
      <c r="G235" s="30"/>
      <c r="H235" s="30"/>
      <c r="I235" s="30"/>
      <c r="Q235" s="26"/>
    </row>
    <row r="236" spans="1:17" ht="18.75">
      <c r="A236" s="29"/>
      <c r="B236" s="30"/>
      <c r="C236" s="30"/>
      <c r="D236" s="31"/>
      <c r="E236" s="30"/>
      <c r="F236" s="30"/>
      <c r="G236" s="30"/>
      <c r="H236" s="30"/>
      <c r="I236" s="30"/>
      <c r="Q236" s="26"/>
    </row>
    <row r="237" spans="1:17" ht="18.75">
      <c r="A237" s="29"/>
      <c r="B237" s="30"/>
      <c r="C237" s="30"/>
      <c r="D237" s="31"/>
      <c r="E237" s="30"/>
      <c r="F237" s="30"/>
      <c r="G237" s="30"/>
      <c r="H237" s="30"/>
      <c r="I237" s="30"/>
      <c r="Q237" s="26"/>
    </row>
    <row r="238" spans="1:17" ht="18.75">
      <c r="A238" s="29"/>
      <c r="B238" s="30"/>
      <c r="C238" s="30"/>
      <c r="D238" s="31"/>
      <c r="E238" s="30"/>
      <c r="F238" s="30"/>
      <c r="G238" s="30"/>
      <c r="H238" s="30"/>
      <c r="I238" s="30"/>
      <c r="Q238" s="26"/>
    </row>
    <row r="239" spans="1:17" ht="18.75">
      <c r="A239" s="29"/>
      <c r="B239" s="30"/>
      <c r="C239" s="30"/>
      <c r="D239" s="31"/>
      <c r="E239" s="30"/>
      <c r="F239" s="30"/>
      <c r="G239" s="30"/>
      <c r="H239" s="30"/>
      <c r="I239" s="30"/>
      <c r="Q239" s="26"/>
    </row>
    <row r="240" spans="1:17" ht="18.75">
      <c r="A240" s="29"/>
      <c r="B240" s="30"/>
      <c r="C240" s="30"/>
      <c r="D240" s="31"/>
      <c r="E240" s="30"/>
      <c r="F240" s="30"/>
      <c r="G240" s="30"/>
      <c r="H240" s="30"/>
      <c r="I240" s="30"/>
      <c r="Q240" s="26"/>
    </row>
    <row r="241" spans="1:17" ht="18.75">
      <c r="A241" s="29"/>
      <c r="B241" s="30"/>
      <c r="C241" s="30"/>
      <c r="D241" s="31"/>
      <c r="E241" s="30"/>
      <c r="F241" s="30"/>
      <c r="G241" s="30"/>
      <c r="H241" s="30"/>
      <c r="I241" s="30"/>
      <c r="Q241" s="26"/>
    </row>
    <row r="242" spans="1:17" ht="18.75">
      <c r="A242" s="29"/>
      <c r="B242" s="30"/>
      <c r="C242" s="30"/>
      <c r="D242" s="31"/>
      <c r="E242" s="30"/>
      <c r="F242" s="30"/>
      <c r="G242" s="30"/>
      <c r="H242" s="30"/>
      <c r="I242" s="30"/>
      <c r="Q242" s="26"/>
    </row>
    <row r="243" spans="1:17" ht="18.75">
      <c r="A243" s="29"/>
      <c r="B243" s="30"/>
      <c r="C243" s="30"/>
      <c r="D243" s="31"/>
      <c r="E243" s="30"/>
      <c r="F243" s="30"/>
      <c r="G243" s="30"/>
      <c r="H243" s="30"/>
      <c r="I243" s="30"/>
      <c r="Q243" s="26"/>
    </row>
    <row r="244" spans="1:17" ht="18.75">
      <c r="A244" s="29"/>
      <c r="B244" s="30"/>
      <c r="C244" s="30"/>
      <c r="D244" s="31"/>
      <c r="E244" s="30"/>
      <c r="F244" s="30"/>
      <c r="G244" s="30"/>
      <c r="H244" s="30"/>
      <c r="I244" s="30"/>
      <c r="Q244" s="26"/>
    </row>
    <row r="245" spans="1:17" ht="18.75">
      <c r="A245" s="29"/>
      <c r="B245" s="30"/>
      <c r="C245" s="30"/>
      <c r="D245" s="31"/>
      <c r="E245" s="30"/>
      <c r="F245" s="30"/>
      <c r="G245" s="30"/>
      <c r="H245" s="30"/>
      <c r="I245" s="30"/>
      <c r="Q245" s="26"/>
    </row>
    <row r="246" spans="1:17" ht="18.75">
      <c r="A246" s="29"/>
      <c r="B246" s="30"/>
      <c r="C246" s="30"/>
      <c r="D246" s="31"/>
      <c r="E246" s="30"/>
      <c r="F246" s="30"/>
      <c r="G246" s="30"/>
      <c r="H246" s="30"/>
      <c r="I246" s="30"/>
      <c r="Q246" s="26"/>
    </row>
    <row r="247" spans="1:17" ht="18.75">
      <c r="A247" s="29"/>
      <c r="B247" s="30"/>
      <c r="C247" s="30"/>
      <c r="D247" s="31"/>
      <c r="E247" s="30"/>
      <c r="F247" s="30"/>
      <c r="G247" s="30"/>
      <c r="H247" s="30"/>
      <c r="I247" s="30"/>
      <c r="Q247" s="26"/>
    </row>
    <row r="248" spans="1:17" ht="18.75">
      <c r="A248" s="29"/>
      <c r="B248" s="30"/>
      <c r="C248" s="30"/>
      <c r="D248" s="31"/>
      <c r="E248" s="30"/>
      <c r="F248" s="30"/>
      <c r="G248" s="30"/>
      <c r="H248" s="30"/>
      <c r="I248" s="30"/>
      <c r="Q248" s="26"/>
    </row>
    <row r="249" spans="1:17" ht="18.75">
      <c r="A249" s="29"/>
      <c r="B249" s="30"/>
      <c r="C249" s="30"/>
      <c r="D249" s="31"/>
      <c r="E249" s="30"/>
      <c r="F249" s="30"/>
      <c r="G249" s="30"/>
      <c r="H249" s="30"/>
      <c r="I249" s="30"/>
      <c r="Q249" s="26"/>
    </row>
    <row r="250" spans="1:17" ht="18.75">
      <c r="A250" s="29"/>
      <c r="B250" s="30"/>
      <c r="C250" s="30"/>
      <c r="D250" s="31"/>
      <c r="E250" s="30"/>
      <c r="F250" s="30"/>
      <c r="G250" s="30"/>
      <c r="H250" s="30"/>
      <c r="I250" s="30"/>
      <c r="Q250" s="26"/>
    </row>
    <row r="251" spans="1:17" ht="18.75">
      <c r="A251" s="29"/>
      <c r="B251" s="30"/>
      <c r="C251" s="30"/>
      <c r="D251" s="31"/>
      <c r="E251" s="30"/>
      <c r="F251" s="30"/>
      <c r="G251" s="30"/>
      <c r="H251" s="30"/>
      <c r="I251" s="30"/>
      <c r="Q251" s="26"/>
    </row>
    <row r="252" spans="1:17" ht="18.75">
      <c r="A252" s="29"/>
      <c r="B252" s="30"/>
      <c r="C252" s="30"/>
      <c r="D252" s="31"/>
      <c r="E252" s="30"/>
      <c r="F252" s="30"/>
      <c r="G252" s="30"/>
      <c r="H252" s="30"/>
      <c r="I252" s="30"/>
      <c r="Q252" s="26"/>
    </row>
    <row r="253" spans="1:17" ht="18.75">
      <c r="A253" s="29"/>
      <c r="B253" s="30"/>
      <c r="C253" s="30"/>
      <c r="D253" s="31"/>
      <c r="E253" s="30"/>
      <c r="F253" s="30"/>
      <c r="G253" s="30"/>
      <c r="H253" s="30"/>
      <c r="I253" s="30"/>
      <c r="Q253" s="26"/>
    </row>
    <row r="254" spans="1:17" ht="18.75">
      <c r="A254" s="29"/>
      <c r="B254" s="30"/>
      <c r="C254" s="30"/>
      <c r="D254" s="31"/>
      <c r="E254" s="30"/>
      <c r="F254" s="30"/>
      <c r="G254" s="30"/>
      <c r="H254" s="30"/>
      <c r="I254" s="30"/>
      <c r="Q254" s="26"/>
    </row>
    <row r="255" spans="1:17" ht="18.75">
      <c r="A255" s="29"/>
      <c r="B255" s="30"/>
      <c r="C255" s="30"/>
      <c r="D255" s="31"/>
      <c r="E255" s="30"/>
      <c r="F255" s="30"/>
      <c r="G255" s="30"/>
      <c r="H255" s="30"/>
      <c r="I255" s="30"/>
      <c r="Q255" s="26"/>
    </row>
    <row r="256" spans="1:17" ht="18.75">
      <c r="A256" s="29"/>
      <c r="B256" s="30"/>
      <c r="C256" s="30"/>
      <c r="D256" s="31"/>
      <c r="E256" s="30"/>
      <c r="F256" s="30"/>
      <c r="G256" s="30"/>
      <c r="H256" s="30"/>
      <c r="I256" s="30"/>
      <c r="Q256" s="26"/>
    </row>
    <row r="257" spans="1:17" ht="18.75">
      <c r="A257" s="29"/>
      <c r="B257" s="30"/>
      <c r="C257" s="30"/>
      <c r="D257" s="31"/>
      <c r="E257" s="30"/>
      <c r="F257" s="30"/>
      <c r="G257" s="30"/>
      <c r="H257" s="30"/>
      <c r="I257" s="30"/>
      <c r="Q257" s="26"/>
    </row>
    <row r="258" spans="1:17" ht="18.75">
      <c r="A258" s="29"/>
      <c r="B258" s="30"/>
      <c r="C258" s="30"/>
      <c r="D258" s="31"/>
      <c r="E258" s="30"/>
      <c r="F258" s="30"/>
      <c r="G258" s="30"/>
      <c r="H258" s="30"/>
      <c r="I258" s="30"/>
      <c r="Q258" s="26"/>
    </row>
    <row r="259" spans="1:17" ht="18.75">
      <c r="A259" s="29"/>
      <c r="B259" s="30"/>
      <c r="C259" s="30"/>
      <c r="D259" s="31"/>
      <c r="E259" s="30"/>
      <c r="F259" s="30"/>
      <c r="G259" s="30"/>
      <c r="H259" s="30"/>
      <c r="I259" s="30"/>
      <c r="Q259" s="26"/>
    </row>
    <row r="260" spans="1:17" ht="18.75">
      <c r="A260" s="29"/>
      <c r="B260" s="30"/>
      <c r="C260" s="30"/>
      <c r="D260" s="31"/>
      <c r="E260" s="30"/>
      <c r="F260" s="30"/>
      <c r="G260" s="30"/>
      <c r="H260" s="30"/>
      <c r="I260" s="30"/>
      <c r="Q260" s="26"/>
    </row>
    <row r="261" spans="1:17" ht="18.75">
      <c r="A261" s="29"/>
      <c r="B261" s="30"/>
      <c r="C261" s="30"/>
      <c r="D261" s="31"/>
      <c r="E261" s="30"/>
      <c r="F261" s="30"/>
      <c r="G261" s="30"/>
      <c r="H261" s="30"/>
      <c r="I261" s="30"/>
      <c r="Q261" s="26"/>
    </row>
    <row r="262" spans="1:17" ht="18.75">
      <c r="A262" s="29"/>
      <c r="B262" s="30"/>
      <c r="C262" s="30"/>
      <c r="D262" s="31"/>
      <c r="E262" s="30"/>
      <c r="F262" s="30"/>
      <c r="G262" s="30"/>
      <c r="H262" s="30"/>
      <c r="I262" s="30"/>
      <c r="Q262" s="26"/>
    </row>
    <row r="263" spans="1:17" ht="18.75">
      <c r="A263" s="29"/>
      <c r="B263" s="30"/>
      <c r="C263" s="30"/>
      <c r="D263" s="31"/>
      <c r="E263" s="30"/>
      <c r="F263" s="30"/>
      <c r="G263" s="30"/>
      <c r="H263" s="30"/>
      <c r="I263" s="30"/>
      <c r="Q263" s="26"/>
    </row>
    <row r="264" spans="1:17" ht="18.75">
      <c r="A264" s="29"/>
      <c r="B264" s="30"/>
      <c r="C264" s="30"/>
      <c r="D264" s="31"/>
      <c r="E264" s="30"/>
      <c r="F264" s="30"/>
      <c r="G264" s="30"/>
      <c r="H264" s="30"/>
      <c r="I264" s="30"/>
      <c r="Q264" s="26"/>
    </row>
    <row r="265" spans="1:17" ht="18.75">
      <c r="A265" s="29"/>
      <c r="B265" s="30"/>
      <c r="C265" s="30"/>
      <c r="D265" s="31"/>
      <c r="E265" s="30"/>
      <c r="F265" s="30"/>
      <c r="G265" s="30"/>
      <c r="H265" s="30"/>
      <c r="I265" s="30"/>
      <c r="Q265" s="26"/>
    </row>
    <row r="266" spans="1:17" ht="18.75">
      <c r="A266" s="29"/>
      <c r="B266" s="30"/>
      <c r="C266" s="30"/>
      <c r="D266" s="31"/>
      <c r="E266" s="30"/>
      <c r="F266" s="30"/>
      <c r="G266" s="30"/>
      <c r="H266" s="30"/>
      <c r="I266" s="30"/>
      <c r="Q266" s="26"/>
    </row>
    <row r="267" spans="1:17" ht="18.75">
      <c r="A267" s="29"/>
      <c r="B267" s="30"/>
      <c r="C267" s="30"/>
      <c r="D267" s="31"/>
      <c r="E267" s="30"/>
      <c r="F267" s="30"/>
      <c r="G267" s="30"/>
      <c r="H267" s="30"/>
      <c r="I267" s="30"/>
      <c r="Q267" s="26"/>
    </row>
    <row r="268" spans="1:17" ht="18.75">
      <c r="A268" s="29"/>
      <c r="B268" s="30"/>
      <c r="C268" s="30"/>
      <c r="D268" s="31"/>
      <c r="E268" s="30"/>
      <c r="F268" s="30"/>
      <c r="G268" s="30"/>
      <c r="H268" s="30"/>
      <c r="I268" s="30"/>
      <c r="Q268" s="26"/>
    </row>
    <row r="269" spans="1:17" ht="18.75">
      <c r="A269" s="29"/>
      <c r="B269" s="30"/>
      <c r="C269" s="30"/>
      <c r="D269" s="31"/>
      <c r="E269" s="30"/>
      <c r="F269" s="30"/>
      <c r="G269" s="30"/>
      <c r="H269" s="30"/>
      <c r="I269" s="30"/>
      <c r="Q269" s="26"/>
    </row>
    <row r="270" spans="1:17" ht="18.75">
      <c r="A270" s="29"/>
      <c r="B270" s="30"/>
      <c r="C270" s="30"/>
      <c r="D270" s="31"/>
      <c r="E270" s="30"/>
      <c r="F270" s="30"/>
      <c r="G270" s="30"/>
      <c r="H270" s="30"/>
      <c r="I270" s="30"/>
      <c r="Q270" s="26"/>
    </row>
    <row r="271" spans="1:17" ht="18.75">
      <c r="A271" s="29"/>
      <c r="B271" s="30"/>
      <c r="C271" s="30"/>
      <c r="D271" s="31"/>
      <c r="E271" s="30"/>
      <c r="F271" s="30"/>
      <c r="G271" s="30"/>
      <c r="H271" s="30"/>
      <c r="I271" s="30"/>
      <c r="Q271" s="26"/>
    </row>
    <row r="272" spans="1:17" ht="18.75">
      <c r="A272" s="29"/>
      <c r="B272" s="30"/>
      <c r="C272" s="30"/>
      <c r="D272" s="31"/>
      <c r="E272" s="30"/>
      <c r="F272" s="30"/>
      <c r="G272" s="30"/>
      <c r="H272" s="30"/>
      <c r="I272" s="30"/>
      <c r="Q272" s="26"/>
    </row>
    <row r="273" spans="1:17" ht="18.75">
      <c r="A273" s="29"/>
      <c r="B273" s="30"/>
      <c r="C273" s="30"/>
      <c r="D273" s="31"/>
      <c r="E273" s="30"/>
      <c r="F273" s="30"/>
      <c r="G273" s="30"/>
      <c r="H273" s="30"/>
      <c r="I273" s="30"/>
      <c r="Q273" s="26"/>
    </row>
    <row r="274" spans="1:17" ht="18.75">
      <c r="A274" s="29"/>
      <c r="B274" s="30"/>
      <c r="C274" s="30"/>
      <c r="D274" s="31"/>
      <c r="E274" s="30"/>
      <c r="F274" s="30"/>
      <c r="G274" s="30"/>
      <c r="H274" s="30"/>
      <c r="I274" s="30"/>
      <c r="Q274" s="26"/>
    </row>
    <row r="275" spans="1:17" ht="18.75">
      <c r="A275" s="29"/>
      <c r="B275" s="30"/>
      <c r="C275" s="30"/>
      <c r="D275" s="31"/>
      <c r="E275" s="30"/>
      <c r="F275" s="30"/>
      <c r="G275" s="30"/>
      <c r="H275" s="30"/>
      <c r="I275" s="30"/>
      <c r="Q275" s="26"/>
    </row>
    <row r="276" spans="1:17" ht="18.75">
      <c r="A276" s="29"/>
      <c r="B276" s="30"/>
      <c r="C276" s="30"/>
      <c r="D276" s="31"/>
      <c r="E276" s="30"/>
      <c r="F276" s="30"/>
      <c r="G276" s="30"/>
      <c r="H276" s="30"/>
      <c r="I276" s="30"/>
      <c r="Q276" s="26"/>
    </row>
    <row r="277" spans="1:17" ht="18.75">
      <c r="A277" s="29"/>
      <c r="B277" s="30"/>
      <c r="C277" s="30"/>
      <c r="D277" s="31"/>
      <c r="E277" s="30"/>
      <c r="F277" s="30"/>
      <c r="G277" s="30"/>
      <c r="H277" s="30"/>
      <c r="I277" s="30"/>
      <c r="Q277" s="26"/>
    </row>
    <row r="278" spans="1:17" ht="18.75">
      <c r="A278" s="29"/>
      <c r="B278" s="30"/>
      <c r="C278" s="30"/>
      <c r="D278" s="31"/>
      <c r="E278" s="30"/>
      <c r="F278" s="30"/>
      <c r="G278" s="30"/>
      <c r="H278" s="30"/>
      <c r="I278" s="30"/>
      <c r="Q278" s="26"/>
    </row>
    <row r="279" spans="1:17" ht="18.75">
      <c r="A279" s="29"/>
      <c r="B279" s="30"/>
      <c r="C279" s="30"/>
      <c r="D279" s="31"/>
      <c r="E279" s="30"/>
      <c r="F279" s="30"/>
      <c r="G279" s="30"/>
      <c r="H279" s="30"/>
      <c r="I279" s="30"/>
      <c r="Q279" s="26"/>
    </row>
    <row r="280" spans="1:17" ht="18.75">
      <c r="A280" s="29"/>
      <c r="B280" s="30"/>
      <c r="C280" s="30"/>
      <c r="D280" s="31"/>
      <c r="E280" s="30"/>
      <c r="F280" s="30"/>
      <c r="G280" s="30"/>
      <c r="H280" s="30"/>
      <c r="I280" s="30"/>
      <c r="Q280" s="26"/>
    </row>
    <row r="281" spans="1:17" ht="18.75">
      <c r="A281" s="29"/>
      <c r="B281" s="30"/>
      <c r="C281" s="30"/>
      <c r="D281" s="31"/>
      <c r="E281" s="30"/>
      <c r="F281" s="30"/>
      <c r="G281" s="30"/>
      <c r="H281" s="30"/>
      <c r="I281" s="30"/>
      <c r="Q281" s="26"/>
    </row>
    <row r="282" spans="1:17" ht="18.75">
      <c r="A282" s="29"/>
      <c r="B282" s="30"/>
      <c r="C282" s="30"/>
      <c r="D282" s="31"/>
      <c r="E282" s="30"/>
      <c r="F282" s="30"/>
      <c r="G282" s="30"/>
      <c r="H282" s="30"/>
      <c r="I282" s="30"/>
      <c r="Q282" s="26"/>
    </row>
    <row r="283" spans="1:17" ht="18.75">
      <c r="A283" s="29"/>
      <c r="B283" s="30"/>
      <c r="C283" s="30"/>
      <c r="D283" s="31"/>
      <c r="E283" s="30"/>
      <c r="F283" s="30"/>
      <c r="G283" s="30"/>
      <c r="H283" s="30"/>
      <c r="I283" s="30"/>
      <c r="Q283" s="26"/>
    </row>
    <row r="284" spans="1:17" ht="18.75">
      <c r="A284" s="29"/>
      <c r="B284" s="30"/>
      <c r="C284" s="30"/>
      <c r="D284" s="31"/>
      <c r="E284" s="30"/>
      <c r="F284" s="30"/>
      <c r="G284" s="30"/>
      <c r="H284" s="30"/>
      <c r="I284" s="30"/>
      <c r="Q284" s="26"/>
    </row>
    <row r="285" spans="1:17" ht="18.75">
      <c r="A285" s="29"/>
      <c r="B285" s="30"/>
      <c r="C285" s="30"/>
      <c r="D285" s="31"/>
      <c r="E285" s="30"/>
      <c r="F285" s="30"/>
      <c r="G285" s="30"/>
      <c r="H285" s="30"/>
      <c r="I285" s="30"/>
      <c r="Q285" s="26"/>
    </row>
    <row r="286" spans="1:17" ht="18.75">
      <c r="A286" s="29"/>
      <c r="B286" s="30"/>
      <c r="C286" s="30"/>
      <c r="D286" s="31"/>
      <c r="E286" s="30"/>
      <c r="F286" s="30"/>
      <c r="G286" s="30"/>
      <c r="H286" s="30"/>
      <c r="I286" s="30"/>
      <c r="Q286" s="26"/>
    </row>
    <row r="287" spans="1:17" ht="18.75">
      <c r="A287" s="29"/>
      <c r="B287" s="30"/>
      <c r="C287" s="30"/>
      <c r="D287" s="31"/>
      <c r="E287" s="30"/>
      <c r="F287" s="30"/>
      <c r="G287" s="30"/>
      <c r="H287" s="30"/>
      <c r="I287" s="30"/>
      <c r="Q287" s="26"/>
    </row>
    <row r="288" spans="1:17" ht="18.75">
      <c r="A288" s="29"/>
      <c r="B288" s="30"/>
      <c r="C288" s="30"/>
      <c r="D288" s="31"/>
      <c r="E288" s="30"/>
      <c r="F288" s="30"/>
      <c r="G288" s="30"/>
      <c r="H288" s="30"/>
      <c r="I288" s="30"/>
      <c r="Q288" s="26"/>
    </row>
    <row r="289" spans="1:17" ht="18.75">
      <c r="A289" s="29"/>
      <c r="B289" s="30"/>
      <c r="C289" s="30"/>
      <c r="D289" s="31"/>
      <c r="E289" s="30"/>
      <c r="F289" s="30"/>
      <c r="G289" s="30"/>
      <c r="H289" s="30"/>
      <c r="I289" s="30"/>
      <c r="Q289" s="26"/>
    </row>
    <row r="290" spans="1:17" ht="18.75">
      <c r="A290" s="29"/>
      <c r="B290" s="30"/>
      <c r="C290" s="30"/>
      <c r="D290" s="31"/>
      <c r="E290" s="30"/>
      <c r="F290" s="30"/>
      <c r="G290" s="30"/>
      <c r="H290" s="30"/>
      <c r="I290" s="30"/>
      <c r="Q290" s="26"/>
    </row>
    <row r="291" spans="1:17" ht="18.75">
      <c r="A291" s="29"/>
      <c r="B291" s="30"/>
      <c r="C291" s="30"/>
      <c r="D291" s="31"/>
      <c r="E291" s="30"/>
      <c r="F291" s="30"/>
      <c r="G291" s="30"/>
      <c r="H291" s="30"/>
      <c r="I291" s="30"/>
      <c r="Q291" s="26"/>
    </row>
    <row r="292" spans="1:17" ht="18.75">
      <c r="A292" s="29"/>
      <c r="B292" s="30"/>
      <c r="C292" s="30"/>
      <c r="D292" s="31"/>
      <c r="E292" s="30"/>
      <c r="F292" s="30"/>
      <c r="G292" s="30"/>
      <c r="H292" s="30"/>
      <c r="I292" s="30"/>
      <c r="Q292" s="26"/>
    </row>
    <row r="293" spans="1:17" ht="18.75">
      <c r="A293" s="29"/>
      <c r="B293" s="30"/>
      <c r="C293" s="30"/>
      <c r="D293" s="31"/>
      <c r="E293" s="30"/>
      <c r="F293" s="30"/>
      <c r="G293" s="30"/>
      <c r="H293" s="30"/>
      <c r="I293" s="30"/>
      <c r="Q293" s="26"/>
    </row>
    <row r="294" spans="1:17" ht="18.75">
      <c r="A294" s="29"/>
      <c r="B294" s="30"/>
      <c r="C294" s="30"/>
      <c r="D294" s="31"/>
      <c r="E294" s="30"/>
      <c r="F294" s="30"/>
      <c r="G294" s="30"/>
      <c r="H294" s="30"/>
      <c r="I294" s="30"/>
      <c r="Q294" s="26"/>
    </row>
    <row r="295" spans="1:17" ht="18.75">
      <c r="A295" s="29"/>
      <c r="B295" s="30"/>
      <c r="C295" s="30"/>
      <c r="D295" s="31"/>
      <c r="E295" s="30"/>
      <c r="F295" s="30"/>
      <c r="G295" s="30"/>
      <c r="H295" s="30"/>
      <c r="I295" s="30"/>
      <c r="Q295" s="26"/>
    </row>
    <row r="296" spans="1:17" ht="18.75">
      <c r="A296" s="29"/>
      <c r="B296" s="30"/>
      <c r="C296" s="30"/>
      <c r="D296" s="31"/>
      <c r="E296" s="30"/>
      <c r="F296" s="30"/>
      <c r="G296" s="30"/>
      <c r="H296" s="30"/>
      <c r="I296" s="30"/>
      <c r="Q296" s="26"/>
    </row>
    <row r="297" spans="1:17" ht="18.75">
      <c r="A297" s="29"/>
      <c r="B297" s="30"/>
      <c r="C297" s="30"/>
      <c r="D297" s="31"/>
      <c r="E297" s="30"/>
      <c r="F297" s="30"/>
      <c r="G297" s="30"/>
      <c r="H297" s="30"/>
      <c r="I297" s="30"/>
      <c r="Q297" s="26"/>
    </row>
    <row r="298" spans="1:17" ht="18.75">
      <c r="A298" s="29"/>
      <c r="B298" s="30"/>
      <c r="C298" s="30"/>
      <c r="D298" s="31"/>
      <c r="E298" s="30"/>
      <c r="F298" s="30"/>
      <c r="G298" s="30"/>
      <c r="H298" s="30"/>
      <c r="I298" s="30"/>
      <c r="Q298" s="26"/>
    </row>
    <row r="299" spans="1:17" ht="18.75">
      <c r="A299" s="29"/>
      <c r="B299" s="30"/>
      <c r="C299" s="30"/>
      <c r="D299" s="31"/>
      <c r="E299" s="30"/>
      <c r="F299" s="30"/>
      <c r="G299" s="30"/>
      <c r="H299" s="30"/>
      <c r="I299" s="30"/>
      <c r="Q299" s="26"/>
    </row>
    <row r="300" spans="1:17" ht="18.75">
      <c r="A300" s="29"/>
      <c r="B300" s="30"/>
      <c r="C300" s="30"/>
      <c r="D300" s="31"/>
      <c r="E300" s="30"/>
      <c r="F300" s="30"/>
      <c r="G300" s="30"/>
      <c r="H300" s="30"/>
      <c r="I300" s="30"/>
      <c r="Q300" s="26"/>
    </row>
    <row r="301" spans="1:17" ht="18.75">
      <c r="A301" s="29"/>
      <c r="B301" s="30"/>
      <c r="C301" s="30"/>
      <c r="D301" s="31"/>
      <c r="E301" s="30"/>
      <c r="F301" s="30"/>
      <c r="G301" s="30"/>
      <c r="H301" s="30"/>
      <c r="I301" s="30"/>
      <c r="Q301" s="26"/>
    </row>
    <row r="302" spans="1:17" ht="18.75">
      <c r="A302" s="29"/>
      <c r="B302" s="30"/>
      <c r="C302" s="30"/>
      <c r="D302" s="31"/>
      <c r="E302" s="30"/>
      <c r="F302" s="30"/>
      <c r="G302" s="30"/>
      <c r="H302" s="30"/>
      <c r="I302" s="30"/>
      <c r="Q302" s="26"/>
    </row>
    <row r="303" spans="1:17" ht="18.75">
      <c r="A303" s="29"/>
      <c r="B303" s="30"/>
      <c r="C303" s="30"/>
      <c r="D303" s="31"/>
      <c r="E303" s="30"/>
      <c r="F303" s="30"/>
      <c r="G303" s="30"/>
      <c r="H303" s="30"/>
      <c r="I303" s="30"/>
      <c r="Q303" s="26"/>
    </row>
    <row r="304" spans="1:17" ht="18.75">
      <c r="A304" s="29"/>
      <c r="B304" s="30"/>
      <c r="C304" s="30"/>
      <c r="D304" s="31"/>
      <c r="E304" s="30"/>
      <c r="F304" s="30"/>
      <c r="G304" s="30"/>
      <c r="H304" s="30"/>
      <c r="I304" s="30"/>
      <c r="Q304" s="26"/>
    </row>
    <row r="305" spans="1:17" ht="18.75">
      <c r="A305" s="29"/>
      <c r="B305" s="30"/>
      <c r="C305" s="30"/>
      <c r="D305" s="31"/>
      <c r="E305" s="30"/>
      <c r="F305" s="30"/>
      <c r="G305" s="30"/>
      <c r="H305" s="30"/>
      <c r="I305" s="30"/>
      <c r="Q305" s="26"/>
    </row>
    <row r="306" spans="1:17" ht="18.75">
      <c r="A306" s="29"/>
      <c r="B306" s="30"/>
      <c r="C306" s="30"/>
      <c r="D306" s="31"/>
      <c r="E306" s="30"/>
      <c r="F306" s="30"/>
      <c r="G306" s="30"/>
      <c r="H306" s="30"/>
      <c r="I306" s="30"/>
      <c r="Q306" s="26"/>
    </row>
    <row r="307" spans="1:17" ht="18.75">
      <c r="A307" s="29"/>
      <c r="B307" s="30"/>
      <c r="C307" s="30"/>
      <c r="D307" s="31"/>
      <c r="E307" s="30"/>
      <c r="F307" s="30"/>
      <c r="G307" s="30"/>
      <c r="H307" s="30"/>
      <c r="I307" s="30"/>
      <c r="Q307" s="26"/>
    </row>
    <row r="308" spans="1:17" ht="18.75">
      <c r="A308" s="29"/>
      <c r="B308" s="30"/>
      <c r="C308" s="30"/>
      <c r="D308" s="31"/>
      <c r="E308" s="30"/>
      <c r="F308" s="30"/>
      <c r="G308" s="30"/>
      <c r="H308" s="30"/>
      <c r="I308" s="30"/>
      <c r="Q308" s="26"/>
    </row>
    <row r="309" spans="1:17" ht="18.75">
      <c r="A309" s="29"/>
      <c r="B309" s="30"/>
      <c r="C309" s="30"/>
      <c r="D309" s="31"/>
      <c r="E309" s="30"/>
      <c r="F309" s="30"/>
      <c r="G309" s="30"/>
      <c r="H309" s="30"/>
      <c r="I309" s="30"/>
      <c r="Q309" s="26"/>
    </row>
    <row r="310" spans="1:17" ht="18.75">
      <c r="A310" s="29"/>
      <c r="B310" s="30"/>
      <c r="C310" s="30"/>
      <c r="D310" s="31"/>
      <c r="E310" s="30"/>
      <c r="F310" s="30"/>
      <c r="G310" s="30"/>
      <c r="H310" s="30"/>
      <c r="I310" s="30"/>
      <c r="Q310" s="26"/>
    </row>
    <row r="311" spans="1:17" ht="18.75">
      <c r="A311" s="29"/>
      <c r="B311" s="30"/>
      <c r="C311" s="30"/>
      <c r="D311" s="31"/>
      <c r="E311" s="30"/>
      <c r="F311" s="30"/>
      <c r="G311" s="30"/>
      <c r="H311" s="30"/>
      <c r="I311" s="30"/>
      <c r="Q311" s="26"/>
    </row>
    <row r="312" spans="1:17" ht="18.75">
      <c r="A312" s="29"/>
      <c r="B312" s="30"/>
      <c r="C312" s="30"/>
      <c r="D312" s="31"/>
      <c r="E312" s="30"/>
      <c r="F312" s="30"/>
      <c r="G312" s="30"/>
      <c r="H312" s="30"/>
      <c r="I312" s="30"/>
      <c r="Q312" s="26"/>
    </row>
    <row r="313" spans="1:17" ht="18.75">
      <c r="A313" s="29"/>
      <c r="B313" s="30"/>
      <c r="C313" s="30"/>
      <c r="D313" s="31"/>
      <c r="E313" s="30"/>
      <c r="F313" s="30"/>
      <c r="G313" s="30"/>
      <c r="H313" s="30"/>
      <c r="I313" s="30"/>
      <c r="Q313" s="26"/>
    </row>
    <row r="314" spans="1:17" ht="18.75">
      <c r="A314" s="29"/>
      <c r="B314" s="30"/>
      <c r="C314" s="30"/>
      <c r="D314" s="31"/>
      <c r="E314" s="30"/>
      <c r="F314" s="30"/>
      <c r="G314" s="30"/>
      <c r="H314" s="30"/>
      <c r="I314" s="30"/>
      <c r="Q314" s="26"/>
    </row>
    <row r="315" spans="1:17" ht="18.75">
      <c r="A315" s="29"/>
      <c r="B315" s="30"/>
      <c r="C315" s="30"/>
      <c r="D315" s="31"/>
      <c r="E315" s="30"/>
      <c r="F315" s="30"/>
      <c r="G315" s="30"/>
      <c r="H315" s="30"/>
      <c r="I315" s="30"/>
      <c r="Q315" s="26"/>
    </row>
    <row r="316" spans="1:17" ht="18.75">
      <c r="A316" s="29"/>
      <c r="B316" s="30"/>
      <c r="C316" s="30"/>
      <c r="D316" s="31"/>
      <c r="E316" s="30"/>
      <c r="F316" s="30"/>
      <c r="G316" s="30"/>
      <c r="H316" s="30"/>
      <c r="I316" s="30"/>
      <c r="Q316" s="26"/>
    </row>
    <row r="317" spans="1:17" ht="18.75">
      <c r="A317" s="29"/>
      <c r="B317" s="30"/>
      <c r="C317" s="30"/>
      <c r="D317" s="31"/>
      <c r="E317" s="30"/>
      <c r="F317" s="30"/>
      <c r="G317" s="30"/>
      <c r="H317" s="30"/>
      <c r="I317" s="30"/>
      <c r="Q317" s="26"/>
    </row>
    <row r="318" spans="1:17" ht="18.75">
      <c r="A318" s="29"/>
      <c r="B318" s="30"/>
      <c r="C318" s="30"/>
      <c r="D318" s="31"/>
      <c r="E318" s="30"/>
      <c r="F318" s="30"/>
      <c r="G318" s="30"/>
      <c r="H318" s="30"/>
      <c r="I318" s="30"/>
      <c r="Q318" s="26"/>
    </row>
    <row r="319" spans="1:17" ht="18.75">
      <c r="A319" s="29"/>
      <c r="B319" s="30"/>
      <c r="C319" s="30"/>
      <c r="D319" s="31"/>
      <c r="E319" s="30"/>
      <c r="F319" s="30"/>
      <c r="G319" s="30"/>
      <c r="H319" s="30"/>
      <c r="I319" s="30"/>
      <c r="Q319" s="26"/>
    </row>
    <row r="320" spans="1:17" ht="18.75">
      <c r="A320" s="29"/>
      <c r="B320" s="30"/>
      <c r="C320" s="30"/>
      <c r="D320" s="31"/>
      <c r="E320" s="30"/>
      <c r="F320" s="30"/>
      <c r="G320" s="30"/>
      <c r="H320" s="30"/>
      <c r="I320" s="30"/>
      <c r="Q320" s="26"/>
    </row>
    <row r="321" spans="1:17" ht="18.75">
      <c r="A321" s="29"/>
      <c r="B321" s="30"/>
      <c r="C321" s="30"/>
      <c r="D321" s="31"/>
      <c r="E321" s="30"/>
      <c r="F321" s="30"/>
      <c r="G321" s="30"/>
      <c r="H321" s="30"/>
      <c r="I321" s="30"/>
      <c r="Q321" s="26"/>
    </row>
    <row r="322" spans="1:17" ht="18.75">
      <c r="A322" s="29"/>
      <c r="B322" s="30"/>
      <c r="C322" s="30"/>
      <c r="D322" s="31"/>
      <c r="E322" s="30"/>
      <c r="F322" s="30"/>
      <c r="G322" s="30"/>
      <c r="H322" s="30"/>
      <c r="I322" s="30"/>
      <c r="Q322" s="26"/>
    </row>
    <row r="323" spans="1:17" ht="18.75">
      <c r="A323" s="29"/>
      <c r="B323" s="30"/>
      <c r="C323" s="30"/>
      <c r="D323" s="31"/>
      <c r="E323" s="30"/>
      <c r="F323" s="30"/>
      <c r="G323" s="30"/>
      <c r="H323" s="30"/>
      <c r="I323" s="30"/>
      <c r="Q323" s="26"/>
    </row>
    <row r="324" spans="1:17" ht="18.75">
      <c r="A324" s="29"/>
      <c r="B324" s="30"/>
      <c r="C324" s="30"/>
      <c r="D324" s="31"/>
      <c r="E324" s="30"/>
      <c r="F324" s="30"/>
      <c r="G324" s="30"/>
      <c r="H324" s="30"/>
      <c r="I324" s="30"/>
      <c r="Q324" s="26"/>
    </row>
    <row r="325" spans="1:17" ht="18.75">
      <c r="A325" s="29"/>
      <c r="B325" s="30"/>
      <c r="C325" s="30"/>
      <c r="D325" s="31"/>
      <c r="E325" s="30"/>
      <c r="F325" s="30"/>
      <c r="G325" s="30"/>
      <c r="H325" s="30"/>
      <c r="I325" s="30"/>
      <c r="Q325" s="26"/>
    </row>
    <row r="326" spans="1:17" ht="18.75">
      <c r="A326" s="29"/>
      <c r="B326" s="30"/>
      <c r="C326" s="30"/>
      <c r="D326" s="31"/>
      <c r="E326" s="30"/>
      <c r="F326" s="30"/>
      <c r="G326" s="30"/>
      <c r="H326" s="30"/>
      <c r="I326" s="30"/>
      <c r="Q326" s="26"/>
    </row>
    <row r="327" spans="1:17" ht="18.75">
      <c r="A327" s="29"/>
      <c r="B327" s="30"/>
      <c r="C327" s="30"/>
      <c r="D327" s="31"/>
      <c r="E327" s="30"/>
      <c r="F327" s="30"/>
      <c r="G327" s="30"/>
      <c r="H327" s="30"/>
      <c r="I327" s="30"/>
      <c r="Q327" s="26"/>
    </row>
    <row r="328" spans="1:17" ht="18.75">
      <c r="A328" s="29"/>
      <c r="B328" s="30"/>
      <c r="C328" s="30"/>
      <c r="D328" s="31"/>
      <c r="E328" s="30"/>
      <c r="F328" s="30"/>
      <c r="G328" s="30"/>
      <c r="H328" s="30"/>
      <c r="I328" s="30"/>
      <c r="Q328" s="26"/>
    </row>
    <row r="329" spans="1:17" ht="18.75">
      <c r="A329" s="29"/>
      <c r="B329" s="30"/>
      <c r="C329" s="30"/>
      <c r="D329" s="31"/>
      <c r="E329" s="30"/>
      <c r="F329" s="30"/>
      <c r="G329" s="30"/>
      <c r="H329" s="30"/>
      <c r="I329" s="30"/>
      <c r="Q329" s="26"/>
    </row>
    <row r="330" spans="1:17" ht="18.75">
      <c r="A330" s="29"/>
      <c r="B330" s="30"/>
      <c r="C330" s="30"/>
      <c r="D330" s="31"/>
      <c r="E330" s="30"/>
      <c r="F330" s="30"/>
      <c r="G330" s="30"/>
      <c r="H330" s="30"/>
      <c r="I330" s="30"/>
      <c r="Q330" s="26"/>
    </row>
    <row r="331" spans="1:17" ht="18.75">
      <c r="A331" s="29"/>
      <c r="B331" s="30"/>
      <c r="C331" s="30"/>
      <c r="D331" s="31"/>
      <c r="E331" s="30"/>
      <c r="F331" s="30"/>
      <c r="G331" s="30"/>
      <c r="H331" s="30"/>
      <c r="I331" s="30"/>
      <c r="Q331" s="26"/>
    </row>
    <row r="332" spans="1:17" ht="18.75">
      <c r="A332" s="29"/>
      <c r="B332" s="30"/>
      <c r="C332" s="30"/>
      <c r="D332" s="31"/>
      <c r="E332" s="30"/>
      <c r="F332" s="30"/>
      <c r="G332" s="30"/>
      <c r="H332" s="30"/>
      <c r="I332" s="30"/>
      <c r="Q332" s="26"/>
    </row>
    <row r="333" spans="1:17" ht="18.75">
      <c r="A333" s="29"/>
      <c r="B333" s="30"/>
      <c r="C333" s="30"/>
      <c r="D333" s="31"/>
      <c r="E333" s="30"/>
      <c r="F333" s="30"/>
      <c r="G333" s="30"/>
      <c r="H333" s="30"/>
      <c r="I333" s="30"/>
      <c r="Q333" s="26"/>
    </row>
    <row r="334" spans="1:17" ht="18.75">
      <c r="A334" s="29"/>
      <c r="B334" s="30"/>
      <c r="C334" s="30"/>
      <c r="D334" s="31"/>
      <c r="E334" s="30"/>
      <c r="F334" s="30"/>
      <c r="G334" s="30"/>
      <c r="H334" s="30"/>
      <c r="I334" s="30"/>
      <c r="Q334" s="26"/>
    </row>
    <row r="335" spans="1:17" ht="18.75">
      <c r="A335" s="29"/>
      <c r="B335" s="30"/>
      <c r="C335" s="30"/>
      <c r="D335" s="31"/>
      <c r="E335" s="30"/>
      <c r="F335" s="30"/>
      <c r="G335" s="30"/>
      <c r="H335" s="30"/>
      <c r="I335" s="30"/>
      <c r="Q335" s="26"/>
    </row>
    <row r="336" spans="1:17" ht="18.75">
      <c r="A336" s="29"/>
      <c r="B336" s="30"/>
      <c r="C336" s="30"/>
      <c r="D336" s="31"/>
      <c r="E336" s="30"/>
      <c r="F336" s="30"/>
      <c r="G336" s="30"/>
      <c r="H336" s="30"/>
      <c r="I336" s="30"/>
    </row>
    <row r="337" spans="1:9" ht="18.75">
      <c r="A337" s="29"/>
      <c r="B337" s="30"/>
      <c r="C337" s="30"/>
      <c r="D337" s="31"/>
      <c r="E337" s="30"/>
      <c r="F337" s="30"/>
      <c r="G337" s="30"/>
      <c r="H337" s="30"/>
      <c r="I337" s="30"/>
    </row>
    <row r="338" spans="1:9" ht="18.75">
      <c r="A338" s="29"/>
      <c r="B338" s="30"/>
      <c r="C338" s="30"/>
      <c r="D338" s="31"/>
      <c r="E338" s="30"/>
      <c r="F338" s="30"/>
      <c r="G338" s="30"/>
      <c r="H338" s="30"/>
      <c r="I338" s="30"/>
    </row>
    <row r="339" spans="1:9" ht="18.75">
      <c r="A339" s="29"/>
      <c r="B339" s="30"/>
      <c r="C339" s="30"/>
      <c r="D339" s="31"/>
      <c r="E339" s="30"/>
      <c r="F339" s="30"/>
      <c r="G339" s="30"/>
      <c r="H339" s="30"/>
      <c r="I339" s="30"/>
    </row>
    <row r="340" spans="1:9" ht="18.75">
      <c r="A340" s="29"/>
      <c r="B340" s="30"/>
      <c r="C340" s="30"/>
      <c r="D340" s="31"/>
      <c r="E340" s="30"/>
      <c r="F340" s="30"/>
      <c r="G340" s="30"/>
      <c r="H340" s="30"/>
      <c r="I340" s="30"/>
    </row>
    <row r="341" spans="1:9" ht="18.75">
      <c r="A341" s="29"/>
      <c r="B341" s="30"/>
      <c r="C341" s="30"/>
      <c r="D341" s="31"/>
      <c r="E341" s="30"/>
      <c r="F341" s="30"/>
      <c r="G341" s="30"/>
      <c r="H341" s="30"/>
      <c r="I341" s="30"/>
    </row>
    <row r="342" spans="1:9" ht="18.75">
      <c r="A342" s="29"/>
      <c r="B342" s="30"/>
      <c r="C342" s="30"/>
      <c r="D342" s="31"/>
      <c r="E342" s="30"/>
      <c r="F342" s="30"/>
      <c r="G342" s="30"/>
      <c r="H342" s="30"/>
      <c r="I342" s="30"/>
    </row>
    <row r="343" spans="1:9" ht="18.75">
      <c r="A343" s="29"/>
      <c r="B343" s="30"/>
      <c r="C343" s="30"/>
      <c r="D343" s="31"/>
      <c r="E343" s="30"/>
      <c r="F343" s="30"/>
      <c r="G343" s="30"/>
      <c r="H343" s="30"/>
      <c r="I343" s="30"/>
    </row>
    <row r="344" spans="1:9" ht="18.75">
      <c r="A344" s="29"/>
      <c r="B344" s="30"/>
      <c r="C344" s="30"/>
      <c r="D344" s="31"/>
      <c r="E344" s="30"/>
      <c r="F344" s="30"/>
      <c r="G344" s="30"/>
      <c r="H344" s="30"/>
      <c r="I344" s="30"/>
    </row>
    <row r="345" spans="1:9" ht="18.75">
      <c r="A345" s="29"/>
      <c r="B345" s="30"/>
      <c r="C345" s="30"/>
      <c r="D345" s="31"/>
      <c r="E345" s="30"/>
      <c r="F345" s="30"/>
      <c r="G345" s="30"/>
      <c r="H345" s="30"/>
      <c r="I345" s="30"/>
    </row>
    <row r="346" spans="1:9" ht="18.75">
      <c r="A346" s="29"/>
      <c r="B346" s="30"/>
      <c r="C346" s="30"/>
      <c r="D346" s="31"/>
      <c r="E346" s="30"/>
      <c r="F346" s="30"/>
      <c r="G346" s="30"/>
      <c r="H346" s="30"/>
      <c r="I346" s="30"/>
    </row>
    <row r="347" spans="1:9" ht="18.75">
      <c r="A347" s="29"/>
      <c r="B347" s="30"/>
      <c r="C347" s="30"/>
      <c r="D347" s="31"/>
      <c r="E347" s="30"/>
      <c r="F347" s="30"/>
      <c r="G347" s="30"/>
      <c r="H347" s="30"/>
      <c r="I347" s="30"/>
    </row>
    <row r="348" spans="1:9" ht="18.75">
      <c r="A348" s="29"/>
      <c r="B348" s="30"/>
      <c r="C348" s="30"/>
      <c r="D348" s="31"/>
      <c r="E348" s="30"/>
      <c r="F348" s="30"/>
      <c r="G348" s="30"/>
      <c r="H348" s="30"/>
      <c r="I348" s="30"/>
    </row>
    <row r="349" spans="1:9" ht="18.75">
      <c r="A349" s="29"/>
      <c r="B349" s="30"/>
      <c r="C349" s="30"/>
      <c r="D349" s="31"/>
      <c r="E349" s="30"/>
      <c r="F349" s="30"/>
      <c r="G349" s="30"/>
      <c r="H349" s="30"/>
      <c r="I349" s="30"/>
    </row>
    <row r="350" spans="1:9" ht="18.75">
      <c r="A350" s="29"/>
      <c r="B350" s="30"/>
      <c r="C350" s="30"/>
      <c r="D350" s="31"/>
      <c r="E350" s="30"/>
      <c r="F350" s="30"/>
      <c r="G350" s="30"/>
      <c r="H350" s="30"/>
      <c r="I350" s="30"/>
    </row>
    <row r="351" spans="1:9" ht="18.75">
      <c r="A351" s="29"/>
      <c r="B351" s="30"/>
      <c r="C351" s="30"/>
      <c r="D351" s="31"/>
      <c r="E351" s="30"/>
      <c r="F351" s="30"/>
      <c r="G351" s="30"/>
      <c r="H351" s="30"/>
      <c r="I351" s="30"/>
    </row>
    <row r="352" spans="1:9" ht="18.75">
      <c r="A352" s="29"/>
      <c r="B352" s="30"/>
      <c r="C352" s="30"/>
      <c r="D352" s="31"/>
      <c r="E352" s="30"/>
      <c r="F352" s="30"/>
      <c r="G352" s="30"/>
      <c r="H352" s="30"/>
      <c r="I352" s="30"/>
    </row>
    <row r="353" spans="1:9" ht="18.75">
      <c r="A353" s="29"/>
      <c r="B353" s="30"/>
      <c r="C353" s="30"/>
      <c r="D353" s="31"/>
      <c r="E353" s="30"/>
      <c r="F353" s="30"/>
      <c r="G353" s="30"/>
      <c r="H353" s="30"/>
      <c r="I353" s="30"/>
    </row>
    <row r="354" spans="1:9" ht="18.75">
      <c r="A354" s="29"/>
      <c r="B354" s="30"/>
      <c r="C354" s="30"/>
      <c r="D354" s="31"/>
      <c r="E354" s="30"/>
      <c r="F354" s="30"/>
      <c r="G354" s="30"/>
      <c r="H354" s="30"/>
      <c r="I354" s="30"/>
    </row>
    <row r="355" spans="1:9" ht="18.75">
      <c r="A355" s="29"/>
      <c r="B355" s="30"/>
      <c r="C355" s="30"/>
      <c r="D355" s="31"/>
      <c r="E355" s="30"/>
      <c r="F355" s="30"/>
      <c r="G355" s="30"/>
      <c r="H355" s="30"/>
      <c r="I355" s="30"/>
    </row>
    <row r="356" spans="1:9" ht="18.75">
      <c r="A356" s="29"/>
      <c r="B356" s="30"/>
      <c r="C356" s="30"/>
      <c r="D356" s="31"/>
      <c r="E356" s="30"/>
      <c r="F356" s="30"/>
      <c r="G356" s="30"/>
      <c r="H356" s="30"/>
      <c r="I356" s="30"/>
    </row>
    <row r="357" spans="1:9" ht="18.75">
      <c r="A357" s="29"/>
      <c r="B357" s="30"/>
      <c r="C357" s="30"/>
      <c r="D357" s="31"/>
      <c r="E357" s="30"/>
      <c r="F357" s="30"/>
      <c r="G357" s="30"/>
      <c r="H357" s="30"/>
      <c r="I357" s="30"/>
    </row>
    <row r="358" spans="1:9" ht="18.75">
      <c r="A358" s="29"/>
      <c r="B358" s="30"/>
      <c r="C358" s="30"/>
      <c r="D358" s="31"/>
      <c r="E358" s="30"/>
      <c r="F358" s="30"/>
      <c r="G358" s="30"/>
      <c r="H358" s="30"/>
      <c r="I358" s="30"/>
    </row>
    <row r="359" spans="1:9" ht="18.75">
      <c r="A359" s="29"/>
      <c r="B359" s="30"/>
      <c r="C359" s="30"/>
      <c r="D359" s="31"/>
      <c r="E359" s="30"/>
      <c r="F359" s="30"/>
      <c r="G359" s="30"/>
      <c r="H359" s="30"/>
      <c r="I359" s="30"/>
    </row>
    <row r="360" spans="1:9" ht="18.75">
      <c r="A360" s="29"/>
      <c r="B360" s="30"/>
      <c r="C360" s="30"/>
      <c r="D360" s="31"/>
      <c r="E360" s="30"/>
      <c r="F360" s="30"/>
      <c r="G360" s="30"/>
      <c r="H360" s="30"/>
      <c r="I360" s="30"/>
    </row>
    <row r="361" spans="1:9" ht="18.75">
      <c r="A361" s="29"/>
      <c r="B361" s="30"/>
      <c r="C361" s="30"/>
      <c r="D361" s="31"/>
      <c r="E361" s="30"/>
      <c r="F361" s="30"/>
      <c r="G361" s="30"/>
      <c r="H361" s="30"/>
      <c r="I361" s="30"/>
    </row>
    <row r="362" spans="1:9" ht="18.75">
      <c r="A362" s="29"/>
      <c r="B362" s="30"/>
      <c r="C362" s="30"/>
      <c r="D362" s="31"/>
      <c r="E362" s="30"/>
      <c r="F362" s="30"/>
      <c r="G362" s="30"/>
      <c r="H362" s="30"/>
      <c r="I362" s="30"/>
    </row>
    <row r="363" spans="1:9" ht="18.75">
      <c r="A363" s="29"/>
      <c r="B363" s="30"/>
      <c r="C363" s="30"/>
      <c r="D363" s="31"/>
      <c r="E363" s="30"/>
      <c r="F363" s="30"/>
      <c r="G363" s="30"/>
      <c r="H363" s="30"/>
      <c r="I363" s="30"/>
    </row>
    <row r="364" spans="1:9" ht="18.75">
      <c r="A364" s="29"/>
      <c r="B364" s="30"/>
      <c r="C364" s="30"/>
      <c r="D364" s="31"/>
      <c r="E364" s="30"/>
      <c r="F364" s="30"/>
      <c r="G364" s="30"/>
      <c r="H364" s="30"/>
      <c r="I364" s="30"/>
    </row>
    <row r="365" spans="1:9" ht="18.75">
      <c r="A365" s="29"/>
      <c r="B365" s="30"/>
      <c r="C365" s="30"/>
      <c r="D365" s="31"/>
      <c r="E365" s="30"/>
      <c r="F365" s="30"/>
      <c r="G365" s="30"/>
      <c r="H365" s="30"/>
      <c r="I365" s="30"/>
    </row>
    <row r="366" spans="1:9" ht="18.75">
      <c r="A366" s="29"/>
      <c r="B366" s="30"/>
      <c r="C366" s="30"/>
      <c r="D366" s="31"/>
      <c r="E366" s="30"/>
      <c r="F366" s="30"/>
      <c r="G366" s="30"/>
      <c r="H366" s="30"/>
      <c r="I366" s="30"/>
    </row>
    <row r="367" spans="1:9" ht="18.75">
      <c r="A367" s="29"/>
      <c r="B367" s="30"/>
      <c r="C367" s="30"/>
      <c r="D367" s="31"/>
      <c r="E367" s="30"/>
      <c r="F367" s="30"/>
      <c r="G367" s="30"/>
      <c r="H367" s="30"/>
      <c r="I367" s="30"/>
    </row>
    <row r="368" spans="1:9" ht="18.75">
      <c r="A368" s="29"/>
      <c r="B368" s="30"/>
      <c r="C368" s="30"/>
      <c r="D368" s="31"/>
      <c r="E368" s="30"/>
      <c r="F368" s="30"/>
      <c r="G368" s="30"/>
      <c r="H368" s="30"/>
      <c r="I368" s="30"/>
    </row>
    <row r="369" spans="1:9" ht="18.75">
      <c r="A369" s="29"/>
      <c r="B369" s="30"/>
      <c r="C369" s="30"/>
      <c r="D369" s="31"/>
      <c r="E369" s="30"/>
      <c r="F369" s="30"/>
      <c r="G369" s="30"/>
      <c r="H369" s="30"/>
      <c r="I369" s="30"/>
    </row>
    <row r="370" spans="1:9" ht="18.75">
      <c r="A370" s="29"/>
      <c r="B370" s="30"/>
      <c r="C370" s="30"/>
      <c r="D370" s="31"/>
      <c r="E370" s="30"/>
      <c r="F370" s="30"/>
      <c r="G370" s="30"/>
      <c r="H370" s="30"/>
      <c r="I370" s="30"/>
    </row>
    <row r="371" spans="1:9" ht="18.75">
      <c r="A371" s="29"/>
      <c r="B371" s="30"/>
      <c r="C371" s="30"/>
      <c r="D371" s="31"/>
      <c r="E371" s="30"/>
      <c r="F371" s="30"/>
      <c r="G371" s="30"/>
      <c r="H371" s="30"/>
      <c r="I371" s="30"/>
    </row>
    <row r="372" spans="1:9" ht="18.75">
      <c r="A372" s="29"/>
      <c r="B372" s="30"/>
      <c r="C372" s="30"/>
      <c r="D372" s="31"/>
      <c r="E372" s="30"/>
      <c r="F372" s="30"/>
      <c r="G372" s="30"/>
      <c r="H372" s="30"/>
      <c r="I372" s="30"/>
    </row>
    <row r="373" spans="1:9" ht="18.75">
      <c r="A373" s="29"/>
      <c r="B373" s="30"/>
      <c r="C373" s="30"/>
      <c r="D373" s="31"/>
      <c r="E373" s="30"/>
      <c r="F373" s="30"/>
      <c r="G373" s="30"/>
      <c r="H373" s="30"/>
      <c r="I373" s="30"/>
    </row>
    <row r="374" spans="1:9" ht="18.75">
      <c r="A374" s="29"/>
      <c r="B374" s="30"/>
      <c r="C374" s="30"/>
      <c r="D374" s="31"/>
      <c r="E374" s="30"/>
      <c r="F374" s="30"/>
      <c r="G374" s="30"/>
      <c r="H374" s="30"/>
      <c r="I374" s="30"/>
    </row>
    <row r="375" spans="1:9" ht="18.75">
      <c r="A375" s="29"/>
      <c r="B375" s="30"/>
      <c r="C375" s="30"/>
      <c r="D375" s="31"/>
      <c r="E375" s="30"/>
      <c r="F375" s="30"/>
      <c r="G375" s="30"/>
      <c r="H375" s="30"/>
      <c r="I375" s="30"/>
    </row>
    <row r="376" spans="1:9" ht="18.75">
      <c r="A376" s="29"/>
      <c r="B376" s="30"/>
      <c r="C376" s="30"/>
      <c r="D376" s="31"/>
      <c r="E376" s="30"/>
      <c r="F376" s="30"/>
      <c r="G376" s="30"/>
      <c r="H376" s="30"/>
      <c r="I376" s="30"/>
    </row>
    <row r="377" spans="1:9" ht="18.75">
      <c r="A377" s="29"/>
      <c r="B377" s="30"/>
      <c r="C377" s="30"/>
      <c r="D377" s="31"/>
      <c r="E377" s="30"/>
      <c r="F377" s="30"/>
      <c r="G377" s="30"/>
      <c r="H377" s="30"/>
      <c r="I377" s="30"/>
    </row>
    <row r="378" spans="1:9" ht="18.75">
      <c r="A378" s="29"/>
      <c r="B378" s="30"/>
      <c r="C378" s="30"/>
      <c r="D378" s="31"/>
      <c r="E378" s="30"/>
      <c r="F378" s="30"/>
      <c r="G378" s="30"/>
      <c r="H378" s="30"/>
      <c r="I378" s="30"/>
    </row>
    <row r="379" spans="1:9" ht="18.75">
      <c r="A379" s="29"/>
      <c r="B379" s="30"/>
      <c r="C379" s="30"/>
      <c r="D379" s="31"/>
      <c r="E379" s="30"/>
      <c r="F379" s="30"/>
      <c r="G379" s="30"/>
      <c r="H379" s="30"/>
      <c r="I379" s="30"/>
    </row>
    <row r="380" spans="1:9" ht="18.75">
      <c r="A380" s="29"/>
      <c r="B380" s="30"/>
      <c r="C380" s="30"/>
      <c r="D380" s="31"/>
      <c r="E380" s="30"/>
      <c r="F380" s="30"/>
      <c r="G380" s="30"/>
      <c r="H380" s="30"/>
      <c r="I380" s="30"/>
    </row>
    <row r="381" spans="1:9" ht="18.75">
      <c r="A381" s="29"/>
      <c r="B381" s="30"/>
      <c r="C381" s="30"/>
      <c r="D381" s="31"/>
      <c r="E381" s="30"/>
      <c r="F381" s="30"/>
      <c r="G381" s="30"/>
      <c r="H381" s="30"/>
      <c r="I381" s="30"/>
    </row>
    <row r="382" spans="1:9" ht="18.75">
      <c r="A382" s="29"/>
      <c r="B382" s="30"/>
      <c r="C382" s="30"/>
      <c r="D382" s="31"/>
      <c r="E382" s="30"/>
      <c r="F382" s="30"/>
      <c r="G382" s="30"/>
      <c r="H382" s="30"/>
      <c r="I382" s="30"/>
    </row>
    <row r="383" spans="1:9" ht="18.75">
      <c r="A383" s="29"/>
      <c r="B383" s="30"/>
      <c r="C383" s="30"/>
      <c r="D383" s="31"/>
      <c r="E383" s="30"/>
      <c r="F383" s="30"/>
      <c r="G383" s="30"/>
      <c r="H383" s="30"/>
      <c r="I383" s="30"/>
    </row>
    <row r="384" spans="1:9" ht="18.75">
      <c r="A384" s="29"/>
      <c r="B384" s="30"/>
      <c r="C384" s="30"/>
      <c r="D384" s="31"/>
      <c r="E384" s="30"/>
      <c r="F384" s="30"/>
      <c r="G384" s="30"/>
      <c r="H384" s="30"/>
      <c r="I384" s="30"/>
    </row>
    <row r="385" spans="1:9" ht="18.75">
      <c r="A385" s="29"/>
      <c r="B385" s="30"/>
      <c r="C385" s="30"/>
      <c r="D385" s="31"/>
      <c r="E385" s="30"/>
      <c r="F385" s="30"/>
      <c r="G385" s="30"/>
      <c r="H385" s="30"/>
      <c r="I385" s="30"/>
    </row>
    <row r="386" spans="1:9" ht="18.75">
      <c r="A386" s="29"/>
      <c r="B386" s="30"/>
      <c r="C386" s="30"/>
      <c r="D386" s="31"/>
      <c r="E386" s="30"/>
      <c r="F386" s="30"/>
      <c r="G386" s="30"/>
      <c r="H386" s="30"/>
      <c r="I386" s="30"/>
    </row>
    <row r="387" spans="1:9" ht="18.75">
      <c r="A387" s="29"/>
      <c r="B387" s="30"/>
      <c r="C387" s="30"/>
      <c r="D387" s="31"/>
      <c r="E387" s="30"/>
      <c r="F387" s="30"/>
      <c r="G387" s="30"/>
      <c r="H387" s="30"/>
      <c r="I387" s="30"/>
    </row>
    <row r="388" spans="1:9" ht="18.75">
      <c r="A388" s="29"/>
      <c r="B388" s="30"/>
      <c r="C388" s="30"/>
      <c r="D388" s="31"/>
      <c r="E388" s="30"/>
      <c r="F388" s="30"/>
      <c r="G388" s="30"/>
      <c r="H388" s="30"/>
      <c r="I388" s="30"/>
    </row>
    <row r="389" spans="1:9" ht="18.75">
      <c r="A389" s="29"/>
      <c r="B389" s="30"/>
      <c r="C389" s="30"/>
      <c r="D389" s="31"/>
      <c r="E389" s="30"/>
      <c r="F389" s="30"/>
      <c r="G389" s="30"/>
      <c r="H389" s="30"/>
      <c r="I389" s="30"/>
    </row>
    <row r="390" spans="1:9" ht="18.75">
      <c r="A390" s="29"/>
      <c r="B390" s="30"/>
      <c r="C390" s="30"/>
      <c r="D390" s="31"/>
      <c r="E390" s="30"/>
      <c r="F390" s="30"/>
      <c r="G390" s="30"/>
      <c r="H390" s="30"/>
      <c r="I390" s="30"/>
    </row>
    <row r="391" spans="1:9" ht="18.75">
      <c r="A391" s="29"/>
      <c r="B391" s="30"/>
      <c r="C391" s="30"/>
      <c r="D391" s="31"/>
      <c r="E391" s="30"/>
      <c r="F391" s="30"/>
      <c r="G391" s="30"/>
      <c r="H391" s="30"/>
      <c r="I391" s="30"/>
    </row>
    <row r="392" spans="1:9" ht="18.75">
      <c r="A392" s="29"/>
      <c r="B392" s="30"/>
      <c r="C392" s="30"/>
      <c r="D392" s="31"/>
      <c r="E392" s="30"/>
      <c r="F392" s="30"/>
      <c r="G392" s="30"/>
      <c r="H392" s="30"/>
      <c r="I392" s="30"/>
    </row>
    <row r="393" spans="1:9" ht="18.75">
      <c r="A393" s="29"/>
      <c r="B393" s="30"/>
      <c r="C393" s="30"/>
      <c r="D393" s="31"/>
      <c r="E393" s="30"/>
      <c r="F393" s="30"/>
      <c r="G393" s="30"/>
      <c r="H393" s="30"/>
      <c r="I393" s="30"/>
    </row>
    <row r="394" spans="1:9" ht="18.75">
      <c r="A394" s="29"/>
      <c r="B394" s="30"/>
      <c r="C394" s="30"/>
      <c r="D394" s="31"/>
      <c r="E394" s="30"/>
      <c r="F394" s="30"/>
      <c r="G394" s="30"/>
      <c r="H394" s="30"/>
      <c r="I394" s="30"/>
    </row>
    <row r="395" spans="1:9" ht="18.75">
      <c r="A395" s="29"/>
      <c r="B395" s="30"/>
      <c r="C395" s="30"/>
      <c r="D395" s="31"/>
      <c r="E395" s="30"/>
      <c r="F395" s="30"/>
      <c r="G395" s="30"/>
      <c r="H395" s="30"/>
      <c r="I395" s="30"/>
    </row>
    <row r="396" spans="1:9" ht="18.75">
      <c r="A396" s="29"/>
      <c r="B396" s="30"/>
      <c r="C396" s="30"/>
      <c r="D396" s="31"/>
      <c r="E396" s="30"/>
      <c r="F396" s="30"/>
      <c r="G396" s="30"/>
      <c r="H396" s="30"/>
      <c r="I396" s="30"/>
    </row>
    <row r="397" spans="1:9" ht="18.75">
      <c r="A397" s="29"/>
      <c r="B397" s="30"/>
      <c r="C397" s="30"/>
      <c r="D397" s="31"/>
      <c r="E397" s="30"/>
      <c r="F397" s="30"/>
      <c r="G397" s="30"/>
      <c r="H397" s="30"/>
      <c r="I397" s="30"/>
    </row>
    <row r="398" spans="1:9" ht="18.75">
      <c r="A398" s="29"/>
      <c r="B398" s="30"/>
      <c r="C398" s="30"/>
      <c r="D398" s="31"/>
      <c r="E398" s="30"/>
      <c r="F398" s="30"/>
      <c r="G398" s="30"/>
      <c r="H398" s="30"/>
      <c r="I398" s="30"/>
    </row>
    <row r="399" spans="1:9" ht="18.75">
      <c r="A399" s="29"/>
      <c r="B399" s="30"/>
      <c r="C399" s="30"/>
      <c r="D399" s="31"/>
      <c r="E399" s="30"/>
      <c r="F399" s="30"/>
      <c r="G399" s="30"/>
      <c r="H399" s="30"/>
      <c r="I399" s="30"/>
    </row>
    <row r="400" spans="1:9" ht="18.75">
      <c r="A400" s="29"/>
      <c r="B400" s="30"/>
      <c r="C400" s="30"/>
      <c r="D400" s="31"/>
      <c r="E400" s="30"/>
      <c r="F400" s="30"/>
      <c r="G400" s="30"/>
      <c r="H400" s="30"/>
      <c r="I400" s="30"/>
    </row>
    <row r="401" spans="1:9" ht="18.75">
      <c r="A401" s="29"/>
      <c r="B401" s="30"/>
      <c r="C401" s="30"/>
      <c r="D401" s="31"/>
      <c r="E401" s="30"/>
      <c r="F401" s="30"/>
      <c r="G401" s="30"/>
      <c r="H401" s="30"/>
      <c r="I401" s="30"/>
    </row>
    <row r="402" spans="1:9" ht="18.75">
      <c r="A402" s="29"/>
      <c r="B402" s="30"/>
      <c r="C402" s="30"/>
      <c r="D402" s="31"/>
      <c r="E402" s="30"/>
      <c r="F402" s="30"/>
      <c r="G402" s="30"/>
      <c r="H402" s="30"/>
      <c r="I402" s="30"/>
    </row>
    <row r="403" spans="1:9" ht="18.75">
      <c r="A403" s="29"/>
      <c r="B403" s="30"/>
      <c r="C403" s="30"/>
      <c r="D403" s="31"/>
      <c r="E403" s="30"/>
      <c r="F403" s="30"/>
      <c r="G403" s="30"/>
      <c r="H403" s="30"/>
      <c r="I403" s="30"/>
    </row>
    <row r="404" spans="1:9" ht="18.75">
      <c r="A404" s="29"/>
      <c r="B404" s="30"/>
      <c r="C404" s="30"/>
      <c r="D404" s="31"/>
      <c r="E404" s="30"/>
      <c r="F404" s="30"/>
      <c r="G404" s="30"/>
      <c r="H404" s="30"/>
      <c r="I404" s="30"/>
    </row>
    <row r="405" spans="1:9" ht="18.75">
      <c r="A405" s="29"/>
      <c r="B405" s="30"/>
      <c r="C405" s="30"/>
      <c r="D405" s="31"/>
      <c r="E405" s="30"/>
      <c r="F405" s="30"/>
      <c r="G405" s="30"/>
      <c r="H405" s="30"/>
      <c r="I405" s="30"/>
    </row>
    <row r="406" spans="1:9" ht="18.75">
      <c r="A406" s="29"/>
      <c r="B406" s="30"/>
      <c r="C406" s="30"/>
      <c r="D406" s="31"/>
      <c r="E406" s="30"/>
      <c r="F406" s="30"/>
      <c r="G406" s="30"/>
      <c r="H406" s="30"/>
      <c r="I406" s="30"/>
    </row>
    <row r="407" spans="1:9" ht="18.75">
      <c r="A407" s="29"/>
      <c r="B407" s="30"/>
      <c r="C407" s="30"/>
      <c r="D407" s="31"/>
      <c r="E407" s="30"/>
      <c r="F407" s="30"/>
      <c r="G407" s="30"/>
      <c r="H407" s="30"/>
      <c r="I407" s="30"/>
    </row>
    <row r="408" spans="1:9" ht="18.75">
      <c r="A408" s="29"/>
      <c r="B408" s="30"/>
      <c r="C408" s="30"/>
      <c r="D408" s="31"/>
      <c r="E408" s="30"/>
      <c r="F408" s="30"/>
      <c r="G408" s="30"/>
      <c r="H408" s="30"/>
      <c r="I408" s="30"/>
    </row>
    <row r="409" spans="1:9" ht="18.75">
      <c r="A409" s="29"/>
      <c r="B409" s="30"/>
      <c r="C409" s="30"/>
      <c r="D409" s="31"/>
      <c r="E409" s="30"/>
      <c r="F409" s="30"/>
      <c r="G409" s="30"/>
      <c r="H409" s="30"/>
      <c r="I409" s="30"/>
    </row>
    <row r="410" spans="1:9" ht="18.75">
      <c r="A410" s="29"/>
      <c r="B410" s="30"/>
      <c r="C410" s="30"/>
      <c r="D410" s="31"/>
      <c r="E410" s="30"/>
      <c r="F410" s="30"/>
      <c r="G410" s="30"/>
      <c r="H410" s="30"/>
      <c r="I410" s="30"/>
    </row>
    <row r="411" spans="1:9" ht="18.75">
      <c r="A411" s="29"/>
      <c r="B411" s="30"/>
      <c r="C411" s="30"/>
      <c r="D411" s="31"/>
      <c r="E411" s="30"/>
      <c r="F411" s="30"/>
      <c r="G411" s="30"/>
      <c r="H411" s="30"/>
      <c r="I411" s="30"/>
    </row>
    <row r="412" spans="1:9" ht="18.75">
      <c r="A412" s="29"/>
      <c r="B412" s="30"/>
      <c r="C412" s="30"/>
      <c r="D412" s="31"/>
      <c r="E412" s="30"/>
      <c r="F412" s="30"/>
      <c r="G412" s="30"/>
      <c r="H412" s="30"/>
      <c r="I412" s="30"/>
    </row>
    <row r="413" spans="1:9" ht="18.75">
      <c r="A413" s="29"/>
      <c r="B413" s="30"/>
      <c r="C413" s="30"/>
      <c r="D413" s="31"/>
      <c r="E413" s="30"/>
      <c r="F413" s="30"/>
      <c r="G413" s="30"/>
      <c r="H413" s="30"/>
      <c r="I413" s="30"/>
    </row>
    <row r="414" spans="1:9" ht="18.75">
      <c r="A414" s="29"/>
      <c r="B414" s="30"/>
      <c r="C414" s="30"/>
      <c r="D414" s="31"/>
      <c r="E414" s="30"/>
      <c r="F414" s="30"/>
      <c r="G414" s="30"/>
      <c r="H414" s="30"/>
      <c r="I414" s="30"/>
    </row>
    <row r="415" spans="1:9" ht="18.75">
      <c r="A415" s="29"/>
      <c r="B415" s="30"/>
      <c r="C415" s="30"/>
      <c r="D415" s="31"/>
      <c r="E415" s="30"/>
      <c r="F415" s="30"/>
      <c r="G415" s="30"/>
      <c r="H415" s="30"/>
      <c r="I415" s="30"/>
    </row>
    <row r="416" spans="1:9" ht="18.75">
      <c r="A416" s="29"/>
      <c r="B416" s="30"/>
      <c r="C416" s="30"/>
      <c r="D416" s="31"/>
      <c r="E416" s="30"/>
      <c r="F416" s="30"/>
      <c r="G416" s="30"/>
      <c r="H416" s="30"/>
      <c r="I416" s="30"/>
    </row>
    <row r="417" spans="1:9" ht="18.75">
      <c r="A417" s="29"/>
      <c r="B417" s="30"/>
      <c r="C417" s="30"/>
      <c r="D417" s="31"/>
      <c r="E417" s="30"/>
      <c r="F417" s="30"/>
      <c r="G417" s="30"/>
      <c r="H417" s="30"/>
      <c r="I417" s="30"/>
    </row>
    <row r="418" spans="1:9" ht="18.75">
      <c r="A418" s="29"/>
      <c r="B418" s="30"/>
      <c r="C418" s="30"/>
      <c r="D418" s="31"/>
      <c r="E418" s="30"/>
      <c r="F418" s="30"/>
      <c r="G418" s="30"/>
      <c r="H418" s="30"/>
      <c r="I418" s="30"/>
    </row>
    <row r="419" spans="1:9" ht="18.75">
      <c r="A419" s="29"/>
      <c r="B419" s="30"/>
      <c r="C419" s="30"/>
      <c r="D419" s="31"/>
      <c r="E419" s="30"/>
      <c r="F419" s="30"/>
      <c r="G419" s="30"/>
      <c r="H419" s="30"/>
      <c r="I419" s="30"/>
    </row>
    <row r="420" spans="1:9" ht="18.75">
      <c r="A420" s="29"/>
      <c r="B420" s="30"/>
      <c r="C420" s="30"/>
      <c r="D420" s="31"/>
      <c r="E420" s="30"/>
      <c r="F420" s="30"/>
      <c r="G420" s="30"/>
      <c r="H420" s="30"/>
      <c r="I420" s="30"/>
    </row>
    <row r="421" spans="1:9" ht="18.75">
      <c r="A421" s="29"/>
      <c r="B421" s="30"/>
      <c r="C421" s="30"/>
      <c r="D421" s="31"/>
      <c r="E421" s="30"/>
      <c r="F421" s="30"/>
      <c r="G421" s="30"/>
      <c r="H421" s="30"/>
      <c r="I421" s="30"/>
    </row>
    <row r="422" spans="1:9" ht="18.75">
      <c r="A422" s="29"/>
      <c r="B422" s="30"/>
      <c r="C422" s="30"/>
      <c r="D422" s="31"/>
      <c r="E422" s="30"/>
      <c r="F422" s="30"/>
      <c r="G422" s="30"/>
      <c r="H422" s="30"/>
      <c r="I422" s="30"/>
    </row>
    <row r="423" spans="1:9" ht="18.75">
      <c r="A423" s="29"/>
      <c r="B423" s="30"/>
      <c r="C423" s="30"/>
      <c r="D423" s="31"/>
      <c r="E423" s="30"/>
      <c r="F423" s="30"/>
      <c r="G423" s="30"/>
      <c r="H423" s="30"/>
      <c r="I423" s="30"/>
    </row>
    <row r="424" spans="1:9" ht="18.75">
      <c r="A424" s="29"/>
      <c r="B424" s="30"/>
      <c r="C424" s="30"/>
      <c r="D424" s="31"/>
      <c r="E424" s="30"/>
      <c r="F424" s="30"/>
      <c r="G424" s="30"/>
      <c r="H424" s="30"/>
      <c r="I424" s="30"/>
    </row>
    <row r="425" spans="1:9" ht="18.75">
      <c r="A425" s="29"/>
      <c r="B425" s="30"/>
      <c r="C425" s="30"/>
      <c r="D425" s="31"/>
      <c r="E425" s="30"/>
      <c r="F425" s="30"/>
      <c r="G425" s="30"/>
      <c r="H425" s="30"/>
      <c r="I425" s="30"/>
    </row>
    <row r="426" spans="1:9" ht="18.75">
      <c r="A426" s="29"/>
      <c r="B426" s="30"/>
      <c r="C426" s="30"/>
      <c r="D426" s="31"/>
      <c r="E426" s="30"/>
      <c r="F426" s="30"/>
      <c r="G426" s="30"/>
      <c r="H426" s="30"/>
      <c r="I426" s="30"/>
    </row>
    <row r="427" spans="1:9" ht="18.75">
      <c r="A427" s="29"/>
      <c r="B427" s="30"/>
      <c r="C427" s="30"/>
      <c r="D427" s="31"/>
      <c r="E427" s="30"/>
      <c r="F427" s="30"/>
      <c r="G427" s="30"/>
      <c r="H427" s="30"/>
      <c r="I427" s="30"/>
    </row>
    <row r="428" spans="1:9" ht="18.75">
      <c r="A428" s="29"/>
      <c r="B428" s="30"/>
      <c r="C428" s="30"/>
      <c r="D428" s="31"/>
      <c r="E428" s="30"/>
      <c r="F428" s="30"/>
      <c r="G428" s="30"/>
      <c r="H428" s="30"/>
      <c r="I428" s="30"/>
    </row>
    <row r="429" spans="1:9" ht="18.75">
      <c r="A429" s="29"/>
      <c r="B429" s="30"/>
      <c r="C429" s="30"/>
      <c r="D429" s="31"/>
      <c r="E429" s="30"/>
      <c r="F429" s="30"/>
      <c r="G429" s="30"/>
      <c r="H429" s="30"/>
      <c r="I429" s="30"/>
    </row>
    <row r="430" spans="1:9" ht="18.75">
      <c r="A430" s="29"/>
      <c r="B430" s="30"/>
      <c r="C430" s="30"/>
      <c r="D430" s="31"/>
      <c r="E430" s="30"/>
      <c r="F430" s="30"/>
      <c r="G430" s="30"/>
      <c r="H430" s="30"/>
      <c r="I430" s="30"/>
    </row>
    <row r="431" spans="1:9" ht="18.75">
      <c r="A431" s="29"/>
      <c r="B431" s="30"/>
      <c r="C431" s="30"/>
      <c r="D431" s="31"/>
      <c r="E431" s="30"/>
      <c r="F431" s="30"/>
      <c r="G431" s="30"/>
      <c r="H431" s="30"/>
      <c r="I431" s="30"/>
    </row>
    <row r="432" spans="1:9" ht="18.75">
      <c r="A432" s="29"/>
      <c r="B432" s="30"/>
      <c r="C432" s="30"/>
      <c r="D432" s="31"/>
      <c r="E432" s="30"/>
      <c r="F432" s="30"/>
      <c r="G432" s="30"/>
      <c r="H432" s="30"/>
      <c r="I432" s="30"/>
    </row>
    <row r="433" spans="1:9" ht="18.75">
      <c r="A433" s="29"/>
      <c r="B433" s="30"/>
      <c r="C433" s="30"/>
      <c r="D433" s="31"/>
      <c r="E433" s="30"/>
      <c r="F433" s="30"/>
      <c r="G433" s="30"/>
      <c r="H433" s="30"/>
      <c r="I433" s="30"/>
    </row>
    <row r="434" spans="1:9" ht="18.75">
      <c r="A434" s="29"/>
      <c r="B434" s="30"/>
      <c r="C434" s="30"/>
      <c r="D434" s="31"/>
      <c r="E434" s="30"/>
      <c r="F434" s="30"/>
      <c r="G434" s="30"/>
      <c r="H434" s="30"/>
      <c r="I434" s="30"/>
    </row>
    <row r="435" spans="1:9" ht="18.75">
      <c r="A435" s="29"/>
      <c r="B435" s="30"/>
      <c r="C435" s="30"/>
      <c r="D435" s="31"/>
      <c r="E435" s="30"/>
      <c r="F435" s="30"/>
      <c r="G435" s="30"/>
      <c r="H435" s="30"/>
      <c r="I435" s="30"/>
    </row>
    <row r="436" spans="1:9" ht="18.75">
      <c r="A436" s="29"/>
      <c r="B436" s="30"/>
      <c r="C436" s="30"/>
      <c r="D436" s="31"/>
      <c r="E436" s="30"/>
      <c r="F436" s="30"/>
      <c r="G436" s="30"/>
      <c r="H436" s="30"/>
      <c r="I436" s="30"/>
    </row>
    <row r="437" spans="1:9" ht="18.75">
      <c r="A437" s="29"/>
      <c r="B437" s="30"/>
      <c r="C437" s="30"/>
      <c r="D437" s="31"/>
      <c r="E437" s="30"/>
      <c r="F437" s="30"/>
      <c r="G437" s="30"/>
      <c r="H437" s="30"/>
      <c r="I437" s="30"/>
    </row>
    <row r="438" spans="1:9" ht="18.75">
      <c r="A438" s="29"/>
      <c r="B438" s="30"/>
      <c r="C438" s="30"/>
      <c r="D438" s="31"/>
      <c r="E438" s="30"/>
      <c r="F438" s="30"/>
      <c r="G438" s="30"/>
      <c r="H438" s="30"/>
      <c r="I438" s="30"/>
    </row>
    <row r="439" spans="1:9" ht="18.75">
      <c r="A439" s="29"/>
      <c r="B439" s="30"/>
      <c r="C439" s="30"/>
      <c r="D439" s="31"/>
      <c r="E439" s="30"/>
      <c r="F439" s="30"/>
      <c r="G439" s="30"/>
      <c r="H439" s="30"/>
      <c r="I439" s="30"/>
    </row>
    <row r="440" spans="1:9" ht="18.75">
      <c r="A440" s="29"/>
      <c r="B440" s="30"/>
      <c r="C440" s="30"/>
      <c r="D440" s="31"/>
      <c r="E440" s="30"/>
      <c r="F440" s="30"/>
      <c r="G440" s="30"/>
      <c r="H440" s="30"/>
      <c r="I440" s="30"/>
    </row>
    <row r="441" spans="1:9" ht="18.75">
      <c r="A441" s="29"/>
      <c r="B441" s="30"/>
      <c r="C441" s="30"/>
      <c r="D441" s="31"/>
      <c r="E441" s="30"/>
      <c r="F441" s="30"/>
      <c r="G441" s="30"/>
      <c r="H441" s="30"/>
      <c r="I441" s="30"/>
    </row>
    <row r="442" spans="1:9" ht="18.75">
      <c r="A442" s="29"/>
      <c r="B442" s="30"/>
      <c r="C442" s="30"/>
      <c r="D442" s="31"/>
      <c r="E442" s="30"/>
      <c r="F442" s="30"/>
      <c r="G442" s="30"/>
      <c r="H442" s="30"/>
      <c r="I442" s="30"/>
    </row>
    <row r="443" spans="1:9" ht="18.75">
      <c r="A443" s="29"/>
      <c r="B443" s="30"/>
      <c r="C443" s="30"/>
      <c r="D443" s="31"/>
      <c r="E443" s="30"/>
      <c r="F443" s="30"/>
      <c r="G443" s="30"/>
      <c r="H443" s="30"/>
      <c r="I443" s="30"/>
    </row>
    <row r="444" spans="1:9" ht="18.75">
      <c r="A444" s="29"/>
      <c r="B444" s="30"/>
      <c r="C444" s="30"/>
      <c r="D444" s="31"/>
      <c r="E444" s="30"/>
      <c r="F444" s="30"/>
      <c r="G444" s="30"/>
      <c r="H444" s="30"/>
      <c r="I444" s="30"/>
    </row>
    <row r="445" spans="1:9" ht="18.75">
      <c r="A445" s="29"/>
      <c r="B445" s="30"/>
      <c r="C445" s="30"/>
      <c r="D445" s="31"/>
      <c r="E445" s="30"/>
      <c r="F445" s="30"/>
      <c r="G445" s="30"/>
      <c r="H445" s="30"/>
      <c r="I445" s="30"/>
    </row>
    <row r="446" spans="1:9" ht="18.75">
      <c r="A446" s="29"/>
      <c r="B446" s="30"/>
      <c r="C446" s="30"/>
      <c r="D446" s="31"/>
      <c r="E446" s="30"/>
      <c r="F446" s="30"/>
      <c r="G446" s="30"/>
      <c r="H446" s="30"/>
      <c r="I446" s="30"/>
    </row>
    <row r="447" spans="1:9" ht="18.75">
      <c r="A447" s="29"/>
      <c r="B447" s="30"/>
      <c r="C447" s="30"/>
      <c r="D447" s="31"/>
      <c r="E447" s="30"/>
      <c r="F447" s="30"/>
      <c r="G447" s="30"/>
      <c r="H447" s="30"/>
      <c r="I447" s="30"/>
    </row>
    <row r="448" spans="1:9" ht="18.75">
      <c r="A448" s="29"/>
      <c r="B448" s="30"/>
      <c r="C448" s="30"/>
      <c r="D448" s="31"/>
      <c r="E448" s="30"/>
      <c r="F448" s="30"/>
      <c r="G448" s="30"/>
      <c r="H448" s="30"/>
      <c r="I448" s="30"/>
    </row>
    <row r="449" spans="1:9" ht="18.75">
      <c r="A449" s="29"/>
      <c r="B449" s="30"/>
      <c r="C449" s="30"/>
      <c r="D449" s="31"/>
      <c r="E449" s="30"/>
      <c r="F449" s="30"/>
      <c r="G449" s="30"/>
      <c r="H449" s="30"/>
      <c r="I449" s="30"/>
    </row>
    <row r="450" spans="1:9" ht="18.75">
      <c r="A450" s="29"/>
      <c r="B450" s="30"/>
      <c r="C450" s="30"/>
      <c r="D450" s="31"/>
      <c r="E450" s="30"/>
      <c r="F450" s="30"/>
      <c r="G450" s="30"/>
      <c r="H450" s="30"/>
      <c r="I450" s="30"/>
    </row>
    <row r="451" spans="1:9" ht="18.75">
      <c r="A451" s="29"/>
      <c r="B451" s="30"/>
      <c r="C451" s="30"/>
      <c r="D451" s="31"/>
      <c r="E451" s="30"/>
      <c r="F451" s="30"/>
      <c r="G451" s="30"/>
      <c r="H451" s="30"/>
      <c r="I451" s="30"/>
    </row>
    <row r="452" spans="1:9" ht="18.75">
      <c r="A452" s="29"/>
      <c r="B452" s="30"/>
      <c r="C452" s="30"/>
      <c r="D452" s="31"/>
      <c r="E452" s="30"/>
      <c r="F452" s="30"/>
      <c r="G452" s="30"/>
      <c r="H452" s="30"/>
      <c r="I452" s="30"/>
    </row>
    <row r="453" spans="1:9" ht="18.75">
      <c r="A453" s="29"/>
      <c r="B453" s="30"/>
      <c r="C453" s="30"/>
      <c r="D453" s="31"/>
      <c r="E453" s="30"/>
      <c r="F453" s="30"/>
      <c r="G453" s="30"/>
      <c r="H453" s="30"/>
      <c r="I453" s="30"/>
    </row>
    <row r="454" spans="1:9" ht="18.75">
      <c r="A454" s="29"/>
      <c r="B454" s="30"/>
      <c r="C454" s="30"/>
      <c r="D454" s="31"/>
      <c r="E454" s="30"/>
      <c r="F454" s="30"/>
      <c r="G454" s="30"/>
      <c r="H454" s="30"/>
      <c r="I454" s="30"/>
    </row>
    <row r="455" spans="1:9" ht="18.75">
      <c r="A455" s="29"/>
      <c r="B455" s="30"/>
      <c r="C455" s="30"/>
      <c r="D455" s="31"/>
      <c r="E455" s="30"/>
      <c r="F455" s="30"/>
      <c r="G455" s="30"/>
      <c r="H455" s="30"/>
      <c r="I455" s="30"/>
    </row>
    <row r="456" spans="1:9" ht="18.75">
      <c r="A456" s="29"/>
      <c r="B456" s="30"/>
      <c r="C456" s="30"/>
      <c r="D456" s="31"/>
      <c r="E456" s="30"/>
      <c r="F456" s="30"/>
      <c r="G456" s="30"/>
      <c r="H456" s="30"/>
      <c r="I456" s="30"/>
    </row>
    <row r="457" spans="1:9" ht="18.75">
      <c r="A457" s="29"/>
      <c r="B457" s="30"/>
      <c r="C457" s="30"/>
      <c r="D457" s="31"/>
      <c r="E457" s="30"/>
      <c r="F457" s="30"/>
      <c r="G457" s="30"/>
      <c r="H457" s="30"/>
      <c r="I457" s="30"/>
    </row>
    <row r="458" spans="1:9" ht="18.75">
      <c r="A458" s="29"/>
      <c r="B458" s="30"/>
      <c r="C458" s="30"/>
      <c r="D458" s="31"/>
      <c r="E458" s="30"/>
      <c r="F458" s="30"/>
      <c r="G458" s="30"/>
      <c r="H458" s="30"/>
      <c r="I458" s="30"/>
    </row>
    <row r="459" spans="1:9" ht="18.75">
      <c r="A459" s="29"/>
      <c r="B459" s="30"/>
      <c r="C459" s="30"/>
      <c r="D459" s="31"/>
      <c r="E459" s="30"/>
      <c r="F459" s="30"/>
      <c r="G459" s="30"/>
      <c r="H459" s="30"/>
      <c r="I459" s="30"/>
    </row>
    <row r="460" spans="1:9" ht="18.75">
      <c r="A460" s="29"/>
      <c r="B460" s="30"/>
      <c r="C460" s="30"/>
      <c r="D460" s="31"/>
      <c r="E460" s="30"/>
      <c r="F460" s="30"/>
      <c r="G460" s="30"/>
      <c r="H460" s="30"/>
      <c r="I460" s="30"/>
    </row>
    <row r="461" spans="1:9" ht="18.75">
      <c r="A461" s="29"/>
      <c r="B461" s="30"/>
      <c r="C461" s="30"/>
      <c r="D461" s="31"/>
      <c r="E461" s="30"/>
      <c r="F461" s="30"/>
      <c r="G461" s="30"/>
      <c r="H461" s="30"/>
      <c r="I461" s="30"/>
    </row>
    <row r="462" spans="1:9" ht="18.75">
      <c r="A462" s="29"/>
      <c r="B462" s="30"/>
      <c r="C462" s="30"/>
      <c r="D462" s="31"/>
      <c r="E462" s="30"/>
      <c r="F462" s="30"/>
      <c r="G462" s="30"/>
      <c r="H462" s="30"/>
      <c r="I462" s="30"/>
    </row>
    <row r="463" spans="1:9" ht="18.75">
      <c r="A463" s="29"/>
      <c r="B463" s="30"/>
      <c r="C463" s="30"/>
      <c r="D463" s="31"/>
      <c r="E463" s="30"/>
      <c r="F463" s="30"/>
      <c r="G463" s="30"/>
      <c r="H463" s="30"/>
      <c r="I463" s="30"/>
    </row>
    <row r="464" spans="1:9" ht="18.75">
      <c r="A464" s="29"/>
      <c r="B464" s="30"/>
      <c r="C464" s="30"/>
      <c r="D464" s="31"/>
      <c r="E464" s="30"/>
      <c r="F464" s="30"/>
      <c r="G464" s="30"/>
      <c r="H464" s="30"/>
      <c r="I464" s="30"/>
    </row>
    <row r="465" spans="1:9" ht="18.75">
      <c r="A465" s="29"/>
      <c r="B465" s="30"/>
      <c r="C465" s="30"/>
      <c r="D465" s="31"/>
      <c r="E465" s="30"/>
      <c r="F465" s="30"/>
      <c r="G465" s="30"/>
      <c r="H465" s="30"/>
      <c r="I465" s="30"/>
    </row>
    <row r="466" spans="1:9" ht="18.75">
      <c r="A466" s="29"/>
      <c r="B466" s="30"/>
      <c r="C466" s="30"/>
      <c r="D466" s="31"/>
      <c r="E466" s="30"/>
      <c r="F466" s="30"/>
      <c r="G466" s="30"/>
      <c r="H466" s="30"/>
      <c r="I466" s="30"/>
    </row>
    <row r="467" spans="1:9" ht="18.75">
      <c r="A467" s="29"/>
      <c r="B467" s="30"/>
      <c r="C467" s="30"/>
      <c r="D467" s="31"/>
      <c r="E467" s="30"/>
      <c r="F467" s="30"/>
      <c r="G467" s="30"/>
      <c r="H467" s="30"/>
      <c r="I467" s="30"/>
    </row>
    <row r="468" spans="1:9" ht="18.75">
      <c r="A468" s="29"/>
      <c r="B468" s="30"/>
      <c r="C468" s="30"/>
      <c r="D468" s="31"/>
      <c r="E468" s="30"/>
      <c r="F468" s="30"/>
      <c r="G468" s="30"/>
      <c r="H468" s="30"/>
      <c r="I468" s="30"/>
    </row>
    <row r="469" spans="1:9" ht="18.75">
      <c r="A469" s="29"/>
      <c r="B469" s="30"/>
      <c r="C469" s="30"/>
      <c r="D469" s="31"/>
      <c r="E469" s="30"/>
      <c r="F469" s="30"/>
      <c r="G469" s="30"/>
      <c r="H469" s="30"/>
      <c r="I469" s="30"/>
    </row>
    <row r="470" spans="1:9" ht="18.75">
      <c r="A470" s="29"/>
      <c r="B470" s="30"/>
      <c r="C470" s="30"/>
      <c r="D470" s="31"/>
      <c r="E470" s="30"/>
      <c r="F470" s="30"/>
      <c r="G470" s="30"/>
      <c r="H470" s="30"/>
      <c r="I470" s="30"/>
    </row>
    <row r="471" spans="1:9" ht="18.75">
      <c r="A471" s="29"/>
      <c r="B471" s="30"/>
      <c r="C471" s="30"/>
      <c r="D471" s="31"/>
      <c r="E471" s="30"/>
      <c r="F471" s="30"/>
      <c r="G471" s="30"/>
      <c r="H471" s="30"/>
      <c r="I471" s="30"/>
    </row>
    <row r="472" spans="1:9" ht="18.75">
      <c r="A472" s="29"/>
      <c r="B472" s="30"/>
      <c r="C472" s="30"/>
      <c r="D472" s="31"/>
      <c r="E472" s="30"/>
      <c r="F472" s="30"/>
      <c r="G472" s="30"/>
      <c r="H472" s="30"/>
      <c r="I472" s="30"/>
    </row>
    <row r="473" spans="1:9" ht="18.75">
      <c r="A473" s="29"/>
      <c r="B473" s="30"/>
      <c r="C473" s="30"/>
      <c r="D473" s="31"/>
      <c r="E473" s="30"/>
      <c r="F473" s="30"/>
      <c r="G473" s="30"/>
      <c r="H473" s="30"/>
      <c r="I473" s="30"/>
    </row>
    <row r="474" spans="1:9" ht="18.75">
      <c r="A474" s="29"/>
      <c r="B474" s="30"/>
      <c r="C474" s="30"/>
      <c r="D474" s="31"/>
      <c r="E474" s="30"/>
      <c r="F474" s="30"/>
      <c r="G474" s="30"/>
      <c r="H474" s="30"/>
      <c r="I474" s="30"/>
    </row>
    <row r="475" spans="1:9" ht="18.75">
      <c r="A475" s="29"/>
      <c r="B475" s="30"/>
      <c r="C475" s="30"/>
      <c r="D475" s="31"/>
      <c r="E475" s="30"/>
      <c r="F475" s="30"/>
      <c r="G475" s="30"/>
      <c r="H475" s="30"/>
      <c r="I475" s="30"/>
    </row>
    <row r="476" spans="1:9" ht="18.75">
      <c r="A476" s="29"/>
      <c r="B476" s="30"/>
      <c r="C476" s="30"/>
      <c r="D476" s="31"/>
      <c r="E476" s="30"/>
      <c r="F476" s="30"/>
      <c r="G476" s="30"/>
      <c r="H476" s="30"/>
      <c r="I476" s="30"/>
    </row>
    <row r="477" spans="1:9" ht="18.75">
      <c r="A477" s="29"/>
      <c r="B477" s="30"/>
      <c r="C477" s="30"/>
      <c r="D477" s="31"/>
      <c r="E477" s="30"/>
      <c r="F477" s="30"/>
      <c r="G477" s="30"/>
      <c r="H477" s="30"/>
      <c r="I477" s="30"/>
    </row>
    <row r="478" spans="1:9" ht="18.75">
      <c r="A478" s="29"/>
      <c r="B478" s="30"/>
      <c r="C478" s="30"/>
      <c r="D478" s="31"/>
      <c r="E478" s="30"/>
      <c r="F478" s="30"/>
      <c r="G478" s="30"/>
      <c r="H478" s="30"/>
      <c r="I478" s="30"/>
    </row>
    <row r="479" spans="1:9" ht="18.75">
      <c r="A479" s="29"/>
      <c r="B479" s="30"/>
      <c r="C479" s="30"/>
      <c r="D479" s="31"/>
      <c r="E479" s="30"/>
      <c r="F479" s="30"/>
      <c r="G479" s="30"/>
      <c r="H479" s="30"/>
      <c r="I479" s="30"/>
    </row>
    <row r="480" spans="1:9" ht="18.75">
      <c r="A480" s="29"/>
      <c r="B480" s="30"/>
      <c r="C480" s="30"/>
      <c r="D480" s="31"/>
      <c r="E480" s="30"/>
      <c r="F480" s="30"/>
      <c r="G480" s="30"/>
      <c r="H480" s="30"/>
      <c r="I480" s="30"/>
    </row>
    <row r="481" spans="1:9" ht="18.75">
      <c r="A481" s="29"/>
      <c r="B481" s="30"/>
      <c r="C481" s="30"/>
      <c r="D481" s="31"/>
      <c r="E481" s="30"/>
      <c r="F481" s="30"/>
      <c r="G481" s="30"/>
      <c r="H481" s="30"/>
      <c r="I481" s="30"/>
    </row>
    <row r="482" spans="1:9" ht="18.75">
      <c r="A482" s="29"/>
      <c r="B482" s="30"/>
      <c r="C482" s="30"/>
      <c r="D482" s="31"/>
      <c r="E482" s="30"/>
      <c r="F482" s="30"/>
      <c r="G482" s="30"/>
      <c r="H482" s="30"/>
      <c r="I482" s="30"/>
    </row>
    <row r="483" spans="1:9" ht="18.75">
      <c r="A483" s="29"/>
      <c r="B483" s="30"/>
      <c r="C483" s="30"/>
      <c r="D483" s="31"/>
      <c r="E483" s="30"/>
      <c r="F483" s="30"/>
      <c r="G483" s="30"/>
      <c r="H483" s="30"/>
      <c r="I483" s="30"/>
    </row>
    <row r="484" spans="1:9" ht="18.75">
      <c r="A484" s="29"/>
      <c r="B484" s="30"/>
      <c r="C484" s="30"/>
      <c r="D484" s="31"/>
      <c r="E484" s="30"/>
      <c r="F484" s="30"/>
      <c r="G484" s="30"/>
      <c r="H484" s="30"/>
      <c r="I484" s="30"/>
    </row>
    <row r="485" spans="1:9" ht="18.75">
      <c r="A485" s="29"/>
      <c r="B485" s="30"/>
      <c r="C485" s="30"/>
      <c r="D485" s="31"/>
      <c r="E485" s="30"/>
      <c r="F485" s="30"/>
      <c r="G485" s="30"/>
      <c r="H485" s="30"/>
      <c r="I485" s="30"/>
    </row>
    <row r="486" spans="1:9" ht="18.75">
      <c r="A486" s="29"/>
      <c r="B486" s="30"/>
      <c r="C486" s="30"/>
      <c r="D486" s="31"/>
      <c r="E486" s="30"/>
      <c r="F486" s="30"/>
      <c r="G486" s="30"/>
      <c r="H486" s="30"/>
      <c r="I486" s="30"/>
    </row>
    <row r="487" spans="1:9" ht="18.75">
      <c r="A487" s="29"/>
      <c r="B487" s="30"/>
      <c r="C487" s="30"/>
      <c r="D487" s="31"/>
      <c r="E487" s="30"/>
      <c r="F487" s="30"/>
      <c r="G487" s="30"/>
      <c r="H487" s="30"/>
      <c r="I487" s="30"/>
    </row>
    <row r="488" spans="1:9" ht="18.75">
      <c r="A488" s="29"/>
      <c r="B488" s="30"/>
      <c r="C488" s="30"/>
      <c r="D488" s="31"/>
      <c r="E488" s="30"/>
      <c r="F488" s="30"/>
      <c r="G488" s="30"/>
      <c r="H488" s="30"/>
      <c r="I488" s="30"/>
    </row>
    <row r="489" spans="1:9" ht="18.75">
      <c r="A489" s="29"/>
      <c r="B489" s="30"/>
      <c r="C489" s="30"/>
      <c r="D489" s="31"/>
      <c r="E489" s="30"/>
      <c r="F489" s="30"/>
      <c r="G489" s="30"/>
      <c r="H489" s="30"/>
      <c r="I489" s="30"/>
    </row>
    <row r="490" spans="1:9" ht="18.75">
      <c r="A490" s="29"/>
      <c r="B490" s="30"/>
      <c r="C490" s="30"/>
      <c r="D490" s="31"/>
      <c r="E490" s="30"/>
      <c r="F490" s="30"/>
      <c r="G490" s="30"/>
      <c r="H490" s="30"/>
      <c r="I490" s="30"/>
    </row>
    <row r="491" spans="1:9" ht="18.75">
      <c r="A491" s="29"/>
      <c r="B491" s="30"/>
      <c r="C491" s="30"/>
      <c r="D491" s="31"/>
      <c r="E491" s="30"/>
      <c r="F491" s="30"/>
      <c r="G491" s="30"/>
      <c r="H491" s="30"/>
      <c r="I491" s="30"/>
    </row>
    <row r="492" spans="1:9" ht="18.75">
      <c r="A492" s="29"/>
      <c r="B492" s="30"/>
      <c r="C492" s="30"/>
      <c r="D492" s="31"/>
      <c r="E492" s="30"/>
      <c r="F492" s="30"/>
      <c r="G492" s="30"/>
      <c r="H492" s="30"/>
      <c r="I492" s="30"/>
    </row>
    <row r="493" spans="1:9" ht="18.75">
      <c r="A493" s="29"/>
      <c r="B493" s="30"/>
      <c r="C493" s="30"/>
      <c r="D493" s="31"/>
      <c r="E493" s="30"/>
      <c r="F493" s="30"/>
      <c r="G493" s="30"/>
      <c r="H493" s="30"/>
      <c r="I493" s="30"/>
    </row>
    <row r="494" spans="1:9" ht="18.75">
      <c r="A494" s="29"/>
      <c r="B494" s="30"/>
      <c r="C494" s="30"/>
      <c r="D494" s="31"/>
      <c r="E494" s="30"/>
      <c r="F494" s="30"/>
      <c r="G494" s="30"/>
      <c r="H494" s="30"/>
      <c r="I494" s="30"/>
    </row>
    <row r="495" spans="1:9" ht="18.75">
      <c r="A495" s="29"/>
      <c r="B495" s="30"/>
      <c r="C495" s="30"/>
      <c r="D495" s="31"/>
      <c r="E495" s="30"/>
      <c r="F495" s="30"/>
      <c r="G495" s="30"/>
      <c r="H495" s="30"/>
      <c r="I495" s="30"/>
    </row>
    <row r="496" spans="1:9" ht="18.75">
      <c r="A496" s="29"/>
      <c r="B496" s="30"/>
      <c r="C496" s="30"/>
      <c r="D496" s="31"/>
      <c r="E496" s="30"/>
      <c r="F496" s="30"/>
      <c r="G496" s="30"/>
      <c r="H496" s="30"/>
      <c r="I496" s="30"/>
    </row>
    <row r="497" spans="1:9" ht="18.75">
      <c r="A497" s="29"/>
      <c r="B497" s="30"/>
      <c r="C497" s="30"/>
      <c r="D497" s="31"/>
      <c r="E497" s="30"/>
      <c r="F497" s="30"/>
      <c r="G497" s="30"/>
      <c r="H497" s="30"/>
      <c r="I497" s="30"/>
    </row>
    <row r="498" spans="1:9" ht="18.75">
      <c r="A498" s="29"/>
      <c r="B498" s="30"/>
      <c r="C498" s="30"/>
      <c r="D498" s="31"/>
      <c r="E498" s="30"/>
      <c r="F498" s="30"/>
      <c r="G498" s="30"/>
      <c r="H498" s="30"/>
      <c r="I498" s="30"/>
    </row>
    <row r="499" spans="1:9" ht="18.75">
      <c r="A499" s="29"/>
      <c r="B499" s="30"/>
      <c r="C499" s="30"/>
      <c r="D499" s="31"/>
      <c r="E499" s="30"/>
      <c r="F499" s="30"/>
      <c r="G499" s="30"/>
      <c r="H499" s="30"/>
      <c r="I499" s="30"/>
    </row>
    <row r="500" spans="1:9" ht="18.75">
      <c r="A500" s="29"/>
      <c r="B500" s="30"/>
      <c r="C500" s="30"/>
      <c r="D500" s="31"/>
      <c r="E500" s="30"/>
      <c r="F500" s="30"/>
      <c r="G500" s="30"/>
      <c r="H500" s="30"/>
      <c r="I500" s="30"/>
    </row>
    <row r="501" spans="1:9" ht="18.75">
      <c r="A501" s="29"/>
      <c r="B501" s="30"/>
      <c r="C501" s="30"/>
      <c r="D501" s="31"/>
      <c r="E501" s="30"/>
      <c r="F501" s="30"/>
      <c r="G501" s="30"/>
      <c r="H501" s="30"/>
      <c r="I501" s="30"/>
    </row>
    <row r="502" spans="1:9" ht="18.75">
      <c r="A502" s="29"/>
      <c r="B502" s="30"/>
      <c r="C502" s="30"/>
      <c r="D502" s="31"/>
      <c r="E502" s="30"/>
      <c r="F502" s="30"/>
      <c r="G502" s="30"/>
      <c r="H502" s="30"/>
      <c r="I502" s="30"/>
    </row>
    <row r="503" spans="1:9" ht="18.75">
      <c r="A503" s="29"/>
      <c r="B503" s="30"/>
      <c r="C503" s="30"/>
      <c r="D503" s="31"/>
      <c r="E503" s="30"/>
      <c r="F503" s="30"/>
      <c r="G503" s="30"/>
      <c r="H503" s="30"/>
      <c r="I503" s="30"/>
    </row>
    <row r="504" spans="1:9" ht="18.75">
      <c r="A504" s="29"/>
      <c r="B504" s="30"/>
      <c r="C504" s="30"/>
      <c r="D504" s="31"/>
      <c r="E504" s="30"/>
      <c r="F504" s="30"/>
      <c r="G504" s="30"/>
      <c r="H504" s="30"/>
      <c r="I504" s="30"/>
    </row>
    <row r="505" spans="1:9" ht="18.75">
      <c r="A505" s="29"/>
      <c r="B505" s="30"/>
      <c r="C505" s="30"/>
      <c r="D505" s="31"/>
      <c r="E505" s="30"/>
      <c r="F505" s="30"/>
      <c r="G505" s="30"/>
      <c r="H505" s="30"/>
      <c r="I505" s="30"/>
    </row>
    <row r="506" spans="1:9" ht="18.75">
      <c r="A506" s="29"/>
      <c r="B506" s="30"/>
      <c r="C506" s="30"/>
      <c r="D506" s="31"/>
      <c r="E506" s="30"/>
      <c r="F506" s="30"/>
      <c r="G506" s="30"/>
      <c r="H506" s="30"/>
      <c r="I506" s="30"/>
    </row>
    <row r="507" spans="1:9" ht="18.75">
      <c r="A507" s="29"/>
      <c r="B507" s="30"/>
      <c r="C507" s="30"/>
      <c r="D507" s="31"/>
      <c r="E507" s="30"/>
      <c r="F507" s="30"/>
      <c r="G507" s="30"/>
      <c r="H507" s="30"/>
      <c r="I507" s="30"/>
    </row>
    <row r="508" spans="1:9" ht="18.75">
      <c r="A508" s="29"/>
      <c r="B508" s="30"/>
      <c r="C508" s="30"/>
      <c r="D508" s="31"/>
      <c r="E508" s="30"/>
      <c r="F508" s="30"/>
      <c r="G508" s="30"/>
      <c r="H508" s="30"/>
      <c r="I508" s="30"/>
    </row>
    <row r="509" spans="1:9" ht="18.75">
      <c r="A509" s="29"/>
      <c r="B509" s="30"/>
      <c r="C509" s="30"/>
      <c r="D509" s="31"/>
      <c r="E509" s="30"/>
      <c r="F509" s="30"/>
      <c r="G509" s="30"/>
      <c r="H509" s="30"/>
      <c r="I509" s="30"/>
    </row>
    <row r="510" spans="1:9" ht="18.75">
      <c r="A510" s="29"/>
      <c r="B510" s="30"/>
      <c r="C510" s="30"/>
      <c r="D510" s="31"/>
      <c r="E510" s="30"/>
      <c r="F510" s="30"/>
      <c r="G510" s="30"/>
      <c r="H510" s="30"/>
      <c r="I510" s="30"/>
    </row>
    <row r="511" spans="1:9" ht="18.75">
      <c r="A511" s="29"/>
      <c r="B511" s="30"/>
      <c r="C511" s="30"/>
      <c r="D511" s="31"/>
      <c r="E511" s="30"/>
      <c r="F511" s="30"/>
      <c r="G511" s="30"/>
      <c r="H511" s="30"/>
      <c r="I511" s="30"/>
    </row>
    <row r="512" spans="1:9" ht="18.75">
      <c r="A512" s="29"/>
      <c r="B512" s="30"/>
      <c r="C512" s="30"/>
      <c r="D512" s="31"/>
      <c r="E512" s="30"/>
      <c r="F512" s="30"/>
      <c r="G512" s="30"/>
      <c r="H512" s="30"/>
      <c r="I512" s="30"/>
    </row>
    <row r="513" spans="1:9" ht="18.75">
      <c r="A513" s="29"/>
      <c r="B513" s="30"/>
      <c r="C513" s="30"/>
      <c r="D513" s="31"/>
      <c r="E513" s="30"/>
      <c r="F513" s="30"/>
      <c r="G513" s="30"/>
      <c r="H513" s="30"/>
      <c r="I513" s="30"/>
    </row>
    <row r="514" spans="1:9" ht="18.75">
      <c r="A514" s="29"/>
      <c r="B514" s="30"/>
      <c r="C514" s="30"/>
      <c r="D514" s="31"/>
      <c r="E514" s="30"/>
      <c r="F514" s="30"/>
      <c r="G514" s="30"/>
      <c r="H514" s="30"/>
      <c r="I514" s="30"/>
    </row>
    <row r="515" spans="1:9" ht="18.75">
      <c r="A515" s="29"/>
      <c r="B515" s="30"/>
      <c r="C515" s="30"/>
      <c r="D515" s="31"/>
      <c r="E515" s="30"/>
      <c r="F515" s="30"/>
      <c r="G515" s="30"/>
      <c r="H515" s="30"/>
      <c r="I515" s="30"/>
    </row>
    <row r="516" spans="1:9" ht="18.75">
      <c r="A516" s="29"/>
      <c r="B516" s="30"/>
      <c r="C516" s="30"/>
      <c r="D516" s="31"/>
      <c r="E516" s="30"/>
      <c r="F516" s="30"/>
      <c r="G516" s="30"/>
      <c r="H516" s="30"/>
      <c r="I516" s="30"/>
    </row>
    <row r="517" spans="1:9" ht="18.75">
      <c r="A517" s="29"/>
      <c r="B517" s="30"/>
      <c r="C517" s="30"/>
      <c r="D517" s="31"/>
      <c r="E517" s="30"/>
      <c r="F517" s="30"/>
      <c r="G517" s="30"/>
      <c r="H517" s="30"/>
      <c r="I517" s="30"/>
    </row>
    <row r="518" spans="1:9" ht="18.75">
      <c r="A518" s="29"/>
      <c r="B518" s="30"/>
      <c r="C518" s="30"/>
      <c r="D518" s="31"/>
      <c r="E518" s="30"/>
      <c r="F518" s="30"/>
      <c r="G518" s="30"/>
      <c r="H518" s="30"/>
      <c r="I518" s="30"/>
    </row>
    <row r="519" spans="1:9" ht="18.75">
      <c r="A519" s="29"/>
      <c r="B519" s="30"/>
      <c r="C519" s="30"/>
      <c r="D519" s="31"/>
      <c r="E519" s="30"/>
      <c r="F519" s="30"/>
      <c r="G519" s="30"/>
      <c r="H519" s="30"/>
      <c r="I519" s="30"/>
    </row>
    <row r="520" spans="1:9" ht="18.75">
      <c r="A520" s="29"/>
      <c r="B520" s="30"/>
      <c r="C520" s="30"/>
      <c r="D520" s="31"/>
      <c r="E520" s="30"/>
      <c r="F520" s="30"/>
      <c r="G520" s="30"/>
      <c r="H520" s="30"/>
      <c r="I520" s="30"/>
    </row>
    <row r="521" spans="1:9" ht="18.75">
      <c r="A521" s="29"/>
      <c r="B521" s="30"/>
      <c r="C521" s="30"/>
      <c r="D521" s="31"/>
      <c r="E521" s="30"/>
      <c r="F521" s="30"/>
      <c r="G521" s="30"/>
      <c r="H521" s="30"/>
      <c r="I521" s="30"/>
    </row>
    <row r="522" spans="1:9" ht="18.75">
      <c r="A522" s="29"/>
      <c r="B522" s="30"/>
      <c r="C522" s="30"/>
      <c r="D522" s="31"/>
      <c r="E522" s="30"/>
      <c r="F522" s="30"/>
      <c r="G522" s="30"/>
      <c r="H522" s="30"/>
      <c r="I522" s="30"/>
    </row>
    <row r="523" spans="1:9" ht="18.75">
      <c r="A523" s="29"/>
      <c r="B523" s="30"/>
      <c r="C523" s="30"/>
      <c r="D523" s="31"/>
      <c r="E523" s="30"/>
      <c r="F523" s="30"/>
      <c r="G523" s="30"/>
      <c r="H523" s="30"/>
      <c r="I523" s="30"/>
    </row>
    <row r="524" spans="1:9" ht="18.75">
      <c r="A524" s="29"/>
      <c r="B524" s="30"/>
      <c r="C524" s="30"/>
      <c r="D524" s="31"/>
      <c r="E524" s="30"/>
      <c r="F524" s="30"/>
      <c r="G524" s="30"/>
      <c r="H524" s="30"/>
      <c r="I524" s="30"/>
    </row>
    <row r="525" spans="1:9" ht="18.75">
      <c r="A525" s="29"/>
      <c r="B525" s="30"/>
      <c r="C525" s="30"/>
      <c r="D525" s="31"/>
      <c r="E525" s="30"/>
      <c r="F525" s="30"/>
      <c r="G525" s="30"/>
      <c r="H525" s="30"/>
      <c r="I525" s="30"/>
    </row>
    <row r="526" spans="1:9" ht="18.75">
      <c r="A526" s="29"/>
      <c r="B526" s="30"/>
      <c r="C526" s="30"/>
      <c r="D526" s="31"/>
      <c r="E526" s="30"/>
      <c r="F526" s="30"/>
      <c r="G526" s="30"/>
      <c r="H526" s="30"/>
      <c r="I526" s="30"/>
    </row>
    <row r="527" spans="1:9" ht="18.75">
      <c r="A527" s="29"/>
      <c r="B527" s="30"/>
      <c r="C527" s="30"/>
      <c r="D527" s="31"/>
      <c r="E527" s="30"/>
      <c r="F527" s="30"/>
      <c r="G527" s="30"/>
      <c r="H527" s="30"/>
      <c r="I527" s="30"/>
    </row>
    <row r="528" spans="1:9" ht="18.75">
      <c r="A528" s="29"/>
      <c r="B528" s="30"/>
      <c r="C528" s="30"/>
      <c r="D528" s="31"/>
      <c r="E528" s="30"/>
      <c r="F528" s="30"/>
      <c r="G528" s="30"/>
      <c r="H528" s="30"/>
      <c r="I528" s="30"/>
    </row>
    <row r="529" spans="1:9" ht="18.75">
      <c r="A529" s="29"/>
      <c r="B529" s="30"/>
      <c r="C529" s="30"/>
      <c r="D529" s="31"/>
      <c r="E529" s="30"/>
      <c r="F529" s="30"/>
      <c r="G529" s="30"/>
      <c r="H529" s="30"/>
      <c r="I529" s="30"/>
    </row>
    <row r="530" spans="1:9" ht="18.75">
      <c r="A530" s="29"/>
      <c r="B530" s="30"/>
      <c r="C530" s="30"/>
      <c r="D530" s="31"/>
      <c r="E530" s="30"/>
      <c r="F530" s="30"/>
      <c r="G530" s="30"/>
      <c r="H530" s="30"/>
      <c r="I530" s="30"/>
    </row>
    <row r="531" spans="1:9" ht="18.75">
      <c r="A531" s="29"/>
      <c r="B531" s="30"/>
      <c r="C531" s="30"/>
      <c r="D531" s="31"/>
      <c r="E531" s="30"/>
      <c r="F531" s="30"/>
      <c r="G531" s="30"/>
      <c r="H531" s="30"/>
      <c r="I531" s="30"/>
    </row>
    <row r="532" spans="1:9" ht="18.75">
      <c r="A532" s="29"/>
      <c r="B532" s="30"/>
      <c r="C532" s="30"/>
      <c r="D532" s="31"/>
      <c r="E532" s="30"/>
      <c r="F532" s="30"/>
      <c r="G532" s="30"/>
      <c r="H532" s="30"/>
      <c r="I532" s="30"/>
    </row>
    <row r="533" spans="1:9" ht="18.75">
      <c r="A533" s="29"/>
      <c r="B533" s="30"/>
      <c r="C533" s="30"/>
      <c r="D533" s="31"/>
      <c r="E533" s="30"/>
      <c r="F533" s="30"/>
      <c r="G533" s="30"/>
      <c r="H533" s="30"/>
      <c r="I533" s="30"/>
    </row>
    <row r="534" spans="1:9" ht="18.75">
      <c r="A534" s="29"/>
      <c r="B534" s="30"/>
      <c r="C534" s="30"/>
      <c r="D534" s="31"/>
      <c r="E534" s="30"/>
      <c r="F534" s="30"/>
      <c r="G534" s="30"/>
      <c r="H534" s="30"/>
      <c r="I534" s="30"/>
    </row>
    <row r="535" spans="1:9" ht="18.75">
      <c r="A535" s="29"/>
      <c r="B535" s="30"/>
      <c r="C535" s="30"/>
      <c r="D535" s="31"/>
      <c r="E535" s="30"/>
      <c r="F535" s="30"/>
      <c r="G535" s="30"/>
      <c r="H535" s="30"/>
      <c r="I535" s="30"/>
    </row>
    <row r="536" spans="1:9" ht="18.75">
      <c r="A536" s="29"/>
      <c r="B536" s="30"/>
      <c r="C536" s="30"/>
      <c r="D536" s="31"/>
      <c r="E536" s="30"/>
      <c r="F536" s="30"/>
      <c r="G536" s="30"/>
      <c r="H536" s="30"/>
      <c r="I536" s="30"/>
    </row>
    <row r="537" spans="1:9" ht="18.75">
      <c r="A537" s="29"/>
      <c r="B537" s="30"/>
      <c r="C537" s="30"/>
      <c r="D537" s="31"/>
      <c r="E537" s="30"/>
      <c r="F537" s="30"/>
      <c r="G537" s="30"/>
      <c r="H537" s="30"/>
      <c r="I537" s="30"/>
    </row>
    <row r="538" spans="1:9" ht="18.75">
      <c r="A538" s="29"/>
      <c r="B538" s="30"/>
      <c r="C538" s="30"/>
      <c r="D538" s="31"/>
      <c r="E538" s="30"/>
      <c r="F538" s="30"/>
      <c r="G538" s="30"/>
      <c r="H538" s="30"/>
      <c r="I538" s="30"/>
    </row>
    <row r="539" spans="1:9" ht="18.75">
      <c r="A539" s="29"/>
      <c r="B539" s="30"/>
      <c r="C539" s="30"/>
      <c r="D539" s="31"/>
      <c r="E539" s="30"/>
      <c r="F539" s="30"/>
      <c r="G539" s="30"/>
      <c r="H539" s="30"/>
      <c r="I539" s="30"/>
    </row>
    <row r="540" spans="1:9" ht="18.75">
      <c r="A540" s="29"/>
      <c r="B540" s="30"/>
      <c r="C540" s="30"/>
      <c r="D540" s="31"/>
      <c r="E540" s="30"/>
      <c r="F540" s="30"/>
      <c r="G540" s="30"/>
      <c r="H540" s="30"/>
      <c r="I540" s="30"/>
    </row>
    <row r="541" spans="1:9" ht="18.75">
      <c r="A541" s="29"/>
      <c r="B541" s="30"/>
      <c r="C541" s="30"/>
      <c r="D541" s="31"/>
      <c r="E541" s="30"/>
      <c r="F541" s="30"/>
      <c r="G541" s="30"/>
      <c r="H541" s="30"/>
      <c r="I541" s="30"/>
    </row>
    <row r="542" spans="1:9" ht="18.75">
      <c r="A542" s="29"/>
      <c r="B542" s="30"/>
      <c r="C542" s="30"/>
      <c r="D542" s="31"/>
      <c r="E542" s="30"/>
      <c r="F542" s="30"/>
      <c r="G542" s="30"/>
      <c r="H542" s="30"/>
      <c r="I542" s="30"/>
    </row>
    <row r="543" spans="1:9" ht="18.75">
      <c r="A543" s="29"/>
      <c r="B543" s="30"/>
      <c r="C543" s="30"/>
      <c r="D543" s="31"/>
      <c r="E543" s="30"/>
      <c r="F543" s="30"/>
      <c r="G543" s="30"/>
      <c r="H543" s="30"/>
      <c r="I543" s="30"/>
    </row>
    <row r="544" spans="1:9" ht="18.75">
      <c r="A544" s="29"/>
      <c r="B544" s="30"/>
      <c r="C544" s="30"/>
      <c r="D544" s="31"/>
      <c r="E544" s="30"/>
      <c r="F544" s="30"/>
      <c r="G544" s="30"/>
      <c r="H544" s="30"/>
      <c r="I544" s="30"/>
    </row>
    <row r="545" spans="1:9" ht="18.75">
      <c r="A545" s="29"/>
      <c r="B545" s="30"/>
      <c r="C545" s="30"/>
      <c r="D545" s="31"/>
      <c r="E545" s="30"/>
      <c r="F545" s="30"/>
      <c r="G545" s="30"/>
      <c r="H545" s="30"/>
      <c r="I545" s="30"/>
    </row>
    <row r="546" spans="1:9" ht="18.75">
      <c r="A546" s="29"/>
      <c r="B546" s="30"/>
      <c r="C546" s="30"/>
      <c r="D546" s="31"/>
      <c r="E546" s="30"/>
      <c r="F546" s="30"/>
      <c r="G546" s="30"/>
      <c r="H546" s="30"/>
      <c r="I546" s="30"/>
    </row>
    <row r="547" spans="1:9" ht="18.75">
      <c r="A547" s="29"/>
      <c r="B547" s="30"/>
      <c r="C547" s="30"/>
      <c r="D547" s="31"/>
      <c r="E547" s="30"/>
      <c r="F547" s="30"/>
      <c r="G547" s="30"/>
      <c r="H547" s="30"/>
      <c r="I547" s="30"/>
    </row>
    <row r="548" spans="1:9" ht="18.75">
      <c r="A548" s="29"/>
      <c r="B548" s="30"/>
      <c r="C548" s="30"/>
      <c r="D548" s="31"/>
      <c r="E548" s="30"/>
      <c r="F548" s="30"/>
      <c r="G548" s="30"/>
      <c r="H548" s="30"/>
      <c r="I548" s="30"/>
    </row>
    <row r="549" spans="1:9" ht="18.75">
      <c r="A549" s="29"/>
      <c r="B549" s="30"/>
      <c r="C549" s="30"/>
      <c r="D549" s="31"/>
      <c r="E549" s="30"/>
      <c r="F549" s="30"/>
      <c r="G549" s="30"/>
      <c r="H549" s="30"/>
      <c r="I549" s="30"/>
    </row>
    <row r="550" spans="1:9" ht="18.75">
      <c r="A550" s="29"/>
      <c r="B550" s="30"/>
      <c r="C550" s="30"/>
      <c r="D550" s="31"/>
      <c r="E550" s="30"/>
      <c r="F550" s="30"/>
      <c r="G550" s="30"/>
      <c r="H550" s="30"/>
      <c r="I550" s="30"/>
    </row>
    <row r="551" spans="1:9" ht="18.75">
      <c r="A551" s="29"/>
      <c r="B551" s="30"/>
      <c r="C551" s="30"/>
      <c r="D551" s="31"/>
      <c r="E551" s="30"/>
      <c r="F551" s="30"/>
      <c r="G551" s="30"/>
      <c r="H551" s="30"/>
      <c r="I551" s="30"/>
    </row>
    <row r="552" spans="1:9" ht="18.75">
      <c r="A552" s="29"/>
      <c r="B552" s="30"/>
      <c r="C552" s="30"/>
      <c r="D552" s="31"/>
      <c r="E552" s="30"/>
      <c r="F552" s="30"/>
      <c r="G552" s="30"/>
      <c r="H552" s="30"/>
      <c r="I552" s="30"/>
    </row>
    <row r="553" spans="1:9" ht="18.75">
      <c r="A553" s="29"/>
      <c r="B553" s="30"/>
      <c r="C553" s="30"/>
      <c r="D553" s="31"/>
      <c r="E553" s="30"/>
      <c r="F553" s="30"/>
      <c r="G553" s="30"/>
      <c r="H553" s="30"/>
      <c r="I553" s="30"/>
    </row>
    <row r="554" spans="1:9" ht="18.75">
      <c r="A554" s="29"/>
      <c r="B554" s="30"/>
      <c r="C554" s="30"/>
      <c r="D554" s="31"/>
      <c r="E554" s="30"/>
      <c r="F554" s="30"/>
      <c r="G554" s="30"/>
      <c r="H554" s="30"/>
      <c r="I554" s="30"/>
    </row>
    <row r="555" spans="1:9" ht="18.75">
      <c r="A555" s="29"/>
      <c r="B555" s="30"/>
      <c r="C555" s="30"/>
      <c r="D555" s="31"/>
      <c r="E555" s="30"/>
      <c r="F555" s="30"/>
      <c r="G555" s="30"/>
      <c r="H555" s="30"/>
      <c r="I555" s="30"/>
    </row>
    <row r="556" spans="1:9" ht="18.75">
      <c r="A556" s="29"/>
      <c r="B556" s="30"/>
      <c r="C556" s="30"/>
      <c r="D556" s="31"/>
      <c r="E556" s="30"/>
      <c r="F556" s="30"/>
      <c r="G556" s="30"/>
      <c r="H556" s="30"/>
      <c r="I556" s="30"/>
    </row>
    <row r="557" spans="1:9" ht="18.75">
      <c r="A557" s="29"/>
      <c r="B557" s="30"/>
      <c r="C557" s="30"/>
      <c r="D557" s="31"/>
      <c r="E557" s="30"/>
      <c r="F557" s="30"/>
      <c r="G557" s="30"/>
      <c r="H557" s="30"/>
      <c r="I557" s="30"/>
    </row>
    <row r="558" spans="1:9" ht="18.75">
      <c r="A558" s="29"/>
      <c r="B558" s="30"/>
      <c r="C558" s="30"/>
      <c r="D558" s="31"/>
      <c r="E558" s="30"/>
      <c r="F558" s="30"/>
      <c r="G558" s="30"/>
      <c r="H558" s="30"/>
      <c r="I558" s="30"/>
    </row>
    <row r="559" spans="1:9" ht="18.75">
      <c r="A559" s="29"/>
      <c r="B559" s="30"/>
      <c r="C559" s="30"/>
      <c r="D559" s="31"/>
      <c r="E559" s="30"/>
      <c r="F559" s="30"/>
      <c r="G559" s="30"/>
      <c r="H559" s="30"/>
      <c r="I559" s="30"/>
    </row>
    <row r="560" spans="1:9" ht="18.75">
      <c r="A560" s="29"/>
      <c r="B560" s="30"/>
      <c r="C560" s="30"/>
      <c r="D560" s="31"/>
      <c r="E560" s="30"/>
      <c r="F560" s="30"/>
      <c r="G560" s="30"/>
      <c r="H560" s="30"/>
      <c r="I560" s="30"/>
    </row>
    <row r="561" spans="1:9" ht="18.75">
      <c r="A561" s="29"/>
      <c r="B561" s="30"/>
      <c r="C561" s="30"/>
      <c r="D561" s="31"/>
      <c r="E561" s="30"/>
      <c r="F561" s="30"/>
      <c r="G561" s="30"/>
      <c r="H561" s="30"/>
      <c r="I561" s="30"/>
    </row>
    <row r="562" spans="1:9" ht="18.75">
      <c r="A562" s="29"/>
      <c r="B562" s="30"/>
      <c r="C562" s="30"/>
      <c r="D562" s="31"/>
      <c r="E562" s="30"/>
      <c r="F562" s="30"/>
      <c r="G562" s="30"/>
      <c r="H562" s="30"/>
      <c r="I562" s="30"/>
    </row>
    <row r="563" spans="1:9" ht="18.75">
      <c r="A563" s="29"/>
      <c r="B563" s="30"/>
      <c r="C563" s="30"/>
      <c r="D563" s="31"/>
      <c r="E563" s="30"/>
      <c r="F563" s="30"/>
      <c r="G563" s="30"/>
      <c r="H563" s="30"/>
      <c r="I563" s="30"/>
    </row>
    <row r="564" spans="1:9" ht="18.75">
      <c r="A564" s="29"/>
      <c r="B564" s="30"/>
      <c r="C564" s="30"/>
      <c r="D564" s="31"/>
      <c r="E564" s="30"/>
      <c r="F564" s="30"/>
      <c r="G564" s="30"/>
      <c r="H564" s="30"/>
      <c r="I564" s="30"/>
    </row>
    <row r="565" spans="1:9" ht="18.75">
      <c r="A565" s="29"/>
      <c r="B565" s="30"/>
      <c r="C565" s="30"/>
      <c r="D565" s="31"/>
      <c r="E565" s="30"/>
      <c r="F565" s="30"/>
      <c r="G565" s="30"/>
      <c r="H565" s="30"/>
      <c r="I565" s="30"/>
    </row>
    <row r="566" spans="1:9" ht="18.75">
      <c r="A566" s="29"/>
      <c r="B566" s="30"/>
      <c r="C566" s="30"/>
      <c r="D566" s="31"/>
      <c r="E566" s="30"/>
      <c r="F566" s="30"/>
      <c r="G566" s="30"/>
      <c r="H566" s="30"/>
      <c r="I566" s="30"/>
    </row>
    <row r="567" spans="1:9" ht="18.75">
      <c r="A567" s="29"/>
      <c r="B567" s="30"/>
      <c r="C567" s="30"/>
      <c r="D567" s="31"/>
      <c r="E567" s="30"/>
      <c r="F567" s="30"/>
      <c r="G567" s="30"/>
      <c r="H567" s="30"/>
      <c r="I567" s="30"/>
    </row>
    <row r="568" spans="1:9" ht="18.75">
      <c r="A568" s="29"/>
      <c r="B568" s="30"/>
      <c r="C568" s="30"/>
      <c r="D568" s="31"/>
      <c r="E568" s="30"/>
      <c r="F568" s="30"/>
      <c r="G568" s="30"/>
      <c r="H568" s="30"/>
      <c r="I568" s="30"/>
    </row>
    <row r="569" spans="1:9" ht="18.75">
      <c r="A569" s="29"/>
      <c r="B569" s="30"/>
      <c r="C569" s="30"/>
      <c r="D569" s="31"/>
      <c r="E569" s="30"/>
      <c r="F569" s="30"/>
      <c r="G569" s="30"/>
      <c r="H569" s="30"/>
      <c r="I569" s="30"/>
    </row>
    <row r="570" spans="1:9" ht="18.75">
      <c r="A570" s="29"/>
      <c r="B570" s="30"/>
      <c r="C570" s="30"/>
      <c r="D570" s="31"/>
      <c r="E570" s="30"/>
      <c r="F570" s="30"/>
      <c r="G570" s="30"/>
      <c r="H570" s="30"/>
      <c r="I570" s="30"/>
    </row>
    <row r="571" spans="1:9" ht="18.75">
      <c r="A571" s="29"/>
      <c r="B571" s="30"/>
      <c r="C571" s="30"/>
      <c r="D571" s="31"/>
      <c r="E571" s="30"/>
      <c r="F571" s="30"/>
      <c r="G571" s="30"/>
      <c r="H571" s="30"/>
      <c r="I571" s="30"/>
    </row>
    <row r="572" spans="1:9" ht="18.75">
      <c r="A572" s="29"/>
      <c r="B572" s="30"/>
      <c r="C572" s="30"/>
      <c r="D572" s="31"/>
      <c r="E572" s="30"/>
      <c r="F572" s="30"/>
      <c r="G572" s="30"/>
      <c r="H572" s="30"/>
      <c r="I572" s="30"/>
    </row>
    <row r="573" spans="1:9" ht="18.75">
      <c r="A573" s="29"/>
      <c r="B573" s="30"/>
      <c r="C573" s="30"/>
      <c r="D573" s="31"/>
      <c r="E573" s="30"/>
      <c r="F573" s="30"/>
      <c r="G573" s="30"/>
      <c r="H573" s="30"/>
      <c r="I573" s="30"/>
    </row>
    <row r="574" spans="1:9" ht="18.75">
      <c r="A574" s="29"/>
      <c r="B574" s="30"/>
      <c r="C574" s="30"/>
      <c r="D574" s="31"/>
      <c r="E574" s="30"/>
      <c r="F574" s="30"/>
      <c r="G574" s="30"/>
      <c r="H574" s="30"/>
      <c r="I574" s="30"/>
    </row>
    <row r="575" spans="1:9" ht="18.75">
      <c r="A575" s="29"/>
      <c r="B575" s="30"/>
      <c r="C575" s="30"/>
      <c r="D575" s="31"/>
      <c r="E575" s="30"/>
      <c r="F575" s="30"/>
      <c r="G575" s="30"/>
      <c r="H575" s="30"/>
      <c r="I575" s="30"/>
    </row>
    <row r="576" spans="1:9" ht="18.75">
      <c r="A576" s="29"/>
      <c r="B576" s="30"/>
      <c r="C576" s="30"/>
      <c r="D576" s="31"/>
      <c r="E576" s="30"/>
      <c r="F576" s="30"/>
      <c r="G576" s="30"/>
      <c r="H576" s="30"/>
      <c r="I576" s="30"/>
    </row>
    <row r="577" spans="1:9" ht="18.75">
      <c r="A577" s="29"/>
      <c r="B577" s="30"/>
      <c r="C577" s="30"/>
      <c r="D577" s="31"/>
      <c r="E577" s="30"/>
      <c r="F577" s="30"/>
      <c r="G577" s="30"/>
      <c r="H577" s="30"/>
      <c r="I577" s="30"/>
    </row>
    <row r="578" spans="1:9" ht="18.75">
      <c r="A578" s="29"/>
      <c r="B578" s="30"/>
      <c r="C578" s="30"/>
      <c r="D578" s="31"/>
      <c r="E578" s="30"/>
      <c r="F578" s="30"/>
      <c r="G578" s="30"/>
      <c r="H578" s="30"/>
      <c r="I578" s="30"/>
    </row>
    <row r="579" spans="1:9" ht="18.75">
      <c r="A579" s="29"/>
      <c r="B579" s="30"/>
      <c r="C579" s="30"/>
      <c r="D579" s="31"/>
      <c r="E579" s="30"/>
      <c r="F579" s="30"/>
      <c r="G579" s="30"/>
      <c r="H579" s="30"/>
      <c r="I579" s="30"/>
    </row>
    <row r="580" spans="1:9" ht="18.75">
      <c r="A580" s="29"/>
      <c r="B580" s="30"/>
      <c r="C580" s="30"/>
      <c r="D580" s="31"/>
      <c r="E580" s="30"/>
      <c r="F580" s="30"/>
      <c r="G580" s="30"/>
      <c r="H580" s="30"/>
      <c r="I580" s="30"/>
    </row>
    <row r="581" spans="1:9" ht="18.75">
      <c r="A581" s="29"/>
      <c r="B581" s="30"/>
      <c r="C581" s="30"/>
      <c r="D581" s="31"/>
      <c r="E581" s="30"/>
      <c r="F581" s="30"/>
      <c r="G581" s="30"/>
      <c r="H581" s="30"/>
      <c r="I581" s="30"/>
    </row>
    <row r="582" spans="1:9" ht="18.75">
      <c r="A582" s="29"/>
      <c r="B582" s="30"/>
      <c r="C582" s="30"/>
      <c r="D582" s="31"/>
      <c r="E582" s="30"/>
      <c r="F582" s="30"/>
      <c r="G582" s="30"/>
      <c r="H582" s="30"/>
      <c r="I582" s="30"/>
    </row>
    <row r="583" spans="1:9" ht="18.75">
      <c r="A583" s="29"/>
      <c r="B583" s="30"/>
      <c r="C583" s="30"/>
      <c r="D583" s="31"/>
      <c r="E583" s="30"/>
      <c r="F583" s="30"/>
      <c r="G583" s="30"/>
      <c r="H583" s="30"/>
      <c r="I583" s="30"/>
    </row>
    <row r="584" spans="1:9" ht="18.75">
      <c r="A584" s="29"/>
      <c r="B584" s="30"/>
      <c r="C584" s="30"/>
      <c r="D584" s="31"/>
      <c r="E584" s="30"/>
      <c r="F584" s="30"/>
      <c r="G584" s="30"/>
      <c r="H584" s="30"/>
      <c r="I584" s="30"/>
    </row>
    <row r="585" spans="1:9" ht="18.75">
      <c r="A585" s="29"/>
      <c r="B585" s="30"/>
      <c r="C585" s="30"/>
      <c r="D585" s="31"/>
      <c r="E585" s="30"/>
      <c r="F585" s="30"/>
      <c r="G585" s="30"/>
      <c r="H585" s="30"/>
      <c r="I585" s="30"/>
    </row>
    <row r="586" spans="1:9" ht="18.75">
      <c r="A586" s="29"/>
      <c r="B586" s="30"/>
      <c r="C586" s="30"/>
      <c r="D586" s="31"/>
      <c r="E586" s="30"/>
      <c r="F586" s="30"/>
      <c r="G586" s="30"/>
      <c r="H586" s="30"/>
      <c r="I586" s="30"/>
    </row>
    <row r="587" spans="1:9" ht="18.75">
      <c r="A587" s="29"/>
      <c r="B587" s="30"/>
      <c r="C587" s="30"/>
      <c r="D587" s="31"/>
      <c r="E587" s="30"/>
      <c r="F587" s="30"/>
      <c r="G587" s="30"/>
      <c r="H587" s="30"/>
      <c r="I587" s="30"/>
    </row>
    <row r="588" spans="1:9" ht="18.75">
      <c r="A588" s="29"/>
      <c r="B588" s="30"/>
      <c r="C588" s="30"/>
      <c r="D588" s="31"/>
      <c r="E588" s="30"/>
      <c r="F588" s="30"/>
      <c r="G588" s="30"/>
      <c r="H588" s="30"/>
      <c r="I588" s="30"/>
    </row>
    <row r="589" spans="1:9" ht="18.75">
      <c r="A589" s="29"/>
      <c r="B589" s="30"/>
      <c r="C589" s="30"/>
      <c r="D589" s="31"/>
      <c r="E589" s="30"/>
      <c r="F589" s="30"/>
      <c r="G589" s="30"/>
      <c r="H589" s="30"/>
      <c r="I589" s="30"/>
    </row>
    <row r="590" spans="1:9" ht="18.75">
      <c r="A590" s="29"/>
      <c r="B590" s="30"/>
      <c r="C590" s="30"/>
      <c r="D590" s="31"/>
      <c r="E590" s="30"/>
      <c r="F590" s="30"/>
      <c r="G590" s="30"/>
      <c r="H590" s="30"/>
      <c r="I590" s="30"/>
    </row>
    <row r="591" spans="1:9" ht="18.75">
      <c r="A591" s="29"/>
      <c r="B591" s="30"/>
      <c r="C591" s="30"/>
      <c r="D591" s="31"/>
      <c r="E591" s="30"/>
      <c r="F591" s="30"/>
      <c r="G591" s="30"/>
      <c r="H591" s="30"/>
      <c r="I591" s="30"/>
    </row>
    <row r="592" spans="1:9" ht="18.75">
      <c r="A592" s="29"/>
      <c r="B592" s="30"/>
      <c r="C592" s="30"/>
      <c r="D592" s="31"/>
      <c r="E592" s="30"/>
      <c r="F592" s="30"/>
      <c r="G592" s="30"/>
      <c r="H592" s="30"/>
      <c r="I592" s="30"/>
    </row>
    <row r="593" spans="1:9" ht="18.75">
      <c r="A593" s="29"/>
      <c r="B593" s="30"/>
      <c r="C593" s="30"/>
      <c r="D593" s="31"/>
      <c r="E593" s="30"/>
      <c r="F593" s="30"/>
      <c r="G593" s="30"/>
      <c r="H593" s="30"/>
      <c r="I593" s="30"/>
    </row>
    <row r="594" spans="1:9" ht="18.75">
      <c r="A594" s="29"/>
      <c r="B594" s="30"/>
      <c r="C594" s="30"/>
      <c r="D594" s="31"/>
      <c r="E594" s="30"/>
      <c r="F594" s="30"/>
      <c r="G594" s="30"/>
      <c r="H594" s="30"/>
      <c r="I594" s="30"/>
    </row>
    <row r="595" spans="1:9" ht="18.75">
      <c r="A595" s="29"/>
      <c r="B595" s="30"/>
      <c r="C595" s="30"/>
      <c r="D595" s="31"/>
      <c r="E595" s="30"/>
      <c r="F595" s="30"/>
      <c r="G595" s="30"/>
      <c r="H595" s="30"/>
      <c r="I595" s="30"/>
    </row>
    <row r="596" spans="1:9" ht="18.75">
      <c r="A596" s="29"/>
      <c r="B596" s="30"/>
      <c r="C596" s="30"/>
      <c r="D596" s="31"/>
      <c r="E596" s="30"/>
      <c r="F596" s="30"/>
      <c r="G596" s="30"/>
      <c r="H596" s="30"/>
      <c r="I596" s="30"/>
    </row>
    <row r="597" spans="1:9" ht="18.75">
      <c r="A597" s="29"/>
      <c r="B597" s="30"/>
      <c r="C597" s="30"/>
      <c r="D597" s="31"/>
      <c r="E597" s="30"/>
      <c r="F597" s="30"/>
      <c r="G597" s="30"/>
      <c r="H597" s="30"/>
      <c r="I597" s="30"/>
    </row>
    <row r="598" spans="1:9" ht="18.75">
      <c r="A598" s="29"/>
      <c r="B598" s="30"/>
      <c r="C598" s="30"/>
      <c r="D598" s="31"/>
      <c r="E598" s="30"/>
      <c r="F598" s="30"/>
      <c r="G598" s="30"/>
      <c r="H598" s="30"/>
      <c r="I598" s="30"/>
    </row>
    <row r="599" spans="1:9" ht="18.75">
      <c r="A599" s="29"/>
      <c r="B599" s="30"/>
      <c r="C599" s="30"/>
      <c r="D599" s="31"/>
      <c r="E599" s="30"/>
      <c r="F599" s="30"/>
      <c r="G599" s="30"/>
      <c r="H599" s="30"/>
      <c r="I599" s="30"/>
    </row>
    <row r="600" spans="1:9" ht="18.75">
      <c r="A600" s="29"/>
      <c r="B600" s="30"/>
      <c r="C600" s="30"/>
      <c r="D600" s="31"/>
      <c r="E600" s="30"/>
      <c r="F600" s="30"/>
      <c r="G600" s="30"/>
      <c r="H600" s="30"/>
      <c r="I600" s="30"/>
    </row>
    <row r="601" spans="1:9" ht="18.75">
      <c r="A601" s="29"/>
      <c r="B601" s="30"/>
      <c r="C601" s="30"/>
      <c r="D601" s="31"/>
      <c r="E601" s="30"/>
      <c r="F601" s="30"/>
      <c r="G601" s="30"/>
      <c r="H601" s="30"/>
      <c r="I601" s="30"/>
    </row>
    <row r="602" spans="1:9" ht="18.75">
      <c r="A602" s="29"/>
      <c r="B602" s="30"/>
      <c r="C602" s="30"/>
      <c r="D602" s="31"/>
      <c r="E602" s="30"/>
      <c r="F602" s="30"/>
      <c r="G602" s="30"/>
      <c r="H602" s="30"/>
      <c r="I602" s="30"/>
    </row>
    <row r="603" spans="1:9" ht="18.75">
      <c r="A603" s="29"/>
      <c r="B603" s="30"/>
      <c r="C603" s="30"/>
      <c r="D603" s="31"/>
      <c r="E603" s="30"/>
      <c r="F603" s="30"/>
      <c r="G603" s="30"/>
      <c r="H603" s="30"/>
      <c r="I603" s="30"/>
    </row>
    <row r="604" spans="1:9" ht="18.75">
      <c r="A604" s="29"/>
      <c r="B604" s="30"/>
      <c r="C604" s="30"/>
      <c r="D604" s="31"/>
      <c r="E604" s="30"/>
      <c r="F604" s="30"/>
      <c r="G604" s="30"/>
      <c r="H604" s="30"/>
      <c r="I604" s="30"/>
    </row>
    <row r="605" spans="1:9" ht="18.75">
      <c r="A605" s="29"/>
      <c r="B605" s="30"/>
      <c r="C605" s="30"/>
      <c r="D605" s="31"/>
      <c r="E605" s="30"/>
      <c r="F605" s="30"/>
      <c r="G605" s="30"/>
      <c r="H605" s="30"/>
      <c r="I605" s="30"/>
    </row>
    <row r="606" spans="1:9" ht="18.75">
      <c r="A606" s="29"/>
      <c r="B606" s="30"/>
      <c r="C606" s="30"/>
      <c r="D606" s="31"/>
      <c r="E606" s="30"/>
      <c r="F606" s="30"/>
      <c r="G606" s="30"/>
      <c r="H606" s="30"/>
      <c r="I606" s="30"/>
    </row>
    <row r="607" spans="1:9" ht="18.75">
      <c r="A607" s="29"/>
      <c r="B607" s="30"/>
      <c r="C607" s="30"/>
      <c r="D607" s="31"/>
      <c r="E607" s="30"/>
      <c r="F607" s="30"/>
      <c r="G607" s="30"/>
      <c r="H607" s="30"/>
      <c r="I607" s="30"/>
    </row>
    <row r="608" spans="1:9" ht="18.75">
      <c r="A608" s="29"/>
      <c r="B608" s="30"/>
      <c r="C608" s="30"/>
      <c r="D608" s="31"/>
      <c r="E608" s="30"/>
      <c r="F608" s="30"/>
      <c r="G608" s="30"/>
      <c r="H608" s="30"/>
      <c r="I608" s="30"/>
    </row>
    <row r="609" spans="1:9" ht="18.75">
      <c r="A609" s="29"/>
      <c r="B609" s="30"/>
      <c r="C609" s="30"/>
      <c r="D609" s="31"/>
      <c r="E609" s="30"/>
      <c r="F609" s="30"/>
      <c r="G609" s="30"/>
      <c r="H609" s="30"/>
      <c r="I609" s="30"/>
    </row>
    <row r="610" spans="1:9" ht="18.75">
      <c r="A610" s="29"/>
      <c r="B610" s="30"/>
      <c r="C610" s="30"/>
      <c r="D610" s="31"/>
      <c r="E610" s="30"/>
      <c r="F610" s="30"/>
      <c r="G610" s="30"/>
      <c r="H610" s="30"/>
      <c r="I610" s="30"/>
    </row>
    <row r="611" spans="1:9" ht="18.75">
      <c r="A611" s="29"/>
      <c r="B611" s="30"/>
      <c r="C611" s="30"/>
      <c r="D611" s="31"/>
      <c r="E611" s="30"/>
      <c r="F611" s="30"/>
      <c r="G611" s="30"/>
      <c r="H611" s="30"/>
      <c r="I611" s="30"/>
    </row>
    <row r="612" spans="1:9" ht="18.75">
      <c r="A612" s="29"/>
      <c r="B612" s="30"/>
      <c r="C612" s="30"/>
      <c r="D612" s="31"/>
      <c r="E612" s="30"/>
      <c r="F612" s="30"/>
      <c r="G612" s="30"/>
      <c r="H612" s="30"/>
      <c r="I612" s="30"/>
    </row>
    <row r="613" spans="1:9" ht="18.75">
      <c r="A613" s="29"/>
      <c r="B613" s="30"/>
      <c r="C613" s="30"/>
      <c r="D613" s="31"/>
      <c r="E613" s="30"/>
      <c r="F613" s="30"/>
      <c r="G613" s="30"/>
      <c r="H613" s="30"/>
      <c r="I613" s="30"/>
    </row>
    <row r="614" spans="1:9" ht="18.75">
      <c r="A614" s="29"/>
      <c r="B614" s="30"/>
      <c r="C614" s="30"/>
      <c r="D614" s="31"/>
      <c r="E614" s="30"/>
      <c r="F614" s="30"/>
      <c r="G614" s="30"/>
      <c r="H614" s="30"/>
      <c r="I614" s="30"/>
    </row>
    <row r="615" spans="1:9" ht="18.75">
      <c r="A615" s="29"/>
      <c r="B615" s="30"/>
      <c r="C615" s="30"/>
      <c r="D615" s="31"/>
      <c r="E615" s="30"/>
      <c r="F615" s="30"/>
      <c r="G615" s="30"/>
      <c r="H615" s="30"/>
      <c r="I615" s="30"/>
    </row>
    <row r="616" spans="1:9" ht="18.75">
      <c r="A616" s="29"/>
      <c r="B616" s="30"/>
      <c r="C616" s="30"/>
      <c r="D616" s="31"/>
      <c r="E616" s="30"/>
      <c r="F616" s="30"/>
      <c r="G616" s="30"/>
      <c r="H616" s="30"/>
      <c r="I616" s="30"/>
    </row>
    <row r="617" spans="1:9" ht="18.75">
      <c r="A617" s="29"/>
      <c r="B617" s="30"/>
      <c r="C617" s="30"/>
      <c r="D617" s="31"/>
      <c r="E617" s="30"/>
      <c r="F617" s="30"/>
      <c r="G617" s="30"/>
      <c r="H617" s="30"/>
      <c r="I617" s="30"/>
    </row>
    <row r="618" spans="1:9" ht="18.75">
      <c r="A618" s="29"/>
      <c r="B618" s="30"/>
      <c r="C618" s="30"/>
      <c r="D618" s="31"/>
      <c r="E618" s="30"/>
      <c r="F618" s="30"/>
      <c r="G618" s="30"/>
      <c r="H618" s="30"/>
      <c r="I618" s="30"/>
    </row>
    <row r="619" spans="1:9" ht="18.75">
      <c r="A619" s="29"/>
      <c r="B619" s="30"/>
      <c r="C619" s="30"/>
      <c r="D619" s="31"/>
      <c r="E619" s="30"/>
      <c r="F619" s="30"/>
      <c r="G619" s="30"/>
      <c r="H619" s="30"/>
      <c r="I619" s="30"/>
    </row>
    <row r="620" spans="1:9" ht="18.75">
      <c r="A620" s="29"/>
      <c r="B620" s="30"/>
      <c r="C620" s="30"/>
      <c r="D620" s="31"/>
      <c r="E620" s="30"/>
      <c r="F620" s="30"/>
      <c r="G620" s="30"/>
      <c r="H620" s="30"/>
      <c r="I620" s="30"/>
    </row>
    <row r="621" spans="1:9" ht="18.75">
      <c r="A621" s="29"/>
      <c r="B621" s="30"/>
      <c r="C621" s="30"/>
      <c r="D621" s="31"/>
      <c r="E621" s="30"/>
      <c r="F621" s="30"/>
      <c r="G621" s="30"/>
      <c r="H621" s="30"/>
      <c r="I621" s="30"/>
    </row>
    <row r="622" spans="1:9" ht="18.75">
      <c r="A622" s="29"/>
      <c r="B622" s="30"/>
      <c r="C622" s="30"/>
      <c r="D622" s="31"/>
      <c r="E622" s="30"/>
      <c r="F622" s="30"/>
      <c r="G622" s="30"/>
      <c r="H622" s="30"/>
      <c r="I622" s="30"/>
    </row>
    <row r="623" spans="1:9" ht="18.75">
      <c r="A623" s="29"/>
      <c r="B623" s="30"/>
      <c r="C623" s="30"/>
      <c r="D623" s="31"/>
      <c r="E623" s="30"/>
      <c r="F623" s="30"/>
      <c r="G623" s="30"/>
      <c r="H623" s="30"/>
      <c r="I623" s="30"/>
    </row>
    <row r="624" spans="1:9" ht="18.75">
      <c r="A624" s="29"/>
      <c r="B624" s="30"/>
      <c r="C624" s="30"/>
      <c r="D624" s="31"/>
      <c r="E624" s="30"/>
      <c r="F624" s="30"/>
      <c r="G624" s="30"/>
      <c r="H624" s="30"/>
      <c r="I624" s="30"/>
    </row>
    <row r="625" spans="1:9" ht="18.75">
      <c r="A625" s="29"/>
      <c r="B625" s="30"/>
      <c r="C625" s="30"/>
      <c r="D625" s="31"/>
      <c r="E625" s="30"/>
      <c r="F625" s="30"/>
      <c r="G625" s="30"/>
      <c r="H625" s="30"/>
      <c r="I625" s="30"/>
    </row>
    <row r="626" spans="1:9" ht="18.75">
      <c r="A626" s="29"/>
      <c r="B626" s="30"/>
      <c r="C626" s="30"/>
      <c r="D626" s="31"/>
      <c r="E626" s="30"/>
      <c r="F626" s="30"/>
      <c r="G626" s="30"/>
      <c r="H626" s="30"/>
      <c r="I626" s="30"/>
    </row>
    <row r="627" spans="1:9" ht="18.75">
      <c r="A627" s="29"/>
      <c r="B627" s="30"/>
      <c r="C627" s="30"/>
      <c r="D627" s="31"/>
      <c r="E627" s="30"/>
      <c r="F627" s="30"/>
      <c r="G627" s="30"/>
      <c r="H627" s="30"/>
      <c r="I627" s="30"/>
    </row>
    <row r="628" spans="1:9" ht="18.75">
      <c r="A628" s="29"/>
      <c r="B628" s="30"/>
      <c r="C628" s="30"/>
      <c r="D628" s="31"/>
      <c r="E628" s="30"/>
      <c r="F628" s="30"/>
      <c r="G628" s="30"/>
      <c r="H628" s="30"/>
      <c r="I628" s="30"/>
    </row>
    <row r="629" spans="1:9" ht="18.75">
      <c r="A629" s="29"/>
      <c r="B629" s="30"/>
      <c r="C629" s="30"/>
      <c r="D629" s="31"/>
      <c r="E629" s="30"/>
      <c r="F629" s="30"/>
      <c r="G629" s="30"/>
      <c r="H629" s="30"/>
      <c r="I629" s="30"/>
    </row>
    <row r="630" spans="1:9" ht="18.75">
      <c r="A630" s="29"/>
      <c r="B630" s="30"/>
      <c r="C630" s="30"/>
      <c r="D630" s="31"/>
      <c r="E630" s="30"/>
      <c r="F630" s="30"/>
      <c r="G630" s="30"/>
      <c r="H630" s="30"/>
      <c r="I630" s="30"/>
    </row>
    <row r="631" spans="1:9" ht="18.75">
      <c r="A631" s="29"/>
      <c r="B631" s="30"/>
      <c r="C631" s="30"/>
      <c r="D631" s="31"/>
      <c r="E631" s="30"/>
      <c r="F631" s="30"/>
      <c r="G631" s="30"/>
      <c r="H631" s="30"/>
      <c r="I631" s="30"/>
    </row>
    <row r="632" spans="1:9" ht="18.75">
      <c r="A632" s="29"/>
      <c r="B632" s="30"/>
      <c r="C632" s="30"/>
      <c r="D632" s="31"/>
      <c r="E632" s="30"/>
      <c r="F632" s="30"/>
      <c r="G632" s="30"/>
      <c r="H632" s="30"/>
      <c r="I632" s="30"/>
    </row>
    <row r="633" spans="1:9" ht="18.75">
      <c r="A633" s="29"/>
      <c r="B633" s="30"/>
      <c r="C633" s="30"/>
      <c r="D633" s="31"/>
      <c r="E633" s="30"/>
      <c r="F633" s="30"/>
      <c r="G633" s="30"/>
      <c r="H633" s="30"/>
      <c r="I633" s="30"/>
    </row>
    <row r="634" spans="1:9" ht="18.75">
      <c r="A634" s="29"/>
      <c r="B634" s="30"/>
      <c r="C634" s="30"/>
      <c r="D634" s="31"/>
      <c r="E634" s="30"/>
      <c r="F634" s="30"/>
      <c r="G634" s="30"/>
      <c r="H634" s="30"/>
      <c r="I634" s="30"/>
    </row>
    <row r="635" spans="1:9" ht="18.75">
      <c r="A635" s="29"/>
      <c r="B635" s="30"/>
      <c r="C635" s="30"/>
      <c r="D635" s="31"/>
      <c r="E635" s="30"/>
      <c r="F635" s="30"/>
      <c r="G635" s="30"/>
      <c r="H635" s="30"/>
      <c r="I635" s="30"/>
    </row>
    <row r="636" spans="1:9" ht="18.75">
      <c r="A636" s="29"/>
      <c r="B636" s="30"/>
      <c r="C636" s="30"/>
      <c r="D636" s="31"/>
      <c r="E636" s="30"/>
      <c r="F636" s="30"/>
      <c r="G636" s="30"/>
      <c r="H636" s="30"/>
      <c r="I636" s="30"/>
    </row>
    <row r="637" spans="1:9" ht="18.75">
      <c r="A637" s="29"/>
      <c r="B637" s="30"/>
      <c r="C637" s="30"/>
      <c r="D637" s="31"/>
      <c r="E637" s="30"/>
      <c r="F637" s="30"/>
      <c r="G637" s="30"/>
      <c r="H637" s="30"/>
      <c r="I637" s="30"/>
    </row>
    <row r="638" spans="1:9" ht="18.75">
      <c r="A638" s="29"/>
      <c r="B638" s="30"/>
      <c r="C638" s="30"/>
      <c r="D638" s="31"/>
      <c r="E638" s="30"/>
      <c r="F638" s="30"/>
      <c r="G638" s="30"/>
      <c r="H638" s="30"/>
      <c r="I638" s="30"/>
    </row>
    <row r="639" spans="1:9" ht="18.75">
      <c r="A639" s="29"/>
      <c r="B639" s="30"/>
      <c r="C639" s="30"/>
      <c r="D639" s="31"/>
      <c r="E639" s="30"/>
      <c r="F639" s="30"/>
      <c r="G639" s="30"/>
      <c r="H639" s="30"/>
      <c r="I639" s="30"/>
    </row>
    <row r="640" spans="1:9" ht="18.75">
      <c r="A640" s="29"/>
      <c r="B640" s="30"/>
      <c r="C640" s="30"/>
      <c r="D640" s="31"/>
      <c r="E640" s="30"/>
      <c r="F640" s="30"/>
      <c r="G640" s="30"/>
      <c r="H640" s="30"/>
      <c r="I640" s="30"/>
    </row>
    <row r="641" spans="1:9" ht="18.75">
      <c r="A641" s="29"/>
      <c r="B641" s="30"/>
      <c r="C641" s="30"/>
      <c r="D641" s="31"/>
      <c r="E641" s="30"/>
      <c r="F641" s="30"/>
      <c r="G641" s="30"/>
      <c r="H641" s="30"/>
      <c r="I641" s="30"/>
    </row>
    <row r="642" spans="1:9" ht="18.75">
      <c r="A642" s="29"/>
      <c r="B642" s="30"/>
      <c r="C642" s="30"/>
      <c r="D642" s="31"/>
      <c r="E642" s="30"/>
      <c r="F642" s="30"/>
      <c r="G642" s="30"/>
      <c r="H642" s="30"/>
      <c r="I642" s="30"/>
    </row>
    <row r="643" spans="1:9" ht="18.75">
      <c r="A643" s="29"/>
      <c r="B643" s="30"/>
      <c r="C643" s="30"/>
      <c r="D643" s="31"/>
      <c r="E643" s="30"/>
      <c r="F643" s="30"/>
      <c r="G643" s="30"/>
      <c r="H643" s="30"/>
      <c r="I643" s="30"/>
    </row>
    <row r="644" spans="1:9" ht="18.75">
      <c r="A644" s="29"/>
      <c r="B644" s="30"/>
      <c r="C644" s="30"/>
      <c r="D644" s="31"/>
      <c r="E644" s="30"/>
      <c r="F644" s="30"/>
      <c r="G644" s="30"/>
      <c r="H644" s="30"/>
      <c r="I644" s="30"/>
    </row>
    <row r="645" spans="1:9" ht="18.75">
      <c r="A645" s="29"/>
      <c r="B645" s="30"/>
      <c r="C645" s="30"/>
      <c r="D645" s="31"/>
      <c r="E645" s="30"/>
      <c r="F645" s="30"/>
      <c r="G645" s="30"/>
      <c r="H645" s="30"/>
      <c r="I645" s="30"/>
    </row>
    <row r="646" spans="1:9" ht="18.75">
      <c r="A646" s="29"/>
      <c r="B646" s="30"/>
      <c r="C646" s="30"/>
      <c r="D646" s="31"/>
      <c r="E646" s="30"/>
      <c r="F646" s="30"/>
      <c r="G646" s="30"/>
      <c r="H646" s="30"/>
      <c r="I646" s="30"/>
    </row>
    <row r="647" spans="1:9" ht="18.75">
      <c r="A647" s="29"/>
      <c r="B647" s="30"/>
      <c r="C647" s="30"/>
      <c r="D647" s="31"/>
      <c r="E647" s="30"/>
      <c r="F647" s="30"/>
      <c r="G647" s="30"/>
      <c r="H647" s="30"/>
      <c r="I647" s="30"/>
    </row>
    <row r="648" spans="1:9" ht="18.75">
      <c r="A648" s="29"/>
      <c r="B648" s="30"/>
      <c r="C648" s="30"/>
      <c r="D648" s="31"/>
      <c r="E648" s="30"/>
      <c r="F648" s="30"/>
      <c r="G648" s="30"/>
      <c r="H648" s="30"/>
      <c r="I648" s="30"/>
    </row>
    <row r="649" spans="1:9" ht="18.75">
      <c r="A649" s="29"/>
      <c r="B649" s="30"/>
      <c r="C649" s="30"/>
      <c r="D649" s="31"/>
      <c r="E649" s="30"/>
      <c r="F649" s="30"/>
      <c r="G649" s="30"/>
      <c r="H649" s="30"/>
      <c r="I649" s="30"/>
    </row>
    <row r="650" spans="1:9" ht="18.75">
      <c r="A650" s="29"/>
      <c r="B650" s="30"/>
      <c r="C650" s="30"/>
      <c r="D650" s="31"/>
      <c r="E650" s="30"/>
      <c r="F650" s="30"/>
      <c r="G650" s="30"/>
      <c r="H650" s="30"/>
      <c r="I650" s="30"/>
    </row>
    <row r="651" spans="1:9" ht="18.75">
      <c r="A651" s="29"/>
      <c r="B651" s="30"/>
      <c r="C651" s="30"/>
      <c r="D651" s="31"/>
      <c r="E651" s="30"/>
      <c r="F651" s="30"/>
      <c r="G651" s="30"/>
      <c r="H651" s="30"/>
      <c r="I651" s="30"/>
    </row>
    <row r="652" spans="1:9" ht="18.75">
      <c r="A652" s="29"/>
      <c r="B652" s="30"/>
      <c r="C652" s="30"/>
      <c r="D652" s="31"/>
      <c r="E652" s="30"/>
      <c r="F652" s="30"/>
      <c r="G652" s="30"/>
      <c r="H652" s="30"/>
      <c r="I652" s="30"/>
    </row>
    <row r="653" spans="1:9" ht="18.75">
      <c r="A653" s="29"/>
      <c r="B653" s="30"/>
      <c r="C653" s="30"/>
      <c r="D653" s="31"/>
      <c r="E653" s="30"/>
      <c r="F653" s="30"/>
      <c r="G653" s="30"/>
      <c r="H653" s="30"/>
      <c r="I653" s="30"/>
    </row>
    <row r="654" spans="1:9" ht="18.75">
      <c r="A654" s="29"/>
      <c r="B654" s="30"/>
      <c r="C654" s="30"/>
      <c r="D654" s="31"/>
      <c r="E654" s="30"/>
      <c r="F654" s="30"/>
      <c r="G654" s="30"/>
      <c r="H654" s="30"/>
      <c r="I654" s="30"/>
    </row>
    <row r="655" spans="1:9" ht="18.75">
      <c r="A655" s="29"/>
      <c r="B655" s="30"/>
      <c r="C655" s="30"/>
      <c r="D655" s="31"/>
      <c r="E655" s="30"/>
      <c r="F655" s="30"/>
      <c r="G655" s="30"/>
      <c r="H655" s="30"/>
      <c r="I655" s="30"/>
    </row>
    <row r="656" spans="1:9" ht="18.75">
      <c r="A656" s="29"/>
      <c r="B656" s="30"/>
      <c r="C656" s="30"/>
      <c r="D656" s="31"/>
      <c r="E656" s="30"/>
      <c r="F656" s="30"/>
      <c r="G656" s="30"/>
      <c r="H656" s="30"/>
      <c r="I656" s="30"/>
    </row>
    <row r="657" spans="1:9" ht="18.75">
      <c r="A657" s="29"/>
      <c r="B657" s="30"/>
      <c r="C657" s="30"/>
      <c r="D657" s="31"/>
      <c r="E657" s="30"/>
      <c r="F657" s="30"/>
      <c r="G657" s="30"/>
      <c r="H657" s="30"/>
      <c r="I657" s="30"/>
    </row>
    <row r="658" spans="1:9" ht="18.75">
      <c r="A658" s="29"/>
      <c r="B658" s="30"/>
      <c r="C658" s="30"/>
      <c r="D658" s="31"/>
      <c r="E658" s="30"/>
      <c r="F658" s="30"/>
      <c r="G658" s="30"/>
      <c r="H658" s="30"/>
      <c r="I658" s="30"/>
    </row>
    <row r="659" spans="1:9" ht="18.75">
      <c r="A659" s="29"/>
      <c r="B659" s="30"/>
      <c r="C659" s="30"/>
      <c r="D659" s="31"/>
      <c r="E659" s="30"/>
      <c r="F659" s="30"/>
      <c r="G659" s="30"/>
      <c r="H659" s="30"/>
      <c r="I659" s="30"/>
    </row>
    <row r="660" spans="1:9" ht="18.75">
      <c r="A660" s="29"/>
      <c r="B660" s="30"/>
      <c r="C660" s="30"/>
      <c r="D660" s="31"/>
      <c r="E660" s="30"/>
      <c r="F660" s="30"/>
      <c r="G660" s="30"/>
      <c r="H660" s="30"/>
      <c r="I660" s="30"/>
    </row>
    <row r="661" spans="1:9" ht="18.75">
      <c r="A661" s="29"/>
      <c r="B661" s="30"/>
      <c r="C661" s="30"/>
      <c r="D661" s="31"/>
      <c r="E661" s="30"/>
      <c r="F661" s="30"/>
      <c r="G661" s="30"/>
      <c r="H661" s="30"/>
      <c r="I661" s="30"/>
    </row>
    <row r="662" spans="1:9" ht="18.75">
      <c r="A662" s="29"/>
      <c r="B662" s="30"/>
      <c r="C662" s="30"/>
      <c r="D662" s="31"/>
      <c r="E662" s="30"/>
      <c r="F662" s="30"/>
      <c r="G662" s="30"/>
      <c r="H662" s="30"/>
      <c r="I662" s="30"/>
    </row>
    <row r="663" spans="1:9" ht="18.75">
      <c r="A663" s="29"/>
      <c r="B663" s="30"/>
      <c r="C663" s="30"/>
      <c r="D663" s="31"/>
      <c r="E663" s="30"/>
      <c r="F663" s="30"/>
      <c r="G663" s="30"/>
      <c r="H663" s="30"/>
      <c r="I663" s="30"/>
    </row>
    <row r="664" spans="1:9" ht="18.75">
      <c r="A664" s="29"/>
      <c r="B664" s="30"/>
      <c r="C664" s="30"/>
      <c r="D664" s="31"/>
      <c r="E664" s="30"/>
      <c r="F664" s="30"/>
      <c r="G664" s="30"/>
      <c r="H664" s="30"/>
      <c r="I664" s="30"/>
    </row>
    <row r="665" spans="1:9" ht="18.75">
      <c r="A665" s="29"/>
      <c r="B665" s="30"/>
      <c r="C665" s="30"/>
      <c r="D665" s="31"/>
      <c r="E665" s="30"/>
      <c r="F665" s="30"/>
      <c r="G665" s="30"/>
      <c r="H665" s="30"/>
      <c r="I665" s="30"/>
    </row>
    <row r="666" spans="1:9" ht="18.75">
      <c r="A666" s="29"/>
      <c r="B666" s="30"/>
      <c r="C666" s="30"/>
      <c r="D666" s="31"/>
      <c r="E666" s="30"/>
      <c r="F666" s="30"/>
      <c r="G666" s="30"/>
      <c r="H666" s="30"/>
      <c r="I666" s="30"/>
    </row>
    <row r="667" spans="1:9" ht="18.75">
      <c r="A667" s="29"/>
      <c r="B667" s="30"/>
      <c r="C667" s="30"/>
      <c r="D667" s="31"/>
      <c r="E667" s="30"/>
      <c r="F667" s="30"/>
      <c r="G667" s="30"/>
      <c r="H667" s="30"/>
      <c r="I667" s="30"/>
    </row>
    <row r="668" spans="1:9" ht="18.75">
      <c r="A668" s="29"/>
      <c r="B668" s="30"/>
      <c r="C668" s="30"/>
      <c r="D668" s="31"/>
      <c r="E668" s="30"/>
      <c r="F668" s="30"/>
      <c r="G668" s="30"/>
      <c r="H668" s="30"/>
      <c r="I668" s="30"/>
    </row>
    <row r="669" spans="1:9" ht="18.75">
      <c r="A669" s="29"/>
      <c r="B669" s="30"/>
      <c r="C669" s="30"/>
      <c r="D669" s="31"/>
      <c r="E669" s="30"/>
      <c r="F669" s="30"/>
      <c r="G669" s="30"/>
      <c r="H669" s="30"/>
      <c r="I669" s="30"/>
    </row>
    <row r="670" spans="1:9" ht="18.75">
      <c r="A670" s="29"/>
      <c r="B670" s="30"/>
      <c r="C670" s="30"/>
      <c r="D670" s="31"/>
      <c r="E670" s="30"/>
      <c r="F670" s="30"/>
      <c r="G670" s="30"/>
      <c r="H670" s="30"/>
      <c r="I670" s="30"/>
    </row>
    <row r="671" spans="1:9" ht="18.75">
      <c r="A671" s="29"/>
      <c r="B671" s="30"/>
      <c r="C671" s="30"/>
      <c r="D671" s="31"/>
      <c r="E671" s="30"/>
      <c r="F671" s="30"/>
      <c r="G671" s="30"/>
      <c r="H671" s="30"/>
      <c r="I671" s="30"/>
    </row>
    <row r="672" spans="1:9" ht="18.75">
      <c r="A672" s="29"/>
      <c r="B672" s="30"/>
      <c r="C672" s="30"/>
      <c r="D672" s="31"/>
      <c r="E672" s="30"/>
      <c r="F672" s="30"/>
      <c r="G672" s="30"/>
      <c r="H672" s="30"/>
      <c r="I672" s="30"/>
    </row>
    <row r="673" spans="1:9" ht="18.75">
      <c r="A673" s="29"/>
      <c r="B673" s="30"/>
      <c r="C673" s="30"/>
      <c r="D673" s="31"/>
      <c r="E673" s="30"/>
      <c r="F673" s="30"/>
      <c r="G673" s="30"/>
      <c r="H673" s="30"/>
      <c r="I673" s="30"/>
    </row>
    <row r="674" spans="1:9" ht="18.75">
      <c r="A674" s="29"/>
      <c r="B674" s="30"/>
      <c r="C674" s="30"/>
      <c r="D674" s="31"/>
      <c r="E674" s="30"/>
      <c r="F674" s="30"/>
      <c r="G674" s="30"/>
      <c r="H674" s="30"/>
      <c r="I674" s="30"/>
    </row>
    <row r="675" spans="1:9" ht="18.75">
      <c r="A675" s="29"/>
      <c r="B675" s="30"/>
      <c r="C675" s="30"/>
      <c r="D675" s="31"/>
      <c r="E675" s="30"/>
      <c r="F675" s="30"/>
      <c r="G675" s="30"/>
      <c r="H675" s="30"/>
      <c r="I675" s="30"/>
    </row>
    <row r="676" spans="1:9" ht="18.75">
      <c r="A676" s="29"/>
      <c r="B676" s="30"/>
      <c r="C676" s="30"/>
      <c r="D676" s="31"/>
      <c r="E676" s="30"/>
      <c r="F676" s="30"/>
      <c r="G676" s="30"/>
      <c r="H676" s="30"/>
      <c r="I676" s="30"/>
    </row>
    <row r="677" spans="1:9" ht="18.75">
      <c r="A677" s="29"/>
      <c r="B677" s="30"/>
      <c r="C677" s="30"/>
      <c r="D677" s="31"/>
      <c r="E677" s="30"/>
      <c r="F677" s="30"/>
      <c r="G677" s="30"/>
      <c r="H677" s="30"/>
      <c r="I677" s="30"/>
    </row>
    <row r="678" spans="1:9" ht="18.75">
      <c r="A678" s="29"/>
      <c r="B678" s="30"/>
      <c r="C678" s="30"/>
      <c r="D678" s="31"/>
      <c r="E678" s="30"/>
      <c r="F678" s="30"/>
      <c r="G678" s="30"/>
      <c r="H678" s="30"/>
      <c r="I678" s="30"/>
    </row>
    <row r="679" spans="1:9" ht="18.75">
      <c r="A679" s="29"/>
      <c r="B679" s="30"/>
      <c r="C679" s="30"/>
      <c r="D679" s="31"/>
      <c r="E679" s="30"/>
      <c r="F679" s="30"/>
      <c r="G679" s="30"/>
      <c r="H679" s="30"/>
      <c r="I679" s="30"/>
    </row>
    <row r="680" spans="1:9" ht="18.75">
      <c r="A680" s="29"/>
      <c r="B680" s="30"/>
      <c r="C680" s="30"/>
      <c r="D680" s="31"/>
      <c r="E680" s="30"/>
      <c r="F680" s="30"/>
      <c r="G680" s="30"/>
      <c r="H680" s="30"/>
      <c r="I680" s="30"/>
    </row>
    <row r="681" spans="1:9" ht="18.75">
      <c r="A681" s="29"/>
      <c r="B681" s="30"/>
      <c r="C681" s="30"/>
      <c r="D681" s="31"/>
      <c r="E681" s="30"/>
      <c r="F681" s="30"/>
      <c r="G681" s="30"/>
      <c r="H681" s="30"/>
      <c r="I681" s="30"/>
    </row>
    <row r="682" spans="1:9" ht="18.75">
      <c r="A682" s="29"/>
      <c r="B682" s="30"/>
      <c r="C682" s="30"/>
      <c r="D682" s="31"/>
      <c r="E682" s="30"/>
      <c r="F682" s="30"/>
      <c r="G682" s="30"/>
      <c r="H682" s="30"/>
      <c r="I682" s="30"/>
    </row>
    <row r="683" spans="1:9" ht="18.75">
      <c r="A683" s="29"/>
      <c r="B683" s="30"/>
      <c r="C683" s="30"/>
      <c r="D683" s="31"/>
      <c r="E683" s="30"/>
      <c r="F683" s="30"/>
      <c r="G683" s="30"/>
      <c r="H683" s="30"/>
      <c r="I683" s="30"/>
    </row>
    <row r="684" spans="1:9" ht="18.75">
      <c r="A684" s="29"/>
      <c r="B684" s="30"/>
      <c r="C684" s="30"/>
      <c r="D684" s="31"/>
      <c r="E684" s="30"/>
      <c r="F684" s="30"/>
      <c r="G684" s="30"/>
      <c r="H684" s="30"/>
      <c r="I684" s="30"/>
    </row>
    <row r="685" spans="1:9" ht="18.75">
      <c r="A685" s="29"/>
      <c r="B685" s="30"/>
      <c r="C685" s="30"/>
      <c r="D685" s="31"/>
      <c r="E685" s="30"/>
      <c r="F685" s="30"/>
      <c r="G685" s="30"/>
      <c r="H685" s="30"/>
      <c r="I685" s="30"/>
    </row>
    <row r="686" spans="1:9" ht="18.75">
      <c r="A686" s="29"/>
      <c r="B686" s="30"/>
      <c r="C686" s="30"/>
      <c r="D686" s="31"/>
      <c r="E686" s="30"/>
      <c r="F686" s="30"/>
      <c r="G686" s="30"/>
      <c r="H686" s="30"/>
      <c r="I686" s="30"/>
    </row>
    <row r="687" spans="1:9" ht="18.75">
      <c r="A687" s="29"/>
      <c r="B687" s="30"/>
      <c r="C687" s="30"/>
      <c r="D687" s="31"/>
      <c r="E687" s="30"/>
      <c r="F687" s="30"/>
      <c r="G687" s="30"/>
      <c r="H687" s="30"/>
      <c r="I687" s="30"/>
    </row>
    <row r="688" spans="1:9" ht="18.75">
      <c r="A688" s="29"/>
      <c r="B688" s="30"/>
      <c r="C688" s="30"/>
      <c r="D688" s="31"/>
      <c r="E688" s="30"/>
      <c r="F688" s="30"/>
      <c r="G688" s="30"/>
      <c r="H688" s="30"/>
      <c r="I688" s="30"/>
    </row>
    <row r="689" spans="1:9" ht="18.75">
      <c r="A689" s="29"/>
      <c r="B689" s="30"/>
      <c r="C689" s="30"/>
      <c r="D689" s="31"/>
      <c r="E689" s="30"/>
      <c r="F689" s="30"/>
      <c r="G689" s="30"/>
      <c r="H689" s="30"/>
      <c r="I689" s="30"/>
    </row>
    <row r="690" spans="1:9" ht="18.75">
      <c r="A690" s="29"/>
      <c r="B690" s="30"/>
      <c r="C690" s="30"/>
      <c r="D690" s="31"/>
      <c r="E690" s="30"/>
      <c r="F690" s="30"/>
      <c r="G690" s="30"/>
      <c r="H690" s="30"/>
      <c r="I690" s="30"/>
    </row>
    <row r="691" spans="1:9" ht="18.75">
      <c r="A691" s="29"/>
      <c r="B691" s="30"/>
      <c r="C691" s="30"/>
      <c r="D691" s="31"/>
      <c r="E691" s="30"/>
      <c r="F691" s="30"/>
      <c r="G691" s="30"/>
      <c r="H691" s="30"/>
      <c r="I691" s="30"/>
    </row>
    <row r="692" spans="1:9" ht="18.75">
      <c r="A692" s="29"/>
      <c r="B692" s="30"/>
      <c r="C692" s="30"/>
      <c r="D692" s="31"/>
      <c r="E692" s="30"/>
      <c r="F692" s="30"/>
      <c r="G692" s="30"/>
      <c r="H692" s="30"/>
      <c r="I692" s="30"/>
    </row>
    <row r="693" spans="1:9" ht="18.75">
      <c r="A693" s="29"/>
      <c r="B693" s="30"/>
      <c r="C693" s="30"/>
      <c r="D693" s="31"/>
      <c r="E693" s="30"/>
      <c r="F693" s="30"/>
      <c r="G693" s="30"/>
      <c r="H693" s="30"/>
      <c r="I693" s="30"/>
    </row>
    <row r="694" spans="1:9" ht="18.75">
      <c r="A694" s="29"/>
      <c r="B694" s="30"/>
      <c r="C694" s="30"/>
      <c r="D694" s="31"/>
      <c r="E694" s="30"/>
      <c r="F694" s="30"/>
      <c r="G694" s="30"/>
      <c r="H694" s="30"/>
      <c r="I694" s="30"/>
    </row>
    <row r="695" spans="1:9" ht="18.75">
      <c r="A695" s="29"/>
      <c r="B695" s="30"/>
      <c r="C695" s="30"/>
      <c r="D695" s="31"/>
      <c r="E695" s="30"/>
      <c r="F695" s="30"/>
      <c r="G695" s="30"/>
      <c r="H695" s="30"/>
      <c r="I695" s="30"/>
    </row>
    <row r="696" spans="1:9" ht="18.75">
      <c r="A696" s="29"/>
      <c r="B696" s="30"/>
      <c r="C696" s="30"/>
      <c r="D696" s="31"/>
      <c r="E696" s="30"/>
      <c r="F696" s="30"/>
      <c r="G696" s="30"/>
      <c r="H696" s="30"/>
      <c r="I696" s="30"/>
    </row>
    <row r="697" spans="1:9" ht="18.75">
      <c r="A697" s="29"/>
      <c r="B697" s="30"/>
      <c r="C697" s="30"/>
      <c r="D697" s="31"/>
      <c r="E697" s="30"/>
      <c r="F697" s="30"/>
      <c r="G697" s="30"/>
      <c r="H697" s="30"/>
      <c r="I697" s="30"/>
    </row>
    <row r="698" spans="1:9" ht="18.75">
      <c r="A698" s="29"/>
      <c r="B698" s="30"/>
      <c r="C698" s="30"/>
      <c r="D698" s="31"/>
      <c r="E698" s="30"/>
      <c r="F698" s="30"/>
      <c r="G698" s="30"/>
      <c r="H698" s="30"/>
      <c r="I698" s="30"/>
    </row>
    <row r="699" spans="1:9" ht="18.75">
      <c r="A699" s="29"/>
      <c r="B699" s="30"/>
      <c r="C699" s="30"/>
      <c r="D699" s="31"/>
      <c r="E699" s="30"/>
      <c r="F699" s="30"/>
      <c r="G699" s="30"/>
      <c r="H699" s="30"/>
      <c r="I699" s="30"/>
    </row>
    <row r="700" spans="1:9" ht="18.75">
      <c r="A700" s="29"/>
      <c r="B700" s="30"/>
      <c r="C700" s="30"/>
      <c r="D700" s="31"/>
      <c r="E700" s="30"/>
      <c r="F700" s="30"/>
      <c r="G700" s="30"/>
      <c r="H700" s="30"/>
      <c r="I700" s="30"/>
    </row>
    <row r="701" spans="1:9" ht="18.75">
      <c r="A701" s="29"/>
      <c r="B701" s="30"/>
      <c r="C701" s="30"/>
      <c r="D701" s="31"/>
      <c r="E701" s="30"/>
      <c r="F701" s="30"/>
      <c r="G701" s="30"/>
      <c r="H701" s="30"/>
      <c r="I701" s="30"/>
    </row>
    <row r="702" spans="1:9" ht="18.75">
      <c r="A702" s="29"/>
      <c r="B702" s="30"/>
      <c r="C702" s="30"/>
      <c r="D702" s="31"/>
      <c r="E702" s="30"/>
      <c r="F702" s="30"/>
      <c r="G702" s="30"/>
      <c r="H702" s="30"/>
      <c r="I702" s="30"/>
    </row>
    <row r="703" spans="1:9" ht="18.75">
      <c r="A703" s="29"/>
      <c r="B703" s="30"/>
      <c r="C703" s="30"/>
      <c r="D703" s="31"/>
      <c r="E703" s="30"/>
      <c r="F703" s="30"/>
      <c r="G703" s="30"/>
      <c r="H703" s="30"/>
      <c r="I703" s="30"/>
    </row>
    <row r="704" spans="1:9" ht="18.75">
      <c r="A704" s="29"/>
      <c r="B704" s="30"/>
      <c r="C704" s="30"/>
      <c r="D704" s="31"/>
      <c r="E704" s="30"/>
      <c r="F704" s="30"/>
      <c r="G704" s="30"/>
      <c r="H704" s="30"/>
      <c r="I704" s="30"/>
    </row>
    <row r="705" spans="1:9" ht="18.75">
      <c r="A705" s="29"/>
      <c r="B705" s="30"/>
      <c r="C705" s="30"/>
      <c r="D705" s="31"/>
      <c r="E705" s="30"/>
      <c r="F705" s="30"/>
      <c r="G705" s="30"/>
      <c r="H705" s="30"/>
      <c r="I705" s="30"/>
    </row>
    <row r="706" spans="1:9" ht="18.75">
      <c r="A706" s="29"/>
      <c r="B706" s="30"/>
      <c r="C706" s="30"/>
      <c r="D706" s="31"/>
      <c r="E706" s="30"/>
      <c r="F706" s="30"/>
      <c r="G706" s="30"/>
      <c r="H706" s="30"/>
      <c r="I706" s="30"/>
    </row>
    <row r="707" spans="1:9" ht="18.75">
      <c r="A707" s="29"/>
      <c r="B707" s="30"/>
      <c r="C707" s="30"/>
      <c r="D707" s="31"/>
      <c r="E707" s="30"/>
      <c r="F707" s="30"/>
      <c r="G707" s="30"/>
      <c r="H707" s="30"/>
      <c r="I707" s="30"/>
    </row>
    <row r="708" spans="1:9" ht="18.75">
      <c r="A708" s="29"/>
      <c r="B708" s="30"/>
      <c r="C708" s="30"/>
      <c r="D708" s="31"/>
      <c r="E708" s="30"/>
      <c r="F708" s="30"/>
      <c r="G708" s="30"/>
      <c r="H708" s="30"/>
      <c r="I708" s="30"/>
    </row>
    <row r="709" spans="1:9" ht="18.75">
      <c r="A709" s="29"/>
      <c r="B709" s="30"/>
      <c r="C709" s="30"/>
      <c r="D709" s="31"/>
      <c r="E709" s="30"/>
      <c r="F709" s="30"/>
      <c r="G709" s="30"/>
      <c r="H709" s="30"/>
      <c r="I709" s="30"/>
    </row>
    <row r="710" spans="1:9" ht="18.75">
      <c r="A710" s="29"/>
      <c r="B710" s="30"/>
      <c r="C710" s="30"/>
      <c r="D710" s="31"/>
      <c r="E710" s="30"/>
      <c r="F710" s="30"/>
      <c r="G710" s="30"/>
      <c r="H710" s="30"/>
      <c r="I710" s="30"/>
    </row>
    <row r="711" spans="1:9" ht="18.75">
      <c r="A711" s="29"/>
      <c r="B711" s="30"/>
      <c r="C711" s="30"/>
      <c r="D711" s="31"/>
      <c r="E711" s="30"/>
      <c r="F711" s="30"/>
      <c r="G711" s="30"/>
      <c r="H711" s="30"/>
      <c r="I711" s="30"/>
    </row>
    <row r="712" spans="1:9" ht="18.75">
      <c r="A712" s="29"/>
      <c r="B712" s="30"/>
      <c r="C712" s="30"/>
      <c r="D712" s="31"/>
      <c r="E712" s="30"/>
      <c r="F712" s="30"/>
      <c r="G712" s="30"/>
      <c r="H712" s="30"/>
      <c r="I712" s="30"/>
    </row>
    <row r="713" spans="1:9" ht="18.75">
      <c r="A713" s="29"/>
      <c r="B713" s="30"/>
      <c r="C713" s="30"/>
      <c r="D713" s="31"/>
      <c r="E713" s="30"/>
      <c r="F713" s="30"/>
      <c r="G713" s="30"/>
      <c r="H713" s="30"/>
      <c r="I713" s="30"/>
    </row>
    <row r="714" spans="1:9" ht="18.75">
      <c r="A714" s="29"/>
      <c r="B714" s="30"/>
      <c r="C714" s="30"/>
      <c r="D714" s="31"/>
      <c r="E714" s="30"/>
      <c r="F714" s="30"/>
      <c r="G714" s="30"/>
      <c r="H714" s="30"/>
      <c r="I714" s="30"/>
    </row>
    <row r="715" spans="1:9" ht="18.75">
      <c r="A715" s="29"/>
      <c r="B715" s="30"/>
      <c r="C715" s="30"/>
      <c r="D715" s="31"/>
      <c r="E715" s="30"/>
      <c r="F715" s="30"/>
      <c r="G715" s="30"/>
      <c r="H715" s="30"/>
      <c r="I715" s="30"/>
    </row>
    <row r="716" spans="1:9" ht="18.75">
      <c r="A716" s="29"/>
      <c r="B716" s="30"/>
      <c r="C716" s="30"/>
      <c r="D716" s="31"/>
      <c r="E716" s="30"/>
      <c r="F716" s="30"/>
      <c r="G716" s="30"/>
      <c r="H716" s="30"/>
      <c r="I716" s="30"/>
    </row>
    <row r="717" spans="1:9" ht="18.75">
      <c r="A717" s="29"/>
      <c r="B717" s="30"/>
      <c r="C717" s="30"/>
      <c r="D717" s="31"/>
      <c r="E717" s="30"/>
      <c r="F717" s="30"/>
      <c r="G717" s="30"/>
      <c r="H717" s="30"/>
      <c r="I717" s="30"/>
    </row>
    <row r="718" spans="1:9" ht="18.75">
      <c r="A718" s="29"/>
      <c r="B718" s="30"/>
      <c r="C718" s="30"/>
      <c r="D718" s="31"/>
      <c r="E718" s="30"/>
      <c r="F718" s="30"/>
      <c r="G718" s="30"/>
      <c r="H718" s="30"/>
      <c r="I718" s="30"/>
    </row>
    <row r="719" spans="1:9" ht="18.75">
      <c r="A719" s="29"/>
      <c r="B719" s="30"/>
      <c r="C719" s="30"/>
      <c r="D719" s="31"/>
      <c r="E719" s="30"/>
      <c r="F719" s="30"/>
      <c r="G719" s="30"/>
      <c r="H719" s="30"/>
      <c r="I719" s="30"/>
    </row>
    <row r="720" spans="1:9" ht="18.75">
      <c r="A720" s="29"/>
      <c r="B720" s="30"/>
      <c r="C720" s="30"/>
      <c r="D720" s="31"/>
      <c r="E720" s="30"/>
      <c r="F720" s="30"/>
      <c r="G720" s="30"/>
      <c r="H720" s="30"/>
      <c r="I720" s="30"/>
    </row>
    <row r="721" spans="1:9" ht="18.75">
      <c r="A721" s="29"/>
      <c r="B721" s="30"/>
      <c r="C721" s="30"/>
      <c r="D721" s="31"/>
      <c r="E721" s="30"/>
      <c r="F721" s="30"/>
      <c r="G721" s="30"/>
      <c r="H721" s="30"/>
      <c r="I721" s="30"/>
    </row>
    <row r="722" spans="1:9" ht="18.75">
      <c r="A722" s="29"/>
      <c r="B722" s="30"/>
      <c r="C722" s="30"/>
      <c r="D722" s="31"/>
      <c r="E722" s="30"/>
      <c r="F722" s="30"/>
      <c r="G722" s="30"/>
      <c r="H722" s="30"/>
      <c r="I722" s="30"/>
    </row>
    <row r="723" spans="1:9" ht="18.75">
      <c r="A723" s="29"/>
      <c r="B723" s="30"/>
      <c r="C723" s="30"/>
      <c r="D723" s="31"/>
      <c r="E723" s="30"/>
      <c r="F723" s="30"/>
      <c r="G723" s="30"/>
      <c r="H723" s="30"/>
      <c r="I723" s="30"/>
    </row>
    <row r="724" spans="1:9" ht="18.75">
      <c r="A724" s="29"/>
      <c r="B724" s="30"/>
      <c r="C724" s="30"/>
      <c r="D724" s="31"/>
      <c r="E724" s="30"/>
      <c r="F724" s="30"/>
      <c r="G724" s="30"/>
      <c r="H724" s="30"/>
      <c r="I724" s="30"/>
    </row>
    <row r="725" spans="1:9" ht="18.75">
      <c r="A725" s="29"/>
      <c r="B725" s="30"/>
      <c r="C725" s="30"/>
      <c r="D725" s="31"/>
      <c r="E725" s="30"/>
      <c r="F725" s="30"/>
      <c r="G725" s="30"/>
      <c r="H725" s="30"/>
      <c r="I725" s="30"/>
    </row>
    <row r="726" spans="1:9" ht="18.75">
      <c r="A726" s="29"/>
      <c r="B726" s="30"/>
      <c r="C726" s="30"/>
      <c r="D726" s="31"/>
      <c r="E726" s="30"/>
      <c r="F726" s="30"/>
      <c r="G726" s="30"/>
      <c r="H726" s="30"/>
      <c r="I726" s="30"/>
    </row>
    <row r="727" spans="1:9" ht="18.75">
      <c r="A727" s="29"/>
      <c r="B727" s="30"/>
      <c r="C727" s="30"/>
      <c r="D727" s="31"/>
      <c r="E727" s="30"/>
      <c r="F727" s="30"/>
      <c r="G727" s="30"/>
      <c r="H727" s="30"/>
      <c r="I727" s="30"/>
    </row>
    <row r="728" spans="1:9" ht="18.75">
      <c r="A728" s="29"/>
      <c r="B728" s="30"/>
      <c r="C728" s="30"/>
      <c r="D728" s="31"/>
      <c r="E728" s="30"/>
      <c r="F728" s="30"/>
      <c r="G728" s="30"/>
      <c r="H728" s="30"/>
      <c r="I728" s="30"/>
    </row>
    <row r="729" spans="1:9" ht="18.75">
      <c r="A729" s="29"/>
      <c r="B729" s="30"/>
      <c r="C729" s="30"/>
      <c r="D729" s="31"/>
      <c r="E729" s="30"/>
      <c r="F729" s="30"/>
      <c r="G729" s="30"/>
      <c r="H729" s="30"/>
      <c r="I729" s="30"/>
    </row>
    <row r="730" spans="1:9" ht="18.75">
      <c r="A730" s="29"/>
      <c r="B730" s="30"/>
      <c r="C730" s="30"/>
      <c r="D730" s="31"/>
      <c r="E730" s="30"/>
      <c r="F730" s="30"/>
      <c r="G730" s="30"/>
      <c r="H730" s="30"/>
      <c r="I730" s="30"/>
    </row>
    <row r="731" spans="1:9" ht="18.75">
      <c r="A731" s="29"/>
      <c r="B731" s="30"/>
      <c r="C731" s="30"/>
      <c r="D731" s="31"/>
      <c r="E731" s="30"/>
      <c r="F731" s="30"/>
      <c r="G731" s="30"/>
      <c r="H731" s="30"/>
      <c r="I731" s="30"/>
    </row>
    <row r="732" spans="1:9" ht="18.75">
      <c r="A732" s="29"/>
      <c r="B732" s="30"/>
      <c r="C732" s="30"/>
      <c r="D732" s="31"/>
      <c r="E732" s="30"/>
      <c r="F732" s="30"/>
      <c r="G732" s="30"/>
      <c r="H732" s="30"/>
      <c r="I732" s="30"/>
    </row>
    <row r="733" spans="1:9" ht="18.75">
      <c r="A733" s="29"/>
      <c r="B733" s="30"/>
      <c r="C733" s="30"/>
      <c r="D733" s="31"/>
      <c r="E733" s="30"/>
      <c r="F733" s="30"/>
      <c r="G733" s="30"/>
      <c r="H733" s="30"/>
      <c r="I733" s="30"/>
    </row>
    <row r="734" spans="1:9" ht="18.75">
      <c r="A734" s="29"/>
      <c r="B734" s="30"/>
      <c r="C734" s="30"/>
      <c r="D734" s="31"/>
      <c r="E734" s="30"/>
      <c r="F734" s="30"/>
      <c r="G734" s="30"/>
      <c r="H734" s="30"/>
      <c r="I734" s="30"/>
    </row>
    <row r="735" spans="1:9" ht="18.75">
      <c r="A735" s="29"/>
      <c r="B735" s="30"/>
      <c r="C735" s="30"/>
      <c r="D735" s="31"/>
      <c r="E735" s="30"/>
      <c r="F735" s="30"/>
      <c r="G735" s="30"/>
      <c r="H735" s="30"/>
      <c r="I735" s="30"/>
    </row>
    <row r="736" spans="1:9" ht="18.75">
      <c r="A736" s="29"/>
      <c r="B736" s="30"/>
      <c r="C736" s="30"/>
      <c r="D736" s="31"/>
      <c r="E736" s="30"/>
      <c r="F736" s="30"/>
      <c r="G736" s="30"/>
      <c r="H736" s="30"/>
      <c r="I736" s="30"/>
    </row>
    <row r="737" spans="1:9" ht="18.75">
      <c r="A737" s="29"/>
      <c r="B737" s="30"/>
      <c r="C737" s="30"/>
      <c r="D737" s="31"/>
      <c r="E737" s="30"/>
      <c r="F737" s="30"/>
      <c r="G737" s="30"/>
      <c r="H737" s="30"/>
      <c r="I737" s="30"/>
    </row>
    <row r="738" spans="1:9" ht="18.75">
      <c r="A738" s="29"/>
      <c r="B738" s="30"/>
      <c r="C738" s="30"/>
      <c r="D738" s="31"/>
      <c r="E738" s="30"/>
      <c r="F738" s="30"/>
      <c r="G738" s="30"/>
      <c r="H738" s="30"/>
      <c r="I738" s="30"/>
    </row>
    <row r="739" spans="1:9" ht="18.75">
      <c r="A739" s="29"/>
      <c r="B739" s="30"/>
      <c r="C739" s="30"/>
      <c r="D739" s="31"/>
      <c r="E739" s="30"/>
      <c r="F739" s="30"/>
      <c r="G739" s="30"/>
      <c r="H739" s="30"/>
      <c r="I739" s="30"/>
    </row>
    <row r="740" spans="1:9" ht="18.75">
      <c r="A740" s="29"/>
      <c r="B740" s="30"/>
      <c r="C740" s="30"/>
      <c r="D740" s="31"/>
      <c r="E740" s="30"/>
      <c r="F740" s="30"/>
      <c r="G740" s="30"/>
      <c r="H740" s="30"/>
      <c r="I740" s="30"/>
    </row>
    <row r="741" spans="1:9" ht="18.75">
      <c r="A741" s="29"/>
      <c r="B741" s="30"/>
      <c r="C741" s="30"/>
      <c r="D741" s="31"/>
      <c r="E741" s="30"/>
      <c r="F741" s="30"/>
      <c r="G741" s="30"/>
      <c r="H741" s="30"/>
      <c r="I741" s="30"/>
    </row>
    <row r="742" spans="1:9" ht="18.75">
      <c r="A742" s="29"/>
      <c r="B742" s="30"/>
      <c r="C742" s="30"/>
      <c r="D742" s="31"/>
      <c r="E742" s="30"/>
      <c r="F742" s="30"/>
      <c r="G742" s="30"/>
      <c r="H742" s="30"/>
      <c r="I742" s="30"/>
    </row>
    <row r="743" spans="1:9" ht="18.75">
      <c r="A743" s="29"/>
      <c r="B743" s="30"/>
      <c r="C743" s="30"/>
      <c r="D743" s="31"/>
      <c r="E743" s="30"/>
      <c r="F743" s="30"/>
      <c r="G743" s="30"/>
      <c r="H743" s="30"/>
      <c r="I743" s="30"/>
    </row>
    <row r="744" spans="1:9" ht="18.75">
      <c r="A744" s="29"/>
      <c r="B744" s="30"/>
      <c r="C744" s="30"/>
      <c r="D744" s="31"/>
      <c r="E744" s="30"/>
      <c r="F744" s="30"/>
      <c r="G744" s="30"/>
      <c r="H744" s="30"/>
      <c r="I744" s="30"/>
    </row>
    <row r="745" spans="1:9" ht="18.75">
      <c r="A745" s="29"/>
      <c r="B745" s="30"/>
      <c r="C745" s="30"/>
      <c r="D745" s="31"/>
      <c r="E745" s="30"/>
      <c r="F745" s="30"/>
      <c r="G745" s="30"/>
      <c r="H745" s="30"/>
      <c r="I745" s="30"/>
    </row>
    <row r="746" spans="1:9" ht="18.75">
      <c r="A746" s="29"/>
      <c r="B746" s="30"/>
      <c r="C746" s="30"/>
      <c r="D746" s="31"/>
      <c r="E746" s="30"/>
      <c r="F746" s="30"/>
      <c r="G746" s="30"/>
      <c r="H746" s="30"/>
      <c r="I746" s="30"/>
    </row>
    <row r="747" spans="1:9" ht="18.75">
      <c r="A747" s="29"/>
      <c r="B747" s="30"/>
      <c r="C747" s="30"/>
      <c r="D747" s="31"/>
      <c r="E747" s="30"/>
      <c r="F747" s="30"/>
      <c r="G747" s="30"/>
      <c r="H747" s="30"/>
      <c r="I747" s="30"/>
    </row>
    <row r="748" spans="1:9" ht="18.75">
      <c r="A748" s="29"/>
      <c r="B748" s="30"/>
      <c r="C748" s="30"/>
      <c r="D748" s="31"/>
      <c r="E748" s="30"/>
      <c r="F748" s="30"/>
      <c r="G748" s="30"/>
      <c r="H748" s="30"/>
      <c r="I748" s="30"/>
    </row>
    <row r="749" spans="1:9" ht="18.75">
      <c r="A749" s="29"/>
      <c r="B749" s="30"/>
      <c r="C749" s="30"/>
      <c r="D749" s="31"/>
      <c r="E749" s="30"/>
      <c r="F749" s="30"/>
      <c r="G749" s="30"/>
      <c r="H749" s="30"/>
      <c r="I749" s="30"/>
    </row>
    <row r="750" spans="1:9" ht="18.75">
      <c r="A750" s="29"/>
      <c r="B750" s="30"/>
      <c r="C750" s="30"/>
      <c r="D750" s="31"/>
      <c r="E750" s="30"/>
      <c r="F750" s="30"/>
      <c r="G750" s="30"/>
      <c r="H750" s="30"/>
      <c r="I750" s="30"/>
    </row>
    <row r="751" spans="1:9" ht="18.75">
      <c r="A751" s="29"/>
      <c r="B751" s="30"/>
      <c r="C751" s="30"/>
      <c r="D751" s="31"/>
      <c r="E751" s="30"/>
      <c r="F751" s="30"/>
      <c r="G751" s="30"/>
      <c r="H751" s="30"/>
      <c r="I751" s="30"/>
    </row>
    <row r="752" spans="1:9" ht="18.75">
      <c r="A752" s="29"/>
      <c r="B752" s="30"/>
      <c r="C752" s="30"/>
      <c r="D752" s="31"/>
      <c r="E752" s="30"/>
      <c r="F752" s="30"/>
      <c r="G752" s="30"/>
      <c r="H752" s="30"/>
      <c r="I752" s="30"/>
    </row>
    <row r="753" spans="1:9" ht="18.75">
      <c r="A753" s="29"/>
      <c r="B753" s="30"/>
      <c r="C753" s="30"/>
      <c r="D753" s="31"/>
      <c r="E753" s="30"/>
      <c r="F753" s="30"/>
      <c r="G753" s="30"/>
      <c r="H753" s="30"/>
      <c r="I753" s="30"/>
    </row>
    <row r="754" spans="1:9" ht="18.75">
      <c r="A754" s="29"/>
      <c r="B754" s="30"/>
      <c r="C754" s="30"/>
      <c r="D754" s="31"/>
      <c r="E754" s="30"/>
      <c r="F754" s="30"/>
      <c r="G754" s="30"/>
      <c r="H754" s="30"/>
      <c r="I754" s="30"/>
    </row>
    <row r="755" spans="1:9" ht="18.75">
      <c r="A755" s="29"/>
      <c r="B755" s="30"/>
      <c r="C755" s="30"/>
      <c r="D755" s="31"/>
      <c r="E755" s="30"/>
      <c r="F755" s="30"/>
      <c r="G755" s="30"/>
      <c r="H755" s="30"/>
      <c r="I755" s="30"/>
    </row>
    <row r="756" spans="1:9" ht="18.75">
      <c r="A756" s="29"/>
      <c r="B756" s="30"/>
      <c r="C756" s="30"/>
      <c r="D756" s="31"/>
      <c r="E756" s="30"/>
      <c r="F756" s="30"/>
      <c r="G756" s="30"/>
      <c r="H756" s="30"/>
      <c r="I756" s="30"/>
    </row>
    <row r="757" spans="1:9" ht="18.75">
      <c r="A757" s="29"/>
      <c r="B757" s="30"/>
      <c r="C757" s="30"/>
      <c r="D757" s="31"/>
      <c r="E757" s="30"/>
      <c r="F757" s="30"/>
      <c r="G757" s="30"/>
      <c r="H757" s="30"/>
      <c r="I757" s="30"/>
    </row>
    <row r="758" spans="1:9" ht="18.75">
      <c r="A758" s="29"/>
      <c r="B758" s="30"/>
      <c r="C758" s="30"/>
      <c r="D758" s="31"/>
      <c r="E758" s="30"/>
      <c r="F758" s="30"/>
      <c r="G758" s="30"/>
      <c r="H758" s="30"/>
      <c r="I758" s="30"/>
    </row>
    <row r="759" spans="1:9" ht="18.75">
      <c r="A759" s="29"/>
      <c r="B759" s="30"/>
      <c r="C759" s="30"/>
      <c r="D759" s="31"/>
      <c r="E759" s="30"/>
      <c r="F759" s="30"/>
      <c r="G759" s="30"/>
      <c r="H759" s="30"/>
      <c r="I759" s="30"/>
    </row>
    <row r="760" spans="1:9" ht="18.75">
      <c r="A760" s="29"/>
      <c r="B760" s="30"/>
      <c r="C760" s="30"/>
      <c r="D760" s="31"/>
      <c r="E760" s="30"/>
      <c r="F760" s="30"/>
      <c r="G760" s="30"/>
      <c r="H760" s="30"/>
      <c r="I760" s="30"/>
    </row>
    <row r="761" spans="1:9" ht="18.75">
      <c r="A761" s="29"/>
      <c r="B761" s="30"/>
      <c r="C761" s="30"/>
      <c r="D761" s="31"/>
      <c r="E761" s="30"/>
      <c r="F761" s="30"/>
      <c r="G761" s="30"/>
      <c r="H761" s="30"/>
      <c r="I761" s="30"/>
    </row>
    <row r="762" spans="1:9" ht="18.75">
      <c r="A762" s="29"/>
      <c r="B762" s="30"/>
      <c r="C762" s="30"/>
      <c r="D762" s="31"/>
      <c r="E762" s="30"/>
      <c r="F762" s="30"/>
      <c r="G762" s="30"/>
      <c r="H762" s="30"/>
      <c r="I762" s="30"/>
    </row>
    <row r="763" spans="1:9" ht="18.75">
      <c r="A763" s="29"/>
      <c r="B763" s="30"/>
      <c r="C763" s="30"/>
      <c r="D763" s="31"/>
      <c r="E763" s="30"/>
      <c r="F763" s="30"/>
      <c r="G763" s="30"/>
      <c r="H763" s="30"/>
      <c r="I763" s="30"/>
    </row>
    <row r="764" spans="1:9" ht="18.75">
      <c r="A764" s="29"/>
      <c r="B764" s="30"/>
      <c r="C764" s="30"/>
      <c r="D764" s="31"/>
      <c r="E764" s="30"/>
      <c r="F764" s="30"/>
      <c r="G764" s="30"/>
      <c r="H764" s="30"/>
      <c r="I764" s="30"/>
    </row>
    <row r="765" spans="1:9" ht="18.75">
      <c r="A765" s="29"/>
      <c r="B765" s="30"/>
      <c r="C765" s="30"/>
      <c r="D765" s="31"/>
      <c r="E765" s="30"/>
      <c r="F765" s="30"/>
      <c r="G765" s="30"/>
      <c r="H765" s="30"/>
      <c r="I765" s="30"/>
    </row>
    <row r="766" spans="1:9" ht="18.75">
      <c r="A766" s="29"/>
      <c r="B766" s="30"/>
      <c r="C766" s="30"/>
      <c r="D766" s="31"/>
      <c r="E766" s="30"/>
      <c r="F766" s="30"/>
      <c r="G766" s="30"/>
      <c r="H766" s="30"/>
      <c r="I766" s="30"/>
    </row>
    <row r="767" spans="1:9" ht="18.75">
      <c r="A767" s="29"/>
      <c r="B767" s="30"/>
      <c r="C767" s="30"/>
      <c r="D767" s="31"/>
      <c r="E767" s="30"/>
      <c r="F767" s="30"/>
      <c r="G767" s="30"/>
      <c r="H767" s="30"/>
      <c r="I767" s="30"/>
    </row>
    <row r="768" spans="1:9" ht="18.75">
      <c r="A768" s="29"/>
      <c r="B768" s="30"/>
      <c r="C768" s="30"/>
      <c r="D768" s="31"/>
      <c r="E768" s="30"/>
      <c r="F768" s="30"/>
      <c r="G768" s="30"/>
      <c r="H768" s="30"/>
      <c r="I768" s="30"/>
    </row>
    <row r="769" spans="1:9" ht="18.75">
      <c r="A769" s="29"/>
      <c r="B769" s="30"/>
      <c r="C769" s="30"/>
      <c r="D769" s="31"/>
      <c r="E769" s="30"/>
      <c r="F769" s="30"/>
      <c r="G769" s="30"/>
      <c r="H769" s="30"/>
      <c r="I769" s="30"/>
    </row>
    <row r="770" spans="1:9" ht="18.75">
      <c r="A770" s="29"/>
      <c r="B770" s="30"/>
      <c r="C770" s="30"/>
      <c r="D770" s="31"/>
      <c r="E770" s="30"/>
      <c r="F770" s="30"/>
      <c r="G770" s="30"/>
      <c r="H770" s="30"/>
      <c r="I770" s="30"/>
    </row>
    <row r="771" spans="1:9" ht="18.75">
      <c r="A771" s="29"/>
      <c r="B771" s="30"/>
      <c r="C771" s="30"/>
      <c r="D771" s="31"/>
      <c r="E771" s="30"/>
      <c r="F771" s="30"/>
      <c r="G771" s="30"/>
      <c r="H771" s="30"/>
      <c r="I771" s="30"/>
    </row>
    <row r="772" spans="1:9" ht="18.75">
      <c r="A772" s="29"/>
      <c r="B772" s="30"/>
      <c r="C772" s="30"/>
      <c r="D772" s="31"/>
      <c r="E772" s="30"/>
      <c r="F772" s="30"/>
      <c r="G772" s="30"/>
      <c r="H772" s="30"/>
      <c r="I772" s="30"/>
    </row>
    <row r="773" spans="1:9" ht="18.75">
      <c r="A773" s="29"/>
      <c r="B773" s="30"/>
      <c r="C773" s="30"/>
      <c r="D773" s="31"/>
      <c r="E773" s="30"/>
      <c r="F773" s="30"/>
      <c r="G773" s="30"/>
      <c r="H773" s="30"/>
      <c r="I773" s="30"/>
    </row>
    <row r="774" spans="1:9" ht="18.75">
      <c r="A774" s="29"/>
      <c r="B774" s="30"/>
      <c r="C774" s="30"/>
      <c r="D774" s="31"/>
      <c r="E774" s="30"/>
      <c r="F774" s="30"/>
      <c r="G774" s="30"/>
      <c r="H774" s="30"/>
      <c r="I774" s="30"/>
    </row>
    <row r="775" spans="1:9" ht="18.75">
      <c r="A775" s="29"/>
      <c r="B775" s="30"/>
      <c r="C775" s="30"/>
      <c r="D775" s="31"/>
      <c r="E775" s="30"/>
      <c r="F775" s="30"/>
      <c r="G775" s="30"/>
      <c r="H775" s="30"/>
      <c r="I775" s="30"/>
    </row>
    <row r="776" spans="1:9" ht="18.75">
      <c r="A776" s="29"/>
      <c r="B776" s="30"/>
      <c r="C776" s="30"/>
      <c r="D776" s="31"/>
      <c r="E776" s="30"/>
      <c r="F776" s="30"/>
      <c r="G776" s="30"/>
      <c r="H776" s="30"/>
      <c r="I776" s="30"/>
    </row>
    <row r="777" spans="1:9" ht="18.75">
      <c r="A777" s="29"/>
      <c r="B777" s="30"/>
      <c r="C777" s="30"/>
      <c r="D777" s="31"/>
      <c r="E777" s="30"/>
      <c r="F777" s="30"/>
      <c r="G777" s="30"/>
      <c r="H777" s="30"/>
      <c r="I777" s="30"/>
    </row>
    <row r="778" spans="1:9" ht="18.75">
      <c r="A778" s="29"/>
      <c r="B778" s="30"/>
      <c r="C778" s="30"/>
      <c r="D778" s="31"/>
      <c r="E778" s="30"/>
      <c r="F778" s="30"/>
      <c r="G778" s="30"/>
      <c r="H778" s="30"/>
      <c r="I778" s="30"/>
    </row>
    <row r="779" spans="1:9" ht="18.75">
      <c r="A779" s="29"/>
      <c r="B779" s="30"/>
      <c r="C779" s="30"/>
      <c r="D779" s="31"/>
      <c r="E779" s="30"/>
      <c r="F779" s="30"/>
      <c r="G779" s="30"/>
      <c r="H779" s="30"/>
      <c r="I779" s="30"/>
    </row>
    <row r="780" spans="1:9" ht="18.75">
      <c r="A780" s="29"/>
      <c r="B780" s="30"/>
      <c r="C780" s="30"/>
      <c r="D780" s="31"/>
      <c r="E780" s="30"/>
      <c r="F780" s="30"/>
      <c r="G780" s="30"/>
      <c r="H780" s="30"/>
      <c r="I780" s="30"/>
    </row>
    <row r="781" spans="1:9" ht="18.75">
      <c r="A781" s="29"/>
      <c r="B781" s="30"/>
      <c r="C781" s="30"/>
      <c r="D781" s="31"/>
      <c r="E781" s="30"/>
      <c r="F781" s="30"/>
      <c r="G781" s="30"/>
      <c r="H781" s="30"/>
      <c r="I781" s="30"/>
    </row>
    <row r="782" spans="1:9" ht="18.75">
      <c r="A782" s="29"/>
      <c r="B782" s="30"/>
      <c r="C782" s="30"/>
      <c r="D782" s="31"/>
      <c r="E782" s="30"/>
      <c r="F782" s="30"/>
      <c r="G782" s="30"/>
      <c r="H782" s="30"/>
      <c r="I782" s="30"/>
    </row>
    <row r="783" spans="1:9" ht="18.75">
      <c r="A783" s="29"/>
      <c r="B783" s="30"/>
      <c r="C783" s="30"/>
      <c r="D783" s="31"/>
      <c r="E783" s="30"/>
      <c r="F783" s="30"/>
      <c r="G783" s="30"/>
      <c r="H783" s="30"/>
      <c r="I783" s="30"/>
    </row>
    <row r="784" spans="1:9" ht="18.75">
      <c r="A784" s="29"/>
      <c r="B784" s="30"/>
      <c r="C784" s="30"/>
      <c r="D784" s="31"/>
      <c r="E784" s="30"/>
      <c r="F784" s="30"/>
      <c r="G784" s="30"/>
      <c r="H784" s="30"/>
      <c r="I784" s="30"/>
    </row>
    <row r="785" spans="1:9" ht="18.75">
      <c r="A785" s="29"/>
      <c r="B785" s="30"/>
      <c r="C785" s="30"/>
      <c r="D785" s="31"/>
      <c r="E785" s="30"/>
      <c r="F785" s="30"/>
      <c r="G785" s="30"/>
      <c r="H785" s="30"/>
      <c r="I785" s="30"/>
    </row>
    <row r="786" spans="1:9" ht="18.75">
      <c r="A786" s="29"/>
      <c r="B786" s="30"/>
      <c r="C786" s="30"/>
      <c r="D786" s="31"/>
      <c r="E786" s="30"/>
      <c r="F786" s="30"/>
      <c r="G786" s="30"/>
      <c r="H786" s="30"/>
      <c r="I786" s="30"/>
    </row>
    <row r="787" spans="1:9" ht="18.75">
      <c r="A787" s="29"/>
      <c r="B787" s="30"/>
      <c r="C787" s="30"/>
      <c r="D787" s="31"/>
      <c r="E787" s="30"/>
      <c r="F787" s="30"/>
      <c r="G787" s="30"/>
      <c r="H787" s="30"/>
      <c r="I787" s="30"/>
    </row>
    <row r="788" spans="1:9" ht="18.75">
      <c r="A788" s="29"/>
      <c r="B788" s="30"/>
      <c r="C788" s="30"/>
      <c r="D788" s="31"/>
      <c r="E788" s="30"/>
      <c r="F788" s="30"/>
      <c r="G788" s="30"/>
      <c r="H788" s="30"/>
      <c r="I788" s="30"/>
    </row>
    <row r="789" spans="1:9" ht="18.75">
      <c r="A789" s="29"/>
      <c r="B789" s="30"/>
      <c r="C789" s="30"/>
      <c r="D789" s="31"/>
      <c r="E789" s="30"/>
      <c r="F789" s="30"/>
      <c r="G789" s="30"/>
      <c r="H789" s="30"/>
      <c r="I789" s="30"/>
    </row>
    <row r="790" spans="1:9" ht="18.75">
      <c r="A790" s="29"/>
      <c r="B790" s="30"/>
      <c r="C790" s="30"/>
      <c r="D790" s="31"/>
      <c r="E790" s="30"/>
      <c r="F790" s="30"/>
      <c r="G790" s="30"/>
      <c r="H790" s="30"/>
      <c r="I790" s="30"/>
    </row>
    <row r="791" spans="1:9" ht="18.75">
      <c r="A791" s="29"/>
      <c r="B791" s="30"/>
      <c r="C791" s="30"/>
      <c r="D791" s="31"/>
      <c r="E791" s="30"/>
      <c r="F791" s="30"/>
      <c r="G791" s="30"/>
      <c r="H791" s="30"/>
      <c r="I791" s="30"/>
    </row>
    <row r="792" spans="1:9" ht="18.75">
      <c r="A792" s="29"/>
      <c r="B792" s="30"/>
      <c r="C792" s="30"/>
      <c r="D792" s="31"/>
      <c r="E792" s="30"/>
      <c r="F792" s="30"/>
      <c r="G792" s="30"/>
      <c r="H792" s="30"/>
      <c r="I792" s="30"/>
    </row>
    <row r="793" spans="1:9" ht="18.75">
      <c r="A793" s="29"/>
      <c r="B793" s="30"/>
      <c r="C793" s="30"/>
      <c r="D793" s="31"/>
      <c r="E793" s="30"/>
      <c r="F793" s="30"/>
      <c r="G793" s="30"/>
      <c r="H793" s="30"/>
      <c r="I793" s="30"/>
    </row>
    <row r="794" spans="1:9" ht="18.75">
      <c r="A794" s="29"/>
      <c r="B794" s="30"/>
      <c r="C794" s="30"/>
      <c r="D794" s="31"/>
      <c r="E794" s="30"/>
      <c r="F794" s="30"/>
      <c r="G794" s="30"/>
      <c r="H794" s="30"/>
      <c r="I794" s="30"/>
    </row>
    <row r="795" spans="1:9" ht="18.75">
      <c r="A795" s="29"/>
      <c r="B795" s="30"/>
      <c r="C795" s="30"/>
      <c r="D795" s="31"/>
      <c r="E795" s="30"/>
      <c r="F795" s="30"/>
      <c r="G795" s="30"/>
      <c r="H795" s="30"/>
      <c r="I795" s="30"/>
    </row>
    <row r="796" spans="1:9" ht="18.75">
      <c r="A796" s="29"/>
      <c r="B796" s="30"/>
      <c r="C796" s="30"/>
      <c r="D796" s="31"/>
      <c r="E796" s="30"/>
      <c r="F796" s="30"/>
      <c r="G796" s="30"/>
      <c r="H796" s="30"/>
      <c r="I796" s="30"/>
    </row>
    <row r="797" spans="1:9" ht="18.75">
      <c r="A797" s="29"/>
      <c r="B797" s="30"/>
      <c r="C797" s="30"/>
      <c r="D797" s="31"/>
      <c r="E797" s="30"/>
      <c r="F797" s="30"/>
      <c r="G797" s="30"/>
      <c r="H797" s="30"/>
      <c r="I797" s="30"/>
    </row>
    <row r="798" spans="1:9" ht="18.75">
      <c r="A798" s="29"/>
      <c r="B798" s="30"/>
      <c r="C798" s="30"/>
      <c r="D798" s="31"/>
      <c r="E798" s="30"/>
      <c r="F798" s="30"/>
      <c r="G798" s="30"/>
      <c r="H798" s="30"/>
      <c r="I798" s="30"/>
    </row>
    <row r="799" spans="1:9" ht="18.75">
      <c r="A799" s="29"/>
      <c r="B799" s="30"/>
      <c r="C799" s="30"/>
      <c r="D799" s="31"/>
      <c r="E799" s="30"/>
      <c r="F799" s="30"/>
      <c r="G799" s="30"/>
      <c r="H799" s="30"/>
      <c r="I799" s="30"/>
    </row>
    <row r="800" spans="1:9" ht="18.75">
      <c r="A800" s="29"/>
      <c r="B800" s="30"/>
      <c r="C800" s="30"/>
      <c r="D800" s="31"/>
      <c r="E800" s="30"/>
      <c r="F800" s="30"/>
      <c r="G800" s="30"/>
      <c r="H800" s="30"/>
      <c r="I800" s="30"/>
    </row>
    <row r="801" spans="1:9" ht="18.75">
      <c r="A801" s="29"/>
      <c r="B801" s="30"/>
      <c r="C801" s="30"/>
      <c r="D801" s="31"/>
      <c r="E801" s="30"/>
      <c r="F801" s="30"/>
      <c r="G801" s="30"/>
      <c r="H801" s="30"/>
      <c r="I801" s="30"/>
    </row>
    <row r="802" spans="1:9" ht="18.75">
      <c r="A802" s="29"/>
      <c r="B802" s="30"/>
      <c r="C802" s="30"/>
      <c r="D802" s="31"/>
      <c r="E802" s="30"/>
      <c r="F802" s="30"/>
      <c r="G802" s="30"/>
      <c r="H802" s="30"/>
      <c r="I802" s="30"/>
    </row>
    <row r="803" spans="1:9" ht="18.75">
      <c r="A803" s="29"/>
      <c r="B803" s="30"/>
      <c r="C803" s="30"/>
      <c r="D803" s="31"/>
      <c r="E803" s="30"/>
      <c r="F803" s="30"/>
      <c r="G803" s="30"/>
      <c r="H803" s="30"/>
      <c r="I803" s="30"/>
    </row>
    <row r="804" spans="1:9" ht="18.75">
      <c r="A804" s="29"/>
      <c r="B804" s="30"/>
      <c r="C804" s="30"/>
      <c r="D804" s="31"/>
      <c r="E804" s="30"/>
      <c r="F804" s="30"/>
      <c r="G804" s="30"/>
      <c r="H804" s="30"/>
      <c r="I804" s="30"/>
    </row>
    <row r="805" spans="1:9" ht="18.75">
      <c r="A805" s="29"/>
      <c r="B805" s="30"/>
      <c r="C805" s="30"/>
      <c r="D805" s="31"/>
      <c r="E805" s="30"/>
      <c r="F805" s="30"/>
      <c r="G805" s="30"/>
      <c r="H805" s="30"/>
      <c r="I805" s="30"/>
    </row>
    <row r="806" spans="1:9" ht="18.75">
      <c r="A806" s="29"/>
      <c r="B806" s="30"/>
      <c r="C806" s="30"/>
      <c r="D806" s="31"/>
      <c r="E806" s="30"/>
      <c r="F806" s="30"/>
      <c r="G806" s="30"/>
      <c r="H806" s="30"/>
      <c r="I806" s="30"/>
    </row>
    <row r="807" spans="1:9" ht="18.75">
      <c r="A807" s="29"/>
      <c r="B807" s="30"/>
      <c r="C807" s="30"/>
      <c r="D807" s="31"/>
      <c r="E807" s="30"/>
      <c r="F807" s="30"/>
      <c r="G807" s="30"/>
      <c r="H807" s="30"/>
      <c r="I807" s="30"/>
    </row>
    <row r="808" spans="1:9" ht="18.75">
      <c r="A808" s="29"/>
      <c r="B808" s="30"/>
      <c r="C808" s="30"/>
      <c r="D808" s="31"/>
      <c r="E808" s="30"/>
      <c r="F808" s="30"/>
      <c r="G808" s="30"/>
      <c r="H808" s="30"/>
      <c r="I808" s="30"/>
    </row>
    <row r="809" spans="1:9" ht="18.75">
      <c r="A809" s="29"/>
      <c r="B809" s="30"/>
      <c r="C809" s="30"/>
      <c r="D809" s="31"/>
      <c r="E809" s="30"/>
      <c r="F809" s="30"/>
      <c r="G809" s="30"/>
      <c r="H809" s="30"/>
      <c r="I809" s="30"/>
    </row>
    <row r="810" spans="1:9" ht="18.75">
      <c r="A810" s="29"/>
      <c r="B810" s="30"/>
      <c r="C810" s="30"/>
      <c r="D810" s="31"/>
      <c r="E810" s="30"/>
      <c r="F810" s="30"/>
      <c r="G810" s="30"/>
      <c r="H810" s="30"/>
      <c r="I810" s="30"/>
    </row>
    <row r="811" spans="1:9" ht="18.75">
      <c r="A811" s="29"/>
      <c r="B811" s="30"/>
      <c r="C811" s="30"/>
      <c r="D811" s="31"/>
      <c r="E811" s="30"/>
      <c r="F811" s="30"/>
      <c r="G811" s="30"/>
      <c r="H811" s="30"/>
      <c r="I811" s="30"/>
    </row>
    <row r="812" spans="1:9" ht="18.75">
      <c r="A812" s="29"/>
      <c r="B812" s="30"/>
      <c r="C812" s="30"/>
      <c r="D812" s="31"/>
      <c r="E812" s="30"/>
      <c r="F812" s="30"/>
      <c r="G812" s="30"/>
      <c r="H812" s="30"/>
      <c r="I812" s="30"/>
    </row>
    <row r="813" spans="1:9" ht="18.75">
      <c r="A813" s="29"/>
      <c r="B813" s="30"/>
      <c r="C813" s="30"/>
      <c r="D813" s="31"/>
      <c r="E813" s="30"/>
      <c r="F813" s="30"/>
      <c r="G813" s="30"/>
      <c r="H813" s="30"/>
      <c r="I813" s="30"/>
    </row>
    <row r="814" spans="1:9" ht="18.75">
      <c r="A814" s="29"/>
      <c r="B814" s="30"/>
      <c r="C814" s="30"/>
      <c r="D814" s="31"/>
      <c r="E814" s="30"/>
      <c r="F814" s="30"/>
      <c r="G814" s="30"/>
      <c r="H814" s="30"/>
      <c r="I814" s="30"/>
    </row>
    <row r="815" spans="1:9" ht="18.75">
      <c r="A815" s="29"/>
      <c r="B815" s="30"/>
      <c r="C815" s="30"/>
      <c r="D815" s="31"/>
      <c r="E815" s="30"/>
      <c r="F815" s="30"/>
      <c r="G815" s="30"/>
      <c r="H815" s="30"/>
      <c r="I815" s="30"/>
    </row>
    <row r="816" spans="1:9" ht="18.75">
      <c r="A816" s="29"/>
      <c r="B816" s="30"/>
      <c r="C816" s="30"/>
      <c r="D816" s="31"/>
      <c r="E816" s="30"/>
      <c r="F816" s="30"/>
      <c r="G816" s="30"/>
      <c r="H816" s="30"/>
      <c r="I816" s="30"/>
    </row>
    <row r="817" spans="1:9" ht="18.75">
      <c r="A817" s="29"/>
      <c r="B817" s="30"/>
      <c r="C817" s="30"/>
      <c r="D817" s="31"/>
      <c r="E817" s="30"/>
      <c r="F817" s="30"/>
      <c r="G817" s="30"/>
      <c r="H817" s="30"/>
      <c r="I817" s="30"/>
    </row>
    <row r="818" spans="1:9" ht="18.75">
      <c r="A818" s="29"/>
      <c r="B818" s="30"/>
      <c r="C818" s="30"/>
      <c r="D818" s="31"/>
      <c r="E818" s="30"/>
      <c r="F818" s="30"/>
      <c r="G818" s="30"/>
      <c r="H818" s="30"/>
      <c r="I818" s="30"/>
    </row>
    <row r="819" spans="1:9" ht="18.75">
      <c r="A819" s="29"/>
      <c r="B819" s="30"/>
      <c r="C819" s="30"/>
      <c r="D819" s="31"/>
      <c r="E819" s="30"/>
      <c r="F819" s="30"/>
      <c r="G819" s="30"/>
      <c r="H819" s="30"/>
      <c r="I819" s="30"/>
    </row>
    <row r="820" spans="1:9" ht="18.75">
      <c r="A820" s="29"/>
      <c r="B820" s="30"/>
      <c r="C820" s="30"/>
      <c r="D820" s="31"/>
      <c r="E820" s="30"/>
      <c r="F820" s="30"/>
      <c r="G820" s="30"/>
      <c r="H820" s="30"/>
      <c r="I820" s="30"/>
    </row>
    <row r="821" spans="1:9" ht="18.75">
      <c r="A821" s="29"/>
      <c r="B821" s="30"/>
      <c r="C821" s="30"/>
      <c r="D821" s="31"/>
      <c r="E821" s="30"/>
      <c r="F821" s="30"/>
      <c r="G821" s="30"/>
      <c r="H821" s="30"/>
      <c r="I821" s="30"/>
    </row>
    <row r="822" spans="1:9" ht="18.75">
      <c r="A822" s="29"/>
      <c r="B822" s="30"/>
      <c r="C822" s="30"/>
      <c r="D822" s="31"/>
      <c r="E822" s="30"/>
      <c r="F822" s="30"/>
      <c r="G822" s="30"/>
      <c r="H822" s="30"/>
      <c r="I822" s="30"/>
    </row>
    <row r="823" spans="1:9" ht="18.75">
      <c r="A823" s="29"/>
      <c r="B823" s="30"/>
      <c r="C823" s="30"/>
      <c r="D823" s="31"/>
      <c r="E823" s="30"/>
      <c r="F823" s="30"/>
      <c r="G823" s="30"/>
      <c r="H823" s="30"/>
      <c r="I823" s="30"/>
    </row>
    <row r="824" spans="1:9" ht="18.75">
      <c r="A824" s="29"/>
      <c r="B824" s="30"/>
      <c r="C824" s="30"/>
      <c r="D824" s="31"/>
      <c r="E824" s="30"/>
      <c r="F824" s="30"/>
      <c r="G824" s="30"/>
      <c r="H824" s="30"/>
      <c r="I824" s="30"/>
    </row>
    <row r="825" spans="1:9" ht="18.75">
      <c r="A825" s="29"/>
      <c r="B825" s="30"/>
      <c r="C825" s="30"/>
      <c r="D825" s="31"/>
      <c r="E825" s="30"/>
      <c r="F825" s="30"/>
      <c r="G825" s="30"/>
      <c r="H825" s="30"/>
      <c r="I825" s="30"/>
    </row>
    <row r="826" spans="1:9" ht="18.75">
      <c r="A826" s="29"/>
      <c r="B826" s="30"/>
      <c r="C826" s="30"/>
      <c r="D826" s="31"/>
      <c r="E826" s="30"/>
      <c r="F826" s="30"/>
      <c r="G826" s="30"/>
      <c r="H826" s="30"/>
      <c r="I826" s="30"/>
    </row>
    <row r="827" spans="1:9" ht="18.75">
      <c r="A827" s="29"/>
      <c r="B827" s="30"/>
      <c r="C827" s="30"/>
      <c r="D827" s="31"/>
      <c r="E827" s="30"/>
      <c r="F827" s="30"/>
      <c r="G827" s="30"/>
      <c r="H827" s="30"/>
      <c r="I827" s="30"/>
    </row>
    <row r="828" spans="1:9" ht="18.75">
      <c r="A828" s="29"/>
      <c r="B828" s="30"/>
      <c r="C828" s="30"/>
      <c r="D828" s="31"/>
      <c r="E828" s="30"/>
      <c r="F828" s="30"/>
      <c r="G828" s="30"/>
      <c r="H828" s="30"/>
      <c r="I828" s="30"/>
    </row>
    <row r="829" spans="1:9" ht="18.75">
      <c r="A829" s="29"/>
      <c r="B829" s="30"/>
      <c r="C829" s="30"/>
      <c r="D829" s="31"/>
      <c r="E829" s="30"/>
      <c r="F829" s="30"/>
      <c r="G829" s="30"/>
      <c r="H829" s="30"/>
      <c r="I829" s="30"/>
    </row>
    <row r="830" spans="1:9" ht="18.75">
      <c r="A830" s="29"/>
      <c r="B830" s="30"/>
      <c r="C830" s="30"/>
      <c r="D830" s="31"/>
      <c r="E830" s="30"/>
      <c r="F830" s="30"/>
      <c r="G830" s="30"/>
      <c r="H830" s="30"/>
      <c r="I830" s="30"/>
    </row>
    <row r="831" spans="1:9" ht="18.75">
      <c r="A831" s="29"/>
      <c r="B831" s="30"/>
      <c r="C831" s="30"/>
      <c r="D831" s="31"/>
      <c r="E831" s="30"/>
      <c r="F831" s="30"/>
      <c r="G831" s="30"/>
      <c r="H831" s="30"/>
      <c r="I831" s="30"/>
    </row>
    <row r="832" spans="1:9" ht="18.75">
      <c r="A832" s="29"/>
      <c r="B832" s="30"/>
      <c r="C832" s="30"/>
      <c r="D832" s="31"/>
      <c r="E832" s="30"/>
      <c r="F832" s="30"/>
      <c r="G832" s="30"/>
      <c r="H832" s="30"/>
      <c r="I832" s="30"/>
    </row>
    <row r="833" spans="1:9" ht="18.75">
      <c r="A833" s="29"/>
      <c r="B833" s="30"/>
      <c r="C833" s="30"/>
      <c r="D833" s="31"/>
      <c r="E833" s="30"/>
      <c r="F833" s="30"/>
      <c r="G833" s="30"/>
      <c r="H833" s="30"/>
      <c r="I833" s="30"/>
    </row>
    <row r="834" spans="1:9" ht="18.75">
      <c r="A834" s="29"/>
      <c r="B834" s="30"/>
      <c r="C834" s="30"/>
      <c r="D834" s="31"/>
      <c r="E834" s="30"/>
      <c r="F834" s="30"/>
      <c r="G834" s="30"/>
      <c r="H834" s="30"/>
      <c r="I834" s="30"/>
    </row>
    <row r="835" spans="1:9" ht="18.75">
      <c r="A835" s="29"/>
      <c r="B835" s="30"/>
      <c r="C835" s="30"/>
      <c r="D835" s="31"/>
      <c r="E835" s="30"/>
      <c r="F835" s="30"/>
      <c r="G835" s="30"/>
      <c r="H835" s="30"/>
      <c r="I835" s="30"/>
    </row>
    <row r="836" spans="1:9" ht="18.75">
      <c r="A836" s="29"/>
      <c r="B836" s="30"/>
      <c r="C836" s="30"/>
      <c r="D836" s="31"/>
      <c r="E836" s="30"/>
      <c r="F836" s="30"/>
      <c r="G836" s="30"/>
      <c r="H836" s="30"/>
      <c r="I836" s="30"/>
    </row>
    <row r="837" spans="1:9" ht="18.75">
      <c r="A837" s="29"/>
      <c r="B837" s="30"/>
      <c r="C837" s="30"/>
      <c r="D837" s="31"/>
      <c r="E837" s="30"/>
      <c r="F837" s="30"/>
      <c r="G837" s="30"/>
      <c r="H837" s="30"/>
      <c r="I837" s="30"/>
    </row>
    <row r="838" spans="1:9" ht="18.75">
      <c r="A838" s="29"/>
      <c r="B838" s="30"/>
      <c r="C838" s="30"/>
      <c r="D838" s="31"/>
      <c r="E838" s="30"/>
      <c r="F838" s="30"/>
      <c r="G838" s="30"/>
      <c r="H838" s="30"/>
      <c r="I838" s="30"/>
    </row>
    <row r="839" spans="1:9" ht="18.75">
      <c r="A839" s="29"/>
      <c r="B839" s="30"/>
      <c r="C839" s="30"/>
      <c r="D839" s="31"/>
      <c r="E839" s="30"/>
      <c r="F839" s="30"/>
      <c r="G839" s="30"/>
      <c r="H839" s="30"/>
      <c r="I839" s="30"/>
    </row>
    <row r="840" spans="1:9" ht="18.75">
      <c r="A840" s="29"/>
      <c r="B840" s="30"/>
      <c r="C840" s="30"/>
      <c r="D840" s="31"/>
      <c r="E840" s="30"/>
      <c r="F840" s="30"/>
      <c r="G840" s="30"/>
      <c r="H840" s="30"/>
      <c r="I840" s="30"/>
    </row>
    <row r="841" spans="1:9" ht="18.75">
      <c r="A841" s="29"/>
      <c r="B841" s="30"/>
      <c r="C841" s="30"/>
      <c r="D841" s="31"/>
      <c r="E841" s="30"/>
      <c r="F841" s="30"/>
      <c r="G841" s="30"/>
      <c r="H841" s="30"/>
      <c r="I841" s="30"/>
    </row>
    <row r="842" spans="1:9" ht="18.75">
      <c r="A842" s="29"/>
      <c r="B842" s="30"/>
      <c r="C842" s="30"/>
      <c r="D842" s="31"/>
      <c r="E842" s="30"/>
      <c r="F842" s="30"/>
      <c r="G842" s="30"/>
      <c r="H842" s="30"/>
      <c r="I842" s="30"/>
    </row>
    <row r="843" spans="1:9" ht="18.75">
      <c r="A843" s="29"/>
      <c r="B843" s="30"/>
      <c r="C843" s="30"/>
      <c r="D843" s="31"/>
      <c r="E843" s="30"/>
      <c r="F843" s="30"/>
      <c r="G843" s="30"/>
      <c r="H843" s="30"/>
      <c r="I843" s="30"/>
    </row>
    <row r="844" spans="1:9" ht="18.75">
      <c r="A844" s="29"/>
      <c r="B844" s="30"/>
      <c r="C844" s="30"/>
      <c r="D844" s="31"/>
      <c r="E844" s="30"/>
      <c r="F844" s="30"/>
      <c r="G844" s="30"/>
      <c r="H844" s="30"/>
      <c r="I844" s="30"/>
    </row>
    <row r="845" spans="1:9" ht="18.75">
      <c r="A845" s="29"/>
      <c r="B845" s="30"/>
      <c r="C845" s="30"/>
      <c r="D845" s="31"/>
      <c r="E845" s="30"/>
      <c r="F845" s="30"/>
      <c r="G845" s="30"/>
      <c r="H845" s="30"/>
      <c r="I845" s="30"/>
    </row>
    <row r="846" spans="1:9" ht="18.75">
      <c r="A846" s="29"/>
      <c r="B846" s="30"/>
      <c r="C846" s="30"/>
      <c r="D846" s="31"/>
      <c r="E846" s="30"/>
      <c r="F846" s="30"/>
      <c r="G846" s="30"/>
      <c r="H846" s="30"/>
      <c r="I846" s="30"/>
    </row>
    <row r="847" spans="1:9" ht="18.75">
      <c r="A847" s="29"/>
      <c r="B847" s="30"/>
      <c r="C847" s="30"/>
      <c r="D847" s="31"/>
      <c r="E847" s="30"/>
      <c r="F847" s="30"/>
      <c r="G847" s="30"/>
      <c r="H847" s="30"/>
      <c r="I847" s="30"/>
    </row>
    <row r="848" spans="1:9" ht="18.75">
      <c r="A848" s="29"/>
      <c r="B848" s="30"/>
      <c r="C848" s="30"/>
      <c r="D848" s="31"/>
      <c r="E848" s="30"/>
      <c r="F848" s="30"/>
      <c r="G848" s="30"/>
      <c r="H848" s="30"/>
      <c r="I848" s="30"/>
    </row>
    <row r="849" spans="1:9" ht="18.75">
      <c r="A849" s="29"/>
      <c r="B849" s="30"/>
      <c r="C849" s="30"/>
      <c r="D849" s="31"/>
      <c r="E849" s="30"/>
      <c r="F849" s="30"/>
      <c r="G849" s="30"/>
      <c r="H849" s="30"/>
      <c r="I849" s="30"/>
    </row>
    <row r="850" spans="1:9" ht="18.75">
      <c r="A850" s="29"/>
      <c r="B850" s="30"/>
      <c r="C850" s="30"/>
      <c r="D850" s="31"/>
      <c r="E850" s="30"/>
      <c r="F850" s="30"/>
      <c r="G850" s="30"/>
      <c r="H850" s="30"/>
      <c r="I850" s="30"/>
    </row>
    <row r="851" spans="1:9" ht="18.75">
      <c r="A851" s="29"/>
      <c r="B851" s="30"/>
      <c r="C851" s="30"/>
      <c r="D851" s="31"/>
      <c r="E851" s="30"/>
      <c r="F851" s="30"/>
      <c r="G851" s="30"/>
      <c r="H851" s="30"/>
      <c r="I851" s="30"/>
    </row>
    <row r="852" spans="1:9" ht="18.75">
      <c r="A852" s="29"/>
      <c r="B852" s="30"/>
      <c r="C852" s="30"/>
      <c r="D852" s="31"/>
      <c r="E852" s="30"/>
      <c r="F852" s="30"/>
      <c r="G852" s="30"/>
      <c r="H852" s="30"/>
      <c r="I852" s="30"/>
    </row>
    <row r="853" spans="1:9" ht="18.75">
      <c r="A853" s="29"/>
      <c r="B853" s="30"/>
      <c r="C853" s="30"/>
      <c r="D853" s="31"/>
      <c r="E853" s="30"/>
      <c r="F853" s="30"/>
      <c r="G853" s="30"/>
      <c r="H853" s="30"/>
      <c r="I853" s="30"/>
    </row>
    <row r="854" spans="1:9" ht="18.75">
      <c r="A854" s="29"/>
      <c r="B854" s="30"/>
      <c r="C854" s="30"/>
      <c r="D854" s="31"/>
      <c r="E854" s="30"/>
      <c r="F854" s="30"/>
      <c r="G854" s="30"/>
      <c r="H854" s="30"/>
      <c r="I854" s="30"/>
    </row>
    <row r="855" spans="1:9" ht="18.75">
      <c r="A855" s="29"/>
      <c r="B855" s="30"/>
      <c r="C855" s="30"/>
      <c r="D855" s="31"/>
      <c r="E855" s="30"/>
      <c r="F855" s="30"/>
      <c r="G855" s="30"/>
      <c r="H855" s="30"/>
      <c r="I855" s="30"/>
    </row>
    <row r="856" spans="1:9" ht="18.75">
      <c r="A856" s="29"/>
      <c r="B856" s="30"/>
      <c r="C856" s="30"/>
      <c r="D856" s="31"/>
      <c r="E856" s="30"/>
      <c r="F856" s="30"/>
      <c r="G856" s="30"/>
      <c r="H856" s="30"/>
      <c r="I856" s="30"/>
    </row>
    <row r="857" spans="1:9" ht="18.75">
      <c r="A857" s="29"/>
      <c r="B857" s="30"/>
      <c r="C857" s="30"/>
      <c r="D857" s="31"/>
      <c r="E857" s="30"/>
      <c r="F857" s="30"/>
      <c r="G857" s="30"/>
      <c r="H857" s="30"/>
      <c r="I857" s="30"/>
    </row>
    <row r="858" spans="1:9" ht="18.75">
      <c r="A858" s="29"/>
      <c r="B858" s="30"/>
      <c r="C858" s="30"/>
      <c r="D858" s="31"/>
      <c r="E858" s="30"/>
      <c r="F858" s="30"/>
      <c r="G858" s="30"/>
      <c r="H858" s="30"/>
      <c r="I858" s="30"/>
    </row>
    <row r="859" spans="1:9" ht="18.75">
      <c r="A859" s="29"/>
      <c r="B859" s="30"/>
      <c r="C859" s="30"/>
      <c r="D859" s="31"/>
      <c r="E859" s="30"/>
      <c r="F859" s="30"/>
      <c r="G859" s="30"/>
      <c r="H859" s="30"/>
      <c r="I859" s="30"/>
    </row>
    <row r="860" spans="1:9" ht="18.75">
      <c r="A860" s="29"/>
      <c r="B860" s="30"/>
      <c r="C860" s="30"/>
      <c r="D860" s="31"/>
      <c r="E860" s="30"/>
      <c r="F860" s="30"/>
      <c r="G860" s="30"/>
      <c r="H860" s="30"/>
      <c r="I860" s="30"/>
    </row>
    <row r="861" spans="1:9" ht="18.75">
      <c r="A861" s="29"/>
      <c r="B861" s="30"/>
      <c r="C861" s="30"/>
      <c r="D861" s="31"/>
      <c r="E861" s="30"/>
      <c r="F861" s="30"/>
      <c r="G861" s="30"/>
      <c r="H861" s="30"/>
      <c r="I861" s="30"/>
    </row>
    <row r="862" spans="1:9" ht="18.75">
      <c r="A862" s="29"/>
      <c r="B862" s="30"/>
      <c r="C862" s="30"/>
      <c r="D862" s="31"/>
      <c r="E862" s="30"/>
      <c r="F862" s="30"/>
      <c r="G862" s="30"/>
      <c r="H862" s="30"/>
      <c r="I862" s="30"/>
    </row>
    <row r="863" spans="1:9" ht="18.75">
      <c r="A863" s="29"/>
      <c r="B863" s="30"/>
      <c r="C863" s="30"/>
      <c r="D863" s="31"/>
      <c r="E863" s="30"/>
      <c r="F863" s="30"/>
      <c r="G863" s="30"/>
      <c r="H863" s="30"/>
      <c r="I863" s="30"/>
    </row>
    <row r="864" spans="1:9" ht="18.75">
      <c r="A864" s="29"/>
      <c r="B864" s="30"/>
      <c r="C864" s="30"/>
      <c r="D864" s="31"/>
      <c r="E864" s="30"/>
      <c r="F864" s="30"/>
      <c r="G864" s="30"/>
      <c r="H864" s="30"/>
      <c r="I864" s="30"/>
    </row>
    <row r="865" spans="1:9" ht="18.75">
      <c r="A865" s="29"/>
      <c r="B865" s="30"/>
      <c r="C865" s="30"/>
      <c r="D865" s="31"/>
      <c r="E865" s="30"/>
      <c r="F865" s="30"/>
      <c r="G865" s="30"/>
      <c r="H865" s="30"/>
      <c r="I865" s="30"/>
    </row>
    <row r="866" spans="1:9" ht="18.75">
      <c r="A866" s="29"/>
      <c r="B866" s="30"/>
      <c r="C866" s="30"/>
      <c r="D866" s="31"/>
      <c r="E866" s="30"/>
      <c r="F866" s="30"/>
      <c r="G866" s="30"/>
      <c r="H866" s="30"/>
      <c r="I866" s="30"/>
    </row>
    <row r="867" spans="1:9" ht="18.75">
      <c r="A867" s="29"/>
      <c r="B867" s="30"/>
      <c r="C867" s="30"/>
      <c r="D867" s="31"/>
      <c r="E867" s="30"/>
      <c r="F867" s="30"/>
      <c r="G867" s="30"/>
      <c r="H867" s="30"/>
      <c r="I867" s="30"/>
    </row>
    <row r="868" spans="1:9" ht="18.75">
      <c r="A868" s="29"/>
      <c r="B868" s="30"/>
      <c r="C868" s="30"/>
      <c r="D868" s="31"/>
      <c r="E868" s="30"/>
      <c r="F868" s="30"/>
      <c r="G868" s="30"/>
      <c r="H868" s="30"/>
      <c r="I868" s="30"/>
    </row>
    <row r="869" spans="1:9" ht="18.75">
      <c r="A869" s="29"/>
      <c r="B869" s="30"/>
      <c r="C869" s="30"/>
      <c r="D869" s="31"/>
      <c r="E869" s="30"/>
      <c r="F869" s="30"/>
      <c r="G869" s="30"/>
      <c r="H869" s="30"/>
      <c r="I869" s="30"/>
    </row>
    <row r="870" spans="1:9" ht="18.75">
      <c r="A870" s="29"/>
      <c r="B870" s="30"/>
      <c r="C870" s="30"/>
      <c r="D870" s="31"/>
      <c r="E870" s="30"/>
      <c r="F870" s="30"/>
      <c r="G870" s="30"/>
      <c r="H870" s="30"/>
      <c r="I870" s="30"/>
    </row>
    <row r="871" spans="1:9" ht="18.75">
      <c r="A871" s="29"/>
      <c r="B871" s="30"/>
      <c r="C871" s="30"/>
      <c r="D871" s="31"/>
      <c r="E871" s="30"/>
      <c r="F871" s="30"/>
      <c r="G871" s="30"/>
      <c r="H871" s="30"/>
      <c r="I871" s="30"/>
    </row>
    <row r="872" spans="1:9" ht="18.75">
      <c r="A872" s="29"/>
      <c r="B872" s="30"/>
      <c r="C872" s="30"/>
      <c r="D872" s="31"/>
      <c r="E872" s="30"/>
      <c r="F872" s="30"/>
      <c r="G872" s="30"/>
      <c r="H872" s="30"/>
      <c r="I872" s="30"/>
    </row>
    <row r="873" spans="1:9" ht="18.75">
      <c r="A873" s="29"/>
      <c r="B873" s="30"/>
      <c r="C873" s="30"/>
      <c r="D873" s="31"/>
      <c r="E873" s="30"/>
      <c r="F873" s="30"/>
      <c r="G873" s="30"/>
      <c r="H873" s="30"/>
      <c r="I873" s="30"/>
    </row>
    <row r="874" spans="1:9" ht="18.75">
      <c r="A874" s="29"/>
      <c r="B874" s="30"/>
      <c r="C874" s="30"/>
      <c r="D874" s="31"/>
      <c r="E874" s="30"/>
      <c r="F874" s="30"/>
      <c r="G874" s="30"/>
      <c r="H874" s="30"/>
      <c r="I874" s="30"/>
    </row>
    <row r="875" spans="1:9" ht="18.75">
      <c r="A875" s="29"/>
      <c r="B875" s="30"/>
      <c r="C875" s="30"/>
      <c r="D875" s="31"/>
      <c r="E875" s="30"/>
      <c r="F875" s="30"/>
      <c r="G875" s="30"/>
      <c r="H875" s="30"/>
      <c r="I875" s="30"/>
    </row>
    <row r="876" spans="1:9" ht="18.75">
      <c r="A876" s="29"/>
      <c r="B876" s="30"/>
      <c r="C876" s="30"/>
      <c r="D876" s="31"/>
      <c r="E876" s="30"/>
      <c r="F876" s="30"/>
      <c r="G876" s="30"/>
      <c r="H876" s="30"/>
      <c r="I876" s="30"/>
    </row>
    <row r="877" spans="1:9" ht="18.75">
      <c r="A877" s="29"/>
      <c r="B877" s="30"/>
      <c r="C877" s="30"/>
      <c r="D877" s="31"/>
      <c r="E877" s="30"/>
      <c r="F877" s="30"/>
      <c r="G877" s="30"/>
      <c r="H877" s="30"/>
      <c r="I877" s="30"/>
    </row>
    <row r="878" spans="1:9" ht="18.75">
      <c r="A878" s="29"/>
      <c r="B878" s="30"/>
      <c r="C878" s="30"/>
      <c r="D878" s="31"/>
      <c r="E878" s="30"/>
      <c r="F878" s="30"/>
      <c r="G878" s="30"/>
      <c r="H878" s="30"/>
      <c r="I878" s="30"/>
    </row>
    <row r="879" spans="1:9" ht="18.75">
      <c r="A879" s="29"/>
      <c r="B879" s="30"/>
      <c r="C879" s="30"/>
      <c r="D879" s="31"/>
      <c r="E879" s="30"/>
      <c r="F879" s="30"/>
      <c r="G879" s="30"/>
      <c r="H879" s="30"/>
      <c r="I879" s="30"/>
    </row>
    <row r="880" spans="1:9" ht="18.75">
      <c r="A880" s="29"/>
      <c r="B880" s="30"/>
      <c r="C880" s="30"/>
      <c r="D880" s="31"/>
      <c r="E880" s="30"/>
      <c r="F880" s="30"/>
      <c r="G880" s="30"/>
      <c r="H880" s="30"/>
      <c r="I880" s="30"/>
    </row>
    <row r="881" spans="1:9" ht="18.75">
      <c r="A881" s="29"/>
      <c r="B881" s="30"/>
      <c r="C881" s="30"/>
      <c r="D881" s="31"/>
      <c r="E881" s="30"/>
      <c r="F881" s="30"/>
      <c r="G881" s="30"/>
      <c r="H881" s="30"/>
      <c r="I881" s="30"/>
    </row>
    <row r="882" spans="1:9" ht="18.75">
      <c r="A882" s="29"/>
      <c r="B882" s="30"/>
      <c r="C882" s="30"/>
      <c r="D882" s="31"/>
      <c r="E882" s="30"/>
      <c r="F882" s="30"/>
      <c r="G882" s="30"/>
      <c r="H882" s="30"/>
      <c r="I882" s="30"/>
    </row>
    <row r="883" spans="1:9" ht="18.75">
      <c r="A883" s="29"/>
      <c r="B883" s="30"/>
      <c r="C883" s="30"/>
      <c r="D883" s="31"/>
      <c r="E883" s="30"/>
      <c r="F883" s="30"/>
      <c r="G883" s="30"/>
      <c r="H883" s="30"/>
      <c r="I883" s="30"/>
    </row>
    <row r="884" spans="1:9" ht="18.75">
      <c r="A884" s="29"/>
      <c r="B884" s="30"/>
      <c r="C884" s="30"/>
      <c r="D884" s="31"/>
      <c r="E884" s="30"/>
      <c r="F884" s="30"/>
      <c r="G884" s="30"/>
      <c r="H884" s="30"/>
      <c r="I884" s="30"/>
    </row>
    <row r="885" spans="1:9" ht="18.75">
      <c r="A885" s="29"/>
      <c r="B885" s="30"/>
      <c r="C885" s="30"/>
      <c r="D885" s="31"/>
      <c r="E885" s="30"/>
      <c r="F885" s="30"/>
      <c r="G885" s="30"/>
      <c r="H885" s="30"/>
      <c r="I885" s="30"/>
    </row>
    <row r="886" spans="1:9" ht="18.75">
      <c r="A886" s="29"/>
      <c r="B886" s="30"/>
      <c r="C886" s="30"/>
      <c r="D886" s="31"/>
      <c r="E886" s="30"/>
      <c r="F886" s="30"/>
      <c r="G886" s="30"/>
      <c r="H886" s="30"/>
      <c r="I886" s="30"/>
    </row>
    <row r="887" spans="1:9" ht="18.75">
      <c r="A887" s="29"/>
      <c r="B887" s="30"/>
      <c r="C887" s="30"/>
      <c r="D887" s="31"/>
      <c r="E887" s="30"/>
      <c r="F887" s="30"/>
      <c r="G887" s="30"/>
      <c r="H887" s="30"/>
      <c r="I887" s="30"/>
    </row>
    <row r="888" spans="1:9" ht="18.75">
      <c r="A888" s="29"/>
      <c r="B888" s="30"/>
      <c r="C888" s="30"/>
      <c r="D888" s="31"/>
      <c r="E888" s="30"/>
      <c r="F888" s="30"/>
      <c r="G888" s="30"/>
      <c r="H888" s="30"/>
      <c r="I888" s="30"/>
    </row>
    <row r="889" spans="1:9" ht="18.75">
      <c r="A889" s="29"/>
      <c r="B889" s="30"/>
      <c r="C889" s="30"/>
      <c r="D889" s="31"/>
      <c r="E889" s="30"/>
      <c r="F889" s="30"/>
      <c r="G889" s="30"/>
      <c r="H889" s="30"/>
      <c r="I889" s="30"/>
    </row>
    <row r="890" spans="1:9" ht="18.75">
      <c r="A890" s="29"/>
      <c r="B890" s="30"/>
      <c r="C890" s="30"/>
      <c r="D890" s="31"/>
      <c r="E890" s="30"/>
      <c r="F890" s="30"/>
      <c r="G890" s="30"/>
      <c r="H890" s="30"/>
      <c r="I890" s="30"/>
    </row>
    <row r="891" spans="1:9" ht="18.75">
      <c r="A891" s="29"/>
      <c r="B891" s="30"/>
      <c r="C891" s="30"/>
      <c r="D891" s="31"/>
      <c r="E891" s="30"/>
      <c r="F891" s="30"/>
      <c r="G891" s="30"/>
      <c r="H891" s="30"/>
      <c r="I891" s="30"/>
    </row>
    <row r="892" spans="1:9" ht="18.75">
      <c r="A892" s="29"/>
      <c r="B892" s="30"/>
      <c r="C892" s="30"/>
      <c r="D892" s="31"/>
      <c r="E892" s="30"/>
      <c r="F892" s="30"/>
      <c r="G892" s="30"/>
      <c r="H892" s="30"/>
      <c r="I892" s="30"/>
    </row>
    <row r="893" spans="1:9" ht="18.75">
      <c r="A893" s="29"/>
      <c r="B893" s="30"/>
      <c r="C893" s="30"/>
      <c r="D893" s="31"/>
      <c r="E893" s="30"/>
      <c r="F893" s="30"/>
      <c r="G893" s="30"/>
      <c r="H893" s="30"/>
      <c r="I893" s="30"/>
    </row>
    <row r="894" spans="1:9" ht="18.75">
      <c r="A894" s="29"/>
      <c r="B894" s="30"/>
      <c r="C894" s="30"/>
      <c r="D894" s="31"/>
      <c r="E894" s="30"/>
      <c r="F894" s="30"/>
      <c r="G894" s="30"/>
      <c r="H894" s="30"/>
      <c r="I894" s="30"/>
    </row>
    <row r="895" spans="1:9" ht="18.75">
      <c r="A895" s="29"/>
      <c r="B895" s="30"/>
      <c r="C895" s="30"/>
      <c r="D895" s="31"/>
      <c r="E895" s="30"/>
      <c r="F895" s="30"/>
      <c r="G895" s="30"/>
      <c r="H895" s="30"/>
      <c r="I895" s="30"/>
    </row>
    <row r="896" spans="1:9" ht="18.75">
      <c r="A896" s="29"/>
      <c r="B896" s="30"/>
      <c r="C896" s="30"/>
      <c r="D896" s="31"/>
      <c r="E896" s="30"/>
      <c r="F896" s="30"/>
      <c r="G896" s="30"/>
      <c r="H896" s="30"/>
      <c r="I896" s="30"/>
    </row>
    <row r="897" spans="1:9" ht="18.75">
      <c r="A897" s="29"/>
      <c r="B897" s="30"/>
      <c r="C897" s="30"/>
      <c r="D897" s="31"/>
      <c r="E897" s="30"/>
      <c r="F897" s="30"/>
      <c r="G897" s="30"/>
      <c r="H897" s="30"/>
      <c r="I897" s="30"/>
    </row>
    <row r="898" spans="1:9" ht="18.75">
      <c r="A898" s="29"/>
      <c r="B898" s="30"/>
      <c r="C898" s="30"/>
      <c r="D898" s="31"/>
      <c r="E898" s="30"/>
      <c r="F898" s="30"/>
      <c r="G898" s="30"/>
      <c r="H898" s="30"/>
      <c r="I898" s="30"/>
    </row>
    <row r="899" spans="1:9" ht="18.75">
      <c r="A899" s="29"/>
      <c r="B899" s="30"/>
      <c r="C899" s="30"/>
      <c r="D899" s="31"/>
      <c r="E899" s="30"/>
      <c r="F899" s="30"/>
      <c r="G899" s="30"/>
      <c r="H899" s="30"/>
      <c r="I899" s="30"/>
    </row>
    <row r="900" spans="1:9" ht="18.75">
      <c r="A900" s="29"/>
      <c r="B900" s="30"/>
      <c r="C900" s="30"/>
      <c r="D900" s="31"/>
      <c r="E900" s="30"/>
      <c r="F900" s="30"/>
      <c r="G900" s="30"/>
      <c r="H900" s="30"/>
      <c r="I900" s="30"/>
    </row>
    <row r="901" spans="1:9" ht="18.75">
      <c r="A901" s="29"/>
      <c r="B901" s="30"/>
      <c r="C901" s="30"/>
      <c r="D901" s="31"/>
      <c r="E901" s="30"/>
      <c r="F901" s="30"/>
      <c r="G901" s="30"/>
      <c r="H901" s="30"/>
      <c r="I901" s="30"/>
    </row>
    <row r="902" spans="1:9" ht="18.75">
      <c r="A902" s="29"/>
      <c r="B902" s="30"/>
      <c r="C902" s="30"/>
      <c r="D902" s="31"/>
      <c r="E902" s="30"/>
      <c r="F902" s="30"/>
      <c r="G902" s="30"/>
      <c r="H902" s="30"/>
      <c r="I902" s="30"/>
    </row>
    <row r="903" spans="1:9" ht="18.75">
      <c r="A903" s="29"/>
      <c r="B903" s="30"/>
      <c r="C903" s="30"/>
      <c r="D903" s="31"/>
      <c r="E903" s="30"/>
      <c r="F903" s="30"/>
      <c r="G903" s="30"/>
      <c r="H903" s="30"/>
      <c r="I903" s="30"/>
    </row>
    <row r="904" spans="1:9" ht="18.75">
      <c r="A904" s="29"/>
      <c r="B904" s="30"/>
      <c r="C904" s="30"/>
      <c r="D904" s="31"/>
      <c r="E904" s="30"/>
      <c r="F904" s="30"/>
      <c r="G904" s="30"/>
      <c r="H904" s="30"/>
      <c r="I904" s="30"/>
    </row>
    <row r="905" spans="1:9" ht="18.75">
      <c r="A905" s="29"/>
      <c r="B905" s="30"/>
      <c r="C905" s="30"/>
      <c r="D905" s="31"/>
      <c r="E905" s="30"/>
      <c r="F905" s="30"/>
      <c r="G905" s="30"/>
      <c r="H905" s="30"/>
      <c r="I905" s="30"/>
    </row>
    <row r="906" spans="1:9" ht="18.75">
      <c r="A906" s="29"/>
      <c r="B906" s="30"/>
      <c r="C906" s="30"/>
      <c r="D906" s="31"/>
      <c r="E906" s="30"/>
      <c r="F906" s="30"/>
      <c r="G906" s="30"/>
      <c r="H906" s="30"/>
      <c r="I906" s="30"/>
    </row>
    <row r="907" spans="1:9" ht="18.75">
      <c r="A907" s="29"/>
      <c r="B907" s="30"/>
      <c r="C907" s="30"/>
      <c r="D907" s="31"/>
      <c r="E907" s="30"/>
      <c r="F907" s="30"/>
      <c r="G907" s="30"/>
      <c r="H907" s="30"/>
      <c r="I907" s="30"/>
    </row>
    <row r="908" spans="1:9" ht="18.75">
      <c r="A908" s="29"/>
      <c r="B908" s="30"/>
      <c r="C908" s="30"/>
      <c r="D908" s="31"/>
      <c r="E908" s="30"/>
      <c r="F908" s="30"/>
      <c r="G908" s="30"/>
      <c r="H908" s="30"/>
      <c r="I908" s="30"/>
    </row>
    <row r="909" spans="1:9" ht="18.75">
      <c r="A909" s="29"/>
      <c r="B909" s="30"/>
      <c r="C909" s="30"/>
      <c r="D909" s="31"/>
      <c r="E909" s="30"/>
      <c r="F909" s="30"/>
      <c r="G909" s="30"/>
      <c r="H909" s="30"/>
      <c r="I909" s="30"/>
    </row>
    <row r="910" spans="1:9" ht="18.75">
      <c r="A910" s="29"/>
      <c r="B910" s="30"/>
      <c r="C910" s="30"/>
      <c r="D910" s="31"/>
      <c r="E910" s="30"/>
      <c r="F910" s="30"/>
      <c r="G910" s="30"/>
      <c r="H910" s="30"/>
      <c r="I910" s="30"/>
    </row>
    <row r="911" spans="1:9" ht="18.75">
      <c r="A911" s="29"/>
      <c r="B911" s="30"/>
      <c r="C911" s="30"/>
      <c r="D911" s="31"/>
      <c r="E911" s="30"/>
      <c r="F911" s="30"/>
      <c r="G911" s="30"/>
      <c r="H911" s="30"/>
      <c r="I911" s="30"/>
    </row>
    <row r="912" spans="1:9" ht="18.75">
      <c r="A912" s="29"/>
      <c r="B912" s="30"/>
      <c r="C912" s="30"/>
      <c r="D912" s="31"/>
      <c r="E912" s="30"/>
      <c r="F912" s="30"/>
      <c r="G912" s="30"/>
      <c r="H912" s="30"/>
      <c r="I912" s="30"/>
    </row>
    <row r="913" spans="1:9" ht="18.75">
      <c r="A913" s="29"/>
      <c r="B913" s="30"/>
      <c r="C913" s="30"/>
      <c r="D913" s="31"/>
      <c r="E913" s="30"/>
      <c r="F913" s="30"/>
      <c r="G913" s="30"/>
      <c r="H913" s="30"/>
      <c r="I913" s="30"/>
    </row>
    <row r="914" spans="1:9" ht="18.75">
      <c r="A914" s="29"/>
      <c r="B914" s="30"/>
      <c r="C914" s="30"/>
      <c r="D914" s="31"/>
      <c r="E914" s="30"/>
      <c r="F914" s="30"/>
      <c r="G914" s="30"/>
      <c r="H914" s="30"/>
      <c r="I914" s="30"/>
    </row>
    <row r="915" spans="1:9" ht="18.75">
      <c r="A915" s="29"/>
      <c r="B915" s="30"/>
      <c r="C915" s="30"/>
      <c r="D915" s="31"/>
      <c r="E915" s="30"/>
      <c r="F915" s="30"/>
      <c r="G915" s="30"/>
      <c r="H915" s="30"/>
      <c r="I915" s="30"/>
    </row>
    <row r="916" spans="1:9" ht="18.75">
      <c r="A916" s="29"/>
      <c r="B916" s="30"/>
      <c r="C916" s="30"/>
      <c r="D916" s="31"/>
      <c r="E916" s="30"/>
      <c r="F916" s="30"/>
      <c r="G916" s="30"/>
      <c r="H916" s="30"/>
      <c r="I916" s="30"/>
    </row>
    <row r="917" spans="1:9" ht="18.75">
      <c r="A917" s="29"/>
      <c r="B917" s="30"/>
      <c r="C917" s="30"/>
      <c r="D917" s="31"/>
      <c r="E917" s="30"/>
      <c r="F917" s="30"/>
      <c r="G917" s="30"/>
      <c r="H917" s="30"/>
      <c r="I917" s="30"/>
    </row>
    <row r="918" spans="1:9" ht="18.75">
      <c r="A918" s="29"/>
      <c r="B918" s="30"/>
      <c r="C918" s="30"/>
      <c r="D918" s="31"/>
      <c r="E918" s="30"/>
      <c r="F918" s="30"/>
      <c r="G918" s="30"/>
      <c r="H918" s="30"/>
      <c r="I918" s="30"/>
    </row>
    <row r="919" spans="1:9" ht="18.75">
      <c r="A919" s="29"/>
      <c r="B919" s="30"/>
      <c r="C919" s="30"/>
      <c r="D919" s="31"/>
      <c r="E919" s="30"/>
      <c r="F919" s="30"/>
      <c r="G919" s="30"/>
      <c r="H919" s="30"/>
      <c r="I919" s="30"/>
    </row>
    <row r="920" spans="1:9" ht="18.75">
      <c r="A920" s="29"/>
      <c r="B920" s="30"/>
      <c r="C920" s="30"/>
      <c r="D920" s="31"/>
      <c r="E920" s="30"/>
      <c r="F920" s="30"/>
      <c r="G920" s="30"/>
      <c r="H920" s="30"/>
      <c r="I920" s="30"/>
    </row>
    <row r="921" spans="1:9" ht="18.75">
      <c r="A921" s="29"/>
      <c r="B921" s="30"/>
      <c r="C921" s="30"/>
      <c r="D921" s="31"/>
      <c r="E921" s="30"/>
      <c r="F921" s="30"/>
      <c r="G921" s="30"/>
      <c r="H921" s="30"/>
      <c r="I921" s="30"/>
    </row>
    <row r="922" spans="1:9" ht="18.75">
      <c r="A922" s="29"/>
      <c r="B922" s="30"/>
      <c r="C922" s="30"/>
      <c r="D922" s="31"/>
      <c r="E922" s="30"/>
      <c r="F922" s="30"/>
      <c r="G922" s="30"/>
      <c r="H922" s="30"/>
      <c r="I922" s="30"/>
    </row>
    <row r="923" spans="1:9" ht="18.75">
      <c r="A923" s="29"/>
      <c r="B923" s="30"/>
      <c r="C923" s="30"/>
      <c r="D923" s="31"/>
      <c r="E923" s="30"/>
      <c r="F923" s="30"/>
      <c r="G923" s="30"/>
      <c r="H923" s="30"/>
      <c r="I923" s="30"/>
    </row>
    <row r="924" spans="1:9" ht="18.75">
      <c r="A924" s="29"/>
      <c r="B924" s="30"/>
      <c r="C924" s="30"/>
      <c r="D924" s="31"/>
      <c r="E924" s="30"/>
      <c r="F924" s="30"/>
      <c r="G924" s="30"/>
      <c r="H924" s="30"/>
      <c r="I924" s="30"/>
    </row>
    <row r="925" spans="1:9" ht="18.75">
      <c r="A925" s="29"/>
      <c r="B925" s="30"/>
      <c r="C925" s="30"/>
      <c r="D925" s="31"/>
      <c r="E925" s="30"/>
      <c r="F925" s="30"/>
      <c r="G925" s="30"/>
      <c r="H925" s="30"/>
      <c r="I925" s="30"/>
    </row>
    <row r="926" spans="1:9" ht="18.75">
      <c r="A926" s="29"/>
      <c r="B926" s="30"/>
      <c r="C926" s="30"/>
      <c r="D926" s="31"/>
      <c r="E926" s="30"/>
      <c r="F926" s="30"/>
      <c r="G926" s="30"/>
      <c r="H926" s="30"/>
      <c r="I926" s="30"/>
    </row>
    <row r="927" spans="1:9" ht="18.75">
      <c r="A927" s="29"/>
      <c r="B927" s="30"/>
      <c r="C927" s="30"/>
      <c r="D927" s="31"/>
      <c r="E927" s="30"/>
      <c r="F927" s="30"/>
      <c r="G927" s="30"/>
      <c r="H927" s="30"/>
      <c r="I927" s="30"/>
    </row>
    <row r="928" spans="1:9" ht="18.75">
      <c r="A928" s="29"/>
      <c r="B928" s="30"/>
      <c r="C928" s="30"/>
      <c r="D928" s="31"/>
      <c r="E928" s="30"/>
      <c r="F928" s="30"/>
      <c r="G928" s="30"/>
      <c r="H928" s="30"/>
      <c r="I928" s="30"/>
    </row>
    <row r="929" spans="1:9" ht="18.75">
      <c r="A929" s="29"/>
      <c r="B929" s="30"/>
      <c r="C929" s="30"/>
      <c r="D929" s="31"/>
      <c r="E929" s="30"/>
      <c r="F929" s="30"/>
      <c r="G929" s="30"/>
      <c r="H929" s="30"/>
      <c r="I929" s="30"/>
    </row>
    <row r="930" spans="1:9" ht="18.75">
      <c r="A930" s="29"/>
      <c r="B930" s="30"/>
      <c r="C930" s="30"/>
      <c r="D930" s="31"/>
      <c r="E930" s="30"/>
      <c r="F930" s="30"/>
      <c r="G930" s="30"/>
      <c r="H930" s="30"/>
      <c r="I930" s="30"/>
    </row>
    <row r="931" spans="1:9" ht="18.75">
      <c r="A931" s="29"/>
      <c r="B931" s="30"/>
      <c r="C931" s="30"/>
      <c r="D931" s="31"/>
      <c r="E931" s="30"/>
      <c r="F931" s="30"/>
      <c r="G931" s="30"/>
      <c r="H931" s="30"/>
      <c r="I931" s="30"/>
    </row>
    <row r="932" spans="1:9" ht="18.75">
      <c r="A932" s="29"/>
      <c r="B932" s="30"/>
      <c r="C932" s="30"/>
      <c r="D932" s="31"/>
      <c r="E932" s="30"/>
      <c r="F932" s="30"/>
      <c r="G932" s="30"/>
      <c r="H932" s="30"/>
      <c r="I932" s="30"/>
    </row>
    <row r="933" spans="1:9" ht="18.75">
      <c r="A933" s="29"/>
      <c r="B933" s="30"/>
      <c r="C933" s="30"/>
      <c r="D933" s="31"/>
      <c r="E933" s="30"/>
      <c r="F933" s="30"/>
      <c r="G933" s="30"/>
      <c r="H933" s="30"/>
      <c r="I933" s="30"/>
    </row>
    <row r="934" spans="1:9" ht="18.75">
      <c r="A934" s="29"/>
      <c r="B934" s="30"/>
      <c r="C934" s="30"/>
      <c r="D934" s="31"/>
      <c r="E934" s="30"/>
      <c r="F934" s="30"/>
      <c r="G934" s="30"/>
      <c r="H934" s="30"/>
      <c r="I934" s="30"/>
    </row>
    <row r="935" spans="1:9" ht="18.75">
      <c r="A935" s="29"/>
      <c r="B935" s="30"/>
      <c r="C935" s="30"/>
      <c r="D935" s="31"/>
      <c r="E935" s="30"/>
      <c r="F935" s="30"/>
      <c r="G935" s="30"/>
      <c r="H935" s="30"/>
      <c r="I935" s="30"/>
    </row>
    <row r="936" spans="1:9" ht="18.75">
      <c r="A936" s="29"/>
      <c r="B936" s="30"/>
      <c r="C936" s="30"/>
      <c r="D936" s="31"/>
      <c r="E936" s="30"/>
      <c r="F936" s="30"/>
      <c r="G936" s="30"/>
      <c r="H936" s="30"/>
      <c r="I936" s="30"/>
    </row>
    <row r="937" spans="1:9" ht="18.75">
      <c r="A937" s="29"/>
      <c r="B937" s="30"/>
      <c r="C937" s="30"/>
      <c r="D937" s="31"/>
      <c r="E937" s="30"/>
      <c r="F937" s="30"/>
      <c r="G937" s="30"/>
      <c r="H937" s="30"/>
      <c r="I937" s="30"/>
    </row>
    <row r="938" spans="1:9" ht="18.75">
      <c r="A938" s="29"/>
      <c r="B938" s="30"/>
      <c r="C938" s="30"/>
      <c r="D938" s="31"/>
      <c r="E938" s="30"/>
      <c r="F938" s="30"/>
      <c r="G938" s="30"/>
      <c r="H938" s="30"/>
      <c r="I938" s="30"/>
    </row>
    <row r="939" spans="1:9" ht="18.75">
      <c r="A939" s="29"/>
      <c r="B939" s="30"/>
      <c r="C939" s="30"/>
      <c r="D939" s="31"/>
      <c r="E939" s="30"/>
      <c r="F939" s="30"/>
      <c r="G939" s="30"/>
      <c r="H939" s="30"/>
      <c r="I939" s="30"/>
    </row>
    <row r="940" spans="1:9" ht="18.75">
      <c r="A940" s="29"/>
      <c r="B940" s="30"/>
      <c r="C940" s="30"/>
      <c r="D940" s="31"/>
      <c r="E940" s="30"/>
      <c r="F940" s="30"/>
      <c r="G940" s="30"/>
      <c r="H940" s="30"/>
      <c r="I940" s="30"/>
    </row>
    <row r="941" spans="1:9" ht="18.75">
      <c r="A941" s="29"/>
      <c r="B941" s="30"/>
      <c r="C941" s="30"/>
      <c r="D941" s="31"/>
      <c r="E941" s="30"/>
      <c r="F941" s="30"/>
      <c r="G941" s="30"/>
      <c r="H941" s="30"/>
      <c r="I941" s="30"/>
    </row>
    <row r="942" spans="1:9" ht="18.75">
      <c r="A942" s="29"/>
      <c r="B942" s="30"/>
      <c r="C942" s="30"/>
      <c r="D942" s="31"/>
      <c r="E942" s="30"/>
      <c r="F942" s="30"/>
      <c r="G942" s="30"/>
      <c r="H942" s="30"/>
      <c r="I942" s="30"/>
    </row>
    <row r="943" spans="1:9" ht="18.75">
      <c r="A943" s="29"/>
      <c r="B943" s="30"/>
      <c r="C943" s="30"/>
      <c r="D943" s="31"/>
      <c r="E943" s="30"/>
      <c r="F943" s="30"/>
      <c r="G943" s="30"/>
      <c r="H943" s="30"/>
      <c r="I943" s="30"/>
    </row>
    <row r="944" spans="1:9" ht="18.75">
      <c r="A944" s="29"/>
      <c r="B944" s="30"/>
      <c r="C944" s="30"/>
      <c r="D944" s="31"/>
      <c r="E944" s="30"/>
      <c r="F944" s="30"/>
      <c r="G944" s="30"/>
      <c r="H944" s="30"/>
      <c r="I944" s="30"/>
    </row>
    <row r="945" spans="1:9" ht="18.75">
      <c r="A945" s="29"/>
      <c r="B945" s="30"/>
      <c r="C945" s="30"/>
      <c r="D945" s="31"/>
      <c r="E945" s="30"/>
      <c r="F945" s="30"/>
      <c r="G945" s="30"/>
      <c r="H945" s="30"/>
      <c r="I945" s="30"/>
    </row>
    <row r="946" spans="1:9" ht="18.75">
      <c r="A946" s="29"/>
      <c r="B946" s="30"/>
      <c r="C946" s="30"/>
      <c r="D946" s="31"/>
      <c r="E946" s="30"/>
      <c r="F946" s="30"/>
      <c r="G946" s="30"/>
      <c r="H946" s="30"/>
      <c r="I946" s="30"/>
    </row>
    <row r="947" spans="1:9" ht="18.75">
      <c r="A947" s="29"/>
      <c r="B947" s="30"/>
      <c r="C947" s="30"/>
      <c r="D947" s="31"/>
      <c r="E947" s="30"/>
      <c r="F947" s="30"/>
      <c r="G947" s="30"/>
      <c r="H947" s="30"/>
      <c r="I947" s="30"/>
    </row>
    <row r="948" spans="1:9" ht="18.75">
      <c r="A948" s="29"/>
      <c r="B948" s="30"/>
      <c r="C948" s="30"/>
      <c r="D948" s="31"/>
      <c r="E948" s="30"/>
      <c r="F948" s="30"/>
      <c r="G948" s="30"/>
      <c r="H948" s="30"/>
      <c r="I948" s="30"/>
    </row>
    <row r="949" spans="1:9" ht="18.75">
      <c r="A949" s="29"/>
      <c r="B949" s="30"/>
      <c r="C949" s="30"/>
      <c r="D949" s="31"/>
      <c r="E949" s="30"/>
      <c r="F949" s="30"/>
      <c r="G949" s="30"/>
      <c r="H949" s="30"/>
      <c r="I949" s="30"/>
    </row>
    <row r="950" spans="1:9" ht="18.75">
      <c r="A950" s="29"/>
      <c r="B950" s="30"/>
      <c r="C950" s="30"/>
      <c r="D950" s="31"/>
      <c r="E950" s="30"/>
      <c r="F950" s="30"/>
      <c r="G950" s="30"/>
      <c r="H950" s="30"/>
      <c r="I950" s="30"/>
    </row>
    <row r="951" spans="1:9" ht="18.75">
      <c r="A951" s="29"/>
      <c r="B951" s="30"/>
      <c r="C951" s="30"/>
      <c r="D951" s="31"/>
      <c r="E951" s="30"/>
      <c r="F951" s="30"/>
      <c r="G951" s="30"/>
      <c r="H951" s="30"/>
      <c r="I951" s="30"/>
    </row>
    <row r="952" spans="1:9" ht="18.75">
      <c r="A952" s="29"/>
      <c r="B952" s="30"/>
      <c r="C952" s="30"/>
      <c r="D952" s="31"/>
      <c r="E952" s="30"/>
      <c r="F952" s="30"/>
      <c r="G952" s="30"/>
      <c r="H952" s="30"/>
      <c r="I952" s="30"/>
    </row>
    <row r="953" spans="1:9" ht="18.75">
      <c r="A953" s="29"/>
      <c r="B953" s="30"/>
      <c r="C953" s="30"/>
      <c r="D953" s="31"/>
      <c r="E953" s="30"/>
      <c r="F953" s="30"/>
      <c r="G953" s="30"/>
      <c r="H953" s="30"/>
      <c r="I953" s="30"/>
    </row>
    <row r="954" spans="1:9" ht="18.75">
      <c r="A954" s="29"/>
      <c r="B954" s="30"/>
      <c r="C954" s="30"/>
      <c r="D954" s="31"/>
      <c r="E954" s="30"/>
      <c r="F954" s="30"/>
      <c r="G954" s="30"/>
      <c r="H954" s="30"/>
      <c r="I954" s="30"/>
    </row>
    <row r="955" spans="1:9" ht="18.75">
      <c r="A955" s="29"/>
      <c r="B955" s="30"/>
      <c r="C955" s="30"/>
      <c r="D955" s="31"/>
      <c r="E955" s="30"/>
      <c r="F955" s="30"/>
      <c r="G955" s="30"/>
      <c r="H955" s="30"/>
      <c r="I955" s="30"/>
    </row>
    <row r="956" spans="1:9" ht="18.75">
      <c r="A956" s="29"/>
      <c r="B956" s="30"/>
      <c r="C956" s="30"/>
      <c r="D956" s="31"/>
      <c r="E956" s="30"/>
      <c r="F956" s="30"/>
      <c r="G956" s="30"/>
      <c r="H956" s="30"/>
      <c r="I956" s="30"/>
    </row>
    <row r="957" spans="1:9" ht="18.75">
      <c r="A957" s="29"/>
      <c r="B957" s="30"/>
      <c r="C957" s="30"/>
      <c r="D957" s="31"/>
      <c r="E957" s="30"/>
      <c r="F957" s="30"/>
      <c r="G957" s="30"/>
      <c r="H957" s="30"/>
      <c r="I957" s="30"/>
    </row>
    <row r="958" spans="1:9" ht="18.75">
      <c r="A958" s="29"/>
      <c r="B958" s="30"/>
      <c r="C958" s="30"/>
      <c r="D958" s="31"/>
      <c r="E958" s="30"/>
      <c r="F958" s="30"/>
      <c r="G958" s="30"/>
      <c r="H958" s="30"/>
      <c r="I958" s="30"/>
    </row>
    <row r="959" spans="1:9" ht="18.75">
      <c r="A959" s="29"/>
      <c r="B959" s="30"/>
      <c r="C959" s="30"/>
      <c r="D959" s="31"/>
      <c r="E959" s="30"/>
      <c r="F959" s="30"/>
      <c r="G959" s="30"/>
      <c r="H959" s="30"/>
      <c r="I959" s="30"/>
    </row>
    <row r="960" spans="1:9" ht="18.75">
      <c r="A960" s="29"/>
      <c r="B960" s="30"/>
      <c r="C960" s="30"/>
      <c r="D960" s="31"/>
      <c r="E960" s="30"/>
      <c r="F960" s="30"/>
      <c r="G960" s="30"/>
      <c r="H960" s="30"/>
      <c r="I960" s="30"/>
    </row>
    <row r="961" spans="1:9" ht="18.75">
      <c r="A961" s="29"/>
      <c r="B961" s="30"/>
      <c r="C961" s="30"/>
      <c r="D961" s="31"/>
      <c r="E961" s="30"/>
      <c r="F961" s="30"/>
      <c r="G961" s="30"/>
      <c r="H961" s="30"/>
      <c r="I961" s="30"/>
    </row>
    <row r="962" spans="1:9" ht="18.75">
      <c r="A962" s="29"/>
      <c r="B962" s="30"/>
      <c r="C962" s="30"/>
      <c r="D962" s="31"/>
      <c r="E962" s="30"/>
      <c r="F962" s="30"/>
      <c r="G962" s="30"/>
      <c r="H962" s="30"/>
      <c r="I962" s="30"/>
    </row>
    <row r="963" spans="1:9" ht="18.75">
      <c r="A963" s="29"/>
      <c r="B963" s="30"/>
      <c r="C963" s="30"/>
      <c r="D963" s="31"/>
      <c r="E963" s="30"/>
      <c r="F963" s="30"/>
      <c r="G963" s="30"/>
      <c r="H963" s="30"/>
      <c r="I963" s="30"/>
    </row>
    <row r="964" spans="1:9" ht="18.75">
      <c r="A964" s="29"/>
      <c r="B964" s="30"/>
      <c r="C964" s="30"/>
      <c r="D964" s="31"/>
      <c r="E964" s="30"/>
      <c r="F964" s="30"/>
      <c r="G964" s="30"/>
      <c r="H964" s="30"/>
      <c r="I964" s="30"/>
    </row>
    <row r="965" spans="1:9" ht="18.75">
      <c r="A965" s="29"/>
      <c r="B965" s="30"/>
      <c r="C965" s="30"/>
      <c r="D965" s="31"/>
      <c r="E965" s="30"/>
      <c r="F965" s="30"/>
      <c r="G965" s="30"/>
      <c r="H965" s="30"/>
      <c r="I965" s="30"/>
    </row>
    <row r="966" spans="1:9" ht="18.75">
      <c r="A966" s="29"/>
      <c r="B966" s="30"/>
      <c r="C966" s="30"/>
      <c r="D966" s="31"/>
      <c r="E966" s="30"/>
      <c r="F966" s="30"/>
      <c r="G966" s="30"/>
      <c r="H966" s="30"/>
      <c r="I966" s="30"/>
    </row>
    <row r="967" spans="1:9" ht="18.75">
      <c r="A967" s="29"/>
      <c r="B967" s="30"/>
      <c r="C967" s="30"/>
      <c r="D967" s="31"/>
      <c r="E967" s="30"/>
      <c r="F967" s="30"/>
      <c r="G967" s="30"/>
      <c r="H967" s="30"/>
      <c r="I967" s="30"/>
    </row>
    <row r="968" spans="1:9" ht="18.75">
      <c r="A968" s="29"/>
      <c r="B968" s="30"/>
      <c r="C968" s="30"/>
      <c r="D968" s="31"/>
      <c r="E968" s="30"/>
      <c r="F968" s="30"/>
      <c r="G968" s="30"/>
      <c r="H968" s="30"/>
      <c r="I968" s="30"/>
    </row>
    <row r="969" spans="1:9" ht="18.75">
      <c r="A969" s="29"/>
      <c r="B969" s="30"/>
      <c r="C969" s="30"/>
      <c r="D969" s="31"/>
      <c r="E969" s="30"/>
      <c r="F969" s="30"/>
      <c r="G969" s="30"/>
      <c r="H969" s="30"/>
      <c r="I969" s="30"/>
    </row>
    <row r="970" spans="1:9" ht="18.75">
      <c r="A970" s="29"/>
      <c r="B970" s="30"/>
      <c r="C970" s="30"/>
      <c r="D970" s="31"/>
      <c r="E970" s="30"/>
      <c r="F970" s="30"/>
      <c r="G970" s="30"/>
      <c r="H970" s="30"/>
      <c r="I970" s="30"/>
    </row>
    <row r="971" spans="1:9" ht="18.75">
      <c r="A971" s="29"/>
      <c r="B971" s="30"/>
      <c r="C971" s="30"/>
      <c r="D971" s="31"/>
      <c r="E971" s="30"/>
      <c r="F971" s="30"/>
      <c r="G971" s="30"/>
      <c r="H971" s="30"/>
      <c r="I971" s="30"/>
    </row>
    <row r="972" spans="1:9" ht="18.75">
      <c r="A972" s="29"/>
      <c r="B972" s="30"/>
      <c r="C972" s="30"/>
      <c r="D972" s="31"/>
      <c r="E972" s="30"/>
      <c r="F972" s="30"/>
      <c r="G972" s="30"/>
      <c r="H972" s="30"/>
      <c r="I972" s="30"/>
    </row>
    <row r="973" spans="1:9" ht="18.75">
      <c r="A973" s="29"/>
      <c r="B973" s="30"/>
      <c r="C973" s="30"/>
      <c r="D973" s="31"/>
      <c r="E973" s="30"/>
      <c r="F973" s="30"/>
      <c r="G973" s="30"/>
      <c r="H973" s="30"/>
      <c r="I973" s="30"/>
    </row>
    <row r="974" spans="1:9" ht="18.75">
      <c r="A974" s="29"/>
      <c r="B974" s="30"/>
      <c r="C974" s="30"/>
      <c r="D974" s="31"/>
      <c r="E974" s="30"/>
      <c r="F974" s="30"/>
      <c r="G974" s="30"/>
      <c r="H974" s="30"/>
      <c r="I974" s="30"/>
    </row>
    <row r="975" spans="1:9" ht="18.75">
      <c r="A975" s="29"/>
      <c r="B975" s="30"/>
      <c r="C975" s="30"/>
      <c r="D975" s="31"/>
      <c r="E975" s="30"/>
      <c r="F975" s="30"/>
      <c r="G975" s="30"/>
      <c r="H975" s="30"/>
      <c r="I975" s="30"/>
    </row>
    <row r="976" spans="1:9" ht="18.75">
      <c r="A976" s="29"/>
      <c r="B976" s="30"/>
      <c r="C976" s="30"/>
      <c r="D976" s="31"/>
      <c r="E976" s="30"/>
      <c r="F976" s="30"/>
      <c r="G976" s="30"/>
      <c r="H976" s="30"/>
      <c r="I976" s="30"/>
    </row>
    <row r="977" spans="1:9" ht="18.75">
      <c r="A977" s="29"/>
      <c r="B977" s="30"/>
      <c r="C977" s="30"/>
      <c r="D977" s="31"/>
      <c r="E977" s="30"/>
      <c r="F977" s="30"/>
      <c r="G977" s="30"/>
      <c r="H977" s="30"/>
      <c r="I977" s="30"/>
    </row>
    <row r="978" spans="1:9" ht="18.75">
      <c r="A978" s="29"/>
      <c r="B978" s="30"/>
      <c r="C978" s="30"/>
      <c r="D978" s="31"/>
      <c r="E978" s="30"/>
      <c r="F978" s="30"/>
      <c r="G978" s="30"/>
      <c r="H978" s="30"/>
      <c r="I978" s="30"/>
    </row>
    <row r="979" spans="1:9" ht="18.75">
      <c r="A979" s="29"/>
      <c r="B979" s="30"/>
      <c r="C979" s="30"/>
      <c r="D979" s="31"/>
      <c r="E979" s="30"/>
      <c r="F979" s="30"/>
      <c r="G979" s="30"/>
      <c r="H979" s="30"/>
      <c r="I979" s="30"/>
    </row>
    <row r="980" spans="1:9" ht="18.75">
      <c r="A980" s="29"/>
      <c r="B980" s="30"/>
      <c r="C980" s="30"/>
      <c r="D980" s="31"/>
      <c r="E980" s="30"/>
      <c r="F980" s="30"/>
      <c r="G980" s="30"/>
      <c r="H980" s="30"/>
      <c r="I980" s="30"/>
    </row>
    <row r="981" spans="1:9" ht="18.75">
      <c r="A981" s="29"/>
      <c r="B981" s="30"/>
      <c r="C981" s="30"/>
      <c r="D981" s="31"/>
      <c r="E981" s="30"/>
      <c r="F981" s="30"/>
      <c r="G981" s="30"/>
      <c r="H981" s="30"/>
      <c r="I981" s="30"/>
    </row>
    <row r="982" spans="1:9" ht="18.75">
      <c r="A982" s="29"/>
      <c r="B982" s="30"/>
      <c r="C982" s="30"/>
      <c r="D982" s="31"/>
      <c r="E982" s="30"/>
      <c r="F982" s="30"/>
      <c r="G982" s="30"/>
      <c r="H982" s="30"/>
      <c r="I982" s="30"/>
    </row>
    <row r="983" spans="1:9" ht="18.75">
      <c r="A983" s="29"/>
      <c r="B983" s="30"/>
      <c r="C983" s="30"/>
      <c r="D983" s="31"/>
      <c r="E983" s="30"/>
      <c r="F983" s="30"/>
      <c r="G983" s="30"/>
      <c r="H983" s="30"/>
      <c r="I983" s="30"/>
    </row>
    <row r="984" spans="1:9" ht="18.75">
      <c r="A984" s="29"/>
      <c r="B984" s="30"/>
      <c r="C984" s="30"/>
      <c r="D984" s="31"/>
      <c r="E984" s="30"/>
      <c r="F984" s="30"/>
      <c r="G984" s="30"/>
      <c r="H984" s="30"/>
      <c r="I984" s="30"/>
    </row>
    <row r="985" spans="1:9" ht="18.75">
      <c r="A985" s="29"/>
      <c r="B985" s="30"/>
      <c r="C985" s="30"/>
      <c r="D985" s="31"/>
      <c r="E985" s="30"/>
      <c r="F985" s="30"/>
      <c r="G985" s="30"/>
      <c r="H985" s="30"/>
      <c r="I985" s="30"/>
    </row>
    <row r="986" spans="1:9" ht="18.75">
      <c r="A986" s="29"/>
      <c r="B986" s="30"/>
      <c r="C986" s="30"/>
      <c r="D986" s="31"/>
      <c r="E986" s="30"/>
      <c r="F986" s="30"/>
      <c r="G986" s="30"/>
      <c r="H986" s="30"/>
      <c r="I986" s="30"/>
    </row>
    <row r="987" spans="1:9" ht="18.75">
      <c r="A987" s="29"/>
      <c r="B987" s="30"/>
      <c r="C987" s="30"/>
      <c r="D987" s="31"/>
      <c r="E987" s="30"/>
      <c r="F987" s="30"/>
      <c r="G987" s="30"/>
      <c r="H987" s="30"/>
      <c r="I987" s="30"/>
    </row>
    <row r="988" spans="1:9" ht="18.75">
      <c r="A988" s="29"/>
      <c r="B988" s="30"/>
      <c r="C988" s="30"/>
      <c r="D988" s="31"/>
      <c r="E988" s="30"/>
      <c r="F988" s="30"/>
      <c r="G988" s="30"/>
      <c r="H988" s="30"/>
      <c r="I988" s="30"/>
    </row>
    <row r="989" spans="1:9" ht="18.75">
      <c r="A989" s="29"/>
      <c r="B989" s="30"/>
      <c r="C989" s="30"/>
      <c r="D989" s="31"/>
      <c r="E989" s="30"/>
      <c r="F989" s="30"/>
      <c r="G989" s="30"/>
      <c r="H989" s="30"/>
      <c r="I989" s="30"/>
    </row>
    <row r="990" spans="1:9" ht="18.75">
      <c r="A990" s="29"/>
      <c r="B990" s="30"/>
      <c r="C990" s="30"/>
      <c r="D990" s="31"/>
      <c r="E990" s="30"/>
      <c r="F990" s="30"/>
      <c r="G990" s="30"/>
      <c r="H990" s="30"/>
      <c r="I990" s="30"/>
    </row>
    <row r="991" spans="1:9" ht="18.75">
      <c r="A991" s="29"/>
      <c r="B991" s="30"/>
      <c r="C991" s="30"/>
      <c r="D991" s="31"/>
      <c r="E991" s="30"/>
      <c r="F991" s="30"/>
      <c r="G991" s="30"/>
      <c r="H991" s="30"/>
      <c r="I991" s="30"/>
    </row>
    <row r="992" spans="1:9" ht="18.75">
      <c r="A992" s="29"/>
      <c r="B992" s="30"/>
      <c r="C992" s="30"/>
      <c r="D992" s="31"/>
      <c r="E992" s="30"/>
      <c r="F992" s="30"/>
      <c r="G992" s="30"/>
      <c r="H992" s="30"/>
      <c r="I992" s="30"/>
    </row>
    <row r="993" spans="1:9" ht="18.75">
      <c r="A993" s="29"/>
      <c r="B993" s="30"/>
      <c r="C993" s="30"/>
      <c r="D993" s="31"/>
      <c r="E993" s="30"/>
      <c r="F993" s="30"/>
      <c r="G993" s="30"/>
      <c r="H993" s="30"/>
      <c r="I993" s="30"/>
    </row>
    <row r="994" spans="1:9" ht="18.75">
      <c r="A994" s="29"/>
      <c r="B994" s="30"/>
      <c r="C994" s="30"/>
      <c r="D994" s="31"/>
      <c r="E994" s="30"/>
      <c r="F994" s="30"/>
      <c r="G994" s="30"/>
      <c r="H994" s="30"/>
      <c r="I994" s="30"/>
    </row>
    <row r="995" spans="1:9" ht="18.75">
      <c r="A995" s="29"/>
      <c r="B995" s="30"/>
      <c r="C995" s="30"/>
      <c r="D995" s="31"/>
      <c r="E995" s="30"/>
      <c r="F995" s="30"/>
      <c r="G995" s="30"/>
      <c r="H995" s="30"/>
      <c r="I995" s="30"/>
    </row>
    <row r="996" spans="1:9" ht="18.75">
      <c r="A996" s="29"/>
      <c r="B996" s="30"/>
      <c r="C996" s="30"/>
      <c r="D996" s="31"/>
      <c r="E996" s="30"/>
      <c r="F996" s="30"/>
      <c r="G996" s="30"/>
      <c r="H996" s="30"/>
      <c r="I996" s="30"/>
    </row>
    <row r="997" spans="1:9" ht="18.75">
      <c r="A997" s="29"/>
      <c r="B997" s="30"/>
      <c r="C997" s="30"/>
      <c r="D997" s="31"/>
      <c r="E997" s="30"/>
      <c r="F997" s="30"/>
      <c r="G997" s="30"/>
      <c r="H997" s="30"/>
      <c r="I997" s="30"/>
    </row>
    <row r="998" spans="1:9" ht="18.75">
      <c r="A998" s="29"/>
      <c r="B998" s="30"/>
      <c r="C998" s="30"/>
      <c r="D998" s="31"/>
      <c r="E998" s="30"/>
      <c r="F998" s="30"/>
      <c r="G998" s="30"/>
      <c r="H998" s="30"/>
      <c r="I998" s="30"/>
    </row>
    <row r="999" spans="1:9" ht="18.75">
      <c r="A999" s="29"/>
      <c r="B999" s="30"/>
      <c r="C999" s="30"/>
      <c r="D999" s="31"/>
      <c r="E999" s="30"/>
      <c r="F999" s="30"/>
      <c r="G999" s="30"/>
      <c r="H999" s="30"/>
      <c r="I999" s="30"/>
    </row>
    <row r="1000" spans="1:9" ht="18.75">
      <c r="A1000" s="29"/>
      <c r="B1000" s="30"/>
      <c r="C1000" s="30"/>
      <c r="D1000" s="31"/>
      <c r="E1000" s="30"/>
      <c r="F1000" s="30"/>
      <c r="G1000" s="30"/>
      <c r="H1000" s="30"/>
      <c r="I1000" s="30"/>
    </row>
    <row r="1001" spans="1:9" ht="18.75">
      <c r="A1001" s="29"/>
      <c r="B1001" s="30"/>
      <c r="C1001" s="30"/>
      <c r="D1001" s="31"/>
      <c r="E1001" s="30"/>
      <c r="F1001" s="30"/>
      <c r="G1001" s="30"/>
      <c r="H1001" s="30"/>
      <c r="I1001" s="30"/>
    </row>
    <row r="1002" spans="1:9" ht="18.75">
      <c r="A1002" s="29"/>
      <c r="B1002" s="30"/>
      <c r="C1002" s="30"/>
      <c r="D1002" s="31"/>
      <c r="E1002" s="30"/>
      <c r="F1002" s="30"/>
      <c r="G1002" s="30"/>
      <c r="H1002" s="30"/>
      <c r="I1002" s="30"/>
    </row>
    <row r="1003" spans="1:9" ht="18.75">
      <c r="A1003" s="29"/>
      <c r="B1003" s="30"/>
      <c r="C1003" s="30"/>
      <c r="D1003" s="31"/>
      <c r="E1003" s="30"/>
      <c r="F1003" s="30"/>
      <c r="G1003" s="30"/>
      <c r="H1003" s="30"/>
      <c r="I1003" s="30"/>
    </row>
    <row r="1004" spans="1:9" ht="18.75">
      <c r="A1004" s="29"/>
      <c r="B1004" s="30"/>
      <c r="C1004" s="30"/>
      <c r="D1004" s="31"/>
      <c r="E1004" s="30"/>
      <c r="F1004" s="30"/>
      <c r="G1004" s="30"/>
      <c r="H1004" s="30"/>
      <c r="I1004" s="30"/>
    </row>
    <row r="1005" spans="1:9" ht="18.75">
      <c r="A1005" s="29"/>
      <c r="B1005" s="30"/>
      <c r="C1005" s="30"/>
      <c r="D1005" s="31"/>
      <c r="E1005" s="30"/>
      <c r="F1005" s="30"/>
      <c r="G1005" s="30"/>
      <c r="H1005" s="30"/>
      <c r="I1005" s="30"/>
    </row>
    <row r="1006" spans="1:9" ht="18.75">
      <c r="A1006" s="29"/>
      <c r="B1006" s="30"/>
      <c r="C1006" s="30"/>
      <c r="D1006" s="31"/>
      <c r="E1006" s="30"/>
      <c r="F1006" s="30"/>
      <c r="G1006" s="30"/>
      <c r="H1006" s="30"/>
      <c r="I1006" s="30"/>
    </row>
    <row r="1007" spans="1:9" ht="18.75">
      <c r="A1007" s="29"/>
      <c r="B1007" s="30"/>
      <c r="C1007" s="30"/>
      <c r="D1007" s="31"/>
      <c r="E1007" s="30"/>
      <c r="F1007" s="30"/>
      <c r="G1007" s="30"/>
      <c r="H1007" s="30"/>
      <c r="I1007" s="30"/>
    </row>
    <row r="1008" spans="1:9" ht="18.75">
      <c r="A1008" s="29"/>
      <c r="B1008" s="30"/>
      <c r="C1008" s="30"/>
      <c r="D1008" s="31"/>
      <c r="E1008" s="30"/>
      <c r="F1008" s="30"/>
      <c r="G1008" s="30"/>
      <c r="H1008" s="30"/>
      <c r="I1008" s="30"/>
    </row>
    <row r="1009" spans="1:9" ht="18.75">
      <c r="A1009" s="29"/>
      <c r="B1009" s="30"/>
      <c r="C1009" s="30"/>
      <c r="D1009" s="31"/>
      <c r="E1009" s="30"/>
      <c r="F1009" s="30"/>
      <c r="G1009" s="30"/>
      <c r="H1009" s="30"/>
      <c r="I1009" s="30"/>
    </row>
    <row r="1010" spans="1:9" ht="18.75">
      <c r="A1010" s="29"/>
      <c r="B1010" s="30"/>
      <c r="C1010" s="30"/>
      <c r="D1010" s="31"/>
      <c r="E1010" s="30"/>
      <c r="F1010" s="30"/>
      <c r="G1010" s="30"/>
      <c r="H1010" s="30"/>
      <c r="I1010" s="30"/>
    </row>
    <row r="1011" spans="1:9" ht="18.75">
      <c r="A1011" s="29"/>
      <c r="B1011" s="30"/>
      <c r="C1011" s="30"/>
      <c r="D1011" s="31"/>
      <c r="E1011" s="30"/>
      <c r="F1011" s="30"/>
      <c r="G1011" s="30"/>
      <c r="H1011" s="30"/>
      <c r="I1011" s="30"/>
    </row>
    <row r="1012" spans="1:9" ht="18.75">
      <c r="A1012" s="29"/>
      <c r="B1012" s="30"/>
      <c r="C1012" s="30"/>
      <c r="D1012" s="31"/>
      <c r="E1012" s="30"/>
      <c r="F1012" s="30"/>
      <c r="G1012" s="30"/>
      <c r="H1012" s="30"/>
      <c r="I1012" s="30"/>
    </row>
    <row r="1013" spans="1:9" ht="18.75">
      <c r="A1013" s="29"/>
      <c r="B1013" s="30"/>
      <c r="C1013" s="30"/>
      <c r="D1013" s="31"/>
      <c r="E1013" s="30"/>
      <c r="F1013" s="30"/>
      <c r="G1013" s="30"/>
      <c r="H1013" s="30"/>
      <c r="I1013" s="30"/>
    </row>
    <row r="1014" spans="1:9" ht="18.75">
      <c r="A1014" s="29"/>
      <c r="B1014" s="30"/>
      <c r="C1014" s="30"/>
      <c r="D1014" s="31"/>
      <c r="E1014" s="30"/>
      <c r="F1014" s="30"/>
      <c r="G1014" s="30"/>
      <c r="H1014" s="30"/>
      <c r="I1014" s="30"/>
    </row>
    <row r="1015" spans="1:9" ht="18.75">
      <c r="A1015" s="29"/>
      <c r="B1015" s="30"/>
      <c r="C1015" s="30"/>
      <c r="D1015" s="31"/>
      <c r="E1015" s="30"/>
      <c r="F1015" s="30"/>
      <c r="G1015" s="30"/>
      <c r="H1015" s="30"/>
      <c r="I1015" s="30"/>
    </row>
    <row r="1016" spans="1:9" ht="18.75">
      <c r="A1016" s="29"/>
      <c r="B1016" s="30"/>
      <c r="C1016" s="30"/>
      <c r="D1016" s="31"/>
      <c r="E1016" s="30"/>
      <c r="F1016" s="30"/>
      <c r="G1016" s="30"/>
      <c r="H1016" s="30"/>
      <c r="I1016" s="30"/>
    </row>
    <row r="1017" spans="1:9" ht="18.75">
      <c r="A1017" s="29"/>
      <c r="B1017" s="30"/>
      <c r="C1017" s="30"/>
      <c r="D1017" s="31"/>
      <c r="E1017" s="30"/>
      <c r="F1017" s="30"/>
      <c r="G1017" s="30"/>
      <c r="H1017" s="30"/>
      <c r="I1017" s="30"/>
    </row>
    <row r="1018" spans="1:9" ht="18.75">
      <c r="A1018" s="29"/>
      <c r="B1018" s="30"/>
      <c r="C1018" s="30"/>
      <c r="D1018" s="31"/>
      <c r="E1018" s="30"/>
      <c r="F1018" s="30"/>
      <c r="G1018" s="30"/>
      <c r="H1018" s="30"/>
      <c r="I1018" s="30"/>
    </row>
    <row r="1019" spans="1:9" ht="18.75">
      <c r="A1019" s="29"/>
      <c r="B1019" s="30"/>
      <c r="C1019" s="30"/>
      <c r="D1019" s="31"/>
      <c r="E1019" s="30"/>
      <c r="F1019" s="30"/>
      <c r="G1019" s="30"/>
      <c r="H1019" s="30"/>
      <c r="I1019" s="30"/>
    </row>
    <row r="1020" spans="1:9" ht="18.75">
      <c r="A1020" s="29"/>
      <c r="B1020" s="30"/>
      <c r="C1020" s="30"/>
      <c r="D1020" s="31"/>
      <c r="E1020" s="30"/>
      <c r="F1020" s="30"/>
      <c r="G1020" s="30"/>
      <c r="H1020" s="30"/>
      <c r="I1020" s="30"/>
    </row>
    <row r="1021" spans="1:9" ht="18.75">
      <c r="A1021" s="29"/>
      <c r="B1021" s="30"/>
      <c r="C1021" s="30"/>
      <c r="D1021" s="31"/>
      <c r="E1021" s="30"/>
      <c r="F1021" s="30"/>
      <c r="G1021" s="30"/>
      <c r="H1021" s="30"/>
      <c r="I1021" s="30"/>
    </row>
    <row r="1022" spans="1:9" ht="18.75">
      <c r="A1022" s="29"/>
      <c r="B1022" s="30"/>
      <c r="C1022" s="30"/>
      <c r="D1022" s="31"/>
      <c r="E1022" s="30"/>
      <c r="F1022" s="30"/>
      <c r="G1022" s="30"/>
      <c r="H1022" s="30"/>
      <c r="I1022" s="30"/>
    </row>
    <row r="1023" spans="1:9" ht="18.75">
      <c r="A1023" s="29"/>
      <c r="B1023" s="30"/>
      <c r="C1023" s="30"/>
      <c r="D1023" s="31"/>
      <c r="E1023" s="30"/>
      <c r="F1023" s="30"/>
      <c r="G1023" s="30"/>
      <c r="H1023" s="30"/>
      <c r="I1023" s="30"/>
    </row>
    <row r="1024" spans="1:9" ht="18.75">
      <c r="A1024" s="29"/>
      <c r="B1024" s="30"/>
      <c r="C1024" s="30"/>
      <c r="D1024" s="31"/>
      <c r="E1024" s="30"/>
      <c r="F1024" s="30"/>
      <c r="G1024" s="30"/>
      <c r="H1024" s="30"/>
      <c r="I1024" s="30"/>
    </row>
    <row r="1025" spans="1:9" ht="18.75">
      <c r="A1025" s="29"/>
      <c r="B1025" s="30"/>
      <c r="C1025" s="30"/>
      <c r="D1025" s="31"/>
      <c r="E1025" s="30"/>
      <c r="F1025" s="30"/>
      <c r="G1025" s="30"/>
      <c r="H1025" s="30"/>
      <c r="I1025" s="30"/>
    </row>
    <row r="1026" spans="1:9" ht="18.75">
      <c r="A1026" s="29"/>
      <c r="B1026" s="30"/>
      <c r="C1026" s="30"/>
      <c r="D1026" s="31"/>
      <c r="E1026" s="30"/>
      <c r="F1026" s="30"/>
      <c r="G1026" s="30"/>
      <c r="H1026" s="30"/>
      <c r="I1026" s="30"/>
    </row>
    <row r="1027" spans="1:9" ht="18.75">
      <c r="A1027" s="29"/>
      <c r="B1027" s="30"/>
      <c r="C1027" s="30"/>
      <c r="D1027" s="31"/>
      <c r="E1027" s="30"/>
      <c r="F1027" s="30"/>
      <c r="G1027" s="30"/>
      <c r="H1027" s="30"/>
      <c r="I1027" s="30"/>
    </row>
    <row r="1028" spans="1:9" ht="18.75">
      <c r="A1028" s="29"/>
      <c r="B1028" s="30"/>
      <c r="C1028" s="30"/>
      <c r="D1028" s="31"/>
      <c r="E1028" s="30"/>
      <c r="F1028" s="30"/>
      <c r="G1028" s="30"/>
      <c r="H1028" s="30"/>
      <c r="I1028" s="30"/>
    </row>
    <row r="1029" spans="1:9" ht="18.75">
      <c r="A1029" s="29"/>
      <c r="B1029" s="30"/>
      <c r="C1029" s="30"/>
      <c r="D1029" s="31"/>
      <c r="E1029" s="30"/>
      <c r="F1029" s="30"/>
      <c r="G1029" s="30"/>
      <c r="H1029" s="30"/>
      <c r="I1029" s="30"/>
    </row>
    <row r="1030" spans="1:9" ht="18.75">
      <c r="A1030" s="29"/>
      <c r="B1030" s="30"/>
      <c r="C1030" s="30"/>
      <c r="D1030" s="31"/>
      <c r="E1030" s="30"/>
      <c r="F1030" s="30"/>
      <c r="G1030" s="30"/>
      <c r="H1030" s="30"/>
      <c r="I1030" s="30"/>
    </row>
    <row r="1031" spans="1:9" ht="18.75">
      <c r="A1031" s="29"/>
      <c r="B1031" s="30"/>
      <c r="C1031" s="30"/>
      <c r="D1031" s="31"/>
      <c r="E1031" s="30"/>
      <c r="F1031" s="30"/>
      <c r="G1031" s="30"/>
      <c r="H1031" s="30"/>
      <c r="I1031" s="30"/>
    </row>
    <row r="1032" spans="1:9" ht="18.75">
      <c r="A1032" s="29"/>
      <c r="B1032" s="30"/>
      <c r="C1032" s="30"/>
      <c r="D1032" s="31"/>
      <c r="E1032" s="30"/>
      <c r="F1032" s="30"/>
      <c r="G1032" s="30"/>
      <c r="H1032" s="30"/>
      <c r="I1032" s="30"/>
    </row>
    <row r="1033" spans="1:9" ht="18.75">
      <c r="A1033" s="29"/>
      <c r="B1033" s="30"/>
      <c r="C1033" s="30"/>
      <c r="D1033" s="31"/>
      <c r="E1033" s="30"/>
      <c r="F1033" s="30"/>
      <c r="G1033" s="30"/>
      <c r="H1033" s="30"/>
      <c r="I1033" s="30"/>
    </row>
    <row r="1034" spans="1:9" ht="18.75">
      <c r="A1034" s="29"/>
      <c r="B1034" s="30"/>
      <c r="C1034" s="30"/>
      <c r="D1034" s="31"/>
      <c r="E1034" s="30"/>
      <c r="F1034" s="30"/>
      <c r="G1034" s="30"/>
      <c r="H1034" s="30"/>
      <c r="I1034" s="30"/>
    </row>
    <row r="1035" spans="1:9" ht="18.75">
      <c r="A1035" s="29"/>
      <c r="B1035" s="30"/>
      <c r="C1035" s="30"/>
      <c r="D1035" s="31"/>
      <c r="E1035" s="30"/>
      <c r="F1035" s="30"/>
      <c r="G1035" s="30"/>
      <c r="H1035" s="30"/>
      <c r="I1035" s="30"/>
    </row>
    <row r="1036" spans="1:9" ht="18.75">
      <c r="A1036" s="29"/>
      <c r="B1036" s="30"/>
      <c r="C1036" s="30"/>
      <c r="D1036" s="31"/>
      <c r="E1036" s="30"/>
      <c r="F1036" s="30"/>
      <c r="G1036" s="30"/>
      <c r="H1036" s="30"/>
      <c r="I1036" s="30"/>
    </row>
    <row r="1037" spans="1:9" ht="18.75">
      <c r="A1037" s="29"/>
      <c r="B1037" s="30"/>
      <c r="C1037" s="30"/>
      <c r="D1037" s="31"/>
      <c r="E1037" s="30"/>
      <c r="F1037" s="30"/>
      <c r="G1037" s="30"/>
      <c r="H1037" s="30"/>
      <c r="I1037" s="30"/>
    </row>
    <row r="1038" spans="1:9" ht="18.75">
      <c r="A1038" s="29"/>
      <c r="B1038" s="30"/>
      <c r="C1038" s="30"/>
      <c r="D1038" s="31"/>
      <c r="E1038" s="30"/>
      <c r="F1038" s="30"/>
      <c r="G1038" s="30"/>
      <c r="H1038" s="30"/>
      <c r="I1038" s="30"/>
    </row>
    <row r="1039" spans="1:9" ht="18.75">
      <c r="A1039" s="29"/>
      <c r="B1039" s="30"/>
      <c r="C1039" s="30"/>
      <c r="D1039" s="31"/>
      <c r="E1039" s="30"/>
      <c r="F1039" s="30"/>
      <c r="G1039" s="30"/>
      <c r="H1039" s="30"/>
      <c r="I1039" s="30"/>
    </row>
    <row r="1040" spans="1:9" ht="18.75">
      <c r="A1040" s="29"/>
      <c r="B1040" s="30"/>
      <c r="C1040" s="30"/>
      <c r="D1040" s="31"/>
      <c r="E1040" s="30"/>
      <c r="F1040" s="30"/>
      <c r="G1040" s="30"/>
      <c r="H1040" s="30"/>
      <c r="I1040" s="30"/>
    </row>
    <row r="1041" spans="1:9" ht="18.75">
      <c r="A1041" s="29"/>
      <c r="B1041" s="30"/>
      <c r="C1041" s="30"/>
      <c r="D1041" s="31"/>
      <c r="E1041" s="30"/>
      <c r="F1041" s="30"/>
      <c r="G1041" s="30"/>
      <c r="H1041" s="30"/>
      <c r="I1041" s="30"/>
    </row>
    <row r="1042" spans="1:9" ht="18.75">
      <c r="A1042" s="29"/>
      <c r="B1042" s="30"/>
      <c r="C1042" s="30"/>
      <c r="D1042" s="31"/>
      <c r="E1042" s="30"/>
      <c r="F1042" s="30"/>
      <c r="G1042" s="30"/>
      <c r="H1042" s="30"/>
      <c r="I1042" s="30"/>
    </row>
    <row r="1043" spans="1:9" ht="18.75">
      <c r="A1043" s="29"/>
      <c r="B1043" s="30"/>
      <c r="C1043" s="30"/>
      <c r="D1043" s="31"/>
      <c r="E1043" s="30"/>
      <c r="F1043" s="30"/>
      <c r="G1043" s="30"/>
      <c r="H1043" s="30"/>
      <c r="I1043" s="30"/>
    </row>
    <row r="1044" spans="1:9" ht="18.75">
      <c r="A1044" s="29"/>
      <c r="B1044" s="30"/>
      <c r="C1044" s="30"/>
      <c r="D1044" s="31"/>
      <c r="E1044" s="30"/>
      <c r="F1044" s="30"/>
      <c r="G1044" s="30"/>
      <c r="H1044" s="30"/>
      <c r="I1044" s="30"/>
    </row>
    <row r="1045" spans="1:9" ht="18.75">
      <c r="A1045" s="29"/>
      <c r="B1045" s="30"/>
      <c r="C1045" s="30"/>
      <c r="D1045" s="31"/>
      <c r="H1045" s="23"/>
    </row>
    <row r="1046" spans="1:9" ht="18.75">
      <c r="A1046" s="29"/>
      <c r="B1046" s="30"/>
      <c r="C1046" s="30"/>
      <c r="D1046" s="31"/>
      <c r="H1046" s="23"/>
    </row>
    <row r="1047" spans="1:9" ht="18.75">
      <c r="A1047" s="29"/>
      <c r="B1047" s="30"/>
      <c r="C1047" s="30"/>
      <c r="D1047" s="31"/>
      <c r="H1047" s="23"/>
    </row>
    <row r="1048" spans="1:9" ht="18.75">
      <c r="A1048" s="29"/>
      <c r="B1048" s="30"/>
      <c r="C1048" s="30"/>
      <c r="D1048" s="31"/>
      <c r="H1048" s="23"/>
    </row>
    <row r="1049" spans="1:9" ht="18.75">
      <c r="A1049" s="29"/>
      <c r="B1049" s="30"/>
      <c r="C1049" s="30"/>
      <c r="D1049" s="31"/>
      <c r="H1049" s="23"/>
    </row>
    <row r="1050" spans="1:9" ht="18.75">
      <c r="A1050" s="29"/>
      <c r="B1050" s="30"/>
      <c r="C1050" s="30"/>
      <c r="D1050" s="31"/>
      <c r="H1050" s="23"/>
    </row>
    <row r="1051" spans="1:9">
      <c r="A1051" s="29"/>
      <c r="H1051" s="23"/>
    </row>
    <row r="1052" spans="1:9">
      <c r="A1052" s="29"/>
      <c r="H1052" s="23"/>
    </row>
    <row r="1053" spans="1:9">
      <c r="A1053" s="29"/>
      <c r="H1053" s="23"/>
    </row>
    <row r="1054" spans="1:9">
      <c r="H1054" s="23"/>
    </row>
    <row r="1055" spans="1:9">
      <c r="H1055" s="23"/>
    </row>
    <row r="1056" spans="1:9">
      <c r="H1056" s="23"/>
    </row>
    <row r="1057" spans="8:8">
      <c r="H1057" s="23"/>
    </row>
    <row r="1058" spans="8:8">
      <c r="H1058" s="23"/>
    </row>
    <row r="1059" spans="8:8">
      <c r="H1059" s="23"/>
    </row>
    <row r="1060" spans="8:8">
      <c r="H1060" s="23"/>
    </row>
    <row r="1061" spans="8:8">
      <c r="H1061" s="23"/>
    </row>
    <row r="1062" spans="8:8">
      <c r="H1062" s="23"/>
    </row>
    <row r="1063" spans="8:8">
      <c r="H1063" s="23"/>
    </row>
    <row r="1064" spans="8:8">
      <c r="H1064" s="23"/>
    </row>
    <row r="1065" spans="8:8">
      <c r="H1065" s="23"/>
    </row>
    <row r="1066" spans="8:8">
      <c r="H1066" s="23"/>
    </row>
    <row r="1067" spans="8:8">
      <c r="H1067" s="23"/>
    </row>
    <row r="1068" spans="8:8">
      <c r="H1068" s="23"/>
    </row>
    <row r="1069" spans="8:8">
      <c r="H1069" s="23"/>
    </row>
    <row r="1070" spans="8:8">
      <c r="H1070" s="23"/>
    </row>
    <row r="1071" spans="8:8">
      <c r="H1071" s="23"/>
    </row>
    <row r="1072" spans="8:8">
      <c r="H1072" s="23"/>
    </row>
    <row r="1073" spans="8:8">
      <c r="H1073" s="23"/>
    </row>
    <row r="1074" spans="8:8">
      <c r="H1074" s="23"/>
    </row>
    <row r="1075" spans="8:8">
      <c r="H1075" s="23"/>
    </row>
    <row r="1076" spans="8:8">
      <c r="H1076" s="23"/>
    </row>
    <row r="1077" spans="8:8">
      <c r="H1077" s="23"/>
    </row>
    <row r="1078" spans="8:8">
      <c r="H1078" s="23"/>
    </row>
    <row r="1079" spans="8:8">
      <c r="H1079" s="23"/>
    </row>
    <row r="1080" spans="8:8">
      <c r="H1080" s="23"/>
    </row>
    <row r="1081" spans="8:8">
      <c r="H1081" s="23"/>
    </row>
    <row r="1082" spans="8:8">
      <c r="H1082" s="23"/>
    </row>
    <row r="1083" spans="8:8">
      <c r="H1083" s="23"/>
    </row>
    <row r="1084" spans="8:8">
      <c r="H1084" s="23"/>
    </row>
    <row r="1085" spans="8:8">
      <c r="H1085" s="23"/>
    </row>
    <row r="1086" spans="8:8">
      <c r="H1086" s="23"/>
    </row>
    <row r="1087" spans="8:8">
      <c r="H1087" s="23"/>
    </row>
    <row r="1088" spans="8:8">
      <c r="H1088" s="23"/>
    </row>
    <row r="1089" spans="8:8">
      <c r="H1089" s="23"/>
    </row>
    <row r="1090" spans="8:8">
      <c r="H1090" s="23"/>
    </row>
    <row r="1091" spans="8:8">
      <c r="H1091" s="23"/>
    </row>
    <row r="1092" spans="8:8">
      <c r="H1092" s="23"/>
    </row>
    <row r="1093" spans="8:8">
      <c r="H1093" s="23"/>
    </row>
    <row r="1094" spans="8:8">
      <c r="H1094" s="23"/>
    </row>
    <row r="1095" spans="8:8">
      <c r="H1095" s="23"/>
    </row>
    <row r="1096" spans="8:8">
      <c r="H1096" s="23"/>
    </row>
    <row r="1097" spans="8:8">
      <c r="H1097" s="23"/>
    </row>
    <row r="1098" spans="8:8">
      <c r="H1098" s="23"/>
    </row>
    <row r="1099" spans="8:8">
      <c r="H1099" s="23"/>
    </row>
    <row r="1100" spans="8:8">
      <c r="H1100" s="23"/>
    </row>
    <row r="1101" spans="8:8">
      <c r="H1101" s="23"/>
    </row>
    <row r="1102" spans="8:8">
      <c r="H1102" s="23"/>
    </row>
    <row r="1103" spans="8:8">
      <c r="H1103" s="23"/>
    </row>
    <row r="1104" spans="8:8">
      <c r="H1104" s="23"/>
    </row>
    <row r="1105" spans="8:8">
      <c r="H1105" s="23"/>
    </row>
    <row r="1106" spans="8:8">
      <c r="H1106" s="23"/>
    </row>
    <row r="1107" spans="8:8">
      <c r="H1107" s="23"/>
    </row>
    <row r="1108" spans="8:8">
      <c r="H1108" s="23"/>
    </row>
    <row r="1109" spans="8:8">
      <c r="H1109" s="23"/>
    </row>
    <row r="1110" spans="8:8">
      <c r="H1110" s="23"/>
    </row>
    <row r="1111" spans="8:8">
      <c r="H1111" s="23"/>
    </row>
    <row r="1112" spans="8:8">
      <c r="H1112" s="23"/>
    </row>
    <row r="1113" spans="8:8">
      <c r="H1113" s="23"/>
    </row>
    <row r="1114" spans="8:8">
      <c r="H1114" s="23"/>
    </row>
    <row r="1115" spans="8:8">
      <c r="H1115" s="23"/>
    </row>
    <row r="1116" spans="8:8">
      <c r="H1116" s="23"/>
    </row>
    <row r="1117" spans="8:8">
      <c r="H1117" s="23"/>
    </row>
    <row r="1118" spans="8:8">
      <c r="H1118" s="23"/>
    </row>
    <row r="1119" spans="8:8">
      <c r="H1119" s="23"/>
    </row>
    <row r="1120" spans="8:8">
      <c r="H1120" s="23"/>
    </row>
    <row r="1121" spans="8:8">
      <c r="H1121" s="23"/>
    </row>
    <row r="1122" spans="8:8">
      <c r="H1122" s="23"/>
    </row>
    <row r="1123" spans="8:8">
      <c r="H1123" s="23"/>
    </row>
    <row r="1124" spans="8:8">
      <c r="H1124" s="23"/>
    </row>
    <row r="1125" spans="8:8">
      <c r="H1125" s="23"/>
    </row>
    <row r="1126" spans="8:8">
      <c r="H1126" s="23"/>
    </row>
    <row r="1127" spans="8:8">
      <c r="H1127" s="23"/>
    </row>
    <row r="1128" spans="8:8">
      <c r="H1128" s="23"/>
    </row>
    <row r="1129" spans="8:8">
      <c r="H1129" s="23"/>
    </row>
    <row r="1130" spans="8:8">
      <c r="H1130" s="23"/>
    </row>
    <row r="1131" spans="8:8">
      <c r="H1131" s="23"/>
    </row>
    <row r="1132" spans="8:8">
      <c r="H1132" s="23"/>
    </row>
    <row r="1133" spans="8:8">
      <c r="H1133" s="23"/>
    </row>
    <row r="1134" spans="8:8">
      <c r="H1134" s="23"/>
    </row>
    <row r="1135" spans="8:8">
      <c r="H1135" s="23"/>
    </row>
    <row r="1136" spans="8:8">
      <c r="H1136" s="23"/>
    </row>
    <row r="1137" spans="8:8">
      <c r="H1137" s="23"/>
    </row>
    <row r="1138" spans="8:8">
      <c r="H1138" s="23"/>
    </row>
    <row r="1139" spans="8:8">
      <c r="H1139" s="23"/>
    </row>
    <row r="1140" spans="8:8">
      <c r="H1140" s="23"/>
    </row>
    <row r="1141" spans="8:8">
      <c r="H1141" s="23"/>
    </row>
    <row r="1142" spans="8:8">
      <c r="H1142" s="23"/>
    </row>
    <row r="1143" spans="8:8">
      <c r="H1143" s="23"/>
    </row>
    <row r="1144" spans="8:8">
      <c r="H1144" s="23"/>
    </row>
    <row r="1145" spans="8:8">
      <c r="H1145" s="23"/>
    </row>
    <row r="1146" spans="8:8">
      <c r="H1146" s="23"/>
    </row>
    <row r="1147" spans="8:8">
      <c r="H1147" s="23"/>
    </row>
    <row r="1148" spans="8:8">
      <c r="H1148" s="23"/>
    </row>
    <row r="1149" spans="8:8">
      <c r="H1149" s="23"/>
    </row>
    <row r="1150" spans="8:8">
      <c r="H1150" s="23"/>
    </row>
    <row r="1151" spans="8:8">
      <c r="H1151" s="23"/>
    </row>
    <row r="1152" spans="8:8">
      <c r="H1152" s="23"/>
    </row>
    <row r="1153" spans="8:8">
      <c r="H1153" s="23"/>
    </row>
    <row r="1154" spans="8:8">
      <c r="H1154" s="23"/>
    </row>
    <row r="1155" spans="8:8">
      <c r="H1155" s="23"/>
    </row>
    <row r="1156" spans="8:8">
      <c r="H1156" s="23"/>
    </row>
    <row r="1157" spans="8:8">
      <c r="H1157" s="23"/>
    </row>
    <row r="1158" spans="8:8">
      <c r="H1158" s="23"/>
    </row>
    <row r="1159" spans="8:8">
      <c r="H1159" s="23"/>
    </row>
    <row r="1160" spans="8:8">
      <c r="H1160" s="23"/>
    </row>
    <row r="1161" spans="8:8">
      <c r="H1161" s="23"/>
    </row>
    <row r="1162" spans="8:8">
      <c r="H1162" s="23"/>
    </row>
    <row r="1163" spans="8:8">
      <c r="H1163" s="23"/>
    </row>
    <row r="1164" spans="8:8">
      <c r="H1164" s="23"/>
    </row>
    <row r="1165" spans="8:8">
      <c r="H1165" s="23"/>
    </row>
    <row r="1166" spans="8:8">
      <c r="H1166" s="23"/>
    </row>
    <row r="1167" spans="8:8">
      <c r="H1167" s="23"/>
    </row>
    <row r="1168" spans="8:8">
      <c r="H1168" s="23"/>
    </row>
    <row r="1169" spans="8:8">
      <c r="H1169" s="23"/>
    </row>
    <row r="1170" spans="8:8">
      <c r="H1170" s="23"/>
    </row>
    <row r="1171" spans="8:8">
      <c r="H1171" s="23"/>
    </row>
    <row r="1172" spans="8:8">
      <c r="H1172" s="23"/>
    </row>
    <row r="1173" spans="8:8">
      <c r="H1173" s="23"/>
    </row>
    <row r="1174" spans="8:8">
      <c r="H1174" s="23"/>
    </row>
    <row r="1175" spans="8:8">
      <c r="H1175" s="23"/>
    </row>
    <row r="1176" spans="8:8">
      <c r="H1176" s="23"/>
    </row>
    <row r="1177" spans="8:8">
      <c r="H1177" s="23"/>
    </row>
    <row r="1178" spans="8:8">
      <c r="H1178" s="23"/>
    </row>
    <row r="1179" spans="8:8">
      <c r="H1179" s="23"/>
    </row>
    <row r="1180" spans="8:8">
      <c r="H1180" s="23"/>
    </row>
    <row r="1181" spans="8:8">
      <c r="H1181" s="23"/>
    </row>
    <row r="1182" spans="8:8">
      <c r="H1182" s="23"/>
    </row>
    <row r="1183" spans="8:8">
      <c r="H1183" s="23"/>
    </row>
    <row r="1184" spans="8:8">
      <c r="H1184" s="23"/>
    </row>
    <row r="1185" spans="8:8">
      <c r="H1185" s="23"/>
    </row>
    <row r="1186" spans="8:8">
      <c r="H1186" s="23"/>
    </row>
    <row r="1187" spans="8:8">
      <c r="H1187" s="23"/>
    </row>
    <row r="1188" spans="8:8">
      <c r="H1188" s="23"/>
    </row>
    <row r="1189" spans="8:8">
      <c r="H1189" s="23"/>
    </row>
    <row r="1190" spans="8:8">
      <c r="H1190" s="23"/>
    </row>
    <row r="1191" spans="8:8">
      <c r="H1191" s="23"/>
    </row>
    <row r="1192" spans="8:8">
      <c r="H1192" s="23"/>
    </row>
    <row r="1193" spans="8:8">
      <c r="H1193" s="23"/>
    </row>
    <row r="1194" spans="8:8">
      <c r="H1194" s="23"/>
    </row>
    <row r="1195" spans="8:8">
      <c r="H1195" s="23"/>
    </row>
    <row r="1196" spans="8:8">
      <c r="H1196" s="23"/>
    </row>
    <row r="1197" spans="8:8">
      <c r="H1197" s="23"/>
    </row>
    <row r="1198" spans="8:8">
      <c r="H1198" s="23"/>
    </row>
    <row r="1199" spans="8:8">
      <c r="H1199" s="23"/>
    </row>
    <row r="1200" spans="8:8">
      <c r="H1200" s="23"/>
    </row>
    <row r="1201" spans="8:8">
      <c r="H1201" s="23"/>
    </row>
    <row r="1202" spans="8:8">
      <c r="H1202" s="23"/>
    </row>
    <row r="1203" spans="8:8">
      <c r="H1203" s="23"/>
    </row>
    <row r="1204" spans="8:8">
      <c r="H1204" s="23"/>
    </row>
    <row r="1205" spans="8:8">
      <c r="H1205" s="23"/>
    </row>
    <row r="1206" spans="8:8">
      <c r="H1206" s="23"/>
    </row>
    <row r="1207" spans="8:8">
      <c r="H1207" s="23"/>
    </row>
    <row r="1208" spans="8:8">
      <c r="H1208" s="23"/>
    </row>
    <row r="1209" spans="8:8">
      <c r="H1209" s="23"/>
    </row>
    <row r="1210" spans="8:8">
      <c r="H1210" s="23"/>
    </row>
    <row r="1211" spans="8:8">
      <c r="H1211" s="23"/>
    </row>
    <row r="1212" spans="8:8">
      <c r="H1212" s="23"/>
    </row>
    <row r="1213" spans="8:8">
      <c r="H1213" s="23"/>
    </row>
    <row r="1214" spans="8:8">
      <c r="H1214" s="23"/>
    </row>
    <row r="1215" spans="8:8">
      <c r="H1215" s="23"/>
    </row>
    <row r="1216" spans="8:8">
      <c r="H1216" s="23"/>
    </row>
    <row r="1217" spans="8:8">
      <c r="H1217" s="23"/>
    </row>
    <row r="1218" spans="8:8">
      <c r="H1218" s="23"/>
    </row>
    <row r="1219" spans="8:8">
      <c r="H1219" s="23"/>
    </row>
    <row r="1220" spans="8:8">
      <c r="H1220" s="23"/>
    </row>
    <row r="1221" spans="8:8">
      <c r="H1221" s="23"/>
    </row>
    <row r="1222" spans="8:8">
      <c r="H1222" s="23"/>
    </row>
    <row r="1223" spans="8:8">
      <c r="H1223" s="23"/>
    </row>
    <row r="1224" spans="8:8">
      <c r="H1224" s="23"/>
    </row>
    <row r="1225" spans="8:8">
      <c r="H1225" s="23"/>
    </row>
    <row r="1226" spans="8:8">
      <c r="H1226" s="23"/>
    </row>
    <row r="1227" spans="8:8">
      <c r="H1227" s="23"/>
    </row>
    <row r="1228" spans="8:8">
      <c r="H1228" s="23"/>
    </row>
    <row r="1229" spans="8:8">
      <c r="H1229" s="23"/>
    </row>
    <row r="1230" spans="8:8">
      <c r="H1230" s="23"/>
    </row>
    <row r="1231" spans="8:8">
      <c r="H1231" s="23"/>
    </row>
    <row r="1232" spans="8:8">
      <c r="H1232" s="23"/>
    </row>
    <row r="1233" spans="8:8">
      <c r="H1233" s="23"/>
    </row>
    <row r="1234" spans="8:8">
      <c r="H1234" s="23"/>
    </row>
    <row r="1235" spans="8:8">
      <c r="H1235" s="23"/>
    </row>
    <row r="1236" spans="8:8">
      <c r="H1236" s="23"/>
    </row>
    <row r="1237" spans="8:8">
      <c r="H1237" s="23"/>
    </row>
    <row r="1238" spans="8:8">
      <c r="H1238" s="23"/>
    </row>
    <row r="1239" spans="8:8">
      <c r="H1239" s="23"/>
    </row>
    <row r="1240" spans="8:8">
      <c r="H1240" s="23"/>
    </row>
    <row r="1241" spans="8:8">
      <c r="H1241" s="23"/>
    </row>
    <row r="1242" spans="8:8">
      <c r="H1242" s="23"/>
    </row>
    <row r="1243" spans="8:8">
      <c r="H1243" s="23"/>
    </row>
    <row r="1244" spans="8:8">
      <c r="H1244" s="23"/>
    </row>
    <row r="1245" spans="8:8">
      <c r="H1245" s="23"/>
    </row>
    <row r="1246" spans="8:8">
      <c r="H1246" s="23"/>
    </row>
    <row r="1247" spans="8:8">
      <c r="H1247" s="23"/>
    </row>
    <row r="1248" spans="8:8">
      <c r="H1248" s="23"/>
    </row>
    <row r="1249" spans="8:8">
      <c r="H1249" s="23"/>
    </row>
    <row r="1250" spans="8:8">
      <c r="H1250" s="23"/>
    </row>
    <row r="1251" spans="8:8">
      <c r="H1251" s="23"/>
    </row>
    <row r="1252" spans="8:8">
      <c r="H1252" s="23"/>
    </row>
    <row r="1253" spans="8:8">
      <c r="H1253" s="23"/>
    </row>
    <row r="1254" spans="8:8">
      <c r="H1254" s="23"/>
    </row>
    <row r="1255" spans="8:8">
      <c r="H1255" s="23"/>
    </row>
    <row r="1256" spans="8:8">
      <c r="H1256" s="23"/>
    </row>
    <row r="1257" spans="8:8">
      <c r="H1257" s="23"/>
    </row>
    <row r="1258" spans="8:8">
      <c r="H1258" s="23"/>
    </row>
    <row r="1259" spans="8:8">
      <c r="H1259" s="23"/>
    </row>
    <row r="1260" spans="8:8">
      <c r="H1260" s="23"/>
    </row>
    <row r="1261" spans="8:8">
      <c r="H1261" s="23"/>
    </row>
    <row r="1262" spans="8:8">
      <c r="H1262" s="23"/>
    </row>
    <row r="1263" spans="8:8">
      <c r="H1263" s="23"/>
    </row>
    <row r="1264" spans="8:8">
      <c r="H1264" s="23"/>
    </row>
    <row r="1265" spans="8:8">
      <c r="H1265" s="23"/>
    </row>
    <row r="1266" spans="8:8">
      <c r="H1266" s="23"/>
    </row>
    <row r="1267" spans="8:8">
      <c r="H1267" s="23"/>
    </row>
    <row r="1268" spans="8:8">
      <c r="H1268" s="23"/>
    </row>
    <row r="1269" spans="8:8">
      <c r="H1269" s="23"/>
    </row>
    <row r="1270" spans="8:8">
      <c r="H1270" s="23"/>
    </row>
    <row r="1271" spans="8:8">
      <c r="H1271" s="23"/>
    </row>
    <row r="1272" spans="8:8">
      <c r="H1272" s="23"/>
    </row>
    <row r="1273" spans="8:8">
      <c r="H1273" s="23"/>
    </row>
    <row r="1274" spans="8:8">
      <c r="H1274" s="23"/>
    </row>
    <row r="1275" spans="8:8">
      <c r="H1275" s="23"/>
    </row>
    <row r="1276" spans="8:8">
      <c r="H1276" s="23"/>
    </row>
    <row r="1277" spans="8:8">
      <c r="H1277" s="23"/>
    </row>
    <row r="1278" spans="8:8">
      <c r="H1278" s="23"/>
    </row>
    <row r="1279" spans="8:8">
      <c r="H1279" s="23"/>
    </row>
    <row r="1280" spans="8:8">
      <c r="H1280" s="23"/>
    </row>
    <row r="1281" spans="8:8">
      <c r="H1281" s="23"/>
    </row>
    <row r="1282" spans="8:8">
      <c r="H1282" s="23"/>
    </row>
    <row r="1283" spans="8:8">
      <c r="H1283" s="23"/>
    </row>
    <row r="1284" spans="8:8">
      <c r="H1284" s="23"/>
    </row>
    <row r="1285" spans="8:8">
      <c r="H1285" s="23"/>
    </row>
    <row r="1286" spans="8:8">
      <c r="H1286" s="23"/>
    </row>
    <row r="1287" spans="8:8">
      <c r="H1287" s="23"/>
    </row>
    <row r="1288" spans="8:8">
      <c r="H1288" s="23"/>
    </row>
    <row r="1289" spans="8:8">
      <c r="H1289" s="23"/>
    </row>
    <row r="1290" spans="8:8">
      <c r="H1290" s="23"/>
    </row>
    <row r="1291" spans="8:8">
      <c r="H1291" s="23"/>
    </row>
    <row r="1292" spans="8:8">
      <c r="H1292" s="23"/>
    </row>
    <row r="1293" spans="8:8">
      <c r="H1293" s="23"/>
    </row>
    <row r="1294" spans="8:8">
      <c r="H1294" s="23"/>
    </row>
    <row r="1295" spans="8:8">
      <c r="H1295" s="23"/>
    </row>
    <row r="1296" spans="8:8">
      <c r="H1296" s="23"/>
    </row>
    <row r="1297" spans="8:8">
      <c r="H1297" s="23"/>
    </row>
    <row r="1298" spans="8:8">
      <c r="H1298" s="23"/>
    </row>
    <row r="1299" spans="8:8">
      <c r="H1299" s="23"/>
    </row>
    <row r="1300" spans="8:8">
      <c r="H1300" s="23"/>
    </row>
    <row r="1301" spans="8:8">
      <c r="H1301" s="23"/>
    </row>
    <row r="1302" spans="8:8">
      <c r="H1302" s="23"/>
    </row>
    <row r="1303" spans="8:8">
      <c r="H1303" s="23"/>
    </row>
    <row r="1304" spans="8:8">
      <c r="H1304" s="23"/>
    </row>
    <row r="1305" spans="8:8">
      <c r="H1305" s="23"/>
    </row>
    <row r="1306" spans="8:8">
      <c r="H1306" s="23"/>
    </row>
    <row r="1307" spans="8:8">
      <c r="H1307" s="23"/>
    </row>
    <row r="1308" spans="8:8">
      <c r="H1308" s="23"/>
    </row>
    <row r="1309" spans="8:8">
      <c r="H1309" s="23"/>
    </row>
    <row r="1310" spans="8:8">
      <c r="H1310" s="23"/>
    </row>
    <row r="1311" spans="8:8">
      <c r="H1311" s="23"/>
    </row>
    <row r="1312" spans="8:8">
      <c r="H1312" s="23"/>
    </row>
    <row r="1313" spans="8:8">
      <c r="H1313" s="23"/>
    </row>
    <row r="1314" spans="8:8">
      <c r="H1314" s="23"/>
    </row>
    <row r="1315" spans="8:8">
      <c r="H1315" s="23"/>
    </row>
    <row r="1316" spans="8:8">
      <c r="H1316" s="23"/>
    </row>
    <row r="1317" spans="8:8">
      <c r="H1317" s="23"/>
    </row>
    <row r="1318" spans="8:8">
      <c r="H1318" s="23"/>
    </row>
    <row r="1319" spans="8:8">
      <c r="H1319" s="23"/>
    </row>
    <row r="1320" spans="8:8">
      <c r="H1320" s="23"/>
    </row>
    <row r="1321" spans="8:8">
      <c r="H1321" s="23"/>
    </row>
    <row r="1322" spans="8:8">
      <c r="H1322" s="23"/>
    </row>
    <row r="1323" spans="8:8">
      <c r="H1323" s="23"/>
    </row>
    <row r="1324" spans="8:8">
      <c r="H1324" s="23"/>
    </row>
    <row r="1325" spans="8:8">
      <c r="H1325" s="23"/>
    </row>
    <row r="1326" spans="8:8">
      <c r="H1326" s="23"/>
    </row>
    <row r="1327" spans="8:8">
      <c r="H1327" s="23"/>
    </row>
    <row r="1328" spans="8:8">
      <c r="H1328" s="23"/>
    </row>
    <row r="1329" spans="8:8">
      <c r="H1329" s="23"/>
    </row>
    <row r="1330" spans="8:8">
      <c r="H1330" s="23"/>
    </row>
    <row r="1331" spans="8:8">
      <c r="H1331" s="23"/>
    </row>
    <row r="1332" spans="8:8">
      <c r="H1332" s="23"/>
    </row>
    <row r="1333" spans="8:8">
      <c r="H1333" s="23"/>
    </row>
    <row r="1334" spans="8:8">
      <c r="H1334" s="23"/>
    </row>
    <row r="1335" spans="8:8">
      <c r="H1335" s="23"/>
    </row>
    <row r="1336" spans="8:8">
      <c r="H1336" s="23"/>
    </row>
    <row r="1337" spans="8:8">
      <c r="H1337" s="23"/>
    </row>
    <row r="1338" spans="8:8">
      <c r="H1338" s="23"/>
    </row>
    <row r="1339" spans="8:8">
      <c r="H1339" s="23"/>
    </row>
    <row r="1340" spans="8:8">
      <c r="H1340" s="23"/>
    </row>
    <row r="1341" spans="8:8">
      <c r="H1341" s="23"/>
    </row>
    <row r="1342" spans="8:8">
      <c r="H1342" s="23"/>
    </row>
    <row r="1343" spans="8:8">
      <c r="H1343" s="23"/>
    </row>
    <row r="1344" spans="8:8">
      <c r="H1344" s="23"/>
    </row>
    <row r="1345" spans="8:8">
      <c r="H1345" s="23"/>
    </row>
    <row r="1346" spans="8:8">
      <c r="H1346" s="23"/>
    </row>
    <row r="1347" spans="8:8">
      <c r="H1347" s="23"/>
    </row>
    <row r="1348" spans="8:8">
      <c r="H1348" s="23"/>
    </row>
    <row r="1349" spans="8:8">
      <c r="H1349" s="23"/>
    </row>
    <row r="1350" spans="8:8">
      <c r="H1350" s="23"/>
    </row>
    <row r="1351" spans="8:8">
      <c r="H1351" s="23"/>
    </row>
    <row r="1352" spans="8:8">
      <c r="H1352" s="23"/>
    </row>
    <row r="1353" spans="8:8">
      <c r="H1353" s="23"/>
    </row>
    <row r="1354" spans="8:8">
      <c r="H1354" s="23"/>
    </row>
    <row r="1355" spans="8:8">
      <c r="H1355" s="23"/>
    </row>
    <row r="1356" spans="8:8">
      <c r="H1356" s="23"/>
    </row>
    <row r="1357" spans="8:8">
      <c r="H1357" s="23"/>
    </row>
    <row r="1358" spans="8:8">
      <c r="H1358" s="23"/>
    </row>
    <row r="1359" spans="8:8">
      <c r="H1359" s="23"/>
    </row>
    <row r="1360" spans="8:8">
      <c r="H1360" s="23"/>
    </row>
    <row r="1361" spans="8:8">
      <c r="H1361" s="23"/>
    </row>
  </sheetData>
  <autoFilter ref="A1:BA94" xr:uid="{00000000-0009-0000-0000-000000000000}"/>
  <phoneticPr fontId="3"/>
  <dataValidations count="26">
    <dataValidation allowBlank="1" showInputMessage="1" showErrorMessage="1" sqref="B2 B5" xr:uid="{00000000-0002-0000-0000-000000000000}"/>
    <dataValidation type="list" allowBlank="1" showInputMessage="1" showErrorMessage="1" sqref="J157:J1044" xr:uid="{00000000-0002-0000-0000-000001000000}">
      <formula1>$AP$2:$AP$23</formula1>
    </dataValidation>
    <dataValidation type="list" allowBlank="1" showInputMessage="1" showErrorMessage="1" sqref="J65579:J65657 J983083:J983161 J917547:J917625 J852011:J852089 J786475:J786553 J720939:J721017 J655403:J655481 J589867:J589945 J524331:J524409 J458795:J458873 J393259:J393337 J327723:J327801 J262187:J262265 J196651:J196729 J131115:J131193" xr:uid="{00000000-0002-0000-0000-000002000000}">
      <formula1>$AP$2:$AP$12</formula1>
    </dataValidation>
    <dataValidation type="list" allowBlank="1" showInputMessage="1" showErrorMessage="1" sqref="H157:H1044" xr:uid="{00000000-0002-0000-0000-000003000000}">
      <formula1>$AL$2:$AL$12</formula1>
    </dataValidation>
    <dataValidation type="list" allowBlank="1" showInputMessage="1" showErrorMessage="1" sqref="H1045:H1361 H2:H156" xr:uid="{00000000-0002-0000-0000-000004000000}">
      <formula1>$AL$2:$AL$9</formula1>
    </dataValidation>
    <dataValidation type="list" allowBlank="1" showInputMessage="1" showErrorMessage="1" sqref="I1045:I64286" xr:uid="{00000000-0002-0000-0000-000005000000}">
      <formula1>$AN$2:$AN$6</formula1>
    </dataValidation>
    <dataValidation type="list" allowBlank="1" showInputMessage="1" showErrorMessage="1" sqref="Y536:AA64286" xr:uid="{00000000-0002-0000-0000-000006000000}">
      <formula1>$AV$2:$AV$23</formula1>
    </dataValidation>
    <dataValidation type="list" allowBlank="1" showInputMessage="1" showErrorMessage="1" sqref="H1362:H64286" xr:uid="{00000000-0002-0000-0000-000007000000}">
      <formula1>$AL$2:$AL$10</formula1>
    </dataValidation>
    <dataValidation type="list" allowBlank="1" showInputMessage="1" showErrorMessage="1" sqref="E1045:E64286" xr:uid="{00000000-0002-0000-0000-000008000000}">
      <formula1>$AG$2:$AG$9</formula1>
    </dataValidation>
    <dataValidation type="list" allowBlank="1" showInputMessage="1" showErrorMessage="1" sqref="F1045:F64286" xr:uid="{00000000-0002-0000-0000-000009000000}">
      <formula1>$AH$2:$AH$8</formula1>
    </dataValidation>
    <dataValidation operator="equal" allowBlank="1" showInputMessage="1" showErrorMessage="1" sqref="B163:B1050" xr:uid="{00000000-0002-0000-0000-00000A000000}"/>
    <dataValidation type="list" allowBlank="1" showInputMessage="1" showErrorMessage="1" sqref="AA167:AA535 Z110:Z535 Y125:Y535" xr:uid="{00000000-0002-0000-0000-00000B000000}">
      <formula1>$AV$2:$AV$21</formula1>
    </dataValidation>
    <dataValidation type="list" allowBlank="1" showInputMessage="1" showErrorMessage="1" sqref="Y2:AA5 AA6:AA166 Y6:Y124 Z6:Z109" xr:uid="{00000000-0002-0000-0000-00000C000000}">
      <formula1>$AV$2:$AV$25</formula1>
    </dataValidation>
    <dataValidation type="list" allowBlank="1" showInputMessage="1" showErrorMessage="1" sqref="K157:K1044" xr:uid="{00000000-0002-0000-0000-00000E000000}">
      <formula1>$AR$2:$AR$20</formula1>
    </dataValidation>
    <dataValidation type="list" allowBlank="1" showInputMessage="1" showErrorMessage="1" sqref="K65579:K65657 K131115:K131193 K196651:K196729 K262187:K262265 K327723:K327801 K393259:K393337 K458795:K458873 K524331:K524409 K589867:K589945 K655403:K655481 K720939:K721017 K786475:K786553 K852011:K852089 K917547:K917625 K983083:K983161" xr:uid="{00000000-0002-0000-0000-00000F000000}">
      <formula1>$AR$2:$AR$25</formula1>
    </dataValidation>
    <dataValidation type="list" allowBlank="1" showInputMessage="1" showErrorMessage="1" sqref="K71:K156" xr:uid="{00000000-0002-0000-0000-00000D000000}">
      <formula1>$AR$2:$AR$23</formula1>
    </dataValidation>
    <dataValidation type="list" allowBlank="1" showInputMessage="1" showErrorMessage="1" sqref="J71:J156" xr:uid="{00000000-0002-0000-0000-000010000000}">
      <formula1>$AP$2:$AP$27</formula1>
    </dataValidation>
    <dataValidation type="list" allowBlank="1" showInputMessage="1" showErrorMessage="1" sqref="A2:A1053" xr:uid="{00000000-0002-0000-0000-000013000000}">
      <formula1>$AE$2:$AE$19</formula1>
    </dataValidation>
    <dataValidation type="list" allowBlank="1" showInputMessage="1" showErrorMessage="1" sqref="K2:K70" xr:uid="{00000000-0002-0000-0000-000011000000}">
      <formula1>$AR$2:$AR$24</formula1>
    </dataValidation>
    <dataValidation type="list" allowBlank="1" showInputMessage="1" showErrorMessage="1" sqref="J2:J70" xr:uid="{00000000-0002-0000-0000-000012000000}">
      <formula1>$AP$2:$AP$36</formula1>
    </dataValidation>
    <dataValidation type="list" allowBlank="1" showInputMessage="1" showErrorMessage="1" sqref="G2:G1044" xr:uid="{00000000-0002-0000-0000-000014000000}">
      <formula1>$AJ$2:$AJ$4</formula1>
    </dataValidation>
    <dataValidation type="list" allowBlank="1" showInputMessage="1" showErrorMessage="1" sqref="X2:X535" xr:uid="{00000000-0002-0000-0000-000015000000}">
      <formula1>$AT$2:$AT$3</formula1>
    </dataValidation>
    <dataValidation type="list" allowBlank="1" showInputMessage="1" showErrorMessage="1" sqref="I2:I1044" xr:uid="{00000000-0002-0000-0000-000016000000}">
      <formula1>$AN$5:$AN$6</formula1>
    </dataValidation>
    <dataValidation type="decimal" allowBlank="1" showInputMessage="1" showErrorMessage="1" error="硬度を正しく入力して下さい。" sqref="O2:P535" xr:uid="{00000000-0002-0000-0000-000017000000}">
      <formula1>0</formula1>
      <formula2>7</formula2>
    </dataValidation>
    <dataValidation type="list" allowBlank="1" showInputMessage="1" showErrorMessage="1" sqref="E2:E1044" xr:uid="{00000000-0002-0000-0000-000018000000}">
      <formula1>$AG$2:$AG$10</formula1>
    </dataValidation>
    <dataValidation type="list" allowBlank="1" showInputMessage="1" showErrorMessage="1" sqref="F2:F1044" xr:uid="{00000000-0002-0000-0000-000019000000}">
      <formula1>$AH$2:$AH$10</formula1>
    </dataValidation>
  </dataValidations>
  <pageMargins left="0.7" right="0.7" top="0.75" bottom="0.75" header="0.3" footer="0.3"/>
  <pageSetup paperSize="8" scale="77" orientation="landscape" r:id="rId1"/>
  <headerFooter alignWithMargins="0"/>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DE3F-EB74-49FD-BB69-0C75229A9317}">
  <dimension ref="A1:BA230"/>
  <sheetViews>
    <sheetView zoomScale="85" zoomScaleNormal="85" workbookViewId="0">
      <pane ySplit="1" topLeftCell="A2" activePane="bottomLeft" state="frozen"/>
      <selection activeCell="H14" sqref="H14"/>
      <selection pane="bottomLeft" activeCell="A2" sqref="A2"/>
    </sheetView>
  </sheetViews>
  <sheetFormatPr defaultColWidth="9" defaultRowHeight="13.5"/>
  <cols>
    <col min="1" max="1" width="8.5" style="10" bestFit="1" customWidth="1"/>
    <col min="2" max="2" width="7" style="10" bestFit="1" customWidth="1"/>
    <col min="3" max="3" width="8.375" style="10" bestFit="1" customWidth="1"/>
    <col min="4" max="4" width="10.25" style="10" bestFit="1" customWidth="1"/>
    <col min="5" max="11" width="10.875" style="10" customWidth="1"/>
    <col min="12" max="13" width="5.5" style="10" bestFit="1" customWidth="1"/>
    <col min="14" max="14" width="7" style="10" bestFit="1" customWidth="1"/>
    <col min="15" max="16" width="8.5" style="10" bestFit="1" customWidth="1"/>
    <col min="17" max="17" width="10" style="24" bestFit="1" customWidth="1"/>
    <col min="18" max="18" width="8.5" style="10" bestFit="1" customWidth="1"/>
    <col min="19" max="19" width="9.75" style="10" bestFit="1" customWidth="1"/>
    <col min="20" max="20" width="8.25" style="24" bestFit="1" customWidth="1"/>
    <col min="21" max="21" width="7.875" style="10" bestFit="1" customWidth="1"/>
    <col min="22" max="22" width="13.5" style="24" bestFit="1" customWidth="1"/>
    <col min="23" max="23" width="8" style="10" bestFit="1" customWidth="1"/>
    <col min="24" max="24" width="12.25" style="10" bestFit="1" customWidth="1"/>
    <col min="25" max="27" width="11" style="10" bestFit="1" customWidth="1"/>
    <col min="28" max="32" width="9" style="10"/>
    <col min="33" max="33" width="15.125" style="10" bestFit="1" customWidth="1"/>
    <col min="34" max="34" width="19.625" style="10" bestFit="1" customWidth="1"/>
    <col min="35" max="16384" width="9" style="10"/>
  </cols>
  <sheetData>
    <row r="1" spans="1:53" ht="45">
      <c r="A1" s="1" t="s">
        <v>0</v>
      </c>
      <c r="B1" s="2" t="s">
        <v>1</v>
      </c>
      <c r="C1" s="2" t="s">
        <v>2</v>
      </c>
      <c r="D1" s="3" t="s">
        <v>3</v>
      </c>
      <c r="E1" s="4" t="s">
        <v>245</v>
      </c>
      <c r="F1" s="4" t="s">
        <v>5</v>
      </c>
      <c r="G1" s="4" t="s">
        <v>246</v>
      </c>
      <c r="H1" s="4" t="s">
        <v>7</v>
      </c>
      <c r="I1" s="4" t="s">
        <v>8</v>
      </c>
      <c r="J1" s="4" t="s">
        <v>9</v>
      </c>
      <c r="K1" s="4" t="s">
        <v>10</v>
      </c>
      <c r="L1" s="3" t="s">
        <v>11</v>
      </c>
      <c r="M1" s="3" t="s">
        <v>12</v>
      </c>
      <c r="N1" s="3" t="s">
        <v>13</v>
      </c>
      <c r="O1" s="3" t="s">
        <v>247</v>
      </c>
      <c r="P1" s="3" t="s">
        <v>15</v>
      </c>
      <c r="Q1" s="5" t="s">
        <v>16</v>
      </c>
      <c r="R1" s="3" t="s">
        <v>17</v>
      </c>
      <c r="S1" s="3" t="s">
        <v>18</v>
      </c>
      <c r="T1" s="5" t="s">
        <v>19</v>
      </c>
      <c r="U1" s="69" t="s">
        <v>248</v>
      </c>
      <c r="V1" s="7" t="s">
        <v>249</v>
      </c>
      <c r="W1" s="3" t="s">
        <v>22</v>
      </c>
      <c r="X1" s="4" t="s">
        <v>23</v>
      </c>
      <c r="Y1" s="4" t="s">
        <v>24</v>
      </c>
      <c r="Z1" s="4" t="s">
        <v>250</v>
      </c>
      <c r="AA1" s="8" t="s">
        <v>26</v>
      </c>
      <c r="AB1" s="9" t="s">
        <v>27</v>
      </c>
      <c r="AE1" s="11" t="s">
        <v>0</v>
      </c>
      <c r="AF1" s="12"/>
      <c r="AG1" s="70"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26" customFormat="1" ht="13.5" customHeight="1">
      <c r="A2" s="126" t="s">
        <v>35</v>
      </c>
      <c r="B2" s="126" t="s">
        <v>36</v>
      </c>
      <c r="C2" s="126">
        <v>2020</v>
      </c>
      <c r="D2" s="172" t="s">
        <v>162</v>
      </c>
      <c r="E2" s="126" t="s">
        <v>251</v>
      </c>
      <c r="F2" s="126" t="s">
        <v>252</v>
      </c>
      <c r="G2" s="126" t="s">
        <v>58</v>
      </c>
      <c r="H2" s="126" t="s">
        <v>40</v>
      </c>
      <c r="I2" s="126" t="s">
        <v>41</v>
      </c>
      <c r="J2" s="126" t="s">
        <v>42</v>
      </c>
      <c r="K2" s="126" t="s">
        <v>43</v>
      </c>
      <c r="L2" s="126">
        <v>1</v>
      </c>
      <c r="N2" s="126">
        <v>1</v>
      </c>
      <c r="O2" s="126">
        <v>0.2</v>
      </c>
      <c r="P2" s="126">
        <v>0.2</v>
      </c>
      <c r="Q2" s="152">
        <f t="shared" ref="Q2:Q61" si="0">IF(OR(O2="",P2=""),"",AVERAGE(O2,P2))</f>
        <v>0.2</v>
      </c>
      <c r="R2" s="126">
        <v>15.2</v>
      </c>
      <c r="S2" s="126">
        <v>108</v>
      </c>
      <c r="T2" s="138">
        <f t="shared" ref="T2:T61" si="1">IF(H2="","",IF(OR(H2="GREEN",H2="GK"),IF(S2&gt;=$AX$2,VLOOKUP(S2,$AX$2:$AY$9,2,1),""),IF(S2&gt;=$AZ$2,VLOOKUP(S2,$AZ$2:$BA$9,2,1),"")))</f>
        <v>33</v>
      </c>
      <c r="U2" s="126">
        <v>86</v>
      </c>
      <c r="V2" s="138">
        <f t="shared" ref="V2:V85" si="2">IF(OR(N2="",U2="",T2=""),"",U2/N2*T2)</f>
        <v>2838</v>
      </c>
      <c r="W2" s="126">
        <v>1</v>
      </c>
      <c r="X2" s="126" t="s">
        <v>63</v>
      </c>
      <c r="Y2" s="126" t="s">
        <v>46</v>
      </c>
      <c r="Z2" s="126" t="s">
        <v>160</v>
      </c>
      <c r="AA2" s="126" t="s">
        <v>54</v>
      </c>
      <c r="AB2" s="126" t="s">
        <v>48</v>
      </c>
      <c r="AE2" s="33" t="s">
        <v>49</v>
      </c>
      <c r="AG2" s="173" t="s">
        <v>253</v>
      </c>
      <c r="AH2" s="132" t="s">
        <v>252</v>
      </c>
      <c r="AJ2" s="132" t="s">
        <v>39</v>
      </c>
      <c r="AL2" s="133" t="s">
        <v>51</v>
      </c>
      <c r="AN2" s="132" t="s">
        <v>52</v>
      </c>
      <c r="AP2" s="132" t="s">
        <v>42</v>
      </c>
      <c r="AR2" s="132" t="s">
        <v>53</v>
      </c>
      <c r="AT2" s="132" t="s">
        <v>44</v>
      </c>
      <c r="AV2" s="132" t="s">
        <v>54</v>
      </c>
      <c r="AX2" s="134">
        <v>1</v>
      </c>
      <c r="AY2" s="135">
        <v>50</v>
      </c>
      <c r="AZ2" s="135">
        <v>1</v>
      </c>
      <c r="BA2" s="136">
        <v>50</v>
      </c>
    </row>
    <row r="3" spans="1:53" s="126" customFormat="1" ht="13.5" customHeight="1">
      <c r="A3" s="126" t="s">
        <v>35</v>
      </c>
      <c r="B3" s="126" t="s">
        <v>36</v>
      </c>
      <c r="C3" s="126">
        <v>2020</v>
      </c>
      <c r="D3" s="172" t="s">
        <v>162</v>
      </c>
      <c r="E3" s="126" t="s">
        <v>251</v>
      </c>
      <c r="F3" s="126" t="s">
        <v>252</v>
      </c>
      <c r="G3" s="126" t="s">
        <v>58</v>
      </c>
      <c r="H3" s="126" t="s">
        <v>40</v>
      </c>
      <c r="I3" s="126" t="s">
        <v>41</v>
      </c>
      <c r="J3" s="126" t="s">
        <v>42</v>
      </c>
      <c r="K3" s="126" t="s">
        <v>43</v>
      </c>
      <c r="L3" s="126">
        <v>2</v>
      </c>
      <c r="N3" s="126">
        <v>1</v>
      </c>
      <c r="O3" s="126">
        <v>0.75</v>
      </c>
      <c r="P3" s="126">
        <v>1</v>
      </c>
      <c r="Q3" s="152">
        <f t="shared" si="0"/>
        <v>0.875</v>
      </c>
      <c r="R3" s="126">
        <v>15.5</v>
      </c>
      <c r="S3" s="126">
        <v>116</v>
      </c>
      <c r="T3" s="138">
        <f t="shared" si="1"/>
        <v>30</v>
      </c>
      <c r="U3" s="126">
        <v>86</v>
      </c>
      <c r="V3" s="138">
        <f t="shared" si="2"/>
        <v>2580</v>
      </c>
      <c r="W3" s="126">
        <v>1</v>
      </c>
      <c r="X3" s="126" t="s">
        <v>63</v>
      </c>
      <c r="Y3" s="126" t="s">
        <v>46</v>
      </c>
      <c r="Z3" s="126" t="s">
        <v>160</v>
      </c>
      <c r="AA3" s="126" t="s">
        <v>54</v>
      </c>
      <c r="AB3" s="126" t="s">
        <v>48</v>
      </c>
      <c r="AE3" s="34" t="s">
        <v>55</v>
      </c>
      <c r="AG3" s="174" t="s">
        <v>254</v>
      </c>
      <c r="AH3" s="132" t="s">
        <v>255</v>
      </c>
      <c r="AJ3" s="139" t="s">
        <v>58</v>
      </c>
      <c r="AL3" s="139" t="s">
        <v>59</v>
      </c>
      <c r="AN3" s="139" t="s">
        <v>60</v>
      </c>
      <c r="AP3" s="139" t="s">
        <v>61</v>
      </c>
      <c r="AR3" s="139" t="s">
        <v>62</v>
      </c>
      <c r="AT3" s="139" t="s">
        <v>63</v>
      </c>
      <c r="AV3" s="139" t="s">
        <v>64</v>
      </c>
      <c r="AX3" s="140">
        <v>72</v>
      </c>
      <c r="AY3" s="141">
        <v>46</v>
      </c>
      <c r="AZ3" s="141">
        <v>71</v>
      </c>
      <c r="BA3" s="142">
        <v>42</v>
      </c>
    </row>
    <row r="4" spans="1:53" s="126" customFormat="1" ht="13.5" customHeight="1">
      <c r="A4" s="126" t="s">
        <v>35</v>
      </c>
      <c r="B4" s="126" t="s">
        <v>36</v>
      </c>
      <c r="C4" s="126">
        <v>2020</v>
      </c>
      <c r="D4" s="172" t="s">
        <v>162</v>
      </c>
      <c r="E4" s="126" t="s">
        <v>251</v>
      </c>
      <c r="F4" s="126" t="s">
        <v>252</v>
      </c>
      <c r="G4" s="126" t="s">
        <v>58</v>
      </c>
      <c r="H4" s="126" t="s">
        <v>40</v>
      </c>
      <c r="I4" s="126" t="s">
        <v>41</v>
      </c>
      <c r="J4" s="126" t="s">
        <v>42</v>
      </c>
      <c r="K4" s="126" t="s">
        <v>43</v>
      </c>
      <c r="L4" s="126">
        <v>3</v>
      </c>
      <c r="N4" s="126">
        <v>1</v>
      </c>
      <c r="O4" s="126">
        <v>0.6</v>
      </c>
      <c r="P4" s="126">
        <v>0.5</v>
      </c>
      <c r="Q4" s="152">
        <f t="shared" si="0"/>
        <v>0.55000000000000004</v>
      </c>
      <c r="R4" s="126">
        <v>15.5</v>
      </c>
      <c r="S4" s="126">
        <v>111.5</v>
      </c>
      <c r="T4" s="138">
        <f t="shared" si="1"/>
        <v>33</v>
      </c>
      <c r="U4" s="126">
        <v>86</v>
      </c>
      <c r="V4" s="138">
        <f t="shared" si="2"/>
        <v>2838</v>
      </c>
      <c r="W4" s="126">
        <v>1</v>
      </c>
      <c r="X4" s="126" t="s">
        <v>63</v>
      </c>
      <c r="Y4" s="126" t="s">
        <v>46</v>
      </c>
      <c r="Z4" s="126" t="s">
        <v>160</v>
      </c>
      <c r="AA4" s="126" t="s">
        <v>54</v>
      </c>
      <c r="AB4" s="126" t="s">
        <v>48</v>
      </c>
      <c r="AE4" s="34" t="s">
        <v>35</v>
      </c>
      <c r="AG4" s="174" t="s">
        <v>256</v>
      </c>
      <c r="AH4" s="132" t="s">
        <v>257</v>
      </c>
      <c r="AJ4" s="143" t="s">
        <v>67</v>
      </c>
      <c r="AL4" s="139" t="s">
        <v>68</v>
      </c>
      <c r="AN4" s="144" t="s">
        <v>69</v>
      </c>
      <c r="AP4" s="139" t="s">
        <v>70</v>
      </c>
      <c r="AR4" s="139" t="s">
        <v>71</v>
      </c>
      <c r="AT4" s="144"/>
      <c r="AV4" s="139" t="s">
        <v>47</v>
      </c>
      <c r="AX4" s="140">
        <v>75</v>
      </c>
      <c r="AY4" s="141">
        <v>42</v>
      </c>
      <c r="AZ4" s="141">
        <v>76</v>
      </c>
      <c r="BA4" s="142">
        <v>39</v>
      </c>
    </row>
    <row r="5" spans="1:53" s="126" customFormat="1" ht="13.5" customHeight="1">
      <c r="A5" s="126" t="s">
        <v>35</v>
      </c>
      <c r="B5" s="126" t="s">
        <v>36</v>
      </c>
      <c r="C5" s="126">
        <v>2020</v>
      </c>
      <c r="D5" s="172" t="s">
        <v>162</v>
      </c>
      <c r="E5" s="126" t="s">
        <v>258</v>
      </c>
      <c r="F5" s="126" t="s">
        <v>259</v>
      </c>
      <c r="G5" s="126" t="s">
        <v>39</v>
      </c>
      <c r="H5" s="126" t="s">
        <v>40</v>
      </c>
      <c r="I5" s="126" t="s">
        <v>41</v>
      </c>
      <c r="J5" s="126" t="s">
        <v>42</v>
      </c>
      <c r="K5" s="126" t="s">
        <v>43</v>
      </c>
      <c r="L5" s="126">
        <v>1</v>
      </c>
      <c r="N5" s="126">
        <v>1</v>
      </c>
      <c r="O5" s="126">
        <v>0.5</v>
      </c>
      <c r="P5" s="126">
        <v>0.5</v>
      </c>
      <c r="Q5" s="152">
        <f t="shared" si="0"/>
        <v>0.5</v>
      </c>
      <c r="R5" s="126">
        <v>16</v>
      </c>
      <c r="S5" s="126">
        <v>133</v>
      </c>
      <c r="T5" s="138">
        <f t="shared" si="1"/>
        <v>30</v>
      </c>
      <c r="U5" s="126">
        <v>98</v>
      </c>
      <c r="V5" s="138">
        <f t="shared" si="2"/>
        <v>2940</v>
      </c>
      <c r="W5" s="126">
        <v>2</v>
      </c>
      <c r="X5" s="126" t="s">
        <v>63</v>
      </c>
      <c r="Y5" s="126" t="s">
        <v>46</v>
      </c>
      <c r="Z5" s="126" t="s">
        <v>54</v>
      </c>
      <c r="AA5" s="126" t="s">
        <v>160</v>
      </c>
      <c r="AB5" s="126" t="s">
        <v>48</v>
      </c>
      <c r="AE5" s="34" t="s">
        <v>72</v>
      </c>
      <c r="AG5" s="174" t="s">
        <v>260</v>
      </c>
      <c r="AH5" s="132" t="s">
        <v>261</v>
      </c>
      <c r="AJ5" s="144"/>
      <c r="AL5" s="139" t="s">
        <v>75</v>
      </c>
      <c r="AN5" s="145" t="s">
        <v>76</v>
      </c>
      <c r="AP5" s="139" t="s">
        <v>77</v>
      </c>
      <c r="AR5" s="139" t="s">
        <v>78</v>
      </c>
      <c r="AV5" s="139" t="s">
        <v>79</v>
      </c>
      <c r="AX5" s="140">
        <v>84</v>
      </c>
      <c r="AY5" s="141">
        <v>39</v>
      </c>
      <c r="AZ5" s="141">
        <v>84</v>
      </c>
      <c r="BA5" s="142">
        <v>36</v>
      </c>
    </row>
    <row r="6" spans="1:53" s="126" customFormat="1" ht="13.5" customHeight="1">
      <c r="A6" s="126" t="s">
        <v>35</v>
      </c>
      <c r="B6" s="126" t="s">
        <v>36</v>
      </c>
      <c r="C6" s="126">
        <v>2020</v>
      </c>
      <c r="D6" s="172" t="s">
        <v>162</v>
      </c>
      <c r="E6" s="126" t="s">
        <v>258</v>
      </c>
      <c r="F6" s="126" t="s">
        <v>259</v>
      </c>
      <c r="G6" s="126" t="s">
        <v>39</v>
      </c>
      <c r="H6" s="126" t="s">
        <v>40</v>
      </c>
      <c r="I6" s="126" t="s">
        <v>41</v>
      </c>
      <c r="J6" s="126" t="s">
        <v>42</v>
      </c>
      <c r="K6" s="126" t="s">
        <v>43</v>
      </c>
      <c r="L6" s="126">
        <v>2</v>
      </c>
      <c r="N6" s="126">
        <v>1</v>
      </c>
      <c r="O6" s="126">
        <v>0.2</v>
      </c>
      <c r="P6" s="126">
        <v>0.2</v>
      </c>
      <c r="Q6" s="152">
        <f t="shared" si="0"/>
        <v>0.2</v>
      </c>
      <c r="R6" s="126">
        <v>16.2</v>
      </c>
      <c r="S6" s="126">
        <v>126</v>
      </c>
      <c r="T6" s="138">
        <f t="shared" si="1"/>
        <v>30</v>
      </c>
      <c r="U6" s="126">
        <v>98</v>
      </c>
      <c r="V6" s="138">
        <f t="shared" si="2"/>
        <v>2940</v>
      </c>
      <c r="W6" s="126">
        <v>2</v>
      </c>
      <c r="X6" s="126" t="s">
        <v>63</v>
      </c>
      <c r="Y6" s="126" t="s">
        <v>46</v>
      </c>
      <c r="Z6" s="126" t="s">
        <v>54</v>
      </c>
      <c r="AA6" s="126" t="s">
        <v>160</v>
      </c>
      <c r="AB6" s="126" t="s">
        <v>48</v>
      </c>
      <c r="AE6" s="34" t="s">
        <v>80</v>
      </c>
      <c r="AG6" s="174" t="s">
        <v>262</v>
      </c>
      <c r="AH6" s="132" t="s">
        <v>263</v>
      </c>
      <c r="AL6" s="139" t="s">
        <v>83</v>
      </c>
      <c r="AN6" s="145" t="s">
        <v>84</v>
      </c>
      <c r="AP6" s="139" t="s">
        <v>85</v>
      </c>
      <c r="AR6" s="139" t="s">
        <v>86</v>
      </c>
      <c r="AV6" s="139" t="s">
        <v>87</v>
      </c>
      <c r="AX6" s="140">
        <v>97</v>
      </c>
      <c r="AY6" s="141">
        <v>36</v>
      </c>
      <c r="AZ6" s="141">
        <v>99</v>
      </c>
      <c r="BA6" s="142">
        <v>33</v>
      </c>
    </row>
    <row r="7" spans="1:53" s="126" customFormat="1" ht="13.5" customHeight="1">
      <c r="A7" s="126" t="s">
        <v>35</v>
      </c>
      <c r="B7" s="126" t="s">
        <v>36</v>
      </c>
      <c r="C7" s="126">
        <v>2020</v>
      </c>
      <c r="D7" s="172" t="s">
        <v>162</v>
      </c>
      <c r="E7" s="126" t="s">
        <v>258</v>
      </c>
      <c r="F7" s="126" t="s">
        <v>259</v>
      </c>
      <c r="G7" s="126" t="s">
        <v>39</v>
      </c>
      <c r="H7" s="126" t="s">
        <v>40</v>
      </c>
      <c r="I7" s="126" t="s">
        <v>41</v>
      </c>
      <c r="J7" s="126" t="s">
        <v>42</v>
      </c>
      <c r="K7" s="126" t="s">
        <v>43</v>
      </c>
      <c r="L7" s="126">
        <v>3</v>
      </c>
      <c r="N7" s="126">
        <v>1</v>
      </c>
      <c r="O7" s="126">
        <v>0.2</v>
      </c>
      <c r="P7" s="126">
        <v>0.2</v>
      </c>
      <c r="Q7" s="152">
        <f t="shared" si="0"/>
        <v>0.2</v>
      </c>
      <c r="R7" s="126">
        <v>16.7</v>
      </c>
      <c r="S7" s="126">
        <v>128</v>
      </c>
      <c r="T7" s="138">
        <f t="shared" si="1"/>
        <v>30</v>
      </c>
      <c r="U7" s="126">
        <v>98</v>
      </c>
      <c r="V7" s="138">
        <f t="shared" si="2"/>
        <v>2940</v>
      </c>
      <c r="W7" s="126">
        <v>2</v>
      </c>
      <c r="X7" s="126" t="s">
        <v>63</v>
      </c>
      <c r="Y7" s="126" t="s">
        <v>46</v>
      </c>
      <c r="Z7" s="126" t="s">
        <v>54</v>
      </c>
      <c r="AA7" s="126" t="s">
        <v>160</v>
      </c>
      <c r="AB7" s="126" t="s">
        <v>48</v>
      </c>
      <c r="AE7" s="34" t="s">
        <v>88</v>
      </c>
      <c r="AG7" s="174" t="s">
        <v>264</v>
      </c>
      <c r="AH7" s="132" t="s">
        <v>265</v>
      </c>
      <c r="AL7" s="146" t="s">
        <v>90</v>
      </c>
      <c r="AP7" s="139" t="s">
        <v>91</v>
      </c>
      <c r="AR7" s="139" t="s">
        <v>92</v>
      </c>
      <c r="AV7" s="139" t="s">
        <v>93</v>
      </c>
      <c r="AX7" s="140">
        <v>109</v>
      </c>
      <c r="AY7" s="141">
        <v>33</v>
      </c>
      <c r="AZ7" s="141">
        <v>113</v>
      </c>
      <c r="BA7" s="142">
        <v>30</v>
      </c>
    </row>
    <row r="8" spans="1:53" s="126" customFormat="1" ht="13.5" customHeight="1">
      <c r="A8" s="126" t="s">
        <v>35</v>
      </c>
      <c r="B8" s="126" t="s">
        <v>36</v>
      </c>
      <c r="C8" s="126">
        <v>2020</v>
      </c>
      <c r="D8" s="172" t="s">
        <v>162</v>
      </c>
      <c r="E8" s="126" t="s">
        <v>258</v>
      </c>
      <c r="F8" s="126" t="s">
        <v>259</v>
      </c>
      <c r="G8" s="126" t="s">
        <v>39</v>
      </c>
      <c r="H8" s="126" t="s">
        <v>40</v>
      </c>
      <c r="I8" s="126" t="s">
        <v>41</v>
      </c>
      <c r="J8" s="126" t="s">
        <v>42</v>
      </c>
      <c r="K8" s="126" t="s">
        <v>43</v>
      </c>
      <c r="L8" s="126">
        <v>1</v>
      </c>
      <c r="N8" s="126">
        <v>8</v>
      </c>
      <c r="O8" s="126">
        <v>0.2</v>
      </c>
      <c r="P8" s="126">
        <v>0.55000000000000004</v>
      </c>
      <c r="Q8" s="152">
        <f t="shared" si="0"/>
        <v>0.375</v>
      </c>
      <c r="R8" s="126">
        <v>16.7</v>
      </c>
      <c r="S8" s="126">
        <v>83.5</v>
      </c>
      <c r="T8" s="138">
        <f t="shared" si="1"/>
        <v>39</v>
      </c>
      <c r="U8" s="126">
        <v>398</v>
      </c>
      <c r="V8" s="138">
        <f t="shared" si="2"/>
        <v>1940.25</v>
      </c>
      <c r="W8" s="126">
        <v>2</v>
      </c>
      <c r="X8" s="126" t="s">
        <v>63</v>
      </c>
      <c r="Y8" s="126" t="s">
        <v>46</v>
      </c>
      <c r="Z8" s="126" t="s">
        <v>54</v>
      </c>
      <c r="AA8" s="126" t="s">
        <v>160</v>
      </c>
      <c r="AB8" s="126" t="s">
        <v>48</v>
      </c>
      <c r="AE8" s="34" t="s">
        <v>86</v>
      </c>
      <c r="AG8" s="174" t="s">
        <v>266</v>
      </c>
      <c r="AH8" s="132" t="s">
        <v>267</v>
      </c>
      <c r="AL8" s="146" t="s">
        <v>96</v>
      </c>
      <c r="AP8" s="139" t="s">
        <v>97</v>
      </c>
      <c r="AR8" s="139" t="s">
        <v>98</v>
      </c>
      <c r="AV8" s="139" t="s">
        <v>99</v>
      </c>
      <c r="AX8" s="140">
        <v>151</v>
      </c>
      <c r="AY8" s="141">
        <v>22</v>
      </c>
      <c r="AZ8" s="141">
        <v>152</v>
      </c>
      <c r="BA8" s="142">
        <v>18</v>
      </c>
    </row>
    <row r="9" spans="1:53" s="126" customFormat="1" ht="13.5" customHeight="1">
      <c r="A9" s="126" t="s">
        <v>35</v>
      </c>
      <c r="B9" s="126" t="s">
        <v>36</v>
      </c>
      <c r="C9" s="126">
        <v>2020</v>
      </c>
      <c r="D9" s="172" t="s">
        <v>162</v>
      </c>
      <c r="E9" s="126" t="s">
        <v>258</v>
      </c>
      <c r="F9" s="126" t="s">
        <v>259</v>
      </c>
      <c r="G9" s="126" t="s">
        <v>39</v>
      </c>
      <c r="H9" s="126" t="s">
        <v>40</v>
      </c>
      <c r="I9" s="126" t="s">
        <v>41</v>
      </c>
      <c r="J9" s="126" t="s">
        <v>42</v>
      </c>
      <c r="K9" s="126" t="s">
        <v>43</v>
      </c>
      <c r="L9" s="126">
        <v>2</v>
      </c>
      <c r="N9" s="126">
        <v>8</v>
      </c>
      <c r="O9" s="126">
        <v>0.7</v>
      </c>
      <c r="P9" s="126">
        <v>0.5</v>
      </c>
      <c r="Q9" s="152">
        <f t="shared" si="0"/>
        <v>0.6</v>
      </c>
      <c r="R9" s="126">
        <v>16.600000000000001</v>
      </c>
      <c r="S9" s="126">
        <v>85</v>
      </c>
      <c r="T9" s="138">
        <f t="shared" si="1"/>
        <v>36</v>
      </c>
      <c r="U9" s="126">
        <v>398</v>
      </c>
      <c r="V9" s="138">
        <f t="shared" si="2"/>
        <v>1791</v>
      </c>
      <c r="W9" s="126">
        <v>2</v>
      </c>
      <c r="X9" s="126" t="s">
        <v>63</v>
      </c>
      <c r="Y9" s="126" t="s">
        <v>46</v>
      </c>
      <c r="Z9" s="126" t="s">
        <v>54</v>
      </c>
      <c r="AA9" s="126" t="s">
        <v>160</v>
      </c>
      <c r="AB9" s="126" t="s">
        <v>48</v>
      </c>
      <c r="AE9" s="34" t="s">
        <v>100</v>
      </c>
      <c r="AG9" s="174" t="s">
        <v>268</v>
      </c>
      <c r="AH9" s="132" t="s">
        <v>269</v>
      </c>
      <c r="AL9" s="139" t="s">
        <v>102</v>
      </c>
      <c r="AP9" s="139" t="s">
        <v>103</v>
      </c>
      <c r="AR9" s="139" t="s">
        <v>104</v>
      </c>
      <c r="AV9" s="139" t="s">
        <v>105</v>
      </c>
      <c r="AX9" s="148">
        <v>180</v>
      </c>
      <c r="AY9" s="149">
        <v>18</v>
      </c>
      <c r="AZ9" s="149">
        <v>181</v>
      </c>
      <c r="BA9" s="150">
        <v>16</v>
      </c>
    </row>
    <row r="10" spans="1:53" s="126" customFormat="1" ht="13.5" customHeight="1">
      <c r="A10" s="126" t="s">
        <v>35</v>
      </c>
      <c r="B10" s="126" t="s">
        <v>36</v>
      </c>
      <c r="C10" s="126">
        <v>2020</v>
      </c>
      <c r="D10" s="172" t="s">
        <v>162</v>
      </c>
      <c r="E10" s="126" t="s">
        <v>258</v>
      </c>
      <c r="F10" s="126" t="s">
        <v>259</v>
      </c>
      <c r="G10" s="126" t="s">
        <v>39</v>
      </c>
      <c r="H10" s="126" t="s">
        <v>40</v>
      </c>
      <c r="I10" s="126" t="s">
        <v>41</v>
      </c>
      <c r="J10" s="126" t="s">
        <v>42</v>
      </c>
      <c r="K10" s="126" t="s">
        <v>43</v>
      </c>
      <c r="L10" s="126">
        <v>3</v>
      </c>
      <c r="N10" s="126">
        <v>8</v>
      </c>
      <c r="O10" s="126">
        <v>0.65</v>
      </c>
      <c r="P10" s="126">
        <v>0.7</v>
      </c>
      <c r="Q10" s="152">
        <f t="shared" si="0"/>
        <v>0.67500000000000004</v>
      </c>
      <c r="R10" s="126">
        <v>14.9</v>
      </c>
      <c r="S10" s="126">
        <v>81</v>
      </c>
      <c r="T10" s="138">
        <f t="shared" si="1"/>
        <v>39</v>
      </c>
      <c r="U10" s="126">
        <v>398</v>
      </c>
      <c r="V10" s="138">
        <f t="shared" si="2"/>
        <v>1940.25</v>
      </c>
      <c r="W10" s="126">
        <v>2</v>
      </c>
      <c r="X10" s="126" t="s">
        <v>63</v>
      </c>
      <c r="Y10" s="126" t="s">
        <v>46</v>
      </c>
      <c r="Z10" s="126" t="s">
        <v>54</v>
      </c>
      <c r="AA10" s="126" t="s">
        <v>160</v>
      </c>
      <c r="AB10" s="126" t="s">
        <v>48</v>
      </c>
      <c r="AE10" s="34" t="s">
        <v>106</v>
      </c>
      <c r="AG10" s="174" t="s">
        <v>270</v>
      </c>
      <c r="AH10" s="132" t="s">
        <v>271</v>
      </c>
      <c r="AL10" s="128"/>
      <c r="AP10" s="139" t="s">
        <v>109</v>
      </c>
      <c r="AR10" s="139" t="s">
        <v>110</v>
      </c>
      <c r="AV10" s="139" t="s">
        <v>111</v>
      </c>
    </row>
    <row r="11" spans="1:53" s="126" customFormat="1" ht="13.5" customHeight="1">
      <c r="A11" s="126" t="s">
        <v>35</v>
      </c>
      <c r="B11" s="126" t="s">
        <v>36</v>
      </c>
      <c r="C11" s="126">
        <v>2020</v>
      </c>
      <c r="D11" s="172" t="s">
        <v>162</v>
      </c>
      <c r="E11" s="126" t="s">
        <v>143</v>
      </c>
      <c r="F11" s="126" t="s">
        <v>257</v>
      </c>
      <c r="G11" s="126" t="s">
        <v>39</v>
      </c>
      <c r="H11" s="126" t="s">
        <v>40</v>
      </c>
      <c r="I11" s="126" t="s">
        <v>41</v>
      </c>
      <c r="J11" s="126" t="s">
        <v>42</v>
      </c>
      <c r="K11" s="126" t="s">
        <v>43</v>
      </c>
      <c r="L11" s="126">
        <v>1</v>
      </c>
      <c r="N11" s="126">
        <v>1</v>
      </c>
      <c r="O11" s="126">
        <v>0.5</v>
      </c>
      <c r="P11" s="126">
        <v>0.55000000000000004</v>
      </c>
      <c r="Q11" s="152">
        <f t="shared" si="0"/>
        <v>0.52500000000000002</v>
      </c>
      <c r="R11" s="126">
        <v>15.6</v>
      </c>
      <c r="S11" s="126">
        <v>120.5</v>
      </c>
      <c r="T11" s="138">
        <f t="shared" si="1"/>
        <v>30</v>
      </c>
      <c r="U11" s="126">
        <v>98</v>
      </c>
      <c r="V11" s="138">
        <f t="shared" si="2"/>
        <v>2940</v>
      </c>
      <c r="W11" s="126">
        <v>3</v>
      </c>
      <c r="X11" s="126" t="s">
        <v>63</v>
      </c>
      <c r="Y11" s="126" t="s">
        <v>46</v>
      </c>
      <c r="Z11" s="126" t="s">
        <v>54</v>
      </c>
      <c r="AA11" s="126" t="s">
        <v>160</v>
      </c>
      <c r="AB11" s="126" t="s">
        <v>48</v>
      </c>
      <c r="AE11" s="34" t="s">
        <v>272</v>
      </c>
      <c r="AG11" s="174" t="s">
        <v>273</v>
      </c>
      <c r="AH11" s="132" t="s">
        <v>274</v>
      </c>
      <c r="AL11" s="128"/>
      <c r="AP11" s="139" t="s">
        <v>216</v>
      </c>
      <c r="AR11" s="139" t="s">
        <v>128</v>
      </c>
      <c r="AV11" s="139" t="s">
        <v>160</v>
      </c>
    </row>
    <row r="12" spans="1:53" s="126" customFormat="1" ht="13.5" customHeight="1">
      <c r="A12" s="126" t="s">
        <v>35</v>
      </c>
      <c r="B12" s="126" t="s">
        <v>36</v>
      </c>
      <c r="C12" s="126">
        <v>2020</v>
      </c>
      <c r="D12" s="172" t="s">
        <v>162</v>
      </c>
      <c r="E12" s="126" t="s">
        <v>143</v>
      </c>
      <c r="F12" s="126" t="s">
        <v>257</v>
      </c>
      <c r="G12" s="126" t="s">
        <v>39</v>
      </c>
      <c r="H12" s="126" t="s">
        <v>40</v>
      </c>
      <c r="I12" s="126" t="s">
        <v>41</v>
      </c>
      <c r="J12" s="126" t="s">
        <v>42</v>
      </c>
      <c r="K12" s="126" t="s">
        <v>43</v>
      </c>
      <c r="L12" s="126">
        <v>2</v>
      </c>
      <c r="N12" s="126">
        <v>1</v>
      </c>
      <c r="O12" s="126">
        <v>0.55000000000000004</v>
      </c>
      <c r="P12" s="126">
        <v>0.55000000000000004</v>
      </c>
      <c r="Q12" s="152">
        <f t="shared" si="0"/>
        <v>0.55000000000000004</v>
      </c>
      <c r="R12" s="126">
        <v>15.7</v>
      </c>
      <c r="S12" s="126">
        <v>119.5</v>
      </c>
      <c r="T12" s="138">
        <f t="shared" si="1"/>
        <v>30</v>
      </c>
      <c r="U12" s="126">
        <v>98</v>
      </c>
      <c r="V12" s="138">
        <f t="shared" si="2"/>
        <v>2940</v>
      </c>
      <c r="W12" s="126">
        <v>3</v>
      </c>
      <c r="X12" s="126" t="s">
        <v>63</v>
      </c>
      <c r="Y12" s="126" t="s">
        <v>46</v>
      </c>
      <c r="Z12" s="126" t="s">
        <v>54</v>
      </c>
      <c r="AA12" s="126" t="s">
        <v>160</v>
      </c>
      <c r="AB12" s="126" t="s">
        <v>48</v>
      </c>
      <c r="AE12" s="34" t="s">
        <v>275</v>
      </c>
      <c r="AG12" s="144"/>
      <c r="AH12" s="139"/>
      <c r="AL12" s="128"/>
      <c r="AP12" s="139" t="s">
        <v>219</v>
      </c>
      <c r="AR12" s="139" t="s">
        <v>276</v>
      </c>
      <c r="AV12" s="139" t="s">
        <v>221</v>
      </c>
    </row>
    <row r="13" spans="1:53" s="126" customFormat="1" ht="13.5" customHeight="1">
      <c r="A13" s="126" t="s">
        <v>35</v>
      </c>
      <c r="B13" s="126" t="s">
        <v>36</v>
      </c>
      <c r="C13" s="126">
        <v>2020</v>
      </c>
      <c r="D13" s="172" t="s">
        <v>162</v>
      </c>
      <c r="E13" s="126" t="s">
        <v>143</v>
      </c>
      <c r="F13" s="126" t="s">
        <v>257</v>
      </c>
      <c r="G13" s="126" t="s">
        <v>39</v>
      </c>
      <c r="H13" s="126" t="s">
        <v>40</v>
      </c>
      <c r="I13" s="126" t="s">
        <v>41</v>
      </c>
      <c r="J13" s="126" t="s">
        <v>42</v>
      </c>
      <c r="K13" s="126" t="s">
        <v>43</v>
      </c>
      <c r="L13" s="126">
        <v>3</v>
      </c>
      <c r="N13" s="126">
        <v>1</v>
      </c>
      <c r="O13" s="126">
        <v>0.5</v>
      </c>
      <c r="P13" s="126">
        <v>0.5</v>
      </c>
      <c r="Q13" s="152">
        <f t="shared" si="0"/>
        <v>0.5</v>
      </c>
      <c r="R13" s="126">
        <v>15.1</v>
      </c>
      <c r="S13" s="126">
        <v>120.5</v>
      </c>
      <c r="T13" s="138">
        <f t="shared" si="1"/>
        <v>30</v>
      </c>
      <c r="U13" s="126">
        <v>98</v>
      </c>
      <c r="V13" s="138">
        <f t="shared" si="2"/>
        <v>2940</v>
      </c>
      <c r="W13" s="126">
        <v>3</v>
      </c>
      <c r="X13" s="126" t="s">
        <v>63</v>
      </c>
      <c r="Y13" s="126" t="s">
        <v>46</v>
      </c>
      <c r="Z13" s="126" t="s">
        <v>54</v>
      </c>
      <c r="AA13" s="126" t="s">
        <v>160</v>
      </c>
      <c r="AB13" s="126" t="s">
        <v>48</v>
      </c>
      <c r="AE13" s="34" t="s">
        <v>277</v>
      </c>
      <c r="AH13" s="144"/>
      <c r="AP13" s="139" t="s">
        <v>223</v>
      </c>
      <c r="AR13" s="139" t="s">
        <v>106</v>
      </c>
      <c r="AV13" s="139" t="s">
        <v>224</v>
      </c>
    </row>
    <row r="14" spans="1:53" s="126" customFormat="1" ht="13.5" customHeight="1">
      <c r="A14" s="126" t="s">
        <v>35</v>
      </c>
      <c r="B14" s="126" t="s">
        <v>36</v>
      </c>
      <c r="C14" s="126">
        <v>2020</v>
      </c>
      <c r="D14" s="172" t="s">
        <v>162</v>
      </c>
      <c r="E14" s="126" t="s">
        <v>143</v>
      </c>
      <c r="F14" s="126" t="s">
        <v>257</v>
      </c>
      <c r="G14" s="126" t="s">
        <v>39</v>
      </c>
      <c r="H14" s="126" t="s">
        <v>40</v>
      </c>
      <c r="I14" s="126" t="s">
        <v>41</v>
      </c>
      <c r="J14" s="126" t="s">
        <v>42</v>
      </c>
      <c r="K14" s="126" t="s">
        <v>43</v>
      </c>
      <c r="L14" s="126">
        <v>1</v>
      </c>
      <c r="N14" s="126">
        <v>5</v>
      </c>
      <c r="O14" s="126">
        <v>0.45</v>
      </c>
      <c r="P14" s="126">
        <v>0.5</v>
      </c>
      <c r="Q14" s="152">
        <f t="shared" si="0"/>
        <v>0.47499999999999998</v>
      </c>
      <c r="R14" s="126">
        <v>15.2</v>
      </c>
      <c r="S14" s="126">
        <v>78</v>
      </c>
      <c r="T14" s="138">
        <f t="shared" si="1"/>
        <v>39</v>
      </c>
      <c r="U14" s="126">
        <v>298</v>
      </c>
      <c r="V14" s="138">
        <f t="shared" si="2"/>
        <v>2324.4</v>
      </c>
      <c r="W14" s="126">
        <v>3</v>
      </c>
      <c r="X14" s="126" t="s">
        <v>63</v>
      </c>
      <c r="Y14" s="126" t="s">
        <v>46</v>
      </c>
      <c r="Z14" s="126" t="s">
        <v>54</v>
      </c>
      <c r="AA14" s="126" t="s">
        <v>160</v>
      </c>
      <c r="AB14" s="126" t="s">
        <v>48</v>
      </c>
      <c r="AE14" s="34" t="s">
        <v>112</v>
      </c>
      <c r="AG14" s="175"/>
      <c r="AP14" s="139" t="s">
        <v>113</v>
      </c>
      <c r="AR14" s="139" t="s">
        <v>114</v>
      </c>
      <c r="AV14" s="139" t="s">
        <v>115</v>
      </c>
    </row>
    <row r="15" spans="1:53" s="126" customFormat="1" ht="13.5" customHeight="1">
      <c r="A15" s="126" t="s">
        <v>35</v>
      </c>
      <c r="B15" s="126" t="s">
        <v>36</v>
      </c>
      <c r="C15" s="126">
        <v>2020</v>
      </c>
      <c r="D15" s="172" t="s">
        <v>162</v>
      </c>
      <c r="E15" s="126" t="s">
        <v>143</v>
      </c>
      <c r="F15" s="126" t="s">
        <v>257</v>
      </c>
      <c r="G15" s="126" t="s">
        <v>39</v>
      </c>
      <c r="H15" s="126" t="s">
        <v>40</v>
      </c>
      <c r="I15" s="126" t="s">
        <v>41</v>
      </c>
      <c r="J15" s="126" t="s">
        <v>42</v>
      </c>
      <c r="K15" s="126" t="s">
        <v>43</v>
      </c>
      <c r="L15" s="126">
        <v>2</v>
      </c>
      <c r="N15" s="126">
        <v>5</v>
      </c>
      <c r="O15" s="126">
        <v>0.45</v>
      </c>
      <c r="P15" s="126">
        <v>0.5</v>
      </c>
      <c r="Q15" s="152">
        <f t="shared" si="0"/>
        <v>0.47499999999999998</v>
      </c>
      <c r="R15" s="126">
        <v>15.1</v>
      </c>
      <c r="S15" s="126">
        <v>80.5</v>
      </c>
      <c r="T15" s="138">
        <f t="shared" si="1"/>
        <v>39</v>
      </c>
      <c r="U15" s="126">
        <v>298</v>
      </c>
      <c r="V15" s="138">
        <f t="shared" si="2"/>
        <v>2324.4</v>
      </c>
      <c r="W15" s="126">
        <v>3</v>
      </c>
      <c r="X15" s="126" t="s">
        <v>63</v>
      </c>
      <c r="Y15" s="126" t="s">
        <v>46</v>
      </c>
      <c r="Z15" s="126" t="s">
        <v>54</v>
      </c>
      <c r="AA15" s="126" t="s">
        <v>160</v>
      </c>
      <c r="AB15" s="126" t="s">
        <v>48</v>
      </c>
      <c r="AE15" s="34" t="s">
        <v>116</v>
      </c>
      <c r="AP15" s="139" t="s">
        <v>117</v>
      </c>
      <c r="AR15" s="139" t="s">
        <v>118</v>
      </c>
      <c r="AV15" s="139" t="s">
        <v>119</v>
      </c>
    </row>
    <row r="16" spans="1:53" s="126" customFormat="1" ht="13.5" customHeight="1">
      <c r="A16" s="126" t="s">
        <v>35</v>
      </c>
      <c r="B16" s="126" t="s">
        <v>36</v>
      </c>
      <c r="C16" s="126">
        <v>2020</v>
      </c>
      <c r="D16" s="172" t="s">
        <v>162</v>
      </c>
      <c r="E16" s="126" t="s">
        <v>143</v>
      </c>
      <c r="F16" s="126" t="s">
        <v>257</v>
      </c>
      <c r="G16" s="126" t="s">
        <v>39</v>
      </c>
      <c r="H16" s="126" t="s">
        <v>40</v>
      </c>
      <c r="I16" s="126" t="s">
        <v>41</v>
      </c>
      <c r="J16" s="126" t="s">
        <v>42</v>
      </c>
      <c r="K16" s="126" t="s">
        <v>43</v>
      </c>
      <c r="L16" s="126">
        <v>3</v>
      </c>
      <c r="N16" s="126">
        <v>5</v>
      </c>
      <c r="O16" s="126">
        <v>0.45</v>
      </c>
      <c r="P16" s="126">
        <v>0.5</v>
      </c>
      <c r="Q16" s="152">
        <f t="shared" si="0"/>
        <v>0.47499999999999998</v>
      </c>
      <c r="R16" s="126">
        <v>14.9</v>
      </c>
      <c r="S16" s="126">
        <v>75</v>
      </c>
      <c r="T16" s="138">
        <f t="shared" si="1"/>
        <v>42</v>
      </c>
      <c r="U16" s="126">
        <v>298</v>
      </c>
      <c r="V16" s="138">
        <f t="shared" si="2"/>
        <v>2503.2000000000003</v>
      </c>
      <c r="W16" s="126">
        <v>3</v>
      </c>
      <c r="X16" s="126" t="s">
        <v>63</v>
      </c>
      <c r="Y16" s="126" t="s">
        <v>46</v>
      </c>
      <c r="Z16" s="126" t="s">
        <v>54</v>
      </c>
      <c r="AA16" s="126" t="s">
        <v>160</v>
      </c>
      <c r="AB16" s="126" t="s">
        <v>48</v>
      </c>
      <c r="AE16" s="34" t="s">
        <v>120</v>
      </c>
      <c r="AP16" s="139" t="s">
        <v>121</v>
      </c>
      <c r="AR16" s="139" t="s">
        <v>122</v>
      </c>
      <c r="AV16" s="139" t="s">
        <v>46</v>
      </c>
    </row>
    <row r="17" spans="1:48" s="126" customFormat="1" ht="13.5" customHeight="1">
      <c r="A17" s="126" t="s">
        <v>35</v>
      </c>
      <c r="B17" s="126" t="s">
        <v>36</v>
      </c>
      <c r="C17" s="126">
        <v>2020</v>
      </c>
      <c r="D17" s="172" t="s">
        <v>162</v>
      </c>
      <c r="E17" s="126" t="s">
        <v>143</v>
      </c>
      <c r="F17" s="126" t="s">
        <v>257</v>
      </c>
      <c r="G17" s="126" t="s">
        <v>39</v>
      </c>
      <c r="H17" s="126" t="s">
        <v>59</v>
      </c>
      <c r="I17" s="126" t="s">
        <v>41</v>
      </c>
      <c r="J17" s="126" t="s">
        <v>121</v>
      </c>
      <c r="K17" s="126" t="s">
        <v>122</v>
      </c>
      <c r="L17" s="126">
        <v>1</v>
      </c>
      <c r="N17" s="126">
        <v>6</v>
      </c>
      <c r="O17" s="126">
        <v>0.5</v>
      </c>
      <c r="P17" s="126">
        <v>0.45</v>
      </c>
      <c r="Q17" s="152">
        <f t="shared" si="0"/>
        <v>0.47499999999999998</v>
      </c>
      <c r="R17" s="126">
        <v>16.600000000000001</v>
      </c>
      <c r="S17" s="126">
        <v>67</v>
      </c>
      <c r="T17" s="138">
        <f t="shared" si="1"/>
        <v>50</v>
      </c>
      <c r="U17" s="126">
        <v>398</v>
      </c>
      <c r="V17" s="138">
        <f t="shared" si="2"/>
        <v>3316.6666666666665</v>
      </c>
      <c r="W17" s="126">
        <v>3</v>
      </c>
      <c r="X17" s="126" t="s">
        <v>63</v>
      </c>
      <c r="Y17" s="126" t="s">
        <v>46</v>
      </c>
      <c r="Z17" s="126" t="s">
        <v>54</v>
      </c>
      <c r="AA17" s="126" t="s">
        <v>160</v>
      </c>
      <c r="AB17" s="126" t="s">
        <v>48</v>
      </c>
      <c r="AE17" s="34" t="s">
        <v>124</v>
      </c>
      <c r="AP17" s="143" t="s">
        <v>125</v>
      </c>
      <c r="AR17" s="139" t="s">
        <v>126</v>
      </c>
      <c r="AV17" s="139" t="s">
        <v>127</v>
      </c>
    </row>
    <row r="18" spans="1:48" s="126" customFormat="1" ht="13.5" customHeight="1">
      <c r="A18" s="126" t="s">
        <v>35</v>
      </c>
      <c r="B18" s="126" t="s">
        <v>36</v>
      </c>
      <c r="C18" s="126">
        <v>2020</v>
      </c>
      <c r="D18" s="172" t="s">
        <v>162</v>
      </c>
      <c r="E18" s="126" t="s">
        <v>143</v>
      </c>
      <c r="F18" s="126" t="s">
        <v>257</v>
      </c>
      <c r="G18" s="126" t="s">
        <v>39</v>
      </c>
      <c r="H18" s="126" t="s">
        <v>59</v>
      </c>
      <c r="I18" s="126" t="s">
        <v>41</v>
      </c>
      <c r="J18" s="126" t="s">
        <v>121</v>
      </c>
      <c r="K18" s="126" t="s">
        <v>122</v>
      </c>
      <c r="L18" s="126">
        <v>2</v>
      </c>
      <c r="N18" s="126">
        <v>6</v>
      </c>
      <c r="O18" s="126">
        <v>0.2</v>
      </c>
      <c r="P18" s="126">
        <v>0.2</v>
      </c>
      <c r="Q18" s="152">
        <f t="shared" si="0"/>
        <v>0.2</v>
      </c>
      <c r="R18" s="126">
        <v>16.3</v>
      </c>
      <c r="S18" s="126">
        <v>68.5</v>
      </c>
      <c r="T18" s="138">
        <f t="shared" si="1"/>
        <v>50</v>
      </c>
      <c r="U18" s="126">
        <v>398</v>
      </c>
      <c r="V18" s="138">
        <f t="shared" si="2"/>
        <v>3316.6666666666665</v>
      </c>
      <c r="W18" s="126">
        <v>3</v>
      </c>
      <c r="X18" s="126" t="s">
        <v>63</v>
      </c>
      <c r="Y18" s="126" t="s">
        <v>46</v>
      </c>
      <c r="Z18" s="126" t="s">
        <v>54</v>
      </c>
      <c r="AA18" s="126" t="s">
        <v>160</v>
      </c>
      <c r="AB18" s="126" t="s">
        <v>48</v>
      </c>
      <c r="AE18" s="34" t="s">
        <v>128</v>
      </c>
      <c r="AP18" s="143" t="s">
        <v>129</v>
      </c>
      <c r="AR18" s="139" t="s">
        <v>130</v>
      </c>
      <c r="AV18" s="139" t="s">
        <v>131</v>
      </c>
    </row>
    <row r="19" spans="1:48" s="126" customFormat="1" ht="13.5" customHeight="1">
      <c r="A19" s="126" t="s">
        <v>35</v>
      </c>
      <c r="B19" s="126" t="s">
        <v>36</v>
      </c>
      <c r="C19" s="126">
        <v>2020</v>
      </c>
      <c r="D19" s="172" t="s">
        <v>162</v>
      </c>
      <c r="E19" s="126" t="s">
        <v>143</v>
      </c>
      <c r="F19" s="126" t="s">
        <v>257</v>
      </c>
      <c r="G19" s="126" t="s">
        <v>39</v>
      </c>
      <c r="H19" s="126" t="s">
        <v>59</v>
      </c>
      <c r="I19" s="126" t="s">
        <v>41</v>
      </c>
      <c r="J19" s="126" t="s">
        <v>121</v>
      </c>
      <c r="K19" s="126" t="s">
        <v>122</v>
      </c>
      <c r="L19" s="126">
        <v>3</v>
      </c>
      <c r="N19" s="126">
        <v>6</v>
      </c>
      <c r="O19" s="126">
        <v>0.2</v>
      </c>
      <c r="P19" s="126">
        <v>0.2</v>
      </c>
      <c r="Q19" s="152">
        <f t="shared" si="0"/>
        <v>0.2</v>
      </c>
      <c r="R19" s="126">
        <v>17</v>
      </c>
      <c r="S19" s="126">
        <v>69.5</v>
      </c>
      <c r="T19" s="138">
        <f t="shared" si="1"/>
        <v>50</v>
      </c>
      <c r="U19" s="126">
        <v>398</v>
      </c>
      <c r="V19" s="138">
        <f t="shared" si="2"/>
        <v>3316.6666666666665</v>
      </c>
      <c r="W19" s="126">
        <v>3</v>
      </c>
      <c r="X19" s="126" t="s">
        <v>63</v>
      </c>
      <c r="Y19" s="126" t="s">
        <v>46</v>
      </c>
      <c r="Z19" s="126" t="s">
        <v>54</v>
      </c>
      <c r="AA19" s="126" t="s">
        <v>160</v>
      </c>
      <c r="AB19" s="126" t="s">
        <v>48</v>
      </c>
      <c r="AE19" s="35" t="s">
        <v>104</v>
      </c>
      <c r="AP19" s="143" t="s">
        <v>132</v>
      </c>
      <c r="AR19" s="139" t="s">
        <v>133</v>
      </c>
      <c r="AV19" s="139" t="s">
        <v>45</v>
      </c>
    </row>
    <row r="20" spans="1:48" s="126" customFormat="1" ht="13.5" customHeight="1">
      <c r="A20" s="126" t="s">
        <v>35</v>
      </c>
      <c r="B20" s="126" t="s">
        <v>36</v>
      </c>
      <c r="C20" s="126">
        <v>2020</v>
      </c>
      <c r="D20" s="172" t="s">
        <v>162</v>
      </c>
      <c r="E20" s="126" t="s">
        <v>278</v>
      </c>
      <c r="F20" s="126" t="s">
        <v>261</v>
      </c>
      <c r="G20" s="126" t="s">
        <v>58</v>
      </c>
      <c r="H20" s="126" t="s">
        <v>156</v>
      </c>
      <c r="I20" s="126" t="s">
        <v>41</v>
      </c>
      <c r="J20" s="126" t="s">
        <v>42</v>
      </c>
      <c r="K20" s="126" t="s">
        <v>78</v>
      </c>
      <c r="L20" s="126">
        <v>1</v>
      </c>
      <c r="N20" s="126">
        <v>3</v>
      </c>
      <c r="O20" s="126">
        <v>0.5</v>
      </c>
      <c r="P20" s="126">
        <v>0.5</v>
      </c>
      <c r="Q20" s="152">
        <f>IF(OR(O20="",P20=""),"",AVERAGE(O20,P20))</f>
        <v>0.5</v>
      </c>
      <c r="R20" s="126">
        <v>15.2</v>
      </c>
      <c r="S20" s="126">
        <v>142</v>
      </c>
      <c r="T20" s="138">
        <f t="shared" si="1"/>
        <v>33</v>
      </c>
      <c r="U20" s="126">
        <v>398</v>
      </c>
      <c r="V20" s="138">
        <f t="shared" si="2"/>
        <v>4378</v>
      </c>
      <c r="W20" s="126">
        <v>2</v>
      </c>
      <c r="X20" s="126" t="s">
        <v>63</v>
      </c>
      <c r="Y20" s="126" t="s">
        <v>46</v>
      </c>
      <c r="Z20" s="126" t="s">
        <v>54</v>
      </c>
      <c r="AA20" s="126" t="s">
        <v>45</v>
      </c>
      <c r="AB20" s="126" t="s">
        <v>48</v>
      </c>
      <c r="AP20" s="143" t="s">
        <v>135</v>
      </c>
      <c r="AR20" s="139" t="s">
        <v>136</v>
      </c>
      <c r="AV20" s="143" t="s">
        <v>137</v>
      </c>
    </row>
    <row r="21" spans="1:48" s="126" customFormat="1" ht="13.5" customHeight="1">
      <c r="A21" s="126" t="s">
        <v>35</v>
      </c>
      <c r="B21" s="126" t="s">
        <v>36</v>
      </c>
      <c r="C21" s="126">
        <v>2020</v>
      </c>
      <c r="D21" s="172" t="s">
        <v>162</v>
      </c>
      <c r="E21" s="126" t="s">
        <v>278</v>
      </c>
      <c r="F21" s="126" t="s">
        <v>261</v>
      </c>
      <c r="G21" s="126" t="s">
        <v>58</v>
      </c>
      <c r="H21" s="126" t="s">
        <v>156</v>
      </c>
      <c r="I21" s="126" t="s">
        <v>41</v>
      </c>
      <c r="J21" s="126" t="s">
        <v>42</v>
      </c>
      <c r="K21" s="126" t="s">
        <v>78</v>
      </c>
      <c r="L21" s="126">
        <v>2</v>
      </c>
      <c r="N21" s="126">
        <v>3</v>
      </c>
      <c r="O21" s="126">
        <v>0.55000000000000004</v>
      </c>
      <c r="P21" s="126">
        <v>0.6</v>
      </c>
      <c r="Q21" s="152">
        <f>IF(OR(O21="",P21=""),"",AVERAGE(O21,P21))</f>
        <v>0.57499999999999996</v>
      </c>
      <c r="R21" s="126">
        <v>14.6</v>
      </c>
      <c r="S21" s="126">
        <v>140.5</v>
      </c>
      <c r="T21" s="138">
        <f t="shared" si="1"/>
        <v>33</v>
      </c>
      <c r="U21" s="126">
        <v>398</v>
      </c>
      <c r="V21" s="138">
        <f t="shared" si="2"/>
        <v>4378</v>
      </c>
      <c r="W21" s="126">
        <v>2</v>
      </c>
      <c r="X21" s="126" t="s">
        <v>63</v>
      </c>
      <c r="Y21" s="126" t="s">
        <v>46</v>
      </c>
      <c r="Z21" s="126" t="s">
        <v>54</v>
      </c>
      <c r="AA21" s="126" t="s">
        <v>45</v>
      </c>
      <c r="AB21" s="126" t="s">
        <v>48</v>
      </c>
      <c r="AP21" s="143" t="s">
        <v>138</v>
      </c>
      <c r="AR21" s="139" t="s">
        <v>139</v>
      </c>
      <c r="AV21" s="143" t="s">
        <v>140</v>
      </c>
    </row>
    <row r="22" spans="1:48" s="126" customFormat="1" ht="13.5" customHeight="1">
      <c r="A22" s="126" t="s">
        <v>35</v>
      </c>
      <c r="B22" s="126" t="s">
        <v>36</v>
      </c>
      <c r="C22" s="126">
        <v>2020</v>
      </c>
      <c r="D22" s="172" t="s">
        <v>162</v>
      </c>
      <c r="E22" s="126" t="s">
        <v>278</v>
      </c>
      <c r="F22" s="126" t="s">
        <v>261</v>
      </c>
      <c r="G22" s="126" t="s">
        <v>58</v>
      </c>
      <c r="H22" s="126" t="s">
        <v>156</v>
      </c>
      <c r="I22" s="126" t="s">
        <v>41</v>
      </c>
      <c r="J22" s="126" t="s">
        <v>42</v>
      </c>
      <c r="K22" s="126" t="s">
        <v>78</v>
      </c>
      <c r="L22" s="126">
        <v>3</v>
      </c>
      <c r="N22" s="126">
        <v>3</v>
      </c>
      <c r="O22" s="126">
        <v>0.6</v>
      </c>
      <c r="P22" s="126">
        <v>0.2</v>
      </c>
      <c r="Q22" s="152">
        <f>IF(OR(O22="",P22=""),"",AVERAGE(O22,P22))</f>
        <v>0.4</v>
      </c>
      <c r="R22" s="126">
        <v>14.3</v>
      </c>
      <c r="S22" s="126">
        <v>141</v>
      </c>
      <c r="T22" s="138">
        <f t="shared" si="1"/>
        <v>33</v>
      </c>
      <c r="U22" s="126">
        <v>398</v>
      </c>
      <c r="V22" s="138">
        <f t="shared" si="2"/>
        <v>4378</v>
      </c>
      <c r="W22" s="126">
        <v>2</v>
      </c>
      <c r="X22" s="126" t="s">
        <v>63</v>
      </c>
      <c r="Y22" s="126" t="s">
        <v>46</v>
      </c>
      <c r="Z22" s="126" t="s">
        <v>54</v>
      </c>
      <c r="AA22" s="126" t="s">
        <v>45</v>
      </c>
      <c r="AB22" s="126" t="s">
        <v>48</v>
      </c>
      <c r="AP22" s="143" t="s">
        <v>141</v>
      </c>
      <c r="AR22" s="139" t="s">
        <v>142</v>
      </c>
      <c r="AV22" s="143"/>
    </row>
    <row r="23" spans="1:48" s="126" customFormat="1" ht="13.5" customHeight="1">
      <c r="A23" s="126" t="s">
        <v>35</v>
      </c>
      <c r="B23" s="126" t="s">
        <v>36</v>
      </c>
      <c r="C23" s="126">
        <v>2020</v>
      </c>
      <c r="D23" s="172" t="s">
        <v>162</v>
      </c>
      <c r="E23" s="126" t="s">
        <v>278</v>
      </c>
      <c r="F23" s="126" t="s">
        <v>261</v>
      </c>
      <c r="G23" s="126" t="s">
        <v>58</v>
      </c>
      <c r="H23" s="126" t="s">
        <v>59</v>
      </c>
      <c r="I23" s="126" t="s">
        <v>41</v>
      </c>
      <c r="J23" s="126" t="s">
        <v>121</v>
      </c>
      <c r="K23" s="126" t="s">
        <v>122</v>
      </c>
      <c r="L23" s="126">
        <v>1</v>
      </c>
      <c r="N23" s="126">
        <v>5</v>
      </c>
      <c r="O23" s="126">
        <v>0.2</v>
      </c>
      <c r="P23" s="126">
        <v>0.2</v>
      </c>
      <c r="Q23" s="152">
        <f t="shared" si="0"/>
        <v>0.2</v>
      </c>
      <c r="R23" s="126">
        <v>15.8</v>
      </c>
      <c r="S23" s="126">
        <v>68</v>
      </c>
      <c r="T23" s="138">
        <f t="shared" si="1"/>
        <v>50</v>
      </c>
      <c r="U23" s="126">
        <v>398</v>
      </c>
      <c r="V23" s="138">
        <f t="shared" si="2"/>
        <v>3979.9999999999995</v>
      </c>
      <c r="W23" s="126">
        <v>2</v>
      </c>
      <c r="X23" s="126" t="s">
        <v>63</v>
      </c>
      <c r="Y23" s="126" t="s">
        <v>46</v>
      </c>
      <c r="Z23" s="126" t="s">
        <v>54</v>
      </c>
      <c r="AA23" s="126" t="s">
        <v>45</v>
      </c>
      <c r="AB23" s="126" t="s">
        <v>48</v>
      </c>
      <c r="AP23" s="143" t="s">
        <v>145</v>
      </c>
      <c r="AR23" s="139" t="s">
        <v>123</v>
      </c>
    </row>
    <row r="24" spans="1:48" s="126" customFormat="1" ht="13.5" customHeight="1">
      <c r="A24" s="126" t="s">
        <v>35</v>
      </c>
      <c r="B24" s="126" t="s">
        <v>36</v>
      </c>
      <c r="C24" s="126">
        <v>2020</v>
      </c>
      <c r="D24" s="172" t="s">
        <v>162</v>
      </c>
      <c r="E24" s="126" t="s">
        <v>278</v>
      </c>
      <c r="F24" s="126" t="s">
        <v>261</v>
      </c>
      <c r="G24" s="126" t="s">
        <v>58</v>
      </c>
      <c r="H24" s="126" t="s">
        <v>59</v>
      </c>
      <c r="I24" s="126" t="s">
        <v>41</v>
      </c>
      <c r="J24" s="126" t="s">
        <v>121</v>
      </c>
      <c r="K24" s="126" t="s">
        <v>122</v>
      </c>
      <c r="L24" s="126">
        <v>2</v>
      </c>
      <c r="N24" s="126">
        <v>5</v>
      </c>
      <c r="O24" s="126">
        <v>0.2</v>
      </c>
      <c r="P24" s="126">
        <v>0.2</v>
      </c>
      <c r="Q24" s="152">
        <f t="shared" si="0"/>
        <v>0.2</v>
      </c>
      <c r="R24" s="126">
        <v>16.2</v>
      </c>
      <c r="S24" s="126">
        <v>73</v>
      </c>
      <c r="T24" s="138">
        <f t="shared" si="1"/>
        <v>42</v>
      </c>
      <c r="U24" s="126">
        <v>398</v>
      </c>
      <c r="V24" s="138">
        <f t="shared" si="2"/>
        <v>3343.2</v>
      </c>
      <c r="W24" s="126">
        <v>2</v>
      </c>
      <c r="X24" s="126" t="s">
        <v>63</v>
      </c>
      <c r="Y24" s="126" t="s">
        <v>46</v>
      </c>
      <c r="Z24" s="126" t="s">
        <v>54</v>
      </c>
      <c r="AA24" s="126" t="s">
        <v>45</v>
      </c>
      <c r="AB24" s="126" t="s">
        <v>48</v>
      </c>
      <c r="AP24" s="143" t="s">
        <v>146</v>
      </c>
      <c r="AR24" s="139" t="s">
        <v>147</v>
      </c>
    </row>
    <row r="25" spans="1:48" s="126" customFormat="1" ht="13.5" customHeight="1">
      <c r="A25" s="126" t="s">
        <v>35</v>
      </c>
      <c r="B25" s="126" t="s">
        <v>36</v>
      </c>
      <c r="C25" s="126">
        <v>2020</v>
      </c>
      <c r="D25" s="172" t="s">
        <v>162</v>
      </c>
      <c r="E25" s="126" t="s">
        <v>278</v>
      </c>
      <c r="F25" s="126" t="s">
        <v>261</v>
      </c>
      <c r="G25" s="126" t="s">
        <v>58</v>
      </c>
      <c r="H25" s="126" t="s">
        <v>59</v>
      </c>
      <c r="I25" s="126" t="s">
        <v>41</v>
      </c>
      <c r="J25" s="126" t="s">
        <v>121</v>
      </c>
      <c r="K25" s="126" t="s">
        <v>122</v>
      </c>
      <c r="L25" s="126">
        <v>3</v>
      </c>
      <c r="N25" s="126">
        <v>5</v>
      </c>
      <c r="O25" s="126">
        <v>0.2</v>
      </c>
      <c r="P25" s="126">
        <v>0.2</v>
      </c>
      <c r="Q25" s="152">
        <f t="shared" si="0"/>
        <v>0.2</v>
      </c>
      <c r="R25" s="126">
        <v>15.8</v>
      </c>
      <c r="S25" s="126">
        <v>84.5</v>
      </c>
      <c r="T25" s="138">
        <f t="shared" si="1"/>
        <v>36</v>
      </c>
      <c r="U25" s="126">
        <v>398</v>
      </c>
      <c r="V25" s="138">
        <f t="shared" si="2"/>
        <v>2865.6</v>
      </c>
      <c r="W25" s="126">
        <v>2</v>
      </c>
      <c r="X25" s="126" t="s">
        <v>63</v>
      </c>
      <c r="Y25" s="126" t="s">
        <v>46</v>
      </c>
      <c r="Z25" s="126" t="s">
        <v>54</v>
      </c>
      <c r="AA25" s="126" t="s">
        <v>45</v>
      </c>
      <c r="AB25" s="126" t="s">
        <v>48</v>
      </c>
      <c r="AP25" s="143" t="s">
        <v>148</v>
      </c>
      <c r="AR25" s="139" t="s">
        <v>149</v>
      </c>
    </row>
    <row r="26" spans="1:48" s="126" customFormat="1" ht="13.5" customHeight="1">
      <c r="A26" s="126" t="s">
        <v>35</v>
      </c>
      <c r="B26" s="126" t="s">
        <v>36</v>
      </c>
      <c r="C26" s="126">
        <v>2020</v>
      </c>
      <c r="D26" s="172" t="s">
        <v>162</v>
      </c>
      <c r="E26" s="126" t="s">
        <v>279</v>
      </c>
      <c r="F26" s="126" t="s">
        <v>263</v>
      </c>
      <c r="G26" s="126" t="s">
        <v>39</v>
      </c>
      <c r="H26" s="126" t="s">
        <v>40</v>
      </c>
      <c r="I26" s="126" t="s">
        <v>41</v>
      </c>
      <c r="J26" s="126" t="s">
        <v>42</v>
      </c>
      <c r="K26" s="126" t="s">
        <v>43</v>
      </c>
      <c r="L26" s="126">
        <v>1</v>
      </c>
      <c r="N26" s="126">
        <v>4</v>
      </c>
      <c r="O26" s="126">
        <v>0.2</v>
      </c>
      <c r="P26" s="126">
        <v>0.5</v>
      </c>
      <c r="Q26" s="152">
        <f t="shared" si="0"/>
        <v>0.35</v>
      </c>
      <c r="R26" s="126">
        <v>15.2</v>
      </c>
      <c r="S26" s="126">
        <v>84</v>
      </c>
      <c r="T26" s="138">
        <f t="shared" si="1"/>
        <v>36</v>
      </c>
      <c r="U26" s="126">
        <v>398</v>
      </c>
      <c r="V26" s="138">
        <f t="shared" si="2"/>
        <v>3582</v>
      </c>
      <c r="W26" s="126">
        <v>3</v>
      </c>
      <c r="X26" s="126" t="s">
        <v>63</v>
      </c>
      <c r="Y26" s="126" t="s">
        <v>46</v>
      </c>
      <c r="Z26" s="126" t="s">
        <v>54</v>
      </c>
      <c r="AA26" s="126" t="s">
        <v>160</v>
      </c>
      <c r="AB26" s="126" t="s">
        <v>48</v>
      </c>
      <c r="AP26" s="143" t="s">
        <v>150</v>
      </c>
      <c r="AR26" s="144" t="s">
        <v>134</v>
      </c>
    </row>
    <row r="27" spans="1:48" s="126" customFormat="1" ht="13.5" customHeight="1">
      <c r="A27" s="126" t="s">
        <v>35</v>
      </c>
      <c r="B27" s="126" t="s">
        <v>36</v>
      </c>
      <c r="C27" s="126">
        <v>2020</v>
      </c>
      <c r="D27" s="172" t="s">
        <v>162</v>
      </c>
      <c r="E27" s="126" t="s">
        <v>279</v>
      </c>
      <c r="F27" s="126" t="s">
        <v>263</v>
      </c>
      <c r="G27" s="126" t="s">
        <v>39</v>
      </c>
      <c r="H27" s="126" t="s">
        <v>40</v>
      </c>
      <c r="I27" s="126" t="s">
        <v>41</v>
      </c>
      <c r="J27" s="126" t="s">
        <v>42</v>
      </c>
      <c r="K27" s="126" t="s">
        <v>43</v>
      </c>
      <c r="L27" s="126">
        <v>2</v>
      </c>
      <c r="N27" s="126">
        <v>4</v>
      </c>
      <c r="O27" s="126">
        <v>0.65</v>
      </c>
      <c r="P27" s="126">
        <v>0.55000000000000004</v>
      </c>
      <c r="Q27" s="152">
        <f t="shared" si="0"/>
        <v>0.60000000000000009</v>
      </c>
      <c r="R27" s="126">
        <v>14.9</v>
      </c>
      <c r="S27" s="126">
        <v>90.5</v>
      </c>
      <c r="T27" s="138">
        <f t="shared" si="1"/>
        <v>36</v>
      </c>
      <c r="U27" s="126">
        <v>398</v>
      </c>
      <c r="V27" s="138">
        <f t="shared" si="2"/>
        <v>3582</v>
      </c>
      <c r="W27" s="126">
        <v>3</v>
      </c>
      <c r="X27" s="126" t="s">
        <v>63</v>
      </c>
      <c r="Y27" s="126" t="s">
        <v>46</v>
      </c>
      <c r="Z27" s="126" t="s">
        <v>54</v>
      </c>
      <c r="AA27" s="126" t="s">
        <v>160</v>
      </c>
      <c r="AB27" s="126" t="s">
        <v>48</v>
      </c>
      <c r="AP27" s="176" t="s">
        <v>280</v>
      </c>
    </row>
    <row r="28" spans="1:48" s="126" customFormat="1" ht="13.5" customHeight="1">
      <c r="A28" s="126" t="s">
        <v>35</v>
      </c>
      <c r="B28" s="126" t="s">
        <v>36</v>
      </c>
      <c r="C28" s="126">
        <v>2020</v>
      </c>
      <c r="D28" s="172" t="s">
        <v>162</v>
      </c>
      <c r="E28" s="126" t="s">
        <v>279</v>
      </c>
      <c r="F28" s="126" t="s">
        <v>263</v>
      </c>
      <c r="G28" s="126" t="s">
        <v>39</v>
      </c>
      <c r="H28" s="126" t="s">
        <v>40</v>
      </c>
      <c r="I28" s="126" t="s">
        <v>41</v>
      </c>
      <c r="J28" s="126" t="s">
        <v>42</v>
      </c>
      <c r="K28" s="126" t="s">
        <v>43</v>
      </c>
      <c r="L28" s="126">
        <v>3</v>
      </c>
      <c r="N28" s="126">
        <v>4</v>
      </c>
      <c r="O28" s="126">
        <v>0.7</v>
      </c>
      <c r="P28" s="126">
        <v>0.5</v>
      </c>
      <c r="Q28" s="152">
        <f t="shared" si="0"/>
        <v>0.6</v>
      </c>
      <c r="R28" s="126">
        <v>15</v>
      </c>
      <c r="S28" s="126">
        <v>93</v>
      </c>
      <c r="T28" s="138">
        <f t="shared" si="1"/>
        <v>36</v>
      </c>
      <c r="U28" s="126">
        <v>398</v>
      </c>
      <c r="V28" s="138">
        <f t="shared" si="2"/>
        <v>3582</v>
      </c>
      <c r="W28" s="126">
        <v>3</v>
      </c>
      <c r="X28" s="126" t="s">
        <v>63</v>
      </c>
      <c r="Y28" s="126" t="s">
        <v>46</v>
      </c>
      <c r="Z28" s="126" t="s">
        <v>54</v>
      </c>
      <c r="AA28" s="126" t="s">
        <v>160</v>
      </c>
      <c r="AB28" s="126" t="s">
        <v>48</v>
      </c>
    </row>
    <row r="29" spans="1:48" s="126" customFormat="1" ht="13.5" customHeight="1">
      <c r="A29" s="126" t="s">
        <v>35</v>
      </c>
      <c r="B29" s="126" t="s">
        <v>36</v>
      </c>
      <c r="C29" s="126">
        <v>2020</v>
      </c>
      <c r="D29" s="172" t="s">
        <v>162</v>
      </c>
      <c r="E29" s="126" t="s">
        <v>279</v>
      </c>
      <c r="F29" s="126" t="s">
        <v>263</v>
      </c>
      <c r="G29" s="126" t="s">
        <v>39</v>
      </c>
      <c r="H29" s="126" t="s">
        <v>40</v>
      </c>
      <c r="I29" s="126" t="s">
        <v>41</v>
      </c>
      <c r="J29" s="126" t="s">
        <v>42</v>
      </c>
      <c r="K29" s="126" t="s">
        <v>43</v>
      </c>
      <c r="L29" s="126">
        <v>1</v>
      </c>
      <c r="N29" s="126">
        <v>8</v>
      </c>
      <c r="O29" s="126">
        <v>0.7</v>
      </c>
      <c r="P29" s="126">
        <v>0.45</v>
      </c>
      <c r="Q29" s="152">
        <f t="shared" si="0"/>
        <v>0.57499999999999996</v>
      </c>
      <c r="R29" s="126">
        <v>16.100000000000001</v>
      </c>
      <c r="S29" s="126">
        <v>89.5</v>
      </c>
      <c r="T29" s="138">
        <f t="shared" si="1"/>
        <v>36</v>
      </c>
      <c r="U29" s="126">
        <v>698</v>
      </c>
      <c r="V29" s="138">
        <f t="shared" si="2"/>
        <v>3141</v>
      </c>
      <c r="W29" s="126">
        <v>3</v>
      </c>
      <c r="X29" s="126" t="s">
        <v>63</v>
      </c>
      <c r="Y29" s="126" t="s">
        <v>46</v>
      </c>
      <c r="Z29" s="126" t="s">
        <v>54</v>
      </c>
      <c r="AA29" s="126" t="s">
        <v>160</v>
      </c>
      <c r="AB29" s="126" t="s">
        <v>48</v>
      </c>
    </row>
    <row r="30" spans="1:48" s="126" customFormat="1" ht="13.5" customHeight="1">
      <c r="A30" s="126" t="s">
        <v>35</v>
      </c>
      <c r="B30" s="126" t="s">
        <v>36</v>
      </c>
      <c r="C30" s="126">
        <v>2020</v>
      </c>
      <c r="D30" s="172" t="s">
        <v>162</v>
      </c>
      <c r="E30" s="126" t="s">
        <v>279</v>
      </c>
      <c r="F30" s="126" t="s">
        <v>263</v>
      </c>
      <c r="G30" s="126" t="s">
        <v>39</v>
      </c>
      <c r="H30" s="126" t="s">
        <v>40</v>
      </c>
      <c r="I30" s="126" t="s">
        <v>41</v>
      </c>
      <c r="J30" s="126" t="s">
        <v>42</v>
      </c>
      <c r="K30" s="126" t="s">
        <v>43</v>
      </c>
      <c r="L30" s="126">
        <v>2</v>
      </c>
      <c r="N30" s="126">
        <v>8</v>
      </c>
      <c r="O30" s="126">
        <v>0.5</v>
      </c>
      <c r="P30" s="126">
        <v>0.2</v>
      </c>
      <c r="Q30" s="152">
        <f t="shared" si="0"/>
        <v>0.35</v>
      </c>
      <c r="R30" s="126">
        <v>16</v>
      </c>
      <c r="S30" s="126">
        <v>75</v>
      </c>
      <c r="T30" s="138">
        <f t="shared" si="1"/>
        <v>42</v>
      </c>
      <c r="U30" s="126">
        <v>698</v>
      </c>
      <c r="V30" s="138">
        <f t="shared" si="2"/>
        <v>3664.5</v>
      </c>
      <c r="W30" s="126">
        <v>3</v>
      </c>
      <c r="X30" s="126" t="s">
        <v>281</v>
      </c>
      <c r="Y30" s="126" t="s">
        <v>46</v>
      </c>
      <c r="Z30" s="126" t="s">
        <v>54</v>
      </c>
      <c r="AA30" s="126" t="s">
        <v>160</v>
      </c>
      <c r="AB30" s="126" t="s">
        <v>48</v>
      </c>
    </row>
    <row r="31" spans="1:48" s="126" customFormat="1" ht="13.5" customHeight="1">
      <c r="A31" s="126" t="s">
        <v>35</v>
      </c>
      <c r="B31" s="126" t="s">
        <v>36</v>
      </c>
      <c r="C31" s="126">
        <v>2020</v>
      </c>
      <c r="D31" s="172" t="s">
        <v>162</v>
      </c>
      <c r="E31" s="126" t="s">
        <v>279</v>
      </c>
      <c r="F31" s="126" t="s">
        <v>263</v>
      </c>
      <c r="G31" s="126" t="s">
        <v>39</v>
      </c>
      <c r="H31" s="126" t="s">
        <v>40</v>
      </c>
      <c r="I31" s="126" t="s">
        <v>41</v>
      </c>
      <c r="J31" s="126" t="s">
        <v>42</v>
      </c>
      <c r="K31" s="126" t="s">
        <v>43</v>
      </c>
      <c r="L31" s="126">
        <v>3</v>
      </c>
      <c r="N31" s="126">
        <v>8</v>
      </c>
      <c r="O31" s="126">
        <v>0.6</v>
      </c>
      <c r="P31" s="126">
        <v>0.6</v>
      </c>
      <c r="Q31" s="152">
        <f t="shared" si="0"/>
        <v>0.6</v>
      </c>
      <c r="R31" s="126">
        <v>16.2</v>
      </c>
      <c r="S31" s="126">
        <v>84.5</v>
      </c>
      <c r="T31" s="138">
        <f t="shared" si="1"/>
        <v>36</v>
      </c>
      <c r="U31" s="126">
        <v>698</v>
      </c>
      <c r="V31" s="138">
        <f t="shared" si="2"/>
        <v>3141</v>
      </c>
      <c r="W31" s="126">
        <v>3</v>
      </c>
      <c r="X31" s="126" t="s">
        <v>63</v>
      </c>
      <c r="Y31" s="126" t="s">
        <v>46</v>
      </c>
      <c r="Z31" s="126" t="s">
        <v>54</v>
      </c>
      <c r="AA31" s="126" t="s">
        <v>160</v>
      </c>
      <c r="AB31" s="126" t="s">
        <v>48</v>
      </c>
    </row>
    <row r="32" spans="1:48" s="126" customFormat="1" ht="13.5" customHeight="1">
      <c r="A32" s="126" t="s">
        <v>35</v>
      </c>
      <c r="B32" s="126" t="s">
        <v>36</v>
      </c>
      <c r="C32" s="126">
        <v>2020</v>
      </c>
      <c r="D32" s="172" t="s">
        <v>162</v>
      </c>
      <c r="E32" s="126" t="s">
        <v>279</v>
      </c>
      <c r="F32" s="126" t="s">
        <v>263</v>
      </c>
      <c r="G32" s="126" t="s">
        <v>39</v>
      </c>
      <c r="H32" s="126" t="s">
        <v>156</v>
      </c>
      <c r="I32" s="126" t="s">
        <v>41</v>
      </c>
      <c r="J32" s="126" t="s">
        <v>42</v>
      </c>
      <c r="K32" s="126" t="s">
        <v>78</v>
      </c>
      <c r="L32" s="126">
        <v>1</v>
      </c>
      <c r="N32" s="126">
        <v>3</v>
      </c>
      <c r="O32" s="126">
        <v>0.55000000000000004</v>
      </c>
      <c r="P32" s="126">
        <v>0.5</v>
      </c>
      <c r="Q32" s="152">
        <f t="shared" si="0"/>
        <v>0.52500000000000002</v>
      </c>
      <c r="R32" s="126">
        <v>14.9</v>
      </c>
      <c r="S32" s="126">
        <v>90.5</v>
      </c>
      <c r="T32" s="138">
        <f t="shared" si="1"/>
        <v>39</v>
      </c>
      <c r="U32" s="126">
        <v>398</v>
      </c>
      <c r="V32" s="138">
        <f t="shared" si="2"/>
        <v>5174</v>
      </c>
      <c r="W32" s="126">
        <v>3</v>
      </c>
      <c r="X32" s="126" t="s">
        <v>63</v>
      </c>
      <c r="Y32" s="126" t="s">
        <v>46</v>
      </c>
      <c r="Z32" s="126" t="s">
        <v>54</v>
      </c>
      <c r="AA32" s="126" t="s">
        <v>160</v>
      </c>
      <c r="AB32" s="126" t="s">
        <v>48</v>
      </c>
    </row>
    <row r="33" spans="1:28" s="126" customFormat="1" ht="13.5" customHeight="1">
      <c r="A33" s="126" t="s">
        <v>35</v>
      </c>
      <c r="B33" s="126" t="s">
        <v>36</v>
      </c>
      <c r="C33" s="126">
        <v>2020</v>
      </c>
      <c r="D33" s="172" t="s">
        <v>162</v>
      </c>
      <c r="E33" s="126" t="s">
        <v>279</v>
      </c>
      <c r="F33" s="126" t="s">
        <v>263</v>
      </c>
      <c r="G33" s="126" t="s">
        <v>39</v>
      </c>
      <c r="H33" s="126" t="s">
        <v>156</v>
      </c>
      <c r="I33" s="126" t="s">
        <v>41</v>
      </c>
      <c r="J33" s="126" t="s">
        <v>42</v>
      </c>
      <c r="K33" s="126" t="s">
        <v>78</v>
      </c>
      <c r="L33" s="126">
        <v>2</v>
      </c>
      <c r="N33" s="126">
        <v>3</v>
      </c>
      <c r="O33" s="126">
        <v>0.5</v>
      </c>
      <c r="P33" s="126">
        <v>0.2</v>
      </c>
      <c r="Q33" s="152">
        <f t="shared" si="0"/>
        <v>0.35</v>
      </c>
      <c r="R33" s="126">
        <v>16.899999999999999</v>
      </c>
      <c r="S33" s="126">
        <v>87.5</v>
      </c>
      <c r="T33" s="138">
        <f t="shared" si="1"/>
        <v>39</v>
      </c>
      <c r="U33" s="126">
        <v>398</v>
      </c>
      <c r="V33" s="138">
        <f t="shared" si="2"/>
        <v>5174</v>
      </c>
      <c r="W33" s="126">
        <v>3</v>
      </c>
      <c r="X33" s="126" t="s">
        <v>63</v>
      </c>
      <c r="Y33" s="126" t="s">
        <v>46</v>
      </c>
      <c r="Z33" s="126" t="s">
        <v>54</v>
      </c>
      <c r="AA33" s="126" t="s">
        <v>160</v>
      </c>
      <c r="AB33" s="126" t="s">
        <v>48</v>
      </c>
    </row>
    <row r="34" spans="1:28" s="126" customFormat="1" ht="13.5" customHeight="1">
      <c r="A34" s="126" t="s">
        <v>35</v>
      </c>
      <c r="B34" s="126" t="s">
        <v>36</v>
      </c>
      <c r="C34" s="126">
        <v>2020</v>
      </c>
      <c r="D34" s="172" t="s">
        <v>162</v>
      </c>
      <c r="E34" s="126" t="s">
        <v>279</v>
      </c>
      <c r="F34" s="126" t="s">
        <v>263</v>
      </c>
      <c r="G34" s="126" t="s">
        <v>39</v>
      </c>
      <c r="H34" s="126" t="s">
        <v>156</v>
      </c>
      <c r="I34" s="126" t="s">
        <v>41</v>
      </c>
      <c r="J34" s="126" t="s">
        <v>42</v>
      </c>
      <c r="K34" s="126" t="s">
        <v>78</v>
      </c>
      <c r="L34" s="126">
        <v>3</v>
      </c>
      <c r="N34" s="126">
        <v>3</v>
      </c>
      <c r="O34" s="126">
        <v>0.5</v>
      </c>
      <c r="P34" s="126">
        <v>0.2</v>
      </c>
      <c r="Q34" s="152">
        <f t="shared" si="0"/>
        <v>0.35</v>
      </c>
      <c r="R34" s="126">
        <v>15.3</v>
      </c>
      <c r="S34" s="126">
        <v>84</v>
      </c>
      <c r="T34" s="138">
        <f t="shared" si="1"/>
        <v>39</v>
      </c>
      <c r="U34" s="126">
        <v>398</v>
      </c>
      <c r="V34" s="138">
        <f t="shared" si="2"/>
        <v>5174</v>
      </c>
      <c r="W34" s="126">
        <v>3</v>
      </c>
      <c r="X34" s="126" t="s">
        <v>63</v>
      </c>
      <c r="Y34" s="126" t="s">
        <v>46</v>
      </c>
      <c r="Z34" s="126" t="s">
        <v>54</v>
      </c>
      <c r="AA34" s="126" t="s">
        <v>160</v>
      </c>
      <c r="AB34" s="126" t="s">
        <v>48</v>
      </c>
    </row>
    <row r="35" spans="1:28" s="126" customFormat="1" ht="13.5" customHeight="1">
      <c r="A35" s="126" t="s">
        <v>35</v>
      </c>
      <c r="B35" s="126" t="s">
        <v>36</v>
      </c>
      <c r="C35" s="126">
        <v>2020</v>
      </c>
      <c r="D35" s="172" t="s">
        <v>162</v>
      </c>
      <c r="E35" s="126" t="s">
        <v>264</v>
      </c>
      <c r="F35" s="126" t="s">
        <v>265</v>
      </c>
      <c r="G35" s="126" t="s">
        <v>39</v>
      </c>
      <c r="H35" s="126" t="s">
        <v>40</v>
      </c>
      <c r="I35" s="126" t="s">
        <v>41</v>
      </c>
      <c r="J35" s="126" t="s">
        <v>42</v>
      </c>
      <c r="K35" s="126" t="s">
        <v>43</v>
      </c>
      <c r="L35" s="126">
        <v>1</v>
      </c>
      <c r="N35" s="126">
        <v>1</v>
      </c>
      <c r="O35" s="126">
        <v>0.5</v>
      </c>
      <c r="P35" s="126">
        <v>0.5</v>
      </c>
      <c r="Q35" s="152">
        <f t="shared" si="0"/>
        <v>0.5</v>
      </c>
      <c r="R35" s="126">
        <v>16.399999999999999</v>
      </c>
      <c r="S35" s="126">
        <v>117</v>
      </c>
      <c r="T35" s="138">
        <f t="shared" si="1"/>
        <v>30</v>
      </c>
      <c r="U35" s="126">
        <v>89</v>
      </c>
      <c r="V35" s="138">
        <f t="shared" si="2"/>
        <v>2670</v>
      </c>
      <c r="W35" s="126">
        <v>2</v>
      </c>
      <c r="X35" s="126" t="s">
        <v>63</v>
      </c>
      <c r="Y35" s="126" t="s">
        <v>46</v>
      </c>
      <c r="Z35" s="126" t="s">
        <v>45</v>
      </c>
      <c r="AA35" s="126" t="s">
        <v>160</v>
      </c>
      <c r="AB35" s="126" t="s">
        <v>48</v>
      </c>
    </row>
    <row r="36" spans="1:28" s="126" customFormat="1" ht="13.5" customHeight="1">
      <c r="A36" s="126" t="s">
        <v>35</v>
      </c>
      <c r="B36" s="126" t="s">
        <v>36</v>
      </c>
      <c r="C36" s="126">
        <v>2020</v>
      </c>
      <c r="D36" s="172" t="s">
        <v>162</v>
      </c>
      <c r="E36" s="126" t="s">
        <v>264</v>
      </c>
      <c r="F36" s="126" t="s">
        <v>265</v>
      </c>
      <c r="G36" s="126" t="s">
        <v>39</v>
      </c>
      <c r="H36" s="126" t="s">
        <v>40</v>
      </c>
      <c r="I36" s="126" t="s">
        <v>41</v>
      </c>
      <c r="J36" s="126" t="s">
        <v>42</v>
      </c>
      <c r="K36" s="126" t="s">
        <v>43</v>
      </c>
      <c r="L36" s="126">
        <v>2</v>
      </c>
      <c r="N36" s="126">
        <v>1</v>
      </c>
      <c r="O36" s="126">
        <v>0.5</v>
      </c>
      <c r="P36" s="126">
        <v>0.55000000000000004</v>
      </c>
      <c r="Q36" s="152">
        <f t="shared" si="0"/>
        <v>0.52500000000000002</v>
      </c>
      <c r="R36" s="126">
        <v>15.6</v>
      </c>
      <c r="S36" s="126">
        <v>119</v>
      </c>
      <c r="T36" s="138">
        <f t="shared" si="1"/>
        <v>30</v>
      </c>
      <c r="U36" s="126">
        <v>89</v>
      </c>
      <c r="V36" s="138">
        <f t="shared" si="2"/>
        <v>2670</v>
      </c>
      <c r="W36" s="126">
        <v>2</v>
      </c>
      <c r="X36" s="126" t="s">
        <v>63</v>
      </c>
      <c r="Y36" s="126" t="s">
        <v>46</v>
      </c>
      <c r="Z36" s="126" t="s">
        <v>45</v>
      </c>
      <c r="AA36" s="126" t="s">
        <v>160</v>
      </c>
      <c r="AB36" s="126" t="s">
        <v>48</v>
      </c>
    </row>
    <row r="37" spans="1:28" s="126" customFormat="1" ht="13.5" customHeight="1">
      <c r="A37" s="126" t="s">
        <v>35</v>
      </c>
      <c r="B37" s="126" t="s">
        <v>36</v>
      </c>
      <c r="C37" s="126">
        <v>2020</v>
      </c>
      <c r="D37" s="172" t="s">
        <v>162</v>
      </c>
      <c r="E37" s="126" t="s">
        <v>264</v>
      </c>
      <c r="F37" s="126" t="s">
        <v>265</v>
      </c>
      <c r="G37" s="126" t="s">
        <v>39</v>
      </c>
      <c r="H37" s="126" t="s">
        <v>40</v>
      </c>
      <c r="I37" s="126" t="s">
        <v>41</v>
      </c>
      <c r="J37" s="126" t="s">
        <v>42</v>
      </c>
      <c r="K37" s="126" t="s">
        <v>43</v>
      </c>
      <c r="L37" s="126">
        <v>3</v>
      </c>
      <c r="N37" s="126">
        <v>1</v>
      </c>
      <c r="O37" s="126">
        <v>0.6</v>
      </c>
      <c r="P37" s="126">
        <v>0.7</v>
      </c>
      <c r="Q37" s="152">
        <f t="shared" si="0"/>
        <v>0.64999999999999991</v>
      </c>
      <c r="R37" s="126">
        <v>14.9</v>
      </c>
      <c r="S37" s="126">
        <v>114.5</v>
      </c>
      <c r="T37" s="138">
        <f t="shared" si="1"/>
        <v>30</v>
      </c>
      <c r="U37" s="126">
        <v>89</v>
      </c>
      <c r="V37" s="138">
        <f t="shared" si="2"/>
        <v>2670</v>
      </c>
      <c r="W37" s="126">
        <v>2</v>
      </c>
      <c r="X37" s="126" t="s">
        <v>63</v>
      </c>
      <c r="Y37" s="126" t="s">
        <v>46</v>
      </c>
      <c r="Z37" s="126" t="s">
        <v>45</v>
      </c>
      <c r="AA37" s="126" t="s">
        <v>160</v>
      </c>
      <c r="AB37" s="126" t="s">
        <v>48</v>
      </c>
    </row>
    <row r="38" spans="1:28" s="126" customFormat="1" ht="13.5" customHeight="1">
      <c r="A38" s="126" t="s">
        <v>35</v>
      </c>
      <c r="B38" s="126" t="s">
        <v>36</v>
      </c>
      <c r="C38" s="126">
        <v>2020</v>
      </c>
      <c r="D38" s="172" t="s">
        <v>162</v>
      </c>
      <c r="E38" s="126" t="s">
        <v>264</v>
      </c>
      <c r="F38" s="126" t="s">
        <v>265</v>
      </c>
      <c r="G38" s="126" t="s">
        <v>39</v>
      </c>
      <c r="H38" s="126" t="s">
        <v>40</v>
      </c>
      <c r="I38" s="126" t="s">
        <v>41</v>
      </c>
      <c r="J38" s="126" t="s">
        <v>42</v>
      </c>
      <c r="K38" s="126" t="s">
        <v>43</v>
      </c>
      <c r="L38" s="126">
        <v>1</v>
      </c>
      <c r="N38" s="126">
        <v>5</v>
      </c>
      <c r="O38" s="126">
        <v>0.75</v>
      </c>
      <c r="P38" s="126">
        <v>0.55000000000000004</v>
      </c>
      <c r="Q38" s="152">
        <f t="shared" si="0"/>
        <v>0.65</v>
      </c>
      <c r="R38" s="126">
        <v>15.2</v>
      </c>
      <c r="S38" s="126">
        <v>82</v>
      </c>
      <c r="T38" s="138">
        <f t="shared" si="1"/>
        <v>39</v>
      </c>
      <c r="U38" s="126">
        <v>377</v>
      </c>
      <c r="V38" s="138">
        <f t="shared" si="2"/>
        <v>2940.6000000000004</v>
      </c>
      <c r="W38" s="126">
        <v>2</v>
      </c>
      <c r="X38" s="126" t="s">
        <v>63</v>
      </c>
      <c r="Y38" s="126" t="s">
        <v>46</v>
      </c>
      <c r="Z38" s="126" t="s">
        <v>45</v>
      </c>
      <c r="AA38" s="126" t="s">
        <v>160</v>
      </c>
      <c r="AB38" s="126" t="s">
        <v>48</v>
      </c>
    </row>
    <row r="39" spans="1:28" s="126" customFormat="1" ht="13.5" customHeight="1">
      <c r="A39" s="126" t="s">
        <v>35</v>
      </c>
      <c r="B39" s="126" t="s">
        <v>36</v>
      </c>
      <c r="C39" s="126">
        <v>2020</v>
      </c>
      <c r="D39" s="172" t="s">
        <v>162</v>
      </c>
      <c r="E39" s="126" t="s">
        <v>264</v>
      </c>
      <c r="F39" s="126" t="s">
        <v>265</v>
      </c>
      <c r="G39" s="126" t="s">
        <v>39</v>
      </c>
      <c r="H39" s="126" t="s">
        <v>40</v>
      </c>
      <c r="I39" s="126" t="s">
        <v>41</v>
      </c>
      <c r="J39" s="126" t="s">
        <v>42</v>
      </c>
      <c r="K39" s="126" t="s">
        <v>43</v>
      </c>
      <c r="L39" s="126">
        <v>2</v>
      </c>
      <c r="N39" s="126">
        <v>5</v>
      </c>
      <c r="O39" s="126">
        <v>0.65</v>
      </c>
      <c r="P39" s="126">
        <v>0.7</v>
      </c>
      <c r="Q39" s="152">
        <f t="shared" si="0"/>
        <v>0.67500000000000004</v>
      </c>
      <c r="R39" s="126">
        <v>16.3</v>
      </c>
      <c r="S39" s="126">
        <v>80</v>
      </c>
      <c r="T39" s="138">
        <f t="shared" si="1"/>
        <v>39</v>
      </c>
      <c r="U39" s="126">
        <v>377</v>
      </c>
      <c r="V39" s="138">
        <f t="shared" si="2"/>
        <v>2940.6000000000004</v>
      </c>
      <c r="W39" s="126">
        <v>2</v>
      </c>
      <c r="X39" s="126" t="s">
        <v>63</v>
      </c>
      <c r="Y39" s="126" t="s">
        <v>46</v>
      </c>
      <c r="Z39" s="126" t="s">
        <v>45</v>
      </c>
      <c r="AA39" s="126" t="s">
        <v>160</v>
      </c>
      <c r="AB39" s="126" t="s">
        <v>48</v>
      </c>
    </row>
    <row r="40" spans="1:28" s="126" customFormat="1" ht="13.5" customHeight="1">
      <c r="A40" s="126" t="s">
        <v>35</v>
      </c>
      <c r="B40" s="126" t="s">
        <v>36</v>
      </c>
      <c r="C40" s="126">
        <v>2020</v>
      </c>
      <c r="D40" s="172" t="s">
        <v>162</v>
      </c>
      <c r="E40" s="126" t="s">
        <v>264</v>
      </c>
      <c r="F40" s="126" t="s">
        <v>265</v>
      </c>
      <c r="G40" s="126" t="s">
        <v>39</v>
      </c>
      <c r="H40" s="126" t="s">
        <v>40</v>
      </c>
      <c r="I40" s="126" t="s">
        <v>41</v>
      </c>
      <c r="J40" s="126" t="s">
        <v>42</v>
      </c>
      <c r="K40" s="126" t="s">
        <v>43</v>
      </c>
      <c r="L40" s="126">
        <v>3</v>
      </c>
      <c r="N40" s="126">
        <v>5</v>
      </c>
      <c r="O40" s="126">
        <v>0.7</v>
      </c>
      <c r="P40" s="126">
        <v>0.8</v>
      </c>
      <c r="Q40" s="152">
        <f t="shared" si="0"/>
        <v>0.75</v>
      </c>
      <c r="R40" s="159">
        <v>16.2</v>
      </c>
      <c r="S40" s="159">
        <v>72</v>
      </c>
      <c r="T40" s="138">
        <f t="shared" si="1"/>
        <v>42</v>
      </c>
      <c r="U40" s="159">
        <v>377</v>
      </c>
      <c r="V40" s="138">
        <f t="shared" si="2"/>
        <v>3166.8</v>
      </c>
      <c r="W40" s="126">
        <v>2</v>
      </c>
      <c r="X40" s="126" t="s">
        <v>63</v>
      </c>
      <c r="Y40" s="126" t="s">
        <v>46</v>
      </c>
      <c r="Z40" s="126" t="s">
        <v>45</v>
      </c>
      <c r="AA40" s="126" t="s">
        <v>160</v>
      </c>
      <c r="AB40" s="126" t="s">
        <v>48</v>
      </c>
    </row>
    <row r="41" spans="1:28" s="126" customFormat="1" ht="13.5" customHeight="1">
      <c r="A41" s="126" t="s">
        <v>35</v>
      </c>
      <c r="B41" s="126" t="s">
        <v>36</v>
      </c>
      <c r="C41" s="126">
        <v>2020</v>
      </c>
      <c r="D41" s="172" t="s">
        <v>162</v>
      </c>
      <c r="E41" s="126" t="s">
        <v>282</v>
      </c>
      <c r="F41" s="126" t="s">
        <v>267</v>
      </c>
      <c r="G41" s="126" t="s">
        <v>39</v>
      </c>
      <c r="H41" s="126" t="s">
        <v>40</v>
      </c>
      <c r="I41" s="126" t="s">
        <v>41</v>
      </c>
      <c r="J41" s="126" t="s">
        <v>42</v>
      </c>
      <c r="K41" s="126" t="s">
        <v>43</v>
      </c>
      <c r="L41" s="126">
        <v>1</v>
      </c>
      <c r="N41" s="126">
        <v>1</v>
      </c>
      <c r="O41" s="126">
        <v>0.45</v>
      </c>
      <c r="P41" s="126">
        <v>0.5</v>
      </c>
      <c r="Q41" s="152">
        <f t="shared" si="0"/>
        <v>0.47499999999999998</v>
      </c>
      <c r="R41" s="126">
        <v>16.3</v>
      </c>
      <c r="S41" s="126">
        <v>107.5</v>
      </c>
      <c r="T41" s="138">
        <f t="shared" si="1"/>
        <v>33</v>
      </c>
      <c r="U41" s="126">
        <v>100</v>
      </c>
      <c r="V41" s="138">
        <f t="shared" si="2"/>
        <v>3300</v>
      </c>
      <c r="W41" s="126">
        <v>3</v>
      </c>
      <c r="X41" s="126" t="s">
        <v>63</v>
      </c>
      <c r="Y41" s="126" t="s">
        <v>46</v>
      </c>
      <c r="Z41" s="126" t="s">
        <v>160</v>
      </c>
      <c r="AA41" s="126" t="s">
        <v>45</v>
      </c>
      <c r="AB41" s="126" t="s">
        <v>48</v>
      </c>
    </row>
    <row r="42" spans="1:28" s="126" customFormat="1" ht="13.5" customHeight="1">
      <c r="A42" s="126" t="s">
        <v>35</v>
      </c>
      <c r="B42" s="126" t="s">
        <v>36</v>
      </c>
      <c r="C42" s="126">
        <v>2020</v>
      </c>
      <c r="D42" s="172" t="s">
        <v>162</v>
      </c>
      <c r="E42" s="126" t="s">
        <v>282</v>
      </c>
      <c r="F42" s="126" t="s">
        <v>267</v>
      </c>
      <c r="G42" s="126" t="s">
        <v>39</v>
      </c>
      <c r="H42" s="126" t="s">
        <v>40</v>
      </c>
      <c r="I42" s="126" t="s">
        <v>41</v>
      </c>
      <c r="J42" s="126" t="s">
        <v>42</v>
      </c>
      <c r="K42" s="126" t="s">
        <v>43</v>
      </c>
      <c r="L42" s="126">
        <v>2</v>
      </c>
      <c r="N42" s="126">
        <v>1</v>
      </c>
      <c r="O42" s="126">
        <v>0.5</v>
      </c>
      <c r="P42" s="126">
        <v>0.45</v>
      </c>
      <c r="Q42" s="152">
        <f t="shared" si="0"/>
        <v>0.47499999999999998</v>
      </c>
      <c r="R42" s="126">
        <v>15.6</v>
      </c>
      <c r="S42" s="126">
        <v>122</v>
      </c>
      <c r="T42" s="138">
        <f t="shared" si="1"/>
        <v>30</v>
      </c>
      <c r="U42" s="126">
        <v>100</v>
      </c>
      <c r="V42" s="138">
        <f t="shared" si="2"/>
        <v>3000</v>
      </c>
      <c r="W42" s="126">
        <v>3</v>
      </c>
      <c r="X42" s="126" t="s">
        <v>63</v>
      </c>
      <c r="Y42" s="126" t="s">
        <v>46</v>
      </c>
      <c r="Z42" s="126" t="s">
        <v>160</v>
      </c>
      <c r="AA42" s="126" t="s">
        <v>45</v>
      </c>
      <c r="AB42" s="126" t="s">
        <v>48</v>
      </c>
    </row>
    <row r="43" spans="1:28" s="126" customFormat="1" ht="13.5" customHeight="1">
      <c r="A43" s="126" t="s">
        <v>35</v>
      </c>
      <c r="B43" s="126" t="s">
        <v>36</v>
      </c>
      <c r="C43" s="126">
        <v>2020</v>
      </c>
      <c r="D43" s="172" t="s">
        <v>162</v>
      </c>
      <c r="E43" s="126" t="s">
        <v>282</v>
      </c>
      <c r="F43" s="126" t="s">
        <v>267</v>
      </c>
      <c r="G43" s="126" t="s">
        <v>39</v>
      </c>
      <c r="H43" s="126" t="s">
        <v>40</v>
      </c>
      <c r="I43" s="126" t="s">
        <v>41</v>
      </c>
      <c r="J43" s="126" t="s">
        <v>42</v>
      </c>
      <c r="K43" s="126" t="s">
        <v>43</v>
      </c>
      <c r="L43" s="126">
        <v>3</v>
      </c>
      <c r="N43" s="126">
        <v>1</v>
      </c>
      <c r="O43" s="126">
        <v>0.75</v>
      </c>
      <c r="P43" s="126">
        <v>0.75</v>
      </c>
      <c r="Q43" s="152">
        <f t="shared" si="0"/>
        <v>0.75</v>
      </c>
      <c r="R43" s="126">
        <v>15.3</v>
      </c>
      <c r="S43" s="126">
        <v>116.5</v>
      </c>
      <c r="T43" s="138">
        <f t="shared" si="1"/>
        <v>30</v>
      </c>
      <c r="U43" s="126">
        <v>100</v>
      </c>
      <c r="V43" s="138">
        <f t="shared" si="2"/>
        <v>3000</v>
      </c>
      <c r="W43" s="126">
        <v>3</v>
      </c>
      <c r="X43" s="126" t="s">
        <v>63</v>
      </c>
      <c r="Y43" s="126" t="s">
        <v>46</v>
      </c>
      <c r="Z43" s="126" t="s">
        <v>160</v>
      </c>
      <c r="AA43" s="126" t="s">
        <v>45</v>
      </c>
      <c r="AB43" s="126" t="s">
        <v>48</v>
      </c>
    </row>
    <row r="44" spans="1:28" s="126" customFormat="1" ht="13.5" customHeight="1">
      <c r="A44" s="126" t="s">
        <v>35</v>
      </c>
      <c r="B44" s="126" t="s">
        <v>36</v>
      </c>
      <c r="C44" s="126">
        <v>2020</v>
      </c>
      <c r="D44" s="172" t="s">
        <v>162</v>
      </c>
      <c r="E44" s="126" t="s">
        <v>282</v>
      </c>
      <c r="F44" s="126" t="s">
        <v>267</v>
      </c>
      <c r="G44" s="126" t="s">
        <v>39</v>
      </c>
      <c r="H44" s="126" t="s">
        <v>40</v>
      </c>
      <c r="I44" s="126" t="s">
        <v>41</v>
      </c>
      <c r="J44" s="126" t="s">
        <v>42</v>
      </c>
      <c r="K44" s="126" t="s">
        <v>43</v>
      </c>
      <c r="L44" s="126">
        <v>1</v>
      </c>
      <c r="N44" s="126">
        <v>4</v>
      </c>
      <c r="O44" s="126">
        <v>0.2</v>
      </c>
      <c r="P44" s="126">
        <v>0.45</v>
      </c>
      <c r="Q44" s="152">
        <f t="shared" si="0"/>
        <v>0.32500000000000001</v>
      </c>
      <c r="R44" s="126">
        <v>13.6</v>
      </c>
      <c r="S44" s="126">
        <v>89</v>
      </c>
      <c r="T44" s="138">
        <f t="shared" si="1"/>
        <v>36</v>
      </c>
      <c r="U44" s="126">
        <v>298</v>
      </c>
      <c r="V44" s="138">
        <f t="shared" si="2"/>
        <v>2682</v>
      </c>
      <c r="W44" s="126">
        <v>3</v>
      </c>
      <c r="X44" s="126" t="s">
        <v>63</v>
      </c>
      <c r="Y44" s="126" t="s">
        <v>46</v>
      </c>
      <c r="Z44" s="126" t="s">
        <v>160</v>
      </c>
      <c r="AA44" s="126" t="s">
        <v>45</v>
      </c>
      <c r="AB44" s="126" t="s">
        <v>48</v>
      </c>
    </row>
    <row r="45" spans="1:28" s="126" customFormat="1" ht="13.5" customHeight="1">
      <c r="A45" s="126" t="s">
        <v>35</v>
      </c>
      <c r="B45" s="126" t="s">
        <v>36</v>
      </c>
      <c r="C45" s="126">
        <v>2020</v>
      </c>
      <c r="D45" s="172" t="s">
        <v>162</v>
      </c>
      <c r="E45" s="126" t="s">
        <v>282</v>
      </c>
      <c r="F45" s="126" t="s">
        <v>267</v>
      </c>
      <c r="G45" s="126" t="s">
        <v>39</v>
      </c>
      <c r="H45" s="126" t="s">
        <v>40</v>
      </c>
      <c r="I45" s="126" t="s">
        <v>41</v>
      </c>
      <c r="J45" s="126" t="s">
        <v>42</v>
      </c>
      <c r="K45" s="126" t="s">
        <v>43</v>
      </c>
      <c r="L45" s="126">
        <v>2</v>
      </c>
      <c r="N45" s="126">
        <v>4</v>
      </c>
      <c r="O45" s="126">
        <v>0.45</v>
      </c>
      <c r="P45" s="126">
        <v>0.2</v>
      </c>
      <c r="Q45" s="152">
        <f t="shared" si="0"/>
        <v>0.32500000000000001</v>
      </c>
      <c r="R45" s="126">
        <v>14.6</v>
      </c>
      <c r="S45" s="126">
        <v>105</v>
      </c>
      <c r="T45" s="138">
        <f t="shared" si="1"/>
        <v>33</v>
      </c>
      <c r="U45" s="126">
        <v>298</v>
      </c>
      <c r="V45" s="138">
        <f t="shared" si="2"/>
        <v>2458.5</v>
      </c>
      <c r="W45" s="126">
        <v>3</v>
      </c>
      <c r="X45" s="126" t="s">
        <v>63</v>
      </c>
      <c r="Y45" s="126" t="s">
        <v>46</v>
      </c>
      <c r="Z45" s="126" t="s">
        <v>160</v>
      </c>
      <c r="AA45" s="126" t="s">
        <v>45</v>
      </c>
      <c r="AB45" s="126" t="s">
        <v>48</v>
      </c>
    </row>
    <row r="46" spans="1:28" s="126" customFormat="1" ht="13.5" customHeight="1">
      <c r="A46" s="126" t="s">
        <v>35</v>
      </c>
      <c r="B46" s="126" t="s">
        <v>36</v>
      </c>
      <c r="C46" s="126">
        <v>2020</v>
      </c>
      <c r="D46" s="172" t="s">
        <v>162</v>
      </c>
      <c r="E46" s="126" t="s">
        <v>282</v>
      </c>
      <c r="F46" s="126" t="s">
        <v>267</v>
      </c>
      <c r="G46" s="126" t="s">
        <v>39</v>
      </c>
      <c r="H46" s="126" t="s">
        <v>40</v>
      </c>
      <c r="I46" s="126" t="s">
        <v>41</v>
      </c>
      <c r="J46" s="126" t="s">
        <v>42</v>
      </c>
      <c r="K46" s="126" t="s">
        <v>43</v>
      </c>
      <c r="L46" s="126">
        <v>3</v>
      </c>
      <c r="N46" s="126">
        <v>4</v>
      </c>
      <c r="O46" s="126">
        <v>0.2</v>
      </c>
      <c r="P46" s="126">
        <v>0.2</v>
      </c>
      <c r="Q46" s="152">
        <f t="shared" si="0"/>
        <v>0.2</v>
      </c>
      <c r="R46" s="126">
        <v>15.3</v>
      </c>
      <c r="S46" s="126">
        <v>105</v>
      </c>
      <c r="T46" s="138">
        <f t="shared" si="1"/>
        <v>33</v>
      </c>
      <c r="U46" s="126">
        <v>298</v>
      </c>
      <c r="V46" s="138">
        <f t="shared" si="2"/>
        <v>2458.5</v>
      </c>
      <c r="W46" s="126">
        <v>3</v>
      </c>
      <c r="X46" s="126" t="s">
        <v>63</v>
      </c>
      <c r="Y46" s="126" t="s">
        <v>46</v>
      </c>
      <c r="Z46" s="126" t="s">
        <v>160</v>
      </c>
      <c r="AA46" s="126" t="s">
        <v>45</v>
      </c>
      <c r="AB46" s="126" t="s">
        <v>48</v>
      </c>
    </row>
    <row r="47" spans="1:28" s="126" customFormat="1" ht="13.5" customHeight="1">
      <c r="A47" s="126" t="s">
        <v>35</v>
      </c>
      <c r="B47" s="126" t="s">
        <v>36</v>
      </c>
      <c r="C47" s="126">
        <v>2020</v>
      </c>
      <c r="D47" s="172" t="s">
        <v>162</v>
      </c>
      <c r="E47" s="126" t="s">
        <v>37</v>
      </c>
      <c r="F47" s="126" t="s">
        <v>283</v>
      </c>
      <c r="G47" s="126" t="s">
        <v>39</v>
      </c>
      <c r="H47" s="126" t="s">
        <v>40</v>
      </c>
      <c r="I47" s="126" t="s">
        <v>41</v>
      </c>
      <c r="J47" s="126" t="s">
        <v>42</v>
      </c>
      <c r="K47" s="126" t="s">
        <v>43</v>
      </c>
      <c r="L47" s="126">
        <v>1</v>
      </c>
      <c r="N47" s="126">
        <v>1</v>
      </c>
      <c r="O47" s="126">
        <v>0.2</v>
      </c>
      <c r="P47" s="126">
        <v>0.2</v>
      </c>
      <c r="Q47" s="152">
        <f t="shared" si="0"/>
        <v>0.2</v>
      </c>
      <c r="R47" s="126">
        <v>14.8</v>
      </c>
      <c r="S47" s="126">
        <v>100.5</v>
      </c>
      <c r="T47" s="138">
        <f t="shared" si="1"/>
        <v>33</v>
      </c>
      <c r="U47" s="126">
        <v>55</v>
      </c>
      <c r="V47" s="138">
        <f t="shared" si="2"/>
        <v>1815</v>
      </c>
      <c r="W47" s="126">
        <v>2</v>
      </c>
      <c r="X47" s="126" t="s">
        <v>63</v>
      </c>
      <c r="Y47" s="126" t="s">
        <v>46</v>
      </c>
      <c r="Z47" s="126" t="s">
        <v>160</v>
      </c>
      <c r="AA47" s="126" t="s">
        <v>54</v>
      </c>
      <c r="AB47" s="126" t="s">
        <v>48</v>
      </c>
    </row>
    <row r="48" spans="1:28" s="126" customFormat="1" ht="13.5" customHeight="1">
      <c r="A48" s="126" t="s">
        <v>35</v>
      </c>
      <c r="B48" s="126" t="s">
        <v>36</v>
      </c>
      <c r="C48" s="126">
        <v>2020</v>
      </c>
      <c r="D48" s="172" t="s">
        <v>162</v>
      </c>
      <c r="E48" s="126" t="s">
        <v>37</v>
      </c>
      <c r="F48" s="126" t="s">
        <v>283</v>
      </c>
      <c r="G48" s="126" t="s">
        <v>39</v>
      </c>
      <c r="H48" s="126" t="s">
        <v>40</v>
      </c>
      <c r="I48" s="126" t="s">
        <v>41</v>
      </c>
      <c r="J48" s="126" t="s">
        <v>42</v>
      </c>
      <c r="K48" s="126" t="s">
        <v>43</v>
      </c>
      <c r="L48" s="126">
        <v>2</v>
      </c>
      <c r="N48" s="126">
        <v>1</v>
      </c>
      <c r="O48" s="126">
        <v>0.2</v>
      </c>
      <c r="P48" s="126">
        <v>0.2</v>
      </c>
      <c r="Q48" s="152">
        <f t="shared" si="0"/>
        <v>0.2</v>
      </c>
      <c r="R48" s="126">
        <v>15.8</v>
      </c>
      <c r="S48" s="126">
        <v>94</v>
      </c>
      <c r="T48" s="138">
        <f t="shared" si="1"/>
        <v>36</v>
      </c>
      <c r="U48" s="126">
        <v>55</v>
      </c>
      <c r="V48" s="138">
        <f t="shared" si="2"/>
        <v>1980</v>
      </c>
      <c r="W48" s="126">
        <v>2</v>
      </c>
      <c r="X48" s="126" t="s">
        <v>63</v>
      </c>
      <c r="Y48" s="126" t="s">
        <v>46</v>
      </c>
      <c r="Z48" s="126" t="s">
        <v>160</v>
      </c>
      <c r="AA48" s="126" t="s">
        <v>54</v>
      </c>
      <c r="AB48" s="126" t="s">
        <v>48</v>
      </c>
    </row>
    <row r="49" spans="1:28" s="126" customFormat="1" ht="13.5" customHeight="1">
      <c r="A49" s="126" t="s">
        <v>35</v>
      </c>
      <c r="B49" s="126" t="s">
        <v>36</v>
      </c>
      <c r="C49" s="126">
        <v>2020</v>
      </c>
      <c r="D49" s="172" t="s">
        <v>162</v>
      </c>
      <c r="E49" s="126" t="s">
        <v>37</v>
      </c>
      <c r="F49" s="126" t="s">
        <v>283</v>
      </c>
      <c r="G49" s="126" t="s">
        <v>39</v>
      </c>
      <c r="H49" s="126" t="s">
        <v>40</v>
      </c>
      <c r="I49" s="126" t="s">
        <v>41</v>
      </c>
      <c r="J49" s="126" t="s">
        <v>42</v>
      </c>
      <c r="K49" s="126" t="s">
        <v>43</v>
      </c>
      <c r="L49" s="126">
        <v>3</v>
      </c>
      <c r="N49" s="126">
        <v>1</v>
      </c>
      <c r="O49" s="126">
        <v>0.2</v>
      </c>
      <c r="P49" s="126">
        <v>0.2</v>
      </c>
      <c r="Q49" s="152">
        <f t="shared" si="0"/>
        <v>0.2</v>
      </c>
      <c r="R49" s="126">
        <v>16.399999999999999</v>
      </c>
      <c r="S49" s="126">
        <v>97.5</v>
      </c>
      <c r="T49" s="138">
        <f t="shared" si="1"/>
        <v>36</v>
      </c>
      <c r="U49" s="126">
        <v>55</v>
      </c>
      <c r="V49" s="138">
        <f t="shared" si="2"/>
        <v>1980</v>
      </c>
      <c r="W49" s="126">
        <v>2</v>
      </c>
      <c r="X49" s="126" t="s">
        <v>63</v>
      </c>
      <c r="Y49" s="126" t="s">
        <v>46</v>
      </c>
      <c r="Z49" s="126" t="s">
        <v>160</v>
      </c>
      <c r="AA49" s="126" t="s">
        <v>54</v>
      </c>
      <c r="AB49" s="126" t="s">
        <v>48</v>
      </c>
    </row>
    <row r="50" spans="1:28" s="126" customFormat="1" ht="13.5" customHeight="1">
      <c r="A50" s="126" t="s">
        <v>35</v>
      </c>
      <c r="B50" s="126" t="s">
        <v>36</v>
      </c>
      <c r="C50" s="126">
        <v>2020</v>
      </c>
      <c r="D50" s="172" t="s">
        <v>162</v>
      </c>
      <c r="E50" s="126" t="s">
        <v>37</v>
      </c>
      <c r="F50" s="126" t="s">
        <v>283</v>
      </c>
      <c r="G50" s="126" t="s">
        <v>39</v>
      </c>
      <c r="H50" s="126" t="s">
        <v>59</v>
      </c>
      <c r="I50" s="126" t="s">
        <v>41</v>
      </c>
      <c r="J50" s="126" t="s">
        <v>121</v>
      </c>
      <c r="K50" s="126" t="s">
        <v>122</v>
      </c>
      <c r="L50" s="126">
        <v>1</v>
      </c>
      <c r="N50" s="126">
        <v>4</v>
      </c>
      <c r="O50" s="126">
        <v>0.9</v>
      </c>
      <c r="P50" s="126">
        <v>0.5</v>
      </c>
      <c r="Q50" s="152">
        <f t="shared" si="0"/>
        <v>0.7</v>
      </c>
      <c r="R50" s="126">
        <v>15.5</v>
      </c>
      <c r="S50" s="126">
        <v>90</v>
      </c>
      <c r="T50" s="138">
        <f t="shared" si="1"/>
        <v>36</v>
      </c>
      <c r="U50" s="126">
        <v>398</v>
      </c>
      <c r="V50" s="138">
        <f t="shared" si="2"/>
        <v>3582</v>
      </c>
      <c r="W50" s="126">
        <v>2</v>
      </c>
      <c r="X50" s="126" t="s">
        <v>63</v>
      </c>
      <c r="Y50" s="126" t="s">
        <v>46</v>
      </c>
      <c r="Z50" s="126" t="s">
        <v>160</v>
      </c>
      <c r="AA50" s="126" t="s">
        <v>54</v>
      </c>
      <c r="AB50" s="126" t="s">
        <v>48</v>
      </c>
    </row>
    <row r="51" spans="1:28" s="126" customFormat="1" ht="13.5" customHeight="1">
      <c r="A51" s="126" t="s">
        <v>35</v>
      </c>
      <c r="B51" s="126" t="s">
        <v>36</v>
      </c>
      <c r="C51" s="126">
        <v>2020</v>
      </c>
      <c r="D51" s="172" t="s">
        <v>162</v>
      </c>
      <c r="E51" s="126" t="s">
        <v>37</v>
      </c>
      <c r="F51" s="126" t="s">
        <v>283</v>
      </c>
      <c r="G51" s="126" t="s">
        <v>39</v>
      </c>
      <c r="H51" s="126" t="s">
        <v>59</v>
      </c>
      <c r="I51" s="126" t="s">
        <v>41</v>
      </c>
      <c r="J51" s="126" t="s">
        <v>121</v>
      </c>
      <c r="K51" s="126" t="s">
        <v>122</v>
      </c>
      <c r="L51" s="126">
        <v>2</v>
      </c>
      <c r="N51" s="126">
        <v>4</v>
      </c>
      <c r="O51" s="126">
        <v>0.2</v>
      </c>
      <c r="P51" s="126">
        <v>0.5</v>
      </c>
      <c r="Q51" s="152">
        <f t="shared" si="0"/>
        <v>0.35</v>
      </c>
      <c r="R51" s="126">
        <v>14.7</v>
      </c>
      <c r="S51" s="126">
        <v>98</v>
      </c>
      <c r="T51" s="138">
        <f t="shared" si="1"/>
        <v>36</v>
      </c>
      <c r="U51" s="126">
        <v>398</v>
      </c>
      <c r="V51" s="138">
        <f t="shared" si="2"/>
        <v>3582</v>
      </c>
      <c r="W51" s="126">
        <v>2</v>
      </c>
      <c r="X51" s="126" t="s">
        <v>63</v>
      </c>
      <c r="Y51" s="126" t="s">
        <v>46</v>
      </c>
      <c r="Z51" s="126" t="s">
        <v>160</v>
      </c>
      <c r="AA51" s="126" t="s">
        <v>54</v>
      </c>
      <c r="AB51" s="126" t="s">
        <v>48</v>
      </c>
    </row>
    <row r="52" spans="1:28" s="126" customFormat="1" ht="13.5" customHeight="1">
      <c r="A52" s="126" t="s">
        <v>35</v>
      </c>
      <c r="B52" s="126" t="s">
        <v>36</v>
      </c>
      <c r="C52" s="126">
        <v>2020</v>
      </c>
      <c r="D52" s="172" t="s">
        <v>162</v>
      </c>
      <c r="E52" s="126" t="s">
        <v>37</v>
      </c>
      <c r="F52" s="126" t="s">
        <v>283</v>
      </c>
      <c r="G52" s="126" t="s">
        <v>39</v>
      </c>
      <c r="H52" s="126" t="s">
        <v>59</v>
      </c>
      <c r="I52" s="126" t="s">
        <v>41</v>
      </c>
      <c r="J52" s="126" t="s">
        <v>121</v>
      </c>
      <c r="K52" s="126" t="s">
        <v>122</v>
      </c>
      <c r="L52" s="126">
        <v>3</v>
      </c>
      <c r="N52" s="126">
        <v>4</v>
      </c>
      <c r="O52" s="126">
        <v>0.45</v>
      </c>
      <c r="P52" s="126">
        <v>0.45</v>
      </c>
      <c r="Q52" s="152">
        <f t="shared" si="0"/>
        <v>0.45</v>
      </c>
      <c r="R52" s="126">
        <v>16.399999999999999</v>
      </c>
      <c r="S52" s="126">
        <v>99</v>
      </c>
      <c r="T52" s="138">
        <f t="shared" si="1"/>
        <v>33</v>
      </c>
      <c r="U52" s="126">
        <v>398</v>
      </c>
      <c r="V52" s="138">
        <f t="shared" si="2"/>
        <v>3283.5</v>
      </c>
      <c r="W52" s="126">
        <v>2</v>
      </c>
      <c r="X52" s="126" t="s">
        <v>63</v>
      </c>
      <c r="Y52" s="126" t="s">
        <v>46</v>
      </c>
      <c r="Z52" s="126" t="s">
        <v>160</v>
      </c>
      <c r="AA52" s="126" t="s">
        <v>54</v>
      </c>
      <c r="AB52" s="126" t="s">
        <v>48</v>
      </c>
    </row>
    <row r="53" spans="1:28" s="126" customFormat="1" ht="13.5" customHeight="1">
      <c r="A53" s="126" t="s">
        <v>35</v>
      </c>
      <c r="B53" s="126" t="s">
        <v>36</v>
      </c>
      <c r="C53" s="126">
        <v>2020</v>
      </c>
      <c r="D53" s="172" t="s">
        <v>162</v>
      </c>
      <c r="E53" s="126" t="s">
        <v>284</v>
      </c>
      <c r="F53" s="126" t="s">
        <v>271</v>
      </c>
      <c r="G53" s="126" t="s">
        <v>58</v>
      </c>
      <c r="H53" s="126" t="s">
        <v>40</v>
      </c>
      <c r="I53" s="126" t="s">
        <v>41</v>
      </c>
      <c r="J53" s="126" t="s">
        <v>42</v>
      </c>
      <c r="K53" s="126" t="s">
        <v>43</v>
      </c>
      <c r="L53" s="126">
        <v>1</v>
      </c>
      <c r="N53" s="126">
        <v>14</v>
      </c>
      <c r="O53" s="126">
        <v>0.2</v>
      </c>
      <c r="P53" s="126">
        <v>0.2</v>
      </c>
      <c r="Q53" s="152">
        <f t="shared" si="0"/>
        <v>0.2</v>
      </c>
      <c r="R53" s="126">
        <v>15.7</v>
      </c>
      <c r="S53" s="126">
        <v>74.5</v>
      </c>
      <c r="T53" s="138">
        <f t="shared" si="1"/>
        <v>42</v>
      </c>
      <c r="U53" s="126">
        <v>780</v>
      </c>
      <c r="V53" s="138">
        <f t="shared" si="2"/>
        <v>2340</v>
      </c>
      <c r="W53" s="126">
        <v>2</v>
      </c>
      <c r="X53" s="126" t="s">
        <v>63</v>
      </c>
      <c r="Y53" s="126" t="s">
        <v>46</v>
      </c>
      <c r="Z53" s="126" t="s">
        <v>160</v>
      </c>
      <c r="AA53" s="126" t="s">
        <v>45</v>
      </c>
      <c r="AB53" s="126" t="s">
        <v>48</v>
      </c>
    </row>
    <row r="54" spans="1:28" s="126" customFormat="1" ht="13.5" customHeight="1">
      <c r="A54" s="126" t="s">
        <v>35</v>
      </c>
      <c r="B54" s="126" t="s">
        <v>36</v>
      </c>
      <c r="C54" s="126">
        <v>2020</v>
      </c>
      <c r="D54" s="172" t="s">
        <v>162</v>
      </c>
      <c r="E54" s="126" t="s">
        <v>284</v>
      </c>
      <c r="F54" s="126" t="s">
        <v>271</v>
      </c>
      <c r="G54" s="126" t="s">
        <v>58</v>
      </c>
      <c r="H54" s="126" t="s">
        <v>40</v>
      </c>
      <c r="I54" s="126" t="s">
        <v>41</v>
      </c>
      <c r="J54" s="126" t="s">
        <v>42</v>
      </c>
      <c r="K54" s="126" t="s">
        <v>43</v>
      </c>
      <c r="L54" s="126">
        <v>2</v>
      </c>
      <c r="N54" s="126">
        <v>14</v>
      </c>
      <c r="O54" s="126">
        <v>0.2</v>
      </c>
      <c r="P54" s="126">
        <v>0.2</v>
      </c>
      <c r="Q54" s="152">
        <f t="shared" si="0"/>
        <v>0.2</v>
      </c>
      <c r="R54" s="126">
        <v>15.5</v>
      </c>
      <c r="S54" s="126">
        <v>74</v>
      </c>
      <c r="T54" s="138">
        <f t="shared" si="1"/>
        <v>42</v>
      </c>
      <c r="U54" s="126">
        <v>780</v>
      </c>
      <c r="V54" s="138">
        <f t="shared" si="2"/>
        <v>2340</v>
      </c>
      <c r="W54" s="126">
        <v>2</v>
      </c>
      <c r="X54" s="126" t="s">
        <v>63</v>
      </c>
      <c r="Y54" s="126" t="s">
        <v>46</v>
      </c>
      <c r="Z54" s="126" t="s">
        <v>160</v>
      </c>
      <c r="AA54" s="126" t="s">
        <v>45</v>
      </c>
      <c r="AB54" s="126" t="s">
        <v>48</v>
      </c>
    </row>
    <row r="55" spans="1:28" s="126" customFormat="1" ht="13.5" customHeight="1">
      <c r="A55" s="126" t="s">
        <v>35</v>
      </c>
      <c r="B55" s="126" t="s">
        <v>36</v>
      </c>
      <c r="C55" s="126">
        <v>2020</v>
      </c>
      <c r="D55" s="172" t="s">
        <v>162</v>
      </c>
      <c r="E55" s="126" t="s">
        <v>284</v>
      </c>
      <c r="F55" s="126" t="s">
        <v>271</v>
      </c>
      <c r="G55" s="126" t="s">
        <v>58</v>
      </c>
      <c r="H55" s="126" t="s">
        <v>40</v>
      </c>
      <c r="I55" s="126" t="s">
        <v>41</v>
      </c>
      <c r="J55" s="126" t="s">
        <v>42</v>
      </c>
      <c r="K55" s="126" t="s">
        <v>43</v>
      </c>
      <c r="L55" s="126">
        <v>3</v>
      </c>
      <c r="N55" s="126">
        <v>14</v>
      </c>
      <c r="O55" s="126">
        <v>0.2</v>
      </c>
      <c r="P55" s="126">
        <v>0.2</v>
      </c>
      <c r="Q55" s="152">
        <f t="shared" si="0"/>
        <v>0.2</v>
      </c>
      <c r="R55" s="126">
        <v>15.3</v>
      </c>
      <c r="S55" s="126">
        <v>80</v>
      </c>
      <c r="T55" s="138">
        <f t="shared" si="1"/>
        <v>39</v>
      </c>
      <c r="U55" s="126">
        <v>780</v>
      </c>
      <c r="V55" s="138">
        <f t="shared" si="2"/>
        <v>2172.8571428571431</v>
      </c>
      <c r="W55" s="126">
        <v>2</v>
      </c>
      <c r="X55" s="126" t="s">
        <v>63</v>
      </c>
      <c r="Y55" s="126" t="s">
        <v>46</v>
      </c>
      <c r="Z55" s="126" t="s">
        <v>160</v>
      </c>
      <c r="AA55" s="126" t="s">
        <v>45</v>
      </c>
      <c r="AB55" s="126" t="s">
        <v>48</v>
      </c>
    </row>
    <row r="56" spans="1:28" s="126" customFormat="1" ht="13.5" customHeight="1">
      <c r="A56" s="126" t="s">
        <v>35</v>
      </c>
      <c r="B56" s="126" t="s">
        <v>36</v>
      </c>
      <c r="C56" s="126">
        <v>2020</v>
      </c>
      <c r="D56" s="172" t="s">
        <v>162</v>
      </c>
      <c r="E56" s="126" t="s">
        <v>284</v>
      </c>
      <c r="F56" s="126" t="s">
        <v>271</v>
      </c>
      <c r="G56" s="126" t="s">
        <v>58</v>
      </c>
      <c r="H56" s="126" t="s">
        <v>156</v>
      </c>
      <c r="I56" s="126" t="s">
        <v>41</v>
      </c>
      <c r="J56" s="126" t="s">
        <v>42</v>
      </c>
      <c r="K56" s="126" t="s">
        <v>78</v>
      </c>
      <c r="L56" s="126">
        <v>1</v>
      </c>
      <c r="N56" s="126">
        <v>1</v>
      </c>
      <c r="O56" s="126">
        <v>0.2</v>
      </c>
      <c r="P56" s="126">
        <v>0.2</v>
      </c>
      <c r="Q56" s="152">
        <f t="shared" si="0"/>
        <v>0.2</v>
      </c>
      <c r="R56" s="126">
        <v>17.2</v>
      </c>
      <c r="S56" s="126">
        <v>115</v>
      </c>
      <c r="T56" s="138">
        <f t="shared" si="1"/>
        <v>33</v>
      </c>
      <c r="U56" s="126">
        <v>198</v>
      </c>
      <c r="V56" s="138">
        <f t="shared" si="2"/>
        <v>6534</v>
      </c>
      <c r="W56" s="126">
        <v>2</v>
      </c>
      <c r="X56" s="126" t="s">
        <v>63</v>
      </c>
      <c r="Y56" s="126" t="s">
        <v>46</v>
      </c>
      <c r="Z56" s="126" t="s">
        <v>160</v>
      </c>
      <c r="AA56" s="126" t="s">
        <v>45</v>
      </c>
      <c r="AB56" s="126" t="s">
        <v>48</v>
      </c>
    </row>
    <row r="57" spans="1:28" s="126" customFormat="1" ht="13.5" customHeight="1">
      <c r="A57" s="126" t="s">
        <v>35</v>
      </c>
      <c r="B57" s="126" t="s">
        <v>36</v>
      </c>
      <c r="C57" s="126">
        <v>2020</v>
      </c>
      <c r="D57" s="172" t="s">
        <v>162</v>
      </c>
      <c r="E57" s="126" t="s">
        <v>284</v>
      </c>
      <c r="F57" s="126" t="s">
        <v>271</v>
      </c>
      <c r="G57" s="126" t="s">
        <v>58</v>
      </c>
      <c r="H57" s="126" t="s">
        <v>156</v>
      </c>
      <c r="I57" s="126" t="s">
        <v>41</v>
      </c>
      <c r="J57" s="126" t="s">
        <v>42</v>
      </c>
      <c r="K57" s="126" t="s">
        <v>78</v>
      </c>
      <c r="L57" s="126">
        <v>2</v>
      </c>
      <c r="N57" s="126">
        <v>1</v>
      </c>
      <c r="O57" s="126">
        <v>0.2</v>
      </c>
      <c r="P57" s="126">
        <v>0.2</v>
      </c>
      <c r="Q57" s="152">
        <f t="shared" si="0"/>
        <v>0.2</v>
      </c>
      <c r="R57" s="126">
        <v>17.2</v>
      </c>
      <c r="S57" s="126">
        <v>123</v>
      </c>
      <c r="T57" s="138">
        <f t="shared" si="1"/>
        <v>33</v>
      </c>
      <c r="U57" s="126">
        <v>198</v>
      </c>
      <c r="V57" s="138">
        <f t="shared" si="2"/>
        <v>6534</v>
      </c>
      <c r="W57" s="126">
        <v>2</v>
      </c>
      <c r="X57" s="126" t="s">
        <v>63</v>
      </c>
      <c r="Y57" s="126" t="s">
        <v>46</v>
      </c>
      <c r="Z57" s="126" t="s">
        <v>160</v>
      </c>
      <c r="AA57" s="126" t="s">
        <v>45</v>
      </c>
      <c r="AB57" s="126" t="s">
        <v>48</v>
      </c>
    </row>
    <row r="58" spans="1:28" s="126" customFormat="1" ht="13.5" customHeight="1">
      <c r="A58" s="126" t="s">
        <v>35</v>
      </c>
      <c r="B58" s="126" t="s">
        <v>36</v>
      </c>
      <c r="C58" s="126">
        <v>2020</v>
      </c>
      <c r="D58" s="172" t="s">
        <v>162</v>
      </c>
      <c r="E58" s="126" t="s">
        <v>284</v>
      </c>
      <c r="F58" s="126" t="s">
        <v>271</v>
      </c>
      <c r="G58" s="126" t="s">
        <v>58</v>
      </c>
      <c r="H58" s="126" t="s">
        <v>156</v>
      </c>
      <c r="I58" s="126" t="s">
        <v>41</v>
      </c>
      <c r="J58" s="126" t="s">
        <v>42</v>
      </c>
      <c r="K58" s="126" t="s">
        <v>78</v>
      </c>
      <c r="L58" s="126">
        <v>3</v>
      </c>
      <c r="N58" s="126">
        <v>1</v>
      </c>
      <c r="O58" s="126">
        <v>0.2</v>
      </c>
      <c r="P58" s="126">
        <v>0.2</v>
      </c>
      <c r="Q58" s="152">
        <f t="shared" si="0"/>
        <v>0.2</v>
      </c>
      <c r="R58" s="126">
        <v>17</v>
      </c>
      <c r="S58" s="126">
        <v>122</v>
      </c>
      <c r="T58" s="138">
        <f t="shared" si="1"/>
        <v>33</v>
      </c>
      <c r="U58" s="126">
        <v>198</v>
      </c>
      <c r="V58" s="138">
        <f t="shared" si="2"/>
        <v>6534</v>
      </c>
      <c r="W58" s="126">
        <v>2</v>
      </c>
      <c r="X58" s="126" t="s">
        <v>63</v>
      </c>
      <c r="Y58" s="126" t="s">
        <v>46</v>
      </c>
      <c r="Z58" s="126" t="s">
        <v>160</v>
      </c>
      <c r="AA58" s="126" t="s">
        <v>45</v>
      </c>
      <c r="AB58" s="126" t="s">
        <v>48</v>
      </c>
    </row>
    <row r="59" spans="1:28" s="126" customFormat="1" ht="13.5" customHeight="1">
      <c r="A59" s="126" t="s">
        <v>35</v>
      </c>
      <c r="B59" s="126" t="s">
        <v>36</v>
      </c>
      <c r="C59" s="126">
        <v>2020</v>
      </c>
      <c r="D59" s="172" t="s">
        <v>162</v>
      </c>
      <c r="E59" s="126" t="s">
        <v>285</v>
      </c>
      <c r="F59" s="126" t="s">
        <v>274</v>
      </c>
      <c r="G59" s="126" t="s">
        <v>39</v>
      </c>
      <c r="H59" s="126" t="s">
        <v>40</v>
      </c>
      <c r="I59" s="126" t="s">
        <v>41</v>
      </c>
      <c r="J59" s="126" t="s">
        <v>42</v>
      </c>
      <c r="K59" s="126" t="s">
        <v>43</v>
      </c>
      <c r="L59" s="126">
        <v>1</v>
      </c>
      <c r="N59" s="126">
        <v>1</v>
      </c>
      <c r="O59" s="126">
        <v>0.2</v>
      </c>
      <c r="P59" s="126">
        <v>0.6</v>
      </c>
      <c r="Q59" s="152">
        <f t="shared" si="0"/>
        <v>0.4</v>
      </c>
      <c r="R59" s="126">
        <v>15.9</v>
      </c>
      <c r="S59" s="126">
        <v>111.5</v>
      </c>
      <c r="T59" s="138">
        <f t="shared" si="1"/>
        <v>33</v>
      </c>
      <c r="U59" s="126">
        <v>98</v>
      </c>
      <c r="V59" s="138">
        <f t="shared" si="2"/>
        <v>3234</v>
      </c>
      <c r="W59" s="126">
        <v>1</v>
      </c>
      <c r="X59" s="126" t="s">
        <v>63</v>
      </c>
      <c r="Y59" s="126" t="s">
        <v>46</v>
      </c>
      <c r="Z59" s="126" t="s">
        <v>54</v>
      </c>
      <c r="AA59" s="126" t="s">
        <v>160</v>
      </c>
      <c r="AB59" s="126" t="s">
        <v>48</v>
      </c>
    </row>
    <row r="60" spans="1:28" s="126" customFormat="1" ht="13.5" customHeight="1">
      <c r="A60" s="126" t="s">
        <v>35</v>
      </c>
      <c r="B60" s="126" t="s">
        <v>36</v>
      </c>
      <c r="C60" s="126">
        <v>2020</v>
      </c>
      <c r="D60" s="172" t="s">
        <v>162</v>
      </c>
      <c r="E60" s="126" t="s">
        <v>285</v>
      </c>
      <c r="F60" s="126" t="s">
        <v>274</v>
      </c>
      <c r="G60" s="126" t="s">
        <v>39</v>
      </c>
      <c r="H60" s="126" t="s">
        <v>40</v>
      </c>
      <c r="I60" s="126" t="s">
        <v>41</v>
      </c>
      <c r="J60" s="126" t="s">
        <v>42</v>
      </c>
      <c r="K60" s="126" t="s">
        <v>43</v>
      </c>
      <c r="L60" s="126">
        <v>2</v>
      </c>
      <c r="N60" s="126">
        <v>1</v>
      </c>
      <c r="O60" s="126">
        <v>0.2</v>
      </c>
      <c r="P60" s="126">
        <v>0.45</v>
      </c>
      <c r="Q60" s="152">
        <f t="shared" si="0"/>
        <v>0.32500000000000001</v>
      </c>
      <c r="R60" s="126">
        <v>15.5</v>
      </c>
      <c r="S60" s="126">
        <v>101.5</v>
      </c>
      <c r="T60" s="138">
        <f t="shared" si="1"/>
        <v>33</v>
      </c>
      <c r="U60" s="126">
        <v>98</v>
      </c>
      <c r="V60" s="138">
        <f t="shared" si="2"/>
        <v>3234</v>
      </c>
      <c r="W60" s="126">
        <v>1</v>
      </c>
      <c r="X60" s="126" t="s">
        <v>63</v>
      </c>
      <c r="Y60" s="126" t="s">
        <v>46</v>
      </c>
      <c r="Z60" s="126" t="s">
        <v>54</v>
      </c>
      <c r="AA60" s="126" t="s">
        <v>160</v>
      </c>
      <c r="AB60" s="126" t="s">
        <v>48</v>
      </c>
    </row>
    <row r="61" spans="1:28" s="126" customFormat="1" ht="13.5" customHeight="1">
      <c r="A61" s="126" t="s">
        <v>35</v>
      </c>
      <c r="B61" s="126" t="s">
        <v>36</v>
      </c>
      <c r="C61" s="126">
        <v>2020</v>
      </c>
      <c r="D61" s="172" t="s">
        <v>162</v>
      </c>
      <c r="E61" s="126" t="s">
        <v>285</v>
      </c>
      <c r="F61" s="126" t="s">
        <v>274</v>
      </c>
      <c r="G61" s="126" t="s">
        <v>39</v>
      </c>
      <c r="H61" s="126" t="s">
        <v>40</v>
      </c>
      <c r="I61" s="126" t="s">
        <v>41</v>
      </c>
      <c r="J61" s="126" t="s">
        <v>42</v>
      </c>
      <c r="K61" s="126" t="s">
        <v>43</v>
      </c>
      <c r="L61" s="126">
        <v>3</v>
      </c>
      <c r="N61" s="126">
        <v>1</v>
      </c>
      <c r="O61" s="126">
        <v>0.8</v>
      </c>
      <c r="P61" s="126">
        <v>0.75</v>
      </c>
      <c r="Q61" s="152">
        <f t="shared" si="0"/>
        <v>0.77500000000000002</v>
      </c>
      <c r="R61" s="126">
        <v>18.100000000000001</v>
      </c>
      <c r="S61" s="126">
        <v>102</v>
      </c>
      <c r="T61" s="138">
        <f t="shared" si="1"/>
        <v>33</v>
      </c>
      <c r="U61" s="126">
        <v>98</v>
      </c>
      <c r="V61" s="138">
        <f t="shared" si="2"/>
        <v>3234</v>
      </c>
      <c r="W61" s="126">
        <v>1</v>
      </c>
      <c r="X61" s="126" t="s">
        <v>63</v>
      </c>
      <c r="Y61" s="126" t="s">
        <v>46</v>
      </c>
      <c r="Z61" s="126" t="s">
        <v>54</v>
      </c>
      <c r="AA61" s="126" t="s">
        <v>160</v>
      </c>
      <c r="AB61" s="126" t="s">
        <v>48</v>
      </c>
    </row>
    <row r="62" spans="1:28">
      <c r="D62" s="71"/>
      <c r="T62" s="24" t="str">
        <f t="shared" ref="T62:T96" si="3">IF(H62="","",IF(OR(H62="GREEN",H62="GK"),IF(S62&gt;=$AX$2,VLOOKUP(S62,$AX$2:$AY$9,2,1),""),IF(S62&gt;=$AZ$2,VLOOKUP(S62,$AZ$2:$BA$9,2,1),"")))</f>
        <v/>
      </c>
      <c r="V62" s="24" t="str">
        <f t="shared" si="2"/>
        <v/>
      </c>
    </row>
    <row r="63" spans="1:28">
      <c r="D63" s="71"/>
      <c r="T63" s="24" t="str">
        <f t="shared" si="3"/>
        <v/>
      </c>
      <c r="V63" s="24" t="str">
        <f t="shared" si="2"/>
        <v/>
      </c>
    </row>
    <row r="64" spans="1:28">
      <c r="D64" s="71"/>
      <c r="T64" s="24" t="str">
        <f t="shared" si="3"/>
        <v/>
      </c>
      <c r="V64" s="24" t="str">
        <f t="shared" si="2"/>
        <v/>
      </c>
    </row>
    <row r="65" spans="4:22">
      <c r="D65" s="71"/>
      <c r="T65" s="24" t="str">
        <f t="shared" si="3"/>
        <v/>
      </c>
      <c r="V65" s="24" t="str">
        <f t="shared" si="2"/>
        <v/>
      </c>
    </row>
    <row r="66" spans="4:22">
      <c r="D66" s="71"/>
      <c r="T66" s="24" t="str">
        <f t="shared" si="3"/>
        <v/>
      </c>
      <c r="V66" s="24" t="str">
        <f t="shared" si="2"/>
        <v/>
      </c>
    </row>
    <row r="67" spans="4:22">
      <c r="D67" s="71"/>
      <c r="T67" s="24" t="str">
        <f t="shared" si="3"/>
        <v/>
      </c>
      <c r="V67" s="24" t="str">
        <f t="shared" si="2"/>
        <v/>
      </c>
    </row>
    <row r="68" spans="4:22">
      <c r="D68" s="71"/>
      <c r="T68" s="24" t="str">
        <f t="shared" si="3"/>
        <v/>
      </c>
      <c r="V68" s="24" t="str">
        <f t="shared" si="2"/>
        <v/>
      </c>
    </row>
    <row r="69" spans="4:22">
      <c r="D69" s="71"/>
      <c r="T69" s="24" t="str">
        <f t="shared" si="3"/>
        <v/>
      </c>
      <c r="V69" s="24" t="str">
        <f t="shared" si="2"/>
        <v/>
      </c>
    </row>
    <row r="70" spans="4:22">
      <c r="D70" s="71"/>
      <c r="T70" s="24" t="str">
        <f t="shared" si="3"/>
        <v/>
      </c>
      <c r="V70" s="24" t="str">
        <f t="shared" si="2"/>
        <v/>
      </c>
    </row>
    <row r="71" spans="4:22">
      <c r="D71" s="71"/>
      <c r="T71" s="24" t="str">
        <f t="shared" si="3"/>
        <v/>
      </c>
      <c r="V71" s="24" t="str">
        <f t="shared" si="2"/>
        <v/>
      </c>
    </row>
    <row r="72" spans="4:22">
      <c r="D72" s="71"/>
      <c r="T72" s="24" t="str">
        <f t="shared" si="3"/>
        <v/>
      </c>
      <c r="V72" s="24" t="str">
        <f t="shared" si="2"/>
        <v/>
      </c>
    </row>
    <row r="73" spans="4:22">
      <c r="D73" s="71"/>
      <c r="T73" s="24" t="str">
        <f t="shared" si="3"/>
        <v/>
      </c>
      <c r="V73" s="24" t="str">
        <f t="shared" si="2"/>
        <v/>
      </c>
    </row>
    <row r="74" spans="4:22">
      <c r="D74" s="71"/>
      <c r="T74" s="24" t="str">
        <f t="shared" si="3"/>
        <v/>
      </c>
      <c r="V74" s="24" t="str">
        <f t="shared" si="2"/>
        <v/>
      </c>
    </row>
    <row r="75" spans="4:22">
      <c r="D75" s="71"/>
      <c r="T75" s="24" t="str">
        <f t="shared" si="3"/>
        <v/>
      </c>
      <c r="V75" s="24" t="str">
        <f t="shared" si="2"/>
        <v/>
      </c>
    </row>
    <row r="76" spans="4:22">
      <c r="D76" s="71"/>
      <c r="T76" s="24" t="str">
        <f t="shared" si="3"/>
        <v/>
      </c>
      <c r="V76" s="24" t="str">
        <f t="shared" si="2"/>
        <v/>
      </c>
    </row>
    <row r="77" spans="4:22">
      <c r="D77" s="71"/>
      <c r="T77" s="24" t="str">
        <f t="shared" si="3"/>
        <v/>
      </c>
      <c r="V77" s="24" t="str">
        <f t="shared" si="2"/>
        <v/>
      </c>
    </row>
    <row r="78" spans="4:22">
      <c r="D78" s="71"/>
      <c r="T78" s="24" t="str">
        <f t="shared" si="3"/>
        <v/>
      </c>
      <c r="V78" s="24" t="str">
        <f t="shared" si="2"/>
        <v/>
      </c>
    </row>
    <row r="79" spans="4:22">
      <c r="D79" s="71"/>
      <c r="T79" s="24" t="str">
        <f t="shared" si="3"/>
        <v/>
      </c>
      <c r="V79" s="24" t="str">
        <f t="shared" si="2"/>
        <v/>
      </c>
    </row>
    <row r="80" spans="4:22">
      <c r="D80" s="71"/>
      <c r="T80" s="24" t="str">
        <f t="shared" si="3"/>
        <v/>
      </c>
      <c r="V80" s="24" t="str">
        <f t="shared" si="2"/>
        <v/>
      </c>
    </row>
    <row r="81" spans="4:22">
      <c r="D81" s="71"/>
      <c r="T81" s="24" t="str">
        <f t="shared" si="3"/>
        <v/>
      </c>
      <c r="V81" s="24" t="str">
        <f t="shared" si="2"/>
        <v/>
      </c>
    </row>
    <row r="82" spans="4:22">
      <c r="D82" s="71"/>
      <c r="T82" s="24" t="str">
        <f t="shared" si="3"/>
        <v/>
      </c>
      <c r="V82" s="24" t="str">
        <f t="shared" si="2"/>
        <v/>
      </c>
    </row>
    <row r="83" spans="4:22">
      <c r="D83" s="71"/>
      <c r="T83" s="24" t="str">
        <f t="shared" si="3"/>
        <v/>
      </c>
      <c r="V83" s="24" t="str">
        <f t="shared" si="2"/>
        <v/>
      </c>
    </row>
    <row r="84" spans="4:22">
      <c r="D84" s="71"/>
      <c r="T84" s="24" t="str">
        <f t="shared" si="3"/>
        <v/>
      </c>
      <c r="V84" s="24" t="str">
        <f t="shared" si="2"/>
        <v/>
      </c>
    </row>
    <row r="85" spans="4:22" ht="14.25" customHeight="1">
      <c r="D85" s="71"/>
      <c r="T85" s="24" t="str">
        <f t="shared" si="3"/>
        <v/>
      </c>
      <c r="V85" s="24" t="str">
        <f t="shared" si="2"/>
        <v/>
      </c>
    </row>
    <row r="86" spans="4:22" ht="14.25" customHeight="1">
      <c r="D86" s="71"/>
      <c r="T86" s="24" t="str">
        <f t="shared" si="3"/>
        <v/>
      </c>
      <c r="V86" s="24" t="str">
        <f t="shared" ref="V86:V149" si="4">IF(OR(N86="",U86="",T86=""),"",U86/N86*T86)</f>
        <v/>
      </c>
    </row>
    <row r="87" spans="4:22" ht="14.25" customHeight="1">
      <c r="D87" s="71"/>
      <c r="T87" s="24" t="str">
        <f t="shared" si="3"/>
        <v/>
      </c>
      <c r="V87" s="24" t="str">
        <f t="shared" si="4"/>
        <v/>
      </c>
    </row>
    <row r="88" spans="4:22" ht="14.25" customHeight="1">
      <c r="D88" s="71"/>
      <c r="T88" s="24" t="str">
        <f t="shared" si="3"/>
        <v/>
      </c>
      <c r="V88" s="24" t="str">
        <f t="shared" si="4"/>
        <v/>
      </c>
    </row>
    <row r="89" spans="4:22" ht="14.25" customHeight="1">
      <c r="D89" s="71"/>
      <c r="T89" s="24" t="str">
        <f t="shared" si="3"/>
        <v/>
      </c>
      <c r="V89" s="24" t="str">
        <f t="shared" si="4"/>
        <v/>
      </c>
    </row>
    <row r="90" spans="4:22" ht="14.25" customHeight="1">
      <c r="D90" s="71"/>
      <c r="T90" s="24" t="str">
        <f t="shared" si="3"/>
        <v/>
      </c>
      <c r="V90" s="24" t="str">
        <f t="shared" si="4"/>
        <v/>
      </c>
    </row>
    <row r="91" spans="4:22" ht="14.25" customHeight="1">
      <c r="D91" s="71"/>
      <c r="T91" s="24" t="str">
        <f t="shared" si="3"/>
        <v/>
      </c>
      <c r="V91" s="24" t="str">
        <f t="shared" si="4"/>
        <v/>
      </c>
    </row>
    <row r="92" spans="4:22" ht="14.25" customHeight="1">
      <c r="D92" s="71"/>
      <c r="T92" s="24" t="str">
        <f t="shared" si="3"/>
        <v/>
      </c>
      <c r="V92" s="24" t="str">
        <f t="shared" si="4"/>
        <v/>
      </c>
    </row>
    <row r="93" spans="4:22" ht="14.25" customHeight="1">
      <c r="D93" s="71"/>
      <c r="T93" s="24" t="str">
        <f t="shared" si="3"/>
        <v/>
      </c>
      <c r="V93" s="24" t="str">
        <f t="shared" si="4"/>
        <v/>
      </c>
    </row>
    <row r="94" spans="4:22" ht="14.25" customHeight="1">
      <c r="D94" s="71"/>
      <c r="T94" s="24" t="str">
        <f t="shared" si="3"/>
        <v/>
      </c>
      <c r="V94" s="24" t="str">
        <f t="shared" si="4"/>
        <v/>
      </c>
    </row>
    <row r="95" spans="4:22" ht="14.25" customHeight="1">
      <c r="D95" s="71"/>
      <c r="T95" s="24" t="str">
        <f t="shared" si="3"/>
        <v/>
      </c>
      <c r="V95" s="24" t="str">
        <f t="shared" si="4"/>
        <v/>
      </c>
    </row>
    <row r="96" spans="4:22" ht="14.25" customHeight="1">
      <c r="D96" s="71"/>
      <c r="T96" s="24" t="str">
        <f t="shared" si="3"/>
        <v/>
      </c>
      <c r="V96" s="24" t="str">
        <f t="shared" si="4"/>
        <v/>
      </c>
    </row>
    <row r="97" spans="4:22" ht="14.25" customHeight="1">
      <c r="D97" s="71"/>
      <c r="T97" s="24" t="str">
        <f t="shared" ref="T97:T160" si="5">IF(H97="","",IF(OR(H97="GREEN",H97="GK"),IF(S97&gt;=$AX$2,VLOOKUP(S97,$AX$2:$AY$9,2,1),""),IF(S97&gt;=$AZ$2,VLOOKUP(S97,$AZ$2:$BA$9,2,1),"")))</f>
        <v/>
      </c>
      <c r="V97" s="24" t="str">
        <f t="shared" si="4"/>
        <v/>
      </c>
    </row>
    <row r="98" spans="4:22" ht="14.25" customHeight="1">
      <c r="D98" s="71"/>
      <c r="T98" s="24" t="str">
        <f t="shared" si="5"/>
        <v/>
      </c>
      <c r="V98" s="24" t="str">
        <f t="shared" si="4"/>
        <v/>
      </c>
    </row>
    <row r="99" spans="4:22" ht="14.25" customHeight="1">
      <c r="D99" s="71"/>
      <c r="T99" s="24" t="str">
        <f t="shared" si="5"/>
        <v/>
      </c>
      <c r="V99" s="24" t="str">
        <f t="shared" si="4"/>
        <v/>
      </c>
    </row>
    <row r="100" spans="4:22" ht="14.25" customHeight="1">
      <c r="D100" s="71"/>
      <c r="T100" s="24" t="str">
        <f t="shared" si="5"/>
        <v/>
      </c>
      <c r="V100" s="24" t="str">
        <f t="shared" si="4"/>
        <v/>
      </c>
    </row>
    <row r="101" spans="4:22" ht="14.25" customHeight="1">
      <c r="D101" s="71"/>
      <c r="T101" s="24" t="str">
        <f t="shared" si="5"/>
        <v/>
      </c>
      <c r="V101" s="24" t="str">
        <f t="shared" si="4"/>
        <v/>
      </c>
    </row>
    <row r="102" spans="4:22" ht="14.25" customHeight="1">
      <c r="D102" s="71"/>
      <c r="T102" s="24" t="str">
        <f t="shared" si="5"/>
        <v/>
      </c>
      <c r="V102" s="24" t="str">
        <f t="shared" si="4"/>
        <v/>
      </c>
    </row>
    <row r="103" spans="4:22" ht="14.25" customHeight="1">
      <c r="D103" s="71"/>
      <c r="T103" s="24" t="str">
        <f t="shared" si="5"/>
        <v/>
      </c>
      <c r="V103" s="24" t="str">
        <f t="shared" si="4"/>
        <v/>
      </c>
    </row>
    <row r="104" spans="4:22" ht="14.25" customHeight="1">
      <c r="D104" s="71"/>
      <c r="T104" s="24" t="str">
        <f t="shared" si="5"/>
        <v/>
      </c>
      <c r="V104" s="24" t="str">
        <f t="shared" si="4"/>
        <v/>
      </c>
    </row>
    <row r="105" spans="4:22" ht="14.25" customHeight="1">
      <c r="D105" s="71"/>
      <c r="T105" s="24" t="str">
        <f t="shared" si="5"/>
        <v/>
      </c>
      <c r="V105" s="24" t="str">
        <f t="shared" si="4"/>
        <v/>
      </c>
    </row>
    <row r="106" spans="4:22" ht="14.25" customHeight="1">
      <c r="D106" s="71"/>
      <c r="T106" s="24" t="str">
        <f t="shared" si="5"/>
        <v/>
      </c>
      <c r="V106" s="24" t="str">
        <f t="shared" si="4"/>
        <v/>
      </c>
    </row>
    <row r="107" spans="4:22" ht="14.25" customHeight="1">
      <c r="D107" s="71"/>
      <c r="T107" s="24" t="str">
        <f t="shared" si="5"/>
        <v/>
      </c>
      <c r="V107" s="24" t="str">
        <f t="shared" si="4"/>
        <v/>
      </c>
    </row>
    <row r="108" spans="4:22" ht="14.25" customHeight="1">
      <c r="D108" s="71"/>
      <c r="T108" s="24" t="str">
        <f t="shared" si="5"/>
        <v/>
      </c>
      <c r="V108" s="24" t="str">
        <f t="shared" si="4"/>
        <v/>
      </c>
    </row>
    <row r="109" spans="4:22" ht="14.25" customHeight="1">
      <c r="D109" s="71"/>
      <c r="T109" s="24" t="str">
        <f t="shared" si="5"/>
        <v/>
      </c>
      <c r="V109" s="24" t="str">
        <f t="shared" si="4"/>
        <v/>
      </c>
    </row>
    <row r="110" spans="4:22" ht="14.25" customHeight="1">
      <c r="D110" s="71"/>
      <c r="T110" s="24" t="str">
        <f t="shared" si="5"/>
        <v/>
      </c>
      <c r="V110" s="24" t="str">
        <f t="shared" si="4"/>
        <v/>
      </c>
    </row>
    <row r="111" spans="4:22" ht="14.25" customHeight="1">
      <c r="D111" s="71"/>
      <c r="T111" s="24" t="str">
        <f t="shared" si="5"/>
        <v/>
      </c>
      <c r="V111" s="24" t="str">
        <f t="shared" si="4"/>
        <v/>
      </c>
    </row>
    <row r="112" spans="4:22" ht="14.25" customHeight="1">
      <c r="D112" s="71"/>
      <c r="T112" s="24" t="str">
        <f t="shared" si="5"/>
        <v/>
      </c>
      <c r="V112" s="24" t="str">
        <f t="shared" si="4"/>
        <v/>
      </c>
    </row>
    <row r="113" spans="4:22" ht="14.25" customHeight="1">
      <c r="D113" s="71"/>
      <c r="T113" s="24" t="str">
        <f t="shared" si="5"/>
        <v/>
      </c>
      <c r="V113" s="24" t="str">
        <f t="shared" si="4"/>
        <v/>
      </c>
    </row>
    <row r="114" spans="4:22" ht="14.25" customHeight="1">
      <c r="D114" s="71"/>
      <c r="T114" s="24" t="str">
        <f t="shared" si="5"/>
        <v/>
      </c>
      <c r="V114" s="24" t="str">
        <f t="shared" si="4"/>
        <v/>
      </c>
    </row>
    <row r="115" spans="4:22" ht="14.25" customHeight="1">
      <c r="D115" s="71"/>
      <c r="T115" s="24" t="str">
        <f t="shared" si="5"/>
        <v/>
      </c>
      <c r="V115" s="24" t="str">
        <f t="shared" si="4"/>
        <v/>
      </c>
    </row>
    <row r="116" spans="4:22" ht="14.25" customHeight="1">
      <c r="D116" s="71"/>
      <c r="T116" s="24" t="str">
        <f t="shared" si="5"/>
        <v/>
      </c>
      <c r="V116" s="24" t="str">
        <f t="shared" si="4"/>
        <v/>
      </c>
    </row>
    <row r="117" spans="4:22" ht="14.25" customHeight="1">
      <c r="D117" s="71"/>
      <c r="T117" s="24" t="str">
        <f t="shared" si="5"/>
        <v/>
      </c>
      <c r="V117" s="24" t="str">
        <f t="shared" si="4"/>
        <v/>
      </c>
    </row>
    <row r="118" spans="4:22" ht="14.25" customHeight="1">
      <c r="D118" s="71"/>
      <c r="T118" s="24" t="str">
        <f t="shared" si="5"/>
        <v/>
      </c>
      <c r="V118" s="24" t="str">
        <f t="shared" si="4"/>
        <v/>
      </c>
    </row>
    <row r="119" spans="4:22" ht="14.25" customHeight="1">
      <c r="D119" s="71"/>
      <c r="T119" s="24" t="str">
        <f t="shared" si="5"/>
        <v/>
      </c>
      <c r="V119" s="24" t="str">
        <f t="shared" si="4"/>
        <v/>
      </c>
    </row>
    <row r="120" spans="4:22" ht="14.25" customHeight="1">
      <c r="D120" s="71"/>
      <c r="T120" s="24" t="str">
        <f t="shared" si="5"/>
        <v/>
      </c>
      <c r="V120" s="24" t="str">
        <f t="shared" si="4"/>
        <v/>
      </c>
    </row>
    <row r="121" spans="4:22" ht="14.25" customHeight="1">
      <c r="D121" s="71"/>
      <c r="T121" s="24" t="str">
        <f t="shared" si="5"/>
        <v/>
      </c>
      <c r="V121" s="24" t="str">
        <f t="shared" si="4"/>
        <v/>
      </c>
    </row>
    <row r="122" spans="4:22" ht="14.25" customHeight="1">
      <c r="D122" s="71"/>
      <c r="T122" s="24" t="str">
        <f t="shared" si="5"/>
        <v/>
      </c>
      <c r="V122" s="24" t="str">
        <f t="shared" si="4"/>
        <v/>
      </c>
    </row>
    <row r="123" spans="4:22" ht="14.25" customHeight="1">
      <c r="D123" s="71"/>
      <c r="T123" s="24" t="str">
        <f t="shared" si="5"/>
        <v/>
      </c>
      <c r="V123" s="24" t="str">
        <f t="shared" si="4"/>
        <v/>
      </c>
    </row>
    <row r="124" spans="4:22" ht="14.25" customHeight="1">
      <c r="D124" s="71"/>
      <c r="T124" s="24" t="str">
        <f t="shared" si="5"/>
        <v/>
      </c>
      <c r="V124" s="24" t="str">
        <f t="shared" si="4"/>
        <v/>
      </c>
    </row>
    <row r="125" spans="4:22" ht="14.25" customHeight="1">
      <c r="D125" s="71"/>
      <c r="T125" s="24" t="str">
        <f t="shared" si="5"/>
        <v/>
      </c>
      <c r="V125" s="24" t="str">
        <f t="shared" si="4"/>
        <v/>
      </c>
    </row>
    <row r="126" spans="4:22" ht="14.25" customHeight="1">
      <c r="D126" s="71"/>
      <c r="T126" s="24" t="str">
        <f t="shared" si="5"/>
        <v/>
      </c>
      <c r="V126" s="24" t="str">
        <f t="shared" si="4"/>
        <v/>
      </c>
    </row>
    <row r="127" spans="4:22" ht="14.25" customHeight="1">
      <c r="D127" s="71"/>
      <c r="T127" s="24" t="str">
        <f t="shared" si="5"/>
        <v/>
      </c>
      <c r="V127" s="24" t="str">
        <f t="shared" si="4"/>
        <v/>
      </c>
    </row>
    <row r="128" spans="4:22" ht="14.25" customHeight="1">
      <c r="D128" s="71"/>
      <c r="T128" s="24" t="str">
        <f t="shared" si="5"/>
        <v/>
      </c>
      <c r="V128" s="24" t="str">
        <f t="shared" si="4"/>
        <v/>
      </c>
    </row>
    <row r="129" spans="4:22" ht="14.25" customHeight="1">
      <c r="D129" s="71"/>
      <c r="T129" s="24" t="str">
        <f t="shared" si="5"/>
        <v/>
      </c>
      <c r="V129" s="24" t="str">
        <f t="shared" si="4"/>
        <v/>
      </c>
    </row>
    <row r="130" spans="4:22" ht="14.25" customHeight="1">
      <c r="D130" s="71"/>
      <c r="T130" s="24" t="str">
        <f t="shared" si="5"/>
        <v/>
      </c>
      <c r="V130" s="24" t="str">
        <f t="shared" si="4"/>
        <v/>
      </c>
    </row>
    <row r="131" spans="4:22" ht="14.25" customHeight="1">
      <c r="D131" s="71"/>
      <c r="T131" s="24" t="str">
        <f t="shared" si="5"/>
        <v/>
      </c>
      <c r="V131" s="24" t="str">
        <f t="shared" si="4"/>
        <v/>
      </c>
    </row>
    <row r="132" spans="4:22" ht="14.25" customHeight="1">
      <c r="D132" s="71"/>
      <c r="T132" s="24" t="str">
        <f t="shared" si="5"/>
        <v/>
      </c>
      <c r="V132" s="24" t="str">
        <f t="shared" si="4"/>
        <v/>
      </c>
    </row>
    <row r="133" spans="4:22" ht="14.25" customHeight="1">
      <c r="D133" s="71"/>
      <c r="T133" s="24" t="str">
        <f t="shared" si="5"/>
        <v/>
      </c>
      <c r="V133" s="24" t="str">
        <f t="shared" si="4"/>
        <v/>
      </c>
    </row>
    <row r="134" spans="4:22" ht="14.25" customHeight="1">
      <c r="D134" s="71"/>
      <c r="T134" s="24" t="str">
        <f t="shared" si="5"/>
        <v/>
      </c>
      <c r="V134" s="24" t="str">
        <f t="shared" si="4"/>
        <v/>
      </c>
    </row>
    <row r="135" spans="4:22" ht="14.25" customHeight="1">
      <c r="D135" s="71"/>
      <c r="T135" s="24" t="str">
        <f t="shared" si="5"/>
        <v/>
      </c>
      <c r="V135" s="24" t="str">
        <f t="shared" si="4"/>
        <v/>
      </c>
    </row>
    <row r="136" spans="4:22" ht="14.25" customHeight="1">
      <c r="D136" s="71"/>
      <c r="T136" s="24" t="str">
        <f t="shared" si="5"/>
        <v/>
      </c>
      <c r="V136" s="24" t="str">
        <f t="shared" si="4"/>
        <v/>
      </c>
    </row>
    <row r="137" spans="4:22" ht="14.25" customHeight="1">
      <c r="D137" s="71"/>
      <c r="T137" s="24" t="str">
        <f t="shared" si="5"/>
        <v/>
      </c>
      <c r="V137" s="24" t="str">
        <f t="shared" si="4"/>
        <v/>
      </c>
    </row>
    <row r="138" spans="4:22" ht="14.25" customHeight="1">
      <c r="D138" s="71"/>
      <c r="T138" s="24" t="str">
        <f t="shared" si="5"/>
        <v/>
      </c>
      <c r="V138" s="24" t="str">
        <f t="shared" si="4"/>
        <v/>
      </c>
    </row>
    <row r="139" spans="4:22" ht="14.25" customHeight="1">
      <c r="D139" s="71"/>
      <c r="T139" s="24" t="str">
        <f t="shared" si="5"/>
        <v/>
      </c>
      <c r="V139" s="24" t="str">
        <f t="shared" si="4"/>
        <v/>
      </c>
    </row>
    <row r="140" spans="4:22" ht="14.25" customHeight="1">
      <c r="D140" s="71"/>
      <c r="T140" s="24" t="str">
        <f t="shared" si="5"/>
        <v/>
      </c>
      <c r="V140" s="24" t="str">
        <f t="shared" si="4"/>
        <v/>
      </c>
    </row>
    <row r="141" spans="4:22" ht="14.25" customHeight="1">
      <c r="D141" s="71"/>
      <c r="T141" s="24" t="str">
        <f t="shared" si="5"/>
        <v/>
      </c>
      <c r="V141" s="24" t="str">
        <f t="shared" si="4"/>
        <v/>
      </c>
    </row>
    <row r="142" spans="4:22" ht="14.25" customHeight="1">
      <c r="D142" s="71"/>
      <c r="T142" s="24" t="str">
        <f t="shared" si="5"/>
        <v/>
      </c>
      <c r="V142" s="24" t="str">
        <f t="shared" si="4"/>
        <v/>
      </c>
    </row>
    <row r="143" spans="4:22" ht="14.25" customHeight="1">
      <c r="D143" s="71"/>
      <c r="T143" s="24" t="str">
        <f t="shared" si="5"/>
        <v/>
      </c>
      <c r="V143" s="24" t="str">
        <f t="shared" si="4"/>
        <v/>
      </c>
    </row>
    <row r="144" spans="4:22" ht="14.25" customHeight="1">
      <c r="D144" s="71"/>
      <c r="T144" s="24" t="str">
        <f t="shared" si="5"/>
        <v/>
      </c>
      <c r="V144" s="24" t="str">
        <f t="shared" si="4"/>
        <v/>
      </c>
    </row>
    <row r="145" spans="4:22" ht="14.25" customHeight="1">
      <c r="D145" s="71"/>
      <c r="T145" s="24" t="str">
        <f t="shared" si="5"/>
        <v/>
      </c>
      <c r="V145" s="24" t="str">
        <f t="shared" si="4"/>
        <v/>
      </c>
    </row>
    <row r="146" spans="4:22" ht="14.25" customHeight="1">
      <c r="D146" s="71"/>
      <c r="T146" s="24" t="str">
        <f t="shared" si="5"/>
        <v/>
      </c>
      <c r="V146" s="24" t="str">
        <f t="shared" si="4"/>
        <v/>
      </c>
    </row>
    <row r="147" spans="4:22" ht="14.25" customHeight="1">
      <c r="D147" s="71"/>
      <c r="T147" s="24" t="str">
        <f t="shared" si="5"/>
        <v/>
      </c>
      <c r="V147" s="24" t="str">
        <f t="shared" si="4"/>
        <v/>
      </c>
    </row>
    <row r="148" spans="4:22" ht="14.25" customHeight="1">
      <c r="D148" s="71"/>
      <c r="E148" s="10" ph="1"/>
      <c r="T148" s="24" t="str">
        <f t="shared" si="5"/>
        <v/>
      </c>
      <c r="V148" s="24" t="str">
        <f t="shared" si="4"/>
        <v/>
      </c>
    </row>
    <row r="149" spans="4:22" ht="14.25" customHeight="1">
      <c r="D149" s="71"/>
      <c r="T149" s="24" t="str">
        <f t="shared" si="5"/>
        <v/>
      </c>
      <c r="V149" s="24" t="str">
        <f t="shared" si="4"/>
        <v/>
      </c>
    </row>
    <row r="150" spans="4:22" ht="14.25" customHeight="1">
      <c r="D150" s="71"/>
      <c r="T150" s="24" t="str">
        <f t="shared" si="5"/>
        <v/>
      </c>
      <c r="V150" s="24" t="str">
        <f t="shared" ref="V150:V213" si="6">IF(OR(N150="",U150="",T150=""),"",U150/N150*T150)</f>
        <v/>
      </c>
    </row>
    <row r="151" spans="4:22" ht="14.25" customHeight="1">
      <c r="D151" s="71"/>
      <c r="T151" s="24" t="str">
        <f t="shared" si="5"/>
        <v/>
      </c>
      <c r="V151" s="24" t="str">
        <f t="shared" si="6"/>
        <v/>
      </c>
    </row>
    <row r="152" spans="4:22" ht="14.25" customHeight="1">
      <c r="D152" s="71"/>
      <c r="T152" s="24" t="str">
        <f t="shared" si="5"/>
        <v/>
      </c>
      <c r="V152" s="24" t="str">
        <f t="shared" si="6"/>
        <v/>
      </c>
    </row>
    <row r="153" spans="4:22" ht="14.25" customHeight="1">
      <c r="D153" s="71"/>
      <c r="T153" s="24" t="str">
        <f t="shared" si="5"/>
        <v/>
      </c>
      <c r="V153" s="24" t="str">
        <f t="shared" si="6"/>
        <v/>
      </c>
    </row>
    <row r="154" spans="4:22" ht="14.25" customHeight="1">
      <c r="D154" s="71"/>
      <c r="T154" s="24" t="str">
        <f t="shared" si="5"/>
        <v/>
      </c>
      <c r="V154" s="24" t="str">
        <f t="shared" si="6"/>
        <v/>
      </c>
    </row>
    <row r="155" spans="4:22" ht="14.25" customHeight="1">
      <c r="D155" s="71"/>
      <c r="T155" s="24" t="str">
        <f t="shared" si="5"/>
        <v/>
      </c>
      <c r="V155" s="24" t="str">
        <f t="shared" si="6"/>
        <v/>
      </c>
    </row>
    <row r="156" spans="4:22" ht="14.25" customHeight="1">
      <c r="D156" s="71"/>
      <c r="T156" s="24" t="str">
        <f t="shared" si="5"/>
        <v/>
      </c>
      <c r="V156" s="24" t="str">
        <f t="shared" si="6"/>
        <v/>
      </c>
    </row>
    <row r="157" spans="4:22" ht="14.25" customHeight="1">
      <c r="D157" s="71"/>
      <c r="T157" s="24" t="str">
        <f t="shared" si="5"/>
        <v/>
      </c>
      <c r="V157" s="24" t="str">
        <f t="shared" si="6"/>
        <v/>
      </c>
    </row>
    <row r="158" spans="4:22" ht="14.25" customHeight="1">
      <c r="D158" s="71"/>
      <c r="T158" s="24" t="str">
        <f t="shared" si="5"/>
        <v/>
      </c>
      <c r="V158" s="24" t="str">
        <f t="shared" si="6"/>
        <v/>
      </c>
    </row>
    <row r="159" spans="4:22" ht="14.25" customHeight="1">
      <c r="D159" s="71"/>
      <c r="T159" s="24" t="str">
        <f t="shared" si="5"/>
        <v/>
      </c>
      <c r="V159" s="24" t="str">
        <f t="shared" si="6"/>
        <v/>
      </c>
    </row>
    <row r="160" spans="4:22" ht="14.25" customHeight="1">
      <c r="D160" s="71"/>
      <c r="T160" s="24" t="str">
        <f t="shared" si="5"/>
        <v/>
      </c>
      <c r="V160" s="24" t="str">
        <f t="shared" si="6"/>
        <v/>
      </c>
    </row>
    <row r="161" spans="4:22" ht="14.25" customHeight="1">
      <c r="D161" s="71"/>
      <c r="T161" s="24" t="str">
        <f t="shared" ref="T161:T224" si="7">IF(H161="","",IF(OR(H161="GREEN",H161="GK"),IF(S161&gt;=$AX$2,VLOOKUP(S161,$AX$2:$AY$9,2,1),""),IF(S161&gt;=$AZ$2,VLOOKUP(S161,$AZ$2:$BA$9,2,1),"")))</f>
        <v/>
      </c>
      <c r="V161" s="24" t="str">
        <f t="shared" si="6"/>
        <v/>
      </c>
    </row>
    <row r="162" spans="4:22" ht="14.25" customHeight="1">
      <c r="D162" s="71"/>
      <c r="T162" s="24" t="str">
        <f t="shared" si="7"/>
        <v/>
      </c>
      <c r="V162" s="24" t="str">
        <f t="shared" si="6"/>
        <v/>
      </c>
    </row>
    <row r="163" spans="4:22" ht="14.25" customHeight="1">
      <c r="D163" s="71"/>
      <c r="T163" s="24" t="str">
        <f t="shared" si="7"/>
        <v/>
      </c>
      <c r="V163" s="24" t="str">
        <f t="shared" si="6"/>
        <v/>
      </c>
    </row>
    <row r="164" spans="4:22" ht="14.25" customHeight="1">
      <c r="D164" s="71"/>
      <c r="T164" s="24" t="str">
        <f t="shared" si="7"/>
        <v/>
      </c>
      <c r="V164" s="24" t="str">
        <f t="shared" si="6"/>
        <v/>
      </c>
    </row>
    <row r="165" spans="4:22" ht="14.25" customHeight="1">
      <c r="D165" s="71"/>
      <c r="T165" s="24" t="str">
        <f t="shared" si="7"/>
        <v/>
      </c>
      <c r="V165" s="24" t="str">
        <f t="shared" si="6"/>
        <v/>
      </c>
    </row>
    <row r="166" spans="4:22" ht="14.25" customHeight="1">
      <c r="D166" s="71"/>
      <c r="T166" s="24" t="str">
        <f t="shared" si="7"/>
        <v/>
      </c>
      <c r="V166" s="24" t="str">
        <f t="shared" si="6"/>
        <v/>
      </c>
    </row>
    <row r="167" spans="4:22" ht="14.25" customHeight="1">
      <c r="D167" s="71"/>
      <c r="T167" s="24" t="str">
        <f t="shared" si="7"/>
        <v/>
      </c>
      <c r="V167" s="24" t="str">
        <f t="shared" si="6"/>
        <v/>
      </c>
    </row>
    <row r="168" spans="4:22" ht="14.25" customHeight="1">
      <c r="D168" s="71"/>
      <c r="T168" s="24" t="str">
        <f t="shared" si="7"/>
        <v/>
      </c>
      <c r="V168" s="24" t="str">
        <f t="shared" si="6"/>
        <v/>
      </c>
    </row>
    <row r="169" spans="4:22" ht="14.25" customHeight="1">
      <c r="D169" s="71"/>
      <c r="T169" s="24" t="str">
        <f t="shared" si="7"/>
        <v/>
      </c>
      <c r="V169" s="24" t="str">
        <f t="shared" si="6"/>
        <v/>
      </c>
    </row>
    <row r="170" spans="4:22" ht="14.25" customHeight="1">
      <c r="D170" s="71"/>
      <c r="T170" s="24" t="str">
        <f t="shared" si="7"/>
        <v/>
      </c>
      <c r="V170" s="24" t="str">
        <f t="shared" si="6"/>
        <v/>
      </c>
    </row>
    <row r="171" spans="4:22" ht="14.25" customHeight="1">
      <c r="D171" s="71"/>
      <c r="T171" s="24" t="str">
        <f t="shared" si="7"/>
        <v/>
      </c>
      <c r="V171" s="24" t="str">
        <f t="shared" si="6"/>
        <v/>
      </c>
    </row>
    <row r="172" spans="4:22" ht="14.25" customHeight="1">
      <c r="D172" s="71"/>
      <c r="T172" s="24" t="str">
        <f t="shared" si="7"/>
        <v/>
      </c>
      <c r="V172" s="24" t="str">
        <f t="shared" si="6"/>
        <v/>
      </c>
    </row>
    <row r="173" spans="4:22" ht="14.25" customHeight="1">
      <c r="D173" s="71"/>
      <c r="T173" s="24" t="str">
        <f t="shared" si="7"/>
        <v/>
      </c>
      <c r="V173" s="24" t="str">
        <f t="shared" si="6"/>
        <v/>
      </c>
    </row>
    <row r="174" spans="4:22" ht="14.25" customHeight="1">
      <c r="D174" s="71"/>
      <c r="T174" s="24" t="str">
        <f t="shared" si="7"/>
        <v/>
      </c>
      <c r="V174" s="24" t="str">
        <f t="shared" si="6"/>
        <v/>
      </c>
    </row>
    <row r="175" spans="4:22" ht="14.25" customHeight="1">
      <c r="D175" s="71"/>
      <c r="T175" s="24" t="str">
        <f t="shared" si="7"/>
        <v/>
      </c>
      <c r="V175" s="24" t="str">
        <f t="shared" si="6"/>
        <v/>
      </c>
    </row>
    <row r="176" spans="4:22" ht="14.25" customHeight="1">
      <c r="D176" s="71"/>
      <c r="T176" s="24" t="str">
        <f t="shared" si="7"/>
        <v/>
      </c>
      <c r="V176" s="24" t="str">
        <f t="shared" si="6"/>
        <v/>
      </c>
    </row>
    <row r="177" spans="4:22" ht="14.25" customHeight="1">
      <c r="D177" s="71"/>
      <c r="T177" s="24" t="str">
        <f t="shared" si="7"/>
        <v/>
      </c>
      <c r="V177" s="24" t="str">
        <f t="shared" si="6"/>
        <v/>
      </c>
    </row>
    <row r="178" spans="4:22" ht="14.25" customHeight="1">
      <c r="D178" s="71"/>
      <c r="T178" s="24" t="str">
        <f t="shared" si="7"/>
        <v/>
      </c>
      <c r="V178" s="24" t="str">
        <f t="shared" si="6"/>
        <v/>
      </c>
    </row>
    <row r="179" spans="4:22" ht="14.25" customHeight="1">
      <c r="D179" s="71"/>
      <c r="T179" s="24" t="str">
        <f t="shared" si="7"/>
        <v/>
      </c>
      <c r="V179" s="24" t="str">
        <f t="shared" si="6"/>
        <v/>
      </c>
    </row>
    <row r="180" spans="4:22" ht="14.25" customHeight="1">
      <c r="D180" s="71"/>
      <c r="T180" s="24" t="str">
        <f t="shared" si="7"/>
        <v/>
      </c>
      <c r="V180" s="24" t="str">
        <f t="shared" si="6"/>
        <v/>
      </c>
    </row>
    <row r="181" spans="4:22" ht="14.25" customHeight="1">
      <c r="D181" s="71"/>
      <c r="T181" s="24" t="str">
        <f t="shared" si="7"/>
        <v/>
      </c>
      <c r="V181" s="24" t="str">
        <f t="shared" si="6"/>
        <v/>
      </c>
    </row>
    <row r="182" spans="4:22" ht="14.25" customHeight="1">
      <c r="D182" s="71"/>
      <c r="T182" s="24" t="str">
        <f t="shared" si="7"/>
        <v/>
      </c>
      <c r="V182" s="24" t="str">
        <f t="shared" si="6"/>
        <v/>
      </c>
    </row>
    <row r="183" spans="4:22" ht="14.25" customHeight="1">
      <c r="D183" s="71"/>
      <c r="T183" s="24" t="str">
        <f t="shared" si="7"/>
        <v/>
      </c>
      <c r="V183" s="24" t="str">
        <f t="shared" si="6"/>
        <v/>
      </c>
    </row>
    <row r="184" spans="4:22" ht="14.25" customHeight="1">
      <c r="D184" s="71"/>
      <c r="T184" s="24" t="str">
        <f t="shared" si="7"/>
        <v/>
      </c>
      <c r="V184" s="24" t="str">
        <f t="shared" si="6"/>
        <v/>
      </c>
    </row>
    <row r="185" spans="4:22" ht="14.25" customHeight="1">
      <c r="D185" s="71"/>
      <c r="T185" s="24" t="str">
        <f t="shared" si="7"/>
        <v/>
      </c>
      <c r="V185" s="24" t="str">
        <f t="shared" si="6"/>
        <v/>
      </c>
    </row>
    <row r="186" spans="4:22" ht="14.25" customHeight="1">
      <c r="D186" s="71"/>
      <c r="T186" s="24" t="str">
        <f t="shared" si="7"/>
        <v/>
      </c>
      <c r="V186" s="24" t="str">
        <f t="shared" si="6"/>
        <v/>
      </c>
    </row>
    <row r="187" spans="4:22" ht="14.25" customHeight="1">
      <c r="D187" s="71"/>
      <c r="T187" s="24" t="str">
        <f t="shared" si="7"/>
        <v/>
      </c>
      <c r="V187" s="24" t="str">
        <f t="shared" si="6"/>
        <v/>
      </c>
    </row>
    <row r="188" spans="4:22" ht="14.25" customHeight="1">
      <c r="D188" s="71"/>
      <c r="T188" s="24" t="str">
        <f t="shared" si="7"/>
        <v/>
      </c>
      <c r="V188" s="24" t="str">
        <f t="shared" si="6"/>
        <v/>
      </c>
    </row>
    <row r="189" spans="4:22" ht="14.25" customHeight="1">
      <c r="D189" s="71"/>
      <c r="T189" s="24" t="str">
        <f t="shared" si="7"/>
        <v/>
      </c>
      <c r="V189" s="24" t="str">
        <f t="shared" si="6"/>
        <v/>
      </c>
    </row>
    <row r="190" spans="4:22" ht="14.25" customHeight="1">
      <c r="D190" s="71"/>
      <c r="T190" s="24" t="str">
        <f t="shared" si="7"/>
        <v/>
      </c>
      <c r="V190" s="24" t="str">
        <f t="shared" si="6"/>
        <v/>
      </c>
    </row>
    <row r="191" spans="4:22" ht="14.25" customHeight="1">
      <c r="D191" s="71"/>
      <c r="T191" s="24" t="str">
        <f t="shared" si="7"/>
        <v/>
      </c>
      <c r="V191" s="24" t="str">
        <f t="shared" si="6"/>
        <v/>
      </c>
    </row>
    <row r="192" spans="4:22" ht="14.25" customHeight="1">
      <c r="D192" s="71"/>
      <c r="T192" s="24" t="str">
        <f t="shared" si="7"/>
        <v/>
      </c>
      <c r="V192" s="24" t="str">
        <f t="shared" si="6"/>
        <v/>
      </c>
    </row>
    <row r="193" spans="4:22" ht="14.25" customHeight="1">
      <c r="D193" s="71"/>
      <c r="T193" s="24" t="str">
        <f t="shared" si="7"/>
        <v/>
      </c>
      <c r="V193" s="24" t="str">
        <f t="shared" si="6"/>
        <v/>
      </c>
    </row>
    <row r="194" spans="4:22" ht="14.25" customHeight="1">
      <c r="D194" s="71"/>
      <c r="T194" s="24" t="str">
        <f t="shared" si="7"/>
        <v/>
      </c>
      <c r="V194" s="24" t="str">
        <f t="shared" si="6"/>
        <v/>
      </c>
    </row>
    <row r="195" spans="4:22" ht="14.25" customHeight="1">
      <c r="D195" s="71"/>
      <c r="T195" s="24" t="str">
        <f t="shared" si="7"/>
        <v/>
      </c>
      <c r="V195" s="24" t="str">
        <f t="shared" si="6"/>
        <v/>
      </c>
    </row>
    <row r="196" spans="4:22" ht="14.25" customHeight="1">
      <c r="D196" s="71"/>
      <c r="T196" s="24" t="str">
        <f t="shared" si="7"/>
        <v/>
      </c>
      <c r="V196" s="24" t="str">
        <f t="shared" si="6"/>
        <v/>
      </c>
    </row>
    <row r="197" spans="4:22" ht="14.25" customHeight="1">
      <c r="D197" s="71"/>
      <c r="T197" s="24" t="str">
        <f t="shared" si="7"/>
        <v/>
      </c>
      <c r="V197" s="24" t="str">
        <f t="shared" si="6"/>
        <v/>
      </c>
    </row>
    <row r="198" spans="4:22" ht="14.25" customHeight="1">
      <c r="D198" s="71"/>
      <c r="T198" s="24" t="str">
        <f t="shared" si="7"/>
        <v/>
      </c>
      <c r="V198" s="24" t="str">
        <f t="shared" si="6"/>
        <v/>
      </c>
    </row>
    <row r="199" spans="4:22" ht="14.25" customHeight="1">
      <c r="D199" s="71"/>
      <c r="T199" s="24" t="str">
        <f t="shared" si="7"/>
        <v/>
      </c>
      <c r="V199" s="24" t="str">
        <f t="shared" si="6"/>
        <v/>
      </c>
    </row>
    <row r="200" spans="4:22" ht="14.25" customHeight="1">
      <c r="D200" s="71"/>
      <c r="T200" s="24" t="str">
        <f t="shared" si="7"/>
        <v/>
      </c>
      <c r="V200" s="24" t="str">
        <f t="shared" si="6"/>
        <v/>
      </c>
    </row>
    <row r="201" spans="4:22" ht="14.25" customHeight="1">
      <c r="D201" s="71"/>
      <c r="T201" s="24" t="str">
        <f t="shared" si="7"/>
        <v/>
      </c>
      <c r="V201" s="24" t="str">
        <f t="shared" si="6"/>
        <v/>
      </c>
    </row>
    <row r="202" spans="4:22" ht="14.25" customHeight="1">
      <c r="D202" s="71"/>
      <c r="T202" s="24" t="str">
        <f t="shared" si="7"/>
        <v/>
      </c>
      <c r="V202" s="24" t="str">
        <f t="shared" si="6"/>
        <v/>
      </c>
    </row>
    <row r="203" spans="4:22" ht="14.25" customHeight="1">
      <c r="D203" s="71"/>
      <c r="T203" s="24" t="str">
        <f t="shared" si="7"/>
        <v/>
      </c>
      <c r="V203" s="24" t="str">
        <f t="shared" si="6"/>
        <v/>
      </c>
    </row>
    <row r="204" spans="4:22" ht="14.25" customHeight="1">
      <c r="D204" s="71"/>
      <c r="T204" s="24" t="str">
        <f t="shared" si="7"/>
        <v/>
      </c>
      <c r="V204" s="24" t="str">
        <f t="shared" si="6"/>
        <v/>
      </c>
    </row>
    <row r="205" spans="4:22" ht="14.25" customHeight="1">
      <c r="D205" s="71"/>
      <c r="T205" s="24" t="str">
        <f t="shared" si="7"/>
        <v/>
      </c>
      <c r="V205" s="24" t="str">
        <f t="shared" si="6"/>
        <v/>
      </c>
    </row>
    <row r="206" spans="4:22" ht="14.25" customHeight="1">
      <c r="D206" s="71"/>
      <c r="T206" s="24" t="str">
        <f t="shared" si="7"/>
        <v/>
      </c>
      <c r="V206" s="24" t="str">
        <f t="shared" si="6"/>
        <v/>
      </c>
    </row>
    <row r="207" spans="4:22" ht="14.25" customHeight="1">
      <c r="D207" s="71"/>
      <c r="T207" s="24" t="str">
        <f t="shared" si="7"/>
        <v/>
      </c>
      <c r="V207" s="24" t="str">
        <f t="shared" si="6"/>
        <v/>
      </c>
    </row>
    <row r="208" spans="4:22" ht="14.25" customHeight="1">
      <c r="D208" s="71"/>
      <c r="T208" s="24" t="str">
        <f t="shared" si="7"/>
        <v/>
      </c>
      <c r="V208" s="24" t="str">
        <f t="shared" si="6"/>
        <v/>
      </c>
    </row>
    <row r="209" spans="4:22" ht="14.25" customHeight="1">
      <c r="D209" s="71"/>
      <c r="T209" s="24" t="str">
        <f t="shared" si="7"/>
        <v/>
      </c>
      <c r="V209" s="24" t="str">
        <f t="shared" si="6"/>
        <v/>
      </c>
    </row>
    <row r="210" spans="4:22" ht="14.25" customHeight="1">
      <c r="D210" s="71"/>
      <c r="T210" s="24" t="str">
        <f t="shared" si="7"/>
        <v/>
      </c>
      <c r="V210" s="24" t="str">
        <f t="shared" si="6"/>
        <v/>
      </c>
    </row>
    <row r="211" spans="4:22" ht="14.25" customHeight="1">
      <c r="D211" s="71"/>
      <c r="T211" s="24" t="str">
        <f t="shared" si="7"/>
        <v/>
      </c>
      <c r="V211" s="24" t="str">
        <f t="shared" si="6"/>
        <v/>
      </c>
    </row>
    <row r="212" spans="4:22" ht="14.25" customHeight="1">
      <c r="D212" s="71"/>
      <c r="T212" s="24" t="str">
        <f t="shared" si="7"/>
        <v/>
      </c>
      <c r="V212" s="24" t="str">
        <f t="shared" si="6"/>
        <v/>
      </c>
    </row>
    <row r="213" spans="4:22" ht="14.25" customHeight="1">
      <c r="D213" s="71"/>
      <c r="T213" s="24" t="str">
        <f t="shared" si="7"/>
        <v/>
      </c>
      <c r="V213" s="24" t="str">
        <f t="shared" si="6"/>
        <v/>
      </c>
    </row>
    <row r="214" spans="4:22" ht="14.25" customHeight="1">
      <c r="D214" s="71"/>
      <c r="T214" s="24" t="str">
        <f t="shared" si="7"/>
        <v/>
      </c>
      <c r="V214" s="24" t="str">
        <f t="shared" ref="V214:V230" si="8">IF(OR(N214="",U214="",T214=""),"",U214/N214*T214)</f>
        <v/>
      </c>
    </row>
    <row r="215" spans="4:22" ht="14.25" customHeight="1">
      <c r="D215" s="71"/>
      <c r="T215" s="24" t="str">
        <f t="shared" si="7"/>
        <v/>
      </c>
      <c r="V215" s="24" t="str">
        <f t="shared" si="8"/>
        <v/>
      </c>
    </row>
    <row r="216" spans="4:22" ht="14.25" customHeight="1">
      <c r="D216" s="71"/>
      <c r="T216" s="24" t="str">
        <f t="shared" si="7"/>
        <v/>
      </c>
      <c r="V216" s="24" t="str">
        <f t="shared" si="8"/>
        <v/>
      </c>
    </row>
    <row r="217" spans="4:22" ht="14.25" customHeight="1">
      <c r="D217" s="71"/>
      <c r="T217" s="24" t="str">
        <f t="shared" si="7"/>
        <v/>
      </c>
      <c r="V217" s="24" t="str">
        <f t="shared" si="8"/>
        <v/>
      </c>
    </row>
    <row r="218" spans="4:22" ht="14.25" customHeight="1">
      <c r="D218" s="71"/>
      <c r="T218" s="24" t="str">
        <f t="shared" si="7"/>
        <v/>
      </c>
      <c r="V218" s="24" t="str">
        <f t="shared" si="8"/>
        <v/>
      </c>
    </row>
    <row r="219" spans="4:22" ht="14.25" customHeight="1">
      <c r="D219" s="71"/>
      <c r="T219" s="24" t="str">
        <f t="shared" si="7"/>
        <v/>
      </c>
      <c r="V219" s="24" t="str">
        <f t="shared" si="8"/>
        <v/>
      </c>
    </row>
    <row r="220" spans="4:22" ht="14.25" customHeight="1">
      <c r="D220" s="71"/>
      <c r="T220" s="24" t="str">
        <f t="shared" si="7"/>
        <v/>
      </c>
      <c r="V220" s="24" t="str">
        <f t="shared" si="8"/>
        <v/>
      </c>
    </row>
    <row r="221" spans="4:22" ht="14.25" customHeight="1">
      <c r="D221" s="71"/>
      <c r="T221" s="24" t="str">
        <f t="shared" si="7"/>
        <v/>
      </c>
      <c r="V221" s="24" t="str">
        <f t="shared" si="8"/>
        <v/>
      </c>
    </row>
    <row r="222" spans="4:22" ht="14.25" customHeight="1">
      <c r="D222" s="71"/>
      <c r="T222" s="24" t="str">
        <f t="shared" si="7"/>
        <v/>
      </c>
      <c r="V222" s="24" t="str">
        <f t="shared" si="8"/>
        <v/>
      </c>
    </row>
    <row r="223" spans="4:22" ht="14.25" customHeight="1">
      <c r="D223" s="71"/>
      <c r="T223" s="24" t="str">
        <f t="shared" si="7"/>
        <v/>
      </c>
      <c r="V223" s="24" t="str">
        <f t="shared" si="8"/>
        <v/>
      </c>
    </row>
    <row r="224" spans="4:22" ht="14.25" customHeight="1">
      <c r="D224" s="71"/>
      <c r="T224" s="24" t="str">
        <f t="shared" si="7"/>
        <v/>
      </c>
      <c r="V224" s="24" t="str">
        <f t="shared" si="8"/>
        <v/>
      </c>
    </row>
    <row r="225" spans="4:22" ht="14.25" customHeight="1">
      <c r="D225" s="71"/>
      <c r="T225" s="24" t="str">
        <f t="shared" ref="T225:T241" si="9">IF(H225="","",IF(OR(H225="GREEN",H225="GK"),IF(S225&gt;=$AX$2,VLOOKUP(S225,$AX$2:$AY$9,2,1),""),IF(S225&gt;=$AZ$2,VLOOKUP(S225,$AZ$2:$BA$9,2,1),"")))</f>
        <v/>
      </c>
      <c r="V225" s="24" t="str">
        <f t="shared" si="8"/>
        <v/>
      </c>
    </row>
    <row r="226" spans="4:22" ht="14.25" customHeight="1">
      <c r="D226" s="71"/>
      <c r="T226" s="24" t="str">
        <f t="shared" si="9"/>
        <v/>
      </c>
      <c r="V226" s="24" t="str">
        <f t="shared" si="8"/>
        <v/>
      </c>
    </row>
    <row r="227" spans="4:22" ht="14.25" customHeight="1">
      <c r="D227" s="71"/>
      <c r="T227" s="24" t="str">
        <f t="shared" si="9"/>
        <v/>
      </c>
      <c r="V227" s="24" t="str">
        <f t="shared" si="8"/>
        <v/>
      </c>
    </row>
    <row r="228" spans="4:22" ht="14.25" customHeight="1">
      <c r="D228" s="71"/>
      <c r="T228" s="24" t="str">
        <f t="shared" si="9"/>
        <v/>
      </c>
      <c r="V228" s="24" t="str">
        <f t="shared" si="8"/>
        <v/>
      </c>
    </row>
    <row r="229" spans="4:22" ht="14.25" customHeight="1">
      <c r="D229" s="71"/>
      <c r="T229" s="24" t="str">
        <f t="shared" si="9"/>
        <v/>
      </c>
      <c r="V229" s="24" t="str">
        <f t="shared" si="8"/>
        <v/>
      </c>
    </row>
    <row r="230" spans="4:22" ht="14.25" customHeight="1">
      <c r="D230" s="71"/>
      <c r="T230" s="24" t="str">
        <f t="shared" si="9"/>
        <v/>
      </c>
      <c r="V230" s="24" t="str">
        <f t="shared" si="8"/>
        <v/>
      </c>
    </row>
  </sheetData>
  <autoFilter ref="A1:BA142" xr:uid="{00000000-0009-0000-0000-000000000000}"/>
  <phoneticPr fontId="3"/>
  <dataValidations count="16">
    <dataValidation type="list" allowBlank="1" showInputMessage="1" showErrorMessage="1" sqref="J104:J970" xr:uid="{73CC8B3F-AD12-4085-9256-C1AD5CC114FF}">
      <formula1>$AP$2:$AP$26</formula1>
    </dataValidation>
    <dataValidation type="list" allowBlank="1" showInputMessage="1" showErrorMessage="1" sqref="J65505:J65583 J131041:J131119 J196577:J196655 J262113:J262191 J327649:J327727 J393185:J393263 J458721:J458799 J524257:J524335 J589793:J589871 J655329:J655407 J720865:J720943 J786401:J786479 J851937:J852015 J917473:J917551 J983009:J983087" xr:uid="{3D55B694-B323-43DE-970E-0266FB15331E}">
      <formula1>$AP$2:$AP$15</formula1>
    </dataValidation>
    <dataValidation type="list" allowBlank="1" showInputMessage="1" showErrorMessage="1" sqref="K65505:K65583 K983009:K983087 K917473:K917551 K851937:K852015 K786401:K786479 K720865:K720943 K655329:K655407 K589793:K589871 K524257:K524335 K458721:K458799 K393185:K393263 K327649:K327727 K262113:K262191 K196577:K196655 K131041:K131119" xr:uid="{66D7BD11-88E7-420D-A91C-837BD0225D9D}">
      <formula1>$AR$2:$AR$33</formula1>
    </dataValidation>
    <dataValidation type="list" allowBlank="1" showInputMessage="1" showErrorMessage="1" sqref="H2:H10" xr:uid="{BAE64835-C210-41B5-9976-338D2EEDA9D9}">
      <formula1>$AL$2:$AL$20</formula1>
    </dataValidation>
    <dataValidation type="decimal" allowBlank="1" showInputMessage="1" showErrorMessage="1" error="硬度を正しく入力して下さい。" sqref="O2:O16 O231:P440 O18:O230 P2:P230" xr:uid="{623298E5-5B09-4152-A941-7A094965D98C}">
      <formula1>0</formula1>
      <formula2>7</formula2>
    </dataValidation>
    <dataValidation type="list" allowBlank="1" showInputMessage="1" showErrorMessage="1" sqref="J2:J103" xr:uid="{082B8250-8360-4C18-B74F-5CCC05A7E149}">
      <formula1>$AP$2:$AP$27</formula1>
    </dataValidation>
    <dataValidation type="list" allowBlank="1" showInputMessage="1" showErrorMessage="1" sqref="K2:K970" xr:uid="{F301FAB1-45E5-4AC5-A242-3D942452731C}">
      <formula1>$AR$2:$AR$26</formula1>
    </dataValidation>
    <dataValidation type="list" allowBlank="1" showInputMessage="1" showErrorMessage="1" sqref="H11:H1063" xr:uid="{ABC72B10-D043-4976-A81E-41354429D6E0}">
      <formula1>$AL$2:$AL$9</formula1>
    </dataValidation>
    <dataValidation type="list" allowBlank="1" showInputMessage="1" showErrorMessage="1" sqref="E2:E440" xr:uid="{C091D820-368C-47B9-950E-E31999A7BFF0}">
      <formula1>$AG$2:$AG$11</formula1>
    </dataValidation>
    <dataValidation type="list" allowBlank="1" showInputMessage="1" showErrorMessage="1" sqref="F2:F440" xr:uid="{AD1EC7EE-8BCF-4BB6-8DEC-542F4D62210E}">
      <formula1>$AH$2:$AH$11</formula1>
    </dataValidation>
    <dataValidation type="list" allowBlank="1" showInputMessage="1" showErrorMessage="1" sqref="I2:I440" xr:uid="{8A245139-4CA6-49DF-9A09-FA4364A76E4C}">
      <formula1>$AN$5:$AN$6</formula1>
    </dataValidation>
    <dataValidation type="list" allowBlank="1" showInputMessage="1" showErrorMessage="1" sqref="G2:G440" xr:uid="{C503137C-684A-4824-9F52-140B75654DF0}">
      <formula1>$AJ$2:$AJ$4</formula1>
    </dataValidation>
    <dataValidation type="list" allowBlank="1" showInputMessage="1" showErrorMessage="1" sqref="X2:X440" xr:uid="{BAD72980-AD97-4BB6-8103-7428A7BFA622}">
      <formula1>$AT$2:$AT$3</formula1>
    </dataValidation>
    <dataValidation type="list" allowBlank="1" showInputMessage="1" showErrorMessage="1" sqref="Y2:AA440" xr:uid="{1D116A55-C787-414C-A8CE-11A1A7D70627}">
      <formula1>$AV$2:$AV$21</formula1>
    </dataValidation>
    <dataValidation type="list" allowBlank="1" showInputMessage="1" showErrorMessage="1" sqref="A2:A439" xr:uid="{19CFEEC8-2E21-4A4D-A96D-64BFA93F7612}">
      <formula1>$AE$2:$AE$19</formula1>
    </dataValidation>
    <dataValidation operator="equal" allowBlank="1" showInputMessage="1" showErrorMessage="1" sqref="B2:B230" xr:uid="{C12B7E34-2F0A-4F44-8D7F-C2150B3D3D4E}"/>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3415CC6-A253-4FD7-A786-28E2390B4495}"/>
</file>

<file path=customXml/itemProps2.xml><?xml version="1.0" encoding="utf-8"?>
<ds:datastoreItem xmlns:ds="http://schemas.openxmlformats.org/officeDocument/2006/customXml" ds:itemID="{2E0B5681-1E86-499B-B43E-B71171D84FC7}"/>
</file>

<file path=customXml/itemProps3.xml><?xml version="1.0" encoding="utf-8"?>
<ds:datastoreItem xmlns:ds="http://schemas.openxmlformats.org/officeDocument/2006/customXml" ds:itemID="{63B5B8FF-9983-4050-B19E-BEA8E5431C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aspeuser</dc:creator>
  <cp:lastModifiedBy>aspeuser</cp:lastModifiedBy>
  <dcterms:created xsi:type="dcterms:W3CDTF">2020-12-07T01:33:22Z</dcterms:created>
  <dcterms:modified xsi:type="dcterms:W3CDTF">2021-01-08T06:28:54Z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