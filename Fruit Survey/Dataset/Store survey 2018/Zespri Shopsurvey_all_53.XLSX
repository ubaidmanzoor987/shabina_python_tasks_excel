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fukuoka!$A$1:$BA$146</definedName>
    <definedName name="_xlnm._FilterDatabase" localSheetId="4" hidden="1">hiroshima!$A$1:$BA$1</definedName>
    <definedName name="_xlnm._FilterDatabase" localSheetId="1" hidden="1">miyagi!$A$1:$BA$81</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'tokyo-west(kato)'!$A$1:$BA$73</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hiroshima!$E$1:$S$72</definedName>
    <definedName name="_xlnm.Print_Area" localSheetId="6">'tokyo-east(ota)'!$A$1:$AH$35</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73" i="32" l="1"/>
  <c r="V73" i="32" s="1"/>
  <c r="Q73" i="32"/>
  <c r="T72" i="32"/>
  <c r="V72" i="32" s="1"/>
  <c r="Q72" i="32"/>
  <c r="V71" i="32"/>
  <c r="T71" i="32"/>
  <c r="Q71" i="32"/>
  <c r="T70" i="32"/>
  <c r="V70" i="32" s="1"/>
  <c r="Q70" i="32"/>
  <c r="T69" i="32"/>
  <c r="V69" i="32" s="1"/>
  <c r="Q69" i="32"/>
  <c r="T68" i="32"/>
  <c r="V68" i="32" s="1"/>
  <c r="Q68" i="32"/>
  <c r="V67" i="32"/>
  <c r="T67" i="32"/>
  <c r="Q67" i="32"/>
  <c r="T66" i="32"/>
  <c r="V66" i="32" s="1"/>
  <c r="Q66" i="32"/>
  <c r="T65" i="32"/>
  <c r="V65" i="32" s="1"/>
  <c r="Q65" i="32"/>
  <c r="T64" i="32"/>
  <c r="V64" i="32" s="1"/>
  <c r="Q64" i="32"/>
  <c r="V63" i="32"/>
  <c r="T63" i="32"/>
  <c r="Q63" i="32"/>
  <c r="T62" i="32"/>
  <c r="V62" i="32" s="1"/>
  <c r="Q62" i="32"/>
  <c r="T61" i="32"/>
  <c r="V61" i="32" s="1"/>
  <c r="Q61" i="32"/>
  <c r="T60" i="32"/>
  <c r="V60" i="32" s="1"/>
  <c r="Q60" i="32"/>
  <c r="V59" i="32"/>
  <c r="T59" i="32"/>
  <c r="Q59" i="32"/>
  <c r="T58" i="32"/>
  <c r="V58" i="32" s="1"/>
  <c r="Q58" i="32"/>
  <c r="T57" i="32"/>
  <c r="V57" i="32" s="1"/>
  <c r="Q57" i="32"/>
  <c r="T56" i="32"/>
  <c r="V56" i="32" s="1"/>
  <c r="Q56" i="32"/>
  <c r="V55" i="32"/>
  <c r="T55" i="32"/>
  <c r="Q55" i="32"/>
  <c r="T54" i="32"/>
  <c r="V54" i="32" s="1"/>
  <c r="Q54" i="32"/>
  <c r="T53" i="32"/>
  <c r="V53" i="32" s="1"/>
  <c r="Q53" i="32"/>
  <c r="T52" i="32"/>
  <c r="V52" i="32" s="1"/>
  <c r="Q52" i="32"/>
  <c r="V51" i="32"/>
  <c r="T51" i="32"/>
  <c r="Q51" i="32"/>
  <c r="T50" i="32"/>
  <c r="V50" i="32" s="1"/>
  <c r="Q50" i="32"/>
  <c r="T49" i="32"/>
  <c r="V49" i="32" s="1"/>
  <c r="Q49" i="32"/>
  <c r="T48" i="32"/>
  <c r="V48" i="32" s="1"/>
  <c r="Q48" i="32"/>
  <c r="V47" i="32"/>
  <c r="T47" i="32"/>
  <c r="Q47" i="32"/>
  <c r="T46" i="32"/>
  <c r="V46" i="32" s="1"/>
  <c r="Q46" i="32"/>
  <c r="T45" i="32"/>
  <c r="V45" i="32" s="1"/>
  <c r="Q45" i="32"/>
  <c r="T44" i="32"/>
  <c r="V44" i="32" s="1"/>
  <c r="Q44" i="32"/>
  <c r="V43" i="32"/>
  <c r="T43" i="32"/>
  <c r="Q43" i="32"/>
  <c r="T42" i="32"/>
  <c r="V42" i="32" s="1"/>
  <c r="Q42" i="32"/>
  <c r="T41" i="32"/>
  <c r="V41" i="32" s="1"/>
  <c r="Q41" i="32"/>
  <c r="T40" i="32"/>
  <c r="V40" i="32" s="1"/>
  <c r="Q40" i="32"/>
  <c r="V39" i="32"/>
  <c r="T39" i="32"/>
  <c r="Q39" i="32"/>
  <c r="T38" i="32"/>
  <c r="V38" i="32" s="1"/>
  <c r="Q38" i="32"/>
  <c r="T37" i="32"/>
  <c r="V37" i="32" s="1"/>
  <c r="Q37" i="32"/>
  <c r="T36" i="32"/>
  <c r="V36" i="32" s="1"/>
  <c r="Q36" i="32"/>
  <c r="V35" i="32"/>
  <c r="T35" i="32"/>
  <c r="Q35" i="32"/>
  <c r="T34" i="32"/>
  <c r="V34" i="32" s="1"/>
  <c r="Q34" i="32"/>
  <c r="T33" i="32"/>
  <c r="V33" i="32" s="1"/>
  <c r="Q33" i="32"/>
  <c r="T32" i="32"/>
  <c r="V32" i="32" s="1"/>
  <c r="Q32" i="32"/>
  <c r="V31" i="32"/>
  <c r="T31" i="32"/>
  <c r="Q31" i="32"/>
  <c r="T30" i="32"/>
  <c r="V30" i="32" s="1"/>
  <c r="Q30" i="32"/>
  <c r="T29" i="32"/>
  <c r="V29" i="32" s="1"/>
  <c r="Q29" i="32"/>
  <c r="T28" i="32"/>
  <c r="V28" i="32" s="1"/>
  <c r="Q28" i="32"/>
  <c r="V27" i="32"/>
  <c r="T27" i="32"/>
  <c r="Q27" i="32"/>
  <c r="T26" i="32"/>
  <c r="V26" i="32" s="1"/>
  <c r="Q26" i="32"/>
  <c r="T25" i="32"/>
  <c r="V25" i="32" s="1"/>
  <c r="Q25" i="32"/>
  <c r="T24" i="32"/>
  <c r="V24" i="32" s="1"/>
  <c r="Q24" i="32"/>
  <c r="V23" i="32"/>
  <c r="T23" i="32"/>
  <c r="Q23" i="32"/>
  <c r="T22" i="32"/>
  <c r="V22" i="32" s="1"/>
  <c r="Q22" i="32"/>
  <c r="T21" i="32"/>
  <c r="V21" i="32" s="1"/>
  <c r="Q21" i="32"/>
  <c r="T20" i="32"/>
  <c r="V20" i="32" s="1"/>
  <c r="Q20" i="32"/>
  <c r="V19" i="32"/>
  <c r="T19" i="32"/>
  <c r="Q19" i="32"/>
  <c r="T18" i="32"/>
  <c r="V18" i="32" s="1"/>
  <c r="Q18" i="32"/>
  <c r="T17" i="32"/>
  <c r="V17" i="32" s="1"/>
  <c r="Q17" i="32"/>
  <c r="T16" i="32"/>
  <c r="V16" i="32" s="1"/>
  <c r="Q16" i="32"/>
  <c r="V15" i="32"/>
  <c r="T15" i="32"/>
  <c r="Q15" i="32"/>
  <c r="T14" i="32"/>
  <c r="V14" i="32" s="1"/>
  <c r="Q14" i="32"/>
  <c r="T13" i="32"/>
  <c r="V13" i="32" s="1"/>
  <c r="Q13" i="32"/>
  <c r="T12" i="32"/>
  <c r="V12" i="32" s="1"/>
  <c r="Q12" i="32"/>
  <c r="V11" i="32"/>
  <c r="T11" i="32"/>
  <c r="Q11" i="32"/>
  <c r="T10" i="32"/>
  <c r="V10" i="32" s="1"/>
  <c r="Q10" i="32"/>
  <c r="T9" i="32"/>
  <c r="V9" i="32" s="1"/>
  <c r="Q9" i="32"/>
  <c r="T8" i="32"/>
  <c r="V8" i="32" s="1"/>
  <c r="Q8" i="32"/>
  <c r="V7" i="32"/>
  <c r="T7" i="32"/>
  <c r="Q7" i="32"/>
  <c r="T6" i="32"/>
  <c r="V6" i="32" s="1"/>
  <c r="Q6" i="32"/>
  <c r="T5" i="32"/>
  <c r="V5" i="32" s="1"/>
  <c r="Q5" i="32"/>
  <c r="T4" i="32"/>
  <c r="V4" i="32" s="1"/>
  <c r="Q4" i="32"/>
  <c r="V3" i="32"/>
  <c r="T3" i="32"/>
  <c r="Q3" i="32"/>
  <c r="T2" i="32"/>
  <c r="V2" i="32" s="1"/>
  <c r="Q2" i="32"/>
  <c r="T46" i="31" l="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V76" i="29" l="1"/>
  <c r="T76" i="29"/>
  <c r="Q76" i="29"/>
  <c r="T75" i="29"/>
  <c r="V75" i="29" s="1"/>
  <c r="Q75" i="29"/>
  <c r="V74" i="29"/>
  <c r="T74" i="29"/>
  <c r="Q74" i="29"/>
  <c r="T73" i="29"/>
  <c r="V73" i="29" s="1"/>
  <c r="Q73" i="29"/>
  <c r="V72" i="29"/>
  <c r="T72" i="29"/>
  <c r="Q72" i="29"/>
  <c r="T71" i="29"/>
  <c r="V71" i="29" s="1"/>
  <c r="Q71" i="29"/>
  <c r="V70" i="29"/>
  <c r="T70" i="29"/>
  <c r="Q70" i="29"/>
  <c r="T69" i="29"/>
  <c r="V69" i="29" s="1"/>
  <c r="Q69" i="29"/>
  <c r="V68" i="29"/>
  <c r="T68" i="29"/>
  <c r="Q68" i="29"/>
  <c r="T67" i="29"/>
  <c r="V67" i="29" s="1"/>
  <c r="Q67" i="29"/>
  <c r="V66" i="29"/>
  <c r="T66" i="29"/>
  <c r="Q66" i="29"/>
  <c r="T65" i="29"/>
  <c r="V65" i="29" s="1"/>
  <c r="Q65" i="29"/>
  <c r="V64" i="29"/>
  <c r="T64" i="29"/>
  <c r="Q64" i="29"/>
  <c r="T63" i="29"/>
  <c r="V63" i="29" s="1"/>
  <c r="Q63" i="29"/>
  <c r="V62" i="29"/>
  <c r="T62" i="29"/>
  <c r="Q62" i="29"/>
  <c r="T61" i="29"/>
  <c r="V61" i="29" s="1"/>
  <c r="Q61" i="29"/>
  <c r="V60" i="29"/>
  <c r="T60" i="29"/>
  <c r="Q60" i="29"/>
  <c r="T59" i="29"/>
  <c r="V59" i="29" s="1"/>
  <c r="Q59" i="29"/>
  <c r="V58" i="29"/>
  <c r="T58" i="29"/>
  <c r="Q58" i="29"/>
  <c r="T57" i="29"/>
  <c r="V57" i="29" s="1"/>
  <c r="Q57" i="29"/>
  <c r="V56" i="29"/>
  <c r="T56" i="29"/>
  <c r="Q56" i="29"/>
  <c r="T55" i="29"/>
  <c r="V55" i="29" s="1"/>
  <c r="Q55" i="29"/>
  <c r="V54" i="29"/>
  <c r="T54" i="29"/>
  <c r="Q54" i="29"/>
  <c r="T53" i="29"/>
  <c r="V53" i="29" s="1"/>
  <c r="Q53" i="29"/>
  <c r="V52" i="29"/>
  <c r="T52" i="29"/>
  <c r="Q52" i="29"/>
  <c r="T51" i="29"/>
  <c r="V51" i="29" s="1"/>
  <c r="Q51" i="29"/>
  <c r="V50" i="29"/>
  <c r="T50" i="29"/>
  <c r="Q50" i="29"/>
  <c r="T49" i="29"/>
  <c r="V49" i="29" s="1"/>
  <c r="Q49" i="29"/>
  <c r="V48" i="29"/>
  <c r="T48" i="29"/>
  <c r="Q48" i="29"/>
  <c r="T47" i="29"/>
  <c r="V47" i="29" s="1"/>
  <c r="Q47" i="29"/>
  <c r="V46" i="29"/>
  <c r="T46" i="29"/>
  <c r="Q46" i="29"/>
  <c r="T45" i="29"/>
  <c r="V45" i="29" s="1"/>
  <c r="Q45" i="29"/>
  <c r="V44" i="29"/>
  <c r="T44" i="29"/>
  <c r="Q44" i="29"/>
  <c r="T43" i="29"/>
  <c r="V43" i="29" s="1"/>
  <c r="Q43" i="29"/>
  <c r="V42" i="29"/>
  <c r="T42" i="29"/>
  <c r="Q42" i="29"/>
  <c r="T41" i="29"/>
  <c r="V41" i="29" s="1"/>
  <c r="Q41" i="29"/>
  <c r="V40" i="29"/>
  <c r="T40" i="29"/>
  <c r="Q40" i="29"/>
  <c r="T39" i="29"/>
  <c r="V39" i="29" s="1"/>
  <c r="Q39" i="29"/>
  <c r="V38" i="29"/>
  <c r="T38" i="29"/>
  <c r="Q38" i="29"/>
  <c r="T37" i="29"/>
  <c r="V37" i="29" s="1"/>
  <c r="Q37" i="29"/>
  <c r="V36" i="29"/>
  <c r="T36" i="29"/>
  <c r="Q36" i="29"/>
  <c r="T35" i="29"/>
  <c r="V35" i="29" s="1"/>
  <c r="Q35" i="29"/>
  <c r="V34" i="29"/>
  <c r="T34" i="29"/>
  <c r="Q34" i="29"/>
  <c r="T33" i="29"/>
  <c r="V33" i="29" s="1"/>
  <c r="Q33" i="29"/>
  <c r="V32" i="29"/>
  <c r="T32" i="29"/>
  <c r="Q32" i="29"/>
  <c r="T31" i="29"/>
  <c r="V31" i="29" s="1"/>
  <c r="Q31" i="29"/>
  <c r="V30" i="29"/>
  <c r="T30" i="29"/>
  <c r="Q30" i="29"/>
  <c r="T29" i="29"/>
  <c r="V29" i="29" s="1"/>
  <c r="Q29" i="29"/>
  <c r="V28" i="29"/>
  <c r="T28" i="29"/>
  <c r="Q28" i="29"/>
  <c r="T27" i="29"/>
  <c r="V27" i="29" s="1"/>
  <c r="Q27" i="29"/>
  <c r="V26" i="29"/>
  <c r="T26" i="29"/>
  <c r="Q26" i="29"/>
  <c r="T25" i="29"/>
  <c r="V25" i="29" s="1"/>
  <c r="Q25" i="29"/>
  <c r="V24" i="29"/>
  <c r="T24" i="29"/>
  <c r="Q24" i="29"/>
  <c r="T23" i="29"/>
  <c r="V23" i="29" s="1"/>
  <c r="Q23" i="29"/>
  <c r="V22" i="29"/>
  <c r="T22" i="29"/>
  <c r="Q22" i="29"/>
  <c r="T21" i="29"/>
  <c r="V21" i="29" s="1"/>
  <c r="Q21" i="29"/>
  <c r="V20" i="29"/>
  <c r="T20" i="29"/>
  <c r="Q20" i="29"/>
  <c r="T19" i="29"/>
  <c r="V19" i="29" s="1"/>
  <c r="Q19" i="29"/>
  <c r="V18" i="29"/>
  <c r="T18" i="29"/>
  <c r="Q18" i="29"/>
  <c r="T17" i="29"/>
  <c r="V17" i="29" s="1"/>
  <c r="Q17" i="29"/>
  <c r="V16" i="29"/>
  <c r="T16" i="29"/>
  <c r="Q16" i="29"/>
  <c r="T15" i="29"/>
  <c r="V15" i="29" s="1"/>
  <c r="Q15" i="29"/>
  <c r="V14" i="29"/>
  <c r="T14" i="29"/>
  <c r="Q14" i="29"/>
  <c r="T13" i="29"/>
  <c r="V13" i="29" s="1"/>
  <c r="Q13" i="29"/>
  <c r="V12" i="29"/>
  <c r="T12" i="29"/>
  <c r="Q12" i="29"/>
  <c r="T11" i="29"/>
  <c r="V11" i="29" s="1"/>
  <c r="Q11" i="29"/>
  <c r="V10" i="29"/>
  <c r="T10" i="29"/>
  <c r="Q10" i="29"/>
  <c r="T9" i="29"/>
  <c r="V9" i="29" s="1"/>
  <c r="Q9" i="29"/>
  <c r="V8" i="29"/>
  <c r="T8" i="29"/>
  <c r="Q8" i="29"/>
  <c r="T7" i="29"/>
  <c r="V7" i="29" s="1"/>
  <c r="Q7" i="29"/>
  <c r="V6" i="29"/>
  <c r="T6" i="29"/>
  <c r="Q6" i="29"/>
  <c r="T5" i="29"/>
  <c r="V5" i="29" s="1"/>
  <c r="Q5" i="29"/>
  <c r="V4" i="29"/>
  <c r="T4" i="29"/>
  <c r="Q4" i="29"/>
  <c r="T3" i="29"/>
  <c r="V3" i="29" s="1"/>
  <c r="Q3" i="29"/>
  <c r="V2" i="29"/>
  <c r="T2" i="29"/>
  <c r="Q2" i="29"/>
  <c r="T85" i="28" l="1"/>
  <c r="V85" i="28" s="1"/>
  <c r="Q85" i="28"/>
  <c r="T84" i="28"/>
  <c r="V84" i="28" s="1"/>
  <c r="Q84" i="28"/>
  <c r="V83" i="28"/>
  <c r="T83" i="28"/>
  <c r="Q83" i="28"/>
  <c r="V82" i="28"/>
  <c r="T82" i="28"/>
  <c r="Q82" i="28"/>
  <c r="T81" i="28"/>
  <c r="V81" i="28" s="1"/>
  <c r="Q81" i="28"/>
  <c r="T80" i="28"/>
  <c r="V80" i="28" s="1"/>
  <c r="Q80" i="28"/>
  <c r="V79" i="28"/>
  <c r="T79" i="28"/>
  <c r="Q79" i="28"/>
  <c r="V78" i="28"/>
  <c r="T78" i="28"/>
  <c r="Q78" i="28"/>
  <c r="T77" i="28"/>
  <c r="V77" i="28" s="1"/>
  <c r="Q77" i="28"/>
  <c r="T76" i="28"/>
  <c r="V76" i="28" s="1"/>
  <c r="Q76" i="28"/>
  <c r="V75" i="28"/>
  <c r="T75" i="28"/>
  <c r="Q75" i="28"/>
  <c r="V74" i="28"/>
  <c r="T74" i="28"/>
  <c r="Q74" i="28"/>
  <c r="T73" i="28"/>
  <c r="V73" i="28" s="1"/>
  <c r="Q73" i="28"/>
  <c r="T72" i="28"/>
  <c r="V72" i="28" s="1"/>
  <c r="Q72" i="28"/>
  <c r="V71" i="28"/>
  <c r="T71" i="28"/>
  <c r="Q71" i="28"/>
  <c r="V70" i="28"/>
  <c r="T70" i="28"/>
  <c r="Q70" i="28"/>
  <c r="T69" i="28"/>
  <c r="V69" i="28" s="1"/>
  <c r="Q69" i="28"/>
  <c r="T68" i="28"/>
  <c r="V68" i="28" s="1"/>
  <c r="Q68" i="28"/>
  <c r="V67" i="28"/>
  <c r="T67" i="28"/>
  <c r="Q67" i="28"/>
  <c r="V66" i="28"/>
  <c r="T66" i="28"/>
  <c r="Q66" i="28"/>
  <c r="T65" i="28"/>
  <c r="V65" i="28" s="1"/>
  <c r="Q65" i="28"/>
  <c r="T64" i="28"/>
  <c r="V64" i="28" s="1"/>
  <c r="Q64" i="28"/>
  <c r="V63" i="28"/>
  <c r="T63" i="28"/>
  <c r="Q63" i="28"/>
  <c r="V62" i="28"/>
  <c r="T62" i="28"/>
  <c r="Q62" i="28"/>
  <c r="T61" i="28"/>
  <c r="V61" i="28" s="1"/>
  <c r="Q61" i="28"/>
  <c r="T60" i="28"/>
  <c r="V60" i="28" s="1"/>
  <c r="Q60" i="28"/>
  <c r="V59" i="28"/>
  <c r="T59" i="28"/>
  <c r="Q59" i="28"/>
  <c r="V58" i="28"/>
  <c r="T58" i="28"/>
  <c r="Q58" i="28"/>
  <c r="T57" i="28"/>
  <c r="V57" i="28" s="1"/>
  <c r="Q57" i="28"/>
  <c r="T56" i="28"/>
  <c r="V56" i="28" s="1"/>
  <c r="Q56" i="28"/>
  <c r="V55" i="28"/>
  <c r="T55" i="28"/>
  <c r="Q55" i="28"/>
  <c r="V54" i="28"/>
  <c r="T54" i="28"/>
  <c r="Q54" i="28"/>
  <c r="T53" i="28"/>
  <c r="V53" i="28" s="1"/>
  <c r="Q53" i="28"/>
  <c r="T52" i="28"/>
  <c r="V52" i="28" s="1"/>
  <c r="Q52" i="28"/>
  <c r="V51" i="28"/>
  <c r="T51" i="28"/>
  <c r="Q51" i="28"/>
  <c r="V50" i="28"/>
  <c r="T50" i="28"/>
  <c r="Q50" i="28"/>
  <c r="T49" i="28"/>
  <c r="V49" i="28" s="1"/>
  <c r="Q49" i="28"/>
  <c r="T48" i="28"/>
  <c r="V48" i="28" s="1"/>
  <c r="Q48" i="28"/>
  <c r="V47" i="28"/>
  <c r="T47" i="28"/>
  <c r="Q47" i="28"/>
  <c r="V46" i="28"/>
  <c r="T46" i="28"/>
  <c r="Q46" i="28"/>
  <c r="T45" i="28"/>
  <c r="V45" i="28" s="1"/>
  <c r="Q45" i="28"/>
  <c r="V44" i="28"/>
  <c r="T44" i="28"/>
  <c r="Q44" i="28"/>
  <c r="T43" i="28"/>
  <c r="V43" i="28" s="1"/>
  <c r="Q43" i="28"/>
  <c r="V42" i="28"/>
  <c r="T42" i="28"/>
  <c r="Q42" i="28"/>
  <c r="T41" i="28"/>
  <c r="V41" i="28" s="1"/>
  <c r="Q41" i="28"/>
  <c r="V40" i="28"/>
  <c r="T40" i="28"/>
  <c r="Q40" i="28"/>
  <c r="T39" i="28"/>
  <c r="V39" i="28" s="1"/>
  <c r="Q39" i="28"/>
  <c r="V38" i="28"/>
  <c r="T38" i="28"/>
  <c r="Q38" i="28"/>
  <c r="T37" i="28"/>
  <c r="V37" i="28" s="1"/>
  <c r="Q37" i="28"/>
  <c r="V36" i="28"/>
  <c r="T36" i="28"/>
  <c r="Q36" i="28"/>
  <c r="T35" i="28"/>
  <c r="V35" i="28" s="1"/>
  <c r="Q35" i="28"/>
  <c r="V34" i="28"/>
  <c r="T34" i="28"/>
  <c r="Q34" i="28"/>
  <c r="T33" i="28"/>
  <c r="V33" i="28" s="1"/>
  <c r="Q33" i="28"/>
  <c r="V32" i="28"/>
  <c r="T32" i="28"/>
  <c r="Q32" i="28"/>
  <c r="T31" i="28"/>
  <c r="V31" i="28" s="1"/>
  <c r="Q31" i="28"/>
  <c r="V30" i="28"/>
  <c r="T30" i="28"/>
  <c r="Q30" i="28"/>
  <c r="T29" i="28"/>
  <c r="V29" i="28" s="1"/>
  <c r="Q29" i="28"/>
  <c r="V28" i="28"/>
  <c r="T28" i="28"/>
  <c r="Q28" i="28"/>
  <c r="T27" i="28"/>
  <c r="V27" i="28" s="1"/>
  <c r="Q27" i="28"/>
  <c r="V26" i="28"/>
  <c r="T26" i="28"/>
  <c r="Q26" i="28"/>
  <c r="T25" i="28"/>
  <c r="V25" i="28" s="1"/>
  <c r="Q25" i="28"/>
  <c r="V24" i="28"/>
  <c r="T24" i="28"/>
  <c r="Q24" i="28"/>
  <c r="T23" i="28"/>
  <c r="V23" i="28" s="1"/>
  <c r="Q23" i="28"/>
  <c r="V22" i="28"/>
  <c r="T22" i="28"/>
  <c r="Q22" i="28"/>
  <c r="T21" i="28"/>
  <c r="V21" i="28" s="1"/>
  <c r="Q21" i="28"/>
  <c r="V20" i="28"/>
  <c r="T20" i="28"/>
  <c r="Q20" i="28"/>
  <c r="T19" i="28"/>
  <c r="V19" i="28" s="1"/>
  <c r="Q19" i="28"/>
  <c r="V18" i="28"/>
  <c r="T18" i="28"/>
  <c r="Q18" i="28"/>
  <c r="T17" i="28"/>
  <c r="V17" i="28" s="1"/>
  <c r="Q17" i="28"/>
  <c r="V16" i="28"/>
  <c r="T16" i="28"/>
  <c r="Q16" i="28"/>
  <c r="T15" i="28"/>
  <c r="V15" i="28" s="1"/>
  <c r="Q15" i="28"/>
  <c r="V14" i="28"/>
  <c r="T14" i="28"/>
  <c r="Q14" i="28"/>
  <c r="T13" i="28"/>
  <c r="V13" i="28" s="1"/>
  <c r="Q13" i="28"/>
  <c r="V12" i="28"/>
  <c r="T12" i="28"/>
  <c r="Q12" i="28"/>
  <c r="T11" i="28"/>
  <c r="V11" i="28" s="1"/>
  <c r="Q11" i="28"/>
  <c r="V10" i="28"/>
  <c r="T10" i="28"/>
  <c r="Q10" i="28"/>
  <c r="T9" i="28"/>
  <c r="V9" i="28" s="1"/>
  <c r="Q9" i="28"/>
  <c r="V8" i="28"/>
  <c r="T8" i="28"/>
  <c r="Q8" i="28"/>
  <c r="T7" i="28"/>
  <c r="V7" i="28" s="1"/>
  <c r="Q7" i="28"/>
  <c r="V6" i="28"/>
  <c r="T6" i="28"/>
  <c r="Q6" i="28"/>
  <c r="T5" i="28"/>
  <c r="V5" i="28" s="1"/>
  <c r="Q5" i="28"/>
  <c r="V4" i="28"/>
  <c r="T4" i="28"/>
  <c r="Q4" i="28"/>
  <c r="T3" i="28"/>
  <c r="V3" i="28" s="1"/>
  <c r="Q3" i="28"/>
  <c r="V2" i="28"/>
  <c r="T2" i="28"/>
  <c r="Q2" i="28"/>
  <c r="T37" i="27"/>
  <c r="V37" i="27" s="1"/>
  <c r="Q37" i="27"/>
  <c r="T36" i="27"/>
  <c r="V36" i="27" s="1"/>
  <c r="Q36" i="27"/>
  <c r="V35" i="27"/>
  <c r="T35" i="27"/>
  <c r="Q35" i="27"/>
  <c r="V34" i="27"/>
  <c r="T34" i="27"/>
  <c r="Q34" i="27"/>
  <c r="T33" i="27"/>
  <c r="V33" i="27" s="1"/>
  <c r="Q33" i="27"/>
  <c r="T32" i="27"/>
  <c r="V32" i="27" s="1"/>
  <c r="Q32" i="27"/>
  <c r="V31" i="27"/>
  <c r="T31" i="27"/>
  <c r="Q31" i="27"/>
  <c r="T30" i="27"/>
  <c r="V30" i="27" s="1"/>
  <c r="Q30" i="27"/>
  <c r="T29" i="27"/>
  <c r="V29" i="27" s="1"/>
  <c r="Q29" i="27"/>
  <c r="T28" i="27"/>
  <c r="V28" i="27" s="1"/>
  <c r="Q28" i="27"/>
  <c r="V27" i="27"/>
  <c r="T27" i="27"/>
  <c r="Q27" i="27"/>
  <c r="T26" i="27"/>
  <c r="V26" i="27" s="1"/>
  <c r="Q26" i="27"/>
  <c r="T25" i="27"/>
  <c r="V25" i="27" s="1"/>
  <c r="Q25" i="27"/>
  <c r="T24" i="27"/>
  <c r="V24" i="27" s="1"/>
  <c r="Q24" i="27"/>
  <c r="V23" i="27"/>
  <c r="T23" i="27"/>
  <c r="Q23" i="27"/>
  <c r="T22" i="27"/>
  <c r="V22" i="27" s="1"/>
  <c r="Q22" i="27"/>
  <c r="T21" i="27"/>
  <c r="V21" i="27" s="1"/>
  <c r="Q21" i="27"/>
  <c r="T20" i="27"/>
  <c r="V20" i="27" s="1"/>
  <c r="Q20" i="27"/>
  <c r="V19" i="27"/>
  <c r="T19" i="27"/>
  <c r="Q19" i="27"/>
  <c r="T18" i="27"/>
  <c r="V18" i="27" s="1"/>
  <c r="Q18" i="27"/>
  <c r="T17" i="27"/>
  <c r="V17" i="27" s="1"/>
  <c r="Q17" i="27"/>
  <c r="T16" i="27"/>
  <c r="V16" i="27" s="1"/>
  <c r="Q16" i="27"/>
  <c r="V15" i="27"/>
  <c r="T15" i="27"/>
  <c r="Q15" i="27"/>
  <c r="T14" i="27"/>
  <c r="V14" i="27" s="1"/>
  <c r="Q14" i="27"/>
  <c r="T13" i="27"/>
  <c r="V13" i="27" s="1"/>
  <c r="Q13" i="27"/>
  <c r="T12" i="27"/>
  <c r="V12" i="27" s="1"/>
  <c r="Q12" i="27"/>
  <c r="V11" i="27"/>
  <c r="T11" i="27"/>
  <c r="Q11" i="27"/>
  <c r="T10" i="27"/>
  <c r="V10" i="27" s="1"/>
  <c r="Q10" i="27"/>
  <c r="T9" i="27"/>
  <c r="V9" i="27" s="1"/>
  <c r="Q9" i="27"/>
  <c r="T8" i="27"/>
  <c r="V8" i="27" s="1"/>
  <c r="Q8" i="27"/>
  <c r="V7" i="27"/>
  <c r="T7" i="27"/>
  <c r="Q7" i="27"/>
  <c r="T6" i="27"/>
  <c r="V6" i="27" s="1"/>
  <c r="Q6" i="27"/>
  <c r="T5" i="27"/>
  <c r="V5" i="27" s="1"/>
  <c r="Q5" i="27"/>
  <c r="T4" i="27"/>
  <c r="V4" i="27" s="1"/>
  <c r="Q4" i="27"/>
  <c r="V3" i="27"/>
  <c r="T3" i="27"/>
  <c r="Q3" i="27"/>
  <c r="T2" i="27"/>
  <c r="V2" i="27" s="1"/>
  <c r="Q2" i="27"/>
  <c r="T55" i="26" l="1"/>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V37" i="26"/>
  <c r="T37" i="26"/>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<sst xmlns="http://schemas.openxmlformats.org/spreadsheetml/2006/main" count="6879" uniqueCount="575">
  <si>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</si>
  <si>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</si>
  <si>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</si>
  <si>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</si>
  <si>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</si>
  <si>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</si>
  <si>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</si>
  <si>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</si>
  <si>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</si>
  <si>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</si>
  <si>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</si>
  <si>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</si>
  <si>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</si>
  <si>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</si>
  <si>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</si>
  <si>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</si>
  <si>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</si>
  <si>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</si>
  <si>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</si>
  <si>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</si>
  <si>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</si>
  <si>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</si>
  <si>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</si>
  <si>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</si>
  <si>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</si>
  <si>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</si>
  <si>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</si>
  <si>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</si>
  <si>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</si>
  <si>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</si>
  <si>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</si>
  <si>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</si>
  <si>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</si>
  <si>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</si>
  <si>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</si>
  <si>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</si>
  <si>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</si>
  <si>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</si>
  <si>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</si>
  <si>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</si>
  <si>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</si>
  <si>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</si>
  <si>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</si>
  <si>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</si>
  <si>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</si>
  <si>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</si>
  <si>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</si>
  <si>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</si>
  <si>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</si>
  <si>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</si>
  <si>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</si>
  <si>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</si>
  <si>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</si>
  <si>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</si>
  <si>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</si>
  <si>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</si>
  <si>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</si>
  <si>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</si>
  <si>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</si>
  <si>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</si>
  <si>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</si>
  <si>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</si>
  <si>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</si>
  <si>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</si>
  <si>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</si>
  <si>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</si>
  <si>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</si>
  <si>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</si>
  <si>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</si>
  <si>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</si>
  <si>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</si>
  <si>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</si>
  <si>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</si>
  <si>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</si>
  <si>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</si>
  <si>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</si>
  <si>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</si>
  <si>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</si>
  <si>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</si>
  <si>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</si>
  <si>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</si>
  <si>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</si>
  <si>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</si>
  <si>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</si>
  <si>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</si>
  <si>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</si>
  <si>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</si>
  <si>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</si>
  <si>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</si>
  <si>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</si>
  <si>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</si>
  <si>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</si>
  <si>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</si>
  <si>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</si>
  <si>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</si>
  <si>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</si>
  <si>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</si>
  <si>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</si>
  <si>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</si>
  <si>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</si>
  <si>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</si>
  <si>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</si>
  <si>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</si>
  <si>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</si>
  <si>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</si>
  <si>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</si>
  <si>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</si>
  <si>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</si>
  <si>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</si>
  <si>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</si>
  <si>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</si>
  <si>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</si>
  <si>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</si>
  <si>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</si>
  <si>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</si>
  <si>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</si>
  <si>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</si>
  <si>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</si>
  <si>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</si>
  <si>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</si>
  <si>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</si>
  <si>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</si>
  <si>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</si>
  <si>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</si>
  <si>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</si>
  <si>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</si>
  <si>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</si>
  <si>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</si>
  <si>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</si>
  <si>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</si>
  <si>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</si>
  <si>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</si>
  <si>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</si>
  <si>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</si>
  <si>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</si>
  <si>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</si>
  <si>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</si>
  <si>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</si>
  <si>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</si>
  <si>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</si>
  <si>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</si>
  <si>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</si>
  <si>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</si>
  <si>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</si>
  <si>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</si>
  <si>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</si>
  <si>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</si>
  <si>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</si>
  <si>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</si>
  <si>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</si>
  <si>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</si>
  <si>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</si>
  <si>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</si>
  <si>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</si>
  <si>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</si>
  <si>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</si>
  <si>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</si>
  <si>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硬度
１</t>
    <phoneticPr fontId="4"/>
  </si>
  <si>
    <t>Weight</t>
    <phoneticPr fontId="4"/>
  </si>
  <si>
    <r>
      <t xml:space="preserve">Green
Other
</t>
    </r>
    <r>
      <rPr>
        <b/>
        <sz val="8"/>
        <rFont val="ＭＳ Ｐゴシック"/>
        <family val="3"/>
        <charset val="128"/>
      </rPr>
      <t>最低重量</t>
    </r>
    <phoneticPr fontId="4"/>
  </si>
  <si>
    <t>GA</t>
  </si>
  <si>
    <t>佐賀</t>
    <rPh sb="0" eb="2">
      <t>サガ</t>
    </rPh>
    <phoneticPr fontId="3"/>
  </si>
  <si>
    <t>ラフランス</t>
  </si>
  <si>
    <t>西友</t>
  </si>
  <si>
    <t>日進岩藤店</t>
    <rPh sb="0" eb="2">
      <t>ニッシン</t>
    </rPh>
    <phoneticPr fontId="4"/>
  </si>
  <si>
    <t>日進店</t>
    <rPh sb="0" eb="2">
      <t>ニッシン</t>
    </rPh>
    <rPh sb="2" eb="3">
      <t>ミセ</t>
    </rPh>
    <phoneticPr fontId="4"/>
  </si>
  <si>
    <t>ピアゴ</t>
    <phoneticPr fontId="4"/>
  </si>
  <si>
    <t>その他レッド</t>
    <rPh sb="2" eb="3">
      <t>タ</t>
    </rPh>
    <phoneticPr fontId="4"/>
  </si>
  <si>
    <t>カネスエ</t>
    <phoneticPr fontId="4"/>
  </si>
  <si>
    <t>Del Monte</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</si>
  <si>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</si>
  <si>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</si>
  <si>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</si>
  <si>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</si>
  <si>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</si>
  <si>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</si>
  <si>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</si>
  <si>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</si>
  <si>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</si>
  <si>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</si>
  <si>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</si>
  <si>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</si>
  <si>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</si>
  <si>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</si>
  <si>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</si>
  <si>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</si>
  <si>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</si>
  <si>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</si>
  <si>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</si>
  <si>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</si>
  <si>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</si>
  <si>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</si>
  <si>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</si>
  <si>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</si>
  <si>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</si>
  <si>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</si>
  <si>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</si>
  <si>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</si>
  <si>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</si>
  <si>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</si>
  <si>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</si>
  <si>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</si>
  <si>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</si>
  <si>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</si>
  <si>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</si>
  <si>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</si>
  <si>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</si>
  <si>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</si>
  <si>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</si>
  <si>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</si>
  <si>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</si>
  <si>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</si>
  <si>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</si>
  <si>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</si>
  <si>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</si>
  <si>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</si>
  <si>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</si>
  <si>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</si>
  <si>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</si>
  <si>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</si>
  <si>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</si>
  <si>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</si>
  <si>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</si>
  <si>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</si>
  <si>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</si>
  <si>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</si>
  <si>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</si>
  <si>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</si>
  <si>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</si>
  <si>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</si>
  <si>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</si>
  <si>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</si>
  <si>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</si>
  <si>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</si>
  <si>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</si>
  <si>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</si>
  <si>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</si>
  <si>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</si>
  <si>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</si>
  <si>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</si>
  <si>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</si>
  <si>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</si>
  <si>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</si>
  <si>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</si>
  <si>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</si>
  <si>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</si>
  <si>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</si>
  <si>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</si>
  <si>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</si>
  <si>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</si>
  <si>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</si>
  <si>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</si>
  <si>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</si>
  <si>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</si>
  <si>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</si>
  <si>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硬度
２</t>
    <phoneticPr fontId="4"/>
  </si>
  <si>
    <t>ﾆｭｰｼﾞｰﾗﾝﾄﾞ</t>
    <phoneticPr fontId="4"/>
  </si>
  <si>
    <t>福岡</t>
    <rPh sb="0" eb="2">
      <t>フクオカ</t>
    </rPh>
    <phoneticPr fontId="4"/>
  </si>
  <si>
    <t>西鉄ストア</t>
    <rPh sb="0" eb="2">
      <t>ニシテツ</t>
    </rPh>
    <phoneticPr fontId="3"/>
  </si>
  <si>
    <t>GK</t>
    <phoneticPr fontId="4"/>
  </si>
  <si>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</si>
  <si>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</si>
  <si>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</si>
  <si>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</si>
  <si>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</si>
  <si>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</si>
  <si>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</si>
  <si>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</si>
  <si>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</si>
  <si>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</si>
  <si>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糖度</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</si>
  <si>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</si>
  <si>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</si>
  <si>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</si>
  <si>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</si>
  <si>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</si>
  <si>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</si>
  <si>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</si>
  <si>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</si>
  <si>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</si>
  <si>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</si>
  <si>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</si>
  <si>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</si>
  <si>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</si>
  <si>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</si>
  <si>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</si>
  <si>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</si>
  <si>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</si>
  <si>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</si>
  <si>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</si>
  <si>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</si>
  <si>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</si>
  <si>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</si>
  <si>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</si>
  <si>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</si>
  <si>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</si>
  <si>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</si>
  <si>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</si>
  <si>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</si>
  <si>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</si>
  <si>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</si>
  <si>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</si>
  <si>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</si>
  <si>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</si>
  <si>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</si>
  <si>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</si>
  <si>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</si>
  <si>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</si>
  <si>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</si>
  <si>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</si>
  <si>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</si>
  <si>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</si>
  <si>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</si>
  <si>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</si>
  <si>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</si>
  <si>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</si>
  <si>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</si>
  <si>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</si>
  <si>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</si>
  <si>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</si>
  <si>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CK</t>
    <phoneticPr fontId="4"/>
  </si>
  <si>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</si>
  <si>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</si>
  <si>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</si>
  <si>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</si>
  <si>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</si>
  <si>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</si>
  <si>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</si>
  <si>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</si>
  <si>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</si>
  <si>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</si>
  <si>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</si>
  <si>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</si>
  <si>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</si>
  <si>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マックスバリュ</t>
    <phoneticPr fontId="3"/>
  </si>
  <si>
    <t>北40条店</t>
    <rPh sb="4" eb="5">
      <t>テン</t>
    </rPh>
    <phoneticPr fontId="3"/>
  </si>
  <si>
    <t>とんでん店</t>
  </si>
  <si>
    <t>04.01.2019</t>
  </si>
  <si>
    <t>04.01.2019</t>
    <phoneticPr fontId="3"/>
  </si>
  <si>
    <t>シーズン</t>
    <phoneticPr fontId="4"/>
  </si>
  <si>
    <t>検体
番号</t>
    <phoneticPr fontId="4"/>
  </si>
  <si>
    <t>31.12.2018</t>
    <phoneticPr fontId="3"/>
  </si>
  <si>
    <t>31.12.2018</t>
  </si>
  <si>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</si>
  <si>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</si>
  <si>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</si>
  <si>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</si>
  <si>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</si>
  <si>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</si>
  <si>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</si>
  <si>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</si>
  <si>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</si>
  <si>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</si>
  <si>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</si>
  <si>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</si>
  <si>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</si>
  <si>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</si>
  <si>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</si>
  <si>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</si>
  <si>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</si>
  <si>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</si>
  <si>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</si>
  <si>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</si>
  <si>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</si>
  <si>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</si>
  <si>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</si>
  <si>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06.01.2019</t>
    <phoneticPr fontId="3"/>
  </si>
  <si>
    <t>06.01.2019</t>
    <phoneticPr fontId="3"/>
  </si>
  <si>
    <t>アオキスーパー</t>
  </si>
  <si>
    <t>アオキスーパー</t>
    <phoneticPr fontId="4"/>
  </si>
  <si>
    <t>長久手南店</t>
    <phoneticPr fontId="4"/>
  </si>
  <si>
    <t>長久手店</t>
    <phoneticPr fontId="4"/>
  </si>
  <si>
    <t>アピタ</t>
    <phoneticPr fontId="4"/>
  </si>
  <si>
    <t>マックスバリュ</t>
    <phoneticPr fontId="4"/>
  </si>
  <si>
    <t>JP</t>
    <phoneticPr fontId="3"/>
  </si>
  <si>
    <t>06.01.2019</t>
    <phoneticPr fontId="3"/>
  </si>
  <si>
    <t>ピアゴ</t>
  </si>
  <si>
    <t>長久手南店</t>
  </si>
  <si>
    <t>カネトク</t>
    <phoneticPr fontId="4"/>
  </si>
  <si>
    <t>JP</t>
    <phoneticPr fontId="3"/>
  </si>
  <si>
    <t>06.01.2019</t>
    <phoneticPr fontId="3"/>
  </si>
  <si>
    <t>マックスバリュ</t>
    <phoneticPr fontId="4"/>
  </si>
  <si>
    <t>長久手店</t>
    <phoneticPr fontId="4"/>
  </si>
  <si>
    <t>カネスエ</t>
  </si>
  <si>
    <t>長久手店</t>
  </si>
  <si>
    <t>アピタ</t>
    <phoneticPr fontId="4"/>
  </si>
  <si>
    <t>JP</t>
    <phoneticPr fontId="3"/>
  </si>
  <si>
    <t>06.01.2019</t>
    <phoneticPr fontId="3"/>
  </si>
  <si>
    <t>アオキスーパー</t>
    <phoneticPr fontId="4"/>
  </si>
  <si>
    <t>長久手店</t>
    <phoneticPr fontId="4"/>
  </si>
  <si>
    <t>JP</t>
    <phoneticPr fontId="3"/>
  </si>
  <si>
    <t>06.01.2019</t>
    <phoneticPr fontId="3"/>
  </si>
  <si>
    <t>JP</t>
    <phoneticPr fontId="3"/>
  </si>
  <si>
    <t>06.01.2019</t>
    <phoneticPr fontId="3"/>
  </si>
  <si>
    <t>JP</t>
    <phoneticPr fontId="3"/>
  </si>
  <si>
    <t>06.01.2019</t>
    <phoneticPr fontId="3"/>
  </si>
  <si>
    <t>カネトク</t>
  </si>
  <si>
    <t>ラフランス</t>
    <phoneticPr fontId="4"/>
  </si>
  <si>
    <t>キラキラ</t>
    <phoneticPr fontId="4"/>
  </si>
  <si>
    <t>グリーンアイ</t>
    <phoneticPr fontId="4"/>
  </si>
  <si>
    <t>アピタ</t>
  </si>
  <si>
    <t>05.01.2019</t>
  </si>
  <si>
    <t>津久野店</t>
  </si>
  <si>
    <t>宮崎</t>
  </si>
  <si>
    <t>県名</t>
    <phoneticPr fontId="3"/>
  </si>
  <si>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</si>
  <si>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</si>
  <si>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</si>
  <si>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</si>
  <si>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</si>
  <si>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</si>
  <si>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</si>
  <si>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</si>
  <si>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</si>
  <si>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</si>
  <si>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</si>
  <si>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</si>
  <si>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</si>
  <si>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03.01.2019</t>
    <phoneticPr fontId="3"/>
  </si>
  <si>
    <t>JPY</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</si>
  <si>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</si>
  <si>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</si>
  <si>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</si>
  <si>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</si>
  <si>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</si>
  <si>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</si>
  <si>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</si>
  <si>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</si>
  <si>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</si>
  <si>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03.01.2019</t>
    <phoneticPr fontId="3"/>
  </si>
  <si>
    <t>JPY</t>
    <phoneticPr fontId="3"/>
  </si>
  <si>
    <t>03.01.2019</t>
    <phoneticPr fontId="3"/>
  </si>
  <si>
    <t>JPY</t>
    <phoneticPr fontId="3"/>
  </si>
  <si>
    <t>バナナ</t>
    <phoneticPr fontId="4"/>
  </si>
  <si>
    <t>03.01.2019</t>
    <phoneticPr fontId="3"/>
  </si>
  <si>
    <t>JPY</t>
    <phoneticPr fontId="3"/>
  </si>
  <si>
    <t>パパイヤ</t>
    <phoneticPr fontId="4"/>
  </si>
  <si>
    <t>03.01.2019</t>
    <phoneticPr fontId="3"/>
  </si>
  <si>
    <t>JPY</t>
    <phoneticPr fontId="3"/>
  </si>
  <si>
    <t>びわ</t>
    <phoneticPr fontId="4"/>
  </si>
  <si>
    <t>03.01.2019</t>
    <phoneticPr fontId="3"/>
  </si>
  <si>
    <t>JPY</t>
    <phoneticPr fontId="3"/>
  </si>
  <si>
    <t>メロン</t>
    <phoneticPr fontId="4"/>
  </si>
  <si>
    <t>桃</t>
    <phoneticPr fontId="4"/>
  </si>
  <si>
    <t>03.01.2019</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</si>
  <si>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</si>
  <si>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</si>
  <si>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</si>
  <si>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</si>
  <si>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</si>
  <si>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</si>
  <si>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</si>
  <si>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</si>
  <si>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</si>
  <si>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</si>
  <si>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</si>
  <si>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</si>
  <si>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</si>
  <si>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</si>
  <si>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</si>
  <si>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</si>
  <si>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</si>
  <si>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</si>
  <si>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</si>
  <si>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</si>
  <si>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</si>
  <si>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マルショク</t>
    <phoneticPr fontId="3"/>
  </si>
  <si>
    <t>JPY</t>
    <phoneticPr fontId="4"/>
  </si>
  <si>
    <t>一般栽培</t>
    <phoneticPr fontId="4"/>
  </si>
  <si>
    <t>ﾆｭｰｼﾞｰﾗﾝﾄﾞ</t>
    <phoneticPr fontId="4"/>
  </si>
  <si>
    <t>JP</t>
    <phoneticPr fontId="3"/>
  </si>
  <si>
    <t>マルショク</t>
    <phoneticPr fontId="3"/>
  </si>
  <si>
    <t>JPY</t>
    <phoneticPr fontId="4"/>
  </si>
  <si>
    <t>バナナ</t>
    <phoneticPr fontId="3"/>
  </si>
  <si>
    <t>HW</t>
    <phoneticPr fontId="3"/>
  </si>
  <si>
    <t>CK</t>
    <phoneticPr fontId="3"/>
  </si>
  <si>
    <t>D'lish</t>
    <phoneticPr fontId="4"/>
  </si>
  <si>
    <t>りんご</t>
    <phoneticPr fontId="3"/>
  </si>
  <si>
    <t>JPY</t>
    <phoneticPr fontId="4"/>
  </si>
  <si>
    <t>HW</t>
    <phoneticPr fontId="4"/>
  </si>
  <si>
    <t>CK</t>
    <phoneticPr fontId="4"/>
  </si>
  <si>
    <t>Del Monte</t>
    <phoneticPr fontId="4"/>
  </si>
  <si>
    <t>いちご</t>
    <phoneticPr fontId="3"/>
  </si>
  <si>
    <t>GK</t>
    <phoneticPr fontId="4"/>
  </si>
  <si>
    <t>OB</t>
    <phoneticPr fontId="4"/>
  </si>
  <si>
    <t>HE</t>
    <phoneticPr fontId="4"/>
  </si>
  <si>
    <t>JP</t>
    <phoneticPr fontId="3"/>
  </si>
  <si>
    <t>HW</t>
    <phoneticPr fontId="4"/>
  </si>
  <si>
    <t>CK</t>
    <phoneticPr fontId="4"/>
  </si>
  <si>
    <t>Del Monte</t>
    <phoneticPr fontId="4"/>
  </si>
  <si>
    <t>いちご</t>
    <phoneticPr fontId="3"/>
  </si>
  <si>
    <t>GK</t>
    <phoneticPr fontId="4"/>
  </si>
  <si>
    <t>OB</t>
    <phoneticPr fontId="4"/>
  </si>
  <si>
    <t>JPY</t>
    <phoneticPr fontId="4"/>
  </si>
  <si>
    <t>オレンジ</t>
    <phoneticPr fontId="3"/>
  </si>
  <si>
    <t>JP</t>
    <phoneticPr fontId="3"/>
  </si>
  <si>
    <t>JPY</t>
    <phoneticPr fontId="4"/>
  </si>
  <si>
    <t>HW</t>
    <phoneticPr fontId="3"/>
  </si>
  <si>
    <t>JPY</t>
    <phoneticPr fontId="4"/>
  </si>
  <si>
    <t>JPY</t>
    <phoneticPr fontId="4"/>
  </si>
  <si>
    <t>JPY</t>
    <phoneticPr fontId="4"/>
  </si>
  <si>
    <t>JP</t>
    <phoneticPr fontId="3"/>
  </si>
  <si>
    <t>JPY</t>
    <phoneticPr fontId="4"/>
  </si>
  <si>
    <t>いちじく</t>
    <phoneticPr fontId="4"/>
  </si>
  <si>
    <t>ラフランス</t>
    <phoneticPr fontId="3"/>
  </si>
  <si>
    <t>HW</t>
    <phoneticPr fontId="3"/>
  </si>
  <si>
    <t>プラム</t>
    <phoneticPr fontId="3"/>
  </si>
  <si>
    <t>ぽんかん</t>
    <phoneticPr fontId="3"/>
  </si>
  <si>
    <t>アメリカンチェリー</t>
    <phoneticPr fontId="3"/>
  </si>
  <si>
    <t>HW</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</si>
  <si>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</si>
  <si>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</si>
  <si>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</si>
  <si>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</si>
  <si>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</si>
  <si>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</si>
  <si>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</si>
  <si>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</si>
  <si>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</si>
  <si>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</si>
  <si>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</si>
  <si>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</si>
  <si>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04.01.2019</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</si>
  <si>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</si>
  <si>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</si>
  <si>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</si>
  <si>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</si>
  <si>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</si>
  <si>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</si>
  <si>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</si>
  <si>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</si>
  <si>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</si>
  <si>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</si>
  <si>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</si>
  <si>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</si>
  <si>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</si>
  <si>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</si>
  <si>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</si>
  <si>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</si>
  <si>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</si>
  <si>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</si>
  <si>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</si>
  <si>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</si>
  <si>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</si>
  <si>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</si>
  <si>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</si>
  <si>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</si>
  <si>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</si>
  <si>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</si>
  <si>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</si>
  <si>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</si>
  <si>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</si>
  <si>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</si>
  <si>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</si>
  <si>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</si>
  <si>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</si>
  <si>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</si>
  <si>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04.01.2019</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</si>
  <si>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</si>
  <si>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</si>
  <si>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</si>
  <si>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</si>
  <si>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</si>
  <si>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</si>
  <si>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</si>
  <si>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</si>
  <si>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</si>
  <si>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04.01.2019</t>
    <phoneticPr fontId="3"/>
  </si>
  <si>
    <t>04.01.2019</t>
    <phoneticPr fontId="3"/>
  </si>
  <si>
    <t>04.01.2019</t>
    <phoneticPr fontId="3"/>
  </si>
  <si>
    <t>04.01.2019</t>
    <phoneticPr fontId="3"/>
  </si>
  <si>
    <t>04.01.2019</t>
    <phoneticPr fontId="3"/>
  </si>
  <si>
    <t>04.01.2019</t>
    <phoneticPr fontId="3"/>
  </si>
  <si>
    <t>03.01.2019</t>
  </si>
  <si>
    <t>03.01.2019</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</si>
</sst>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4"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5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67;&#12500;&#12540;Zespri%20Shopsurvey_nagoya_5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5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5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5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F50" sqref="F50"/>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330</v>
      </c>
      <c r="B2" s="15" t="s">
        <v>332</v>
      </c>
      <c r="C2" s="15">
        <v>2018</v>
      </c>
      <c r="D2" s="50" t="s">
        <v>338</v>
      </c>
      <c r="E2" s="15" t="s">
        <v>141</v>
      </c>
      <c r="F2" s="15" t="s">
        <v>149</v>
      </c>
      <c r="G2" s="15" t="s">
        <v>36</v>
      </c>
      <c r="H2" s="15" t="s">
        <v>155</v>
      </c>
      <c r="I2" s="15" t="s">
        <v>153</v>
      </c>
      <c r="J2" s="15" t="s">
        <v>38</v>
      </c>
      <c r="K2" s="7" t="s">
        <v>154</v>
      </c>
      <c r="L2" s="7">
        <v>1</v>
      </c>
      <c r="N2" s="47">
        <v>1</v>
      </c>
      <c r="O2" s="15">
        <v>0.5</v>
      </c>
      <c r="P2" s="15">
        <v>0.5</v>
      </c>
      <c r="Q2" s="51">
        <f t="shared" ref="Q2:Q65" si="0">IF(OR(O2="",P2=""),"",AVERAGE(O2,P2))</f>
        <v>0.5</v>
      </c>
      <c r="R2" s="15">
        <v>15.8</v>
      </c>
      <c r="S2" s="15">
        <v>136</v>
      </c>
      <c r="T2" s="38">
        <f t="shared" ref="T2:T59" si="1">IF(H2="","",IF(OR(H2="GREEN",H2="GK"),IF(S2&gt;=$AX$2,VLOOKUP(S2,$AX$2:$AY$12,2,1),""),IF(S2&gt;=$AZ$2,VLOOKUP(S2,$AZ$2:$BA$12,2,1),"")))</f>
        <v>25</v>
      </c>
      <c r="U2" s="15">
        <v>102</v>
      </c>
      <c r="V2" s="38">
        <f t="shared" ref="V2:V65" si="2">IF(OR(N2="",U2="",T2=""),"",U2/N2*T2)</f>
        <v>2550</v>
      </c>
      <c r="W2" s="15">
        <v>2</v>
      </c>
      <c r="X2" s="15" t="s">
        <v>39</v>
      </c>
      <c r="Y2" s="15" t="s">
        <v>84</v>
      </c>
      <c r="Z2" s="15" t="s">
        <v>90</v>
      </c>
      <c r="AA2" s="15" t="s">
        <v>40</v>
      </c>
      <c r="AB2" s="39" t="s">
        <v>353</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330</v>
      </c>
      <c r="B3" s="15" t="s">
        <v>331</v>
      </c>
      <c r="C3" s="214">
        <v>2018</v>
      </c>
      <c r="D3" s="50" t="s">
        <v>337</v>
      </c>
      <c r="E3" s="15" t="s">
        <v>141</v>
      </c>
      <c r="F3" s="7" t="s">
        <v>149</v>
      </c>
      <c r="G3" s="7" t="s">
        <v>36</v>
      </c>
      <c r="H3" s="15" t="s">
        <v>155</v>
      </c>
      <c r="I3" s="7" t="s">
        <v>153</v>
      </c>
      <c r="J3" s="15" t="s">
        <v>38</v>
      </c>
      <c r="K3" s="7" t="s">
        <v>154</v>
      </c>
      <c r="L3" s="7">
        <v>2</v>
      </c>
      <c r="N3" s="7">
        <v>1</v>
      </c>
      <c r="O3" s="34">
        <v>0.65</v>
      </c>
      <c r="P3" s="7">
        <v>0.65</v>
      </c>
      <c r="Q3" s="52">
        <f t="shared" si="0"/>
        <v>0.65</v>
      </c>
      <c r="R3" s="7">
        <v>13.9</v>
      </c>
      <c r="S3" s="7">
        <v>126</v>
      </c>
      <c r="T3" s="16">
        <f t="shared" si="1"/>
        <v>27</v>
      </c>
      <c r="U3" s="15">
        <v>102</v>
      </c>
      <c r="V3" s="16">
        <f t="shared" si="2"/>
        <v>2754</v>
      </c>
      <c r="W3" s="15">
        <v>2</v>
      </c>
      <c r="X3" s="15" t="s">
        <v>39</v>
      </c>
      <c r="Y3" s="214" t="s">
        <v>84</v>
      </c>
      <c r="Z3" s="214" t="s">
        <v>90</v>
      </c>
      <c r="AA3" s="214" t="s">
        <v>40</v>
      </c>
      <c r="AB3" s="39" t="s">
        <v>333</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330</v>
      </c>
      <c r="B4" s="15" t="s">
        <v>331</v>
      </c>
      <c r="C4" s="214">
        <v>2018</v>
      </c>
      <c r="D4" s="50" t="s">
        <v>337</v>
      </c>
      <c r="E4" s="15" t="s">
        <v>141</v>
      </c>
      <c r="F4" s="7" t="s">
        <v>149</v>
      </c>
      <c r="G4" s="7" t="s">
        <v>36</v>
      </c>
      <c r="H4" s="15" t="s">
        <v>155</v>
      </c>
      <c r="I4" s="206" t="s">
        <v>153</v>
      </c>
      <c r="J4" s="15" t="s">
        <v>38</v>
      </c>
      <c r="K4" s="7" t="s">
        <v>154</v>
      </c>
      <c r="L4" s="7">
        <v>3</v>
      </c>
      <c r="N4" s="7">
        <v>1</v>
      </c>
      <c r="O4" s="7">
        <v>0.6</v>
      </c>
      <c r="P4" s="7">
        <v>0.75</v>
      </c>
      <c r="Q4" s="52">
        <f t="shared" si="0"/>
        <v>0.67500000000000004</v>
      </c>
      <c r="R4" s="7">
        <v>13.8</v>
      </c>
      <c r="S4" s="7">
        <v>118</v>
      </c>
      <c r="T4" s="16">
        <f t="shared" si="1"/>
        <v>30</v>
      </c>
      <c r="U4" s="15">
        <v>102</v>
      </c>
      <c r="V4" s="16">
        <f t="shared" si="2"/>
        <v>3060</v>
      </c>
      <c r="W4" s="15">
        <v>2</v>
      </c>
      <c r="X4" s="214" t="s">
        <v>39</v>
      </c>
      <c r="Y4" s="214" t="s">
        <v>84</v>
      </c>
      <c r="Z4" s="214" t="s">
        <v>90</v>
      </c>
      <c r="AA4" s="214" t="s">
        <v>40</v>
      </c>
      <c r="AB4" s="39" t="s">
        <v>333</v>
      </c>
      <c r="AE4" s="22" t="s">
        <v>34</v>
      </c>
      <c r="AG4" s="49" t="s">
        <v>334</v>
      </c>
      <c r="AH4" s="49" t="s">
        <v>335</v>
      </c>
      <c r="AJ4" s="27" t="s">
        <v>48</v>
      </c>
      <c r="AL4" s="27" t="s">
        <v>129</v>
      </c>
      <c r="AN4" s="28" t="s">
        <v>49</v>
      </c>
      <c r="AP4" s="23" t="s">
        <v>93</v>
      </c>
      <c r="AR4" s="41" t="s">
        <v>121</v>
      </c>
      <c r="AT4" s="28"/>
      <c r="AV4" s="23" t="s">
        <v>50</v>
      </c>
      <c r="AX4" s="24">
        <v>75</v>
      </c>
      <c r="AY4" s="25">
        <v>42</v>
      </c>
      <c r="AZ4" s="25">
        <v>76</v>
      </c>
      <c r="BA4" s="26">
        <v>39</v>
      </c>
    </row>
    <row r="5" spans="1:53" x14ac:dyDescent="0.15">
      <c r="A5" s="15" t="s">
        <v>330</v>
      </c>
      <c r="B5" s="15" t="s">
        <v>331</v>
      </c>
      <c r="C5" s="214">
        <v>2018</v>
      </c>
      <c r="D5" s="50" t="s">
        <v>337</v>
      </c>
      <c r="E5" s="214" t="s">
        <v>141</v>
      </c>
      <c r="F5" s="206" t="s">
        <v>149</v>
      </c>
      <c r="G5" s="206" t="s">
        <v>36</v>
      </c>
      <c r="H5" s="214" t="s">
        <v>205</v>
      </c>
      <c r="I5" s="206" t="s">
        <v>153</v>
      </c>
      <c r="J5" s="214" t="s">
        <v>38</v>
      </c>
      <c r="K5" s="206" t="s">
        <v>54</v>
      </c>
      <c r="L5" s="206">
        <v>1</v>
      </c>
      <c r="M5" s="206"/>
      <c r="N5" s="206">
        <v>1</v>
      </c>
      <c r="O5" s="7">
        <v>0.7</v>
      </c>
      <c r="P5" s="7">
        <v>0.8</v>
      </c>
      <c r="Q5" s="52">
        <f t="shared" si="0"/>
        <v>0.75</v>
      </c>
      <c r="R5" s="7">
        <v>16.5</v>
      </c>
      <c r="S5" s="7">
        <v>97</v>
      </c>
      <c r="T5" s="16">
        <f t="shared" si="1"/>
        <v>36</v>
      </c>
      <c r="U5" s="15">
        <v>145</v>
      </c>
      <c r="V5" s="16">
        <f t="shared" si="2"/>
        <v>5220</v>
      </c>
      <c r="W5" s="15">
        <v>2</v>
      </c>
      <c r="X5" s="214" t="s">
        <v>39</v>
      </c>
      <c r="Y5" s="214" t="s">
        <v>84</v>
      </c>
      <c r="Z5" s="214" t="s">
        <v>90</v>
      </c>
      <c r="AA5" s="214" t="s">
        <v>40</v>
      </c>
      <c r="AB5" s="39" t="s">
        <v>333</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330</v>
      </c>
      <c r="B6" s="15" t="s">
        <v>331</v>
      </c>
      <c r="C6" s="214">
        <v>2018</v>
      </c>
      <c r="D6" s="50" t="s">
        <v>337</v>
      </c>
      <c r="E6" s="214" t="s">
        <v>141</v>
      </c>
      <c r="F6" s="206" t="s">
        <v>149</v>
      </c>
      <c r="G6" s="206" t="s">
        <v>36</v>
      </c>
      <c r="H6" s="214" t="s">
        <v>205</v>
      </c>
      <c r="I6" s="206" t="s">
        <v>153</v>
      </c>
      <c r="J6" s="214" t="s">
        <v>38</v>
      </c>
      <c r="K6" s="206" t="s">
        <v>54</v>
      </c>
      <c r="L6" s="206">
        <v>2</v>
      </c>
      <c r="M6" s="206"/>
      <c r="N6" s="206">
        <v>1</v>
      </c>
      <c r="O6" s="7">
        <v>0.7</v>
      </c>
      <c r="P6" s="7">
        <v>0.85</v>
      </c>
      <c r="Q6" s="52">
        <f t="shared" si="0"/>
        <v>0.77499999999999991</v>
      </c>
      <c r="R6" s="7">
        <v>16.100000000000001</v>
      </c>
      <c r="S6" s="7">
        <v>102</v>
      </c>
      <c r="T6" s="16">
        <f t="shared" si="1"/>
        <v>36</v>
      </c>
      <c r="U6" s="214">
        <v>145</v>
      </c>
      <c r="V6" s="16">
        <f t="shared" si="2"/>
        <v>5220</v>
      </c>
      <c r="W6" s="15">
        <v>2</v>
      </c>
      <c r="X6" s="214" t="s">
        <v>39</v>
      </c>
      <c r="Y6" s="214" t="s">
        <v>84</v>
      </c>
      <c r="Z6" s="214" t="s">
        <v>90</v>
      </c>
      <c r="AA6" s="214" t="s">
        <v>40</v>
      </c>
      <c r="AB6" s="39" t="s">
        <v>333</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330</v>
      </c>
      <c r="B7" s="15" t="s">
        <v>331</v>
      </c>
      <c r="C7" s="214">
        <v>2018</v>
      </c>
      <c r="D7" s="50" t="s">
        <v>337</v>
      </c>
      <c r="E7" s="214" t="s">
        <v>141</v>
      </c>
      <c r="F7" s="206" t="s">
        <v>149</v>
      </c>
      <c r="G7" s="206" t="s">
        <v>36</v>
      </c>
      <c r="H7" s="214" t="s">
        <v>205</v>
      </c>
      <c r="I7" s="206" t="s">
        <v>153</v>
      </c>
      <c r="J7" s="214" t="s">
        <v>38</v>
      </c>
      <c r="K7" s="206" t="s">
        <v>54</v>
      </c>
      <c r="L7" s="206">
        <v>3</v>
      </c>
      <c r="M7" s="206"/>
      <c r="N7" s="206">
        <v>1</v>
      </c>
      <c r="O7" s="7">
        <v>0.65</v>
      </c>
      <c r="P7" s="7">
        <v>0.75</v>
      </c>
      <c r="Q7" s="52">
        <f t="shared" si="0"/>
        <v>0.7</v>
      </c>
      <c r="R7" s="34">
        <v>16.600000000000001</v>
      </c>
      <c r="S7" s="7">
        <v>99</v>
      </c>
      <c r="T7" s="16">
        <f t="shared" si="1"/>
        <v>36</v>
      </c>
      <c r="U7" s="214">
        <v>145</v>
      </c>
      <c r="V7" s="16">
        <f t="shared" si="2"/>
        <v>5220</v>
      </c>
      <c r="W7" s="15">
        <v>2</v>
      </c>
      <c r="X7" s="214" t="s">
        <v>39</v>
      </c>
      <c r="Y7" s="214" t="s">
        <v>84</v>
      </c>
      <c r="Z7" s="214" t="s">
        <v>90</v>
      </c>
      <c r="AA7" s="214" t="s">
        <v>40</v>
      </c>
      <c r="AB7" s="39" t="s">
        <v>333</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330</v>
      </c>
      <c r="B8" s="15" t="s">
        <v>331</v>
      </c>
      <c r="C8" s="214">
        <v>2018</v>
      </c>
      <c r="D8" s="50" t="s">
        <v>337</v>
      </c>
      <c r="E8" s="214" t="s">
        <v>133</v>
      </c>
      <c r="F8" s="206" t="s">
        <v>150</v>
      </c>
      <c r="G8" s="206" t="s">
        <v>36</v>
      </c>
      <c r="H8" s="214" t="s">
        <v>155</v>
      </c>
      <c r="I8" s="206" t="s">
        <v>153</v>
      </c>
      <c r="J8" s="214" t="s">
        <v>38</v>
      </c>
      <c r="K8" s="206" t="s">
        <v>154</v>
      </c>
      <c r="L8" s="206">
        <v>1</v>
      </c>
      <c r="M8" s="206"/>
      <c r="N8" s="206">
        <v>1</v>
      </c>
      <c r="O8" s="7">
        <v>0.7</v>
      </c>
      <c r="P8" s="7">
        <v>0.8</v>
      </c>
      <c r="Q8" s="52">
        <f t="shared" si="0"/>
        <v>0.75</v>
      </c>
      <c r="R8" s="34">
        <v>13.8</v>
      </c>
      <c r="S8" s="7">
        <v>120</v>
      </c>
      <c r="T8" s="16">
        <f t="shared" si="1"/>
        <v>30</v>
      </c>
      <c r="U8" s="15">
        <v>105</v>
      </c>
      <c r="V8" s="16">
        <f t="shared" si="2"/>
        <v>3150</v>
      </c>
      <c r="W8" s="15">
        <v>3</v>
      </c>
      <c r="X8" s="214" t="s">
        <v>46</v>
      </c>
      <c r="Y8" s="214" t="s">
        <v>84</v>
      </c>
      <c r="Z8" s="214" t="s">
        <v>90</v>
      </c>
      <c r="AA8" s="214" t="s">
        <v>69</v>
      </c>
      <c r="AB8" s="39" t="s">
        <v>333</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330</v>
      </c>
      <c r="B9" s="15" t="s">
        <v>331</v>
      </c>
      <c r="C9" s="214">
        <v>2018</v>
      </c>
      <c r="D9" s="50" t="s">
        <v>337</v>
      </c>
      <c r="E9" s="214" t="s">
        <v>133</v>
      </c>
      <c r="F9" s="206" t="s">
        <v>150</v>
      </c>
      <c r="G9" s="206" t="s">
        <v>36</v>
      </c>
      <c r="H9" s="214" t="s">
        <v>155</v>
      </c>
      <c r="I9" s="206" t="s">
        <v>153</v>
      </c>
      <c r="J9" s="214" t="s">
        <v>38</v>
      </c>
      <c r="K9" s="206" t="s">
        <v>154</v>
      </c>
      <c r="L9" s="206">
        <v>2</v>
      </c>
      <c r="M9" s="206"/>
      <c r="N9" s="206">
        <v>1</v>
      </c>
      <c r="O9" s="7">
        <v>0.9</v>
      </c>
      <c r="P9" s="7">
        <v>1</v>
      </c>
      <c r="Q9" s="52">
        <f t="shared" si="0"/>
        <v>0.95</v>
      </c>
      <c r="R9" s="7">
        <v>13.8</v>
      </c>
      <c r="S9" s="7">
        <v>118</v>
      </c>
      <c r="T9" s="16">
        <f t="shared" si="1"/>
        <v>30</v>
      </c>
      <c r="U9" s="214">
        <v>105</v>
      </c>
      <c r="V9" s="16">
        <f t="shared" si="2"/>
        <v>3150</v>
      </c>
      <c r="W9" s="15">
        <v>3</v>
      </c>
      <c r="X9" s="214" t="s">
        <v>46</v>
      </c>
      <c r="Y9" s="214" t="s">
        <v>84</v>
      </c>
      <c r="Z9" s="214" t="s">
        <v>90</v>
      </c>
      <c r="AA9" s="214" t="s">
        <v>69</v>
      </c>
      <c r="AB9" s="39" t="s">
        <v>333</v>
      </c>
      <c r="AE9" s="22" t="s">
        <v>98</v>
      </c>
      <c r="AG9" s="49" t="s">
        <v>133</v>
      </c>
      <c r="AH9" s="49" t="s">
        <v>150</v>
      </c>
      <c r="AL9" s="34"/>
      <c r="AP9" s="23" t="s">
        <v>95</v>
      </c>
      <c r="AR9" s="30" t="s">
        <v>89</v>
      </c>
      <c r="AV9" s="23" t="s">
        <v>102</v>
      </c>
      <c r="AX9" s="24">
        <v>128</v>
      </c>
      <c r="AY9" s="25">
        <v>27</v>
      </c>
      <c r="AZ9" s="25">
        <v>129</v>
      </c>
      <c r="BA9" s="26">
        <v>25</v>
      </c>
    </row>
    <row r="10" spans="1:53" x14ac:dyDescent="0.15">
      <c r="A10" s="15" t="s">
        <v>330</v>
      </c>
      <c r="B10" s="15" t="s">
        <v>331</v>
      </c>
      <c r="C10" s="214">
        <v>2018</v>
      </c>
      <c r="D10" s="50" t="s">
        <v>337</v>
      </c>
      <c r="E10" s="214" t="s">
        <v>133</v>
      </c>
      <c r="F10" s="206" t="s">
        <v>150</v>
      </c>
      <c r="G10" s="206" t="s">
        <v>36</v>
      </c>
      <c r="H10" s="214" t="s">
        <v>155</v>
      </c>
      <c r="I10" s="206" t="s">
        <v>153</v>
      </c>
      <c r="J10" s="214" t="s">
        <v>38</v>
      </c>
      <c r="K10" s="206" t="s">
        <v>154</v>
      </c>
      <c r="L10" s="206">
        <v>3</v>
      </c>
      <c r="M10" s="206"/>
      <c r="N10" s="206">
        <v>1</v>
      </c>
      <c r="O10" s="7">
        <v>0.75</v>
      </c>
      <c r="P10" s="7">
        <v>0.85</v>
      </c>
      <c r="Q10" s="52">
        <f t="shared" si="0"/>
        <v>0.8</v>
      </c>
      <c r="R10" s="7">
        <v>13.2</v>
      </c>
      <c r="S10" s="7">
        <v>122</v>
      </c>
      <c r="T10" s="16">
        <f t="shared" si="1"/>
        <v>27</v>
      </c>
      <c r="U10" s="214">
        <v>105</v>
      </c>
      <c r="V10" s="16">
        <f t="shared" si="2"/>
        <v>2835</v>
      </c>
      <c r="W10" s="15">
        <v>3</v>
      </c>
      <c r="X10" s="214" t="s">
        <v>46</v>
      </c>
      <c r="Y10" s="214" t="s">
        <v>84</v>
      </c>
      <c r="Z10" s="214" t="s">
        <v>90</v>
      </c>
      <c r="AA10" s="214" t="s">
        <v>69</v>
      </c>
      <c r="AB10" s="39" t="s">
        <v>333</v>
      </c>
      <c r="AE10" s="22" t="s">
        <v>103</v>
      </c>
      <c r="AG10" s="49" t="s">
        <v>142</v>
      </c>
      <c r="AH10" s="49" t="s">
        <v>151</v>
      </c>
      <c r="AP10" s="23" t="s">
        <v>100</v>
      </c>
      <c r="AR10" s="30" t="s">
        <v>123</v>
      </c>
      <c r="AV10" s="23" t="s">
        <v>106</v>
      </c>
      <c r="AX10" s="24">
        <v>138</v>
      </c>
      <c r="AY10" s="25">
        <v>25</v>
      </c>
      <c r="AZ10" s="25">
        <v>138</v>
      </c>
      <c r="BA10" s="26">
        <v>22</v>
      </c>
    </row>
    <row r="11" spans="1:53" x14ac:dyDescent="0.15">
      <c r="A11" s="15" t="s">
        <v>330</v>
      </c>
      <c r="B11" s="15" t="s">
        <v>331</v>
      </c>
      <c r="C11" s="214">
        <v>2018</v>
      </c>
      <c r="D11" s="50" t="s">
        <v>337</v>
      </c>
      <c r="E11" s="214" t="s">
        <v>142</v>
      </c>
      <c r="F11" s="206" t="s">
        <v>151</v>
      </c>
      <c r="G11" s="206" t="s">
        <v>36</v>
      </c>
      <c r="H11" s="214" t="s">
        <v>155</v>
      </c>
      <c r="I11" s="206" t="s">
        <v>153</v>
      </c>
      <c r="J11" s="214" t="s">
        <v>38</v>
      </c>
      <c r="K11" s="206" t="s">
        <v>154</v>
      </c>
      <c r="L11" s="206">
        <v>1</v>
      </c>
      <c r="M11" s="206"/>
      <c r="N11" s="206">
        <v>1</v>
      </c>
      <c r="O11" s="7">
        <v>0.5</v>
      </c>
      <c r="P11" s="7">
        <v>0.5</v>
      </c>
      <c r="Q11" s="52">
        <f t="shared" si="0"/>
        <v>0.5</v>
      </c>
      <c r="R11" s="7">
        <v>13.9</v>
      </c>
      <c r="S11" s="7">
        <v>118</v>
      </c>
      <c r="T11" s="16">
        <f t="shared" si="1"/>
        <v>30</v>
      </c>
      <c r="U11" s="7">
        <v>149</v>
      </c>
      <c r="V11" s="16">
        <f t="shared" si="2"/>
        <v>4470</v>
      </c>
      <c r="W11" s="7">
        <v>5</v>
      </c>
      <c r="X11" s="214" t="s">
        <v>39</v>
      </c>
      <c r="Y11" s="214" t="s">
        <v>84</v>
      </c>
      <c r="Z11" s="214" t="s">
        <v>90</v>
      </c>
      <c r="AA11" s="214" t="s">
        <v>69</v>
      </c>
      <c r="AB11" s="39" t="s">
        <v>333</v>
      </c>
      <c r="AE11" s="22" t="s">
        <v>65</v>
      </c>
      <c r="AG11" s="49" t="s">
        <v>143</v>
      </c>
      <c r="AH11" s="49" t="s">
        <v>152</v>
      </c>
      <c r="AP11" s="23" t="s">
        <v>104</v>
      </c>
      <c r="AR11" s="30" t="s">
        <v>87</v>
      </c>
      <c r="AV11" s="23" t="s">
        <v>69</v>
      </c>
      <c r="AX11" s="24">
        <v>151</v>
      </c>
      <c r="AY11" s="25">
        <v>22</v>
      </c>
      <c r="AZ11" s="25">
        <v>152</v>
      </c>
      <c r="BA11" s="26">
        <v>18</v>
      </c>
    </row>
    <row r="12" spans="1:53" x14ac:dyDescent="0.15">
      <c r="A12" s="15" t="s">
        <v>330</v>
      </c>
      <c r="B12" s="15" t="s">
        <v>331</v>
      </c>
      <c r="C12" s="214">
        <v>2018</v>
      </c>
      <c r="D12" s="50" t="s">
        <v>337</v>
      </c>
      <c r="E12" s="214" t="s">
        <v>142</v>
      </c>
      <c r="F12" s="206" t="s">
        <v>151</v>
      </c>
      <c r="G12" s="206" t="s">
        <v>36</v>
      </c>
      <c r="H12" s="214" t="s">
        <v>155</v>
      </c>
      <c r="I12" s="206" t="s">
        <v>153</v>
      </c>
      <c r="J12" s="214" t="s">
        <v>38</v>
      </c>
      <c r="K12" s="206" t="s">
        <v>154</v>
      </c>
      <c r="L12" s="206">
        <v>2</v>
      </c>
      <c r="M12" s="206"/>
      <c r="N12" s="206">
        <v>1</v>
      </c>
      <c r="O12" s="7">
        <v>0.65</v>
      </c>
      <c r="P12" s="7">
        <v>0.65</v>
      </c>
      <c r="Q12" s="52">
        <f t="shared" si="0"/>
        <v>0.65</v>
      </c>
      <c r="R12" s="34">
        <v>14.3</v>
      </c>
      <c r="S12" s="7">
        <v>115</v>
      </c>
      <c r="T12" s="16">
        <f t="shared" si="1"/>
        <v>30</v>
      </c>
      <c r="U12" s="206">
        <v>149</v>
      </c>
      <c r="V12" s="16">
        <f t="shared" si="2"/>
        <v>4470</v>
      </c>
      <c r="W12" s="7">
        <v>5</v>
      </c>
      <c r="X12" s="214" t="s">
        <v>39</v>
      </c>
      <c r="Y12" s="214" t="s">
        <v>84</v>
      </c>
      <c r="Z12" s="214" t="s">
        <v>90</v>
      </c>
      <c r="AA12" s="214" t="s">
        <v>69</v>
      </c>
      <c r="AB12" s="39" t="s">
        <v>333</v>
      </c>
      <c r="AE12" s="22" t="s">
        <v>70</v>
      </c>
      <c r="AG12" s="40"/>
      <c r="AH12" s="40"/>
      <c r="AP12" s="23" t="s">
        <v>67</v>
      </c>
      <c r="AR12" s="30" t="s">
        <v>124</v>
      </c>
      <c r="AV12" s="23" t="s">
        <v>72</v>
      </c>
      <c r="AX12" s="31">
        <v>180</v>
      </c>
      <c r="AY12" s="32">
        <v>18</v>
      </c>
      <c r="AZ12" s="32">
        <v>181</v>
      </c>
      <c r="BA12" s="33">
        <v>16</v>
      </c>
    </row>
    <row r="13" spans="1:53" x14ac:dyDescent="0.15">
      <c r="A13" s="15" t="s">
        <v>330</v>
      </c>
      <c r="B13" s="15" t="s">
        <v>331</v>
      </c>
      <c r="C13" s="214">
        <v>2018</v>
      </c>
      <c r="D13" s="50" t="s">
        <v>337</v>
      </c>
      <c r="E13" s="214" t="s">
        <v>142</v>
      </c>
      <c r="F13" s="206" t="s">
        <v>151</v>
      </c>
      <c r="G13" s="206" t="s">
        <v>36</v>
      </c>
      <c r="H13" s="214" t="s">
        <v>155</v>
      </c>
      <c r="I13" s="206" t="s">
        <v>153</v>
      </c>
      <c r="J13" s="214" t="s">
        <v>38</v>
      </c>
      <c r="K13" s="206" t="s">
        <v>154</v>
      </c>
      <c r="L13" s="206">
        <v>3</v>
      </c>
      <c r="M13" s="206"/>
      <c r="N13" s="206">
        <v>1</v>
      </c>
      <c r="O13" s="7">
        <v>0.75</v>
      </c>
      <c r="P13" s="7">
        <v>0.8</v>
      </c>
      <c r="Q13" s="52">
        <f t="shared" si="0"/>
        <v>0.77500000000000002</v>
      </c>
      <c r="R13" s="7">
        <v>13.1</v>
      </c>
      <c r="S13" s="7">
        <v>124</v>
      </c>
      <c r="T13" s="16">
        <f t="shared" si="1"/>
        <v>27</v>
      </c>
      <c r="U13" s="206">
        <v>149</v>
      </c>
      <c r="V13" s="16">
        <f t="shared" si="2"/>
        <v>4023</v>
      </c>
      <c r="W13" s="7">
        <v>5</v>
      </c>
      <c r="X13" s="214" t="s">
        <v>39</v>
      </c>
      <c r="Y13" s="214" t="s">
        <v>84</v>
      </c>
      <c r="Z13" s="214" t="s">
        <v>90</v>
      </c>
      <c r="AA13" s="214" t="s">
        <v>69</v>
      </c>
      <c r="AB13" s="39" t="s">
        <v>333</v>
      </c>
      <c r="AE13" s="22" t="s">
        <v>73</v>
      </c>
      <c r="AG13" s="23"/>
      <c r="AH13" s="23"/>
      <c r="AP13" s="23" t="s">
        <v>71</v>
      </c>
      <c r="AR13" s="30" t="s">
        <v>103</v>
      </c>
      <c r="AV13" s="23" t="s">
        <v>75</v>
      </c>
    </row>
    <row r="14" spans="1:53" x14ac:dyDescent="0.15">
      <c r="A14" s="15" t="s">
        <v>330</v>
      </c>
      <c r="B14" s="15" t="s">
        <v>331</v>
      </c>
      <c r="C14" s="214">
        <v>2018</v>
      </c>
      <c r="D14" s="50" t="s">
        <v>337</v>
      </c>
      <c r="E14" s="214" t="s">
        <v>142</v>
      </c>
      <c r="F14" s="206" t="s">
        <v>151</v>
      </c>
      <c r="G14" s="206" t="s">
        <v>36</v>
      </c>
      <c r="H14" s="214" t="s">
        <v>205</v>
      </c>
      <c r="I14" s="206" t="s">
        <v>153</v>
      </c>
      <c r="J14" s="214" t="s">
        <v>38</v>
      </c>
      <c r="K14" s="206" t="s">
        <v>54</v>
      </c>
      <c r="L14" s="206">
        <v>1</v>
      </c>
      <c r="M14" s="206"/>
      <c r="N14" s="206">
        <v>1</v>
      </c>
      <c r="O14" s="7">
        <v>0.75</v>
      </c>
      <c r="P14" s="7">
        <v>0.7</v>
      </c>
      <c r="Q14" s="52">
        <f t="shared" si="0"/>
        <v>0.72499999999999998</v>
      </c>
      <c r="R14" s="7">
        <v>15.5</v>
      </c>
      <c r="S14" s="7">
        <v>98</v>
      </c>
      <c r="T14" s="16">
        <f t="shared" si="1"/>
        <v>36</v>
      </c>
      <c r="U14" s="7">
        <v>170</v>
      </c>
      <c r="V14" s="16">
        <f t="shared" si="2"/>
        <v>6120</v>
      </c>
      <c r="W14" s="7">
        <v>1</v>
      </c>
      <c r="X14" s="214" t="s">
        <v>39</v>
      </c>
      <c r="Y14" s="214" t="s">
        <v>84</v>
      </c>
      <c r="Z14" s="214" t="s">
        <v>90</v>
      </c>
      <c r="AA14" s="214" t="s">
        <v>69</v>
      </c>
      <c r="AB14" s="39" t="s">
        <v>333</v>
      </c>
      <c r="AE14" s="22" t="s">
        <v>76</v>
      </c>
      <c r="AG14" s="23"/>
      <c r="AH14" s="23"/>
      <c r="AP14" s="23" t="s">
        <v>74</v>
      </c>
      <c r="AR14" s="30" t="s">
        <v>125</v>
      </c>
      <c r="AV14" s="23" t="s">
        <v>78</v>
      </c>
    </row>
    <row r="15" spans="1:53" x14ac:dyDescent="0.15">
      <c r="A15" s="15" t="s">
        <v>330</v>
      </c>
      <c r="B15" s="15" t="s">
        <v>331</v>
      </c>
      <c r="C15" s="214">
        <v>2018</v>
      </c>
      <c r="D15" s="50" t="s">
        <v>337</v>
      </c>
      <c r="E15" s="214" t="s">
        <v>142</v>
      </c>
      <c r="F15" s="206" t="s">
        <v>151</v>
      </c>
      <c r="G15" s="206" t="s">
        <v>36</v>
      </c>
      <c r="H15" s="214" t="s">
        <v>205</v>
      </c>
      <c r="I15" s="206" t="s">
        <v>153</v>
      </c>
      <c r="J15" s="214" t="s">
        <v>38</v>
      </c>
      <c r="K15" s="206" t="s">
        <v>54</v>
      </c>
      <c r="L15" s="206">
        <v>2</v>
      </c>
      <c r="M15" s="206"/>
      <c r="N15" s="206">
        <v>1</v>
      </c>
      <c r="O15" s="7">
        <v>0.6</v>
      </c>
      <c r="P15" s="7">
        <v>0.65</v>
      </c>
      <c r="Q15" s="52">
        <f t="shared" si="0"/>
        <v>0.625</v>
      </c>
      <c r="R15" s="7">
        <v>17.2</v>
      </c>
      <c r="S15" s="7">
        <v>99</v>
      </c>
      <c r="T15" s="16">
        <f t="shared" si="1"/>
        <v>36</v>
      </c>
      <c r="U15" s="206">
        <v>170</v>
      </c>
      <c r="V15" s="16">
        <f t="shared" si="2"/>
        <v>6120</v>
      </c>
      <c r="W15" s="7">
        <v>1</v>
      </c>
      <c r="X15" s="214" t="s">
        <v>39</v>
      </c>
      <c r="Y15" s="214" t="s">
        <v>84</v>
      </c>
      <c r="Z15" s="214" t="s">
        <v>90</v>
      </c>
      <c r="AA15" s="214" t="s">
        <v>69</v>
      </c>
      <c r="AB15" s="39" t="s">
        <v>333</v>
      </c>
      <c r="AE15" s="22" t="s">
        <v>79</v>
      </c>
      <c r="AG15" s="23"/>
      <c r="AH15" s="23"/>
      <c r="AP15" s="23" t="s">
        <v>77</v>
      </c>
      <c r="AR15" s="30" t="s">
        <v>94</v>
      </c>
      <c r="AV15" s="23" t="s">
        <v>107</v>
      </c>
    </row>
    <row r="16" spans="1:53" x14ac:dyDescent="0.15">
      <c r="A16" s="15" t="s">
        <v>330</v>
      </c>
      <c r="B16" s="15" t="s">
        <v>331</v>
      </c>
      <c r="C16" s="214">
        <v>2018</v>
      </c>
      <c r="D16" s="50" t="s">
        <v>337</v>
      </c>
      <c r="E16" s="214" t="s">
        <v>142</v>
      </c>
      <c r="F16" s="206" t="s">
        <v>151</v>
      </c>
      <c r="G16" s="206" t="s">
        <v>36</v>
      </c>
      <c r="H16" s="214" t="s">
        <v>205</v>
      </c>
      <c r="I16" s="206" t="s">
        <v>153</v>
      </c>
      <c r="J16" s="214" t="s">
        <v>38</v>
      </c>
      <c r="K16" s="206" t="s">
        <v>54</v>
      </c>
      <c r="L16" s="206">
        <v>3</v>
      </c>
      <c r="M16" s="206"/>
      <c r="N16" s="206">
        <v>1</v>
      </c>
      <c r="O16" s="7">
        <v>0.6</v>
      </c>
      <c r="P16" s="7">
        <v>0.75</v>
      </c>
      <c r="Q16" s="52">
        <f t="shared" si="0"/>
        <v>0.67500000000000004</v>
      </c>
      <c r="R16" s="7">
        <v>13.3</v>
      </c>
      <c r="S16" s="7">
        <v>99</v>
      </c>
      <c r="T16" s="16">
        <f t="shared" si="1"/>
        <v>36</v>
      </c>
      <c r="U16" s="206">
        <v>170</v>
      </c>
      <c r="V16" s="16">
        <f t="shared" si="2"/>
        <v>6120</v>
      </c>
      <c r="W16" s="7">
        <v>1</v>
      </c>
      <c r="X16" s="214" t="s">
        <v>39</v>
      </c>
      <c r="Y16" s="214" t="s">
        <v>84</v>
      </c>
      <c r="Z16" s="214" t="s">
        <v>90</v>
      </c>
      <c r="AA16" s="214" t="s">
        <v>69</v>
      </c>
      <c r="AB16" s="39" t="s">
        <v>333</v>
      </c>
      <c r="AE16" s="22" t="s">
        <v>82</v>
      </c>
      <c r="AG16" s="28"/>
      <c r="AH16" s="28"/>
      <c r="AP16" s="23" t="s">
        <v>80</v>
      </c>
      <c r="AR16" s="41" t="s">
        <v>63</v>
      </c>
      <c r="AV16" s="23" t="s">
        <v>84</v>
      </c>
    </row>
    <row r="17" spans="1:48" x14ac:dyDescent="0.15">
      <c r="A17" s="15" t="s">
        <v>330</v>
      </c>
      <c r="B17" s="15" t="s">
        <v>331</v>
      </c>
      <c r="C17" s="214">
        <v>2018</v>
      </c>
      <c r="D17" s="50" t="s">
        <v>337</v>
      </c>
      <c r="E17" s="206" t="s">
        <v>143</v>
      </c>
      <c r="F17" s="206" t="s">
        <v>152</v>
      </c>
      <c r="G17" s="206" t="s">
        <v>36</v>
      </c>
      <c r="H17" s="214" t="s">
        <v>155</v>
      </c>
      <c r="I17" s="206" t="s">
        <v>153</v>
      </c>
      <c r="J17" s="214" t="s">
        <v>38</v>
      </c>
      <c r="K17" s="206" t="s">
        <v>154</v>
      </c>
      <c r="L17" s="206">
        <v>1</v>
      </c>
      <c r="M17" s="206"/>
      <c r="N17" s="206">
        <v>1</v>
      </c>
      <c r="O17" s="7">
        <v>0.75</v>
      </c>
      <c r="P17" s="7">
        <v>0.7</v>
      </c>
      <c r="Q17" s="52">
        <f t="shared" si="0"/>
        <v>0.72499999999999998</v>
      </c>
      <c r="R17" s="7">
        <v>13.8</v>
      </c>
      <c r="S17" s="7">
        <v>129</v>
      </c>
      <c r="T17" s="16">
        <f t="shared" si="1"/>
        <v>25</v>
      </c>
      <c r="U17" s="7">
        <v>105</v>
      </c>
      <c r="V17" s="16">
        <f t="shared" si="2"/>
        <v>2625</v>
      </c>
      <c r="W17" s="7">
        <v>2</v>
      </c>
      <c r="X17" s="214" t="s">
        <v>39</v>
      </c>
      <c r="Y17" s="214" t="s">
        <v>40</v>
      </c>
      <c r="Z17" s="214" t="s">
        <v>78</v>
      </c>
      <c r="AA17" s="214" t="s">
        <v>84</v>
      </c>
      <c r="AB17" s="39" t="s">
        <v>333</v>
      </c>
      <c r="AE17" s="22" t="s">
        <v>85</v>
      </c>
      <c r="AP17" s="43" t="s">
        <v>110</v>
      </c>
      <c r="AR17" s="41" t="s">
        <v>96</v>
      </c>
      <c r="AV17" s="23" t="s">
        <v>86</v>
      </c>
    </row>
    <row r="18" spans="1:48" x14ac:dyDescent="0.15">
      <c r="A18" s="15" t="s">
        <v>330</v>
      </c>
      <c r="B18" s="15" t="s">
        <v>331</v>
      </c>
      <c r="C18" s="214">
        <v>2018</v>
      </c>
      <c r="D18" s="50" t="s">
        <v>337</v>
      </c>
      <c r="E18" s="206" t="s">
        <v>143</v>
      </c>
      <c r="F18" s="206" t="s">
        <v>152</v>
      </c>
      <c r="G18" s="206" t="s">
        <v>36</v>
      </c>
      <c r="H18" s="214" t="s">
        <v>155</v>
      </c>
      <c r="I18" s="206" t="s">
        <v>153</v>
      </c>
      <c r="J18" s="214" t="s">
        <v>38</v>
      </c>
      <c r="K18" s="206" t="s">
        <v>154</v>
      </c>
      <c r="L18" s="206">
        <v>2</v>
      </c>
      <c r="M18" s="206"/>
      <c r="N18" s="206">
        <v>1</v>
      </c>
      <c r="O18" s="7">
        <v>0.6</v>
      </c>
      <c r="P18" s="7">
        <v>0.75</v>
      </c>
      <c r="Q18" s="52">
        <f t="shared" si="0"/>
        <v>0.67500000000000004</v>
      </c>
      <c r="R18" s="7">
        <v>15.2</v>
      </c>
      <c r="S18" s="7">
        <v>131</v>
      </c>
      <c r="T18" s="16">
        <f t="shared" si="1"/>
        <v>25</v>
      </c>
      <c r="U18" s="206">
        <v>105</v>
      </c>
      <c r="V18" s="16">
        <f t="shared" si="2"/>
        <v>2625</v>
      </c>
      <c r="W18" s="7">
        <v>2</v>
      </c>
      <c r="X18" s="214" t="s">
        <v>39</v>
      </c>
      <c r="Y18" s="214" t="s">
        <v>40</v>
      </c>
      <c r="Z18" s="214" t="s">
        <v>78</v>
      </c>
      <c r="AA18" s="214" t="s">
        <v>84</v>
      </c>
      <c r="AB18" s="39" t="s">
        <v>333</v>
      </c>
      <c r="AE18" s="22" t="s">
        <v>87</v>
      </c>
      <c r="AP18" s="43" t="s">
        <v>111</v>
      </c>
      <c r="AR18" s="41" t="s">
        <v>101</v>
      </c>
      <c r="AV18" s="23" t="s">
        <v>88</v>
      </c>
    </row>
    <row r="19" spans="1:48" x14ac:dyDescent="0.15">
      <c r="A19" s="15" t="s">
        <v>330</v>
      </c>
      <c r="B19" s="15" t="s">
        <v>331</v>
      </c>
      <c r="C19" s="214">
        <v>2018</v>
      </c>
      <c r="D19" s="50" t="s">
        <v>337</v>
      </c>
      <c r="E19" s="206" t="s">
        <v>143</v>
      </c>
      <c r="F19" s="206" t="s">
        <v>152</v>
      </c>
      <c r="G19" s="206" t="s">
        <v>36</v>
      </c>
      <c r="H19" s="214" t="s">
        <v>155</v>
      </c>
      <c r="I19" s="206" t="s">
        <v>153</v>
      </c>
      <c r="J19" s="214" t="s">
        <v>38</v>
      </c>
      <c r="K19" s="206" t="s">
        <v>154</v>
      </c>
      <c r="L19" s="206">
        <v>3</v>
      </c>
      <c r="M19" s="206"/>
      <c r="N19" s="206">
        <v>1</v>
      </c>
      <c r="O19" s="7">
        <v>0.7</v>
      </c>
      <c r="P19" s="7">
        <v>0.75</v>
      </c>
      <c r="Q19" s="52">
        <f t="shared" si="0"/>
        <v>0.72499999999999998</v>
      </c>
      <c r="R19" s="7">
        <v>14.2</v>
      </c>
      <c r="S19" s="7">
        <v>130</v>
      </c>
      <c r="T19" s="16">
        <f t="shared" si="1"/>
        <v>25</v>
      </c>
      <c r="U19" s="206">
        <v>105</v>
      </c>
      <c r="V19" s="16">
        <f t="shared" si="2"/>
        <v>2625</v>
      </c>
      <c r="W19" s="7">
        <v>2</v>
      </c>
      <c r="X19" s="214" t="s">
        <v>39</v>
      </c>
      <c r="Y19" s="214" t="s">
        <v>40</v>
      </c>
      <c r="Z19" s="214" t="s">
        <v>78</v>
      </c>
      <c r="AA19" s="214" t="s">
        <v>84</v>
      </c>
      <c r="AB19" s="39" t="s">
        <v>333</v>
      </c>
      <c r="AE19" s="35" t="s">
        <v>89</v>
      </c>
      <c r="AP19" s="43" t="s">
        <v>112</v>
      </c>
      <c r="AR19" s="30" t="s">
        <v>126</v>
      </c>
      <c r="AV19" s="23" t="s">
        <v>90</v>
      </c>
    </row>
    <row r="20" spans="1:48" x14ac:dyDescent="0.15">
      <c r="A20" s="15" t="s">
        <v>330</v>
      </c>
      <c r="B20" s="15" t="s">
        <v>331</v>
      </c>
      <c r="C20" s="214">
        <v>2018</v>
      </c>
      <c r="D20" s="50" t="s">
        <v>337</v>
      </c>
      <c r="E20" s="206" t="s">
        <v>143</v>
      </c>
      <c r="F20" s="206" t="s">
        <v>152</v>
      </c>
      <c r="G20" s="206" t="s">
        <v>36</v>
      </c>
      <c r="H20" s="214" t="s">
        <v>205</v>
      </c>
      <c r="I20" s="206" t="s">
        <v>153</v>
      </c>
      <c r="J20" s="214" t="s">
        <v>38</v>
      </c>
      <c r="K20" s="206" t="s">
        <v>54</v>
      </c>
      <c r="L20" s="206">
        <v>1</v>
      </c>
      <c r="M20" s="206"/>
      <c r="N20" s="206">
        <v>4</v>
      </c>
      <c r="O20" s="7">
        <v>0.5</v>
      </c>
      <c r="P20" s="34">
        <v>0.5</v>
      </c>
      <c r="Q20" s="52">
        <f t="shared" si="0"/>
        <v>0.5</v>
      </c>
      <c r="R20" s="7">
        <v>15</v>
      </c>
      <c r="S20" s="7">
        <v>78</v>
      </c>
      <c r="T20" s="16">
        <f t="shared" si="1"/>
        <v>42</v>
      </c>
      <c r="U20" s="7">
        <v>537</v>
      </c>
      <c r="V20" s="16">
        <f t="shared" si="2"/>
        <v>5638.5</v>
      </c>
      <c r="W20" s="7">
        <v>2</v>
      </c>
      <c r="X20" s="214" t="s">
        <v>39</v>
      </c>
      <c r="Y20" s="214" t="s">
        <v>40</v>
      </c>
      <c r="Z20" s="214" t="s">
        <v>78</v>
      </c>
      <c r="AA20" s="214" t="s">
        <v>84</v>
      </c>
      <c r="AB20" s="39" t="s">
        <v>333</v>
      </c>
      <c r="AE20" s="22"/>
      <c r="AP20" s="43" t="s">
        <v>113</v>
      </c>
      <c r="AR20" s="41" t="s">
        <v>105</v>
      </c>
      <c r="AV20" s="27" t="s">
        <v>135</v>
      </c>
    </row>
    <row r="21" spans="1:48" x14ac:dyDescent="0.15">
      <c r="A21" s="15" t="s">
        <v>330</v>
      </c>
      <c r="B21" s="15" t="s">
        <v>331</v>
      </c>
      <c r="C21" s="214">
        <v>2018</v>
      </c>
      <c r="D21" s="50" t="s">
        <v>337</v>
      </c>
      <c r="E21" s="206" t="s">
        <v>143</v>
      </c>
      <c r="F21" s="206" t="s">
        <v>152</v>
      </c>
      <c r="G21" s="206" t="s">
        <v>36</v>
      </c>
      <c r="H21" s="214" t="s">
        <v>205</v>
      </c>
      <c r="I21" s="206" t="s">
        <v>153</v>
      </c>
      <c r="J21" s="214" t="s">
        <v>38</v>
      </c>
      <c r="K21" s="206" t="s">
        <v>54</v>
      </c>
      <c r="L21" s="206">
        <v>2</v>
      </c>
      <c r="M21" s="206"/>
      <c r="N21" s="206">
        <v>4</v>
      </c>
      <c r="O21" s="7">
        <v>0.6</v>
      </c>
      <c r="P21" s="7">
        <v>0.7</v>
      </c>
      <c r="Q21" s="52">
        <f t="shared" si="0"/>
        <v>0.64999999999999991</v>
      </c>
      <c r="R21" s="7">
        <v>14</v>
      </c>
      <c r="S21" s="7">
        <v>76</v>
      </c>
      <c r="T21" s="16">
        <f t="shared" si="1"/>
        <v>42</v>
      </c>
      <c r="U21" s="206">
        <v>537</v>
      </c>
      <c r="V21" s="16">
        <f t="shared" si="2"/>
        <v>5638.5</v>
      </c>
      <c r="W21" s="7">
        <v>2</v>
      </c>
      <c r="X21" s="214" t="s">
        <v>39</v>
      </c>
      <c r="Y21" s="214" t="s">
        <v>40</v>
      </c>
      <c r="Z21" s="214" t="s">
        <v>78</v>
      </c>
      <c r="AA21" s="214" t="s">
        <v>84</v>
      </c>
      <c r="AB21" s="39" t="s">
        <v>333</v>
      </c>
      <c r="AE21" s="22"/>
      <c r="AP21" s="43" t="s">
        <v>114</v>
      </c>
      <c r="AR21" s="41" t="s">
        <v>68</v>
      </c>
      <c r="AV21" s="27" t="s">
        <v>136</v>
      </c>
    </row>
    <row r="22" spans="1:48" x14ac:dyDescent="0.15">
      <c r="A22" s="15" t="s">
        <v>330</v>
      </c>
      <c r="B22" s="15" t="s">
        <v>331</v>
      </c>
      <c r="C22" s="214">
        <v>2018</v>
      </c>
      <c r="D22" s="50" t="s">
        <v>337</v>
      </c>
      <c r="E22" s="206" t="s">
        <v>143</v>
      </c>
      <c r="F22" s="206" t="s">
        <v>152</v>
      </c>
      <c r="G22" s="206" t="s">
        <v>36</v>
      </c>
      <c r="H22" s="214" t="s">
        <v>205</v>
      </c>
      <c r="I22" s="206" t="s">
        <v>153</v>
      </c>
      <c r="J22" s="214" t="s">
        <v>38</v>
      </c>
      <c r="K22" s="206" t="s">
        <v>54</v>
      </c>
      <c r="L22" s="206">
        <v>3</v>
      </c>
      <c r="M22" s="206"/>
      <c r="N22" s="206">
        <v>4</v>
      </c>
      <c r="O22" s="34">
        <v>0.75</v>
      </c>
      <c r="P22" s="7">
        <v>0.7</v>
      </c>
      <c r="Q22" s="52">
        <f t="shared" si="0"/>
        <v>0.72499999999999998</v>
      </c>
      <c r="R22" s="7">
        <v>13.3</v>
      </c>
      <c r="S22" s="7">
        <v>81</v>
      </c>
      <c r="T22" s="16">
        <f t="shared" si="1"/>
        <v>42</v>
      </c>
      <c r="U22" s="206">
        <v>537</v>
      </c>
      <c r="V22" s="16">
        <f t="shared" si="2"/>
        <v>5638.5</v>
      </c>
      <c r="W22" s="7">
        <v>2</v>
      </c>
      <c r="X22" s="214" t="s">
        <v>39</v>
      </c>
      <c r="Y22" s="214" t="s">
        <v>40</v>
      </c>
      <c r="Z22" s="214" t="s">
        <v>78</v>
      </c>
      <c r="AA22" s="214" t="s">
        <v>84</v>
      </c>
      <c r="AB22" s="39" t="s">
        <v>333</v>
      </c>
      <c r="AE22" s="35"/>
      <c r="AP22" s="43" t="s">
        <v>115</v>
      </c>
      <c r="AR22" s="41" t="s">
        <v>83</v>
      </c>
      <c r="AV22" s="27"/>
    </row>
    <row r="23" spans="1:48" x14ac:dyDescent="0.15">
      <c r="A23" s="15" t="s">
        <v>330</v>
      </c>
      <c r="B23" s="15" t="s">
        <v>331</v>
      </c>
      <c r="C23" s="214">
        <v>2018</v>
      </c>
      <c r="D23" s="50" t="s">
        <v>337</v>
      </c>
      <c r="E23" s="206" t="s">
        <v>131</v>
      </c>
      <c r="F23" s="206" t="s">
        <v>336</v>
      </c>
      <c r="G23" s="206" t="s">
        <v>36</v>
      </c>
      <c r="H23" s="214" t="s">
        <v>155</v>
      </c>
      <c r="I23" s="206" t="s">
        <v>153</v>
      </c>
      <c r="J23" s="214" t="s">
        <v>38</v>
      </c>
      <c r="K23" s="206" t="s">
        <v>154</v>
      </c>
      <c r="L23" s="206">
        <v>1</v>
      </c>
      <c r="M23" s="206"/>
      <c r="N23" s="206">
        <v>1</v>
      </c>
      <c r="O23" s="34">
        <v>0.8</v>
      </c>
      <c r="P23" s="7">
        <v>0.95</v>
      </c>
      <c r="Q23" s="52">
        <f t="shared" si="0"/>
        <v>0.875</v>
      </c>
      <c r="R23" s="7">
        <v>13.3</v>
      </c>
      <c r="S23" s="7">
        <v>126</v>
      </c>
      <c r="T23" s="16">
        <f t="shared" si="1"/>
        <v>27</v>
      </c>
      <c r="U23" s="7">
        <v>81</v>
      </c>
      <c r="V23" s="16">
        <f t="shared" si="2"/>
        <v>2187</v>
      </c>
      <c r="W23" s="7">
        <v>3</v>
      </c>
      <c r="X23" s="214" t="s">
        <v>46</v>
      </c>
      <c r="Y23" s="214" t="s">
        <v>40</v>
      </c>
      <c r="Z23" s="214" t="s">
        <v>84</v>
      </c>
      <c r="AA23" s="214" t="s">
        <v>90</v>
      </c>
      <c r="AB23" s="39" t="s">
        <v>333</v>
      </c>
      <c r="AE23" s="22"/>
      <c r="AP23" s="43" t="s">
        <v>137</v>
      </c>
      <c r="AR23" s="41" t="s">
        <v>61</v>
      </c>
      <c r="AV23" s="27"/>
    </row>
    <row r="24" spans="1:48" x14ac:dyDescent="0.15">
      <c r="A24" s="15" t="s">
        <v>330</v>
      </c>
      <c r="B24" s="15" t="s">
        <v>331</v>
      </c>
      <c r="C24" s="214">
        <v>2018</v>
      </c>
      <c r="D24" s="50" t="s">
        <v>337</v>
      </c>
      <c r="E24" s="206" t="s">
        <v>131</v>
      </c>
      <c r="F24" s="206" t="s">
        <v>336</v>
      </c>
      <c r="G24" s="206" t="s">
        <v>36</v>
      </c>
      <c r="H24" s="214" t="s">
        <v>155</v>
      </c>
      <c r="I24" s="206" t="s">
        <v>153</v>
      </c>
      <c r="J24" s="214" t="s">
        <v>38</v>
      </c>
      <c r="K24" s="206" t="s">
        <v>154</v>
      </c>
      <c r="L24" s="206">
        <v>2</v>
      </c>
      <c r="M24" s="206"/>
      <c r="N24" s="206">
        <v>1</v>
      </c>
      <c r="O24" s="7">
        <v>0.9</v>
      </c>
      <c r="P24" s="7">
        <v>0.85</v>
      </c>
      <c r="Q24" s="52">
        <f t="shared" si="0"/>
        <v>0.875</v>
      </c>
      <c r="R24" s="7">
        <v>13</v>
      </c>
      <c r="S24" s="7">
        <v>115</v>
      </c>
      <c r="T24" s="16">
        <f t="shared" si="1"/>
        <v>30</v>
      </c>
      <c r="U24" s="206">
        <v>81</v>
      </c>
      <c r="V24" s="16">
        <f t="shared" si="2"/>
        <v>2430</v>
      </c>
      <c r="W24" s="7">
        <v>3</v>
      </c>
      <c r="X24" s="214" t="s">
        <v>46</v>
      </c>
      <c r="Y24" s="214" t="s">
        <v>40</v>
      </c>
      <c r="Z24" s="214" t="s">
        <v>84</v>
      </c>
      <c r="AA24" s="214" t="s">
        <v>90</v>
      </c>
      <c r="AB24" s="39" t="s">
        <v>333</v>
      </c>
      <c r="AE24" s="22"/>
      <c r="AP24" s="43" t="s">
        <v>138</v>
      </c>
      <c r="AR24" s="41" t="s">
        <v>91</v>
      </c>
      <c r="AV24" s="27"/>
    </row>
    <row r="25" spans="1:48" x14ac:dyDescent="0.15">
      <c r="A25" s="15" t="s">
        <v>330</v>
      </c>
      <c r="B25" s="15" t="s">
        <v>331</v>
      </c>
      <c r="C25" s="214">
        <v>2018</v>
      </c>
      <c r="D25" s="50" t="s">
        <v>337</v>
      </c>
      <c r="E25" s="206" t="s">
        <v>131</v>
      </c>
      <c r="F25" s="206" t="s">
        <v>336</v>
      </c>
      <c r="G25" s="206" t="s">
        <v>36</v>
      </c>
      <c r="H25" s="214" t="s">
        <v>155</v>
      </c>
      <c r="I25" s="206" t="s">
        <v>153</v>
      </c>
      <c r="J25" s="214" t="s">
        <v>38</v>
      </c>
      <c r="K25" s="206" t="s">
        <v>154</v>
      </c>
      <c r="L25" s="206">
        <v>3</v>
      </c>
      <c r="M25" s="206"/>
      <c r="N25" s="206">
        <v>1</v>
      </c>
      <c r="O25" s="7">
        <v>0.8</v>
      </c>
      <c r="P25" s="7">
        <v>0.9</v>
      </c>
      <c r="Q25" s="52">
        <f t="shared" si="0"/>
        <v>0.85000000000000009</v>
      </c>
      <c r="R25" s="7">
        <v>11.6</v>
      </c>
      <c r="S25" s="7">
        <v>119</v>
      </c>
      <c r="T25" s="16">
        <f t="shared" si="1"/>
        <v>30</v>
      </c>
      <c r="U25" s="206">
        <v>81</v>
      </c>
      <c r="V25" s="16">
        <f t="shared" si="2"/>
        <v>2430</v>
      </c>
      <c r="W25" s="7">
        <v>3</v>
      </c>
      <c r="X25" s="214" t="s">
        <v>46</v>
      </c>
      <c r="Y25" s="214" t="s">
        <v>40</v>
      </c>
      <c r="Z25" s="214" t="s">
        <v>84</v>
      </c>
      <c r="AA25" s="214" t="s">
        <v>90</v>
      </c>
      <c r="AB25" s="39" t="s">
        <v>333</v>
      </c>
      <c r="AE25" s="35"/>
      <c r="AP25" s="43" t="s">
        <v>116</v>
      </c>
      <c r="AR25" s="42" t="s">
        <v>92</v>
      </c>
      <c r="AV25" s="27"/>
    </row>
    <row r="26" spans="1:48" x14ac:dyDescent="0.15">
      <c r="A26" s="15" t="s">
        <v>330</v>
      </c>
      <c r="B26" s="15" t="s">
        <v>331</v>
      </c>
      <c r="C26" s="214">
        <v>2018</v>
      </c>
      <c r="D26" s="50" t="s">
        <v>337</v>
      </c>
      <c r="E26" s="206" t="s">
        <v>139</v>
      </c>
      <c r="F26" s="206" t="s">
        <v>145</v>
      </c>
      <c r="G26" s="206" t="s">
        <v>36</v>
      </c>
      <c r="H26" s="214" t="s">
        <v>155</v>
      </c>
      <c r="I26" s="206" t="s">
        <v>153</v>
      </c>
      <c r="J26" s="214" t="s">
        <v>38</v>
      </c>
      <c r="K26" s="206" t="s">
        <v>154</v>
      </c>
      <c r="L26" s="206">
        <v>1</v>
      </c>
      <c r="M26" s="206"/>
      <c r="N26" s="206">
        <v>1</v>
      </c>
      <c r="O26" s="7">
        <v>0.7</v>
      </c>
      <c r="P26" s="7">
        <v>0.85</v>
      </c>
      <c r="Q26" s="52">
        <f t="shared" si="0"/>
        <v>0.77499999999999991</v>
      </c>
      <c r="R26" s="7">
        <v>12.9</v>
      </c>
      <c r="S26" s="7">
        <v>125</v>
      </c>
      <c r="T26" s="16">
        <f t="shared" si="1"/>
        <v>27</v>
      </c>
      <c r="U26" s="7">
        <v>84</v>
      </c>
      <c r="V26" s="16">
        <f t="shared" si="2"/>
        <v>2268</v>
      </c>
      <c r="W26" s="7">
        <v>4</v>
      </c>
      <c r="X26" s="214" t="s">
        <v>46</v>
      </c>
      <c r="Y26" s="214" t="s">
        <v>84</v>
      </c>
      <c r="Z26" s="214" t="s">
        <v>40</v>
      </c>
      <c r="AA26" s="214" t="s">
        <v>78</v>
      </c>
      <c r="AB26" s="39" t="s">
        <v>333</v>
      </c>
      <c r="AE26" s="35"/>
      <c r="AP26" s="43" t="s">
        <v>117</v>
      </c>
      <c r="AR26" s="23" t="s">
        <v>283</v>
      </c>
      <c r="AV26" s="28"/>
    </row>
    <row r="27" spans="1:48" x14ac:dyDescent="0.15">
      <c r="A27" s="15" t="s">
        <v>330</v>
      </c>
      <c r="B27" s="15" t="s">
        <v>331</v>
      </c>
      <c r="C27" s="214">
        <v>2018</v>
      </c>
      <c r="D27" s="50" t="s">
        <v>337</v>
      </c>
      <c r="E27" s="206" t="s">
        <v>139</v>
      </c>
      <c r="F27" s="206" t="s">
        <v>145</v>
      </c>
      <c r="G27" s="206" t="s">
        <v>36</v>
      </c>
      <c r="H27" s="214" t="s">
        <v>155</v>
      </c>
      <c r="I27" s="206" t="s">
        <v>153</v>
      </c>
      <c r="J27" s="214" t="s">
        <v>38</v>
      </c>
      <c r="K27" s="206" t="s">
        <v>154</v>
      </c>
      <c r="L27" s="206">
        <v>2</v>
      </c>
      <c r="M27" s="206"/>
      <c r="N27" s="206">
        <v>1</v>
      </c>
      <c r="O27" s="7">
        <v>0.55000000000000004</v>
      </c>
      <c r="P27" s="7">
        <v>0.5</v>
      </c>
      <c r="Q27" s="52">
        <f t="shared" si="0"/>
        <v>0.52500000000000002</v>
      </c>
      <c r="R27" s="7">
        <v>13.4</v>
      </c>
      <c r="S27" s="7">
        <v>122</v>
      </c>
      <c r="T27" s="16">
        <f t="shared" si="1"/>
        <v>27</v>
      </c>
      <c r="U27" s="206">
        <v>84</v>
      </c>
      <c r="V27" s="16">
        <f t="shared" si="2"/>
        <v>2268</v>
      </c>
      <c r="W27" s="7">
        <v>4</v>
      </c>
      <c r="X27" s="214" t="s">
        <v>46</v>
      </c>
      <c r="Y27" s="214" t="s">
        <v>84</v>
      </c>
      <c r="Z27" s="214" t="s">
        <v>40</v>
      </c>
      <c r="AA27" s="214" t="s">
        <v>78</v>
      </c>
      <c r="AB27" s="39" t="s">
        <v>333</v>
      </c>
      <c r="AE27" s="28"/>
      <c r="AP27" s="43" t="s">
        <v>118</v>
      </c>
      <c r="AR27" s="23"/>
    </row>
    <row r="28" spans="1:48" x14ac:dyDescent="0.15">
      <c r="A28" s="15" t="s">
        <v>330</v>
      </c>
      <c r="B28" s="15" t="s">
        <v>331</v>
      </c>
      <c r="C28" s="214">
        <v>2018</v>
      </c>
      <c r="D28" s="50" t="s">
        <v>337</v>
      </c>
      <c r="E28" s="206" t="s">
        <v>139</v>
      </c>
      <c r="F28" s="206" t="s">
        <v>145</v>
      </c>
      <c r="G28" s="206" t="s">
        <v>36</v>
      </c>
      <c r="H28" s="214" t="s">
        <v>155</v>
      </c>
      <c r="I28" s="206" t="s">
        <v>153</v>
      </c>
      <c r="J28" s="214" t="s">
        <v>38</v>
      </c>
      <c r="K28" s="206" t="s">
        <v>154</v>
      </c>
      <c r="L28" s="206">
        <v>3</v>
      </c>
      <c r="M28" s="206"/>
      <c r="N28" s="206">
        <v>1</v>
      </c>
      <c r="O28" s="7">
        <v>0.55000000000000004</v>
      </c>
      <c r="P28" s="7">
        <v>0.5</v>
      </c>
      <c r="Q28" s="52">
        <f t="shared" si="0"/>
        <v>0.52500000000000002</v>
      </c>
      <c r="R28" s="7">
        <v>12.3</v>
      </c>
      <c r="S28" s="7">
        <v>123</v>
      </c>
      <c r="T28" s="16">
        <f t="shared" si="1"/>
        <v>27</v>
      </c>
      <c r="U28" s="206">
        <v>84</v>
      </c>
      <c r="V28" s="16">
        <f t="shared" si="2"/>
        <v>2268</v>
      </c>
      <c r="W28" s="7">
        <v>4</v>
      </c>
      <c r="X28" s="214" t="s">
        <v>46</v>
      </c>
      <c r="Y28" s="214" t="s">
        <v>84</v>
      </c>
      <c r="Z28" s="214" t="s">
        <v>40</v>
      </c>
      <c r="AA28" s="214" t="s">
        <v>78</v>
      </c>
      <c r="AB28" s="39" t="s">
        <v>333</v>
      </c>
      <c r="AP28" s="27"/>
      <c r="AR28" s="23"/>
    </row>
    <row r="29" spans="1:48" x14ac:dyDescent="0.15">
      <c r="A29" s="15" t="s">
        <v>330</v>
      </c>
      <c r="B29" s="15" t="s">
        <v>331</v>
      </c>
      <c r="C29" s="214">
        <v>2018</v>
      </c>
      <c r="D29" s="50" t="s">
        <v>337</v>
      </c>
      <c r="E29" s="206" t="s">
        <v>139</v>
      </c>
      <c r="F29" s="206" t="s">
        <v>145</v>
      </c>
      <c r="G29" s="206" t="s">
        <v>36</v>
      </c>
      <c r="H29" s="214" t="s">
        <v>205</v>
      </c>
      <c r="I29" s="206" t="s">
        <v>153</v>
      </c>
      <c r="J29" s="214" t="s">
        <v>38</v>
      </c>
      <c r="K29" s="206" t="s">
        <v>54</v>
      </c>
      <c r="L29" s="206">
        <v>1</v>
      </c>
      <c r="M29" s="206"/>
      <c r="N29" s="206">
        <v>1</v>
      </c>
      <c r="O29" s="7">
        <v>0.65</v>
      </c>
      <c r="P29" s="7">
        <v>0.6</v>
      </c>
      <c r="Q29" s="52">
        <f t="shared" si="0"/>
        <v>0.625</v>
      </c>
      <c r="R29" s="7">
        <v>15.7</v>
      </c>
      <c r="S29" s="7">
        <v>76</v>
      </c>
      <c r="T29" s="16">
        <f t="shared" si="1"/>
        <v>42</v>
      </c>
      <c r="U29" s="7">
        <v>159</v>
      </c>
      <c r="V29" s="16">
        <f t="shared" si="2"/>
        <v>6678</v>
      </c>
      <c r="W29" s="7">
        <v>2</v>
      </c>
      <c r="X29" s="214" t="s">
        <v>46</v>
      </c>
      <c r="Y29" s="214" t="s">
        <v>84</v>
      </c>
      <c r="Z29" s="214" t="s">
        <v>40</v>
      </c>
      <c r="AA29" s="214" t="s">
        <v>78</v>
      </c>
      <c r="AB29" s="39" t="s">
        <v>333</v>
      </c>
      <c r="AP29" s="27"/>
      <c r="AR29" s="27"/>
      <c r="AV29" s="28"/>
    </row>
    <row r="30" spans="1:48" x14ac:dyDescent="0.15">
      <c r="A30" s="15" t="s">
        <v>330</v>
      </c>
      <c r="B30" s="15" t="s">
        <v>331</v>
      </c>
      <c r="C30" s="214">
        <v>2018</v>
      </c>
      <c r="D30" s="50" t="s">
        <v>337</v>
      </c>
      <c r="E30" s="206" t="s">
        <v>139</v>
      </c>
      <c r="F30" s="206" t="s">
        <v>145</v>
      </c>
      <c r="G30" s="206" t="s">
        <v>36</v>
      </c>
      <c r="H30" s="214" t="s">
        <v>205</v>
      </c>
      <c r="I30" s="206" t="s">
        <v>153</v>
      </c>
      <c r="J30" s="214" t="s">
        <v>38</v>
      </c>
      <c r="K30" s="206" t="s">
        <v>54</v>
      </c>
      <c r="L30" s="206">
        <v>2</v>
      </c>
      <c r="M30" s="206"/>
      <c r="N30" s="206">
        <v>1</v>
      </c>
      <c r="O30" s="7">
        <v>0.85</v>
      </c>
      <c r="P30" s="7">
        <v>0.85</v>
      </c>
      <c r="Q30" s="52">
        <f t="shared" si="0"/>
        <v>0.85</v>
      </c>
      <c r="R30" s="7">
        <v>16.7</v>
      </c>
      <c r="S30" s="7">
        <v>78</v>
      </c>
      <c r="T30" s="16">
        <f t="shared" si="1"/>
        <v>42</v>
      </c>
      <c r="U30" s="206">
        <v>159</v>
      </c>
      <c r="V30" s="16">
        <f t="shared" si="2"/>
        <v>6678</v>
      </c>
      <c r="W30" s="7">
        <v>2</v>
      </c>
      <c r="X30" s="214" t="s">
        <v>46</v>
      </c>
      <c r="Y30" s="214" t="s">
        <v>84</v>
      </c>
      <c r="Z30" s="214" t="s">
        <v>40</v>
      </c>
      <c r="AA30" s="214" t="s">
        <v>78</v>
      </c>
      <c r="AB30" s="39" t="s">
        <v>333</v>
      </c>
      <c r="AP30" s="27"/>
      <c r="AR30" s="27"/>
    </row>
    <row r="31" spans="1:48" x14ac:dyDescent="0.15">
      <c r="A31" s="15" t="s">
        <v>330</v>
      </c>
      <c r="B31" s="15" t="s">
        <v>331</v>
      </c>
      <c r="C31" s="214">
        <v>2018</v>
      </c>
      <c r="D31" s="50" t="s">
        <v>337</v>
      </c>
      <c r="E31" s="206" t="s">
        <v>139</v>
      </c>
      <c r="F31" s="206" t="s">
        <v>145</v>
      </c>
      <c r="G31" s="206" t="s">
        <v>36</v>
      </c>
      <c r="H31" s="214" t="s">
        <v>205</v>
      </c>
      <c r="I31" s="206" t="s">
        <v>153</v>
      </c>
      <c r="J31" s="214" t="s">
        <v>38</v>
      </c>
      <c r="K31" s="206" t="s">
        <v>54</v>
      </c>
      <c r="L31" s="206">
        <v>3</v>
      </c>
      <c r="M31" s="206"/>
      <c r="N31" s="206">
        <v>1</v>
      </c>
      <c r="O31" s="7">
        <v>0.65</v>
      </c>
      <c r="P31" s="7">
        <v>0.7</v>
      </c>
      <c r="Q31" s="52">
        <f t="shared" si="0"/>
        <v>0.67500000000000004</v>
      </c>
      <c r="R31" s="7">
        <v>16.8</v>
      </c>
      <c r="S31" s="7">
        <v>74</v>
      </c>
      <c r="T31" s="16">
        <f t="shared" si="1"/>
        <v>46</v>
      </c>
      <c r="U31" s="206">
        <v>159</v>
      </c>
      <c r="V31" s="16">
        <f t="shared" si="2"/>
        <v>7314</v>
      </c>
      <c r="W31" s="7">
        <v>2</v>
      </c>
      <c r="X31" s="214" t="s">
        <v>46</v>
      </c>
      <c r="Y31" s="214" t="s">
        <v>84</v>
      </c>
      <c r="Z31" s="214" t="s">
        <v>40</v>
      </c>
      <c r="AA31" s="214" t="s">
        <v>78</v>
      </c>
      <c r="AB31" s="39" t="s">
        <v>333</v>
      </c>
      <c r="AP31" s="27"/>
      <c r="AR31" s="27"/>
    </row>
    <row r="32" spans="1:48" x14ac:dyDescent="0.15">
      <c r="A32" s="15" t="s">
        <v>330</v>
      </c>
      <c r="B32" s="15" t="s">
        <v>331</v>
      </c>
      <c r="C32" s="214">
        <v>2018</v>
      </c>
      <c r="D32" s="50" t="s">
        <v>337</v>
      </c>
      <c r="E32" s="206" t="s">
        <v>309</v>
      </c>
      <c r="F32" s="206" t="s">
        <v>335</v>
      </c>
      <c r="G32" s="206" t="s">
        <v>36</v>
      </c>
      <c r="H32" s="214" t="s">
        <v>155</v>
      </c>
      <c r="I32" s="206" t="s">
        <v>153</v>
      </c>
      <c r="J32" s="214" t="s">
        <v>38</v>
      </c>
      <c r="K32" s="206" t="s">
        <v>154</v>
      </c>
      <c r="L32" s="206">
        <v>1</v>
      </c>
      <c r="M32" s="206"/>
      <c r="N32" s="206">
        <v>1</v>
      </c>
      <c r="O32" s="7">
        <v>0.55000000000000004</v>
      </c>
      <c r="P32" s="7">
        <v>0.55000000000000004</v>
      </c>
      <c r="Q32" s="52">
        <f t="shared" si="0"/>
        <v>0.55000000000000004</v>
      </c>
      <c r="R32" s="7">
        <v>12.8</v>
      </c>
      <c r="S32" s="7">
        <v>118</v>
      </c>
      <c r="T32" s="16">
        <f t="shared" si="1"/>
        <v>30</v>
      </c>
      <c r="U32" s="7">
        <v>102</v>
      </c>
      <c r="V32" s="16">
        <f t="shared" si="2"/>
        <v>3060</v>
      </c>
      <c r="W32" s="7">
        <v>8</v>
      </c>
      <c r="X32" s="214" t="s">
        <v>46</v>
      </c>
      <c r="Y32" s="214" t="s">
        <v>40</v>
      </c>
      <c r="Z32" s="214" t="s">
        <v>84</v>
      </c>
      <c r="AA32" s="214" t="s">
        <v>90</v>
      </c>
      <c r="AB32" s="39" t="s">
        <v>333</v>
      </c>
      <c r="AP32" s="28"/>
      <c r="AR32" s="28"/>
    </row>
    <row r="33" spans="1:44" x14ac:dyDescent="0.15">
      <c r="A33" s="15" t="s">
        <v>330</v>
      </c>
      <c r="B33" s="15" t="s">
        <v>331</v>
      </c>
      <c r="C33" s="214">
        <v>2018</v>
      </c>
      <c r="D33" s="50" t="s">
        <v>337</v>
      </c>
      <c r="E33" s="206" t="s">
        <v>309</v>
      </c>
      <c r="F33" s="206" t="s">
        <v>335</v>
      </c>
      <c r="G33" s="206" t="s">
        <v>36</v>
      </c>
      <c r="H33" s="214" t="s">
        <v>155</v>
      </c>
      <c r="I33" s="206" t="s">
        <v>153</v>
      </c>
      <c r="J33" s="214" t="s">
        <v>38</v>
      </c>
      <c r="K33" s="206" t="s">
        <v>154</v>
      </c>
      <c r="L33" s="206">
        <v>2</v>
      </c>
      <c r="M33" s="206"/>
      <c r="N33" s="206">
        <v>1</v>
      </c>
      <c r="O33" s="7">
        <v>0.6</v>
      </c>
      <c r="P33" s="7">
        <v>0.65</v>
      </c>
      <c r="Q33" s="52">
        <f t="shared" si="0"/>
        <v>0.625</v>
      </c>
      <c r="R33" s="7">
        <v>11.8</v>
      </c>
      <c r="S33" s="7">
        <v>117</v>
      </c>
      <c r="T33" s="16">
        <f t="shared" si="1"/>
        <v>30</v>
      </c>
      <c r="U33" s="206">
        <v>102</v>
      </c>
      <c r="V33" s="16">
        <f t="shared" si="2"/>
        <v>3060</v>
      </c>
      <c r="W33" s="7">
        <v>8</v>
      </c>
      <c r="X33" s="214" t="s">
        <v>46</v>
      </c>
      <c r="Y33" s="214" t="s">
        <v>40</v>
      </c>
      <c r="Z33" s="214" t="s">
        <v>84</v>
      </c>
      <c r="AA33" s="214" t="s">
        <v>90</v>
      </c>
      <c r="AB33" s="39" t="s">
        <v>333</v>
      </c>
    </row>
    <row r="34" spans="1:44" x14ac:dyDescent="0.15">
      <c r="A34" s="15" t="s">
        <v>330</v>
      </c>
      <c r="B34" s="15" t="s">
        <v>331</v>
      </c>
      <c r="C34" s="214">
        <v>2018</v>
      </c>
      <c r="D34" s="50" t="s">
        <v>337</v>
      </c>
      <c r="E34" s="206" t="s">
        <v>309</v>
      </c>
      <c r="F34" s="206" t="s">
        <v>335</v>
      </c>
      <c r="G34" s="206" t="s">
        <v>36</v>
      </c>
      <c r="H34" s="214" t="s">
        <v>155</v>
      </c>
      <c r="I34" s="206" t="s">
        <v>153</v>
      </c>
      <c r="J34" s="214" t="s">
        <v>38</v>
      </c>
      <c r="K34" s="206" t="s">
        <v>154</v>
      </c>
      <c r="L34" s="206">
        <v>3</v>
      </c>
      <c r="M34" s="206"/>
      <c r="N34" s="206">
        <v>1</v>
      </c>
      <c r="O34" s="7">
        <v>0.7</v>
      </c>
      <c r="P34" s="7">
        <v>0.7</v>
      </c>
      <c r="Q34" s="52">
        <f t="shared" si="0"/>
        <v>0.7</v>
      </c>
      <c r="R34" s="7">
        <v>11.2</v>
      </c>
      <c r="S34" s="7">
        <v>120</v>
      </c>
      <c r="T34" s="16">
        <f t="shared" si="1"/>
        <v>30</v>
      </c>
      <c r="U34" s="206">
        <v>102</v>
      </c>
      <c r="V34" s="16">
        <f t="shared" si="2"/>
        <v>3060</v>
      </c>
      <c r="W34" s="7">
        <v>8</v>
      </c>
      <c r="X34" s="214" t="s">
        <v>46</v>
      </c>
      <c r="Y34" s="214" t="s">
        <v>40</v>
      </c>
      <c r="Z34" s="214" t="s">
        <v>84</v>
      </c>
      <c r="AA34" s="214" t="s">
        <v>90</v>
      </c>
      <c r="AB34" s="39" t="s">
        <v>333</v>
      </c>
    </row>
    <row r="35" spans="1:44" x14ac:dyDescent="0.15">
      <c r="A35" s="15" t="s">
        <v>330</v>
      </c>
      <c r="B35" s="15" t="s">
        <v>331</v>
      </c>
      <c r="C35" s="214">
        <v>2018</v>
      </c>
      <c r="D35" s="50" t="s">
        <v>337</v>
      </c>
      <c r="E35" s="206" t="s">
        <v>130</v>
      </c>
      <c r="F35" s="206" t="s">
        <v>146</v>
      </c>
      <c r="G35" s="206" t="s">
        <v>36</v>
      </c>
      <c r="H35" s="214" t="s">
        <v>155</v>
      </c>
      <c r="I35" s="206" t="s">
        <v>153</v>
      </c>
      <c r="J35" s="214" t="s">
        <v>38</v>
      </c>
      <c r="K35" s="206" t="s">
        <v>154</v>
      </c>
      <c r="L35" s="206">
        <v>1</v>
      </c>
      <c r="M35" s="206"/>
      <c r="N35" s="206">
        <v>1</v>
      </c>
      <c r="O35" s="7">
        <v>0.65</v>
      </c>
      <c r="P35" s="7">
        <v>0.6</v>
      </c>
      <c r="Q35" s="52">
        <f t="shared" si="0"/>
        <v>0.625</v>
      </c>
      <c r="R35" s="7">
        <v>12.8</v>
      </c>
      <c r="S35" s="7">
        <v>130</v>
      </c>
      <c r="T35" s="16">
        <f t="shared" si="1"/>
        <v>25</v>
      </c>
      <c r="U35" s="7">
        <v>102</v>
      </c>
      <c r="V35" s="16">
        <f t="shared" si="2"/>
        <v>2550</v>
      </c>
      <c r="W35" s="7">
        <v>4</v>
      </c>
      <c r="X35" s="214" t="s">
        <v>46</v>
      </c>
      <c r="Y35" s="214" t="s">
        <v>40</v>
      </c>
      <c r="Z35" s="214" t="s">
        <v>84</v>
      </c>
      <c r="AA35" s="214" t="s">
        <v>90</v>
      </c>
      <c r="AB35" s="39" t="s">
        <v>333</v>
      </c>
      <c r="AP35" s="28"/>
      <c r="AR35" s="28"/>
    </row>
    <row r="36" spans="1:44" x14ac:dyDescent="0.15">
      <c r="A36" s="15" t="s">
        <v>330</v>
      </c>
      <c r="B36" s="15" t="s">
        <v>331</v>
      </c>
      <c r="C36" s="214">
        <v>2018</v>
      </c>
      <c r="D36" s="50" t="s">
        <v>337</v>
      </c>
      <c r="E36" s="206" t="s">
        <v>130</v>
      </c>
      <c r="F36" s="206" t="s">
        <v>146</v>
      </c>
      <c r="G36" s="206" t="s">
        <v>36</v>
      </c>
      <c r="H36" s="214" t="s">
        <v>155</v>
      </c>
      <c r="I36" s="206" t="s">
        <v>153</v>
      </c>
      <c r="J36" s="214" t="s">
        <v>38</v>
      </c>
      <c r="K36" s="206" t="s">
        <v>154</v>
      </c>
      <c r="L36" s="206">
        <v>2</v>
      </c>
      <c r="M36" s="206"/>
      <c r="N36" s="206">
        <v>1</v>
      </c>
      <c r="O36" s="7">
        <v>0.5</v>
      </c>
      <c r="P36" s="7">
        <v>0.55000000000000004</v>
      </c>
      <c r="Q36" s="52">
        <f t="shared" si="0"/>
        <v>0.52500000000000002</v>
      </c>
      <c r="R36" s="7">
        <v>14.9</v>
      </c>
      <c r="S36" s="7">
        <v>127</v>
      </c>
      <c r="T36" s="16">
        <f t="shared" si="1"/>
        <v>27</v>
      </c>
      <c r="U36" s="206">
        <v>102</v>
      </c>
      <c r="V36" s="16">
        <f t="shared" si="2"/>
        <v>2754</v>
      </c>
      <c r="W36" s="7">
        <v>4</v>
      </c>
      <c r="X36" s="214" t="s">
        <v>46</v>
      </c>
      <c r="Y36" s="214" t="s">
        <v>40</v>
      </c>
      <c r="Z36" s="214" t="s">
        <v>84</v>
      </c>
      <c r="AA36" s="214" t="s">
        <v>90</v>
      </c>
      <c r="AB36" s="39" t="s">
        <v>333</v>
      </c>
    </row>
    <row r="37" spans="1:44" x14ac:dyDescent="0.15">
      <c r="A37" s="15" t="s">
        <v>330</v>
      </c>
      <c r="B37" s="15" t="s">
        <v>331</v>
      </c>
      <c r="C37" s="214">
        <v>2018</v>
      </c>
      <c r="D37" s="50" t="s">
        <v>337</v>
      </c>
      <c r="E37" s="206" t="s">
        <v>130</v>
      </c>
      <c r="F37" s="206" t="s">
        <v>146</v>
      </c>
      <c r="G37" s="206" t="s">
        <v>36</v>
      </c>
      <c r="H37" s="214" t="s">
        <v>155</v>
      </c>
      <c r="I37" s="206" t="s">
        <v>153</v>
      </c>
      <c r="J37" s="214" t="s">
        <v>38</v>
      </c>
      <c r="K37" s="206" t="s">
        <v>154</v>
      </c>
      <c r="L37" s="206">
        <v>3</v>
      </c>
      <c r="M37" s="206"/>
      <c r="N37" s="206">
        <v>1</v>
      </c>
      <c r="O37" s="34">
        <v>0.5</v>
      </c>
      <c r="P37" s="34">
        <v>0.55000000000000004</v>
      </c>
      <c r="Q37" s="52">
        <f t="shared" si="0"/>
        <v>0.52500000000000002</v>
      </c>
      <c r="R37" s="7">
        <v>13.9</v>
      </c>
      <c r="S37" s="7">
        <v>129</v>
      </c>
      <c r="T37" s="16">
        <f t="shared" si="1"/>
        <v>25</v>
      </c>
      <c r="U37" s="206">
        <v>102</v>
      </c>
      <c r="V37" s="16">
        <f t="shared" si="2"/>
        <v>2550</v>
      </c>
      <c r="W37" s="7">
        <v>4</v>
      </c>
      <c r="X37" s="214" t="s">
        <v>46</v>
      </c>
      <c r="Y37" s="214" t="s">
        <v>40</v>
      </c>
      <c r="Z37" s="214" t="s">
        <v>84</v>
      </c>
      <c r="AA37" s="214" t="s">
        <v>90</v>
      </c>
      <c r="AB37" s="39" t="s">
        <v>333</v>
      </c>
    </row>
    <row r="38" spans="1:44" x14ac:dyDescent="0.15">
      <c r="A38" s="15" t="s">
        <v>330</v>
      </c>
      <c r="B38" s="15" t="s">
        <v>331</v>
      </c>
      <c r="C38" s="214">
        <v>2018</v>
      </c>
      <c r="D38" s="50" t="s">
        <v>337</v>
      </c>
      <c r="E38" s="206" t="s">
        <v>130</v>
      </c>
      <c r="F38" s="206" t="s">
        <v>146</v>
      </c>
      <c r="G38" s="206" t="s">
        <v>36</v>
      </c>
      <c r="H38" s="214" t="s">
        <v>205</v>
      </c>
      <c r="I38" s="206" t="s">
        <v>153</v>
      </c>
      <c r="J38" s="214" t="s">
        <v>38</v>
      </c>
      <c r="K38" s="206" t="s">
        <v>54</v>
      </c>
      <c r="L38" s="206">
        <v>1</v>
      </c>
      <c r="M38" s="206"/>
      <c r="N38" s="206">
        <v>1</v>
      </c>
      <c r="O38" s="34">
        <v>0.65</v>
      </c>
      <c r="P38" s="34">
        <v>0.65</v>
      </c>
      <c r="Q38" s="52">
        <f t="shared" si="0"/>
        <v>0.65</v>
      </c>
      <c r="R38" s="7">
        <v>17.399999999999999</v>
      </c>
      <c r="S38" s="7">
        <v>93</v>
      </c>
      <c r="T38" s="16">
        <f t="shared" si="1"/>
        <v>39</v>
      </c>
      <c r="U38" s="7">
        <v>145</v>
      </c>
      <c r="V38" s="16">
        <f t="shared" si="2"/>
        <v>5655</v>
      </c>
      <c r="W38" s="7">
        <v>3</v>
      </c>
      <c r="X38" s="214" t="s">
        <v>46</v>
      </c>
      <c r="Y38" s="214" t="s">
        <v>40</v>
      </c>
      <c r="Z38" s="214" t="s">
        <v>84</v>
      </c>
      <c r="AA38" s="214" t="s">
        <v>90</v>
      </c>
      <c r="AB38" s="39" t="s">
        <v>333</v>
      </c>
    </row>
    <row r="39" spans="1:44" x14ac:dyDescent="0.15">
      <c r="A39" s="15" t="s">
        <v>330</v>
      </c>
      <c r="B39" s="15" t="s">
        <v>331</v>
      </c>
      <c r="C39" s="214">
        <v>2018</v>
      </c>
      <c r="D39" s="50" t="s">
        <v>337</v>
      </c>
      <c r="E39" s="206" t="s">
        <v>130</v>
      </c>
      <c r="F39" s="206" t="s">
        <v>146</v>
      </c>
      <c r="G39" s="206" t="s">
        <v>36</v>
      </c>
      <c r="H39" s="214" t="s">
        <v>205</v>
      </c>
      <c r="I39" s="206" t="s">
        <v>153</v>
      </c>
      <c r="J39" s="214" t="s">
        <v>38</v>
      </c>
      <c r="K39" s="206" t="s">
        <v>54</v>
      </c>
      <c r="L39" s="206">
        <v>2</v>
      </c>
      <c r="M39" s="206"/>
      <c r="N39" s="206">
        <v>1</v>
      </c>
      <c r="O39" s="7">
        <v>0.5</v>
      </c>
      <c r="P39" s="7">
        <v>0.65</v>
      </c>
      <c r="Q39" s="52">
        <f t="shared" si="0"/>
        <v>0.57499999999999996</v>
      </c>
      <c r="R39" s="34">
        <v>16.600000000000001</v>
      </c>
      <c r="S39" s="7">
        <v>97</v>
      </c>
      <c r="T39" s="16">
        <f t="shared" si="1"/>
        <v>36</v>
      </c>
      <c r="U39" s="206">
        <v>145</v>
      </c>
      <c r="V39" s="16">
        <f t="shared" si="2"/>
        <v>5220</v>
      </c>
      <c r="W39" s="7">
        <v>3</v>
      </c>
      <c r="X39" s="214" t="s">
        <v>46</v>
      </c>
      <c r="Y39" s="214" t="s">
        <v>40</v>
      </c>
      <c r="Z39" s="214" t="s">
        <v>84</v>
      </c>
      <c r="AA39" s="214" t="s">
        <v>90</v>
      </c>
      <c r="AB39" s="39" t="s">
        <v>333</v>
      </c>
    </row>
    <row r="40" spans="1:44" x14ac:dyDescent="0.15">
      <c r="A40" s="15" t="s">
        <v>330</v>
      </c>
      <c r="B40" s="15" t="s">
        <v>331</v>
      </c>
      <c r="C40" s="214">
        <v>2018</v>
      </c>
      <c r="D40" s="50" t="s">
        <v>337</v>
      </c>
      <c r="E40" s="206" t="s">
        <v>130</v>
      </c>
      <c r="F40" s="206" t="s">
        <v>146</v>
      </c>
      <c r="G40" s="206" t="s">
        <v>36</v>
      </c>
      <c r="H40" s="214" t="s">
        <v>205</v>
      </c>
      <c r="I40" s="206" t="s">
        <v>153</v>
      </c>
      <c r="J40" s="214" t="s">
        <v>38</v>
      </c>
      <c r="K40" s="206" t="s">
        <v>54</v>
      </c>
      <c r="L40" s="206">
        <v>3</v>
      </c>
      <c r="M40" s="206"/>
      <c r="N40" s="206">
        <v>1</v>
      </c>
      <c r="O40" s="7">
        <v>0.7</v>
      </c>
      <c r="P40" s="7">
        <v>0.7</v>
      </c>
      <c r="Q40" s="52">
        <f t="shared" si="0"/>
        <v>0.7</v>
      </c>
      <c r="R40" s="7">
        <v>19.100000000000001</v>
      </c>
      <c r="S40" s="7">
        <v>98</v>
      </c>
      <c r="T40" s="16">
        <f t="shared" si="1"/>
        <v>36</v>
      </c>
      <c r="U40" s="206">
        <v>145</v>
      </c>
      <c r="V40" s="16">
        <f t="shared" si="2"/>
        <v>5220</v>
      </c>
      <c r="W40" s="7">
        <v>3</v>
      </c>
      <c r="X40" s="214" t="s">
        <v>46</v>
      </c>
      <c r="Y40" s="214" t="s">
        <v>40</v>
      </c>
      <c r="Z40" s="214" t="s">
        <v>84</v>
      </c>
      <c r="AA40" s="214" t="s">
        <v>90</v>
      </c>
      <c r="AB40" s="39" t="s">
        <v>333</v>
      </c>
    </row>
    <row r="41" spans="1:44" ht="12.75" customHeight="1" x14ac:dyDescent="0.15">
      <c r="A41" s="15" t="s">
        <v>330</v>
      </c>
      <c r="B41" s="15" t="s">
        <v>331</v>
      </c>
      <c r="C41" s="214">
        <v>2018</v>
      </c>
      <c r="D41" s="50" t="s">
        <v>337</v>
      </c>
      <c r="E41" s="206" t="s">
        <v>132</v>
      </c>
      <c r="F41" s="206" t="s">
        <v>147</v>
      </c>
      <c r="G41" s="206" t="s">
        <v>36</v>
      </c>
      <c r="H41" s="214" t="s">
        <v>155</v>
      </c>
      <c r="I41" s="206" t="s">
        <v>153</v>
      </c>
      <c r="J41" s="214" t="s">
        <v>38</v>
      </c>
      <c r="K41" s="206" t="s">
        <v>154</v>
      </c>
      <c r="L41" s="206">
        <v>1</v>
      </c>
      <c r="M41" s="206"/>
      <c r="N41" s="206">
        <v>1</v>
      </c>
      <c r="O41" s="7">
        <v>0.6</v>
      </c>
      <c r="P41" s="7">
        <v>0.7</v>
      </c>
      <c r="Q41" s="52">
        <f t="shared" si="0"/>
        <v>0.64999999999999991</v>
      </c>
      <c r="R41" s="7">
        <v>13.9</v>
      </c>
      <c r="S41" s="7">
        <v>118</v>
      </c>
      <c r="T41" s="16">
        <f t="shared" si="1"/>
        <v>30</v>
      </c>
      <c r="U41" s="7">
        <v>105</v>
      </c>
      <c r="V41" s="16">
        <f t="shared" si="2"/>
        <v>3150</v>
      </c>
      <c r="W41" s="7">
        <v>8</v>
      </c>
      <c r="X41" s="214" t="s">
        <v>46</v>
      </c>
      <c r="Y41" s="214" t="s">
        <v>84</v>
      </c>
      <c r="Z41" s="214" t="s">
        <v>40</v>
      </c>
      <c r="AA41" s="214" t="s">
        <v>90</v>
      </c>
      <c r="AB41" s="39" t="s">
        <v>333</v>
      </c>
    </row>
    <row r="42" spans="1:44" x14ac:dyDescent="0.15">
      <c r="A42" s="15" t="s">
        <v>330</v>
      </c>
      <c r="B42" s="15" t="s">
        <v>331</v>
      </c>
      <c r="C42" s="214">
        <v>2018</v>
      </c>
      <c r="D42" s="50" t="s">
        <v>337</v>
      </c>
      <c r="E42" s="206" t="s">
        <v>132</v>
      </c>
      <c r="F42" s="206" t="s">
        <v>147</v>
      </c>
      <c r="G42" s="206" t="s">
        <v>36</v>
      </c>
      <c r="H42" s="214" t="s">
        <v>155</v>
      </c>
      <c r="I42" s="206" t="s">
        <v>153</v>
      </c>
      <c r="J42" s="214" t="s">
        <v>38</v>
      </c>
      <c r="K42" s="206" t="s">
        <v>154</v>
      </c>
      <c r="L42" s="206">
        <v>2</v>
      </c>
      <c r="M42" s="206"/>
      <c r="N42" s="206">
        <v>1</v>
      </c>
      <c r="O42" s="7">
        <v>0.7</v>
      </c>
      <c r="P42" s="7">
        <v>0.85</v>
      </c>
      <c r="Q42" s="52">
        <f t="shared" si="0"/>
        <v>0.77499999999999991</v>
      </c>
      <c r="R42" s="7">
        <v>12.2</v>
      </c>
      <c r="S42" s="7">
        <v>111</v>
      </c>
      <c r="T42" s="16">
        <f t="shared" si="1"/>
        <v>33</v>
      </c>
      <c r="U42" s="206">
        <v>105</v>
      </c>
      <c r="V42" s="16">
        <f t="shared" si="2"/>
        <v>3465</v>
      </c>
      <c r="W42" s="7">
        <v>8</v>
      </c>
      <c r="X42" s="214" t="s">
        <v>46</v>
      </c>
      <c r="Y42" s="214" t="s">
        <v>84</v>
      </c>
      <c r="Z42" s="214" t="s">
        <v>40</v>
      </c>
      <c r="AA42" s="214" t="s">
        <v>90</v>
      </c>
      <c r="AB42" s="39" t="s">
        <v>333</v>
      </c>
    </row>
    <row r="43" spans="1:44" x14ac:dyDescent="0.15">
      <c r="A43" s="15" t="s">
        <v>330</v>
      </c>
      <c r="B43" s="15" t="s">
        <v>331</v>
      </c>
      <c r="C43" s="214">
        <v>2018</v>
      </c>
      <c r="D43" s="50" t="s">
        <v>337</v>
      </c>
      <c r="E43" s="206" t="s">
        <v>132</v>
      </c>
      <c r="F43" s="206" t="s">
        <v>147</v>
      </c>
      <c r="G43" s="206" t="s">
        <v>36</v>
      </c>
      <c r="H43" s="214" t="s">
        <v>155</v>
      </c>
      <c r="I43" s="206" t="s">
        <v>153</v>
      </c>
      <c r="J43" s="214" t="s">
        <v>38</v>
      </c>
      <c r="K43" s="206" t="s">
        <v>154</v>
      </c>
      <c r="L43" s="206">
        <v>3</v>
      </c>
      <c r="M43" s="206"/>
      <c r="N43" s="206">
        <v>1</v>
      </c>
      <c r="O43" s="7">
        <v>0.5</v>
      </c>
      <c r="P43" s="7">
        <v>0.65</v>
      </c>
      <c r="Q43" s="52">
        <f t="shared" si="0"/>
        <v>0.57499999999999996</v>
      </c>
      <c r="R43" s="7">
        <v>11.3</v>
      </c>
      <c r="S43" s="7">
        <v>103</v>
      </c>
      <c r="T43" s="16">
        <f t="shared" si="1"/>
        <v>33</v>
      </c>
      <c r="U43" s="206">
        <v>105</v>
      </c>
      <c r="V43" s="16">
        <f t="shared" si="2"/>
        <v>3465</v>
      </c>
      <c r="W43" s="7">
        <v>8</v>
      </c>
      <c r="X43" s="214" t="s">
        <v>46</v>
      </c>
      <c r="Y43" s="214" t="s">
        <v>84</v>
      </c>
      <c r="Z43" s="214" t="s">
        <v>40</v>
      </c>
      <c r="AA43" s="214" t="s">
        <v>90</v>
      </c>
      <c r="AB43" s="39" t="s">
        <v>333</v>
      </c>
    </row>
    <row r="44" spans="1:44" x14ac:dyDescent="0.15">
      <c r="A44" s="15" t="s">
        <v>330</v>
      </c>
      <c r="B44" s="15" t="s">
        <v>331</v>
      </c>
      <c r="C44" s="214">
        <v>2018</v>
      </c>
      <c r="D44" s="50" t="s">
        <v>337</v>
      </c>
      <c r="E44" s="206" t="s">
        <v>140</v>
      </c>
      <c r="F44" s="206" t="s">
        <v>148</v>
      </c>
      <c r="G44" s="206" t="s">
        <v>36</v>
      </c>
      <c r="H44" s="214" t="s">
        <v>155</v>
      </c>
      <c r="I44" s="206" t="s">
        <v>153</v>
      </c>
      <c r="J44" s="214" t="s">
        <v>38</v>
      </c>
      <c r="K44" s="206" t="s">
        <v>154</v>
      </c>
      <c r="L44" s="206">
        <v>1</v>
      </c>
      <c r="M44" s="206"/>
      <c r="N44" s="206">
        <v>1</v>
      </c>
      <c r="O44" s="7">
        <v>0.95</v>
      </c>
      <c r="P44" s="7">
        <v>1.05</v>
      </c>
      <c r="Q44" s="52">
        <f t="shared" si="0"/>
        <v>1</v>
      </c>
      <c r="R44" s="7">
        <v>14.8</v>
      </c>
      <c r="S44" s="7">
        <v>101</v>
      </c>
      <c r="T44" s="16">
        <f t="shared" si="1"/>
        <v>33</v>
      </c>
      <c r="U44" s="7">
        <v>105</v>
      </c>
      <c r="V44" s="16">
        <f t="shared" si="2"/>
        <v>3465</v>
      </c>
      <c r="W44" s="7">
        <v>4</v>
      </c>
      <c r="X44" s="214" t="s">
        <v>46</v>
      </c>
      <c r="Y44" s="214" t="s">
        <v>84</v>
      </c>
      <c r="Z44" s="214" t="s">
        <v>40</v>
      </c>
      <c r="AA44" s="214" t="s">
        <v>90</v>
      </c>
      <c r="AB44" s="39" t="s">
        <v>333</v>
      </c>
    </row>
    <row r="45" spans="1:44" x14ac:dyDescent="0.15">
      <c r="A45" s="15" t="s">
        <v>330</v>
      </c>
      <c r="B45" s="15" t="s">
        <v>331</v>
      </c>
      <c r="C45" s="214">
        <v>2018</v>
      </c>
      <c r="D45" s="50" t="s">
        <v>337</v>
      </c>
      <c r="E45" s="206" t="s">
        <v>140</v>
      </c>
      <c r="F45" s="206" t="s">
        <v>148</v>
      </c>
      <c r="G45" s="206" t="s">
        <v>36</v>
      </c>
      <c r="H45" s="214" t="s">
        <v>155</v>
      </c>
      <c r="I45" s="206" t="s">
        <v>153</v>
      </c>
      <c r="J45" s="214" t="s">
        <v>38</v>
      </c>
      <c r="K45" s="206" t="s">
        <v>154</v>
      </c>
      <c r="L45" s="206">
        <v>2</v>
      </c>
      <c r="M45" s="206"/>
      <c r="N45" s="206">
        <v>1</v>
      </c>
      <c r="O45" s="7">
        <v>0.8</v>
      </c>
      <c r="P45" s="7">
        <v>0.95</v>
      </c>
      <c r="Q45" s="52">
        <f t="shared" si="0"/>
        <v>0.875</v>
      </c>
      <c r="R45" s="7">
        <v>11.7</v>
      </c>
      <c r="S45" s="7">
        <v>108</v>
      </c>
      <c r="T45" s="16">
        <f t="shared" si="1"/>
        <v>33</v>
      </c>
      <c r="U45" s="206">
        <v>105</v>
      </c>
      <c r="V45" s="16">
        <f t="shared" si="2"/>
        <v>3465</v>
      </c>
      <c r="W45" s="7">
        <v>4</v>
      </c>
      <c r="X45" s="214" t="s">
        <v>46</v>
      </c>
      <c r="Y45" s="214" t="s">
        <v>84</v>
      </c>
      <c r="Z45" s="214" t="s">
        <v>40</v>
      </c>
      <c r="AA45" s="214" t="s">
        <v>90</v>
      </c>
      <c r="AB45" s="39" t="s">
        <v>333</v>
      </c>
    </row>
    <row r="46" spans="1:44" x14ac:dyDescent="0.15">
      <c r="A46" s="15" t="s">
        <v>330</v>
      </c>
      <c r="B46" s="15" t="s">
        <v>331</v>
      </c>
      <c r="C46" s="214">
        <v>2018</v>
      </c>
      <c r="D46" s="50" t="s">
        <v>337</v>
      </c>
      <c r="E46" s="206" t="s">
        <v>140</v>
      </c>
      <c r="F46" s="206" t="s">
        <v>148</v>
      </c>
      <c r="G46" s="206" t="s">
        <v>36</v>
      </c>
      <c r="H46" s="214" t="s">
        <v>155</v>
      </c>
      <c r="I46" s="206" t="s">
        <v>153</v>
      </c>
      <c r="J46" s="214" t="s">
        <v>38</v>
      </c>
      <c r="K46" s="206" t="s">
        <v>154</v>
      </c>
      <c r="L46" s="206">
        <v>3</v>
      </c>
      <c r="M46" s="206"/>
      <c r="N46" s="206">
        <v>1</v>
      </c>
      <c r="O46" s="7">
        <v>0.5</v>
      </c>
      <c r="P46" s="34">
        <v>0.5</v>
      </c>
      <c r="Q46" s="52">
        <f t="shared" si="0"/>
        <v>0.5</v>
      </c>
      <c r="R46" s="7">
        <v>12.7</v>
      </c>
      <c r="S46" s="7">
        <v>109</v>
      </c>
      <c r="T46" s="16">
        <f t="shared" si="1"/>
        <v>33</v>
      </c>
      <c r="U46" s="206">
        <v>105</v>
      </c>
      <c r="V46" s="16">
        <f t="shared" si="2"/>
        <v>3465</v>
      </c>
      <c r="W46" s="7">
        <v>4</v>
      </c>
      <c r="X46" s="214" t="s">
        <v>46</v>
      </c>
      <c r="Y46" s="214" t="s">
        <v>84</v>
      </c>
      <c r="Z46" s="214" t="s">
        <v>40</v>
      </c>
      <c r="AA46" s="214" t="s">
        <v>90</v>
      </c>
      <c r="AB46" s="39" t="s">
        <v>333</v>
      </c>
    </row>
    <row r="47" spans="1:44" x14ac:dyDescent="0.15">
      <c r="A47" s="15"/>
      <c r="B47" s="15"/>
      <c r="C47" s="15"/>
      <c r="D47" s="50"/>
      <c r="E47" s="206"/>
      <c r="F47" s="206"/>
      <c r="G47" s="206"/>
      <c r="H47" s="214"/>
      <c r="I47" s="206"/>
      <c r="J47" s="214"/>
      <c r="K47" s="206"/>
      <c r="L47" s="206"/>
      <c r="M47" s="206"/>
      <c r="N47" s="206"/>
      <c r="Q47" s="52" t="str">
        <f t="shared" si="0"/>
        <v/>
      </c>
      <c r="T47" s="16" t="str">
        <f t="shared" si="1"/>
        <v/>
      </c>
      <c r="V47" s="16" t="str">
        <f t="shared" si="2"/>
        <v/>
      </c>
      <c r="X47" s="15"/>
      <c r="Y47" s="214"/>
      <c r="Z47" s="214"/>
      <c r="AA47" s="214"/>
      <c r="AB47" s="39"/>
    </row>
    <row r="48" spans="1:44" x14ac:dyDescent="0.15">
      <c r="A48" s="15"/>
      <c r="B48" s="15"/>
      <c r="C48" s="15"/>
      <c r="D48" s="50"/>
      <c r="E48" s="206"/>
      <c r="F48" s="206"/>
      <c r="G48" s="206"/>
      <c r="H48" s="214"/>
      <c r="I48" s="206"/>
      <c r="J48" s="214"/>
      <c r="K48" s="206"/>
      <c r="L48" s="206"/>
      <c r="M48" s="206"/>
      <c r="N48" s="206"/>
      <c r="Q48" s="52" t="str">
        <f t="shared" si="0"/>
        <v/>
      </c>
      <c r="T48" s="16" t="str">
        <f t="shared" si="1"/>
        <v/>
      </c>
      <c r="U48" s="206"/>
      <c r="V48" s="16" t="str">
        <f t="shared" si="2"/>
        <v/>
      </c>
      <c r="X48" s="15"/>
      <c r="Y48" s="214"/>
      <c r="Z48" s="214"/>
      <c r="AA48" s="214"/>
      <c r="AB48" s="39"/>
    </row>
    <row r="49" spans="1:29" x14ac:dyDescent="0.15">
      <c r="A49" s="15"/>
      <c r="B49" s="15"/>
      <c r="C49" s="15"/>
      <c r="D49" s="50"/>
      <c r="E49" s="206"/>
      <c r="F49" s="206"/>
      <c r="G49" s="206"/>
      <c r="H49" s="214"/>
      <c r="I49" s="206"/>
      <c r="J49" s="214"/>
      <c r="K49" s="206"/>
      <c r="L49" s="206"/>
      <c r="M49" s="206"/>
      <c r="N49" s="206"/>
      <c r="P49" s="34"/>
      <c r="Q49" s="52" t="str">
        <f t="shared" si="0"/>
        <v/>
      </c>
      <c r="T49" s="16" t="str">
        <f t="shared" si="1"/>
        <v/>
      </c>
      <c r="U49" s="206"/>
      <c r="V49" s="16" t="str">
        <f t="shared" si="2"/>
        <v/>
      </c>
      <c r="X49" s="15"/>
      <c r="Y49" s="214"/>
      <c r="Z49" s="214"/>
      <c r="AA49" s="214"/>
      <c r="AB49" s="39"/>
    </row>
    <row r="50" spans="1:29" x14ac:dyDescent="0.15">
      <c r="A50" s="15"/>
      <c r="B50" s="15"/>
      <c r="C50" s="15"/>
      <c r="D50" s="50"/>
      <c r="H50" s="15"/>
      <c r="I50" s="206"/>
      <c r="J50" s="15"/>
      <c r="Q50" s="52" t="str">
        <f t="shared" si="0"/>
        <v/>
      </c>
      <c r="T50" s="16" t="str">
        <f t="shared" si="1"/>
        <v/>
      </c>
      <c r="U50" s="206"/>
      <c r="V50" s="16" t="str">
        <f t="shared" si="2"/>
        <v/>
      </c>
      <c r="X50" s="214"/>
      <c r="Y50" s="214"/>
      <c r="Z50" s="214"/>
      <c r="AA50" s="214"/>
      <c r="AB50" s="39"/>
    </row>
    <row r="51" spans="1:29" x14ac:dyDescent="0.15">
      <c r="A51" s="15"/>
      <c r="B51" s="15"/>
      <c r="C51" s="15"/>
      <c r="D51" s="50"/>
      <c r="H51" s="214"/>
      <c r="I51" s="206"/>
      <c r="J51" s="15"/>
      <c r="Q51" s="52" t="str">
        <f t="shared" si="0"/>
        <v/>
      </c>
      <c r="T51" s="16" t="str">
        <f t="shared" si="1"/>
        <v/>
      </c>
      <c r="U51" s="206"/>
      <c r="V51" s="16" t="str">
        <f t="shared" si="2"/>
        <v/>
      </c>
      <c r="X51" s="214"/>
      <c r="Y51" s="214"/>
      <c r="Z51" s="214"/>
      <c r="AA51" s="214"/>
      <c r="AB51" s="39"/>
    </row>
    <row r="52" spans="1:29" x14ac:dyDescent="0.15">
      <c r="A52" s="15"/>
      <c r="B52" s="15"/>
      <c r="C52" s="15"/>
      <c r="D52" s="50"/>
      <c r="H52" s="214"/>
      <c r="I52" s="206"/>
      <c r="J52" s="15"/>
      <c r="Q52" s="52" t="str">
        <f t="shared" si="0"/>
        <v/>
      </c>
      <c r="T52" s="16" t="str">
        <f t="shared" si="1"/>
        <v/>
      </c>
      <c r="U52" s="206"/>
      <c r="V52" s="16" t="str">
        <f t="shared" si="2"/>
        <v/>
      </c>
      <c r="X52" s="214"/>
      <c r="Y52" s="214"/>
      <c r="Z52" s="214"/>
      <c r="AA52" s="214"/>
      <c r="AB52" s="39"/>
    </row>
    <row r="53" spans="1:29" x14ac:dyDescent="0.15">
      <c r="A53" s="15"/>
      <c r="B53" s="15"/>
      <c r="C53" s="15"/>
      <c r="D53" s="50"/>
      <c r="H53" s="15"/>
      <c r="I53" s="206"/>
      <c r="J53" s="15"/>
      <c r="Q53" s="52" t="str">
        <f t="shared" si="0"/>
        <v/>
      </c>
      <c r="T53" s="16" t="str">
        <f t="shared" si="1"/>
        <v/>
      </c>
      <c r="V53" s="16" t="str">
        <f t="shared" si="2"/>
        <v/>
      </c>
      <c r="X53" s="214"/>
      <c r="Y53" s="214"/>
      <c r="Z53" s="214"/>
      <c r="AA53" s="214"/>
      <c r="AB53" s="39"/>
      <c r="AC53" s="36"/>
    </row>
    <row r="54" spans="1:29" x14ac:dyDescent="0.15">
      <c r="A54" s="15"/>
      <c r="B54" s="15"/>
      <c r="C54" s="15"/>
      <c r="D54" s="50"/>
      <c r="H54" s="214"/>
      <c r="I54" s="206"/>
      <c r="J54" s="214"/>
      <c r="Q54" s="52" t="str">
        <f t="shared" si="0"/>
        <v/>
      </c>
      <c r="T54" s="16" t="str">
        <f t="shared" si="1"/>
        <v/>
      </c>
      <c r="U54" s="206"/>
      <c r="V54" s="16" t="str">
        <f t="shared" si="2"/>
        <v/>
      </c>
      <c r="X54" s="214"/>
      <c r="Y54" s="214"/>
      <c r="Z54" s="214"/>
      <c r="AA54" s="214"/>
      <c r="AB54" s="39"/>
      <c r="AC54" s="36"/>
    </row>
    <row r="55" spans="1:29" x14ac:dyDescent="0.15">
      <c r="A55" s="15"/>
      <c r="B55" s="15"/>
      <c r="C55" s="15"/>
      <c r="D55" s="50"/>
      <c r="H55" s="214"/>
      <c r="I55" s="206"/>
      <c r="J55" s="214"/>
      <c r="N55" s="206"/>
      <c r="Q55" s="52" t="str">
        <f t="shared" si="0"/>
        <v/>
      </c>
      <c r="T55" s="16" t="str">
        <f t="shared" si="1"/>
        <v/>
      </c>
      <c r="U55" s="206"/>
      <c r="V55" s="16" t="str">
        <f t="shared" si="2"/>
        <v/>
      </c>
      <c r="X55" s="214"/>
      <c r="Y55" s="214"/>
      <c r="Z55" s="214"/>
      <c r="AA55" s="214"/>
      <c r="AB55" s="39"/>
      <c r="AC55" s="36"/>
    </row>
    <row r="56" spans="1:29" x14ac:dyDescent="0.15">
      <c r="A56" s="15"/>
      <c r="B56" s="15"/>
      <c r="C56" s="15"/>
      <c r="D56" s="37"/>
      <c r="H56" s="15"/>
      <c r="I56" s="206"/>
      <c r="J56" s="15"/>
      <c r="N56" s="206"/>
      <c r="Q56" s="52" t="str">
        <f t="shared" si="0"/>
        <v/>
      </c>
      <c r="T56" s="16" t="str">
        <f t="shared" si="1"/>
        <v/>
      </c>
      <c r="U56" s="206"/>
      <c r="V56" s="16" t="str">
        <f t="shared" si="2"/>
        <v/>
      </c>
      <c r="X56" s="15"/>
      <c r="Y56" s="214"/>
      <c r="Z56" s="214"/>
      <c r="AA56" s="214"/>
      <c r="AB56" s="39"/>
    </row>
    <row r="57" spans="1:29" x14ac:dyDescent="0.15">
      <c r="A57" s="15"/>
      <c r="B57" s="15"/>
      <c r="C57" s="15"/>
      <c r="D57" s="37"/>
      <c r="H57" s="214"/>
      <c r="I57" s="206"/>
      <c r="J57" s="15"/>
      <c r="K57" s="206"/>
      <c r="N57" s="206"/>
      <c r="Q57" s="52" t="str">
        <f t="shared" si="0"/>
        <v/>
      </c>
      <c r="T57" s="16" t="str">
        <f t="shared" si="1"/>
        <v/>
      </c>
      <c r="U57" s="206"/>
      <c r="V57" s="16" t="str">
        <f t="shared" si="2"/>
        <v/>
      </c>
      <c r="X57" s="15"/>
      <c r="Y57" s="214"/>
      <c r="Z57" s="214"/>
      <c r="AA57" s="214"/>
      <c r="AB57" s="39"/>
    </row>
    <row r="58" spans="1:29" x14ac:dyDescent="0.15">
      <c r="A58" s="15"/>
      <c r="B58" s="15"/>
      <c r="C58" s="15"/>
      <c r="D58" s="37"/>
      <c r="H58" s="214"/>
      <c r="I58" s="206"/>
      <c r="J58" s="15"/>
      <c r="K58" s="206"/>
      <c r="N58" s="206"/>
      <c r="Q58" s="52" t="str">
        <f t="shared" si="0"/>
        <v/>
      </c>
      <c r="T58" s="16" t="str">
        <f t="shared" si="1"/>
        <v/>
      </c>
      <c r="U58" s="206"/>
      <c r="V58" s="16" t="str">
        <f t="shared" si="2"/>
        <v/>
      </c>
      <c r="X58" s="15"/>
      <c r="Y58" s="214"/>
      <c r="Z58" s="214"/>
      <c r="AA58" s="214"/>
      <c r="AB58" s="39"/>
    </row>
    <row r="59" spans="1:29" x14ac:dyDescent="0.15">
      <c r="A59" s="15"/>
      <c r="B59" s="15"/>
      <c r="C59" s="15"/>
      <c r="D59" s="37"/>
      <c r="H59" s="15"/>
      <c r="I59" s="206"/>
      <c r="J59" s="15"/>
      <c r="N59" s="206"/>
      <c r="Q59" s="52" t="str">
        <f t="shared" si="0"/>
        <v/>
      </c>
      <c r="T59" s="16" t="str">
        <f t="shared" si="1"/>
        <v/>
      </c>
      <c r="V59" s="16" t="str">
        <f t="shared" si="2"/>
        <v/>
      </c>
      <c r="X59" s="15"/>
      <c r="Y59" s="214"/>
      <c r="Z59" s="214"/>
      <c r="AA59" s="214"/>
      <c r="AB59" s="39"/>
    </row>
    <row r="60" spans="1:29" x14ac:dyDescent="0.15">
      <c r="A60" s="15"/>
      <c r="B60" s="15"/>
      <c r="C60" s="15"/>
      <c r="D60" s="37"/>
      <c r="H60" s="214"/>
      <c r="I60" s="206"/>
      <c r="J60" s="15"/>
      <c r="Q60" s="52" t="str">
        <f t="shared" si="0"/>
        <v/>
      </c>
      <c r="T60" s="16" t="str">
        <f>IF(H60="","",IF(OR(H60="GREEN",H60="GK"),IF(S60&gt;=$AX$2,VLOOKUP(S60,$AX$2:$AY$12,2,1),""),IF(S60&gt;=$AZ$2,VLOOKUP(S60,$AZ$2:$BA$12,2,1),"")))</f>
        <v/>
      </c>
      <c r="U60" s="206"/>
      <c r="V60" s="16" t="str">
        <f t="shared" si="2"/>
        <v/>
      </c>
      <c r="X60" s="214"/>
      <c r="Y60" s="214"/>
      <c r="Z60" s="214"/>
      <c r="AA60" s="214"/>
      <c r="AB60" s="39"/>
    </row>
    <row r="61" spans="1:29" x14ac:dyDescent="0.15">
      <c r="A61" s="15"/>
      <c r="B61" s="15"/>
      <c r="C61" s="15"/>
      <c r="D61" s="37"/>
      <c r="H61" s="214"/>
      <c r="I61" s="206"/>
      <c r="J61" s="15"/>
      <c r="Q61" s="52" t="str">
        <f t="shared" si="0"/>
        <v/>
      </c>
      <c r="T61" s="16" t="str">
        <f>IF(H61="","",IF(OR(H61="GREEN",H61="GK"),IF(S61&gt;=$AX$2,VLOOKUP(S61,$AX$2:$AY$12,2,1),""),IF(S61&gt;=$AZ$2,VLOOKUP(S61,$AZ$2:$BA$12,2,1),"")))</f>
        <v/>
      </c>
      <c r="U61" s="206"/>
      <c r="V61" s="16" t="str">
        <f t="shared" si="2"/>
        <v/>
      </c>
      <c r="X61" s="214"/>
      <c r="Y61" s="214"/>
      <c r="Z61" s="214"/>
      <c r="AA61" s="214"/>
      <c r="AB61" s="39"/>
    </row>
    <row r="62" spans="1:29" x14ac:dyDescent="0.15">
      <c r="A62" s="15"/>
      <c r="B62" s="15"/>
      <c r="C62" s="15"/>
      <c r="D62" s="37"/>
      <c r="H62" s="15"/>
      <c r="I62" s="206"/>
      <c r="J62" s="15"/>
      <c r="Q62" s="52" t="str">
        <f t="shared" si="0"/>
        <v/>
      </c>
      <c r="T62" s="16" t="str">
        <f t="shared" ref="T62:T120" si="3">IF(H62="","",IF(OR(H62="GREEN",H62="GK"),IF(S62&gt;=$AX$2,VLOOKUP(S62,$AX$2:$AY$12,2,1),""),IF(S62&gt;=$AZ$2,VLOOKUP(S62,$AZ$2:$BA$12,2,1),"")))</f>
        <v/>
      </c>
      <c r="V62" s="16" t="str">
        <f t="shared" si="2"/>
        <v/>
      </c>
      <c r="X62" s="214"/>
      <c r="Y62" s="214"/>
      <c r="Z62" s="214"/>
      <c r="AA62" s="214"/>
      <c r="AB62" s="39"/>
    </row>
    <row r="63" spans="1:29" x14ac:dyDescent="0.15">
      <c r="A63" s="15"/>
      <c r="B63" s="15"/>
      <c r="C63" s="15"/>
      <c r="D63" s="37"/>
      <c r="H63" s="214"/>
      <c r="I63" s="206"/>
      <c r="J63" s="15"/>
      <c r="Q63" s="52" t="str">
        <f t="shared" si="0"/>
        <v/>
      </c>
      <c r="T63" s="16" t="str">
        <f t="shared" si="3"/>
        <v/>
      </c>
      <c r="U63" s="206"/>
      <c r="V63" s="16" t="str">
        <f t="shared" si="2"/>
        <v/>
      </c>
      <c r="X63" s="214"/>
      <c r="Y63" s="214"/>
      <c r="Z63" s="214"/>
      <c r="AA63" s="214"/>
      <c r="AB63" s="39"/>
    </row>
    <row r="64" spans="1:29" x14ac:dyDescent="0.15">
      <c r="A64" s="15"/>
      <c r="B64" s="15"/>
      <c r="C64" s="15"/>
      <c r="D64" s="37"/>
      <c r="H64" s="214"/>
      <c r="I64" s="206"/>
      <c r="J64" s="15"/>
      <c r="Q64" s="52" t="str">
        <f t="shared" si="0"/>
        <v/>
      </c>
      <c r="T64" s="16" t="str">
        <f t="shared" si="3"/>
        <v/>
      </c>
      <c r="U64" s="206"/>
      <c r="V64" s="16" t="str">
        <f t="shared" si="2"/>
        <v/>
      </c>
      <c r="X64" s="214"/>
      <c r="Y64" s="214"/>
      <c r="Z64" s="214"/>
      <c r="AA64" s="214"/>
      <c r="AB64" s="39"/>
    </row>
    <row r="65" spans="1:28" x14ac:dyDescent="0.15">
      <c r="A65" s="15"/>
      <c r="B65" s="15"/>
      <c r="C65" s="15"/>
      <c r="D65" s="37"/>
      <c r="H65" s="15"/>
      <c r="I65" s="206"/>
      <c r="J65" s="15"/>
      <c r="Q65" s="52" t="str">
        <f t="shared" si="0"/>
        <v/>
      </c>
      <c r="T65" s="16" t="str">
        <f t="shared" si="3"/>
        <v/>
      </c>
      <c r="V65" s="16" t="str">
        <f t="shared" si="2"/>
        <v/>
      </c>
      <c r="X65" s="214"/>
      <c r="Y65" s="214"/>
      <c r="Z65" s="214"/>
      <c r="AA65" s="214"/>
      <c r="AB65" s="39"/>
    </row>
    <row r="66" spans="1:28" x14ac:dyDescent="0.15">
      <c r="A66" s="15"/>
      <c r="B66" s="15"/>
      <c r="C66" s="15"/>
      <c r="D66" s="37"/>
      <c r="H66" s="214"/>
      <c r="I66" s="206"/>
      <c r="J66" s="15"/>
      <c r="Q66" s="52" t="str">
        <f t="shared" ref="Q66:Q77" si="4">IF(OR(O66="",P66=""),"",AVERAGE(O66,P66))</f>
        <v/>
      </c>
      <c r="T66" s="16" t="str">
        <f t="shared" si="3"/>
        <v/>
      </c>
      <c r="U66" s="206"/>
      <c r="V66" s="16" t="str">
        <f t="shared" ref="V66:V70" si="5">IF(OR(N66="",U66="",T66=""),"",U66/N66*T66)</f>
        <v/>
      </c>
      <c r="X66" s="214"/>
      <c r="Y66" s="214"/>
      <c r="Z66" s="214"/>
      <c r="AA66" s="214"/>
      <c r="AB66" s="39"/>
    </row>
    <row r="67" spans="1:28" x14ac:dyDescent="0.15">
      <c r="A67" s="15"/>
      <c r="B67" s="15"/>
      <c r="C67" s="15"/>
      <c r="D67" s="37"/>
      <c r="H67" s="214"/>
      <c r="I67" s="206"/>
      <c r="J67" s="15"/>
      <c r="Q67" s="52" t="str">
        <f t="shared" si="4"/>
        <v/>
      </c>
      <c r="T67" s="16" t="str">
        <f t="shared" si="3"/>
        <v/>
      </c>
      <c r="U67" s="206"/>
      <c r="V67" s="16" t="str">
        <f t="shared" si="5"/>
        <v/>
      </c>
      <c r="X67" s="214"/>
      <c r="Y67" s="214"/>
      <c r="Z67" s="214"/>
      <c r="AA67" s="214"/>
      <c r="AB67" s="39"/>
    </row>
    <row r="68" spans="1:28" x14ac:dyDescent="0.15">
      <c r="A68" s="15"/>
      <c r="B68" s="15"/>
      <c r="C68" s="15"/>
      <c r="D68" s="37"/>
      <c r="H68" s="15"/>
      <c r="I68" s="206"/>
      <c r="J68" s="15"/>
      <c r="Q68" s="52" t="str">
        <f t="shared" si="4"/>
        <v/>
      </c>
      <c r="T68" s="16" t="str">
        <f t="shared" si="3"/>
        <v/>
      </c>
      <c r="V68" s="16" t="str">
        <f t="shared" si="5"/>
        <v/>
      </c>
      <c r="X68" s="214"/>
      <c r="Y68" s="214"/>
      <c r="Z68" s="214"/>
      <c r="AA68" s="214"/>
      <c r="AB68" s="39"/>
    </row>
    <row r="69" spans="1:28" x14ac:dyDescent="0.15">
      <c r="A69" s="15"/>
      <c r="B69" s="15"/>
      <c r="C69" s="15"/>
      <c r="D69" s="37"/>
      <c r="H69" s="214"/>
      <c r="I69" s="206"/>
      <c r="J69" s="15"/>
      <c r="N69" s="206"/>
      <c r="Q69" s="52" t="str">
        <f t="shared" si="4"/>
        <v/>
      </c>
      <c r="T69" s="16" t="str">
        <f t="shared" si="3"/>
        <v/>
      </c>
      <c r="U69" s="206"/>
      <c r="V69" s="16" t="str">
        <f t="shared" si="5"/>
        <v/>
      </c>
      <c r="X69" s="214"/>
      <c r="Y69" s="214"/>
      <c r="Z69" s="214"/>
      <c r="AA69" s="214"/>
      <c r="AB69" s="39"/>
    </row>
    <row r="70" spans="1:28" x14ac:dyDescent="0.15">
      <c r="A70" s="15"/>
      <c r="B70" s="15"/>
      <c r="C70" s="15"/>
      <c r="D70" s="37"/>
      <c r="H70" s="214"/>
      <c r="I70" s="206"/>
      <c r="J70" s="15"/>
      <c r="N70" s="206"/>
      <c r="Q70" s="52" t="str">
        <f t="shared" si="4"/>
        <v/>
      </c>
      <c r="T70" s="16" t="str">
        <f t="shared" si="3"/>
        <v/>
      </c>
      <c r="U70" s="206"/>
      <c r="V70" s="16" t="str">
        <f t="shared" si="5"/>
        <v/>
      </c>
      <c r="X70" s="214"/>
      <c r="Y70" s="214"/>
      <c r="Z70" s="214"/>
      <c r="AA70" s="214"/>
      <c r="AB70" s="39"/>
    </row>
    <row r="71" spans="1:28" x14ac:dyDescent="0.15">
      <c r="A71" s="15"/>
      <c r="B71" s="15"/>
      <c r="C71" s="15"/>
      <c r="D71" s="37"/>
      <c r="H71" s="15"/>
      <c r="I71" s="206"/>
      <c r="J71" s="15"/>
      <c r="N71" s="206"/>
      <c r="Q71" s="52" t="str">
        <f t="shared" si="4"/>
        <v/>
      </c>
      <c r="T71" s="16" t="str">
        <f t="shared" si="3"/>
        <v/>
      </c>
      <c r="V71" s="16" t="str">
        <f>IF(OR(N71="",U71="",T71=""),"",U71/N71*T71)</f>
        <v/>
      </c>
      <c r="X71" s="15"/>
      <c r="Y71" s="15"/>
      <c r="Z71" s="15"/>
      <c r="AA71" s="15"/>
      <c r="AB71" s="39"/>
    </row>
    <row r="72" spans="1:28" x14ac:dyDescent="0.15">
      <c r="A72" s="15"/>
      <c r="B72" s="15"/>
      <c r="C72" s="15"/>
      <c r="D72" s="37"/>
      <c r="H72" s="214"/>
      <c r="I72" s="206"/>
      <c r="J72" s="214"/>
      <c r="K72" s="206"/>
      <c r="N72" s="206"/>
      <c r="Q72" s="52" t="str">
        <f t="shared" si="4"/>
        <v/>
      </c>
      <c r="T72" s="16" t="str">
        <f t="shared" si="3"/>
        <v/>
      </c>
      <c r="U72" s="206"/>
      <c r="V72" s="16" t="str">
        <f t="shared" ref="V72:V74" si="6">IF(OR(N72="",U72="",T72=""),"",U72/N72*T72)</f>
        <v/>
      </c>
      <c r="X72" s="15"/>
      <c r="Y72" s="214"/>
      <c r="Z72" s="214"/>
      <c r="AA72" s="214"/>
      <c r="AB72" s="39"/>
    </row>
    <row r="73" spans="1:28" x14ac:dyDescent="0.15">
      <c r="A73" s="15"/>
      <c r="B73" s="15"/>
      <c r="C73" s="15"/>
      <c r="D73" s="37"/>
      <c r="H73" s="214"/>
      <c r="I73" s="206"/>
      <c r="J73" s="214"/>
      <c r="K73" s="206"/>
      <c r="N73" s="206"/>
      <c r="Q73" s="52" t="str">
        <f t="shared" si="4"/>
        <v/>
      </c>
      <c r="T73" s="16" t="str">
        <f t="shared" si="3"/>
        <v/>
      </c>
      <c r="U73" s="206"/>
      <c r="V73" s="16" t="str">
        <f>IF(OR(N73="",U73="",T73=""),"",U73/N73*T73)</f>
        <v/>
      </c>
      <c r="X73" s="15"/>
      <c r="Y73" s="214"/>
      <c r="Z73" s="214"/>
      <c r="AA73" s="214"/>
      <c r="AB73" s="39"/>
    </row>
    <row r="74" spans="1:28" x14ac:dyDescent="0.15">
      <c r="A74" s="15"/>
      <c r="B74" s="15"/>
      <c r="C74" s="15"/>
      <c r="D74" s="37"/>
      <c r="H74" s="15"/>
      <c r="I74" s="206"/>
      <c r="J74" s="15"/>
      <c r="N74" s="206"/>
      <c r="Q74" s="52" t="str">
        <f t="shared" si="4"/>
        <v/>
      </c>
      <c r="T74" s="16" t="str">
        <f t="shared" si="3"/>
        <v/>
      </c>
      <c r="V74" s="16" t="str">
        <f t="shared" si="6"/>
        <v/>
      </c>
      <c r="X74" s="15"/>
      <c r="Y74" s="214"/>
      <c r="Z74" s="214"/>
      <c r="AA74" s="214"/>
      <c r="AB74" s="39"/>
    </row>
    <row r="75" spans="1:28" x14ac:dyDescent="0.15">
      <c r="A75" s="15"/>
      <c r="B75" s="15"/>
      <c r="C75" s="15"/>
      <c r="D75" s="37"/>
      <c r="H75" s="214"/>
      <c r="I75" s="206"/>
      <c r="J75" s="15"/>
      <c r="N75" s="206"/>
      <c r="Q75" s="52" t="str">
        <f t="shared" si="4"/>
        <v/>
      </c>
      <c r="T75" s="16" t="str">
        <f t="shared" si="3"/>
        <v/>
      </c>
      <c r="U75" s="206"/>
      <c r="V75" s="16" t="str">
        <f>IF(OR(N75="",U75="",T75=""),"",U75/N75*T75)</f>
        <v/>
      </c>
      <c r="X75" s="15"/>
      <c r="Y75" s="214"/>
      <c r="Z75" s="214"/>
      <c r="AA75" s="214"/>
      <c r="AB75" s="39"/>
    </row>
    <row r="76" spans="1:28" x14ac:dyDescent="0.15">
      <c r="A76" s="15"/>
      <c r="B76" s="15"/>
      <c r="C76" s="15"/>
      <c r="D76" s="37"/>
      <c r="H76" s="214"/>
      <c r="I76" s="206"/>
      <c r="J76" s="15"/>
      <c r="N76" s="206"/>
      <c r="Q76" s="52" t="str">
        <f t="shared" si="4"/>
        <v/>
      </c>
      <c r="T76" s="16" t="str">
        <f t="shared" si="3"/>
        <v/>
      </c>
      <c r="U76" s="206"/>
      <c r="V76" s="16" t="str">
        <f>IF(OR(N76="",U76="",T76=""),"",U76/N76*T76)</f>
        <v/>
      </c>
      <c r="X76" s="15"/>
      <c r="Y76" s="214"/>
      <c r="Z76" s="214"/>
      <c r="AA76" s="214"/>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
  <sheetViews>
    <sheetView zoomScale="80" zoomScaleNormal="80" workbookViewId="0">
      <selection activeCell="H47" sqref="H47"/>
    </sheetView>
  </sheetViews>
  <sheetFormatPr defaultColWidth="9" defaultRowHeight="13.5" x14ac:dyDescent="0.15"/>
  <cols>
    <col min="1" max="3" width="9" style="235"/>
    <col min="4" max="4" width="11" style="235" bestFit="1" customWidth="1"/>
    <col min="5" max="5" width="10.875" style="235" bestFit="1" customWidth="1"/>
    <col min="6" max="16" width="9" style="235"/>
    <col min="17" max="17" width="9" style="57"/>
    <col min="18" max="18" width="9" style="235"/>
    <col min="19" max="19" width="11.625" style="235" bestFit="1" customWidth="1"/>
    <col min="20" max="20" width="9" style="57"/>
    <col min="21" max="21" width="9" style="235"/>
    <col min="22" max="22" width="9" style="58"/>
    <col min="23" max="32" width="9" style="235"/>
    <col min="33" max="33" width="14.375" style="235" bestFit="1" customWidth="1"/>
    <col min="34" max="34" width="11.375" style="235" bestFit="1" customWidth="1"/>
    <col min="35" max="16384" width="9" style="235"/>
  </cols>
  <sheetData>
    <row r="1" spans="1:53" ht="45" x14ac:dyDescent="0.15">
      <c r="A1" s="238" t="s">
        <v>0</v>
      </c>
      <c r="B1" s="200" t="s">
        <v>1</v>
      </c>
      <c r="C1" s="200" t="s">
        <v>339</v>
      </c>
      <c r="D1" s="201" t="s">
        <v>3</v>
      </c>
      <c r="E1" s="239" t="s">
        <v>4</v>
      </c>
      <c r="F1" s="239" t="s">
        <v>5</v>
      </c>
      <c r="G1" s="239" t="s">
        <v>6</v>
      </c>
      <c r="H1" s="239" t="s">
        <v>7</v>
      </c>
      <c r="I1" s="239" t="s">
        <v>8</v>
      </c>
      <c r="J1" s="239" t="s">
        <v>9</v>
      </c>
      <c r="K1" s="239" t="s">
        <v>10</v>
      </c>
      <c r="L1" s="201" t="s">
        <v>340</v>
      </c>
      <c r="M1" s="201" t="s">
        <v>12</v>
      </c>
      <c r="N1" s="201" t="s">
        <v>13</v>
      </c>
      <c r="O1" s="201" t="s">
        <v>157</v>
      </c>
      <c r="P1" s="201" t="s">
        <v>255</v>
      </c>
      <c r="Q1" s="53" t="s">
        <v>16</v>
      </c>
      <c r="R1" s="201" t="s">
        <v>270</v>
      </c>
      <c r="S1" s="201" t="s">
        <v>158</v>
      </c>
      <c r="T1" s="53" t="s">
        <v>19</v>
      </c>
      <c r="U1" s="203" t="s">
        <v>108</v>
      </c>
      <c r="V1" s="54" t="s">
        <v>20</v>
      </c>
      <c r="W1" s="201" t="s">
        <v>21</v>
      </c>
      <c r="X1" s="239" t="s">
        <v>22</v>
      </c>
      <c r="Y1" s="239" t="s">
        <v>23</v>
      </c>
      <c r="Z1" s="239" t="s">
        <v>24</v>
      </c>
      <c r="AA1" s="239" t="s">
        <v>25</v>
      </c>
      <c r="AB1" s="240" t="s">
        <v>26</v>
      </c>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159</v>
      </c>
      <c r="AY1" s="212" t="s">
        <v>31</v>
      </c>
      <c r="AZ1" s="212" t="s">
        <v>32</v>
      </c>
      <c r="BA1" s="213" t="s">
        <v>33</v>
      </c>
    </row>
    <row r="2" spans="1:53" s="55" customFormat="1" x14ac:dyDescent="0.15">
      <c r="A2" s="55" t="s">
        <v>41</v>
      </c>
      <c r="B2" s="235" t="s">
        <v>331</v>
      </c>
      <c r="C2" s="152">
        <v>2018</v>
      </c>
      <c r="D2" s="56" t="s">
        <v>341</v>
      </c>
      <c r="E2" s="235" t="s">
        <v>133</v>
      </c>
      <c r="F2" s="235" t="s">
        <v>289</v>
      </c>
      <c r="G2" s="55" t="s">
        <v>42</v>
      </c>
      <c r="H2" s="55" t="s">
        <v>155</v>
      </c>
      <c r="I2" s="55" t="s">
        <v>153</v>
      </c>
      <c r="J2" s="55" t="s">
        <v>38</v>
      </c>
      <c r="K2" s="55" t="s">
        <v>154</v>
      </c>
      <c r="L2" s="235">
        <v>1</v>
      </c>
      <c r="M2" s="235"/>
      <c r="N2" s="55">
        <v>1</v>
      </c>
      <c r="O2" s="55">
        <v>0.95</v>
      </c>
      <c r="P2" s="55">
        <v>1.1000000000000001</v>
      </c>
      <c r="Q2" s="82">
        <f t="shared" ref="Q2:Q28" si="0">IF(OR(O2="",P2=""),"",AVERAGE(O2,P2))</f>
        <v>1.0249999999999999</v>
      </c>
      <c r="R2" s="55">
        <v>12.6</v>
      </c>
      <c r="S2" s="55">
        <v>128</v>
      </c>
      <c r="T2" s="57">
        <f t="shared" ref="T2:T7" si="1">IF(H2="","",IF(OR(H2="GREEN",H2="GK"),IF(S2&gt;=$AX$2,VLOOKUP(S2,$AX$2:$AY$10,2,1),""),IF(S2&gt;=$AZ$2,VLOOKUP(S2,$AZ$2:$BA$10,2,1),"")))</f>
        <v>27</v>
      </c>
      <c r="U2" s="235">
        <v>105</v>
      </c>
      <c r="V2" s="58">
        <f t="shared" ref="V2:V28" si="2">IF(OR(N2="",U2="",T2=""),"",U2/N2*T2)</f>
        <v>2835</v>
      </c>
      <c r="W2" s="235">
        <v>3</v>
      </c>
      <c r="X2" s="55" t="s">
        <v>46</v>
      </c>
      <c r="Y2" s="55" t="s">
        <v>84</v>
      </c>
      <c r="Z2" s="55" t="s">
        <v>40</v>
      </c>
      <c r="AA2" s="55" t="s">
        <v>90</v>
      </c>
      <c r="AB2" s="55" t="s">
        <v>333</v>
      </c>
      <c r="AE2" s="216" t="s">
        <v>35</v>
      </c>
      <c r="AG2" s="59" t="s">
        <v>133</v>
      </c>
      <c r="AH2" s="60" t="s">
        <v>289</v>
      </c>
      <c r="AJ2" s="241" t="s">
        <v>36</v>
      </c>
      <c r="AL2" s="241" t="s">
        <v>127</v>
      </c>
      <c r="AN2" s="241" t="s">
        <v>37</v>
      </c>
      <c r="AP2" s="241" t="s">
        <v>38</v>
      </c>
      <c r="AR2" s="241" t="s">
        <v>256</v>
      </c>
      <c r="AT2" s="241" t="s">
        <v>39</v>
      </c>
      <c r="AV2" s="241" t="s">
        <v>40</v>
      </c>
      <c r="AX2" s="61">
        <v>1</v>
      </c>
      <c r="AY2" s="62">
        <v>50</v>
      </c>
      <c r="AZ2" s="62">
        <v>1</v>
      </c>
      <c r="BA2" s="63">
        <v>50</v>
      </c>
    </row>
    <row r="3" spans="1:53" x14ac:dyDescent="0.15">
      <c r="A3" s="55" t="s">
        <v>41</v>
      </c>
      <c r="B3" s="235" t="s">
        <v>331</v>
      </c>
      <c r="C3" s="152">
        <v>2018</v>
      </c>
      <c r="D3" s="56" t="s">
        <v>341</v>
      </c>
      <c r="E3" s="235" t="s">
        <v>133</v>
      </c>
      <c r="F3" s="235" t="s">
        <v>289</v>
      </c>
      <c r="G3" s="55" t="s">
        <v>42</v>
      </c>
      <c r="H3" s="55" t="s">
        <v>155</v>
      </c>
      <c r="I3" s="55" t="s">
        <v>153</v>
      </c>
      <c r="J3" s="55" t="s">
        <v>38</v>
      </c>
      <c r="K3" s="55" t="s">
        <v>154</v>
      </c>
      <c r="L3" s="235">
        <v>2</v>
      </c>
      <c r="N3" s="55">
        <v>1</v>
      </c>
      <c r="O3" s="55">
        <v>0.65</v>
      </c>
      <c r="P3" s="55">
        <v>0.8</v>
      </c>
      <c r="Q3" s="82">
        <f t="shared" si="0"/>
        <v>0.72500000000000009</v>
      </c>
      <c r="R3" s="55">
        <v>13.3</v>
      </c>
      <c r="S3" s="55">
        <v>125</v>
      </c>
      <c r="T3" s="57">
        <f t="shared" si="1"/>
        <v>27</v>
      </c>
      <c r="U3" s="235">
        <v>105</v>
      </c>
      <c r="V3" s="58">
        <f t="shared" si="2"/>
        <v>2835</v>
      </c>
      <c r="W3" s="235">
        <v>3</v>
      </c>
      <c r="X3" s="55" t="s">
        <v>46</v>
      </c>
      <c r="Y3" s="55" t="s">
        <v>84</v>
      </c>
      <c r="Z3" s="55" t="s">
        <v>40</v>
      </c>
      <c r="AA3" s="55" t="s">
        <v>90</v>
      </c>
      <c r="AB3" s="55" t="s">
        <v>333</v>
      </c>
      <c r="AE3" s="221" t="s">
        <v>41</v>
      </c>
      <c r="AG3" s="64" t="s">
        <v>284</v>
      </c>
      <c r="AH3" s="64" t="s">
        <v>289</v>
      </c>
      <c r="AJ3" s="65" t="s">
        <v>42</v>
      </c>
      <c r="AL3" s="65" t="s">
        <v>128</v>
      </c>
      <c r="AN3" s="65" t="s">
        <v>43</v>
      </c>
      <c r="AP3" s="65" t="s">
        <v>44</v>
      </c>
      <c r="AR3" s="229" t="s">
        <v>45</v>
      </c>
      <c r="AT3" s="65" t="s">
        <v>46</v>
      </c>
      <c r="AV3" s="65" t="s">
        <v>47</v>
      </c>
      <c r="AX3" s="66">
        <v>72</v>
      </c>
      <c r="AY3" s="67">
        <v>46</v>
      </c>
      <c r="AZ3" s="67">
        <v>71</v>
      </c>
      <c r="BA3" s="68">
        <v>42</v>
      </c>
    </row>
    <row r="4" spans="1:53" x14ac:dyDescent="0.15">
      <c r="A4" s="55" t="s">
        <v>41</v>
      </c>
      <c r="B4" s="235" t="s">
        <v>331</v>
      </c>
      <c r="C4" s="152">
        <v>2018</v>
      </c>
      <c r="D4" s="56" t="s">
        <v>342</v>
      </c>
      <c r="E4" s="235" t="s">
        <v>133</v>
      </c>
      <c r="F4" s="235" t="s">
        <v>289</v>
      </c>
      <c r="G4" s="55" t="s">
        <v>42</v>
      </c>
      <c r="H4" s="55" t="s">
        <v>155</v>
      </c>
      <c r="I4" s="55" t="s">
        <v>153</v>
      </c>
      <c r="J4" s="55" t="s">
        <v>38</v>
      </c>
      <c r="K4" s="55" t="s">
        <v>154</v>
      </c>
      <c r="L4" s="235">
        <v>3</v>
      </c>
      <c r="N4" s="55">
        <v>1</v>
      </c>
      <c r="O4" s="55">
        <v>0.85</v>
      </c>
      <c r="P4" s="55">
        <v>0.95</v>
      </c>
      <c r="Q4" s="82">
        <f t="shared" si="0"/>
        <v>0.89999999999999991</v>
      </c>
      <c r="R4" s="55">
        <v>12.8</v>
      </c>
      <c r="S4" s="55">
        <v>124</v>
      </c>
      <c r="T4" s="57">
        <f t="shared" si="1"/>
        <v>27</v>
      </c>
      <c r="U4" s="235">
        <v>105</v>
      </c>
      <c r="V4" s="58">
        <f t="shared" si="2"/>
        <v>2835</v>
      </c>
      <c r="W4" s="235">
        <v>3</v>
      </c>
      <c r="X4" s="55" t="s">
        <v>46</v>
      </c>
      <c r="Y4" s="55" t="s">
        <v>84</v>
      </c>
      <c r="Z4" s="55" t="s">
        <v>40</v>
      </c>
      <c r="AA4" s="55" t="s">
        <v>90</v>
      </c>
      <c r="AB4" s="55" t="s">
        <v>333</v>
      </c>
      <c r="AE4" s="221" t="s">
        <v>34</v>
      </c>
      <c r="AG4" s="64" t="s">
        <v>284</v>
      </c>
      <c r="AH4" s="64" t="s">
        <v>290</v>
      </c>
      <c r="AJ4" s="69" t="s">
        <v>48</v>
      </c>
      <c r="AL4" s="69" t="s">
        <v>129</v>
      </c>
      <c r="AN4" s="242" t="s">
        <v>49</v>
      </c>
      <c r="AP4" s="65" t="s">
        <v>93</v>
      </c>
      <c r="AR4" s="229" t="s">
        <v>121</v>
      </c>
      <c r="AT4" s="242"/>
      <c r="AV4" s="65" t="s">
        <v>50</v>
      </c>
      <c r="AX4" s="66">
        <v>75</v>
      </c>
      <c r="AY4" s="67">
        <v>42</v>
      </c>
      <c r="AZ4" s="67">
        <v>76</v>
      </c>
      <c r="BA4" s="68">
        <v>39</v>
      </c>
    </row>
    <row r="5" spans="1:53" s="55" customFormat="1" ht="13.5" customHeight="1" x14ac:dyDescent="0.15">
      <c r="A5" s="55" t="s">
        <v>41</v>
      </c>
      <c r="B5" s="235" t="s">
        <v>331</v>
      </c>
      <c r="C5" s="152">
        <v>2018</v>
      </c>
      <c r="D5" s="56" t="s">
        <v>342</v>
      </c>
      <c r="E5" s="235" t="s">
        <v>133</v>
      </c>
      <c r="F5" s="235" t="s">
        <v>289</v>
      </c>
      <c r="G5" s="55" t="s">
        <v>42</v>
      </c>
      <c r="H5" s="55" t="s">
        <v>155</v>
      </c>
      <c r="I5" s="55" t="s">
        <v>153</v>
      </c>
      <c r="J5" s="55" t="s">
        <v>38</v>
      </c>
      <c r="K5" s="55" t="s">
        <v>154</v>
      </c>
      <c r="L5" s="235">
        <v>1</v>
      </c>
      <c r="N5" s="55">
        <v>8</v>
      </c>
      <c r="O5" s="55">
        <v>0.45</v>
      </c>
      <c r="P5" s="55">
        <v>0.65</v>
      </c>
      <c r="Q5" s="82">
        <f t="shared" si="0"/>
        <v>0.55000000000000004</v>
      </c>
      <c r="R5" s="55">
        <v>14.1</v>
      </c>
      <c r="S5" s="55">
        <v>115</v>
      </c>
      <c r="T5" s="77">
        <f t="shared" si="1"/>
        <v>30</v>
      </c>
      <c r="U5" s="55">
        <v>645</v>
      </c>
      <c r="V5" s="78">
        <f t="shared" si="2"/>
        <v>2418.75</v>
      </c>
      <c r="W5" s="55">
        <v>1</v>
      </c>
      <c r="X5" s="55" t="s">
        <v>46</v>
      </c>
      <c r="Y5" s="55" t="s">
        <v>84</v>
      </c>
      <c r="Z5" s="55" t="s">
        <v>40</v>
      </c>
      <c r="AA5" s="55" t="s">
        <v>90</v>
      </c>
      <c r="AB5" s="55" t="s">
        <v>333</v>
      </c>
      <c r="AC5" s="235"/>
      <c r="AD5" s="235"/>
      <c r="AE5" s="70" t="s">
        <v>343</v>
      </c>
      <c r="AG5" s="64" t="s">
        <v>285</v>
      </c>
      <c r="AH5" s="64" t="s">
        <v>289</v>
      </c>
      <c r="AJ5" s="71"/>
      <c r="AL5" s="72" t="s">
        <v>344</v>
      </c>
      <c r="AN5" s="72" t="s">
        <v>345</v>
      </c>
      <c r="AP5" s="229" t="s">
        <v>346</v>
      </c>
      <c r="AR5" s="229" t="s">
        <v>54</v>
      </c>
      <c r="AV5" s="229" t="s">
        <v>55</v>
      </c>
      <c r="AX5" s="73">
        <v>84</v>
      </c>
      <c r="AY5" s="74">
        <v>39</v>
      </c>
      <c r="AZ5" s="74">
        <v>84</v>
      </c>
      <c r="BA5" s="75">
        <v>36</v>
      </c>
    </row>
    <row r="6" spans="1:53" x14ac:dyDescent="0.15">
      <c r="A6" s="55" t="s">
        <v>41</v>
      </c>
      <c r="B6" s="235" t="s">
        <v>331</v>
      </c>
      <c r="C6" s="152">
        <v>2018</v>
      </c>
      <c r="D6" s="56" t="s">
        <v>342</v>
      </c>
      <c r="E6" s="235" t="s">
        <v>133</v>
      </c>
      <c r="F6" s="235" t="s">
        <v>289</v>
      </c>
      <c r="G6" s="55" t="s">
        <v>42</v>
      </c>
      <c r="H6" s="55" t="s">
        <v>155</v>
      </c>
      <c r="I6" s="55" t="s">
        <v>153</v>
      </c>
      <c r="J6" s="55" t="s">
        <v>38</v>
      </c>
      <c r="K6" s="55" t="s">
        <v>154</v>
      </c>
      <c r="L6" s="235">
        <v>2</v>
      </c>
      <c r="N6" s="55">
        <v>8</v>
      </c>
      <c r="O6" s="55">
        <v>0.65</v>
      </c>
      <c r="P6" s="55">
        <v>0.5</v>
      </c>
      <c r="Q6" s="82">
        <f t="shared" si="0"/>
        <v>0.57499999999999996</v>
      </c>
      <c r="R6" s="55">
        <v>15.9</v>
      </c>
      <c r="S6" s="55">
        <v>120</v>
      </c>
      <c r="T6" s="77">
        <f t="shared" si="1"/>
        <v>30</v>
      </c>
      <c r="U6" s="55">
        <v>645</v>
      </c>
      <c r="V6" s="78">
        <f t="shared" si="2"/>
        <v>2418.75</v>
      </c>
      <c r="W6" s="55">
        <v>1</v>
      </c>
      <c r="X6" s="55" t="s">
        <v>46</v>
      </c>
      <c r="Y6" s="55" t="s">
        <v>84</v>
      </c>
      <c r="Z6" s="55" t="s">
        <v>40</v>
      </c>
      <c r="AA6" s="55" t="s">
        <v>90</v>
      </c>
      <c r="AB6" s="55" t="s">
        <v>333</v>
      </c>
      <c r="AE6" s="221" t="s">
        <v>56</v>
      </c>
      <c r="AG6" s="64" t="s">
        <v>285</v>
      </c>
      <c r="AH6" s="64" t="s">
        <v>291</v>
      </c>
      <c r="AL6" s="72" t="s">
        <v>347</v>
      </c>
      <c r="AN6" s="72" t="s">
        <v>348</v>
      </c>
      <c r="AP6" s="65" t="s">
        <v>53</v>
      </c>
      <c r="AR6" s="229" t="s">
        <v>59</v>
      </c>
      <c r="AV6" s="65" t="s">
        <v>60</v>
      </c>
      <c r="AX6" s="66">
        <v>97</v>
      </c>
      <c r="AY6" s="67">
        <v>36</v>
      </c>
      <c r="AZ6" s="67">
        <v>99</v>
      </c>
      <c r="BA6" s="68">
        <v>33</v>
      </c>
    </row>
    <row r="7" spans="1:53" x14ac:dyDescent="0.15">
      <c r="A7" s="55" t="s">
        <v>41</v>
      </c>
      <c r="B7" s="235" t="s">
        <v>331</v>
      </c>
      <c r="C7" s="152">
        <v>2018</v>
      </c>
      <c r="D7" s="56" t="s">
        <v>342</v>
      </c>
      <c r="E7" s="235" t="s">
        <v>133</v>
      </c>
      <c r="F7" s="235" t="s">
        <v>289</v>
      </c>
      <c r="G7" s="55" t="s">
        <v>42</v>
      </c>
      <c r="H7" s="55" t="s">
        <v>155</v>
      </c>
      <c r="I7" s="55" t="s">
        <v>153</v>
      </c>
      <c r="J7" s="55" t="s">
        <v>38</v>
      </c>
      <c r="K7" s="55" t="s">
        <v>154</v>
      </c>
      <c r="L7" s="235">
        <v>3</v>
      </c>
      <c r="N7" s="55">
        <v>8</v>
      </c>
      <c r="O7" s="55">
        <v>0.7</v>
      </c>
      <c r="P7" s="55">
        <v>0.55000000000000004</v>
      </c>
      <c r="Q7" s="57">
        <f t="shared" si="0"/>
        <v>0.625</v>
      </c>
      <c r="R7" s="235">
        <v>14</v>
      </c>
      <c r="S7" s="235">
        <v>117</v>
      </c>
      <c r="T7" s="77">
        <f t="shared" si="1"/>
        <v>30</v>
      </c>
      <c r="U7" s="55">
        <v>645</v>
      </c>
      <c r="V7" s="78">
        <f t="shared" si="2"/>
        <v>2418.75</v>
      </c>
      <c r="W7" s="235">
        <v>1</v>
      </c>
      <c r="X7" s="55" t="s">
        <v>46</v>
      </c>
      <c r="Y7" s="55" t="s">
        <v>84</v>
      </c>
      <c r="Z7" s="55" t="s">
        <v>40</v>
      </c>
      <c r="AA7" s="55" t="s">
        <v>90</v>
      </c>
      <c r="AB7" s="55" t="s">
        <v>333</v>
      </c>
      <c r="AE7" s="221" t="s">
        <v>61</v>
      </c>
      <c r="AG7" s="64" t="s">
        <v>286</v>
      </c>
      <c r="AH7" s="64" t="s">
        <v>291</v>
      </c>
      <c r="AL7" s="76" t="s">
        <v>349</v>
      </c>
      <c r="AP7" s="65" t="s">
        <v>58</v>
      </c>
      <c r="AR7" s="229" t="s">
        <v>122</v>
      </c>
      <c r="AV7" s="65" t="s">
        <v>64</v>
      </c>
      <c r="AX7" s="66">
        <v>109</v>
      </c>
      <c r="AY7" s="67">
        <v>33</v>
      </c>
      <c r="AZ7" s="67">
        <v>113</v>
      </c>
      <c r="BA7" s="68">
        <v>30</v>
      </c>
    </row>
    <row r="8" spans="1:53" x14ac:dyDescent="0.15">
      <c r="A8" s="55" t="s">
        <v>41</v>
      </c>
      <c r="B8" s="235" t="s">
        <v>331</v>
      </c>
      <c r="C8" s="152">
        <v>2018</v>
      </c>
      <c r="D8" s="56" t="s">
        <v>342</v>
      </c>
      <c r="E8" s="235" t="s">
        <v>284</v>
      </c>
      <c r="F8" s="235" t="s">
        <v>289</v>
      </c>
      <c r="G8" s="55" t="s">
        <v>42</v>
      </c>
      <c r="H8" s="55" t="s">
        <v>127</v>
      </c>
      <c r="I8" s="55" t="s">
        <v>153</v>
      </c>
      <c r="J8" s="55" t="s">
        <v>80</v>
      </c>
      <c r="K8" s="55" t="s">
        <v>68</v>
      </c>
      <c r="L8" s="235">
        <v>1</v>
      </c>
      <c r="M8" s="55"/>
      <c r="N8" s="55">
        <v>1</v>
      </c>
      <c r="O8" s="55">
        <v>0.65</v>
      </c>
      <c r="P8" s="55">
        <v>0.75</v>
      </c>
      <c r="Q8" s="57">
        <f t="shared" si="0"/>
        <v>0.7</v>
      </c>
      <c r="R8" s="235">
        <v>16</v>
      </c>
      <c r="S8" s="235">
        <v>125</v>
      </c>
      <c r="T8" s="77">
        <f t="shared" ref="T8:T10" si="3">IF(H8="","",IF(OR(H8="GREEN",H8="GK"),IF(S8&gt;=$AX$2,VLOOKUP(S8,$AX$2:$AY$12,2,1),""),IF(S8&gt;=$AZ$2,VLOOKUP(S8,$AZ$2:$BA$12,2,1),"")))</f>
        <v>27</v>
      </c>
      <c r="U8" s="55">
        <v>138</v>
      </c>
      <c r="V8" s="78">
        <f t="shared" si="2"/>
        <v>3726</v>
      </c>
      <c r="W8" s="55">
        <v>2</v>
      </c>
      <c r="X8" s="55" t="s">
        <v>39</v>
      </c>
      <c r="Y8" s="55" t="s">
        <v>84</v>
      </c>
      <c r="Z8" s="55" t="s">
        <v>90</v>
      </c>
      <c r="AA8" s="55" t="s">
        <v>40</v>
      </c>
      <c r="AB8" s="55" t="s">
        <v>333</v>
      </c>
      <c r="AC8" s="55"/>
      <c r="AD8" s="55"/>
      <c r="AE8" s="221" t="s">
        <v>59</v>
      </c>
      <c r="AG8" s="64" t="s">
        <v>287</v>
      </c>
      <c r="AH8" s="64" t="s">
        <v>292</v>
      </c>
      <c r="AL8" s="76" t="s">
        <v>350</v>
      </c>
      <c r="AP8" s="65" t="s">
        <v>62</v>
      </c>
      <c r="AR8" s="229" t="s">
        <v>81</v>
      </c>
      <c r="AV8" s="65" t="s">
        <v>97</v>
      </c>
      <c r="AX8" s="66">
        <v>119</v>
      </c>
      <c r="AY8" s="67">
        <v>30</v>
      </c>
      <c r="AZ8" s="67">
        <v>121</v>
      </c>
      <c r="BA8" s="68">
        <v>27</v>
      </c>
    </row>
    <row r="9" spans="1:53" x14ac:dyDescent="0.15">
      <c r="A9" s="55" t="s">
        <v>41</v>
      </c>
      <c r="B9" s="235" t="s">
        <v>331</v>
      </c>
      <c r="C9" s="152">
        <v>2018</v>
      </c>
      <c r="D9" s="56" t="s">
        <v>342</v>
      </c>
      <c r="E9" s="235" t="s">
        <v>284</v>
      </c>
      <c r="F9" s="235" t="s">
        <v>289</v>
      </c>
      <c r="G9" s="55" t="s">
        <v>42</v>
      </c>
      <c r="H9" s="55" t="s">
        <v>127</v>
      </c>
      <c r="I9" s="55" t="s">
        <v>153</v>
      </c>
      <c r="J9" s="55" t="s">
        <v>80</v>
      </c>
      <c r="K9" s="55" t="s">
        <v>68</v>
      </c>
      <c r="L9" s="235">
        <v>2</v>
      </c>
      <c r="N9" s="55">
        <v>1</v>
      </c>
      <c r="O9" s="55">
        <v>0.85</v>
      </c>
      <c r="P9" s="55">
        <v>0.7</v>
      </c>
      <c r="Q9" s="57">
        <f t="shared" si="0"/>
        <v>0.77499999999999991</v>
      </c>
      <c r="R9" s="235">
        <v>12.4</v>
      </c>
      <c r="S9" s="235">
        <v>127</v>
      </c>
      <c r="T9" s="77">
        <f t="shared" si="3"/>
        <v>27</v>
      </c>
      <c r="U9" s="55">
        <v>138</v>
      </c>
      <c r="V9" s="58">
        <f t="shared" si="2"/>
        <v>3726</v>
      </c>
      <c r="W9" s="235">
        <v>2</v>
      </c>
      <c r="X9" s="55" t="s">
        <v>39</v>
      </c>
      <c r="Y9" s="55" t="s">
        <v>84</v>
      </c>
      <c r="Z9" s="55" t="s">
        <v>90</v>
      </c>
      <c r="AA9" s="55" t="s">
        <v>40</v>
      </c>
      <c r="AB9" s="55" t="s">
        <v>333</v>
      </c>
      <c r="AE9" s="221" t="s">
        <v>98</v>
      </c>
      <c r="AG9" s="64" t="s">
        <v>287</v>
      </c>
      <c r="AH9" s="64" t="s">
        <v>293</v>
      </c>
      <c r="AL9" s="72"/>
      <c r="AP9" s="65" t="s">
        <v>95</v>
      </c>
      <c r="AR9" s="229" t="s">
        <v>89</v>
      </c>
      <c r="AV9" s="65" t="s">
        <v>102</v>
      </c>
      <c r="AX9" s="66">
        <v>128</v>
      </c>
      <c r="AY9" s="67">
        <v>27</v>
      </c>
      <c r="AZ9" s="67">
        <v>129</v>
      </c>
      <c r="BA9" s="68">
        <v>25</v>
      </c>
    </row>
    <row r="10" spans="1:53" x14ac:dyDescent="0.15">
      <c r="A10" s="55" t="s">
        <v>41</v>
      </c>
      <c r="B10" s="235" t="s">
        <v>331</v>
      </c>
      <c r="C10" s="152">
        <v>2018</v>
      </c>
      <c r="D10" s="56" t="s">
        <v>342</v>
      </c>
      <c r="E10" s="235" t="s">
        <v>284</v>
      </c>
      <c r="F10" s="235" t="s">
        <v>289</v>
      </c>
      <c r="G10" s="55" t="s">
        <v>42</v>
      </c>
      <c r="H10" s="55" t="s">
        <v>127</v>
      </c>
      <c r="I10" s="55" t="s">
        <v>153</v>
      </c>
      <c r="J10" s="55" t="s">
        <v>80</v>
      </c>
      <c r="K10" s="55" t="s">
        <v>68</v>
      </c>
      <c r="L10" s="235">
        <v>3</v>
      </c>
      <c r="N10" s="55">
        <v>1</v>
      </c>
      <c r="O10" s="55">
        <v>0.95</v>
      </c>
      <c r="P10" s="55">
        <v>0.8</v>
      </c>
      <c r="Q10" s="57">
        <f t="shared" si="0"/>
        <v>0.875</v>
      </c>
      <c r="R10" s="235">
        <v>12.5</v>
      </c>
      <c r="S10" s="235">
        <v>126</v>
      </c>
      <c r="T10" s="77">
        <f t="shared" si="3"/>
        <v>27</v>
      </c>
      <c r="U10" s="55">
        <v>138</v>
      </c>
      <c r="V10" s="58">
        <f t="shared" si="2"/>
        <v>3726</v>
      </c>
      <c r="W10" s="235">
        <v>2</v>
      </c>
      <c r="X10" s="55" t="s">
        <v>39</v>
      </c>
      <c r="Y10" s="55" t="s">
        <v>84</v>
      </c>
      <c r="Z10" s="55" t="s">
        <v>90</v>
      </c>
      <c r="AA10" s="55" t="s">
        <v>40</v>
      </c>
      <c r="AB10" s="55" t="s">
        <v>353</v>
      </c>
      <c r="AE10" s="221" t="s">
        <v>103</v>
      </c>
      <c r="AG10" s="64" t="s">
        <v>288</v>
      </c>
      <c r="AH10" s="64" t="s">
        <v>294</v>
      </c>
      <c r="AL10" s="76"/>
      <c r="AP10" s="65" t="s">
        <v>100</v>
      </c>
      <c r="AR10" s="229" t="s">
        <v>123</v>
      </c>
      <c r="AV10" s="65" t="s">
        <v>106</v>
      </c>
      <c r="AX10" s="66">
        <v>138</v>
      </c>
      <c r="AY10" s="67">
        <v>25</v>
      </c>
      <c r="AZ10" s="67">
        <v>138</v>
      </c>
      <c r="BA10" s="68">
        <v>22</v>
      </c>
    </row>
    <row r="11" spans="1:53" x14ac:dyDescent="0.15">
      <c r="A11" s="55" t="s">
        <v>41</v>
      </c>
      <c r="B11" s="235" t="s">
        <v>331</v>
      </c>
      <c r="C11" s="152">
        <v>2018</v>
      </c>
      <c r="D11" s="56" t="s">
        <v>342</v>
      </c>
      <c r="E11" s="235" t="s">
        <v>284</v>
      </c>
      <c r="F11" s="235" t="s">
        <v>289</v>
      </c>
      <c r="G11" s="55" t="s">
        <v>42</v>
      </c>
      <c r="H11" s="55" t="s">
        <v>155</v>
      </c>
      <c r="I11" s="55" t="s">
        <v>153</v>
      </c>
      <c r="J11" s="55" t="s">
        <v>38</v>
      </c>
      <c r="K11" s="55" t="s">
        <v>154</v>
      </c>
      <c r="L11" s="235">
        <v>1</v>
      </c>
      <c r="N11" s="55">
        <v>3</v>
      </c>
      <c r="O11" s="55">
        <v>0.45</v>
      </c>
      <c r="P11" s="55">
        <v>0.35</v>
      </c>
      <c r="Q11" s="57">
        <f t="shared" si="0"/>
        <v>0.4</v>
      </c>
      <c r="R11" s="235">
        <v>13.8</v>
      </c>
      <c r="S11" s="235">
        <v>114</v>
      </c>
      <c r="T11" s="77">
        <f t="shared" ref="T11:T28" si="4">IF(H11="","",IF(OR(H11="GREEN",H11="GK"),IF(S11&gt;=$AX$2,VLOOKUP(S11,$AX$2:$AY$10,2,1),""),IF(S11&gt;=$AZ$2,VLOOKUP(S11,$AZ$2:$BA$10,2,1),"")))</f>
        <v>30</v>
      </c>
      <c r="U11" s="55">
        <v>421</v>
      </c>
      <c r="V11" s="58">
        <f t="shared" si="2"/>
        <v>4210</v>
      </c>
      <c r="W11" s="235">
        <v>1</v>
      </c>
      <c r="X11" s="55" t="s">
        <v>39</v>
      </c>
      <c r="Y11" s="55" t="s">
        <v>84</v>
      </c>
      <c r="Z11" s="55" t="s">
        <v>90</v>
      </c>
      <c r="AA11" s="55" t="s">
        <v>40</v>
      </c>
      <c r="AB11" s="55" t="s">
        <v>333</v>
      </c>
      <c r="AE11" s="221" t="s">
        <v>65</v>
      </c>
      <c r="AG11" s="64" t="s">
        <v>163</v>
      </c>
      <c r="AH11" s="64" t="s">
        <v>295</v>
      </c>
      <c r="AL11" s="76"/>
      <c r="AP11" s="65" t="s">
        <v>104</v>
      </c>
      <c r="AR11" s="229" t="s">
        <v>87</v>
      </c>
      <c r="AV11" s="65" t="s">
        <v>69</v>
      </c>
      <c r="AX11" s="66">
        <v>151</v>
      </c>
      <c r="AY11" s="67">
        <v>22</v>
      </c>
      <c r="AZ11" s="67">
        <v>152</v>
      </c>
      <c r="BA11" s="68">
        <v>18</v>
      </c>
    </row>
    <row r="12" spans="1:53" x14ac:dyDescent="0.15">
      <c r="A12" s="55" t="s">
        <v>41</v>
      </c>
      <c r="B12" s="235" t="s">
        <v>331</v>
      </c>
      <c r="C12" s="152">
        <v>2018</v>
      </c>
      <c r="D12" s="56" t="s">
        <v>342</v>
      </c>
      <c r="E12" s="235" t="s">
        <v>284</v>
      </c>
      <c r="F12" s="235" t="s">
        <v>289</v>
      </c>
      <c r="G12" s="55" t="s">
        <v>42</v>
      </c>
      <c r="H12" s="55" t="s">
        <v>155</v>
      </c>
      <c r="I12" s="55" t="s">
        <v>153</v>
      </c>
      <c r="J12" s="55" t="s">
        <v>38</v>
      </c>
      <c r="K12" s="55" t="s">
        <v>154</v>
      </c>
      <c r="L12" s="235">
        <v>2</v>
      </c>
      <c r="M12" s="55"/>
      <c r="N12" s="55">
        <v>3</v>
      </c>
      <c r="O12" s="55">
        <v>0.25</v>
      </c>
      <c r="P12" s="55">
        <v>0.35</v>
      </c>
      <c r="Q12" s="57">
        <f t="shared" si="0"/>
        <v>0.3</v>
      </c>
      <c r="R12" s="235">
        <v>14.7</v>
      </c>
      <c r="S12" s="235">
        <v>115</v>
      </c>
      <c r="T12" s="77">
        <f t="shared" si="4"/>
        <v>30</v>
      </c>
      <c r="U12" s="55">
        <v>421</v>
      </c>
      <c r="V12" s="78">
        <f t="shared" si="2"/>
        <v>4210</v>
      </c>
      <c r="W12" s="55">
        <v>1</v>
      </c>
      <c r="X12" s="55" t="s">
        <v>39</v>
      </c>
      <c r="Y12" s="55" t="s">
        <v>84</v>
      </c>
      <c r="Z12" s="55" t="s">
        <v>90</v>
      </c>
      <c r="AA12" s="55" t="s">
        <v>40</v>
      </c>
      <c r="AB12" s="55" t="s">
        <v>333</v>
      </c>
      <c r="AE12" s="221" t="s">
        <v>70</v>
      </c>
      <c r="AG12" s="70"/>
      <c r="AH12" s="70"/>
      <c r="AL12" s="76"/>
      <c r="AP12" s="65" t="s">
        <v>67</v>
      </c>
      <c r="AR12" s="229" t="s">
        <v>124</v>
      </c>
      <c r="AV12" s="65" t="s">
        <v>72</v>
      </c>
      <c r="AX12" s="79">
        <v>180</v>
      </c>
      <c r="AY12" s="80">
        <v>18</v>
      </c>
      <c r="AZ12" s="80">
        <v>181</v>
      </c>
      <c r="BA12" s="81">
        <v>16</v>
      </c>
    </row>
    <row r="13" spans="1:53" x14ac:dyDescent="0.15">
      <c r="A13" s="55" t="s">
        <v>41</v>
      </c>
      <c r="B13" s="235" t="s">
        <v>331</v>
      </c>
      <c r="C13" s="152">
        <v>2018</v>
      </c>
      <c r="D13" s="56" t="s">
        <v>342</v>
      </c>
      <c r="E13" s="235" t="s">
        <v>284</v>
      </c>
      <c r="F13" s="235" t="s">
        <v>289</v>
      </c>
      <c r="G13" s="55" t="s">
        <v>42</v>
      </c>
      <c r="H13" s="55" t="s">
        <v>155</v>
      </c>
      <c r="I13" s="55" t="s">
        <v>153</v>
      </c>
      <c r="J13" s="55" t="s">
        <v>38</v>
      </c>
      <c r="K13" s="55" t="s">
        <v>154</v>
      </c>
      <c r="L13" s="235">
        <v>3</v>
      </c>
      <c r="N13" s="55">
        <v>3</v>
      </c>
      <c r="O13" s="55">
        <v>0.25</v>
      </c>
      <c r="P13" s="55">
        <v>0.35</v>
      </c>
      <c r="Q13" s="57">
        <f t="shared" si="0"/>
        <v>0.3</v>
      </c>
      <c r="R13" s="235">
        <v>14.1</v>
      </c>
      <c r="S13" s="235">
        <v>118</v>
      </c>
      <c r="T13" s="77">
        <f t="shared" si="4"/>
        <v>30</v>
      </c>
      <c r="U13" s="55">
        <v>421</v>
      </c>
      <c r="V13" s="58">
        <f t="shared" si="2"/>
        <v>4210</v>
      </c>
      <c r="W13" s="235">
        <v>1</v>
      </c>
      <c r="X13" s="55" t="s">
        <v>39</v>
      </c>
      <c r="Y13" s="55" t="s">
        <v>84</v>
      </c>
      <c r="Z13" s="55" t="s">
        <v>90</v>
      </c>
      <c r="AA13" s="55" t="s">
        <v>40</v>
      </c>
      <c r="AB13" s="55" t="s">
        <v>333</v>
      </c>
      <c r="AE13" s="221" t="s">
        <v>73</v>
      </c>
      <c r="AG13" s="229"/>
      <c r="AH13" s="229"/>
      <c r="AP13" s="65" t="s">
        <v>71</v>
      </c>
      <c r="AR13" s="229" t="s">
        <v>103</v>
      </c>
      <c r="AV13" s="65" t="s">
        <v>75</v>
      </c>
    </row>
    <row r="14" spans="1:53" x14ac:dyDescent="0.15">
      <c r="A14" s="55" t="s">
        <v>41</v>
      </c>
      <c r="B14" s="235" t="s">
        <v>331</v>
      </c>
      <c r="C14" s="152">
        <v>2018</v>
      </c>
      <c r="D14" s="56" t="s">
        <v>342</v>
      </c>
      <c r="E14" s="235" t="s">
        <v>284</v>
      </c>
      <c r="F14" s="235" t="s">
        <v>290</v>
      </c>
      <c r="G14" s="55" t="s">
        <v>42</v>
      </c>
      <c r="H14" s="55" t="s">
        <v>155</v>
      </c>
      <c r="I14" s="55" t="s">
        <v>153</v>
      </c>
      <c r="J14" s="55" t="s">
        <v>38</v>
      </c>
      <c r="K14" s="55" t="s">
        <v>154</v>
      </c>
      <c r="L14" s="235">
        <v>1</v>
      </c>
      <c r="M14" s="55"/>
      <c r="N14" s="55">
        <v>6</v>
      </c>
      <c r="O14" s="55">
        <v>1.2</v>
      </c>
      <c r="P14" s="55">
        <v>1.3</v>
      </c>
      <c r="Q14" s="82">
        <f t="shared" si="0"/>
        <v>1.25</v>
      </c>
      <c r="R14" s="55">
        <v>13.5</v>
      </c>
      <c r="S14" s="55">
        <v>120</v>
      </c>
      <c r="T14" s="77">
        <f t="shared" si="4"/>
        <v>30</v>
      </c>
      <c r="U14" s="55">
        <v>540</v>
      </c>
      <c r="V14" s="78">
        <f t="shared" si="2"/>
        <v>2700</v>
      </c>
      <c r="W14" s="55">
        <v>1</v>
      </c>
      <c r="X14" s="55" t="s">
        <v>46</v>
      </c>
      <c r="Y14" s="55" t="s">
        <v>84</v>
      </c>
      <c r="Z14" s="55" t="s">
        <v>40</v>
      </c>
      <c r="AA14" s="55" t="s">
        <v>90</v>
      </c>
      <c r="AB14" s="55" t="s">
        <v>333</v>
      </c>
      <c r="AE14" s="221" t="s">
        <v>76</v>
      </c>
      <c r="AG14" s="229"/>
      <c r="AH14" s="229"/>
      <c r="AP14" s="65" t="s">
        <v>74</v>
      </c>
      <c r="AR14" s="229" t="s">
        <v>125</v>
      </c>
      <c r="AV14" s="65" t="s">
        <v>78</v>
      </c>
    </row>
    <row r="15" spans="1:53" x14ac:dyDescent="0.15">
      <c r="A15" s="55" t="s">
        <v>41</v>
      </c>
      <c r="B15" s="235" t="s">
        <v>331</v>
      </c>
      <c r="C15" s="152">
        <v>2018</v>
      </c>
      <c r="D15" s="56" t="s">
        <v>342</v>
      </c>
      <c r="E15" s="235" t="s">
        <v>284</v>
      </c>
      <c r="F15" s="235" t="s">
        <v>290</v>
      </c>
      <c r="G15" s="55" t="s">
        <v>42</v>
      </c>
      <c r="H15" s="55" t="s">
        <v>155</v>
      </c>
      <c r="I15" s="55" t="s">
        <v>153</v>
      </c>
      <c r="J15" s="55" t="s">
        <v>38</v>
      </c>
      <c r="K15" s="55" t="s">
        <v>154</v>
      </c>
      <c r="L15" s="235">
        <v>2</v>
      </c>
      <c r="N15" s="55">
        <v>6</v>
      </c>
      <c r="O15" s="55">
        <v>1.1000000000000001</v>
      </c>
      <c r="P15" s="55">
        <v>1.3</v>
      </c>
      <c r="Q15" s="82">
        <f t="shared" si="0"/>
        <v>1.2000000000000002</v>
      </c>
      <c r="R15" s="55">
        <v>12.9</v>
      </c>
      <c r="S15" s="55">
        <v>115</v>
      </c>
      <c r="T15" s="77">
        <f t="shared" si="4"/>
        <v>30</v>
      </c>
      <c r="U15" s="55">
        <v>540</v>
      </c>
      <c r="V15" s="58">
        <f t="shared" si="2"/>
        <v>2700</v>
      </c>
      <c r="W15" s="235">
        <v>1</v>
      </c>
      <c r="X15" s="55" t="s">
        <v>46</v>
      </c>
      <c r="Y15" s="55" t="s">
        <v>84</v>
      </c>
      <c r="Z15" s="55" t="s">
        <v>40</v>
      </c>
      <c r="AA15" s="55" t="s">
        <v>90</v>
      </c>
      <c r="AB15" s="55" t="s">
        <v>333</v>
      </c>
      <c r="AE15" s="221" t="s">
        <v>79</v>
      </c>
      <c r="AG15" s="229"/>
      <c r="AH15" s="229"/>
      <c r="AP15" s="65" t="s">
        <v>77</v>
      </c>
      <c r="AR15" s="229" t="s">
        <v>94</v>
      </c>
      <c r="AV15" s="65" t="s">
        <v>107</v>
      </c>
    </row>
    <row r="16" spans="1:53" x14ac:dyDescent="0.15">
      <c r="A16" s="55" t="s">
        <v>41</v>
      </c>
      <c r="B16" s="235" t="s">
        <v>331</v>
      </c>
      <c r="C16" s="152">
        <v>2018</v>
      </c>
      <c r="D16" s="56" t="s">
        <v>342</v>
      </c>
      <c r="E16" s="235" t="s">
        <v>284</v>
      </c>
      <c r="F16" s="235" t="s">
        <v>290</v>
      </c>
      <c r="G16" s="55" t="s">
        <v>42</v>
      </c>
      <c r="H16" s="55" t="s">
        <v>155</v>
      </c>
      <c r="I16" s="55" t="s">
        <v>153</v>
      </c>
      <c r="J16" s="55" t="s">
        <v>38</v>
      </c>
      <c r="K16" s="55" t="s">
        <v>154</v>
      </c>
      <c r="L16" s="235">
        <v>3</v>
      </c>
      <c r="N16" s="55">
        <v>6</v>
      </c>
      <c r="O16" s="55">
        <v>0.95</v>
      </c>
      <c r="P16" s="55">
        <v>1</v>
      </c>
      <c r="Q16" s="82">
        <f t="shared" si="0"/>
        <v>0.97499999999999998</v>
      </c>
      <c r="R16" s="55">
        <v>13.8</v>
      </c>
      <c r="S16" s="55">
        <v>117</v>
      </c>
      <c r="T16" s="77">
        <f t="shared" si="4"/>
        <v>30</v>
      </c>
      <c r="U16" s="55">
        <v>540</v>
      </c>
      <c r="V16" s="58">
        <f t="shared" si="2"/>
        <v>2700</v>
      </c>
      <c r="W16" s="235">
        <v>1</v>
      </c>
      <c r="X16" s="55" t="s">
        <v>46</v>
      </c>
      <c r="Y16" s="55" t="s">
        <v>84</v>
      </c>
      <c r="Z16" s="55" t="s">
        <v>40</v>
      </c>
      <c r="AA16" s="55" t="s">
        <v>90</v>
      </c>
      <c r="AB16" s="55" t="s">
        <v>333</v>
      </c>
      <c r="AE16" s="221" t="s">
        <v>82</v>
      </c>
      <c r="AG16" s="71"/>
      <c r="AH16" s="71"/>
      <c r="AP16" s="65" t="s">
        <v>80</v>
      </c>
      <c r="AR16" s="229" t="s">
        <v>63</v>
      </c>
      <c r="AV16" s="65" t="s">
        <v>84</v>
      </c>
    </row>
    <row r="17" spans="1:49" x14ac:dyDescent="0.15">
      <c r="A17" s="55" t="s">
        <v>41</v>
      </c>
      <c r="B17" s="235" t="s">
        <v>331</v>
      </c>
      <c r="C17" s="152">
        <v>2018</v>
      </c>
      <c r="D17" s="56" t="s">
        <v>342</v>
      </c>
      <c r="E17" s="235" t="s">
        <v>284</v>
      </c>
      <c r="F17" s="235" t="s">
        <v>290</v>
      </c>
      <c r="G17" s="55" t="s">
        <v>42</v>
      </c>
      <c r="H17" s="55" t="s">
        <v>127</v>
      </c>
      <c r="I17" s="55" t="s">
        <v>153</v>
      </c>
      <c r="J17" s="55" t="s">
        <v>80</v>
      </c>
      <c r="K17" s="55" t="s">
        <v>68</v>
      </c>
      <c r="L17" s="235">
        <v>1</v>
      </c>
      <c r="M17" s="55"/>
      <c r="N17" s="55">
        <v>4</v>
      </c>
      <c r="O17" s="55">
        <v>0.95</v>
      </c>
      <c r="P17" s="55">
        <v>1.05</v>
      </c>
      <c r="Q17" s="82">
        <f t="shared" si="0"/>
        <v>1</v>
      </c>
      <c r="R17" s="55">
        <v>14.7</v>
      </c>
      <c r="S17" s="55">
        <v>125</v>
      </c>
      <c r="T17" s="77">
        <f t="shared" si="4"/>
        <v>27</v>
      </c>
      <c r="U17" s="55">
        <v>537</v>
      </c>
      <c r="V17" s="78">
        <f t="shared" si="2"/>
        <v>3624.75</v>
      </c>
      <c r="W17" s="55">
        <v>1</v>
      </c>
      <c r="X17" s="55" t="s">
        <v>46</v>
      </c>
      <c r="Y17" s="55" t="s">
        <v>84</v>
      </c>
      <c r="Z17" s="55" t="s">
        <v>40</v>
      </c>
      <c r="AA17" s="55" t="s">
        <v>90</v>
      </c>
      <c r="AB17" s="55" t="s">
        <v>333</v>
      </c>
      <c r="AE17" s="221" t="s">
        <v>85</v>
      </c>
      <c r="AP17" s="237" t="s">
        <v>110</v>
      </c>
      <c r="AR17" s="229" t="s">
        <v>96</v>
      </c>
      <c r="AV17" s="65" t="s">
        <v>86</v>
      </c>
    </row>
    <row r="18" spans="1:49" x14ac:dyDescent="0.15">
      <c r="A18" s="55" t="s">
        <v>41</v>
      </c>
      <c r="B18" s="235" t="s">
        <v>331</v>
      </c>
      <c r="C18" s="152">
        <v>2018</v>
      </c>
      <c r="D18" s="56" t="s">
        <v>342</v>
      </c>
      <c r="E18" s="235" t="s">
        <v>284</v>
      </c>
      <c r="F18" s="235" t="s">
        <v>290</v>
      </c>
      <c r="G18" s="55" t="s">
        <v>42</v>
      </c>
      <c r="H18" s="55" t="s">
        <v>127</v>
      </c>
      <c r="I18" s="55" t="s">
        <v>153</v>
      </c>
      <c r="J18" s="55" t="s">
        <v>80</v>
      </c>
      <c r="K18" s="55" t="s">
        <v>68</v>
      </c>
      <c r="L18" s="235">
        <v>2</v>
      </c>
      <c r="N18" s="55">
        <v>4</v>
      </c>
      <c r="O18" s="55">
        <v>1.2</v>
      </c>
      <c r="P18" s="55">
        <v>0.95</v>
      </c>
      <c r="Q18" s="82">
        <f t="shared" si="0"/>
        <v>1.075</v>
      </c>
      <c r="R18" s="55">
        <v>12.4</v>
      </c>
      <c r="S18" s="55">
        <v>124</v>
      </c>
      <c r="T18" s="77">
        <f t="shared" si="4"/>
        <v>27</v>
      </c>
      <c r="U18" s="55">
        <v>537</v>
      </c>
      <c r="V18" s="58">
        <f t="shared" si="2"/>
        <v>3624.75</v>
      </c>
      <c r="W18" s="235">
        <v>1</v>
      </c>
      <c r="X18" s="55" t="s">
        <v>46</v>
      </c>
      <c r="Y18" s="55" t="s">
        <v>84</v>
      </c>
      <c r="Z18" s="55" t="s">
        <v>40</v>
      </c>
      <c r="AA18" s="55" t="s">
        <v>90</v>
      </c>
      <c r="AB18" s="55" t="s">
        <v>333</v>
      </c>
      <c r="AE18" s="221" t="s">
        <v>87</v>
      </c>
      <c r="AP18" s="237" t="s">
        <v>111</v>
      </c>
      <c r="AR18" s="229" t="s">
        <v>101</v>
      </c>
      <c r="AV18" s="65" t="s">
        <v>88</v>
      </c>
    </row>
    <row r="19" spans="1:49" x14ac:dyDescent="0.15">
      <c r="A19" s="55" t="s">
        <v>41</v>
      </c>
      <c r="B19" s="235" t="s">
        <v>331</v>
      </c>
      <c r="C19" s="152">
        <v>2018</v>
      </c>
      <c r="D19" s="56" t="s">
        <v>342</v>
      </c>
      <c r="E19" s="235" t="s">
        <v>284</v>
      </c>
      <c r="F19" s="235" t="s">
        <v>290</v>
      </c>
      <c r="G19" s="55" t="s">
        <v>42</v>
      </c>
      <c r="H19" s="55" t="s">
        <v>127</v>
      </c>
      <c r="I19" s="55" t="s">
        <v>153</v>
      </c>
      <c r="J19" s="55" t="s">
        <v>80</v>
      </c>
      <c r="K19" s="55" t="s">
        <v>68</v>
      </c>
      <c r="L19" s="235">
        <v>3</v>
      </c>
      <c r="N19" s="55">
        <v>4</v>
      </c>
      <c r="O19" s="55">
        <v>1</v>
      </c>
      <c r="P19" s="55">
        <v>1.05</v>
      </c>
      <c r="Q19" s="82">
        <f t="shared" si="0"/>
        <v>1.0249999999999999</v>
      </c>
      <c r="R19" s="55">
        <v>15.1</v>
      </c>
      <c r="S19" s="55">
        <v>122</v>
      </c>
      <c r="T19" s="77">
        <f t="shared" si="4"/>
        <v>27</v>
      </c>
      <c r="U19" s="55">
        <v>537</v>
      </c>
      <c r="V19" s="58">
        <f t="shared" si="2"/>
        <v>3624.75</v>
      </c>
      <c r="W19" s="235">
        <v>1</v>
      </c>
      <c r="X19" s="55" t="s">
        <v>46</v>
      </c>
      <c r="Y19" s="55" t="s">
        <v>84</v>
      </c>
      <c r="Z19" s="55" t="s">
        <v>40</v>
      </c>
      <c r="AA19" s="55" t="s">
        <v>90</v>
      </c>
      <c r="AB19" s="55" t="s">
        <v>333</v>
      </c>
      <c r="AE19" s="234" t="s">
        <v>89</v>
      </c>
      <c r="AP19" s="237" t="s">
        <v>112</v>
      </c>
      <c r="AR19" s="229" t="s">
        <v>126</v>
      </c>
      <c r="AV19" s="65" t="s">
        <v>90</v>
      </c>
    </row>
    <row r="20" spans="1:49" x14ac:dyDescent="0.15">
      <c r="A20" s="55" t="s">
        <v>41</v>
      </c>
      <c r="B20" s="235" t="s">
        <v>331</v>
      </c>
      <c r="C20" s="152">
        <v>2018</v>
      </c>
      <c r="D20" s="56" t="s">
        <v>342</v>
      </c>
      <c r="E20" s="235" t="s">
        <v>285</v>
      </c>
      <c r="F20" s="235" t="s">
        <v>289</v>
      </c>
      <c r="G20" s="55" t="s">
        <v>42</v>
      </c>
      <c r="H20" s="55" t="s">
        <v>155</v>
      </c>
      <c r="I20" s="55" t="s">
        <v>153</v>
      </c>
      <c r="J20" s="55" t="s">
        <v>38</v>
      </c>
      <c r="K20" s="55" t="s">
        <v>154</v>
      </c>
      <c r="L20" s="235">
        <v>1</v>
      </c>
      <c r="N20" s="55">
        <v>1</v>
      </c>
      <c r="O20" s="55">
        <v>0.65</v>
      </c>
      <c r="P20" s="55">
        <v>0.8</v>
      </c>
      <c r="Q20" s="82">
        <f t="shared" si="0"/>
        <v>0.72500000000000009</v>
      </c>
      <c r="R20" s="55">
        <v>12.8</v>
      </c>
      <c r="S20" s="55">
        <v>120</v>
      </c>
      <c r="T20" s="57">
        <f t="shared" si="4"/>
        <v>30</v>
      </c>
      <c r="U20" s="235">
        <v>95</v>
      </c>
      <c r="V20" s="58">
        <f t="shared" si="2"/>
        <v>2850</v>
      </c>
      <c r="W20" s="235">
        <v>3</v>
      </c>
      <c r="X20" s="55" t="s">
        <v>46</v>
      </c>
      <c r="Y20" s="55" t="s">
        <v>84</v>
      </c>
      <c r="Z20" s="55" t="s">
        <v>90</v>
      </c>
      <c r="AA20" s="55" t="s">
        <v>106</v>
      </c>
      <c r="AB20" s="55" t="s">
        <v>333</v>
      </c>
      <c r="AE20" s="234"/>
      <c r="AP20" s="237" t="s">
        <v>113</v>
      </c>
      <c r="AR20" s="229" t="s">
        <v>105</v>
      </c>
      <c r="AV20" s="69" t="s">
        <v>351</v>
      </c>
    </row>
    <row r="21" spans="1:49" x14ac:dyDescent="0.15">
      <c r="A21" s="55" t="s">
        <v>41</v>
      </c>
      <c r="B21" s="235" t="s">
        <v>331</v>
      </c>
      <c r="C21" s="152">
        <v>2018</v>
      </c>
      <c r="D21" s="56" t="s">
        <v>342</v>
      </c>
      <c r="E21" s="235" t="s">
        <v>285</v>
      </c>
      <c r="F21" s="235" t="s">
        <v>289</v>
      </c>
      <c r="G21" s="55" t="s">
        <v>42</v>
      </c>
      <c r="H21" s="55" t="s">
        <v>155</v>
      </c>
      <c r="I21" s="55" t="s">
        <v>153</v>
      </c>
      <c r="J21" s="55" t="s">
        <v>38</v>
      </c>
      <c r="K21" s="55" t="s">
        <v>154</v>
      </c>
      <c r="L21" s="235">
        <v>2</v>
      </c>
      <c r="N21" s="55">
        <v>1</v>
      </c>
      <c r="O21" s="235">
        <v>0.9</v>
      </c>
      <c r="P21" s="235">
        <v>0.85</v>
      </c>
      <c r="Q21" s="57">
        <f t="shared" si="0"/>
        <v>0.875</v>
      </c>
      <c r="R21" s="235">
        <v>13</v>
      </c>
      <c r="S21" s="235">
        <v>119</v>
      </c>
      <c r="T21" s="57">
        <f t="shared" si="4"/>
        <v>30</v>
      </c>
      <c r="U21" s="235">
        <v>95</v>
      </c>
      <c r="V21" s="58">
        <f t="shared" si="2"/>
        <v>2850</v>
      </c>
      <c r="W21" s="235">
        <v>3</v>
      </c>
      <c r="X21" s="55" t="s">
        <v>46</v>
      </c>
      <c r="Y21" s="55" t="s">
        <v>84</v>
      </c>
      <c r="Z21" s="55" t="s">
        <v>90</v>
      </c>
      <c r="AA21" s="55" t="s">
        <v>106</v>
      </c>
      <c r="AB21" s="55" t="s">
        <v>333</v>
      </c>
      <c r="AE21" s="242"/>
      <c r="AP21" s="237" t="s">
        <v>114</v>
      </c>
      <c r="AR21" s="229" t="s">
        <v>68</v>
      </c>
      <c r="AV21" s="69" t="s">
        <v>352</v>
      </c>
    </row>
    <row r="22" spans="1:49" x14ac:dyDescent="0.15">
      <c r="A22" s="55" t="s">
        <v>41</v>
      </c>
      <c r="B22" s="235" t="s">
        <v>331</v>
      </c>
      <c r="C22" s="152">
        <v>2018</v>
      </c>
      <c r="D22" s="56" t="s">
        <v>342</v>
      </c>
      <c r="E22" s="235" t="s">
        <v>285</v>
      </c>
      <c r="F22" s="235" t="s">
        <v>289</v>
      </c>
      <c r="G22" s="55" t="s">
        <v>42</v>
      </c>
      <c r="H22" s="55" t="s">
        <v>155</v>
      </c>
      <c r="I22" s="55" t="s">
        <v>153</v>
      </c>
      <c r="J22" s="55" t="s">
        <v>38</v>
      </c>
      <c r="K22" s="55" t="s">
        <v>154</v>
      </c>
      <c r="L22" s="235">
        <v>3</v>
      </c>
      <c r="N22" s="55">
        <v>1</v>
      </c>
      <c r="O22" s="235">
        <v>0.85</v>
      </c>
      <c r="P22" s="235">
        <v>0.75</v>
      </c>
      <c r="Q22" s="57">
        <f t="shared" si="0"/>
        <v>0.8</v>
      </c>
      <c r="R22" s="235">
        <v>13.2</v>
      </c>
      <c r="S22" s="235">
        <v>120</v>
      </c>
      <c r="T22" s="57">
        <f t="shared" si="4"/>
        <v>30</v>
      </c>
      <c r="U22" s="235">
        <v>95</v>
      </c>
      <c r="V22" s="58">
        <f t="shared" si="2"/>
        <v>2850</v>
      </c>
      <c r="W22" s="235">
        <v>3</v>
      </c>
      <c r="X22" s="55" t="s">
        <v>46</v>
      </c>
      <c r="Y22" s="55" t="s">
        <v>84</v>
      </c>
      <c r="Z22" s="55" t="s">
        <v>90</v>
      </c>
      <c r="AA22" s="55" t="s">
        <v>106</v>
      </c>
      <c r="AB22" s="55" t="s">
        <v>333</v>
      </c>
      <c r="AP22" s="237" t="s">
        <v>115</v>
      </c>
      <c r="AR22" s="229" t="s">
        <v>83</v>
      </c>
      <c r="AV22" s="69"/>
    </row>
    <row r="23" spans="1:49" x14ac:dyDescent="0.15">
      <c r="A23" s="55" t="s">
        <v>41</v>
      </c>
      <c r="B23" s="235" t="s">
        <v>331</v>
      </c>
      <c r="C23" s="152">
        <v>2018</v>
      </c>
      <c r="D23" s="56" t="s">
        <v>342</v>
      </c>
      <c r="E23" s="235" t="s">
        <v>285</v>
      </c>
      <c r="F23" s="235" t="s">
        <v>291</v>
      </c>
      <c r="G23" s="55" t="s">
        <v>42</v>
      </c>
      <c r="H23" s="55" t="s">
        <v>155</v>
      </c>
      <c r="I23" s="55" t="s">
        <v>153</v>
      </c>
      <c r="J23" s="55" t="s">
        <v>38</v>
      </c>
      <c r="K23" s="55" t="s">
        <v>154</v>
      </c>
      <c r="L23" s="235">
        <v>1</v>
      </c>
      <c r="N23" s="55">
        <v>1</v>
      </c>
      <c r="O23" s="55">
        <v>0.45</v>
      </c>
      <c r="P23" s="55">
        <v>0.65</v>
      </c>
      <c r="Q23" s="57">
        <f t="shared" si="0"/>
        <v>0.55000000000000004</v>
      </c>
      <c r="R23" s="55">
        <v>15.1</v>
      </c>
      <c r="S23" s="55">
        <v>120</v>
      </c>
      <c r="T23" s="57">
        <f t="shared" si="4"/>
        <v>30</v>
      </c>
      <c r="U23" s="235">
        <v>108</v>
      </c>
      <c r="V23" s="58">
        <f t="shared" si="2"/>
        <v>3240</v>
      </c>
      <c r="W23" s="235">
        <v>2</v>
      </c>
      <c r="X23" s="55" t="s">
        <v>46</v>
      </c>
      <c r="Y23" s="55" t="s">
        <v>84</v>
      </c>
      <c r="Z23" s="55" t="s">
        <v>90</v>
      </c>
      <c r="AA23" s="55" t="s">
        <v>40</v>
      </c>
      <c r="AB23" s="55" t="s">
        <v>333</v>
      </c>
      <c r="AP23" s="237" t="s">
        <v>117</v>
      </c>
      <c r="AR23" s="242" t="s">
        <v>283</v>
      </c>
      <c r="AV23" s="242"/>
    </row>
    <row r="24" spans="1:49" x14ac:dyDescent="0.15">
      <c r="A24" s="55" t="s">
        <v>41</v>
      </c>
      <c r="B24" s="235" t="s">
        <v>331</v>
      </c>
      <c r="C24" s="152">
        <v>2018</v>
      </c>
      <c r="D24" s="56" t="s">
        <v>342</v>
      </c>
      <c r="E24" s="235" t="s">
        <v>285</v>
      </c>
      <c r="F24" s="235" t="s">
        <v>291</v>
      </c>
      <c r="G24" s="55" t="s">
        <v>42</v>
      </c>
      <c r="H24" s="55" t="s">
        <v>155</v>
      </c>
      <c r="I24" s="55" t="s">
        <v>153</v>
      </c>
      <c r="J24" s="55" t="s">
        <v>38</v>
      </c>
      <c r="K24" s="55" t="s">
        <v>154</v>
      </c>
      <c r="L24" s="235">
        <v>2</v>
      </c>
      <c r="N24" s="55">
        <v>1</v>
      </c>
      <c r="O24" s="235">
        <v>0.7</v>
      </c>
      <c r="P24" s="235">
        <v>0.7</v>
      </c>
      <c r="Q24" s="57">
        <f t="shared" si="0"/>
        <v>0.7</v>
      </c>
      <c r="R24" s="235">
        <v>13.3</v>
      </c>
      <c r="S24" s="235">
        <v>117</v>
      </c>
      <c r="T24" s="57">
        <f t="shared" si="4"/>
        <v>30</v>
      </c>
      <c r="U24" s="235">
        <v>108</v>
      </c>
      <c r="V24" s="58">
        <f t="shared" si="2"/>
        <v>3240</v>
      </c>
      <c r="W24" s="235">
        <v>2</v>
      </c>
      <c r="X24" s="55" t="s">
        <v>46</v>
      </c>
      <c r="Y24" s="55" t="s">
        <v>84</v>
      </c>
      <c r="Z24" s="55" t="s">
        <v>90</v>
      </c>
      <c r="AA24" s="55" t="s">
        <v>40</v>
      </c>
      <c r="AB24" s="55" t="s">
        <v>333</v>
      </c>
      <c r="AP24" s="237" t="s">
        <v>118</v>
      </c>
    </row>
    <row r="25" spans="1:49" x14ac:dyDescent="0.15">
      <c r="A25" s="55" t="s">
        <v>41</v>
      </c>
      <c r="B25" s="235" t="s">
        <v>331</v>
      </c>
      <c r="C25" s="152">
        <v>2018</v>
      </c>
      <c r="D25" s="56" t="s">
        <v>342</v>
      </c>
      <c r="E25" s="235" t="s">
        <v>285</v>
      </c>
      <c r="F25" s="235" t="s">
        <v>291</v>
      </c>
      <c r="G25" s="55" t="s">
        <v>42</v>
      </c>
      <c r="H25" s="55" t="s">
        <v>155</v>
      </c>
      <c r="I25" s="55" t="s">
        <v>153</v>
      </c>
      <c r="J25" s="55" t="s">
        <v>38</v>
      </c>
      <c r="K25" s="55" t="s">
        <v>154</v>
      </c>
      <c r="L25" s="235">
        <v>3</v>
      </c>
      <c r="N25" s="55">
        <v>1</v>
      </c>
      <c r="O25" s="235">
        <v>0.8</v>
      </c>
      <c r="P25" s="235">
        <v>0.95</v>
      </c>
      <c r="Q25" s="57">
        <f t="shared" si="0"/>
        <v>0.875</v>
      </c>
      <c r="R25" s="235">
        <v>14.1</v>
      </c>
      <c r="S25" s="235">
        <v>115</v>
      </c>
      <c r="T25" s="57">
        <f t="shared" si="4"/>
        <v>30</v>
      </c>
      <c r="U25" s="55">
        <v>108</v>
      </c>
      <c r="V25" s="58">
        <f t="shared" si="2"/>
        <v>3240</v>
      </c>
      <c r="W25" s="235">
        <v>2</v>
      </c>
      <c r="X25" s="55" t="s">
        <v>46</v>
      </c>
      <c r="Y25" s="55" t="s">
        <v>84</v>
      </c>
      <c r="Z25" s="55" t="s">
        <v>90</v>
      </c>
      <c r="AA25" s="55" t="s">
        <v>40</v>
      </c>
      <c r="AB25" s="55" t="s">
        <v>333</v>
      </c>
    </row>
    <row r="26" spans="1:49" x14ac:dyDescent="0.15">
      <c r="A26" s="55" t="s">
        <v>41</v>
      </c>
      <c r="B26" s="235" t="s">
        <v>331</v>
      </c>
      <c r="C26" s="152">
        <v>2018</v>
      </c>
      <c r="D26" s="56" t="s">
        <v>342</v>
      </c>
      <c r="E26" s="235" t="s">
        <v>285</v>
      </c>
      <c r="F26" s="235" t="s">
        <v>291</v>
      </c>
      <c r="G26" s="55" t="s">
        <v>42</v>
      </c>
      <c r="H26" s="55" t="s">
        <v>155</v>
      </c>
      <c r="I26" s="55" t="s">
        <v>153</v>
      </c>
      <c r="J26" s="55" t="s">
        <v>38</v>
      </c>
      <c r="K26" s="55" t="s">
        <v>154</v>
      </c>
      <c r="L26" s="235">
        <v>1</v>
      </c>
      <c r="N26" s="55">
        <v>4</v>
      </c>
      <c r="O26" s="235">
        <v>1.2</v>
      </c>
      <c r="P26" s="235">
        <v>1.35</v>
      </c>
      <c r="Q26" s="57">
        <f t="shared" si="0"/>
        <v>1.2749999999999999</v>
      </c>
      <c r="R26" s="235">
        <v>12.8</v>
      </c>
      <c r="S26" s="235">
        <v>120</v>
      </c>
      <c r="T26" s="57">
        <f t="shared" si="4"/>
        <v>30</v>
      </c>
      <c r="U26" s="235">
        <v>429</v>
      </c>
      <c r="V26" s="58">
        <f t="shared" si="2"/>
        <v>3217.5</v>
      </c>
      <c r="W26" s="235">
        <v>1</v>
      </c>
      <c r="X26" s="55" t="s">
        <v>46</v>
      </c>
      <c r="Y26" s="55" t="s">
        <v>84</v>
      </c>
      <c r="Z26" s="55" t="s">
        <v>90</v>
      </c>
      <c r="AA26" s="55" t="s">
        <v>40</v>
      </c>
      <c r="AB26" s="55" t="s">
        <v>333</v>
      </c>
    </row>
    <row r="27" spans="1:49" x14ac:dyDescent="0.15">
      <c r="A27" s="55" t="s">
        <v>41</v>
      </c>
      <c r="B27" s="235" t="s">
        <v>331</v>
      </c>
      <c r="C27" s="152">
        <v>2018</v>
      </c>
      <c r="D27" s="56" t="s">
        <v>342</v>
      </c>
      <c r="E27" s="235" t="s">
        <v>285</v>
      </c>
      <c r="F27" s="235" t="s">
        <v>291</v>
      </c>
      <c r="G27" s="55" t="s">
        <v>42</v>
      </c>
      <c r="H27" s="55" t="s">
        <v>155</v>
      </c>
      <c r="I27" s="55" t="s">
        <v>153</v>
      </c>
      <c r="J27" s="55" t="s">
        <v>38</v>
      </c>
      <c r="K27" s="55" t="s">
        <v>154</v>
      </c>
      <c r="L27" s="235">
        <v>2</v>
      </c>
      <c r="N27" s="55">
        <v>4</v>
      </c>
      <c r="O27" s="235">
        <v>0.95</v>
      </c>
      <c r="P27" s="235">
        <v>1</v>
      </c>
      <c r="Q27" s="57">
        <f t="shared" si="0"/>
        <v>0.97499999999999998</v>
      </c>
      <c r="R27" s="235">
        <v>16</v>
      </c>
      <c r="S27" s="235">
        <v>114</v>
      </c>
      <c r="T27" s="57">
        <f t="shared" si="4"/>
        <v>30</v>
      </c>
      <c r="U27" s="235">
        <v>429</v>
      </c>
      <c r="V27" s="58">
        <f t="shared" si="2"/>
        <v>3217.5</v>
      </c>
      <c r="W27" s="235">
        <v>1</v>
      </c>
      <c r="X27" s="55" t="s">
        <v>46</v>
      </c>
      <c r="Y27" s="55" t="s">
        <v>84</v>
      </c>
      <c r="Z27" s="55" t="s">
        <v>90</v>
      </c>
      <c r="AA27" s="55" t="s">
        <v>40</v>
      </c>
      <c r="AB27" s="55" t="s">
        <v>333</v>
      </c>
      <c r="AE27" s="251"/>
      <c r="AF27" s="251"/>
      <c r="AG27" s="251"/>
      <c r="AH27" s="251"/>
      <c r="AI27" s="251"/>
      <c r="AJ27" s="251"/>
      <c r="AK27" s="251"/>
      <c r="AL27" s="251"/>
      <c r="AM27" s="251"/>
      <c r="AN27" s="251"/>
      <c r="AO27" s="251"/>
      <c r="AP27" s="251"/>
      <c r="AQ27" s="251"/>
      <c r="AR27" s="251"/>
      <c r="AS27" s="251"/>
      <c r="AT27" s="251"/>
      <c r="AU27" s="251"/>
      <c r="AV27" s="251"/>
      <c r="AW27" s="251"/>
    </row>
    <row r="28" spans="1:49" x14ac:dyDescent="0.15">
      <c r="A28" s="55" t="s">
        <v>41</v>
      </c>
      <c r="B28" s="235" t="s">
        <v>331</v>
      </c>
      <c r="C28" s="152">
        <v>2018</v>
      </c>
      <c r="D28" s="56" t="s">
        <v>342</v>
      </c>
      <c r="E28" s="235" t="s">
        <v>285</v>
      </c>
      <c r="F28" s="235" t="s">
        <v>291</v>
      </c>
      <c r="G28" s="55" t="s">
        <v>42</v>
      </c>
      <c r="H28" s="55" t="s">
        <v>155</v>
      </c>
      <c r="I28" s="55" t="s">
        <v>153</v>
      </c>
      <c r="J28" s="55" t="s">
        <v>38</v>
      </c>
      <c r="K28" s="55" t="s">
        <v>154</v>
      </c>
      <c r="L28" s="235">
        <v>3</v>
      </c>
      <c r="N28" s="55">
        <v>4</v>
      </c>
      <c r="O28" s="55">
        <v>1</v>
      </c>
      <c r="P28" s="55">
        <v>1.2</v>
      </c>
      <c r="Q28" s="82">
        <f t="shared" si="0"/>
        <v>1.1000000000000001</v>
      </c>
      <c r="R28" s="55">
        <v>12.7</v>
      </c>
      <c r="S28" s="55">
        <v>118</v>
      </c>
      <c r="T28" s="57">
        <f t="shared" si="4"/>
        <v>30</v>
      </c>
      <c r="U28" s="55">
        <v>429</v>
      </c>
      <c r="V28" s="58">
        <f t="shared" si="2"/>
        <v>3217.5</v>
      </c>
      <c r="W28" s="235">
        <v>1</v>
      </c>
      <c r="X28" s="55" t="s">
        <v>46</v>
      </c>
      <c r="Y28" s="55" t="s">
        <v>84</v>
      </c>
      <c r="Z28" s="55" t="s">
        <v>90</v>
      </c>
      <c r="AA28" s="55" t="s">
        <v>40</v>
      </c>
      <c r="AB28" s="55" t="s">
        <v>333</v>
      </c>
      <c r="AE28" s="251"/>
      <c r="AF28" s="251"/>
      <c r="AG28" s="251"/>
      <c r="AH28" s="251"/>
      <c r="AI28" s="251"/>
      <c r="AJ28" s="251"/>
      <c r="AK28" s="251"/>
      <c r="AL28" s="251"/>
      <c r="AM28" s="251"/>
      <c r="AN28" s="251"/>
      <c r="AO28" s="251"/>
      <c r="AP28" s="251"/>
      <c r="AQ28" s="251"/>
      <c r="AR28" s="251"/>
      <c r="AS28" s="251"/>
      <c r="AT28" s="251"/>
      <c r="AU28" s="251"/>
      <c r="AV28" s="251"/>
      <c r="AW28" s="251"/>
    </row>
    <row r="29" spans="1:49" x14ac:dyDescent="0.15">
      <c r="A29" s="55" t="s">
        <v>41</v>
      </c>
      <c r="B29" s="235" t="s">
        <v>331</v>
      </c>
      <c r="C29" s="152">
        <v>2018</v>
      </c>
      <c r="D29" s="56" t="s">
        <v>342</v>
      </c>
      <c r="E29" s="55" t="s">
        <v>287</v>
      </c>
      <c r="F29" s="235" t="s">
        <v>293</v>
      </c>
      <c r="G29" s="55" t="s">
        <v>42</v>
      </c>
      <c r="H29" s="55" t="s">
        <v>155</v>
      </c>
      <c r="I29" s="55" t="s">
        <v>153</v>
      </c>
      <c r="J29" s="55" t="s">
        <v>38</v>
      </c>
      <c r="K29" s="55" t="s">
        <v>154</v>
      </c>
      <c r="L29" s="235">
        <v>1</v>
      </c>
      <c r="N29" s="235">
        <v>5</v>
      </c>
      <c r="O29" s="55">
        <v>1.2</v>
      </c>
      <c r="P29" s="55">
        <v>1.3</v>
      </c>
      <c r="Q29" s="82">
        <f t="shared" ref="Q29:Q55" si="5">IF(OR(O29="",P29=""),"",AVERAGE(O29,P29))</f>
        <v>1.25</v>
      </c>
      <c r="R29" s="55">
        <v>12.6</v>
      </c>
      <c r="S29" s="55">
        <v>120</v>
      </c>
      <c r="T29" s="57">
        <f t="shared" ref="T29:T55" si="6">IF(H29="","",IF(OR(H29="GREEN",H29="GK"),IF(S29&gt;=$AX$2,VLOOKUP(S29,$AX$2:$AY$10,2,1),""),IF(S29&gt;=$AZ$2,VLOOKUP(S29,$AZ$2:$BA$10,2,1),"")))</f>
        <v>30</v>
      </c>
      <c r="U29" s="235">
        <v>527</v>
      </c>
      <c r="V29" s="58">
        <f t="shared" ref="V29:V55" si="7">IF(OR(N29="",U29="",T29=""),"",U29/N29*T29)</f>
        <v>3162</v>
      </c>
      <c r="W29" s="235">
        <v>3</v>
      </c>
      <c r="X29" s="55" t="s">
        <v>46</v>
      </c>
      <c r="Y29" s="55" t="s">
        <v>84</v>
      </c>
      <c r="Z29" s="55" t="s">
        <v>40</v>
      </c>
      <c r="AA29" s="55" t="s">
        <v>90</v>
      </c>
      <c r="AB29" s="235" t="s">
        <v>333</v>
      </c>
    </row>
    <row r="30" spans="1:49" x14ac:dyDescent="0.15">
      <c r="A30" s="55" t="s">
        <v>41</v>
      </c>
      <c r="B30" s="235" t="s">
        <v>331</v>
      </c>
      <c r="C30" s="152">
        <v>2018</v>
      </c>
      <c r="D30" s="56" t="s">
        <v>342</v>
      </c>
      <c r="E30" s="55" t="s">
        <v>287</v>
      </c>
      <c r="F30" s="235" t="s">
        <v>293</v>
      </c>
      <c r="G30" s="55" t="s">
        <v>42</v>
      </c>
      <c r="H30" s="55" t="s">
        <v>155</v>
      </c>
      <c r="I30" s="55" t="s">
        <v>153</v>
      </c>
      <c r="J30" s="55" t="s">
        <v>38</v>
      </c>
      <c r="K30" s="55" t="s">
        <v>154</v>
      </c>
      <c r="L30" s="235">
        <v>2</v>
      </c>
      <c r="N30" s="235">
        <v>5</v>
      </c>
      <c r="O30" s="55">
        <v>1.05</v>
      </c>
      <c r="P30" s="55">
        <v>0.95</v>
      </c>
      <c r="Q30" s="82">
        <f t="shared" si="5"/>
        <v>1</v>
      </c>
      <c r="R30" s="55">
        <v>13</v>
      </c>
      <c r="S30" s="55">
        <v>118</v>
      </c>
      <c r="T30" s="57">
        <f t="shared" si="6"/>
        <v>30</v>
      </c>
      <c r="U30" s="235">
        <v>527</v>
      </c>
      <c r="V30" s="58">
        <f t="shared" si="7"/>
        <v>3162</v>
      </c>
      <c r="W30" s="235">
        <v>3</v>
      </c>
      <c r="X30" s="55" t="s">
        <v>46</v>
      </c>
      <c r="Y30" s="55" t="s">
        <v>84</v>
      </c>
      <c r="Z30" s="55" t="s">
        <v>40</v>
      </c>
      <c r="AA30" s="55" t="s">
        <v>90</v>
      </c>
      <c r="AB30" s="235" t="s">
        <v>333</v>
      </c>
    </row>
    <row r="31" spans="1:49" x14ac:dyDescent="0.15">
      <c r="A31" s="55" t="s">
        <v>41</v>
      </c>
      <c r="B31" s="235" t="s">
        <v>331</v>
      </c>
      <c r="C31" s="152">
        <v>2018</v>
      </c>
      <c r="D31" s="56" t="s">
        <v>342</v>
      </c>
      <c r="E31" s="55" t="s">
        <v>287</v>
      </c>
      <c r="F31" s="235" t="s">
        <v>293</v>
      </c>
      <c r="G31" s="55" t="s">
        <v>42</v>
      </c>
      <c r="H31" s="55" t="s">
        <v>155</v>
      </c>
      <c r="I31" s="55" t="s">
        <v>153</v>
      </c>
      <c r="J31" s="55" t="s">
        <v>38</v>
      </c>
      <c r="K31" s="55" t="s">
        <v>154</v>
      </c>
      <c r="L31" s="235">
        <v>3</v>
      </c>
      <c r="N31" s="235">
        <v>5</v>
      </c>
      <c r="O31" s="55">
        <v>0.95</v>
      </c>
      <c r="P31" s="55">
        <v>0.9</v>
      </c>
      <c r="Q31" s="82">
        <f t="shared" si="5"/>
        <v>0.92500000000000004</v>
      </c>
      <c r="R31" s="55">
        <v>13.3</v>
      </c>
      <c r="S31" s="55">
        <v>116</v>
      </c>
      <c r="T31" s="57">
        <f t="shared" si="6"/>
        <v>30</v>
      </c>
      <c r="U31" s="235">
        <v>527</v>
      </c>
      <c r="V31" s="58">
        <f t="shared" si="7"/>
        <v>3162</v>
      </c>
      <c r="W31" s="235">
        <v>3</v>
      </c>
      <c r="X31" s="55" t="s">
        <v>46</v>
      </c>
      <c r="Y31" s="55" t="s">
        <v>84</v>
      </c>
      <c r="Z31" s="55" t="s">
        <v>40</v>
      </c>
      <c r="AA31" s="55" t="s">
        <v>90</v>
      </c>
      <c r="AB31" s="235" t="s">
        <v>333</v>
      </c>
    </row>
    <row r="32" spans="1:49" x14ac:dyDescent="0.15">
      <c r="A32" s="55" t="s">
        <v>41</v>
      </c>
      <c r="B32" s="235" t="s">
        <v>331</v>
      </c>
      <c r="C32" s="152">
        <v>2018</v>
      </c>
      <c r="D32" s="56" t="s">
        <v>342</v>
      </c>
      <c r="E32" s="55" t="s">
        <v>287</v>
      </c>
      <c r="F32" s="235" t="s">
        <v>293</v>
      </c>
      <c r="G32" s="55" t="s">
        <v>42</v>
      </c>
      <c r="H32" s="55" t="s">
        <v>155</v>
      </c>
      <c r="I32" s="55" t="s">
        <v>153</v>
      </c>
      <c r="J32" s="55" t="s">
        <v>38</v>
      </c>
      <c r="K32" s="55" t="s">
        <v>154</v>
      </c>
      <c r="L32" s="235">
        <v>1</v>
      </c>
      <c r="N32" s="235">
        <v>1</v>
      </c>
      <c r="O32" s="55">
        <v>1.2</v>
      </c>
      <c r="P32" s="55">
        <v>1</v>
      </c>
      <c r="Q32" s="82">
        <f t="shared" si="5"/>
        <v>1.1000000000000001</v>
      </c>
      <c r="R32" s="55">
        <v>12.9</v>
      </c>
      <c r="S32" s="55">
        <v>121</v>
      </c>
      <c r="T32" s="57">
        <f t="shared" si="6"/>
        <v>27</v>
      </c>
      <c r="U32" s="235">
        <v>105</v>
      </c>
      <c r="V32" s="58">
        <f t="shared" si="7"/>
        <v>2835</v>
      </c>
      <c r="W32" s="235">
        <v>1</v>
      </c>
      <c r="X32" s="55" t="s">
        <v>46</v>
      </c>
      <c r="Y32" s="55" t="s">
        <v>84</v>
      </c>
      <c r="Z32" s="55" t="s">
        <v>40</v>
      </c>
      <c r="AA32" s="55" t="s">
        <v>90</v>
      </c>
      <c r="AB32" s="235" t="s">
        <v>333</v>
      </c>
    </row>
    <row r="33" spans="1:30" x14ac:dyDescent="0.15">
      <c r="A33" s="55" t="s">
        <v>41</v>
      </c>
      <c r="B33" s="235" t="s">
        <v>331</v>
      </c>
      <c r="C33" s="152">
        <v>2018</v>
      </c>
      <c r="D33" s="56" t="s">
        <v>342</v>
      </c>
      <c r="E33" s="55" t="s">
        <v>287</v>
      </c>
      <c r="F33" s="235" t="s">
        <v>293</v>
      </c>
      <c r="G33" s="55" t="s">
        <v>42</v>
      </c>
      <c r="H33" s="55" t="s">
        <v>155</v>
      </c>
      <c r="I33" s="55" t="s">
        <v>153</v>
      </c>
      <c r="J33" s="55" t="s">
        <v>38</v>
      </c>
      <c r="K33" s="55" t="s">
        <v>154</v>
      </c>
      <c r="L33" s="235">
        <v>2</v>
      </c>
      <c r="N33" s="235">
        <v>1</v>
      </c>
      <c r="O33" s="55">
        <v>1.3</v>
      </c>
      <c r="P33" s="55">
        <v>1.25</v>
      </c>
      <c r="Q33" s="82">
        <f t="shared" si="5"/>
        <v>1.2749999999999999</v>
      </c>
      <c r="R33" s="55">
        <v>14.5</v>
      </c>
      <c r="S33" s="55">
        <v>124</v>
      </c>
      <c r="T33" s="57">
        <f t="shared" si="6"/>
        <v>27</v>
      </c>
      <c r="U33" s="235">
        <v>105</v>
      </c>
      <c r="V33" s="58">
        <f t="shared" si="7"/>
        <v>2835</v>
      </c>
      <c r="W33" s="235">
        <v>1</v>
      </c>
      <c r="X33" s="55" t="s">
        <v>46</v>
      </c>
      <c r="Y33" s="55" t="s">
        <v>84</v>
      </c>
      <c r="Z33" s="55" t="s">
        <v>40</v>
      </c>
      <c r="AA33" s="55" t="s">
        <v>90</v>
      </c>
      <c r="AB33" s="235" t="s">
        <v>333</v>
      </c>
    </row>
    <row r="34" spans="1:30" x14ac:dyDescent="0.15">
      <c r="A34" s="55" t="s">
        <v>41</v>
      </c>
      <c r="B34" s="235" t="s">
        <v>331</v>
      </c>
      <c r="C34" s="152">
        <v>2018</v>
      </c>
      <c r="D34" s="56" t="s">
        <v>342</v>
      </c>
      <c r="E34" s="55" t="s">
        <v>287</v>
      </c>
      <c r="F34" s="235" t="s">
        <v>293</v>
      </c>
      <c r="G34" s="55" t="s">
        <v>42</v>
      </c>
      <c r="H34" s="55" t="s">
        <v>155</v>
      </c>
      <c r="I34" s="55" t="s">
        <v>153</v>
      </c>
      <c r="J34" s="55" t="s">
        <v>38</v>
      </c>
      <c r="K34" s="55" t="s">
        <v>154</v>
      </c>
      <c r="L34" s="235">
        <v>3</v>
      </c>
      <c r="N34" s="235">
        <v>1</v>
      </c>
      <c r="O34" s="55">
        <v>1.5</v>
      </c>
      <c r="P34" s="55">
        <v>1.3</v>
      </c>
      <c r="Q34" s="82">
        <f t="shared" si="5"/>
        <v>1.4</v>
      </c>
      <c r="R34" s="55">
        <v>12.8</v>
      </c>
      <c r="S34" s="55">
        <v>125</v>
      </c>
      <c r="T34" s="57">
        <f t="shared" si="6"/>
        <v>27</v>
      </c>
      <c r="U34" s="235">
        <v>105</v>
      </c>
      <c r="V34" s="58">
        <f t="shared" si="7"/>
        <v>2835</v>
      </c>
      <c r="W34" s="235">
        <v>1</v>
      </c>
      <c r="X34" s="55" t="s">
        <v>46</v>
      </c>
      <c r="Y34" s="55" t="s">
        <v>84</v>
      </c>
      <c r="Z34" s="55" t="s">
        <v>40</v>
      </c>
      <c r="AA34" s="55" t="s">
        <v>90</v>
      </c>
      <c r="AB34" s="235" t="s">
        <v>333</v>
      </c>
    </row>
    <row r="35" spans="1:30" x14ac:dyDescent="0.15">
      <c r="A35" s="55" t="s">
        <v>41</v>
      </c>
      <c r="B35" s="235" t="s">
        <v>331</v>
      </c>
      <c r="C35" s="152">
        <v>2018</v>
      </c>
      <c r="D35" s="56" t="s">
        <v>342</v>
      </c>
      <c r="E35" s="55" t="s">
        <v>287</v>
      </c>
      <c r="F35" s="235" t="s">
        <v>293</v>
      </c>
      <c r="G35" s="55" t="s">
        <v>42</v>
      </c>
      <c r="H35" s="55" t="s">
        <v>205</v>
      </c>
      <c r="I35" s="55" t="s">
        <v>153</v>
      </c>
      <c r="J35" s="55" t="s">
        <v>38</v>
      </c>
      <c r="K35" s="55" t="s">
        <v>54</v>
      </c>
      <c r="L35" s="235">
        <v>1</v>
      </c>
      <c r="N35" s="235">
        <v>1</v>
      </c>
      <c r="O35" s="55">
        <v>0.25</v>
      </c>
      <c r="P35" s="55">
        <v>0.25</v>
      </c>
      <c r="Q35" s="82">
        <f t="shared" si="5"/>
        <v>0.25</v>
      </c>
      <c r="R35" s="55">
        <v>13.7</v>
      </c>
      <c r="S35" s="55">
        <v>118</v>
      </c>
      <c r="T35" s="57">
        <f t="shared" si="6"/>
        <v>33</v>
      </c>
      <c r="U35" s="235">
        <v>192</v>
      </c>
      <c r="V35" s="58">
        <f t="shared" si="7"/>
        <v>6336</v>
      </c>
      <c r="W35" s="235">
        <v>1</v>
      </c>
      <c r="X35" s="55" t="s">
        <v>46</v>
      </c>
      <c r="Y35" s="55" t="s">
        <v>84</v>
      </c>
      <c r="Z35" s="55" t="s">
        <v>40</v>
      </c>
      <c r="AA35" s="55" t="s">
        <v>90</v>
      </c>
      <c r="AB35" s="235" t="s">
        <v>333</v>
      </c>
    </row>
    <row r="36" spans="1:30" x14ac:dyDescent="0.15">
      <c r="A36" s="55" t="s">
        <v>41</v>
      </c>
      <c r="B36" s="235" t="s">
        <v>331</v>
      </c>
      <c r="C36" s="152">
        <v>2018</v>
      </c>
      <c r="D36" s="56" t="s">
        <v>342</v>
      </c>
      <c r="E36" s="55" t="s">
        <v>287</v>
      </c>
      <c r="F36" s="235" t="s">
        <v>293</v>
      </c>
      <c r="G36" s="55" t="s">
        <v>42</v>
      </c>
      <c r="H36" s="55" t="s">
        <v>205</v>
      </c>
      <c r="I36" s="55" t="s">
        <v>153</v>
      </c>
      <c r="J36" s="55" t="s">
        <v>38</v>
      </c>
      <c r="K36" s="55" t="s">
        <v>54</v>
      </c>
      <c r="L36" s="235">
        <v>2</v>
      </c>
      <c r="N36" s="235">
        <v>1</v>
      </c>
      <c r="O36" s="55">
        <v>0.25</v>
      </c>
      <c r="P36" s="55">
        <v>0.25</v>
      </c>
      <c r="Q36" s="82">
        <f t="shared" si="5"/>
        <v>0.25</v>
      </c>
      <c r="R36" s="55">
        <v>15.1</v>
      </c>
      <c r="S36" s="55">
        <v>117</v>
      </c>
      <c r="T36" s="57">
        <f t="shared" si="6"/>
        <v>33</v>
      </c>
      <c r="U36" s="235">
        <v>192</v>
      </c>
      <c r="V36" s="58">
        <f t="shared" si="7"/>
        <v>6336</v>
      </c>
      <c r="W36" s="235">
        <v>1</v>
      </c>
      <c r="X36" s="55" t="s">
        <v>46</v>
      </c>
      <c r="Y36" s="55" t="s">
        <v>84</v>
      </c>
      <c r="Z36" s="55" t="s">
        <v>40</v>
      </c>
      <c r="AA36" s="55" t="s">
        <v>90</v>
      </c>
      <c r="AB36" s="235" t="s">
        <v>333</v>
      </c>
    </row>
    <row r="37" spans="1:30" x14ac:dyDescent="0.15">
      <c r="A37" s="55" t="s">
        <v>41</v>
      </c>
      <c r="B37" s="235" t="s">
        <v>331</v>
      </c>
      <c r="C37" s="152">
        <v>2018</v>
      </c>
      <c r="D37" s="56" t="s">
        <v>342</v>
      </c>
      <c r="E37" s="55" t="s">
        <v>287</v>
      </c>
      <c r="F37" s="235" t="s">
        <v>293</v>
      </c>
      <c r="G37" s="55" t="s">
        <v>42</v>
      </c>
      <c r="H37" s="55" t="s">
        <v>205</v>
      </c>
      <c r="I37" s="55" t="s">
        <v>153</v>
      </c>
      <c r="J37" s="55" t="s">
        <v>38</v>
      </c>
      <c r="K37" s="55" t="s">
        <v>54</v>
      </c>
      <c r="L37" s="235">
        <v>3</v>
      </c>
      <c r="N37" s="235">
        <v>1</v>
      </c>
      <c r="O37" s="55">
        <v>0.25</v>
      </c>
      <c r="P37" s="55">
        <v>0.25</v>
      </c>
      <c r="Q37" s="82">
        <f t="shared" si="5"/>
        <v>0.25</v>
      </c>
      <c r="R37" s="55">
        <v>12.4</v>
      </c>
      <c r="S37" s="55">
        <v>115</v>
      </c>
      <c r="T37" s="57">
        <f t="shared" si="6"/>
        <v>33</v>
      </c>
      <c r="U37" s="235">
        <v>192</v>
      </c>
      <c r="V37" s="58">
        <f t="shared" si="7"/>
        <v>6336</v>
      </c>
      <c r="W37" s="235">
        <v>1</v>
      </c>
      <c r="X37" s="55" t="s">
        <v>46</v>
      </c>
      <c r="Y37" s="55" t="s">
        <v>84</v>
      </c>
      <c r="Z37" s="55" t="s">
        <v>40</v>
      </c>
      <c r="AA37" s="55" t="s">
        <v>90</v>
      </c>
      <c r="AB37" s="235" t="s">
        <v>333</v>
      </c>
    </row>
    <row r="38" spans="1:30" x14ac:dyDescent="0.15">
      <c r="A38" s="55" t="s">
        <v>41</v>
      </c>
      <c r="B38" s="235" t="s">
        <v>331</v>
      </c>
      <c r="C38" s="152">
        <v>2018</v>
      </c>
      <c r="D38" s="56" t="s">
        <v>342</v>
      </c>
      <c r="E38" s="235" t="s">
        <v>288</v>
      </c>
      <c r="F38" s="235" t="s">
        <v>294</v>
      </c>
      <c r="G38" s="55" t="s">
        <v>42</v>
      </c>
      <c r="H38" s="55" t="s">
        <v>205</v>
      </c>
      <c r="I38" s="55" t="s">
        <v>153</v>
      </c>
      <c r="J38" s="55" t="s">
        <v>38</v>
      </c>
      <c r="K38" s="55" t="s">
        <v>54</v>
      </c>
      <c r="L38" s="235">
        <v>1</v>
      </c>
      <c r="N38" s="235">
        <v>1</v>
      </c>
      <c r="O38" s="55">
        <v>0.3</v>
      </c>
      <c r="P38" s="55">
        <v>0.25</v>
      </c>
      <c r="Q38" s="82">
        <f t="shared" si="5"/>
        <v>0.27500000000000002</v>
      </c>
      <c r="R38" s="55">
        <v>12.6</v>
      </c>
      <c r="S38" s="55">
        <v>118</v>
      </c>
      <c r="T38" s="57">
        <f t="shared" si="6"/>
        <v>33</v>
      </c>
      <c r="U38" s="235">
        <v>84</v>
      </c>
      <c r="V38" s="58">
        <f t="shared" si="7"/>
        <v>2772</v>
      </c>
      <c r="W38" s="235">
        <v>2</v>
      </c>
      <c r="X38" s="55" t="s">
        <v>46</v>
      </c>
      <c r="Y38" s="55" t="s">
        <v>84</v>
      </c>
      <c r="Z38" s="55" t="s">
        <v>90</v>
      </c>
      <c r="AA38" s="55" t="s">
        <v>40</v>
      </c>
      <c r="AB38" s="235" t="s">
        <v>333</v>
      </c>
    </row>
    <row r="39" spans="1:30" x14ac:dyDescent="0.15">
      <c r="A39" s="55" t="s">
        <v>41</v>
      </c>
      <c r="B39" s="235" t="s">
        <v>331</v>
      </c>
      <c r="C39" s="152">
        <v>2018</v>
      </c>
      <c r="D39" s="56" t="s">
        <v>342</v>
      </c>
      <c r="E39" s="235" t="s">
        <v>288</v>
      </c>
      <c r="F39" s="235" t="s">
        <v>294</v>
      </c>
      <c r="G39" s="55" t="s">
        <v>42</v>
      </c>
      <c r="H39" s="55" t="s">
        <v>205</v>
      </c>
      <c r="I39" s="55" t="s">
        <v>153</v>
      </c>
      <c r="J39" s="55" t="s">
        <v>38</v>
      </c>
      <c r="K39" s="55" t="s">
        <v>54</v>
      </c>
      <c r="L39" s="235">
        <v>2</v>
      </c>
      <c r="N39" s="235">
        <v>1</v>
      </c>
      <c r="O39" s="55">
        <v>0.25</v>
      </c>
      <c r="P39" s="55">
        <v>0.25</v>
      </c>
      <c r="Q39" s="57">
        <f t="shared" si="5"/>
        <v>0.25</v>
      </c>
      <c r="R39" s="235">
        <v>13.5</v>
      </c>
      <c r="S39" s="235">
        <v>120</v>
      </c>
      <c r="T39" s="57">
        <f t="shared" si="6"/>
        <v>30</v>
      </c>
      <c r="U39" s="235">
        <v>84</v>
      </c>
      <c r="V39" s="58">
        <f t="shared" si="7"/>
        <v>2520</v>
      </c>
      <c r="W39" s="235">
        <v>2</v>
      </c>
      <c r="X39" s="55" t="s">
        <v>46</v>
      </c>
      <c r="Y39" s="55" t="s">
        <v>84</v>
      </c>
      <c r="Z39" s="55" t="s">
        <v>90</v>
      </c>
      <c r="AA39" s="55" t="s">
        <v>40</v>
      </c>
      <c r="AB39" s="235" t="s">
        <v>333</v>
      </c>
    </row>
    <row r="40" spans="1:30" x14ac:dyDescent="0.15">
      <c r="A40" s="55" t="s">
        <v>41</v>
      </c>
      <c r="B40" s="235" t="s">
        <v>331</v>
      </c>
      <c r="C40" s="152">
        <v>2018</v>
      </c>
      <c r="D40" s="56" t="s">
        <v>342</v>
      </c>
      <c r="E40" s="235" t="s">
        <v>288</v>
      </c>
      <c r="F40" s="235" t="s">
        <v>294</v>
      </c>
      <c r="G40" s="55" t="s">
        <v>42</v>
      </c>
      <c r="H40" s="55" t="s">
        <v>205</v>
      </c>
      <c r="I40" s="55" t="s">
        <v>153</v>
      </c>
      <c r="J40" s="55" t="s">
        <v>38</v>
      </c>
      <c r="K40" s="55" t="s">
        <v>54</v>
      </c>
      <c r="L40" s="235">
        <v>3</v>
      </c>
      <c r="N40" s="235">
        <v>1</v>
      </c>
      <c r="O40" s="55">
        <v>0.25</v>
      </c>
      <c r="P40" s="55">
        <v>0.3</v>
      </c>
      <c r="Q40" s="57">
        <f t="shared" si="5"/>
        <v>0.27500000000000002</v>
      </c>
      <c r="R40" s="235">
        <v>15.5</v>
      </c>
      <c r="S40" s="235">
        <v>118</v>
      </c>
      <c r="T40" s="57">
        <f t="shared" si="6"/>
        <v>33</v>
      </c>
      <c r="U40" s="235">
        <v>84</v>
      </c>
      <c r="V40" s="58">
        <f t="shared" si="7"/>
        <v>2772</v>
      </c>
      <c r="W40" s="235">
        <v>2</v>
      </c>
      <c r="X40" s="55" t="s">
        <v>46</v>
      </c>
      <c r="Y40" s="55" t="s">
        <v>84</v>
      </c>
      <c r="Z40" s="55" t="s">
        <v>90</v>
      </c>
      <c r="AA40" s="55" t="s">
        <v>40</v>
      </c>
      <c r="AB40" s="235" t="s">
        <v>333</v>
      </c>
    </row>
    <row r="41" spans="1:30" x14ac:dyDescent="0.15">
      <c r="A41" s="55" t="s">
        <v>41</v>
      </c>
      <c r="B41" s="235" t="s">
        <v>331</v>
      </c>
      <c r="C41" s="152">
        <v>2018</v>
      </c>
      <c r="D41" s="56" t="s">
        <v>342</v>
      </c>
      <c r="E41" s="235" t="s">
        <v>288</v>
      </c>
      <c r="F41" s="235" t="s">
        <v>294</v>
      </c>
      <c r="G41" s="55" t="s">
        <v>42</v>
      </c>
      <c r="H41" s="55" t="s">
        <v>155</v>
      </c>
      <c r="I41" s="55" t="s">
        <v>153</v>
      </c>
      <c r="J41" s="55" t="s">
        <v>38</v>
      </c>
      <c r="K41" s="55" t="s">
        <v>154</v>
      </c>
      <c r="L41" s="235">
        <v>1</v>
      </c>
      <c r="N41" s="235">
        <v>1</v>
      </c>
      <c r="O41" s="55">
        <v>0.85</v>
      </c>
      <c r="P41" s="55">
        <v>0.95</v>
      </c>
      <c r="Q41" s="57">
        <f t="shared" si="5"/>
        <v>0.89999999999999991</v>
      </c>
      <c r="R41" s="235">
        <v>14.8</v>
      </c>
      <c r="S41" s="235">
        <v>122</v>
      </c>
      <c r="T41" s="57">
        <f t="shared" si="6"/>
        <v>27</v>
      </c>
      <c r="U41" s="235">
        <v>105</v>
      </c>
      <c r="V41" s="58">
        <f t="shared" si="7"/>
        <v>2835</v>
      </c>
      <c r="W41" s="235">
        <v>2</v>
      </c>
      <c r="X41" s="55" t="s">
        <v>46</v>
      </c>
      <c r="Y41" s="55" t="s">
        <v>84</v>
      </c>
      <c r="Z41" s="55" t="s">
        <v>90</v>
      </c>
      <c r="AA41" s="55" t="s">
        <v>40</v>
      </c>
      <c r="AB41" s="235" t="s">
        <v>333</v>
      </c>
    </row>
    <row r="42" spans="1:30" x14ac:dyDescent="0.15">
      <c r="A42" s="55" t="s">
        <v>41</v>
      </c>
      <c r="B42" s="235" t="s">
        <v>331</v>
      </c>
      <c r="C42" s="152">
        <v>2018</v>
      </c>
      <c r="D42" s="56" t="s">
        <v>342</v>
      </c>
      <c r="E42" s="235" t="s">
        <v>288</v>
      </c>
      <c r="F42" s="235" t="s">
        <v>294</v>
      </c>
      <c r="G42" s="55" t="s">
        <v>42</v>
      </c>
      <c r="H42" s="55" t="s">
        <v>155</v>
      </c>
      <c r="I42" s="55" t="s">
        <v>153</v>
      </c>
      <c r="J42" s="55" t="s">
        <v>38</v>
      </c>
      <c r="K42" s="55" t="s">
        <v>154</v>
      </c>
      <c r="L42" s="235">
        <v>2</v>
      </c>
      <c r="N42" s="235">
        <v>1</v>
      </c>
      <c r="O42" s="55">
        <v>0.9</v>
      </c>
      <c r="P42" s="55">
        <v>0.85</v>
      </c>
      <c r="Q42" s="57">
        <f t="shared" si="5"/>
        <v>0.875</v>
      </c>
      <c r="R42" s="235">
        <v>12.9</v>
      </c>
      <c r="S42" s="55">
        <v>124</v>
      </c>
      <c r="T42" s="57">
        <f t="shared" si="6"/>
        <v>27</v>
      </c>
      <c r="U42" s="235">
        <v>105</v>
      </c>
      <c r="V42" s="58">
        <f t="shared" si="7"/>
        <v>2835</v>
      </c>
      <c r="W42" s="235">
        <v>2</v>
      </c>
      <c r="X42" s="55" t="s">
        <v>46</v>
      </c>
      <c r="Y42" s="55" t="s">
        <v>84</v>
      </c>
      <c r="Z42" s="55" t="s">
        <v>90</v>
      </c>
      <c r="AA42" s="55" t="s">
        <v>40</v>
      </c>
      <c r="AB42" s="235" t="s">
        <v>333</v>
      </c>
    </row>
    <row r="43" spans="1:30" x14ac:dyDescent="0.15">
      <c r="A43" s="55" t="s">
        <v>41</v>
      </c>
      <c r="B43" s="235" t="s">
        <v>331</v>
      </c>
      <c r="C43" s="152">
        <v>2018</v>
      </c>
      <c r="D43" s="56" t="s">
        <v>342</v>
      </c>
      <c r="E43" s="235" t="s">
        <v>288</v>
      </c>
      <c r="F43" s="235" t="s">
        <v>294</v>
      </c>
      <c r="G43" s="55" t="s">
        <v>42</v>
      </c>
      <c r="H43" s="55" t="s">
        <v>155</v>
      </c>
      <c r="I43" s="55" t="s">
        <v>153</v>
      </c>
      <c r="J43" s="55" t="s">
        <v>38</v>
      </c>
      <c r="K43" s="55" t="s">
        <v>154</v>
      </c>
      <c r="L43" s="235">
        <v>3</v>
      </c>
      <c r="N43" s="235">
        <v>1</v>
      </c>
      <c r="O43" s="55">
        <v>1</v>
      </c>
      <c r="P43" s="55">
        <v>0.8</v>
      </c>
      <c r="Q43" s="57">
        <f t="shared" si="5"/>
        <v>0.9</v>
      </c>
      <c r="R43" s="235">
        <v>13.7</v>
      </c>
      <c r="S43" s="55">
        <v>125</v>
      </c>
      <c r="T43" s="57">
        <f t="shared" si="6"/>
        <v>27</v>
      </c>
      <c r="U43" s="235">
        <v>105</v>
      </c>
      <c r="V43" s="58">
        <f t="shared" si="7"/>
        <v>2835</v>
      </c>
      <c r="W43" s="235">
        <v>2</v>
      </c>
      <c r="X43" s="55" t="s">
        <v>46</v>
      </c>
      <c r="Y43" s="55" t="s">
        <v>84</v>
      </c>
      <c r="Z43" s="55" t="s">
        <v>90</v>
      </c>
      <c r="AA43" s="55" t="s">
        <v>40</v>
      </c>
      <c r="AB43" s="235" t="s">
        <v>333</v>
      </c>
      <c r="AC43" s="55"/>
      <c r="AD43" s="55"/>
    </row>
    <row r="44" spans="1:30" x14ac:dyDescent="0.15">
      <c r="A44" s="55" t="s">
        <v>41</v>
      </c>
      <c r="B44" s="235" t="s">
        <v>331</v>
      </c>
      <c r="C44" s="152">
        <v>2018</v>
      </c>
      <c r="D44" s="56" t="s">
        <v>342</v>
      </c>
      <c r="E44" s="235" t="s">
        <v>163</v>
      </c>
      <c r="F44" s="235" t="s">
        <v>295</v>
      </c>
      <c r="G44" s="55" t="s">
        <v>42</v>
      </c>
      <c r="H44" s="55" t="s">
        <v>205</v>
      </c>
      <c r="I44" s="55" t="s">
        <v>153</v>
      </c>
      <c r="J44" s="55" t="s">
        <v>38</v>
      </c>
      <c r="K44" s="55" t="s">
        <v>54</v>
      </c>
      <c r="L44" s="235">
        <v>1</v>
      </c>
      <c r="N44" s="235">
        <v>1</v>
      </c>
      <c r="O44" s="55">
        <v>0.25</v>
      </c>
      <c r="P44" s="55">
        <v>0.25</v>
      </c>
      <c r="Q44" s="57">
        <f t="shared" si="5"/>
        <v>0.25</v>
      </c>
      <c r="R44" s="235">
        <v>12.6</v>
      </c>
      <c r="S44" s="55">
        <v>120</v>
      </c>
      <c r="T44" s="57">
        <f t="shared" si="6"/>
        <v>30</v>
      </c>
      <c r="U44" s="235">
        <v>137</v>
      </c>
      <c r="V44" s="58">
        <f t="shared" si="7"/>
        <v>4110</v>
      </c>
      <c r="W44" s="235">
        <v>1</v>
      </c>
      <c r="X44" s="55" t="s">
        <v>46</v>
      </c>
      <c r="Y44" s="55" t="s">
        <v>40</v>
      </c>
      <c r="Z44" s="55" t="s">
        <v>69</v>
      </c>
      <c r="AA44" s="55" t="s">
        <v>84</v>
      </c>
      <c r="AB44" s="235" t="s">
        <v>333</v>
      </c>
    </row>
    <row r="45" spans="1:30" x14ac:dyDescent="0.15">
      <c r="A45" s="55" t="s">
        <v>41</v>
      </c>
      <c r="B45" s="235" t="s">
        <v>331</v>
      </c>
      <c r="C45" s="152">
        <v>2018</v>
      </c>
      <c r="D45" s="56" t="s">
        <v>342</v>
      </c>
      <c r="E45" s="235" t="s">
        <v>163</v>
      </c>
      <c r="F45" s="235" t="s">
        <v>295</v>
      </c>
      <c r="G45" s="55" t="s">
        <v>42</v>
      </c>
      <c r="H45" s="55" t="s">
        <v>205</v>
      </c>
      <c r="I45" s="55" t="s">
        <v>153</v>
      </c>
      <c r="J45" s="55" t="s">
        <v>38</v>
      </c>
      <c r="K45" s="55" t="s">
        <v>54</v>
      </c>
      <c r="L45" s="235">
        <v>2</v>
      </c>
      <c r="N45" s="235">
        <v>1</v>
      </c>
      <c r="O45" s="235">
        <v>0.25</v>
      </c>
      <c r="P45" s="235">
        <v>0.25</v>
      </c>
      <c r="Q45" s="57">
        <f t="shared" si="5"/>
        <v>0.25</v>
      </c>
      <c r="R45" s="235">
        <v>15.8</v>
      </c>
      <c r="S45" s="235">
        <v>121</v>
      </c>
      <c r="T45" s="57">
        <f t="shared" si="6"/>
        <v>30</v>
      </c>
      <c r="U45" s="235">
        <v>137</v>
      </c>
      <c r="V45" s="58">
        <f t="shared" si="7"/>
        <v>4110</v>
      </c>
      <c r="W45" s="235">
        <v>1</v>
      </c>
      <c r="X45" s="55" t="s">
        <v>46</v>
      </c>
      <c r="Y45" s="55" t="s">
        <v>40</v>
      </c>
      <c r="Z45" s="55" t="s">
        <v>69</v>
      </c>
      <c r="AA45" s="55" t="s">
        <v>84</v>
      </c>
      <c r="AB45" s="235" t="s">
        <v>333</v>
      </c>
    </row>
    <row r="46" spans="1:30" x14ac:dyDescent="0.15">
      <c r="A46" s="55" t="s">
        <v>41</v>
      </c>
      <c r="B46" s="235" t="s">
        <v>331</v>
      </c>
      <c r="C46" s="152">
        <v>2018</v>
      </c>
      <c r="D46" s="56" t="s">
        <v>342</v>
      </c>
      <c r="E46" s="235" t="s">
        <v>163</v>
      </c>
      <c r="F46" s="235" t="s">
        <v>295</v>
      </c>
      <c r="G46" s="55" t="s">
        <v>42</v>
      </c>
      <c r="H46" s="55" t="s">
        <v>205</v>
      </c>
      <c r="I46" s="55" t="s">
        <v>153</v>
      </c>
      <c r="J46" s="55" t="s">
        <v>38</v>
      </c>
      <c r="K46" s="55" t="s">
        <v>54</v>
      </c>
      <c r="L46" s="235">
        <v>3</v>
      </c>
      <c r="N46" s="235">
        <v>1</v>
      </c>
      <c r="O46" s="235">
        <v>0.25</v>
      </c>
      <c r="P46" s="235">
        <v>0.25</v>
      </c>
      <c r="Q46" s="57">
        <f t="shared" si="5"/>
        <v>0.25</v>
      </c>
      <c r="R46" s="235">
        <v>14.8</v>
      </c>
      <c r="S46" s="235">
        <v>123</v>
      </c>
      <c r="T46" s="57">
        <f t="shared" si="6"/>
        <v>30</v>
      </c>
      <c r="U46" s="235">
        <v>137</v>
      </c>
      <c r="V46" s="58">
        <f t="shared" si="7"/>
        <v>4110</v>
      </c>
      <c r="W46" s="235">
        <v>1</v>
      </c>
      <c r="X46" s="55" t="s">
        <v>46</v>
      </c>
      <c r="Y46" s="55" t="s">
        <v>40</v>
      </c>
      <c r="Z46" s="55" t="s">
        <v>69</v>
      </c>
      <c r="AA46" s="55" t="s">
        <v>84</v>
      </c>
      <c r="AB46" s="235" t="s">
        <v>333</v>
      </c>
    </row>
    <row r="47" spans="1:30" x14ac:dyDescent="0.15">
      <c r="A47" s="55" t="s">
        <v>41</v>
      </c>
      <c r="B47" s="235" t="s">
        <v>331</v>
      </c>
      <c r="C47" s="152">
        <v>2018</v>
      </c>
      <c r="D47" s="56" t="s">
        <v>342</v>
      </c>
      <c r="E47" s="235" t="s">
        <v>163</v>
      </c>
      <c r="F47" s="235" t="s">
        <v>295</v>
      </c>
      <c r="G47" s="55" t="s">
        <v>42</v>
      </c>
      <c r="H47" s="55" t="s">
        <v>205</v>
      </c>
      <c r="I47" s="55" t="s">
        <v>153</v>
      </c>
      <c r="J47" s="55" t="s">
        <v>38</v>
      </c>
      <c r="K47" s="55" t="s">
        <v>54</v>
      </c>
      <c r="L47" s="235">
        <v>1</v>
      </c>
      <c r="N47" s="235">
        <v>4</v>
      </c>
      <c r="O47" s="235">
        <v>0.35</v>
      </c>
      <c r="P47" s="235">
        <v>0.3</v>
      </c>
      <c r="Q47" s="57">
        <f t="shared" si="5"/>
        <v>0.32499999999999996</v>
      </c>
      <c r="R47" s="235">
        <v>12.9</v>
      </c>
      <c r="S47" s="235">
        <v>118</v>
      </c>
      <c r="T47" s="57">
        <f t="shared" si="6"/>
        <v>33</v>
      </c>
      <c r="U47" s="235">
        <v>536</v>
      </c>
      <c r="V47" s="58">
        <f t="shared" si="7"/>
        <v>4422</v>
      </c>
      <c r="W47" s="235">
        <v>1</v>
      </c>
      <c r="X47" s="55" t="s">
        <v>46</v>
      </c>
      <c r="Y47" s="55" t="s">
        <v>40</v>
      </c>
      <c r="Z47" s="55" t="s">
        <v>69</v>
      </c>
      <c r="AA47" s="55" t="s">
        <v>84</v>
      </c>
      <c r="AB47" s="235" t="s">
        <v>333</v>
      </c>
    </row>
    <row r="48" spans="1:30" x14ac:dyDescent="0.15">
      <c r="A48" s="55" t="s">
        <v>41</v>
      </c>
      <c r="B48" s="235" t="s">
        <v>331</v>
      </c>
      <c r="C48" s="152">
        <v>2018</v>
      </c>
      <c r="D48" s="56" t="s">
        <v>342</v>
      </c>
      <c r="E48" s="235" t="s">
        <v>163</v>
      </c>
      <c r="F48" s="235" t="s">
        <v>295</v>
      </c>
      <c r="G48" s="55" t="s">
        <v>42</v>
      </c>
      <c r="H48" s="55" t="s">
        <v>205</v>
      </c>
      <c r="I48" s="55" t="s">
        <v>153</v>
      </c>
      <c r="J48" s="55" t="s">
        <v>38</v>
      </c>
      <c r="K48" s="55" t="s">
        <v>54</v>
      </c>
      <c r="L48" s="235">
        <v>2</v>
      </c>
      <c r="N48" s="235">
        <v>4</v>
      </c>
      <c r="O48" s="235">
        <v>0.35</v>
      </c>
      <c r="P48" s="235">
        <v>0.25</v>
      </c>
      <c r="Q48" s="57">
        <f t="shared" si="5"/>
        <v>0.3</v>
      </c>
      <c r="R48" s="235">
        <v>16.100000000000001</v>
      </c>
      <c r="S48" s="235">
        <v>120</v>
      </c>
      <c r="T48" s="57">
        <f t="shared" si="6"/>
        <v>30</v>
      </c>
      <c r="U48" s="235">
        <v>536</v>
      </c>
      <c r="V48" s="58">
        <f t="shared" si="7"/>
        <v>4020</v>
      </c>
      <c r="W48" s="235">
        <v>1</v>
      </c>
      <c r="X48" s="55" t="s">
        <v>46</v>
      </c>
      <c r="Y48" s="55" t="s">
        <v>40</v>
      </c>
      <c r="Z48" s="55" t="s">
        <v>69</v>
      </c>
      <c r="AA48" s="55" t="s">
        <v>84</v>
      </c>
      <c r="AB48" s="235" t="s">
        <v>333</v>
      </c>
    </row>
    <row r="49" spans="1:28" x14ac:dyDescent="0.15">
      <c r="A49" s="55" t="s">
        <v>41</v>
      </c>
      <c r="B49" s="235" t="s">
        <v>331</v>
      </c>
      <c r="C49" s="152">
        <v>2018</v>
      </c>
      <c r="D49" s="56" t="s">
        <v>342</v>
      </c>
      <c r="E49" s="235" t="s">
        <v>163</v>
      </c>
      <c r="F49" s="235" t="s">
        <v>295</v>
      </c>
      <c r="G49" s="55" t="s">
        <v>42</v>
      </c>
      <c r="H49" s="55" t="s">
        <v>205</v>
      </c>
      <c r="I49" s="55" t="s">
        <v>153</v>
      </c>
      <c r="J49" s="55" t="s">
        <v>38</v>
      </c>
      <c r="K49" s="55" t="s">
        <v>54</v>
      </c>
      <c r="L49" s="235">
        <v>3</v>
      </c>
      <c r="N49" s="235">
        <v>4</v>
      </c>
      <c r="O49" s="235">
        <v>0.25</v>
      </c>
      <c r="P49" s="235">
        <v>0.25</v>
      </c>
      <c r="Q49" s="57">
        <f t="shared" si="5"/>
        <v>0.25</v>
      </c>
      <c r="R49" s="235">
        <v>12.8</v>
      </c>
      <c r="S49" s="235">
        <v>121</v>
      </c>
      <c r="T49" s="57">
        <f t="shared" si="6"/>
        <v>30</v>
      </c>
      <c r="U49" s="235">
        <v>536</v>
      </c>
      <c r="V49" s="58">
        <f t="shared" si="7"/>
        <v>4020</v>
      </c>
      <c r="W49" s="235">
        <v>1</v>
      </c>
      <c r="X49" s="55" t="s">
        <v>46</v>
      </c>
      <c r="Y49" s="55" t="s">
        <v>40</v>
      </c>
      <c r="Z49" s="55" t="s">
        <v>69</v>
      </c>
      <c r="AA49" s="55" t="s">
        <v>84</v>
      </c>
      <c r="AB49" s="235" t="s">
        <v>333</v>
      </c>
    </row>
    <row r="50" spans="1:28" x14ac:dyDescent="0.15">
      <c r="A50" s="55" t="s">
        <v>41</v>
      </c>
      <c r="B50" s="235" t="s">
        <v>331</v>
      </c>
      <c r="C50" s="152">
        <v>2018</v>
      </c>
      <c r="D50" s="56" t="s">
        <v>342</v>
      </c>
      <c r="E50" s="235" t="s">
        <v>163</v>
      </c>
      <c r="F50" s="235" t="s">
        <v>295</v>
      </c>
      <c r="G50" s="55" t="s">
        <v>42</v>
      </c>
      <c r="H50" s="55" t="s">
        <v>155</v>
      </c>
      <c r="I50" s="55" t="s">
        <v>153</v>
      </c>
      <c r="J50" s="55" t="s">
        <v>38</v>
      </c>
      <c r="K50" s="55" t="s">
        <v>154</v>
      </c>
      <c r="L50" s="235">
        <v>1</v>
      </c>
      <c r="N50" s="235">
        <v>1</v>
      </c>
      <c r="O50" s="55">
        <v>0.25</v>
      </c>
      <c r="P50" s="55">
        <v>0.3</v>
      </c>
      <c r="Q50" s="57">
        <f t="shared" si="5"/>
        <v>0.27500000000000002</v>
      </c>
      <c r="R50" s="235">
        <v>13.4</v>
      </c>
      <c r="S50" s="55">
        <v>127</v>
      </c>
      <c r="T50" s="57">
        <f t="shared" si="6"/>
        <v>27</v>
      </c>
      <c r="U50" s="235">
        <v>93</v>
      </c>
      <c r="V50" s="58">
        <f t="shared" si="7"/>
        <v>2511</v>
      </c>
      <c r="W50" s="235">
        <v>2</v>
      </c>
      <c r="X50" s="55" t="s">
        <v>46</v>
      </c>
      <c r="Y50" s="55" t="s">
        <v>40</v>
      </c>
      <c r="Z50" s="55" t="s">
        <v>69</v>
      </c>
      <c r="AA50" s="55" t="s">
        <v>84</v>
      </c>
      <c r="AB50" s="235" t="s">
        <v>333</v>
      </c>
    </row>
    <row r="51" spans="1:28" x14ac:dyDescent="0.15">
      <c r="A51" s="55" t="s">
        <v>41</v>
      </c>
      <c r="B51" s="235" t="s">
        <v>331</v>
      </c>
      <c r="C51" s="152">
        <v>2018</v>
      </c>
      <c r="D51" s="56" t="s">
        <v>342</v>
      </c>
      <c r="E51" s="235" t="s">
        <v>163</v>
      </c>
      <c r="F51" s="235" t="s">
        <v>295</v>
      </c>
      <c r="G51" s="55" t="s">
        <v>42</v>
      </c>
      <c r="H51" s="55" t="s">
        <v>155</v>
      </c>
      <c r="I51" s="55" t="s">
        <v>153</v>
      </c>
      <c r="J51" s="55" t="s">
        <v>38</v>
      </c>
      <c r="K51" s="55" t="s">
        <v>154</v>
      </c>
      <c r="L51" s="235">
        <v>2</v>
      </c>
      <c r="N51" s="235">
        <v>1</v>
      </c>
      <c r="O51" s="235">
        <v>1.05</v>
      </c>
      <c r="P51" s="235">
        <v>0.95</v>
      </c>
      <c r="Q51" s="57">
        <f t="shared" si="5"/>
        <v>1</v>
      </c>
      <c r="R51" s="235">
        <v>15.1</v>
      </c>
      <c r="S51" s="235">
        <v>125</v>
      </c>
      <c r="T51" s="57">
        <f t="shared" si="6"/>
        <v>27</v>
      </c>
      <c r="U51" s="235">
        <v>93</v>
      </c>
      <c r="V51" s="58">
        <f t="shared" si="7"/>
        <v>2511</v>
      </c>
      <c r="W51" s="235">
        <v>2</v>
      </c>
      <c r="X51" s="55" t="s">
        <v>46</v>
      </c>
      <c r="Y51" s="55" t="s">
        <v>40</v>
      </c>
      <c r="Z51" s="55" t="s">
        <v>69</v>
      </c>
      <c r="AA51" s="55" t="s">
        <v>84</v>
      </c>
      <c r="AB51" s="235" t="s">
        <v>333</v>
      </c>
    </row>
    <row r="52" spans="1:28" x14ac:dyDescent="0.15">
      <c r="A52" s="55" t="s">
        <v>41</v>
      </c>
      <c r="B52" s="235" t="s">
        <v>331</v>
      </c>
      <c r="C52" s="152">
        <v>2018</v>
      </c>
      <c r="D52" s="56" t="s">
        <v>342</v>
      </c>
      <c r="E52" s="235" t="s">
        <v>163</v>
      </c>
      <c r="F52" s="235" t="s">
        <v>295</v>
      </c>
      <c r="G52" s="55" t="s">
        <v>42</v>
      </c>
      <c r="H52" s="55" t="s">
        <v>155</v>
      </c>
      <c r="I52" s="55" t="s">
        <v>153</v>
      </c>
      <c r="J52" s="55" t="s">
        <v>38</v>
      </c>
      <c r="K52" s="55" t="s">
        <v>154</v>
      </c>
      <c r="L52" s="235">
        <v>3</v>
      </c>
      <c r="N52" s="235">
        <v>1</v>
      </c>
      <c r="O52" s="235">
        <v>1</v>
      </c>
      <c r="P52" s="235">
        <v>0.85</v>
      </c>
      <c r="Q52" s="57">
        <f t="shared" si="5"/>
        <v>0.92500000000000004</v>
      </c>
      <c r="R52" s="235">
        <v>14.4</v>
      </c>
      <c r="S52" s="235">
        <v>126</v>
      </c>
      <c r="T52" s="57">
        <f t="shared" si="6"/>
        <v>27</v>
      </c>
      <c r="U52" s="235">
        <v>93</v>
      </c>
      <c r="V52" s="58">
        <f t="shared" si="7"/>
        <v>2511</v>
      </c>
      <c r="W52" s="235">
        <v>2</v>
      </c>
      <c r="X52" s="55" t="s">
        <v>46</v>
      </c>
      <c r="Y52" s="55" t="s">
        <v>40</v>
      </c>
      <c r="Z52" s="55" t="s">
        <v>69</v>
      </c>
      <c r="AA52" s="55" t="s">
        <v>84</v>
      </c>
      <c r="AB52" s="235" t="s">
        <v>333</v>
      </c>
    </row>
    <row r="53" spans="1:28" x14ac:dyDescent="0.15">
      <c r="A53" s="55" t="s">
        <v>41</v>
      </c>
      <c r="B53" s="235" t="s">
        <v>331</v>
      </c>
      <c r="C53" s="152">
        <v>2018</v>
      </c>
      <c r="D53" s="56" t="s">
        <v>342</v>
      </c>
      <c r="E53" s="235" t="s">
        <v>163</v>
      </c>
      <c r="F53" s="235" t="s">
        <v>295</v>
      </c>
      <c r="G53" s="55" t="s">
        <v>42</v>
      </c>
      <c r="H53" s="55" t="s">
        <v>155</v>
      </c>
      <c r="I53" s="55" t="s">
        <v>153</v>
      </c>
      <c r="J53" s="55" t="s">
        <v>38</v>
      </c>
      <c r="K53" s="55" t="s">
        <v>154</v>
      </c>
      <c r="L53" s="235">
        <v>1</v>
      </c>
      <c r="N53" s="235">
        <v>4</v>
      </c>
      <c r="O53" s="235">
        <v>0.95</v>
      </c>
      <c r="P53" s="235">
        <v>1</v>
      </c>
      <c r="Q53" s="57">
        <f t="shared" si="5"/>
        <v>0.97499999999999998</v>
      </c>
      <c r="R53" s="235">
        <v>14.8</v>
      </c>
      <c r="S53" s="235">
        <v>122</v>
      </c>
      <c r="T53" s="57">
        <f t="shared" si="6"/>
        <v>27</v>
      </c>
      <c r="U53" s="235">
        <v>428</v>
      </c>
      <c r="V53" s="58">
        <f t="shared" si="7"/>
        <v>2889</v>
      </c>
      <c r="W53" s="235">
        <v>1</v>
      </c>
      <c r="X53" s="55" t="s">
        <v>46</v>
      </c>
      <c r="Y53" s="55" t="s">
        <v>40</v>
      </c>
      <c r="Z53" s="55" t="s">
        <v>69</v>
      </c>
      <c r="AA53" s="55" t="s">
        <v>84</v>
      </c>
      <c r="AB53" s="235" t="s">
        <v>333</v>
      </c>
    </row>
    <row r="54" spans="1:28" x14ac:dyDescent="0.15">
      <c r="A54" s="55" t="s">
        <v>41</v>
      </c>
      <c r="B54" s="235" t="s">
        <v>331</v>
      </c>
      <c r="C54" s="152">
        <v>2018</v>
      </c>
      <c r="D54" s="56" t="s">
        <v>342</v>
      </c>
      <c r="E54" s="235" t="s">
        <v>163</v>
      </c>
      <c r="F54" s="235" t="s">
        <v>295</v>
      </c>
      <c r="G54" s="55" t="s">
        <v>42</v>
      </c>
      <c r="H54" s="55" t="s">
        <v>155</v>
      </c>
      <c r="I54" s="55" t="s">
        <v>153</v>
      </c>
      <c r="J54" s="55" t="s">
        <v>38</v>
      </c>
      <c r="K54" s="55" t="s">
        <v>154</v>
      </c>
      <c r="L54" s="235">
        <v>2</v>
      </c>
      <c r="N54" s="235">
        <v>4</v>
      </c>
      <c r="O54" s="235">
        <v>0.65</v>
      </c>
      <c r="P54" s="235">
        <v>0.85</v>
      </c>
      <c r="Q54" s="57">
        <f t="shared" si="5"/>
        <v>0.75</v>
      </c>
      <c r="R54" s="235">
        <v>12.9</v>
      </c>
      <c r="S54" s="235">
        <v>122</v>
      </c>
      <c r="T54" s="57">
        <f t="shared" si="6"/>
        <v>27</v>
      </c>
      <c r="U54" s="235">
        <v>428</v>
      </c>
      <c r="V54" s="58">
        <f t="shared" si="7"/>
        <v>2889</v>
      </c>
      <c r="W54" s="235">
        <v>1</v>
      </c>
      <c r="X54" s="55" t="s">
        <v>46</v>
      </c>
      <c r="Y54" s="55" t="s">
        <v>40</v>
      </c>
      <c r="Z54" s="55" t="s">
        <v>69</v>
      </c>
      <c r="AA54" s="55" t="s">
        <v>84</v>
      </c>
      <c r="AB54" s="235" t="s">
        <v>333</v>
      </c>
    </row>
    <row r="55" spans="1:28" x14ac:dyDescent="0.15">
      <c r="A55" s="55" t="s">
        <v>41</v>
      </c>
      <c r="B55" s="235" t="s">
        <v>331</v>
      </c>
      <c r="C55" s="152">
        <v>2018</v>
      </c>
      <c r="D55" s="56" t="s">
        <v>342</v>
      </c>
      <c r="E55" s="235" t="s">
        <v>163</v>
      </c>
      <c r="F55" s="235" t="s">
        <v>295</v>
      </c>
      <c r="G55" s="55" t="s">
        <v>42</v>
      </c>
      <c r="H55" s="55" t="s">
        <v>155</v>
      </c>
      <c r="I55" s="55" t="s">
        <v>153</v>
      </c>
      <c r="J55" s="55" t="s">
        <v>38</v>
      </c>
      <c r="K55" s="55" t="s">
        <v>154</v>
      </c>
      <c r="L55" s="235">
        <v>3</v>
      </c>
      <c r="N55" s="235">
        <v>4</v>
      </c>
      <c r="O55" s="235">
        <v>0.8</v>
      </c>
      <c r="P55" s="235">
        <v>0.95</v>
      </c>
      <c r="Q55" s="57">
        <f t="shared" si="5"/>
        <v>0.875</v>
      </c>
      <c r="R55" s="235">
        <v>13.4</v>
      </c>
      <c r="S55" s="235">
        <v>124</v>
      </c>
      <c r="T55" s="57">
        <f t="shared" si="6"/>
        <v>27</v>
      </c>
      <c r="U55" s="235">
        <v>428</v>
      </c>
      <c r="V55" s="58">
        <f t="shared" si="7"/>
        <v>2889</v>
      </c>
      <c r="W55" s="235">
        <v>1</v>
      </c>
      <c r="X55" s="55" t="s">
        <v>46</v>
      </c>
      <c r="Y55" s="55" t="s">
        <v>40</v>
      </c>
      <c r="Z55" s="55" t="s">
        <v>69</v>
      </c>
      <c r="AA55" s="55" t="s">
        <v>84</v>
      </c>
      <c r="AB55" s="235" t="s">
        <v>333</v>
      </c>
    </row>
    <row r="71" spans="1:27" x14ac:dyDescent="0.15">
      <c r="A71" s="55"/>
      <c r="C71" s="152"/>
      <c r="D71" s="56"/>
      <c r="G71" s="55"/>
      <c r="H71" s="55"/>
      <c r="I71" s="55"/>
      <c r="J71" s="55"/>
      <c r="K71" s="55"/>
      <c r="X71" s="55"/>
      <c r="Y71" s="55"/>
      <c r="Z71" s="55"/>
      <c r="AA71" s="55"/>
    </row>
    <row r="72" spans="1:27" x14ac:dyDescent="0.15">
      <c r="A72" s="55"/>
      <c r="C72" s="152"/>
      <c r="D72" s="56"/>
      <c r="G72" s="55"/>
      <c r="H72" s="55"/>
      <c r="I72" s="55"/>
      <c r="J72" s="55"/>
      <c r="K72" s="55"/>
      <c r="X72" s="55"/>
      <c r="Y72" s="55"/>
      <c r="Z72" s="55"/>
      <c r="AA72" s="55"/>
    </row>
    <row r="73" spans="1:27" x14ac:dyDescent="0.15">
      <c r="A73" s="55"/>
      <c r="C73" s="152"/>
      <c r="D73" s="56"/>
      <c r="G73" s="55"/>
      <c r="H73" s="55"/>
      <c r="I73" s="55"/>
      <c r="J73" s="55"/>
      <c r="K73" s="55"/>
      <c r="X73" s="55"/>
      <c r="Y73" s="55"/>
      <c r="Z73" s="55"/>
      <c r="AA73" s="55"/>
    </row>
    <row r="74" spans="1:27" x14ac:dyDescent="0.15">
      <c r="A74" s="55"/>
      <c r="C74" s="152"/>
      <c r="D74" s="56"/>
      <c r="G74" s="55"/>
      <c r="H74" s="55"/>
      <c r="I74" s="55"/>
      <c r="J74" s="55"/>
      <c r="K74" s="55"/>
      <c r="X74" s="55"/>
      <c r="Y74" s="55"/>
      <c r="Z74" s="55"/>
      <c r="AA74" s="55"/>
    </row>
    <row r="75" spans="1:27" x14ac:dyDescent="0.15">
      <c r="A75" s="55"/>
      <c r="C75" s="152"/>
      <c r="D75" s="56"/>
      <c r="G75" s="55"/>
      <c r="H75" s="55"/>
      <c r="I75" s="55"/>
      <c r="J75" s="55"/>
      <c r="K75" s="55"/>
      <c r="X75" s="55"/>
      <c r="Y75" s="55"/>
      <c r="Z75" s="55"/>
      <c r="AA75" s="55"/>
    </row>
  </sheetData>
  <autoFilter ref="A1:BA81"/>
  <dataConsolidate/>
  <phoneticPr fontId="3"/>
  <dataValidations count="13">
    <dataValidation type="list" allowBlank="1" showInputMessage="1" showErrorMessage="1" sqref="K82:K264">
      <formula1>$AR$2:$AR$19</formula1>
    </dataValidation>
    <dataValidation operator="equal" allowBlank="1" showInputMessage="1" showErrorMessage="1" sqref="B71:B75 B2:B55"/>
    <dataValidation type="list" allowBlank="1" showInputMessage="1" showErrorMessage="1" sqref="K71:K75 K2:K55">
      <formula1>$AR$2:$AR$23</formula1>
    </dataValidation>
    <dataValidation type="decimal" allowBlank="1" showInputMessage="1" showErrorMessage="1" error="硬度を正しく入力して下さい。" sqref="O82:P264 O71:P75 O2:P55">
      <formula1>0</formula1>
      <formula2>7</formula2>
    </dataValidation>
    <dataValidation type="list" allowBlank="1" showInputMessage="1" showErrorMessage="1" sqref="Y82:AA1048576 Y71:AA75 Y1:AA55">
      <formula1>$AV$2:$AV$21</formula1>
    </dataValidation>
    <dataValidation type="list" allowBlank="1" showInputMessage="1" showErrorMessage="1" sqref="F82:F1048576 F71:F75 F1:F55">
      <formula1>$AH$2:$AH$11</formula1>
    </dataValidation>
    <dataValidation type="list" allowBlank="1" showInputMessage="1" showErrorMessage="1" sqref="E82:E1048576 E71:E75 E1:E55">
      <formula1>$AG$2:$AG$11</formula1>
    </dataValidation>
    <dataValidation type="list" allowBlank="1" showInputMessage="1" showErrorMessage="1" sqref="J82:J264 J71:J75 J2:J55">
      <formula1>$AP$2:$AP$19</formula1>
    </dataValidation>
    <dataValidation type="list" allowBlank="1" showInputMessage="1" showErrorMessage="1" sqref="A82:A264 A71:A75 A2:A55">
      <formula1>$AE$2:$AE$16</formula1>
    </dataValidation>
    <dataValidation type="list" allowBlank="1" showInputMessage="1" showErrorMessage="1" sqref="X82:X264 X71:X75 X2:X55">
      <formula1>$AT$2:$AT$3</formula1>
    </dataValidation>
    <dataValidation type="list" allowBlank="1" showInputMessage="1" showErrorMessage="1" sqref="I82:I264 I71:I75 I2:I55">
      <formula1>$AN$5:$AN$6</formula1>
    </dataValidation>
    <dataValidation type="list" allowBlank="1" showInputMessage="1" showErrorMessage="1" sqref="G82:G264 G71:G75 G2:G55">
      <formula1>$AJ$2:$AJ$4</formula1>
    </dataValidation>
    <dataValidation type="list" allowBlank="1" showInputMessage="1" showErrorMessage="1" sqref="H82:H264 H71:H75 H2:H55">
      <formula1>$AL$2:$AL$8</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N47" sqref="N46:N47"/>
    </sheetView>
  </sheetViews>
  <sheetFormatPr defaultRowHeight="13.5" x14ac:dyDescent="0.15"/>
  <cols>
    <col min="1" max="1" width="9" style="206"/>
    <col min="2" max="2" width="9" style="214"/>
    <col min="3" max="3" width="9" style="206"/>
    <col min="4" max="4" width="10.5" style="206" bestFit="1" customWidth="1"/>
    <col min="5" max="13" width="9" style="206"/>
    <col min="14" max="14" width="9.5" style="206" bestFit="1" customWidth="1"/>
    <col min="15" max="16" width="9" style="206"/>
    <col min="17" max="17" width="9" style="215"/>
    <col min="18" max="19" width="9" style="206"/>
    <col min="20" max="20" width="9" style="215"/>
    <col min="21" max="21" width="9" style="206"/>
    <col min="22" max="22" width="9" style="215"/>
    <col min="23" max="27" width="9" style="206"/>
    <col min="28" max="28" width="9" style="214"/>
    <col min="29" max="32" width="9" style="206"/>
    <col min="33" max="33" width="15.875" style="206" bestFit="1" customWidth="1"/>
    <col min="34" max="34" width="11.375" style="206" bestFit="1" customWidth="1"/>
    <col min="35" max="259" width="9" style="206"/>
    <col min="260" max="260" width="10.5" style="206" bestFit="1" customWidth="1"/>
    <col min="261" max="269" width="9" style="206"/>
    <col min="270" max="270" width="9.5" style="206" bestFit="1" customWidth="1"/>
    <col min="271" max="288" width="9" style="206"/>
    <col min="289" max="289" width="15.875" style="206" bestFit="1" customWidth="1"/>
    <col min="290" max="290" width="11.375" style="206" bestFit="1" customWidth="1"/>
    <col min="291" max="515" width="9" style="206"/>
    <col min="516" max="516" width="10.5" style="206" bestFit="1" customWidth="1"/>
    <col min="517" max="525" width="9" style="206"/>
    <col min="526" max="526" width="9.5" style="206" bestFit="1" customWidth="1"/>
    <col min="527" max="544" width="9" style="206"/>
    <col min="545" max="545" width="15.875" style="206" bestFit="1" customWidth="1"/>
    <col min="546" max="546" width="11.375" style="206" bestFit="1" customWidth="1"/>
    <col min="547" max="771" width="9" style="206"/>
    <col min="772" max="772" width="10.5" style="206" bestFit="1" customWidth="1"/>
    <col min="773" max="781" width="9" style="206"/>
    <col min="782" max="782" width="9.5" style="206" bestFit="1" customWidth="1"/>
    <col min="783" max="800" width="9" style="206"/>
    <col min="801" max="801" width="15.875" style="206" bestFit="1" customWidth="1"/>
    <col min="802" max="802" width="11.375" style="206" bestFit="1" customWidth="1"/>
    <col min="803" max="1027" width="9" style="206"/>
    <col min="1028" max="1028" width="10.5" style="206" bestFit="1" customWidth="1"/>
    <col min="1029" max="1037" width="9" style="206"/>
    <col min="1038" max="1038" width="9.5" style="206" bestFit="1" customWidth="1"/>
    <col min="1039" max="1056" width="9" style="206"/>
    <col min="1057" max="1057" width="15.875" style="206" bestFit="1" customWidth="1"/>
    <col min="1058" max="1058" width="11.375" style="206" bestFit="1" customWidth="1"/>
    <col min="1059" max="1283" width="9" style="206"/>
    <col min="1284" max="1284" width="10.5" style="206" bestFit="1" customWidth="1"/>
    <col min="1285" max="1293" width="9" style="206"/>
    <col min="1294" max="1294" width="9.5" style="206" bestFit="1" customWidth="1"/>
    <col min="1295" max="1312" width="9" style="206"/>
    <col min="1313" max="1313" width="15.875" style="206" bestFit="1" customWidth="1"/>
    <col min="1314" max="1314" width="11.375" style="206" bestFit="1" customWidth="1"/>
    <col min="1315" max="1539" width="9" style="206"/>
    <col min="1540" max="1540" width="10.5" style="206" bestFit="1" customWidth="1"/>
    <col min="1541" max="1549" width="9" style="206"/>
    <col min="1550" max="1550" width="9.5" style="206" bestFit="1" customWidth="1"/>
    <col min="1551" max="1568" width="9" style="206"/>
    <col min="1569" max="1569" width="15.875" style="206" bestFit="1" customWidth="1"/>
    <col min="1570" max="1570" width="11.375" style="206" bestFit="1" customWidth="1"/>
    <col min="1571" max="1795" width="9" style="206"/>
    <col min="1796" max="1796" width="10.5" style="206" bestFit="1" customWidth="1"/>
    <col min="1797" max="1805" width="9" style="206"/>
    <col min="1806" max="1806" width="9.5" style="206" bestFit="1" customWidth="1"/>
    <col min="1807" max="1824" width="9" style="206"/>
    <col min="1825" max="1825" width="15.875" style="206" bestFit="1" customWidth="1"/>
    <col min="1826" max="1826" width="11.375" style="206" bestFit="1" customWidth="1"/>
    <col min="1827" max="2051" width="9" style="206"/>
    <col min="2052" max="2052" width="10.5" style="206" bestFit="1" customWidth="1"/>
    <col min="2053" max="2061" width="9" style="206"/>
    <col min="2062" max="2062" width="9.5" style="206" bestFit="1" customWidth="1"/>
    <col min="2063" max="2080" width="9" style="206"/>
    <col min="2081" max="2081" width="15.875" style="206" bestFit="1" customWidth="1"/>
    <col min="2082" max="2082" width="11.375" style="206" bestFit="1" customWidth="1"/>
    <col min="2083" max="2307" width="9" style="206"/>
    <col min="2308" max="2308" width="10.5" style="206" bestFit="1" customWidth="1"/>
    <col min="2309" max="2317" width="9" style="206"/>
    <col min="2318" max="2318" width="9.5" style="206" bestFit="1" customWidth="1"/>
    <col min="2319" max="2336" width="9" style="206"/>
    <col min="2337" max="2337" width="15.875" style="206" bestFit="1" customWidth="1"/>
    <col min="2338" max="2338" width="11.375" style="206" bestFit="1" customWidth="1"/>
    <col min="2339" max="2563" width="9" style="206"/>
    <col min="2564" max="2564" width="10.5" style="206" bestFit="1" customWidth="1"/>
    <col min="2565" max="2573" width="9" style="206"/>
    <col min="2574" max="2574" width="9.5" style="206" bestFit="1" customWidth="1"/>
    <col min="2575" max="2592" width="9" style="206"/>
    <col min="2593" max="2593" width="15.875" style="206" bestFit="1" customWidth="1"/>
    <col min="2594" max="2594" width="11.375" style="206" bestFit="1" customWidth="1"/>
    <col min="2595" max="2819" width="9" style="206"/>
    <col min="2820" max="2820" width="10.5" style="206" bestFit="1" customWidth="1"/>
    <col min="2821" max="2829" width="9" style="206"/>
    <col min="2830" max="2830" width="9.5" style="206" bestFit="1" customWidth="1"/>
    <col min="2831" max="2848" width="9" style="206"/>
    <col min="2849" max="2849" width="15.875" style="206" bestFit="1" customWidth="1"/>
    <col min="2850" max="2850" width="11.375" style="206" bestFit="1" customWidth="1"/>
    <col min="2851" max="3075" width="9" style="206"/>
    <col min="3076" max="3076" width="10.5" style="206" bestFit="1" customWidth="1"/>
    <col min="3077" max="3085" width="9" style="206"/>
    <col min="3086" max="3086" width="9.5" style="206" bestFit="1" customWidth="1"/>
    <col min="3087" max="3104" width="9" style="206"/>
    <col min="3105" max="3105" width="15.875" style="206" bestFit="1" customWidth="1"/>
    <col min="3106" max="3106" width="11.375" style="206" bestFit="1" customWidth="1"/>
    <col min="3107" max="3331" width="9" style="206"/>
    <col min="3332" max="3332" width="10.5" style="206" bestFit="1" customWidth="1"/>
    <col min="3333" max="3341" width="9" style="206"/>
    <col min="3342" max="3342" width="9.5" style="206" bestFit="1" customWidth="1"/>
    <col min="3343" max="3360" width="9" style="206"/>
    <col min="3361" max="3361" width="15.875" style="206" bestFit="1" customWidth="1"/>
    <col min="3362" max="3362" width="11.375" style="206" bestFit="1" customWidth="1"/>
    <col min="3363" max="3587" width="9" style="206"/>
    <col min="3588" max="3588" width="10.5" style="206" bestFit="1" customWidth="1"/>
    <col min="3589" max="3597" width="9" style="206"/>
    <col min="3598" max="3598" width="9.5" style="206" bestFit="1" customWidth="1"/>
    <col min="3599" max="3616" width="9" style="206"/>
    <col min="3617" max="3617" width="15.875" style="206" bestFit="1" customWidth="1"/>
    <col min="3618" max="3618" width="11.375" style="206" bestFit="1" customWidth="1"/>
    <col min="3619" max="3843" width="9" style="206"/>
    <col min="3844" max="3844" width="10.5" style="206" bestFit="1" customWidth="1"/>
    <col min="3845" max="3853" width="9" style="206"/>
    <col min="3854" max="3854" width="9.5" style="206" bestFit="1" customWidth="1"/>
    <col min="3855" max="3872" width="9" style="206"/>
    <col min="3873" max="3873" width="15.875" style="206" bestFit="1" customWidth="1"/>
    <col min="3874" max="3874" width="11.375" style="206" bestFit="1" customWidth="1"/>
    <col min="3875" max="4099" width="9" style="206"/>
    <col min="4100" max="4100" width="10.5" style="206" bestFit="1" customWidth="1"/>
    <col min="4101" max="4109" width="9" style="206"/>
    <col min="4110" max="4110" width="9.5" style="206" bestFit="1" customWidth="1"/>
    <col min="4111" max="4128" width="9" style="206"/>
    <col min="4129" max="4129" width="15.875" style="206" bestFit="1" customWidth="1"/>
    <col min="4130" max="4130" width="11.375" style="206" bestFit="1" customWidth="1"/>
    <col min="4131" max="4355" width="9" style="206"/>
    <col min="4356" max="4356" width="10.5" style="206" bestFit="1" customWidth="1"/>
    <col min="4357" max="4365" width="9" style="206"/>
    <col min="4366" max="4366" width="9.5" style="206" bestFit="1" customWidth="1"/>
    <col min="4367" max="4384" width="9" style="206"/>
    <col min="4385" max="4385" width="15.875" style="206" bestFit="1" customWidth="1"/>
    <col min="4386" max="4386" width="11.375" style="206" bestFit="1" customWidth="1"/>
    <col min="4387" max="4611" width="9" style="206"/>
    <col min="4612" max="4612" width="10.5" style="206" bestFit="1" customWidth="1"/>
    <col min="4613" max="4621" width="9" style="206"/>
    <col min="4622" max="4622" width="9.5" style="206" bestFit="1" customWidth="1"/>
    <col min="4623" max="4640" width="9" style="206"/>
    <col min="4641" max="4641" width="15.875" style="206" bestFit="1" customWidth="1"/>
    <col min="4642" max="4642" width="11.375" style="206" bestFit="1" customWidth="1"/>
    <col min="4643" max="4867" width="9" style="206"/>
    <col min="4868" max="4868" width="10.5" style="206" bestFit="1" customWidth="1"/>
    <col min="4869" max="4877" width="9" style="206"/>
    <col min="4878" max="4878" width="9.5" style="206" bestFit="1" customWidth="1"/>
    <col min="4879" max="4896" width="9" style="206"/>
    <col min="4897" max="4897" width="15.875" style="206" bestFit="1" customWidth="1"/>
    <col min="4898" max="4898" width="11.375" style="206" bestFit="1" customWidth="1"/>
    <col min="4899" max="5123" width="9" style="206"/>
    <col min="5124" max="5124" width="10.5" style="206" bestFit="1" customWidth="1"/>
    <col min="5125" max="5133" width="9" style="206"/>
    <col min="5134" max="5134" width="9.5" style="206" bestFit="1" customWidth="1"/>
    <col min="5135" max="5152" width="9" style="206"/>
    <col min="5153" max="5153" width="15.875" style="206" bestFit="1" customWidth="1"/>
    <col min="5154" max="5154" width="11.375" style="206" bestFit="1" customWidth="1"/>
    <col min="5155" max="5379" width="9" style="206"/>
    <col min="5380" max="5380" width="10.5" style="206" bestFit="1" customWidth="1"/>
    <col min="5381" max="5389" width="9" style="206"/>
    <col min="5390" max="5390" width="9.5" style="206" bestFit="1" customWidth="1"/>
    <col min="5391" max="5408" width="9" style="206"/>
    <col min="5409" max="5409" width="15.875" style="206" bestFit="1" customWidth="1"/>
    <col min="5410" max="5410" width="11.375" style="206" bestFit="1" customWidth="1"/>
    <col min="5411" max="5635" width="9" style="206"/>
    <col min="5636" max="5636" width="10.5" style="206" bestFit="1" customWidth="1"/>
    <col min="5637" max="5645" width="9" style="206"/>
    <col min="5646" max="5646" width="9.5" style="206" bestFit="1" customWidth="1"/>
    <col min="5647" max="5664" width="9" style="206"/>
    <col min="5665" max="5665" width="15.875" style="206" bestFit="1" customWidth="1"/>
    <col min="5666" max="5666" width="11.375" style="206" bestFit="1" customWidth="1"/>
    <col min="5667" max="5891" width="9" style="206"/>
    <col min="5892" max="5892" width="10.5" style="206" bestFit="1" customWidth="1"/>
    <col min="5893" max="5901" width="9" style="206"/>
    <col min="5902" max="5902" width="9.5" style="206" bestFit="1" customWidth="1"/>
    <col min="5903" max="5920" width="9" style="206"/>
    <col min="5921" max="5921" width="15.875" style="206" bestFit="1" customWidth="1"/>
    <col min="5922" max="5922" width="11.375" style="206" bestFit="1" customWidth="1"/>
    <col min="5923" max="6147" width="9" style="206"/>
    <col min="6148" max="6148" width="10.5" style="206" bestFit="1" customWidth="1"/>
    <col min="6149" max="6157" width="9" style="206"/>
    <col min="6158" max="6158" width="9.5" style="206" bestFit="1" customWidth="1"/>
    <col min="6159" max="6176" width="9" style="206"/>
    <col min="6177" max="6177" width="15.875" style="206" bestFit="1" customWidth="1"/>
    <col min="6178" max="6178" width="11.375" style="206" bestFit="1" customWidth="1"/>
    <col min="6179" max="6403" width="9" style="206"/>
    <col min="6404" max="6404" width="10.5" style="206" bestFit="1" customWidth="1"/>
    <col min="6405" max="6413" width="9" style="206"/>
    <col min="6414" max="6414" width="9.5" style="206" bestFit="1" customWidth="1"/>
    <col min="6415" max="6432" width="9" style="206"/>
    <col min="6433" max="6433" width="15.875" style="206" bestFit="1" customWidth="1"/>
    <col min="6434" max="6434" width="11.375" style="206" bestFit="1" customWidth="1"/>
    <col min="6435" max="6659" width="9" style="206"/>
    <col min="6660" max="6660" width="10.5" style="206" bestFit="1" customWidth="1"/>
    <col min="6661" max="6669" width="9" style="206"/>
    <col min="6670" max="6670" width="9.5" style="206" bestFit="1" customWidth="1"/>
    <col min="6671" max="6688" width="9" style="206"/>
    <col min="6689" max="6689" width="15.875" style="206" bestFit="1" customWidth="1"/>
    <col min="6690" max="6690" width="11.375" style="206" bestFit="1" customWidth="1"/>
    <col min="6691" max="6915" width="9" style="206"/>
    <col min="6916" max="6916" width="10.5" style="206" bestFit="1" customWidth="1"/>
    <col min="6917" max="6925" width="9" style="206"/>
    <col min="6926" max="6926" width="9.5" style="206" bestFit="1" customWidth="1"/>
    <col min="6927" max="6944" width="9" style="206"/>
    <col min="6945" max="6945" width="15.875" style="206" bestFit="1" customWidth="1"/>
    <col min="6946" max="6946" width="11.375" style="206" bestFit="1" customWidth="1"/>
    <col min="6947" max="7171" width="9" style="206"/>
    <col min="7172" max="7172" width="10.5" style="206" bestFit="1" customWidth="1"/>
    <col min="7173" max="7181" width="9" style="206"/>
    <col min="7182" max="7182" width="9.5" style="206" bestFit="1" customWidth="1"/>
    <col min="7183" max="7200" width="9" style="206"/>
    <col min="7201" max="7201" width="15.875" style="206" bestFit="1" customWidth="1"/>
    <col min="7202" max="7202" width="11.375" style="206" bestFit="1" customWidth="1"/>
    <col min="7203" max="7427" width="9" style="206"/>
    <col min="7428" max="7428" width="10.5" style="206" bestFit="1" customWidth="1"/>
    <col min="7429" max="7437" width="9" style="206"/>
    <col min="7438" max="7438" width="9.5" style="206" bestFit="1" customWidth="1"/>
    <col min="7439" max="7456" width="9" style="206"/>
    <col min="7457" max="7457" width="15.875" style="206" bestFit="1" customWidth="1"/>
    <col min="7458" max="7458" width="11.375" style="206" bestFit="1" customWidth="1"/>
    <col min="7459" max="7683" width="9" style="206"/>
    <col min="7684" max="7684" width="10.5" style="206" bestFit="1" customWidth="1"/>
    <col min="7685" max="7693" width="9" style="206"/>
    <col min="7694" max="7694" width="9.5" style="206" bestFit="1" customWidth="1"/>
    <col min="7695" max="7712" width="9" style="206"/>
    <col min="7713" max="7713" width="15.875" style="206" bestFit="1" customWidth="1"/>
    <col min="7714" max="7714" width="11.375" style="206" bestFit="1" customWidth="1"/>
    <col min="7715" max="7939" width="9" style="206"/>
    <col min="7940" max="7940" width="10.5" style="206" bestFit="1" customWidth="1"/>
    <col min="7941" max="7949" width="9" style="206"/>
    <col min="7950" max="7950" width="9.5" style="206" bestFit="1" customWidth="1"/>
    <col min="7951" max="7968" width="9" style="206"/>
    <col min="7969" max="7969" width="15.875" style="206" bestFit="1" customWidth="1"/>
    <col min="7970" max="7970" width="11.375" style="206" bestFit="1" customWidth="1"/>
    <col min="7971" max="8195" width="9" style="206"/>
    <col min="8196" max="8196" width="10.5" style="206" bestFit="1" customWidth="1"/>
    <col min="8197" max="8205" width="9" style="206"/>
    <col min="8206" max="8206" width="9.5" style="206" bestFit="1" customWidth="1"/>
    <col min="8207" max="8224" width="9" style="206"/>
    <col min="8225" max="8225" width="15.875" style="206" bestFit="1" customWidth="1"/>
    <col min="8226" max="8226" width="11.375" style="206" bestFit="1" customWidth="1"/>
    <col min="8227" max="8451" width="9" style="206"/>
    <col min="8452" max="8452" width="10.5" style="206" bestFit="1" customWidth="1"/>
    <col min="8453" max="8461" width="9" style="206"/>
    <col min="8462" max="8462" width="9.5" style="206" bestFit="1" customWidth="1"/>
    <col min="8463" max="8480" width="9" style="206"/>
    <col min="8481" max="8481" width="15.875" style="206" bestFit="1" customWidth="1"/>
    <col min="8482" max="8482" width="11.375" style="206" bestFit="1" customWidth="1"/>
    <col min="8483" max="8707" width="9" style="206"/>
    <col min="8708" max="8708" width="10.5" style="206" bestFit="1" customWidth="1"/>
    <col min="8709" max="8717" width="9" style="206"/>
    <col min="8718" max="8718" width="9.5" style="206" bestFit="1" customWidth="1"/>
    <col min="8719" max="8736" width="9" style="206"/>
    <col min="8737" max="8737" width="15.875" style="206" bestFit="1" customWidth="1"/>
    <col min="8738" max="8738" width="11.375" style="206" bestFit="1" customWidth="1"/>
    <col min="8739" max="8963" width="9" style="206"/>
    <col min="8964" max="8964" width="10.5" style="206" bestFit="1" customWidth="1"/>
    <col min="8965" max="8973" width="9" style="206"/>
    <col min="8974" max="8974" width="9.5" style="206" bestFit="1" customWidth="1"/>
    <col min="8975" max="8992" width="9" style="206"/>
    <col min="8993" max="8993" width="15.875" style="206" bestFit="1" customWidth="1"/>
    <col min="8994" max="8994" width="11.375" style="206" bestFit="1" customWidth="1"/>
    <col min="8995" max="9219" width="9" style="206"/>
    <col min="9220" max="9220" width="10.5" style="206" bestFit="1" customWidth="1"/>
    <col min="9221" max="9229" width="9" style="206"/>
    <col min="9230" max="9230" width="9.5" style="206" bestFit="1" customWidth="1"/>
    <col min="9231" max="9248" width="9" style="206"/>
    <col min="9249" max="9249" width="15.875" style="206" bestFit="1" customWidth="1"/>
    <col min="9250" max="9250" width="11.375" style="206" bestFit="1" customWidth="1"/>
    <col min="9251" max="9475" width="9" style="206"/>
    <col min="9476" max="9476" width="10.5" style="206" bestFit="1" customWidth="1"/>
    <col min="9477" max="9485" width="9" style="206"/>
    <col min="9486" max="9486" width="9.5" style="206" bestFit="1" customWidth="1"/>
    <col min="9487" max="9504" width="9" style="206"/>
    <col min="9505" max="9505" width="15.875" style="206" bestFit="1" customWidth="1"/>
    <col min="9506" max="9506" width="11.375" style="206" bestFit="1" customWidth="1"/>
    <col min="9507" max="9731" width="9" style="206"/>
    <col min="9732" max="9732" width="10.5" style="206" bestFit="1" customWidth="1"/>
    <col min="9733" max="9741" width="9" style="206"/>
    <col min="9742" max="9742" width="9.5" style="206" bestFit="1" customWidth="1"/>
    <col min="9743" max="9760" width="9" style="206"/>
    <col min="9761" max="9761" width="15.875" style="206" bestFit="1" customWidth="1"/>
    <col min="9762" max="9762" width="11.375" style="206" bestFit="1" customWidth="1"/>
    <col min="9763" max="9987" width="9" style="206"/>
    <col min="9988" max="9988" width="10.5" style="206" bestFit="1" customWidth="1"/>
    <col min="9989" max="9997" width="9" style="206"/>
    <col min="9998" max="9998" width="9.5" style="206" bestFit="1" customWidth="1"/>
    <col min="9999" max="10016" width="9" style="206"/>
    <col min="10017" max="10017" width="15.875" style="206" bestFit="1" customWidth="1"/>
    <col min="10018" max="10018" width="11.375" style="206" bestFit="1" customWidth="1"/>
    <col min="10019" max="10243" width="9" style="206"/>
    <col min="10244" max="10244" width="10.5" style="206" bestFit="1" customWidth="1"/>
    <col min="10245" max="10253" width="9" style="206"/>
    <col min="10254" max="10254" width="9.5" style="206" bestFit="1" customWidth="1"/>
    <col min="10255" max="10272" width="9" style="206"/>
    <col min="10273" max="10273" width="15.875" style="206" bestFit="1" customWidth="1"/>
    <col min="10274" max="10274" width="11.375" style="206" bestFit="1" customWidth="1"/>
    <col min="10275" max="10499" width="9" style="206"/>
    <col min="10500" max="10500" width="10.5" style="206" bestFit="1" customWidth="1"/>
    <col min="10501" max="10509" width="9" style="206"/>
    <col min="10510" max="10510" width="9.5" style="206" bestFit="1" customWidth="1"/>
    <col min="10511" max="10528" width="9" style="206"/>
    <col min="10529" max="10529" width="15.875" style="206" bestFit="1" customWidth="1"/>
    <col min="10530" max="10530" width="11.375" style="206" bestFit="1" customWidth="1"/>
    <col min="10531" max="10755" width="9" style="206"/>
    <col min="10756" max="10756" width="10.5" style="206" bestFit="1" customWidth="1"/>
    <col min="10757" max="10765" width="9" style="206"/>
    <col min="10766" max="10766" width="9.5" style="206" bestFit="1" customWidth="1"/>
    <col min="10767" max="10784" width="9" style="206"/>
    <col min="10785" max="10785" width="15.875" style="206" bestFit="1" customWidth="1"/>
    <col min="10786" max="10786" width="11.375" style="206" bestFit="1" customWidth="1"/>
    <col min="10787" max="11011" width="9" style="206"/>
    <col min="11012" max="11012" width="10.5" style="206" bestFit="1" customWidth="1"/>
    <col min="11013" max="11021" width="9" style="206"/>
    <col min="11022" max="11022" width="9.5" style="206" bestFit="1" customWidth="1"/>
    <col min="11023" max="11040" width="9" style="206"/>
    <col min="11041" max="11041" width="15.875" style="206" bestFit="1" customWidth="1"/>
    <col min="11042" max="11042" width="11.375" style="206" bestFit="1" customWidth="1"/>
    <col min="11043" max="11267" width="9" style="206"/>
    <col min="11268" max="11268" width="10.5" style="206" bestFit="1" customWidth="1"/>
    <col min="11269" max="11277" width="9" style="206"/>
    <col min="11278" max="11278" width="9.5" style="206" bestFit="1" customWidth="1"/>
    <col min="11279" max="11296" width="9" style="206"/>
    <col min="11297" max="11297" width="15.875" style="206" bestFit="1" customWidth="1"/>
    <col min="11298" max="11298" width="11.375" style="206" bestFit="1" customWidth="1"/>
    <col min="11299" max="11523" width="9" style="206"/>
    <col min="11524" max="11524" width="10.5" style="206" bestFit="1" customWidth="1"/>
    <col min="11525" max="11533" width="9" style="206"/>
    <col min="11534" max="11534" width="9.5" style="206" bestFit="1" customWidth="1"/>
    <col min="11535" max="11552" width="9" style="206"/>
    <col min="11553" max="11553" width="15.875" style="206" bestFit="1" customWidth="1"/>
    <col min="11554" max="11554" width="11.375" style="206" bestFit="1" customWidth="1"/>
    <col min="11555" max="11779" width="9" style="206"/>
    <col min="11780" max="11780" width="10.5" style="206" bestFit="1" customWidth="1"/>
    <col min="11781" max="11789" width="9" style="206"/>
    <col min="11790" max="11790" width="9.5" style="206" bestFit="1" customWidth="1"/>
    <col min="11791" max="11808" width="9" style="206"/>
    <col min="11809" max="11809" width="15.875" style="206" bestFit="1" customWidth="1"/>
    <col min="11810" max="11810" width="11.375" style="206" bestFit="1" customWidth="1"/>
    <col min="11811" max="12035" width="9" style="206"/>
    <col min="12036" max="12036" width="10.5" style="206" bestFit="1" customWidth="1"/>
    <col min="12037" max="12045" width="9" style="206"/>
    <col min="12046" max="12046" width="9.5" style="206" bestFit="1" customWidth="1"/>
    <col min="12047" max="12064" width="9" style="206"/>
    <col min="12065" max="12065" width="15.875" style="206" bestFit="1" customWidth="1"/>
    <col min="12066" max="12066" width="11.375" style="206" bestFit="1" customWidth="1"/>
    <col min="12067" max="12291" width="9" style="206"/>
    <col min="12292" max="12292" width="10.5" style="206" bestFit="1" customWidth="1"/>
    <col min="12293" max="12301" width="9" style="206"/>
    <col min="12302" max="12302" width="9.5" style="206" bestFit="1" customWidth="1"/>
    <col min="12303" max="12320" width="9" style="206"/>
    <col min="12321" max="12321" width="15.875" style="206" bestFit="1" customWidth="1"/>
    <col min="12322" max="12322" width="11.375" style="206" bestFit="1" customWidth="1"/>
    <col min="12323" max="12547" width="9" style="206"/>
    <col min="12548" max="12548" width="10.5" style="206" bestFit="1" customWidth="1"/>
    <col min="12549" max="12557" width="9" style="206"/>
    <col min="12558" max="12558" width="9.5" style="206" bestFit="1" customWidth="1"/>
    <col min="12559" max="12576" width="9" style="206"/>
    <col min="12577" max="12577" width="15.875" style="206" bestFit="1" customWidth="1"/>
    <col min="12578" max="12578" width="11.375" style="206" bestFit="1" customWidth="1"/>
    <col min="12579" max="12803" width="9" style="206"/>
    <col min="12804" max="12804" width="10.5" style="206" bestFit="1" customWidth="1"/>
    <col min="12805" max="12813" width="9" style="206"/>
    <col min="12814" max="12814" width="9.5" style="206" bestFit="1" customWidth="1"/>
    <col min="12815" max="12832" width="9" style="206"/>
    <col min="12833" max="12833" width="15.875" style="206" bestFit="1" customWidth="1"/>
    <col min="12834" max="12834" width="11.375" style="206" bestFit="1" customWidth="1"/>
    <col min="12835" max="13059" width="9" style="206"/>
    <col min="13060" max="13060" width="10.5" style="206" bestFit="1" customWidth="1"/>
    <col min="13061" max="13069" width="9" style="206"/>
    <col min="13070" max="13070" width="9.5" style="206" bestFit="1" customWidth="1"/>
    <col min="13071" max="13088" width="9" style="206"/>
    <col min="13089" max="13089" width="15.875" style="206" bestFit="1" customWidth="1"/>
    <col min="13090" max="13090" width="11.375" style="206" bestFit="1" customWidth="1"/>
    <col min="13091" max="13315" width="9" style="206"/>
    <col min="13316" max="13316" width="10.5" style="206" bestFit="1" customWidth="1"/>
    <col min="13317" max="13325" width="9" style="206"/>
    <col min="13326" max="13326" width="9.5" style="206" bestFit="1" customWidth="1"/>
    <col min="13327" max="13344" width="9" style="206"/>
    <col min="13345" max="13345" width="15.875" style="206" bestFit="1" customWidth="1"/>
    <col min="13346" max="13346" width="11.375" style="206" bestFit="1" customWidth="1"/>
    <col min="13347" max="13571" width="9" style="206"/>
    <col min="13572" max="13572" width="10.5" style="206" bestFit="1" customWidth="1"/>
    <col min="13573" max="13581" width="9" style="206"/>
    <col min="13582" max="13582" width="9.5" style="206" bestFit="1" customWidth="1"/>
    <col min="13583" max="13600" width="9" style="206"/>
    <col min="13601" max="13601" width="15.875" style="206" bestFit="1" customWidth="1"/>
    <col min="13602" max="13602" width="11.375" style="206" bestFit="1" customWidth="1"/>
    <col min="13603" max="13827" width="9" style="206"/>
    <col min="13828" max="13828" width="10.5" style="206" bestFit="1" customWidth="1"/>
    <col min="13829" max="13837" width="9" style="206"/>
    <col min="13838" max="13838" width="9.5" style="206" bestFit="1" customWidth="1"/>
    <col min="13839" max="13856" width="9" style="206"/>
    <col min="13857" max="13857" width="15.875" style="206" bestFit="1" customWidth="1"/>
    <col min="13858" max="13858" width="11.375" style="206" bestFit="1" customWidth="1"/>
    <col min="13859" max="14083" width="9" style="206"/>
    <col min="14084" max="14084" width="10.5" style="206" bestFit="1" customWidth="1"/>
    <col min="14085" max="14093" width="9" style="206"/>
    <col min="14094" max="14094" width="9.5" style="206" bestFit="1" customWidth="1"/>
    <col min="14095" max="14112" width="9" style="206"/>
    <col min="14113" max="14113" width="15.875" style="206" bestFit="1" customWidth="1"/>
    <col min="14114" max="14114" width="11.375" style="206" bestFit="1" customWidth="1"/>
    <col min="14115" max="14339" width="9" style="206"/>
    <col min="14340" max="14340" width="10.5" style="206" bestFit="1" customWidth="1"/>
    <col min="14341" max="14349" width="9" style="206"/>
    <col min="14350" max="14350" width="9.5" style="206" bestFit="1" customWidth="1"/>
    <col min="14351" max="14368" width="9" style="206"/>
    <col min="14369" max="14369" width="15.875" style="206" bestFit="1" customWidth="1"/>
    <col min="14370" max="14370" width="11.375" style="206" bestFit="1" customWidth="1"/>
    <col min="14371" max="14595" width="9" style="206"/>
    <col min="14596" max="14596" width="10.5" style="206" bestFit="1" customWidth="1"/>
    <col min="14597" max="14605" width="9" style="206"/>
    <col min="14606" max="14606" width="9.5" style="206" bestFit="1" customWidth="1"/>
    <col min="14607" max="14624" width="9" style="206"/>
    <col min="14625" max="14625" width="15.875" style="206" bestFit="1" customWidth="1"/>
    <col min="14626" max="14626" width="11.375" style="206" bestFit="1" customWidth="1"/>
    <col min="14627" max="14851" width="9" style="206"/>
    <col min="14852" max="14852" width="10.5" style="206" bestFit="1" customWidth="1"/>
    <col min="14853" max="14861" width="9" style="206"/>
    <col min="14862" max="14862" width="9.5" style="206" bestFit="1" customWidth="1"/>
    <col min="14863" max="14880" width="9" style="206"/>
    <col min="14881" max="14881" width="15.875" style="206" bestFit="1" customWidth="1"/>
    <col min="14882" max="14882" width="11.375" style="206" bestFit="1" customWidth="1"/>
    <col min="14883" max="15107" width="9" style="206"/>
    <col min="15108" max="15108" width="10.5" style="206" bestFit="1" customWidth="1"/>
    <col min="15109" max="15117" width="9" style="206"/>
    <col min="15118" max="15118" width="9.5" style="206" bestFit="1" customWidth="1"/>
    <col min="15119" max="15136" width="9" style="206"/>
    <col min="15137" max="15137" width="15.875" style="206" bestFit="1" customWidth="1"/>
    <col min="15138" max="15138" width="11.375" style="206" bestFit="1" customWidth="1"/>
    <col min="15139" max="15363" width="9" style="206"/>
    <col min="15364" max="15364" width="10.5" style="206" bestFit="1" customWidth="1"/>
    <col min="15365" max="15373" width="9" style="206"/>
    <col min="15374" max="15374" width="9.5" style="206" bestFit="1" customWidth="1"/>
    <col min="15375" max="15392" width="9" style="206"/>
    <col min="15393" max="15393" width="15.875" style="206" bestFit="1" customWidth="1"/>
    <col min="15394" max="15394" width="11.375" style="206" bestFit="1" customWidth="1"/>
    <col min="15395" max="15619" width="9" style="206"/>
    <col min="15620" max="15620" width="10.5" style="206" bestFit="1" customWidth="1"/>
    <col min="15621" max="15629" width="9" style="206"/>
    <col min="15630" max="15630" width="9.5" style="206" bestFit="1" customWidth="1"/>
    <col min="15631" max="15648" width="9" style="206"/>
    <col min="15649" max="15649" width="15.875" style="206" bestFit="1" customWidth="1"/>
    <col min="15650" max="15650" width="11.375" style="206" bestFit="1" customWidth="1"/>
    <col min="15651" max="15875" width="9" style="206"/>
    <col min="15876" max="15876" width="10.5" style="206" bestFit="1" customWidth="1"/>
    <col min="15877" max="15885" width="9" style="206"/>
    <col min="15886" max="15886" width="9.5" style="206" bestFit="1" customWidth="1"/>
    <col min="15887" max="15904" width="9" style="206"/>
    <col min="15905" max="15905" width="15.875" style="206" bestFit="1" customWidth="1"/>
    <col min="15906" max="15906" width="11.375" style="206" bestFit="1" customWidth="1"/>
    <col min="15907" max="16131" width="9" style="206"/>
    <col min="16132" max="16132" width="10.5" style="206" bestFit="1" customWidth="1"/>
    <col min="16133" max="16141" width="9" style="206"/>
    <col min="16142" max="16142" width="9.5" style="206" bestFit="1" customWidth="1"/>
    <col min="16143" max="16160" width="9" style="206"/>
    <col min="16161" max="16161" width="15.875" style="206" bestFit="1" customWidth="1"/>
    <col min="16162" max="16162" width="11.375" style="206" bestFit="1" customWidth="1"/>
    <col min="16163" max="16384" width="9" style="206"/>
  </cols>
  <sheetData>
    <row r="1" spans="1:53" ht="45" x14ac:dyDescent="0.15">
      <c r="A1" s="83" t="s">
        <v>0</v>
      </c>
      <c r="B1" s="200" t="s">
        <v>1</v>
      </c>
      <c r="C1" s="200" t="s">
        <v>354</v>
      </c>
      <c r="D1" s="201" t="s">
        <v>3</v>
      </c>
      <c r="E1" s="84" t="s">
        <v>4</v>
      </c>
      <c r="F1" s="84" t="s">
        <v>5</v>
      </c>
      <c r="G1" s="84" t="s">
        <v>6</v>
      </c>
      <c r="H1" s="84" t="s">
        <v>7</v>
      </c>
      <c r="I1" s="84" t="s">
        <v>8</v>
      </c>
      <c r="J1" s="84" t="s">
        <v>9</v>
      </c>
      <c r="K1" s="84" t="s">
        <v>10</v>
      </c>
      <c r="L1" s="201" t="s">
        <v>355</v>
      </c>
      <c r="M1" s="201" t="s">
        <v>12</v>
      </c>
      <c r="N1" s="201" t="s">
        <v>13</v>
      </c>
      <c r="O1" s="201" t="s">
        <v>356</v>
      </c>
      <c r="P1" s="201" t="s">
        <v>357</v>
      </c>
      <c r="Q1" s="202" t="s">
        <v>16</v>
      </c>
      <c r="R1" s="201" t="s">
        <v>358</v>
      </c>
      <c r="S1" s="201" t="s">
        <v>359</v>
      </c>
      <c r="T1" s="202" t="s">
        <v>19</v>
      </c>
      <c r="U1" s="203" t="s">
        <v>108</v>
      </c>
      <c r="V1" s="204" t="s">
        <v>20</v>
      </c>
      <c r="W1" s="201" t="s">
        <v>21</v>
      </c>
      <c r="X1" s="84" t="s">
        <v>22</v>
      </c>
      <c r="Y1" s="84" t="s">
        <v>23</v>
      </c>
      <c r="Z1" s="84" t="s">
        <v>24</v>
      </c>
      <c r="AA1" s="85" t="s">
        <v>25</v>
      </c>
      <c r="AB1" s="205" t="s">
        <v>360</v>
      </c>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361</v>
      </c>
      <c r="AY1" s="212" t="s">
        <v>362</v>
      </c>
      <c r="AZ1" s="212" t="s">
        <v>363</v>
      </c>
      <c r="BA1" s="213" t="s">
        <v>364</v>
      </c>
    </row>
    <row r="2" spans="1:53" s="214" customFormat="1" x14ac:dyDescent="0.15">
      <c r="A2" s="55" t="s">
        <v>56</v>
      </c>
      <c r="B2" s="55" t="s">
        <v>365</v>
      </c>
      <c r="C2" s="214">
        <v>2018</v>
      </c>
      <c r="D2" s="86" t="s">
        <v>367</v>
      </c>
      <c r="E2" s="214" t="s">
        <v>368</v>
      </c>
      <c r="F2" s="214" t="s">
        <v>164</v>
      </c>
      <c r="G2" s="55" t="s">
        <v>42</v>
      </c>
      <c r="H2" s="214" t="s">
        <v>155</v>
      </c>
      <c r="I2" s="55" t="s">
        <v>153</v>
      </c>
      <c r="J2" s="214" t="s">
        <v>38</v>
      </c>
      <c r="K2" s="214" t="s">
        <v>154</v>
      </c>
      <c r="L2" s="214">
        <v>1</v>
      </c>
      <c r="N2" s="206">
        <v>6</v>
      </c>
      <c r="O2" s="214">
        <v>0.6</v>
      </c>
      <c r="P2" s="206">
        <v>0.55000000000000004</v>
      </c>
      <c r="Q2" s="243">
        <f t="shared" ref="Q2:Q37" si="0">IF(OR(O2="",P2=""),"",AVERAGE(O2,P2))</f>
        <v>0.57499999999999996</v>
      </c>
      <c r="R2" s="214">
        <v>14.7</v>
      </c>
      <c r="S2" s="214">
        <v>101</v>
      </c>
      <c r="T2" s="215">
        <f t="shared" ref="T2:T37" si="1">IF(H2="","",IF(OR(H2="GREEN",H2="GK"),IF(S2&gt;=$AX$2,VLOOKUP(S2,$AX$2:$AY$10,2,1),""),IF(S2&gt;=$AZ$2,VLOOKUP(S2,$AZ$2:$BA$10,2,1),"")))</f>
        <v>33</v>
      </c>
      <c r="U2" s="214">
        <v>429</v>
      </c>
      <c r="V2" s="215">
        <f t="shared" ref="V2:V37" si="2">IF(OR(N2="",U2="",T2=""),"",U2/N2*T2)</f>
        <v>2359.5</v>
      </c>
      <c r="W2" s="214">
        <v>2</v>
      </c>
      <c r="X2" s="55" t="s">
        <v>46</v>
      </c>
      <c r="Y2" s="55" t="s">
        <v>84</v>
      </c>
      <c r="Z2" s="214" t="s">
        <v>90</v>
      </c>
      <c r="AA2" s="55" t="s">
        <v>40</v>
      </c>
      <c r="AB2" s="214" t="s">
        <v>333</v>
      </c>
      <c r="AE2" s="216" t="s">
        <v>35</v>
      </c>
      <c r="AG2" s="229" t="s">
        <v>369</v>
      </c>
      <c r="AH2" s="87" t="s">
        <v>164</v>
      </c>
      <c r="AJ2" s="217" t="s">
        <v>36</v>
      </c>
      <c r="AL2" s="217" t="s">
        <v>127</v>
      </c>
      <c r="AN2" s="217" t="s">
        <v>37</v>
      </c>
      <c r="AP2" s="217" t="s">
        <v>38</v>
      </c>
      <c r="AR2" s="217" t="s">
        <v>256</v>
      </c>
      <c r="AT2" s="217" t="s">
        <v>39</v>
      </c>
      <c r="AV2" s="217" t="s">
        <v>40</v>
      </c>
      <c r="AX2" s="218">
        <v>1</v>
      </c>
      <c r="AY2" s="219">
        <v>50</v>
      </c>
      <c r="AZ2" s="219">
        <v>1</v>
      </c>
      <c r="BA2" s="220">
        <v>50</v>
      </c>
    </row>
    <row r="3" spans="1:53" x14ac:dyDescent="0.15">
      <c r="A3" s="55" t="s">
        <v>56</v>
      </c>
      <c r="B3" s="55" t="s">
        <v>332</v>
      </c>
      <c r="C3" s="214">
        <v>2018</v>
      </c>
      <c r="D3" s="86" t="s">
        <v>366</v>
      </c>
      <c r="E3" s="214" t="s">
        <v>368</v>
      </c>
      <c r="F3" s="214" t="s">
        <v>164</v>
      </c>
      <c r="G3" s="55" t="s">
        <v>42</v>
      </c>
      <c r="H3" s="214" t="s">
        <v>155</v>
      </c>
      <c r="I3" s="55" t="s">
        <v>153</v>
      </c>
      <c r="J3" s="214" t="s">
        <v>38</v>
      </c>
      <c r="K3" s="214" t="s">
        <v>154</v>
      </c>
      <c r="L3" s="206">
        <v>2</v>
      </c>
      <c r="N3" s="206">
        <v>6</v>
      </c>
      <c r="O3" s="206">
        <v>0.6</v>
      </c>
      <c r="P3" s="206">
        <v>0.6</v>
      </c>
      <c r="Q3" s="243">
        <f t="shared" si="0"/>
        <v>0.6</v>
      </c>
      <c r="R3" s="206">
        <v>14.5</v>
      </c>
      <c r="S3" s="206">
        <v>96</v>
      </c>
      <c r="T3" s="215">
        <f t="shared" si="1"/>
        <v>36</v>
      </c>
      <c r="U3" s="206">
        <v>429</v>
      </c>
      <c r="V3" s="215">
        <f t="shared" si="2"/>
        <v>2574</v>
      </c>
      <c r="W3" s="206">
        <v>2</v>
      </c>
      <c r="X3" s="55" t="s">
        <v>46</v>
      </c>
      <c r="Y3" s="55" t="s">
        <v>84</v>
      </c>
      <c r="Z3" s="214" t="s">
        <v>90</v>
      </c>
      <c r="AA3" s="55" t="s">
        <v>40</v>
      </c>
      <c r="AB3" s="214" t="s">
        <v>333</v>
      </c>
      <c r="AE3" s="221" t="s">
        <v>41</v>
      </c>
      <c r="AG3" s="229" t="s">
        <v>369</v>
      </c>
      <c r="AH3" s="87" t="s">
        <v>165</v>
      </c>
      <c r="AJ3" s="222" t="s">
        <v>42</v>
      </c>
      <c r="AL3" s="222" t="s">
        <v>128</v>
      </c>
      <c r="AN3" s="222" t="s">
        <v>43</v>
      </c>
      <c r="AP3" s="222" t="s">
        <v>44</v>
      </c>
      <c r="AR3" s="236" t="s">
        <v>45</v>
      </c>
      <c r="AT3" s="222" t="s">
        <v>46</v>
      </c>
      <c r="AV3" s="222" t="s">
        <v>47</v>
      </c>
      <c r="AX3" s="223">
        <v>72</v>
      </c>
      <c r="AY3" s="224">
        <v>46</v>
      </c>
      <c r="AZ3" s="224">
        <v>71</v>
      </c>
      <c r="BA3" s="225">
        <v>42</v>
      </c>
    </row>
    <row r="4" spans="1:53" x14ac:dyDescent="0.15">
      <c r="A4" s="55" t="s">
        <v>56</v>
      </c>
      <c r="B4" s="55" t="s">
        <v>332</v>
      </c>
      <c r="C4" s="214">
        <v>2018</v>
      </c>
      <c r="D4" s="86" t="s">
        <v>366</v>
      </c>
      <c r="E4" s="214" t="s">
        <v>368</v>
      </c>
      <c r="F4" s="214" t="s">
        <v>164</v>
      </c>
      <c r="G4" s="55" t="s">
        <v>42</v>
      </c>
      <c r="H4" s="214" t="s">
        <v>155</v>
      </c>
      <c r="I4" s="55" t="s">
        <v>153</v>
      </c>
      <c r="J4" s="214" t="s">
        <v>38</v>
      </c>
      <c r="K4" s="214" t="s">
        <v>154</v>
      </c>
      <c r="L4" s="206">
        <v>3</v>
      </c>
      <c r="N4" s="206">
        <v>6</v>
      </c>
      <c r="O4" s="206">
        <v>0.8</v>
      </c>
      <c r="P4" s="206">
        <v>1</v>
      </c>
      <c r="Q4" s="243">
        <f t="shared" si="0"/>
        <v>0.9</v>
      </c>
      <c r="R4" s="206">
        <v>15.7</v>
      </c>
      <c r="S4" s="206">
        <v>97</v>
      </c>
      <c r="T4" s="215">
        <f t="shared" si="1"/>
        <v>36</v>
      </c>
      <c r="U4" s="206">
        <v>429</v>
      </c>
      <c r="V4" s="215">
        <f t="shared" si="2"/>
        <v>2574</v>
      </c>
      <c r="W4" s="206">
        <v>2</v>
      </c>
      <c r="X4" s="55" t="s">
        <v>46</v>
      </c>
      <c r="Y4" s="55" t="s">
        <v>84</v>
      </c>
      <c r="Z4" s="214" t="s">
        <v>90</v>
      </c>
      <c r="AA4" s="55" t="s">
        <v>40</v>
      </c>
      <c r="AB4" s="214" t="s">
        <v>333</v>
      </c>
      <c r="AE4" s="221" t="s">
        <v>34</v>
      </c>
      <c r="AG4" s="229" t="s">
        <v>166</v>
      </c>
      <c r="AH4" s="87" t="s">
        <v>370</v>
      </c>
      <c r="AJ4" s="226" t="s">
        <v>48</v>
      </c>
      <c r="AL4" s="226" t="s">
        <v>167</v>
      </c>
      <c r="AN4" s="227" t="s">
        <v>49</v>
      </c>
      <c r="AP4" s="222" t="s">
        <v>93</v>
      </c>
      <c r="AR4" s="236" t="s">
        <v>121</v>
      </c>
      <c r="AT4" s="227"/>
      <c r="AV4" s="222" t="s">
        <v>50</v>
      </c>
      <c r="AX4" s="223">
        <v>75</v>
      </c>
      <c r="AY4" s="224">
        <v>42</v>
      </c>
      <c r="AZ4" s="224">
        <v>76</v>
      </c>
      <c r="BA4" s="225">
        <v>39</v>
      </c>
    </row>
    <row r="5" spans="1:53" x14ac:dyDescent="0.15">
      <c r="A5" s="55" t="s">
        <v>56</v>
      </c>
      <c r="B5" s="55" t="s">
        <v>332</v>
      </c>
      <c r="C5" s="214">
        <v>2018</v>
      </c>
      <c r="D5" s="86" t="s">
        <v>366</v>
      </c>
      <c r="E5" s="214" t="s">
        <v>368</v>
      </c>
      <c r="F5" s="214" t="s">
        <v>165</v>
      </c>
      <c r="G5" s="55" t="s">
        <v>42</v>
      </c>
      <c r="H5" s="214" t="s">
        <v>155</v>
      </c>
      <c r="I5" s="55" t="s">
        <v>153</v>
      </c>
      <c r="J5" s="214" t="s">
        <v>38</v>
      </c>
      <c r="K5" s="214" t="s">
        <v>154</v>
      </c>
      <c r="L5" s="206">
        <v>1</v>
      </c>
      <c r="N5" s="206">
        <v>6</v>
      </c>
      <c r="O5" s="206">
        <v>0.85</v>
      </c>
      <c r="P5" s="206">
        <v>1</v>
      </c>
      <c r="Q5" s="243">
        <f t="shared" si="0"/>
        <v>0.92500000000000004</v>
      </c>
      <c r="R5" s="206">
        <v>14</v>
      </c>
      <c r="S5" s="206">
        <v>97</v>
      </c>
      <c r="T5" s="215">
        <f t="shared" si="1"/>
        <v>36</v>
      </c>
      <c r="U5" s="206">
        <v>429</v>
      </c>
      <c r="V5" s="215">
        <f t="shared" si="2"/>
        <v>2574</v>
      </c>
      <c r="W5" s="206">
        <v>3</v>
      </c>
      <c r="X5" s="55" t="s">
        <v>46</v>
      </c>
      <c r="Y5" s="55" t="s">
        <v>84</v>
      </c>
      <c r="Z5" s="214" t="s">
        <v>40</v>
      </c>
      <c r="AA5" s="55" t="s">
        <v>106</v>
      </c>
      <c r="AB5" s="214" t="s">
        <v>333</v>
      </c>
      <c r="AE5" s="221" t="s">
        <v>51</v>
      </c>
      <c r="AG5" s="229" t="s">
        <v>168</v>
      </c>
      <c r="AH5" s="87" t="s">
        <v>371</v>
      </c>
      <c r="AJ5" s="227"/>
      <c r="AL5" s="228" t="s">
        <v>66</v>
      </c>
      <c r="AN5" s="228" t="s">
        <v>320</v>
      </c>
      <c r="AP5" s="222" t="s">
        <v>169</v>
      </c>
      <c r="AR5" s="236" t="s">
        <v>54</v>
      </c>
      <c r="AV5" s="222" t="s">
        <v>55</v>
      </c>
      <c r="AX5" s="223">
        <v>84</v>
      </c>
      <c r="AY5" s="224">
        <v>39</v>
      </c>
      <c r="AZ5" s="224">
        <v>84</v>
      </c>
      <c r="BA5" s="225">
        <v>36</v>
      </c>
    </row>
    <row r="6" spans="1:53" x14ac:dyDescent="0.15">
      <c r="A6" s="55" t="s">
        <v>56</v>
      </c>
      <c r="B6" s="55" t="s">
        <v>332</v>
      </c>
      <c r="C6" s="214">
        <v>2018</v>
      </c>
      <c r="D6" s="86" t="s">
        <v>366</v>
      </c>
      <c r="E6" s="214" t="s">
        <v>368</v>
      </c>
      <c r="F6" s="214" t="s">
        <v>165</v>
      </c>
      <c r="G6" s="55" t="s">
        <v>42</v>
      </c>
      <c r="H6" s="214" t="s">
        <v>155</v>
      </c>
      <c r="I6" s="55" t="s">
        <v>153</v>
      </c>
      <c r="J6" s="214" t="s">
        <v>38</v>
      </c>
      <c r="K6" s="214" t="s">
        <v>154</v>
      </c>
      <c r="L6" s="206">
        <v>2</v>
      </c>
      <c r="N6" s="206">
        <v>6</v>
      </c>
      <c r="O6" s="206">
        <v>1.05</v>
      </c>
      <c r="P6" s="206">
        <v>1.05</v>
      </c>
      <c r="Q6" s="243">
        <f t="shared" si="0"/>
        <v>1.05</v>
      </c>
      <c r="R6" s="206">
        <v>11.7</v>
      </c>
      <c r="S6" s="206">
        <v>95</v>
      </c>
      <c r="T6" s="215">
        <f t="shared" si="1"/>
        <v>36</v>
      </c>
      <c r="U6" s="206">
        <v>429</v>
      </c>
      <c r="V6" s="215">
        <f t="shared" si="2"/>
        <v>2574</v>
      </c>
      <c r="W6" s="206">
        <v>3</v>
      </c>
      <c r="X6" s="55" t="s">
        <v>46</v>
      </c>
      <c r="Y6" s="55" t="s">
        <v>84</v>
      </c>
      <c r="Z6" s="214" t="s">
        <v>40</v>
      </c>
      <c r="AA6" s="55" t="s">
        <v>106</v>
      </c>
      <c r="AB6" s="214" t="s">
        <v>333</v>
      </c>
      <c r="AE6" s="221" t="s">
        <v>56</v>
      </c>
      <c r="AG6" s="229" t="s">
        <v>372</v>
      </c>
      <c r="AH6" s="87" t="s">
        <v>371</v>
      </c>
      <c r="AL6" s="228" t="s">
        <v>259</v>
      </c>
      <c r="AN6" s="228" t="s">
        <v>57</v>
      </c>
      <c r="AP6" s="222" t="s">
        <v>53</v>
      </c>
      <c r="AR6" s="236" t="s">
        <v>59</v>
      </c>
      <c r="AV6" s="222" t="s">
        <v>60</v>
      </c>
      <c r="AX6" s="223">
        <v>97</v>
      </c>
      <c r="AY6" s="224">
        <v>36</v>
      </c>
      <c r="AZ6" s="224">
        <v>99</v>
      </c>
      <c r="BA6" s="225">
        <v>33</v>
      </c>
    </row>
    <row r="7" spans="1:53" x14ac:dyDescent="0.15">
      <c r="A7" s="55" t="s">
        <v>56</v>
      </c>
      <c r="B7" s="55" t="s">
        <v>332</v>
      </c>
      <c r="C7" s="214">
        <v>2018</v>
      </c>
      <c r="D7" s="86" t="s">
        <v>366</v>
      </c>
      <c r="E7" s="214" t="s">
        <v>368</v>
      </c>
      <c r="F7" s="214" t="s">
        <v>165</v>
      </c>
      <c r="G7" s="55" t="s">
        <v>42</v>
      </c>
      <c r="H7" s="214" t="s">
        <v>155</v>
      </c>
      <c r="I7" s="55" t="s">
        <v>153</v>
      </c>
      <c r="J7" s="214" t="s">
        <v>38</v>
      </c>
      <c r="K7" s="214" t="s">
        <v>154</v>
      </c>
      <c r="L7" s="206">
        <v>3</v>
      </c>
      <c r="N7" s="206">
        <v>6</v>
      </c>
      <c r="O7" s="206">
        <v>0.95</v>
      </c>
      <c r="P7" s="206">
        <v>0.8</v>
      </c>
      <c r="Q7" s="243">
        <f t="shared" si="0"/>
        <v>0.875</v>
      </c>
      <c r="R7" s="235">
        <v>14</v>
      </c>
      <c r="S7" s="206">
        <v>105</v>
      </c>
      <c r="T7" s="215">
        <f t="shared" si="1"/>
        <v>33</v>
      </c>
      <c r="U7" s="206">
        <v>429</v>
      </c>
      <c r="V7" s="215">
        <f t="shared" si="2"/>
        <v>2359.5</v>
      </c>
      <c r="W7" s="206">
        <v>3</v>
      </c>
      <c r="X7" s="55" t="s">
        <v>46</v>
      </c>
      <c r="Y7" s="55" t="s">
        <v>84</v>
      </c>
      <c r="Z7" s="214" t="s">
        <v>40</v>
      </c>
      <c r="AA7" s="55" t="s">
        <v>106</v>
      </c>
      <c r="AB7" s="214" t="s">
        <v>333</v>
      </c>
      <c r="AE7" s="221" t="s">
        <v>61</v>
      </c>
      <c r="AG7" s="229" t="s">
        <v>373</v>
      </c>
      <c r="AH7" s="87" t="s">
        <v>170</v>
      </c>
      <c r="AL7" s="88" t="s">
        <v>349</v>
      </c>
      <c r="AP7" s="222" t="s">
        <v>58</v>
      </c>
      <c r="AR7" s="229" t="s">
        <v>122</v>
      </c>
      <c r="AV7" s="222" t="s">
        <v>64</v>
      </c>
      <c r="AX7" s="223">
        <v>109</v>
      </c>
      <c r="AY7" s="224">
        <v>33</v>
      </c>
      <c r="AZ7" s="224">
        <v>113</v>
      </c>
      <c r="BA7" s="225">
        <v>30</v>
      </c>
    </row>
    <row r="8" spans="1:53" x14ac:dyDescent="0.15">
      <c r="A8" s="55" t="s">
        <v>56</v>
      </c>
      <c r="B8" s="55" t="s">
        <v>374</v>
      </c>
      <c r="C8" s="214">
        <v>2018</v>
      </c>
      <c r="D8" s="86" t="s">
        <v>375</v>
      </c>
      <c r="E8" s="214" t="s">
        <v>376</v>
      </c>
      <c r="F8" s="214" t="s">
        <v>377</v>
      </c>
      <c r="G8" s="55" t="s">
        <v>42</v>
      </c>
      <c r="H8" s="214" t="s">
        <v>155</v>
      </c>
      <c r="I8" s="55" t="s">
        <v>153</v>
      </c>
      <c r="J8" s="214" t="s">
        <v>38</v>
      </c>
      <c r="K8" s="214" t="s">
        <v>154</v>
      </c>
      <c r="L8" s="206">
        <v>1</v>
      </c>
      <c r="N8" s="206">
        <v>4</v>
      </c>
      <c r="O8" s="206">
        <v>0.6</v>
      </c>
      <c r="P8" s="206">
        <v>0.6</v>
      </c>
      <c r="Q8" s="243">
        <f t="shared" si="0"/>
        <v>0.6</v>
      </c>
      <c r="R8" s="206">
        <v>14.2</v>
      </c>
      <c r="S8" s="206">
        <v>99</v>
      </c>
      <c r="T8" s="215">
        <f t="shared" si="1"/>
        <v>33</v>
      </c>
      <c r="U8" s="206">
        <v>429</v>
      </c>
      <c r="V8" s="215">
        <f t="shared" si="2"/>
        <v>3539.25</v>
      </c>
      <c r="W8" s="206">
        <v>1</v>
      </c>
      <c r="X8" s="55" t="s">
        <v>46</v>
      </c>
      <c r="Y8" s="55" t="s">
        <v>84</v>
      </c>
      <c r="Z8" s="214" t="s">
        <v>40</v>
      </c>
      <c r="AA8" s="55" t="s">
        <v>90</v>
      </c>
      <c r="AB8" s="214" t="s">
        <v>333</v>
      </c>
      <c r="AE8" s="221" t="s">
        <v>59</v>
      </c>
      <c r="AG8" s="229" t="s">
        <v>378</v>
      </c>
      <c r="AH8" s="87" t="s">
        <v>170</v>
      </c>
      <c r="AL8" s="88" t="s">
        <v>350</v>
      </c>
      <c r="AP8" s="222" t="s">
        <v>62</v>
      </c>
      <c r="AR8" s="236" t="s">
        <v>81</v>
      </c>
      <c r="AV8" s="222" t="s">
        <v>97</v>
      </c>
      <c r="AX8" s="223">
        <v>119</v>
      </c>
      <c r="AY8" s="224">
        <v>30</v>
      </c>
      <c r="AZ8" s="224">
        <v>121</v>
      </c>
      <c r="BA8" s="225">
        <v>27</v>
      </c>
    </row>
    <row r="9" spans="1:53" x14ac:dyDescent="0.15">
      <c r="A9" s="55" t="s">
        <v>56</v>
      </c>
      <c r="B9" s="55" t="s">
        <v>374</v>
      </c>
      <c r="C9" s="214">
        <v>2018</v>
      </c>
      <c r="D9" s="86" t="s">
        <v>375</v>
      </c>
      <c r="E9" s="214" t="s">
        <v>376</v>
      </c>
      <c r="F9" s="214" t="s">
        <v>377</v>
      </c>
      <c r="G9" s="55" t="s">
        <v>42</v>
      </c>
      <c r="H9" s="214" t="s">
        <v>155</v>
      </c>
      <c r="I9" s="55" t="s">
        <v>153</v>
      </c>
      <c r="J9" s="214" t="s">
        <v>38</v>
      </c>
      <c r="K9" s="214" t="s">
        <v>154</v>
      </c>
      <c r="L9" s="206">
        <v>2</v>
      </c>
      <c r="N9" s="206">
        <v>4</v>
      </c>
      <c r="O9" s="206">
        <v>0.75</v>
      </c>
      <c r="P9" s="206">
        <v>0.85</v>
      </c>
      <c r="Q9" s="243">
        <f t="shared" si="0"/>
        <v>0.8</v>
      </c>
      <c r="R9" s="206">
        <v>11.1</v>
      </c>
      <c r="S9" s="206">
        <v>93</v>
      </c>
      <c r="T9" s="215">
        <f t="shared" si="1"/>
        <v>36</v>
      </c>
      <c r="U9" s="206">
        <v>429</v>
      </c>
      <c r="V9" s="215">
        <f t="shared" si="2"/>
        <v>3861</v>
      </c>
      <c r="W9" s="206">
        <v>1</v>
      </c>
      <c r="X9" s="55" t="s">
        <v>46</v>
      </c>
      <c r="Y9" s="55" t="s">
        <v>84</v>
      </c>
      <c r="Z9" s="214" t="s">
        <v>40</v>
      </c>
      <c r="AA9" s="55" t="s">
        <v>90</v>
      </c>
      <c r="AB9" s="214" t="s">
        <v>333</v>
      </c>
      <c r="AE9" s="221" t="s">
        <v>98</v>
      </c>
      <c r="AG9" s="229" t="s">
        <v>171</v>
      </c>
      <c r="AH9" s="229" t="s">
        <v>165</v>
      </c>
      <c r="AL9" s="228"/>
      <c r="AP9" s="222" t="s">
        <v>95</v>
      </c>
      <c r="AR9" s="229" t="s">
        <v>89</v>
      </c>
      <c r="AV9" s="222" t="s">
        <v>102</v>
      </c>
      <c r="AX9" s="223">
        <v>128</v>
      </c>
      <c r="AY9" s="224">
        <v>27</v>
      </c>
      <c r="AZ9" s="224">
        <v>129</v>
      </c>
      <c r="BA9" s="225">
        <v>25</v>
      </c>
    </row>
    <row r="10" spans="1:53" x14ac:dyDescent="0.15">
      <c r="A10" s="55" t="s">
        <v>56</v>
      </c>
      <c r="B10" s="55" t="s">
        <v>379</v>
      </c>
      <c r="C10" s="214">
        <v>2018</v>
      </c>
      <c r="D10" s="86" t="s">
        <v>380</v>
      </c>
      <c r="E10" s="214" t="s">
        <v>376</v>
      </c>
      <c r="F10" s="214" t="s">
        <v>377</v>
      </c>
      <c r="G10" s="55" t="s">
        <v>42</v>
      </c>
      <c r="H10" s="214" t="s">
        <v>155</v>
      </c>
      <c r="I10" s="55" t="s">
        <v>153</v>
      </c>
      <c r="J10" s="214" t="s">
        <v>38</v>
      </c>
      <c r="K10" s="214" t="s">
        <v>154</v>
      </c>
      <c r="L10" s="206">
        <v>3</v>
      </c>
      <c r="N10" s="206">
        <v>4</v>
      </c>
      <c r="O10" s="206">
        <v>0.6</v>
      </c>
      <c r="P10" s="206">
        <v>0.6</v>
      </c>
      <c r="Q10" s="243">
        <f t="shared" si="0"/>
        <v>0.6</v>
      </c>
      <c r="R10" s="235">
        <v>13.6</v>
      </c>
      <c r="S10" s="206">
        <v>97</v>
      </c>
      <c r="T10" s="215">
        <f t="shared" si="1"/>
        <v>36</v>
      </c>
      <c r="U10" s="206">
        <v>429</v>
      </c>
      <c r="V10" s="215">
        <f t="shared" si="2"/>
        <v>3861</v>
      </c>
      <c r="W10" s="206">
        <v>1</v>
      </c>
      <c r="X10" s="55" t="s">
        <v>46</v>
      </c>
      <c r="Y10" s="55" t="s">
        <v>84</v>
      </c>
      <c r="Z10" s="214" t="s">
        <v>40</v>
      </c>
      <c r="AA10" s="55" t="s">
        <v>90</v>
      </c>
      <c r="AB10" s="214" t="s">
        <v>333</v>
      </c>
      <c r="AE10" s="221" t="s">
        <v>103</v>
      </c>
      <c r="AG10" s="229" t="s">
        <v>381</v>
      </c>
      <c r="AH10" s="87" t="s">
        <v>382</v>
      </c>
      <c r="AL10" s="88"/>
      <c r="AP10" s="222" t="s">
        <v>100</v>
      </c>
      <c r="AR10" s="229" t="s">
        <v>123</v>
      </c>
      <c r="AV10" s="222" t="s">
        <v>106</v>
      </c>
      <c r="AX10" s="223">
        <v>138</v>
      </c>
      <c r="AY10" s="224">
        <v>25</v>
      </c>
      <c r="AZ10" s="224">
        <v>138</v>
      </c>
      <c r="BA10" s="225">
        <v>22</v>
      </c>
    </row>
    <row r="11" spans="1:53" x14ac:dyDescent="0.15">
      <c r="A11" s="55" t="s">
        <v>56</v>
      </c>
      <c r="B11" s="55" t="s">
        <v>379</v>
      </c>
      <c r="C11" s="214">
        <v>2018</v>
      </c>
      <c r="D11" s="86" t="s">
        <v>380</v>
      </c>
      <c r="E11" s="214" t="s">
        <v>383</v>
      </c>
      <c r="F11" s="214" t="s">
        <v>384</v>
      </c>
      <c r="G11" s="55" t="s">
        <v>42</v>
      </c>
      <c r="H11" s="214" t="s">
        <v>155</v>
      </c>
      <c r="I11" s="55" t="s">
        <v>153</v>
      </c>
      <c r="J11" s="214" t="s">
        <v>38</v>
      </c>
      <c r="K11" s="214" t="s">
        <v>154</v>
      </c>
      <c r="L11" s="206">
        <v>1</v>
      </c>
      <c r="N11" s="206">
        <v>4</v>
      </c>
      <c r="O11" s="206">
        <v>0.75</v>
      </c>
      <c r="P11" s="206">
        <v>0.85</v>
      </c>
      <c r="Q11" s="243">
        <f t="shared" si="0"/>
        <v>0.8</v>
      </c>
      <c r="R11" s="206">
        <v>12.8</v>
      </c>
      <c r="S11" s="206">
        <v>96</v>
      </c>
      <c r="T11" s="215">
        <f t="shared" si="1"/>
        <v>36</v>
      </c>
      <c r="U11" s="206">
        <v>388</v>
      </c>
      <c r="V11" s="215">
        <f t="shared" si="2"/>
        <v>3492</v>
      </c>
      <c r="W11" s="206">
        <v>2</v>
      </c>
      <c r="X11" s="55" t="s">
        <v>39</v>
      </c>
      <c r="Y11" s="55" t="s">
        <v>40</v>
      </c>
      <c r="Z11" s="214" t="s">
        <v>84</v>
      </c>
      <c r="AA11" s="55" t="s">
        <v>90</v>
      </c>
      <c r="AB11" s="214" t="s">
        <v>333</v>
      </c>
      <c r="AE11" s="221" t="s">
        <v>65</v>
      </c>
      <c r="AG11" s="229" t="s">
        <v>385</v>
      </c>
      <c r="AH11" s="87" t="s">
        <v>382</v>
      </c>
      <c r="AJ11" s="88"/>
      <c r="AP11" s="222" t="s">
        <v>104</v>
      </c>
      <c r="AR11" s="229" t="s">
        <v>87</v>
      </c>
      <c r="AV11" s="222" t="s">
        <v>69</v>
      </c>
    </row>
    <row r="12" spans="1:53" x14ac:dyDescent="0.15">
      <c r="A12" s="55" t="s">
        <v>56</v>
      </c>
      <c r="B12" s="55" t="s">
        <v>386</v>
      </c>
      <c r="C12" s="214">
        <v>2018</v>
      </c>
      <c r="D12" s="86" t="s">
        <v>387</v>
      </c>
      <c r="E12" s="214" t="s">
        <v>383</v>
      </c>
      <c r="F12" s="214" t="s">
        <v>384</v>
      </c>
      <c r="G12" s="55" t="s">
        <v>42</v>
      </c>
      <c r="H12" s="214" t="s">
        <v>155</v>
      </c>
      <c r="I12" s="55" t="s">
        <v>153</v>
      </c>
      <c r="J12" s="214" t="s">
        <v>38</v>
      </c>
      <c r="K12" s="214" t="s">
        <v>154</v>
      </c>
      <c r="L12" s="206">
        <v>2</v>
      </c>
      <c r="N12" s="206">
        <v>4</v>
      </c>
      <c r="O12" s="206">
        <v>0.95</v>
      </c>
      <c r="P12" s="206">
        <v>0.95</v>
      </c>
      <c r="Q12" s="243">
        <f t="shared" si="0"/>
        <v>0.95</v>
      </c>
      <c r="R12" s="206">
        <v>13.8</v>
      </c>
      <c r="S12" s="206">
        <v>102</v>
      </c>
      <c r="T12" s="215">
        <f t="shared" si="1"/>
        <v>33</v>
      </c>
      <c r="U12" s="206">
        <v>388</v>
      </c>
      <c r="V12" s="215">
        <f t="shared" si="2"/>
        <v>3201</v>
      </c>
      <c r="W12" s="206">
        <v>2</v>
      </c>
      <c r="X12" s="55" t="s">
        <v>39</v>
      </c>
      <c r="Y12" s="55" t="s">
        <v>40</v>
      </c>
      <c r="Z12" s="214" t="s">
        <v>84</v>
      </c>
      <c r="AA12" s="55" t="s">
        <v>90</v>
      </c>
      <c r="AB12" s="214" t="s">
        <v>333</v>
      </c>
      <c r="AE12" s="221" t="s">
        <v>70</v>
      </c>
      <c r="AG12" s="229" t="s">
        <v>388</v>
      </c>
      <c r="AH12" s="87" t="s">
        <v>389</v>
      </c>
      <c r="AJ12" s="88"/>
      <c r="AP12" s="222" t="s">
        <v>67</v>
      </c>
      <c r="AR12" s="229" t="s">
        <v>124</v>
      </c>
      <c r="AV12" s="222" t="s">
        <v>72</v>
      </c>
    </row>
    <row r="13" spans="1:53" x14ac:dyDescent="0.15">
      <c r="A13" s="55" t="s">
        <v>56</v>
      </c>
      <c r="B13" s="55" t="s">
        <v>390</v>
      </c>
      <c r="C13" s="214">
        <v>2018</v>
      </c>
      <c r="D13" s="86" t="s">
        <v>391</v>
      </c>
      <c r="E13" s="214" t="s">
        <v>383</v>
      </c>
      <c r="F13" s="214" t="s">
        <v>384</v>
      </c>
      <c r="G13" s="55" t="s">
        <v>42</v>
      </c>
      <c r="H13" s="214" t="s">
        <v>155</v>
      </c>
      <c r="I13" s="55" t="s">
        <v>153</v>
      </c>
      <c r="J13" s="214" t="s">
        <v>38</v>
      </c>
      <c r="K13" s="214" t="s">
        <v>154</v>
      </c>
      <c r="L13" s="206">
        <v>3</v>
      </c>
      <c r="N13" s="206">
        <v>4</v>
      </c>
      <c r="O13" s="206">
        <v>0.7</v>
      </c>
      <c r="P13" s="206">
        <v>0.65</v>
      </c>
      <c r="Q13" s="243">
        <f t="shared" si="0"/>
        <v>0.67500000000000004</v>
      </c>
      <c r="R13" s="235">
        <v>13.9</v>
      </c>
      <c r="S13" s="206">
        <v>92</v>
      </c>
      <c r="T13" s="215">
        <f t="shared" si="1"/>
        <v>36</v>
      </c>
      <c r="U13" s="206">
        <v>388</v>
      </c>
      <c r="V13" s="215">
        <f t="shared" si="2"/>
        <v>3492</v>
      </c>
      <c r="W13" s="206">
        <v>2</v>
      </c>
      <c r="X13" s="55" t="s">
        <v>39</v>
      </c>
      <c r="Y13" s="55" t="s">
        <v>40</v>
      </c>
      <c r="Z13" s="214" t="s">
        <v>84</v>
      </c>
      <c r="AA13" s="55" t="s">
        <v>90</v>
      </c>
      <c r="AB13" s="214" t="s">
        <v>333</v>
      </c>
      <c r="AE13" s="221" t="s">
        <v>73</v>
      </c>
      <c r="AP13" s="222" t="s">
        <v>71</v>
      </c>
      <c r="AR13" s="229" t="s">
        <v>103</v>
      </c>
      <c r="AV13" s="222" t="s">
        <v>75</v>
      </c>
    </row>
    <row r="14" spans="1:53" x14ac:dyDescent="0.15">
      <c r="A14" s="55" t="s">
        <v>56</v>
      </c>
      <c r="B14" s="55" t="s">
        <v>392</v>
      </c>
      <c r="C14" s="214">
        <v>2018</v>
      </c>
      <c r="D14" s="86" t="s">
        <v>393</v>
      </c>
      <c r="E14" s="214" t="s">
        <v>309</v>
      </c>
      <c r="F14" s="214" t="s">
        <v>170</v>
      </c>
      <c r="G14" s="55" t="s">
        <v>42</v>
      </c>
      <c r="H14" s="214" t="s">
        <v>128</v>
      </c>
      <c r="I14" s="55" t="s">
        <v>153</v>
      </c>
      <c r="J14" s="214" t="s">
        <v>80</v>
      </c>
      <c r="K14" s="214" t="s">
        <v>63</v>
      </c>
      <c r="L14" s="206">
        <v>1</v>
      </c>
      <c r="N14" s="206">
        <v>1</v>
      </c>
      <c r="O14" s="206">
        <v>0.85</v>
      </c>
      <c r="P14" s="206">
        <v>0.9</v>
      </c>
      <c r="Q14" s="243">
        <f t="shared" si="0"/>
        <v>0.875</v>
      </c>
      <c r="R14" s="206">
        <v>16</v>
      </c>
      <c r="S14" s="206">
        <v>107</v>
      </c>
      <c r="T14" s="215">
        <f t="shared" si="1"/>
        <v>33</v>
      </c>
      <c r="U14" s="206">
        <v>105</v>
      </c>
      <c r="V14" s="215">
        <f t="shared" si="2"/>
        <v>3465</v>
      </c>
      <c r="W14" s="206">
        <v>1</v>
      </c>
      <c r="X14" s="55" t="s">
        <v>46</v>
      </c>
      <c r="Y14" s="55" t="s">
        <v>84</v>
      </c>
      <c r="Z14" s="214" t="s">
        <v>40</v>
      </c>
      <c r="AA14" s="55" t="s">
        <v>90</v>
      </c>
      <c r="AB14" s="214" t="s">
        <v>333</v>
      </c>
      <c r="AE14" s="221" t="s">
        <v>76</v>
      </c>
      <c r="AP14" s="222" t="s">
        <v>74</v>
      </c>
      <c r="AR14" s="229" t="s">
        <v>125</v>
      </c>
      <c r="AV14" s="222" t="s">
        <v>78</v>
      </c>
    </row>
    <row r="15" spans="1:53" x14ac:dyDescent="0.15">
      <c r="A15" s="55" t="s">
        <v>56</v>
      </c>
      <c r="B15" s="55" t="s">
        <v>392</v>
      </c>
      <c r="C15" s="214">
        <v>2018</v>
      </c>
      <c r="D15" s="86" t="s">
        <v>393</v>
      </c>
      <c r="E15" s="214" t="s">
        <v>309</v>
      </c>
      <c r="F15" s="214" t="s">
        <v>170</v>
      </c>
      <c r="G15" s="55" t="s">
        <v>42</v>
      </c>
      <c r="H15" s="214" t="s">
        <v>128</v>
      </c>
      <c r="I15" s="55" t="s">
        <v>153</v>
      </c>
      <c r="J15" s="214" t="s">
        <v>80</v>
      </c>
      <c r="K15" s="214" t="s">
        <v>63</v>
      </c>
      <c r="L15" s="206">
        <v>2</v>
      </c>
      <c r="N15" s="206">
        <v>1</v>
      </c>
      <c r="O15" s="206">
        <v>0.85</v>
      </c>
      <c r="P15" s="206">
        <v>0.85</v>
      </c>
      <c r="Q15" s="243">
        <f t="shared" si="0"/>
        <v>0.85</v>
      </c>
      <c r="R15" s="206">
        <v>13.7</v>
      </c>
      <c r="S15" s="206">
        <v>99</v>
      </c>
      <c r="T15" s="215">
        <f t="shared" si="1"/>
        <v>33</v>
      </c>
      <c r="U15" s="206">
        <v>105</v>
      </c>
      <c r="V15" s="215">
        <f t="shared" si="2"/>
        <v>3465</v>
      </c>
      <c r="W15" s="206">
        <v>1</v>
      </c>
      <c r="X15" s="55" t="s">
        <v>46</v>
      </c>
      <c r="Y15" s="55" t="s">
        <v>84</v>
      </c>
      <c r="Z15" s="214" t="s">
        <v>40</v>
      </c>
      <c r="AA15" s="55" t="s">
        <v>90</v>
      </c>
      <c r="AB15" s="214" t="s">
        <v>333</v>
      </c>
      <c r="AE15" s="221" t="s">
        <v>79</v>
      </c>
      <c r="AP15" s="222" t="s">
        <v>77</v>
      </c>
      <c r="AR15" s="229" t="s">
        <v>94</v>
      </c>
      <c r="AV15" s="222" t="s">
        <v>107</v>
      </c>
    </row>
    <row r="16" spans="1:53" x14ac:dyDescent="0.15">
      <c r="A16" s="55" t="s">
        <v>56</v>
      </c>
      <c r="B16" s="55" t="s">
        <v>394</v>
      </c>
      <c r="C16" s="214">
        <v>2018</v>
      </c>
      <c r="D16" s="86" t="s">
        <v>395</v>
      </c>
      <c r="E16" s="214" t="s">
        <v>309</v>
      </c>
      <c r="F16" s="214" t="s">
        <v>170</v>
      </c>
      <c r="G16" s="55" t="s">
        <v>42</v>
      </c>
      <c r="H16" s="214" t="s">
        <v>128</v>
      </c>
      <c r="I16" s="55" t="s">
        <v>153</v>
      </c>
      <c r="J16" s="214" t="s">
        <v>80</v>
      </c>
      <c r="K16" s="214" t="s">
        <v>63</v>
      </c>
      <c r="L16" s="206">
        <v>3</v>
      </c>
      <c r="N16" s="206">
        <v>1</v>
      </c>
      <c r="O16" s="206">
        <v>1.1499999999999999</v>
      </c>
      <c r="P16" s="206">
        <v>1.5</v>
      </c>
      <c r="Q16" s="243">
        <f t="shared" si="0"/>
        <v>1.325</v>
      </c>
      <c r="R16" s="206">
        <v>13.4</v>
      </c>
      <c r="S16" s="206">
        <v>107</v>
      </c>
      <c r="T16" s="215">
        <f t="shared" si="1"/>
        <v>33</v>
      </c>
      <c r="U16" s="206">
        <v>105</v>
      </c>
      <c r="V16" s="215">
        <f t="shared" si="2"/>
        <v>3465</v>
      </c>
      <c r="W16" s="206">
        <v>1</v>
      </c>
      <c r="X16" s="55" t="s">
        <v>46</v>
      </c>
      <c r="Y16" s="55" t="s">
        <v>84</v>
      </c>
      <c r="Z16" s="214" t="s">
        <v>40</v>
      </c>
      <c r="AA16" s="55" t="s">
        <v>90</v>
      </c>
      <c r="AB16" s="214" t="s">
        <v>333</v>
      </c>
      <c r="AE16" s="221" t="s">
        <v>82</v>
      </c>
      <c r="AP16" s="222" t="s">
        <v>80</v>
      </c>
      <c r="AR16" s="236" t="s">
        <v>63</v>
      </c>
      <c r="AV16" s="222" t="s">
        <v>84</v>
      </c>
    </row>
    <row r="17" spans="1:48" x14ac:dyDescent="0.15">
      <c r="A17" s="55" t="s">
        <v>56</v>
      </c>
      <c r="B17" s="55" t="s">
        <v>394</v>
      </c>
      <c r="C17" s="214">
        <v>2018</v>
      </c>
      <c r="D17" s="86" t="s">
        <v>395</v>
      </c>
      <c r="E17" s="214" t="s">
        <v>396</v>
      </c>
      <c r="F17" s="214" t="s">
        <v>170</v>
      </c>
      <c r="G17" s="55" t="s">
        <v>42</v>
      </c>
      <c r="H17" s="214" t="s">
        <v>155</v>
      </c>
      <c r="I17" s="55" t="s">
        <v>153</v>
      </c>
      <c r="J17" s="214" t="s">
        <v>38</v>
      </c>
      <c r="K17" s="214" t="s">
        <v>154</v>
      </c>
      <c r="L17" s="206">
        <v>1</v>
      </c>
      <c r="N17" s="206">
        <v>1</v>
      </c>
      <c r="O17" s="206">
        <v>1.35</v>
      </c>
      <c r="P17" s="206">
        <v>1.25</v>
      </c>
      <c r="Q17" s="215">
        <f t="shared" si="0"/>
        <v>1.3</v>
      </c>
      <c r="R17" s="206">
        <v>13.8</v>
      </c>
      <c r="S17" s="206">
        <v>128</v>
      </c>
      <c r="T17" s="215">
        <f t="shared" si="1"/>
        <v>27</v>
      </c>
      <c r="U17" s="206">
        <v>138</v>
      </c>
      <c r="V17" s="215">
        <f t="shared" si="2"/>
        <v>3726</v>
      </c>
      <c r="W17" s="206">
        <v>1</v>
      </c>
      <c r="X17" s="55" t="s">
        <v>39</v>
      </c>
      <c r="Y17" s="55" t="s">
        <v>84</v>
      </c>
      <c r="Z17" s="214" t="s">
        <v>40</v>
      </c>
      <c r="AA17" s="55" t="s">
        <v>69</v>
      </c>
      <c r="AB17" s="214" t="s">
        <v>333</v>
      </c>
      <c r="AE17" s="221" t="s">
        <v>85</v>
      </c>
      <c r="AP17" s="237" t="s">
        <v>110</v>
      </c>
      <c r="AR17" s="236" t="s">
        <v>96</v>
      </c>
      <c r="AV17" s="222" t="s">
        <v>86</v>
      </c>
    </row>
    <row r="18" spans="1:48" x14ac:dyDescent="0.15">
      <c r="A18" s="55" t="s">
        <v>56</v>
      </c>
      <c r="B18" s="55" t="s">
        <v>394</v>
      </c>
      <c r="C18" s="214">
        <v>2018</v>
      </c>
      <c r="D18" s="86" t="s">
        <v>395</v>
      </c>
      <c r="E18" s="214" t="s">
        <v>396</v>
      </c>
      <c r="F18" s="214" t="s">
        <v>170</v>
      </c>
      <c r="G18" s="55" t="s">
        <v>42</v>
      </c>
      <c r="H18" s="214" t="s">
        <v>155</v>
      </c>
      <c r="I18" s="55" t="s">
        <v>153</v>
      </c>
      <c r="J18" s="214" t="s">
        <v>38</v>
      </c>
      <c r="K18" s="214" t="s">
        <v>154</v>
      </c>
      <c r="L18" s="206">
        <v>2</v>
      </c>
      <c r="N18" s="206">
        <v>1</v>
      </c>
      <c r="O18" s="206">
        <v>1.4</v>
      </c>
      <c r="P18" s="206">
        <v>1.6</v>
      </c>
      <c r="Q18" s="215">
        <f t="shared" si="0"/>
        <v>1.5</v>
      </c>
      <c r="R18" s="206">
        <v>11.2</v>
      </c>
      <c r="S18" s="206">
        <v>130</v>
      </c>
      <c r="T18" s="215">
        <f t="shared" si="1"/>
        <v>25</v>
      </c>
      <c r="U18" s="206">
        <v>138</v>
      </c>
      <c r="V18" s="215">
        <f t="shared" si="2"/>
        <v>3450</v>
      </c>
      <c r="W18" s="206">
        <v>1</v>
      </c>
      <c r="X18" s="55" t="s">
        <v>39</v>
      </c>
      <c r="Y18" s="55" t="s">
        <v>84</v>
      </c>
      <c r="Z18" s="214" t="s">
        <v>40</v>
      </c>
      <c r="AA18" s="55" t="s">
        <v>69</v>
      </c>
      <c r="AB18" s="214" t="s">
        <v>333</v>
      </c>
      <c r="AE18" s="221" t="s">
        <v>87</v>
      </c>
      <c r="AP18" s="237" t="s">
        <v>111</v>
      </c>
      <c r="AR18" s="236" t="s">
        <v>101</v>
      </c>
      <c r="AV18" s="222" t="s">
        <v>88</v>
      </c>
    </row>
    <row r="19" spans="1:48" x14ac:dyDescent="0.15">
      <c r="A19" s="55" t="s">
        <v>56</v>
      </c>
      <c r="B19" s="55" t="s">
        <v>386</v>
      </c>
      <c r="C19" s="214">
        <v>2018</v>
      </c>
      <c r="D19" s="86" t="s">
        <v>387</v>
      </c>
      <c r="E19" s="214" t="s">
        <v>396</v>
      </c>
      <c r="F19" s="214" t="s">
        <v>170</v>
      </c>
      <c r="G19" s="55" t="s">
        <v>42</v>
      </c>
      <c r="H19" s="214" t="s">
        <v>155</v>
      </c>
      <c r="I19" s="55" t="s">
        <v>153</v>
      </c>
      <c r="J19" s="214" t="s">
        <v>38</v>
      </c>
      <c r="K19" s="214" t="s">
        <v>154</v>
      </c>
      <c r="L19" s="206">
        <v>3</v>
      </c>
      <c r="N19" s="206">
        <v>1</v>
      </c>
      <c r="O19" s="206">
        <v>0.9</v>
      </c>
      <c r="P19" s="206">
        <v>0.9</v>
      </c>
      <c r="Q19" s="215">
        <f t="shared" si="0"/>
        <v>0.9</v>
      </c>
      <c r="R19" s="206">
        <v>12.7</v>
      </c>
      <c r="S19" s="206">
        <v>128</v>
      </c>
      <c r="T19" s="215">
        <f t="shared" si="1"/>
        <v>27</v>
      </c>
      <c r="U19" s="206">
        <v>138</v>
      </c>
      <c r="V19" s="215">
        <f t="shared" si="2"/>
        <v>3726</v>
      </c>
      <c r="W19" s="206">
        <v>1</v>
      </c>
      <c r="X19" s="55" t="s">
        <v>39</v>
      </c>
      <c r="Y19" s="55" t="s">
        <v>84</v>
      </c>
      <c r="Z19" s="214" t="s">
        <v>40</v>
      </c>
      <c r="AA19" s="55" t="s">
        <v>69</v>
      </c>
      <c r="AB19" s="214" t="s">
        <v>333</v>
      </c>
      <c r="AE19" s="234" t="s">
        <v>89</v>
      </c>
      <c r="AP19" s="237" t="s">
        <v>112</v>
      </c>
      <c r="AR19" s="229" t="s">
        <v>126</v>
      </c>
      <c r="AV19" s="222" t="s">
        <v>90</v>
      </c>
    </row>
    <row r="20" spans="1:48" x14ac:dyDescent="0.15">
      <c r="A20" s="55" t="s">
        <v>56</v>
      </c>
      <c r="B20" s="55" t="s">
        <v>386</v>
      </c>
      <c r="C20" s="214">
        <v>2018</v>
      </c>
      <c r="D20" s="86" t="s">
        <v>387</v>
      </c>
      <c r="E20" s="214" t="s">
        <v>396</v>
      </c>
      <c r="F20" s="214" t="s">
        <v>170</v>
      </c>
      <c r="G20" s="55" t="s">
        <v>42</v>
      </c>
      <c r="H20" s="214" t="s">
        <v>127</v>
      </c>
      <c r="I20" s="55" t="s">
        <v>153</v>
      </c>
      <c r="J20" s="214" t="s">
        <v>53</v>
      </c>
      <c r="K20" s="214" t="s">
        <v>54</v>
      </c>
      <c r="L20" s="206">
        <v>1</v>
      </c>
      <c r="N20" s="206">
        <v>1</v>
      </c>
      <c r="O20" s="206">
        <v>2.5</v>
      </c>
      <c r="P20" s="206">
        <v>2.75</v>
      </c>
      <c r="Q20" s="215">
        <f t="shared" si="0"/>
        <v>2.625</v>
      </c>
      <c r="R20" s="206">
        <v>14</v>
      </c>
      <c r="S20" s="206">
        <v>141</v>
      </c>
      <c r="T20" s="215">
        <f t="shared" si="1"/>
        <v>22</v>
      </c>
      <c r="U20" s="206">
        <v>138</v>
      </c>
      <c r="V20" s="215">
        <f t="shared" si="2"/>
        <v>3036</v>
      </c>
      <c r="W20" s="206">
        <v>1</v>
      </c>
      <c r="X20" s="55" t="s">
        <v>39</v>
      </c>
      <c r="Y20" s="55" t="s">
        <v>84</v>
      </c>
      <c r="Z20" s="214" t="s">
        <v>40</v>
      </c>
      <c r="AA20" s="55" t="s">
        <v>69</v>
      </c>
      <c r="AB20" s="214" t="s">
        <v>333</v>
      </c>
      <c r="AP20" s="237" t="s">
        <v>113</v>
      </c>
      <c r="AR20" s="236" t="s">
        <v>105</v>
      </c>
      <c r="AV20" s="226" t="s">
        <v>351</v>
      </c>
    </row>
    <row r="21" spans="1:48" x14ac:dyDescent="0.15">
      <c r="A21" s="55" t="s">
        <v>56</v>
      </c>
      <c r="B21" s="55" t="s">
        <v>386</v>
      </c>
      <c r="C21" s="214">
        <v>2018</v>
      </c>
      <c r="D21" s="86" t="s">
        <v>387</v>
      </c>
      <c r="E21" s="214" t="s">
        <v>396</v>
      </c>
      <c r="F21" s="214" t="s">
        <v>170</v>
      </c>
      <c r="G21" s="55" t="s">
        <v>42</v>
      </c>
      <c r="H21" s="214" t="s">
        <v>127</v>
      </c>
      <c r="I21" s="55" t="s">
        <v>153</v>
      </c>
      <c r="J21" s="214" t="s">
        <v>53</v>
      </c>
      <c r="K21" s="214" t="s">
        <v>54</v>
      </c>
      <c r="L21" s="206">
        <v>2</v>
      </c>
      <c r="N21" s="206">
        <v>1</v>
      </c>
      <c r="O21" s="206">
        <v>2.2000000000000002</v>
      </c>
      <c r="P21" s="206">
        <v>2.25</v>
      </c>
      <c r="Q21" s="215">
        <f t="shared" si="0"/>
        <v>2.2250000000000001</v>
      </c>
      <c r="R21" s="206">
        <v>13.5</v>
      </c>
      <c r="S21" s="206">
        <v>133</v>
      </c>
      <c r="T21" s="215">
        <f t="shared" si="1"/>
        <v>25</v>
      </c>
      <c r="U21" s="206">
        <v>138</v>
      </c>
      <c r="V21" s="215">
        <f t="shared" si="2"/>
        <v>3450</v>
      </c>
      <c r="W21" s="206">
        <v>1</v>
      </c>
      <c r="X21" s="55" t="s">
        <v>39</v>
      </c>
      <c r="Y21" s="55" t="s">
        <v>84</v>
      </c>
      <c r="Z21" s="214" t="s">
        <v>40</v>
      </c>
      <c r="AA21" s="55" t="s">
        <v>69</v>
      </c>
      <c r="AB21" s="214" t="s">
        <v>333</v>
      </c>
      <c r="AP21" s="237" t="s">
        <v>114</v>
      </c>
      <c r="AR21" s="236" t="s">
        <v>68</v>
      </c>
      <c r="AV21" s="227" t="s">
        <v>397</v>
      </c>
    </row>
    <row r="22" spans="1:48" x14ac:dyDescent="0.15">
      <c r="A22" s="55" t="s">
        <v>56</v>
      </c>
      <c r="B22" s="55" t="s">
        <v>386</v>
      </c>
      <c r="C22" s="214">
        <v>2018</v>
      </c>
      <c r="D22" s="86" t="s">
        <v>387</v>
      </c>
      <c r="E22" s="214" t="s">
        <v>396</v>
      </c>
      <c r="F22" s="214" t="s">
        <v>170</v>
      </c>
      <c r="G22" s="55" t="s">
        <v>42</v>
      </c>
      <c r="H22" s="214" t="s">
        <v>127</v>
      </c>
      <c r="I22" s="55" t="s">
        <v>153</v>
      </c>
      <c r="J22" s="214" t="s">
        <v>53</v>
      </c>
      <c r="K22" s="214" t="s">
        <v>54</v>
      </c>
      <c r="L22" s="206">
        <v>3</v>
      </c>
      <c r="N22" s="206">
        <v>1</v>
      </c>
      <c r="O22" s="206">
        <v>1.7</v>
      </c>
      <c r="P22" s="206">
        <v>1.65</v>
      </c>
      <c r="Q22" s="215">
        <f t="shared" si="0"/>
        <v>1.6749999999999998</v>
      </c>
      <c r="R22" s="206">
        <v>12.9</v>
      </c>
      <c r="S22" s="206">
        <v>129</v>
      </c>
      <c r="T22" s="215">
        <f t="shared" si="1"/>
        <v>25</v>
      </c>
      <c r="U22" s="206">
        <v>138</v>
      </c>
      <c r="V22" s="215">
        <f t="shared" si="2"/>
        <v>3450</v>
      </c>
      <c r="W22" s="206">
        <v>1</v>
      </c>
      <c r="X22" s="55" t="s">
        <v>39</v>
      </c>
      <c r="Y22" s="55" t="s">
        <v>84</v>
      </c>
      <c r="Z22" s="214" t="s">
        <v>40</v>
      </c>
      <c r="AA22" s="55" t="s">
        <v>69</v>
      </c>
      <c r="AB22" s="214" t="s">
        <v>333</v>
      </c>
      <c r="AP22" s="237" t="s">
        <v>115</v>
      </c>
      <c r="AR22" s="236" t="s">
        <v>83</v>
      </c>
    </row>
    <row r="23" spans="1:48" x14ac:dyDescent="0.15">
      <c r="A23" s="55" t="s">
        <v>56</v>
      </c>
      <c r="B23" s="55" t="s">
        <v>386</v>
      </c>
      <c r="C23" s="214">
        <v>2018</v>
      </c>
      <c r="D23" s="86" t="s">
        <v>387</v>
      </c>
      <c r="E23" s="214" t="s">
        <v>171</v>
      </c>
      <c r="F23" s="214" t="s">
        <v>384</v>
      </c>
      <c r="G23" s="55" t="s">
        <v>42</v>
      </c>
      <c r="H23" s="214" t="s">
        <v>127</v>
      </c>
      <c r="I23" s="55" t="s">
        <v>156</v>
      </c>
      <c r="J23" s="214" t="s">
        <v>118</v>
      </c>
      <c r="K23" s="214" t="s">
        <v>96</v>
      </c>
      <c r="L23" s="206">
        <v>1</v>
      </c>
      <c r="N23" s="206">
        <v>9</v>
      </c>
      <c r="O23" s="206">
        <v>0.5</v>
      </c>
      <c r="P23" s="206">
        <v>0.55000000000000004</v>
      </c>
      <c r="Q23" s="215">
        <f t="shared" si="0"/>
        <v>0.52500000000000002</v>
      </c>
      <c r="R23" s="206">
        <v>12.7</v>
      </c>
      <c r="S23" s="206">
        <v>56</v>
      </c>
      <c r="T23" s="215">
        <f t="shared" si="1"/>
        <v>50</v>
      </c>
      <c r="U23" s="206">
        <v>431</v>
      </c>
      <c r="V23" s="215">
        <f t="shared" si="2"/>
        <v>2394.4444444444443</v>
      </c>
      <c r="W23" s="206">
        <v>2</v>
      </c>
      <c r="X23" s="55" t="s">
        <v>39</v>
      </c>
      <c r="Y23" s="55" t="s">
        <v>84</v>
      </c>
      <c r="Z23" s="214" t="s">
        <v>90</v>
      </c>
      <c r="AA23" s="55" t="s">
        <v>40</v>
      </c>
      <c r="AB23" s="214" t="s">
        <v>333</v>
      </c>
      <c r="AP23" s="237" t="s">
        <v>398</v>
      </c>
      <c r="AR23" s="236" t="s">
        <v>61</v>
      </c>
    </row>
    <row r="24" spans="1:48" x14ac:dyDescent="0.15">
      <c r="A24" s="55" t="s">
        <v>56</v>
      </c>
      <c r="B24" s="55" t="s">
        <v>386</v>
      </c>
      <c r="C24" s="214">
        <v>2018</v>
      </c>
      <c r="D24" s="86" t="s">
        <v>387</v>
      </c>
      <c r="E24" s="214" t="s">
        <v>171</v>
      </c>
      <c r="F24" s="214" t="s">
        <v>384</v>
      </c>
      <c r="G24" s="55" t="s">
        <v>42</v>
      </c>
      <c r="H24" s="214" t="s">
        <v>127</v>
      </c>
      <c r="I24" s="55" t="s">
        <v>156</v>
      </c>
      <c r="J24" s="214" t="s">
        <v>118</v>
      </c>
      <c r="K24" s="214" t="s">
        <v>96</v>
      </c>
      <c r="L24" s="206">
        <v>2</v>
      </c>
      <c r="N24" s="206">
        <v>9</v>
      </c>
      <c r="O24" s="206">
        <v>0.7</v>
      </c>
      <c r="P24" s="206">
        <v>0.8</v>
      </c>
      <c r="Q24" s="215">
        <f t="shared" si="0"/>
        <v>0.75</v>
      </c>
      <c r="R24" s="206">
        <v>11.6</v>
      </c>
      <c r="S24" s="206">
        <v>58</v>
      </c>
      <c r="T24" s="215">
        <f t="shared" si="1"/>
        <v>50</v>
      </c>
      <c r="U24" s="206">
        <v>431</v>
      </c>
      <c r="V24" s="215">
        <f t="shared" si="2"/>
        <v>2394.4444444444443</v>
      </c>
      <c r="W24" s="206">
        <v>2</v>
      </c>
      <c r="X24" s="55" t="s">
        <v>39</v>
      </c>
      <c r="Y24" s="55" t="s">
        <v>84</v>
      </c>
      <c r="Z24" s="214" t="s">
        <v>90</v>
      </c>
      <c r="AA24" s="55" t="s">
        <v>40</v>
      </c>
      <c r="AB24" s="214" t="s">
        <v>333</v>
      </c>
      <c r="AP24" s="237" t="s">
        <v>399</v>
      </c>
      <c r="AR24" s="236" t="s">
        <v>91</v>
      </c>
    </row>
    <row r="25" spans="1:48" x14ac:dyDescent="0.15">
      <c r="A25" s="55" t="s">
        <v>56</v>
      </c>
      <c r="B25" s="55" t="s">
        <v>386</v>
      </c>
      <c r="C25" s="214">
        <v>2018</v>
      </c>
      <c r="D25" s="86" t="s">
        <v>387</v>
      </c>
      <c r="E25" s="214" t="s">
        <v>171</v>
      </c>
      <c r="F25" s="214" t="s">
        <v>384</v>
      </c>
      <c r="G25" s="55" t="s">
        <v>42</v>
      </c>
      <c r="H25" s="214" t="s">
        <v>127</v>
      </c>
      <c r="I25" s="55" t="s">
        <v>156</v>
      </c>
      <c r="J25" s="214" t="s">
        <v>118</v>
      </c>
      <c r="K25" s="214" t="s">
        <v>96</v>
      </c>
      <c r="L25" s="206">
        <v>3</v>
      </c>
      <c r="N25" s="206">
        <v>9</v>
      </c>
      <c r="O25" s="206">
        <v>0.6</v>
      </c>
      <c r="P25" s="206">
        <v>0.7</v>
      </c>
      <c r="Q25" s="215">
        <f t="shared" si="0"/>
        <v>0.64999999999999991</v>
      </c>
      <c r="R25" s="206">
        <v>11.8</v>
      </c>
      <c r="S25" s="206">
        <v>57</v>
      </c>
      <c r="T25" s="215">
        <f t="shared" si="1"/>
        <v>50</v>
      </c>
      <c r="U25" s="206">
        <v>431</v>
      </c>
      <c r="V25" s="215">
        <f t="shared" si="2"/>
        <v>2394.4444444444443</v>
      </c>
      <c r="W25" s="206">
        <v>2</v>
      </c>
      <c r="X25" s="55" t="s">
        <v>39</v>
      </c>
      <c r="Y25" s="55" t="s">
        <v>84</v>
      </c>
      <c r="Z25" s="214" t="s">
        <v>90</v>
      </c>
      <c r="AA25" s="55" t="s">
        <v>40</v>
      </c>
      <c r="AB25" s="214" t="s">
        <v>333</v>
      </c>
      <c r="AP25" s="237" t="s">
        <v>116</v>
      </c>
      <c r="AR25" s="42" t="s">
        <v>92</v>
      </c>
    </row>
    <row r="26" spans="1:48" x14ac:dyDescent="0.15">
      <c r="A26" s="55" t="s">
        <v>56</v>
      </c>
      <c r="B26" s="55" t="s">
        <v>386</v>
      </c>
      <c r="C26" s="214">
        <v>2018</v>
      </c>
      <c r="D26" s="86" t="s">
        <v>387</v>
      </c>
      <c r="E26" s="214" t="s">
        <v>309</v>
      </c>
      <c r="F26" s="214" t="s">
        <v>384</v>
      </c>
      <c r="G26" s="55" t="s">
        <v>42</v>
      </c>
      <c r="H26" s="214" t="s">
        <v>155</v>
      </c>
      <c r="I26" s="55" t="s">
        <v>153</v>
      </c>
      <c r="J26" s="214" t="s">
        <v>38</v>
      </c>
      <c r="K26" s="214" t="s">
        <v>154</v>
      </c>
      <c r="L26" s="206">
        <v>1</v>
      </c>
      <c r="N26" s="206">
        <v>5</v>
      </c>
      <c r="O26" s="206">
        <v>0.85</v>
      </c>
      <c r="P26" s="206">
        <v>0.9</v>
      </c>
      <c r="Q26" s="215">
        <f t="shared" si="0"/>
        <v>0.875</v>
      </c>
      <c r="R26" s="206">
        <v>12.5</v>
      </c>
      <c r="S26" s="206">
        <v>88</v>
      </c>
      <c r="T26" s="215">
        <f t="shared" si="1"/>
        <v>36</v>
      </c>
      <c r="U26" s="206">
        <v>429</v>
      </c>
      <c r="V26" s="215">
        <f t="shared" si="2"/>
        <v>3088.7999999999997</v>
      </c>
      <c r="W26" s="206">
        <v>2</v>
      </c>
      <c r="X26" s="55" t="s">
        <v>46</v>
      </c>
      <c r="Y26" s="55" t="s">
        <v>84</v>
      </c>
      <c r="Z26" s="214" t="s">
        <v>40</v>
      </c>
      <c r="AA26" s="55" t="s">
        <v>90</v>
      </c>
      <c r="AB26" s="214" t="s">
        <v>333</v>
      </c>
      <c r="AP26" s="237" t="s">
        <v>117</v>
      </c>
      <c r="AR26" s="206" t="s">
        <v>283</v>
      </c>
    </row>
    <row r="27" spans="1:48" x14ac:dyDescent="0.15">
      <c r="A27" s="55" t="s">
        <v>56</v>
      </c>
      <c r="B27" s="55" t="s">
        <v>386</v>
      </c>
      <c r="C27" s="214">
        <v>2018</v>
      </c>
      <c r="D27" s="86" t="s">
        <v>387</v>
      </c>
      <c r="E27" s="214" t="s">
        <v>309</v>
      </c>
      <c r="F27" s="214" t="s">
        <v>384</v>
      </c>
      <c r="G27" s="55" t="s">
        <v>42</v>
      </c>
      <c r="H27" s="214" t="s">
        <v>155</v>
      </c>
      <c r="I27" s="55" t="s">
        <v>153</v>
      </c>
      <c r="J27" s="214" t="s">
        <v>38</v>
      </c>
      <c r="K27" s="214" t="s">
        <v>154</v>
      </c>
      <c r="L27" s="206">
        <v>2</v>
      </c>
      <c r="N27" s="206">
        <v>5</v>
      </c>
      <c r="O27" s="206">
        <v>1</v>
      </c>
      <c r="P27" s="206">
        <v>1</v>
      </c>
      <c r="Q27" s="215">
        <f t="shared" si="0"/>
        <v>1</v>
      </c>
      <c r="R27" s="206">
        <v>14</v>
      </c>
      <c r="S27" s="206">
        <v>93</v>
      </c>
      <c r="T27" s="215">
        <f t="shared" si="1"/>
        <v>36</v>
      </c>
      <c r="U27" s="206">
        <v>429</v>
      </c>
      <c r="V27" s="215">
        <f t="shared" si="2"/>
        <v>3088.7999999999997</v>
      </c>
      <c r="W27" s="206">
        <v>2</v>
      </c>
      <c r="X27" s="55" t="s">
        <v>46</v>
      </c>
      <c r="Y27" s="55" t="s">
        <v>84</v>
      </c>
      <c r="Z27" s="214" t="s">
        <v>40</v>
      </c>
      <c r="AA27" s="55" t="s">
        <v>90</v>
      </c>
      <c r="AB27" s="214" t="s">
        <v>333</v>
      </c>
      <c r="AP27" s="237" t="s">
        <v>118</v>
      </c>
    </row>
    <row r="28" spans="1:48" x14ac:dyDescent="0.15">
      <c r="A28" s="55" t="s">
        <v>56</v>
      </c>
      <c r="B28" s="55" t="s">
        <v>386</v>
      </c>
      <c r="C28" s="214">
        <v>2018</v>
      </c>
      <c r="D28" s="86" t="s">
        <v>387</v>
      </c>
      <c r="E28" s="214" t="s">
        <v>309</v>
      </c>
      <c r="F28" s="214" t="s">
        <v>384</v>
      </c>
      <c r="G28" s="55" t="s">
        <v>42</v>
      </c>
      <c r="H28" s="214" t="s">
        <v>155</v>
      </c>
      <c r="I28" s="55" t="s">
        <v>153</v>
      </c>
      <c r="J28" s="214" t="s">
        <v>38</v>
      </c>
      <c r="K28" s="214" t="s">
        <v>154</v>
      </c>
      <c r="L28" s="206">
        <v>3</v>
      </c>
      <c r="N28" s="206">
        <v>5</v>
      </c>
      <c r="O28" s="206">
        <v>0.95</v>
      </c>
      <c r="P28" s="206">
        <v>1</v>
      </c>
      <c r="Q28" s="215">
        <f t="shared" si="0"/>
        <v>0.97499999999999998</v>
      </c>
      <c r="R28" s="206">
        <v>13.7</v>
      </c>
      <c r="S28" s="206">
        <v>83</v>
      </c>
      <c r="T28" s="215">
        <f t="shared" si="1"/>
        <v>39</v>
      </c>
      <c r="U28" s="206">
        <v>429</v>
      </c>
      <c r="V28" s="215">
        <f t="shared" si="2"/>
        <v>3346.2</v>
      </c>
      <c r="W28" s="206">
        <v>2</v>
      </c>
      <c r="X28" s="55" t="s">
        <v>46</v>
      </c>
      <c r="Y28" s="55" t="s">
        <v>84</v>
      </c>
      <c r="Z28" s="214" t="s">
        <v>40</v>
      </c>
      <c r="AA28" s="55" t="s">
        <v>90</v>
      </c>
      <c r="AB28" s="214" t="s">
        <v>333</v>
      </c>
    </row>
    <row r="29" spans="1:48" x14ac:dyDescent="0.15">
      <c r="A29" s="55" t="s">
        <v>56</v>
      </c>
      <c r="B29" s="55" t="s">
        <v>386</v>
      </c>
      <c r="C29" s="214">
        <v>2018</v>
      </c>
      <c r="D29" s="86" t="s">
        <v>387</v>
      </c>
      <c r="E29" s="214" t="s">
        <v>309</v>
      </c>
      <c r="F29" s="214" t="s">
        <v>384</v>
      </c>
      <c r="G29" s="55" t="s">
        <v>42</v>
      </c>
      <c r="H29" s="214" t="s">
        <v>128</v>
      </c>
      <c r="I29" s="55" t="s">
        <v>153</v>
      </c>
      <c r="J29" s="214" t="s">
        <v>80</v>
      </c>
      <c r="K29" s="214" t="s">
        <v>63</v>
      </c>
      <c r="L29" s="206">
        <v>1</v>
      </c>
      <c r="N29" s="206">
        <v>1</v>
      </c>
      <c r="O29" s="206">
        <v>1.3</v>
      </c>
      <c r="P29" s="206">
        <v>1.75</v>
      </c>
      <c r="Q29" s="215">
        <f t="shared" si="0"/>
        <v>1.5249999999999999</v>
      </c>
      <c r="R29" s="206">
        <v>12.4</v>
      </c>
      <c r="S29" s="206">
        <v>101</v>
      </c>
      <c r="T29" s="215">
        <f t="shared" si="1"/>
        <v>33</v>
      </c>
      <c r="U29" s="206">
        <v>105</v>
      </c>
      <c r="V29" s="215">
        <f t="shared" si="2"/>
        <v>3465</v>
      </c>
      <c r="W29" s="206">
        <v>2</v>
      </c>
      <c r="X29" s="55" t="s">
        <v>46</v>
      </c>
      <c r="Y29" s="55" t="s">
        <v>84</v>
      </c>
      <c r="Z29" s="214" t="s">
        <v>40</v>
      </c>
      <c r="AA29" s="55" t="s">
        <v>90</v>
      </c>
      <c r="AB29" s="214" t="s">
        <v>333</v>
      </c>
    </row>
    <row r="30" spans="1:48" x14ac:dyDescent="0.15">
      <c r="A30" s="55" t="s">
        <v>56</v>
      </c>
      <c r="B30" s="55" t="s">
        <v>386</v>
      </c>
      <c r="C30" s="214">
        <v>2018</v>
      </c>
      <c r="D30" s="86" t="s">
        <v>387</v>
      </c>
      <c r="E30" s="214" t="s">
        <v>309</v>
      </c>
      <c r="F30" s="214" t="s">
        <v>384</v>
      </c>
      <c r="G30" s="55" t="s">
        <v>42</v>
      </c>
      <c r="H30" s="214" t="s">
        <v>128</v>
      </c>
      <c r="I30" s="55" t="s">
        <v>153</v>
      </c>
      <c r="J30" s="214" t="s">
        <v>80</v>
      </c>
      <c r="K30" s="214" t="s">
        <v>63</v>
      </c>
      <c r="L30" s="206">
        <v>2</v>
      </c>
      <c r="N30" s="206">
        <v>1</v>
      </c>
      <c r="O30" s="206">
        <v>0.7</v>
      </c>
      <c r="P30" s="206">
        <v>0.75</v>
      </c>
      <c r="Q30" s="215">
        <f t="shared" si="0"/>
        <v>0.72499999999999998</v>
      </c>
      <c r="R30" s="206">
        <v>14.7</v>
      </c>
      <c r="S30" s="206">
        <v>94</v>
      </c>
      <c r="T30" s="215">
        <f t="shared" si="1"/>
        <v>36</v>
      </c>
      <c r="U30" s="206">
        <v>105</v>
      </c>
      <c r="V30" s="215">
        <f t="shared" si="2"/>
        <v>3780</v>
      </c>
      <c r="W30" s="206">
        <v>2</v>
      </c>
      <c r="X30" s="55" t="s">
        <v>46</v>
      </c>
      <c r="Y30" s="55" t="s">
        <v>84</v>
      </c>
      <c r="Z30" s="214" t="s">
        <v>40</v>
      </c>
      <c r="AA30" s="55" t="s">
        <v>90</v>
      </c>
      <c r="AB30" s="214" t="s">
        <v>333</v>
      </c>
    </row>
    <row r="31" spans="1:48" x14ac:dyDescent="0.15">
      <c r="A31" s="55" t="s">
        <v>56</v>
      </c>
      <c r="B31" s="55" t="s">
        <v>386</v>
      </c>
      <c r="C31" s="214">
        <v>2018</v>
      </c>
      <c r="D31" s="86" t="s">
        <v>387</v>
      </c>
      <c r="E31" s="214" t="s">
        <v>309</v>
      </c>
      <c r="F31" s="214" t="s">
        <v>384</v>
      </c>
      <c r="G31" s="55" t="s">
        <v>42</v>
      </c>
      <c r="H31" s="214" t="s">
        <v>128</v>
      </c>
      <c r="I31" s="55" t="s">
        <v>153</v>
      </c>
      <c r="J31" s="214" t="s">
        <v>80</v>
      </c>
      <c r="K31" s="214" t="s">
        <v>63</v>
      </c>
      <c r="L31" s="206">
        <v>3</v>
      </c>
      <c r="N31" s="206">
        <v>1</v>
      </c>
      <c r="O31" s="206">
        <v>0.9</v>
      </c>
      <c r="P31" s="206">
        <v>0.95</v>
      </c>
      <c r="Q31" s="215">
        <f t="shared" si="0"/>
        <v>0.92500000000000004</v>
      </c>
      <c r="R31" s="206">
        <v>15.1</v>
      </c>
      <c r="S31" s="206">
        <v>104</v>
      </c>
      <c r="T31" s="215">
        <f t="shared" si="1"/>
        <v>33</v>
      </c>
      <c r="U31" s="206">
        <v>105</v>
      </c>
      <c r="V31" s="215">
        <f t="shared" si="2"/>
        <v>3465</v>
      </c>
      <c r="W31" s="206">
        <v>2</v>
      </c>
      <c r="X31" s="55" t="s">
        <v>46</v>
      </c>
      <c r="Y31" s="55" t="s">
        <v>84</v>
      </c>
      <c r="Z31" s="214" t="s">
        <v>40</v>
      </c>
      <c r="AA31" s="55" t="s">
        <v>90</v>
      </c>
      <c r="AB31" s="214" t="s">
        <v>333</v>
      </c>
    </row>
    <row r="32" spans="1:48" x14ac:dyDescent="0.15">
      <c r="A32" s="55" t="s">
        <v>56</v>
      </c>
      <c r="B32" s="55" t="s">
        <v>386</v>
      </c>
      <c r="C32" s="214">
        <v>2018</v>
      </c>
      <c r="D32" s="86" t="s">
        <v>387</v>
      </c>
      <c r="E32" s="214" t="s">
        <v>368</v>
      </c>
      <c r="F32" s="214" t="s">
        <v>384</v>
      </c>
      <c r="G32" s="55" t="s">
        <v>42</v>
      </c>
      <c r="H32" s="214" t="s">
        <v>205</v>
      </c>
      <c r="I32" s="55" t="s">
        <v>153</v>
      </c>
      <c r="J32" s="214" t="s">
        <v>38</v>
      </c>
      <c r="K32" s="214" t="s">
        <v>54</v>
      </c>
      <c r="L32" s="206">
        <v>1</v>
      </c>
      <c r="N32" s="206">
        <v>6</v>
      </c>
      <c r="O32" s="206">
        <v>0.7</v>
      </c>
      <c r="P32" s="206">
        <v>0.65</v>
      </c>
      <c r="Q32" s="215">
        <f t="shared" si="0"/>
        <v>0.67500000000000004</v>
      </c>
      <c r="R32" s="206">
        <v>11.4</v>
      </c>
      <c r="S32" s="206">
        <v>102</v>
      </c>
      <c r="T32" s="215">
        <f t="shared" si="1"/>
        <v>36</v>
      </c>
      <c r="U32" s="206">
        <v>429</v>
      </c>
      <c r="V32" s="215">
        <f t="shared" si="2"/>
        <v>2574</v>
      </c>
      <c r="W32" s="206">
        <v>1</v>
      </c>
      <c r="X32" s="55" t="s">
        <v>46</v>
      </c>
      <c r="Y32" s="55" t="s">
        <v>84</v>
      </c>
      <c r="Z32" s="206" t="s">
        <v>90</v>
      </c>
      <c r="AA32" s="55" t="s">
        <v>40</v>
      </c>
      <c r="AB32" s="214" t="s">
        <v>333</v>
      </c>
    </row>
    <row r="33" spans="1:28" x14ac:dyDescent="0.15">
      <c r="A33" s="55" t="s">
        <v>56</v>
      </c>
      <c r="B33" s="55" t="s">
        <v>386</v>
      </c>
      <c r="C33" s="214">
        <v>2018</v>
      </c>
      <c r="D33" s="86" t="s">
        <v>387</v>
      </c>
      <c r="E33" s="214" t="s">
        <v>368</v>
      </c>
      <c r="F33" s="214" t="s">
        <v>384</v>
      </c>
      <c r="G33" s="55" t="s">
        <v>42</v>
      </c>
      <c r="H33" s="214" t="s">
        <v>205</v>
      </c>
      <c r="I33" s="55" t="s">
        <v>153</v>
      </c>
      <c r="J33" s="214" t="s">
        <v>38</v>
      </c>
      <c r="K33" s="214" t="s">
        <v>54</v>
      </c>
      <c r="L33" s="206">
        <v>2</v>
      </c>
      <c r="N33" s="206">
        <v>6</v>
      </c>
      <c r="O33" s="206">
        <v>0.85</v>
      </c>
      <c r="P33" s="206">
        <v>1</v>
      </c>
      <c r="Q33" s="215">
        <f t="shared" si="0"/>
        <v>0.92500000000000004</v>
      </c>
      <c r="R33" s="206">
        <v>12.2</v>
      </c>
      <c r="S33" s="206">
        <v>96</v>
      </c>
      <c r="T33" s="215">
        <f t="shared" si="1"/>
        <v>39</v>
      </c>
      <c r="U33" s="206">
        <v>429</v>
      </c>
      <c r="V33" s="215">
        <f t="shared" si="2"/>
        <v>2788.5</v>
      </c>
      <c r="W33" s="206">
        <v>1</v>
      </c>
      <c r="X33" s="55" t="s">
        <v>46</v>
      </c>
      <c r="Y33" s="55" t="s">
        <v>84</v>
      </c>
      <c r="Z33" s="206" t="s">
        <v>90</v>
      </c>
      <c r="AA33" s="55" t="s">
        <v>40</v>
      </c>
      <c r="AB33" s="214" t="s">
        <v>333</v>
      </c>
    </row>
    <row r="34" spans="1:28" x14ac:dyDescent="0.15">
      <c r="A34" s="55" t="s">
        <v>56</v>
      </c>
      <c r="B34" s="55" t="s">
        <v>386</v>
      </c>
      <c r="C34" s="214">
        <v>2018</v>
      </c>
      <c r="D34" s="86" t="s">
        <v>387</v>
      </c>
      <c r="E34" s="214" t="s">
        <v>368</v>
      </c>
      <c r="F34" s="214" t="s">
        <v>384</v>
      </c>
      <c r="G34" s="55" t="s">
        <v>42</v>
      </c>
      <c r="H34" s="214" t="s">
        <v>205</v>
      </c>
      <c r="I34" s="55" t="s">
        <v>153</v>
      </c>
      <c r="J34" s="214" t="s">
        <v>38</v>
      </c>
      <c r="K34" s="214" t="s">
        <v>54</v>
      </c>
      <c r="L34" s="206">
        <v>3</v>
      </c>
      <c r="N34" s="206">
        <v>6</v>
      </c>
      <c r="O34" s="206">
        <v>0.8</v>
      </c>
      <c r="P34" s="206">
        <v>0.9</v>
      </c>
      <c r="Q34" s="215">
        <f t="shared" si="0"/>
        <v>0.85000000000000009</v>
      </c>
      <c r="R34" s="206">
        <v>11.9</v>
      </c>
      <c r="S34" s="206">
        <v>100</v>
      </c>
      <c r="T34" s="215">
        <f t="shared" si="1"/>
        <v>36</v>
      </c>
      <c r="U34" s="206">
        <v>429</v>
      </c>
      <c r="V34" s="215">
        <f t="shared" si="2"/>
        <v>2574</v>
      </c>
      <c r="W34" s="206">
        <v>1</v>
      </c>
      <c r="X34" s="55" t="s">
        <v>46</v>
      </c>
      <c r="Y34" s="55" t="s">
        <v>84</v>
      </c>
      <c r="Z34" s="206" t="s">
        <v>90</v>
      </c>
      <c r="AA34" s="55" t="s">
        <v>40</v>
      </c>
      <c r="AB34" s="214" t="s">
        <v>333</v>
      </c>
    </row>
    <row r="35" spans="1:28" x14ac:dyDescent="0.15">
      <c r="A35" s="55" t="s">
        <v>56</v>
      </c>
      <c r="B35" s="55" t="s">
        <v>386</v>
      </c>
      <c r="C35" s="214">
        <v>2018</v>
      </c>
      <c r="D35" s="86" t="s">
        <v>387</v>
      </c>
      <c r="E35" s="214" t="s">
        <v>400</v>
      </c>
      <c r="F35" s="214" t="s">
        <v>384</v>
      </c>
      <c r="G35" s="55" t="s">
        <v>42</v>
      </c>
      <c r="H35" s="214" t="s">
        <v>155</v>
      </c>
      <c r="I35" s="55" t="s">
        <v>153</v>
      </c>
      <c r="J35" s="214" t="s">
        <v>38</v>
      </c>
      <c r="K35" s="214" t="s">
        <v>154</v>
      </c>
      <c r="L35" s="206">
        <v>1</v>
      </c>
      <c r="N35" s="206">
        <v>1</v>
      </c>
      <c r="O35" s="206">
        <v>0.75</v>
      </c>
      <c r="P35" s="206">
        <v>0.8</v>
      </c>
      <c r="Q35" s="215">
        <f t="shared" si="0"/>
        <v>0.77500000000000002</v>
      </c>
      <c r="R35" s="206">
        <v>13.9</v>
      </c>
      <c r="S35" s="206">
        <v>142</v>
      </c>
      <c r="T35" s="215">
        <f t="shared" si="1"/>
        <v>22</v>
      </c>
      <c r="U35" s="206">
        <v>139</v>
      </c>
      <c r="V35" s="215">
        <f t="shared" si="2"/>
        <v>3058</v>
      </c>
      <c r="W35" s="206">
        <v>2</v>
      </c>
      <c r="X35" s="55" t="s">
        <v>46</v>
      </c>
      <c r="Y35" s="55" t="s">
        <v>84</v>
      </c>
      <c r="Z35" s="206" t="s">
        <v>90</v>
      </c>
      <c r="AA35" s="55" t="s">
        <v>40</v>
      </c>
      <c r="AB35" s="214" t="s">
        <v>333</v>
      </c>
    </row>
    <row r="36" spans="1:28" x14ac:dyDescent="0.15">
      <c r="A36" s="55" t="s">
        <v>56</v>
      </c>
      <c r="B36" s="55" t="s">
        <v>386</v>
      </c>
      <c r="C36" s="214">
        <v>2018</v>
      </c>
      <c r="D36" s="86" t="s">
        <v>387</v>
      </c>
      <c r="E36" s="214" t="s">
        <v>400</v>
      </c>
      <c r="F36" s="214" t="s">
        <v>384</v>
      </c>
      <c r="G36" s="55" t="s">
        <v>42</v>
      </c>
      <c r="H36" s="214" t="s">
        <v>155</v>
      </c>
      <c r="I36" s="55" t="s">
        <v>153</v>
      </c>
      <c r="J36" s="214" t="s">
        <v>38</v>
      </c>
      <c r="K36" s="214" t="s">
        <v>154</v>
      </c>
      <c r="L36" s="206">
        <v>2</v>
      </c>
      <c r="N36" s="206">
        <v>1</v>
      </c>
      <c r="O36" s="206">
        <v>0.65</v>
      </c>
      <c r="P36" s="206">
        <v>0.65</v>
      </c>
      <c r="Q36" s="215">
        <f t="shared" si="0"/>
        <v>0.65</v>
      </c>
      <c r="R36" s="206">
        <v>13</v>
      </c>
      <c r="S36" s="206">
        <v>140</v>
      </c>
      <c r="T36" s="215">
        <f t="shared" si="1"/>
        <v>22</v>
      </c>
      <c r="U36" s="206">
        <v>139</v>
      </c>
      <c r="V36" s="215">
        <f t="shared" si="2"/>
        <v>3058</v>
      </c>
      <c r="W36" s="206">
        <v>2</v>
      </c>
      <c r="X36" s="55" t="s">
        <v>46</v>
      </c>
      <c r="Y36" s="55" t="s">
        <v>84</v>
      </c>
      <c r="Z36" s="206" t="s">
        <v>90</v>
      </c>
      <c r="AA36" s="55" t="s">
        <v>40</v>
      </c>
      <c r="AB36" s="214" t="s">
        <v>333</v>
      </c>
    </row>
    <row r="37" spans="1:28" x14ac:dyDescent="0.15">
      <c r="A37" s="55" t="s">
        <v>56</v>
      </c>
      <c r="B37" s="55" t="s">
        <v>386</v>
      </c>
      <c r="C37" s="214">
        <v>2018</v>
      </c>
      <c r="D37" s="86" t="s">
        <v>387</v>
      </c>
      <c r="E37" s="214" t="s">
        <v>400</v>
      </c>
      <c r="F37" s="214" t="s">
        <v>384</v>
      </c>
      <c r="G37" s="55" t="s">
        <v>42</v>
      </c>
      <c r="H37" s="214" t="s">
        <v>155</v>
      </c>
      <c r="I37" s="55" t="s">
        <v>153</v>
      </c>
      <c r="J37" s="214" t="s">
        <v>38</v>
      </c>
      <c r="K37" s="214" t="s">
        <v>154</v>
      </c>
      <c r="L37" s="206">
        <v>3</v>
      </c>
      <c r="N37" s="206">
        <v>1</v>
      </c>
      <c r="O37" s="206">
        <v>0.75</v>
      </c>
      <c r="P37" s="206">
        <v>0.75</v>
      </c>
      <c r="Q37" s="215">
        <f t="shared" si="0"/>
        <v>0.75</v>
      </c>
      <c r="R37" s="206">
        <v>13.5</v>
      </c>
      <c r="S37" s="206">
        <v>131</v>
      </c>
      <c r="T37" s="215">
        <f t="shared" si="1"/>
        <v>25</v>
      </c>
      <c r="U37" s="206">
        <v>139</v>
      </c>
      <c r="V37" s="215">
        <f t="shared" si="2"/>
        <v>3475</v>
      </c>
      <c r="W37" s="206">
        <v>2</v>
      </c>
      <c r="X37" s="55" t="s">
        <v>46</v>
      </c>
      <c r="Y37" s="55" t="s">
        <v>84</v>
      </c>
      <c r="Z37" s="206" t="s">
        <v>90</v>
      </c>
      <c r="AA37" s="55" t="s">
        <v>40</v>
      </c>
      <c r="AB37" s="214" t="s">
        <v>333</v>
      </c>
    </row>
    <row r="38" spans="1:28" x14ac:dyDescent="0.15">
      <c r="A38" s="55"/>
      <c r="B38" s="55"/>
      <c r="C38" s="214"/>
      <c r="D38" s="86"/>
      <c r="E38" s="214"/>
      <c r="F38" s="214"/>
      <c r="G38" s="55"/>
      <c r="H38" s="214"/>
      <c r="I38" s="55"/>
      <c r="J38" s="214"/>
      <c r="K38" s="214"/>
      <c r="X38" s="55"/>
      <c r="Y38" s="55"/>
      <c r="AA38" s="55"/>
    </row>
    <row r="39" spans="1:28" x14ac:dyDescent="0.15">
      <c r="A39" s="55"/>
      <c r="B39" s="55"/>
      <c r="C39" s="214"/>
      <c r="D39" s="86"/>
      <c r="E39" s="214"/>
      <c r="F39" s="214"/>
      <c r="G39" s="55"/>
      <c r="H39" s="214"/>
      <c r="I39" s="55"/>
      <c r="J39" s="214"/>
      <c r="K39" s="214"/>
      <c r="X39" s="55"/>
      <c r="Y39" s="55"/>
      <c r="AA39" s="55"/>
    </row>
    <row r="40" spans="1:28" x14ac:dyDescent="0.15">
      <c r="A40" s="55"/>
      <c r="B40" s="55"/>
      <c r="C40" s="214"/>
      <c r="D40" s="86"/>
      <c r="E40" s="214"/>
      <c r="F40" s="214"/>
      <c r="G40" s="55"/>
      <c r="H40" s="214"/>
      <c r="I40" s="55"/>
      <c r="J40" s="214"/>
      <c r="K40" s="214"/>
      <c r="X40" s="55"/>
      <c r="Y40" s="55"/>
      <c r="AA40" s="55"/>
    </row>
    <row r="41" spans="1:28" x14ac:dyDescent="0.15">
      <c r="A41" s="55"/>
      <c r="B41" s="55"/>
      <c r="C41" s="214"/>
      <c r="D41" s="86"/>
      <c r="E41" s="214"/>
      <c r="F41" s="214"/>
      <c r="G41" s="55"/>
      <c r="H41" s="214"/>
      <c r="I41" s="55"/>
      <c r="J41" s="214"/>
      <c r="K41" s="214"/>
      <c r="X41" s="55"/>
      <c r="Y41" s="55"/>
      <c r="AA41" s="55"/>
    </row>
    <row r="42" spans="1:28" x14ac:dyDescent="0.15">
      <c r="A42" s="55"/>
      <c r="B42" s="55"/>
      <c r="C42" s="214"/>
      <c r="D42" s="86"/>
      <c r="E42" s="214"/>
      <c r="F42" s="214"/>
      <c r="G42" s="55"/>
      <c r="H42" s="214"/>
      <c r="I42" s="55"/>
      <c r="J42" s="214"/>
      <c r="K42" s="214"/>
      <c r="X42" s="55"/>
      <c r="Y42" s="55"/>
      <c r="AA42" s="55"/>
    </row>
    <row r="43" spans="1:28" x14ac:dyDescent="0.15">
      <c r="A43" s="55"/>
      <c r="B43" s="55"/>
      <c r="C43" s="214"/>
      <c r="D43" s="86"/>
      <c r="E43" s="214"/>
      <c r="F43" s="214"/>
      <c r="G43" s="55"/>
      <c r="H43" s="214"/>
      <c r="I43" s="55"/>
      <c r="J43" s="214"/>
      <c r="K43" s="214"/>
      <c r="X43" s="55"/>
      <c r="Y43" s="55"/>
      <c r="AA43" s="55"/>
    </row>
    <row r="44" spans="1:28" x14ac:dyDescent="0.15">
      <c r="A44" s="55"/>
      <c r="B44" s="55"/>
      <c r="C44" s="214"/>
      <c r="D44" s="86"/>
      <c r="E44" s="214"/>
      <c r="F44" s="214"/>
      <c r="G44" s="55"/>
      <c r="H44" s="214"/>
      <c r="I44" s="55"/>
      <c r="J44" s="214"/>
      <c r="K44" s="214"/>
      <c r="X44" s="55"/>
      <c r="Y44" s="55"/>
      <c r="AA44" s="55"/>
    </row>
    <row r="45" spans="1:28" x14ac:dyDescent="0.15">
      <c r="A45" s="55"/>
      <c r="B45" s="55"/>
      <c r="C45" s="214"/>
      <c r="D45" s="86"/>
      <c r="E45" s="214"/>
      <c r="F45" s="214"/>
      <c r="G45" s="55"/>
      <c r="H45" s="214"/>
      <c r="I45" s="55"/>
      <c r="J45" s="214"/>
      <c r="K45" s="214"/>
      <c r="X45" s="55"/>
      <c r="Y45" s="55"/>
      <c r="AA45" s="55"/>
    </row>
    <row r="46" spans="1:28" x14ac:dyDescent="0.15">
      <c r="A46" s="55"/>
      <c r="B46" s="55"/>
      <c r="C46" s="214"/>
      <c r="D46" s="86"/>
      <c r="E46" s="214"/>
      <c r="F46" s="214"/>
      <c r="G46" s="55"/>
      <c r="H46" s="214"/>
      <c r="I46" s="55"/>
      <c r="J46" s="214"/>
      <c r="K46" s="214"/>
      <c r="X46" s="55"/>
      <c r="Y46" s="55"/>
      <c r="AA46" s="55"/>
    </row>
    <row r="47" spans="1:28" x14ac:dyDescent="0.15">
      <c r="A47" s="55"/>
      <c r="B47" s="55"/>
      <c r="C47" s="214"/>
      <c r="D47" s="86"/>
      <c r="E47" s="214"/>
      <c r="F47" s="214"/>
      <c r="G47" s="55"/>
      <c r="H47" s="214"/>
      <c r="I47" s="55"/>
      <c r="J47" s="214"/>
      <c r="K47" s="214"/>
      <c r="X47" s="55"/>
      <c r="Y47" s="55"/>
      <c r="AA47" s="55"/>
    </row>
    <row r="48" spans="1:28" x14ac:dyDescent="0.15">
      <c r="A48" s="55"/>
      <c r="B48" s="55"/>
      <c r="C48" s="214"/>
      <c r="D48" s="86"/>
      <c r="E48" s="214"/>
      <c r="F48" s="214"/>
      <c r="G48" s="55"/>
      <c r="H48" s="214"/>
      <c r="I48" s="55"/>
      <c r="J48" s="214"/>
      <c r="K48" s="214"/>
      <c r="X48" s="55"/>
      <c r="Y48" s="55"/>
      <c r="AA48" s="55"/>
    </row>
    <row r="49" spans="1:27" x14ac:dyDescent="0.15">
      <c r="A49" s="55"/>
      <c r="B49" s="55"/>
      <c r="C49" s="214"/>
      <c r="D49" s="86"/>
      <c r="E49" s="214"/>
      <c r="F49" s="214"/>
      <c r="G49" s="55"/>
      <c r="H49" s="214"/>
      <c r="I49" s="55"/>
      <c r="J49" s="214"/>
      <c r="K49" s="214"/>
      <c r="X49" s="55"/>
      <c r="Y49" s="55"/>
      <c r="AA49" s="55"/>
    </row>
    <row r="50" spans="1:27" x14ac:dyDescent="0.15">
      <c r="A50" s="55"/>
      <c r="B50" s="55"/>
      <c r="C50" s="214"/>
      <c r="D50" s="86"/>
      <c r="E50" s="214"/>
      <c r="F50" s="214"/>
      <c r="G50" s="55"/>
      <c r="H50" s="214"/>
      <c r="I50" s="55"/>
      <c r="J50" s="214"/>
      <c r="K50" s="214"/>
      <c r="X50" s="55"/>
      <c r="Y50" s="55"/>
      <c r="AA50" s="55"/>
    </row>
    <row r="51" spans="1:27" x14ac:dyDescent="0.15">
      <c r="A51" s="55"/>
      <c r="B51" s="55"/>
      <c r="C51" s="214"/>
      <c r="D51" s="86"/>
      <c r="E51" s="214"/>
      <c r="F51" s="214"/>
      <c r="G51" s="55"/>
      <c r="H51" s="214"/>
      <c r="I51" s="55"/>
      <c r="J51" s="214"/>
      <c r="K51" s="214"/>
      <c r="X51" s="55"/>
      <c r="Y51" s="55"/>
      <c r="AA51" s="55"/>
    </row>
    <row r="52" spans="1:27" x14ac:dyDescent="0.15">
      <c r="A52" s="55"/>
      <c r="B52" s="55"/>
      <c r="C52" s="214"/>
      <c r="D52" s="86"/>
      <c r="E52" s="214"/>
      <c r="F52" s="214"/>
      <c r="G52" s="55"/>
      <c r="H52" s="214"/>
      <c r="I52" s="55"/>
      <c r="J52" s="214"/>
      <c r="K52" s="214"/>
      <c r="X52" s="55"/>
      <c r="Y52" s="55"/>
      <c r="AA52" s="55"/>
    </row>
    <row r="53" spans="1:27" x14ac:dyDescent="0.15">
      <c r="A53" s="55"/>
      <c r="B53" s="55"/>
      <c r="C53" s="214"/>
      <c r="D53" s="86"/>
      <c r="E53" s="214"/>
      <c r="F53" s="214"/>
      <c r="G53" s="55"/>
      <c r="H53" s="214"/>
      <c r="I53" s="55"/>
      <c r="J53" s="214"/>
      <c r="K53" s="214"/>
      <c r="X53" s="55"/>
      <c r="Y53" s="55"/>
      <c r="AA53" s="55"/>
    </row>
    <row r="54" spans="1:27" x14ac:dyDescent="0.15">
      <c r="A54" s="55"/>
      <c r="B54" s="55"/>
      <c r="C54" s="214"/>
      <c r="D54" s="86"/>
      <c r="E54" s="214"/>
      <c r="F54" s="214"/>
      <c r="G54" s="55"/>
      <c r="H54" s="214"/>
      <c r="I54" s="55"/>
      <c r="J54" s="214"/>
      <c r="K54" s="214"/>
      <c r="X54" s="55"/>
      <c r="Y54" s="55"/>
      <c r="AA54" s="55"/>
    </row>
    <row r="55" spans="1:27" x14ac:dyDescent="0.15">
      <c r="A55" s="55"/>
      <c r="B55" s="55"/>
      <c r="C55" s="214"/>
      <c r="D55" s="86"/>
      <c r="E55" s="214"/>
      <c r="F55" s="214"/>
      <c r="G55" s="55"/>
      <c r="H55" s="214"/>
      <c r="I55" s="55"/>
      <c r="J55" s="214"/>
      <c r="K55" s="214"/>
      <c r="X55" s="55"/>
      <c r="Y55" s="55"/>
      <c r="AA55" s="55"/>
    </row>
    <row r="56" spans="1:27" x14ac:dyDescent="0.15">
      <c r="A56" s="55"/>
      <c r="B56" s="55"/>
      <c r="C56" s="214"/>
      <c r="D56" s="86"/>
      <c r="E56" s="214"/>
      <c r="F56" s="214"/>
      <c r="G56" s="55"/>
      <c r="H56" s="214"/>
      <c r="I56" s="55"/>
      <c r="J56" s="214"/>
      <c r="K56" s="214"/>
      <c r="X56" s="55"/>
      <c r="Y56" s="55"/>
      <c r="AA56" s="55"/>
    </row>
    <row r="57" spans="1:27" x14ac:dyDescent="0.15">
      <c r="A57" s="55"/>
      <c r="B57" s="55"/>
      <c r="C57" s="214"/>
      <c r="D57" s="86"/>
      <c r="E57" s="214"/>
      <c r="F57" s="214"/>
      <c r="G57" s="55"/>
      <c r="H57" s="214"/>
      <c r="I57" s="55"/>
      <c r="J57" s="214"/>
      <c r="K57" s="214"/>
      <c r="X57" s="55"/>
      <c r="Y57" s="55"/>
      <c r="AA57" s="55"/>
    </row>
    <row r="58" spans="1:27" x14ac:dyDescent="0.15">
      <c r="A58" s="55"/>
      <c r="B58" s="55"/>
      <c r="C58" s="214"/>
      <c r="D58" s="86"/>
      <c r="E58" s="214"/>
      <c r="F58" s="214"/>
      <c r="G58" s="55"/>
      <c r="H58" s="214"/>
      <c r="I58" s="55"/>
      <c r="J58" s="214"/>
      <c r="K58" s="214"/>
      <c r="X58" s="55"/>
      <c r="Y58" s="55"/>
      <c r="AA58" s="55"/>
    </row>
    <row r="59" spans="1:27" x14ac:dyDescent="0.15">
      <c r="A59" s="55"/>
      <c r="B59" s="55"/>
      <c r="C59" s="214"/>
      <c r="D59" s="86"/>
      <c r="E59" s="214"/>
      <c r="F59" s="214"/>
      <c r="G59" s="55"/>
      <c r="H59" s="214"/>
      <c r="I59" s="55"/>
      <c r="J59" s="214"/>
      <c r="K59" s="214"/>
      <c r="X59" s="55"/>
      <c r="Y59" s="55"/>
      <c r="AA59" s="55"/>
    </row>
    <row r="60" spans="1:27" x14ac:dyDescent="0.15">
      <c r="A60" s="55"/>
      <c r="B60" s="55"/>
      <c r="C60" s="214"/>
      <c r="D60" s="86"/>
      <c r="E60" s="214"/>
      <c r="F60" s="214"/>
      <c r="G60" s="55"/>
      <c r="H60" s="214"/>
      <c r="I60" s="55"/>
      <c r="J60" s="214"/>
      <c r="K60" s="214"/>
      <c r="X60" s="55"/>
      <c r="Y60" s="55"/>
      <c r="AA60" s="55"/>
    </row>
    <row r="61" spans="1:27" x14ac:dyDescent="0.15">
      <c r="A61" s="55"/>
      <c r="B61" s="55"/>
      <c r="C61" s="214"/>
      <c r="D61" s="86"/>
      <c r="E61" s="214"/>
      <c r="F61" s="214"/>
      <c r="G61" s="55"/>
      <c r="H61" s="214"/>
      <c r="I61" s="55"/>
      <c r="J61" s="214"/>
      <c r="K61" s="214"/>
      <c r="X61" s="55"/>
      <c r="Y61" s="55"/>
      <c r="AA61" s="55"/>
    </row>
    <row r="62" spans="1:27" x14ac:dyDescent="0.15">
      <c r="A62" s="55"/>
      <c r="B62" s="55"/>
      <c r="C62" s="214"/>
      <c r="D62" s="86"/>
      <c r="E62" s="214"/>
      <c r="F62" s="214"/>
      <c r="G62" s="55"/>
      <c r="H62" s="214"/>
      <c r="I62" s="55"/>
      <c r="J62" s="214"/>
      <c r="K62" s="214"/>
      <c r="X62" s="55"/>
      <c r="Y62" s="55"/>
      <c r="AA62" s="55"/>
    </row>
    <row r="63" spans="1:27" x14ac:dyDescent="0.15">
      <c r="A63" s="55"/>
      <c r="B63" s="55"/>
      <c r="C63" s="214"/>
      <c r="D63" s="86"/>
      <c r="E63" s="214"/>
      <c r="F63" s="214"/>
      <c r="G63" s="55"/>
      <c r="H63" s="214"/>
      <c r="I63" s="55"/>
      <c r="J63" s="214"/>
      <c r="K63" s="214"/>
      <c r="X63" s="55"/>
      <c r="Y63" s="55"/>
      <c r="AA63" s="55"/>
    </row>
    <row r="64" spans="1:27" x14ac:dyDescent="0.15">
      <c r="A64" s="55"/>
      <c r="B64" s="55"/>
      <c r="C64" s="214"/>
      <c r="D64" s="86"/>
      <c r="E64" s="214"/>
      <c r="F64" s="214"/>
      <c r="G64" s="55"/>
      <c r="H64" s="214"/>
      <c r="I64" s="55"/>
      <c r="J64" s="214"/>
      <c r="K64" s="214"/>
      <c r="X64" s="55"/>
      <c r="Y64" s="55"/>
      <c r="AA64" s="55"/>
    </row>
    <row r="65" spans="1:27" x14ac:dyDescent="0.15">
      <c r="A65" s="55"/>
      <c r="B65" s="55"/>
      <c r="C65" s="214"/>
      <c r="D65" s="86"/>
      <c r="E65" s="214"/>
      <c r="F65" s="214"/>
      <c r="G65" s="55"/>
      <c r="H65" s="214"/>
      <c r="I65" s="55"/>
      <c r="J65" s="214"/>
      <c r="K65" s="214"/>
      <c r="X65" s="55"/>
      <c r="Y65" s="55"/>
      <c r="AA65" s="55"/>
    </row>
    <row r="66" spans="1:27" x14ac:dyDescent="0.15">
      <c r="A66" s="55"/>
      <c r="B66" s="55"/>
      <c r="C66" s="214"/>
      <c r="D66" s="86"/>
      <c r="E66" s="214"/>
      <c r="F66" s="214"/>
      <c r="G66" s="55"/>
      <c r="H66" s="214"/>
      <c r="I66" s="55"/>
      <c r="J66" s="214"/>
      <c r="K66" s="214"/>
      <c r="X66" s="55"/>
      <c r="Y66" s="55"/>
      <c r="AA66" s="55"/>
    </row>
    <row r="67" spans="1:27" x14ac:dyDescent="0.15">
      <c r="A67" s="55"/>
      <c r="B67" s="55"/>
      <c r="C67" s="214"/>
      <c r="D67" s="86"/>
      <c r="E67" s="214"/>
      <c r="F67" s="214"/>
      <c r="G67" s="55"/>
      <c r="H67" s="214"/>
      <c r="I67" s="55"/>
      <c r="J67" s="214"/>
      <c r="K67" s="214"/>
      <c r="X67" s="55"/>
      <c r="Y67" s="55"/>
      <c r="AA67" s="55"/>
    </row>
    <row r="68" spans="1:27" x14ac:dyDescent="0.15">
      <c r="A68" s="55"/>
      <c r="B68" s="55"/>
      <c r="C68" s="214"/>
      <c r="D68" s="86"/>
      <c r="E68" s="214"/>
      <c r="F68" s="214"/>
      <c r="G68" s="55"/>
      <c r="H68" s="214"/>
      <c r="I68" s="55"/>
      <c r="J68" s="214"/>
      <c r="K68" s="214"/>
      <c r="X68" s="55"/>
      <c r="Y68" s="55"/>
      <c r="AA68" s="55"/>
    </row>
    <row r="69" spans="1:27" x14ac:dyDescent="0.15">
      <c r="A69" s="55"/>
      <c r="B69" s="55"/>
      <c r="C69" s="214"/>
      <c r="D69" s="86"/>
      <c r="E69" s="214"/>
      <c r="F69" s="214"/>
      <c r="G69" s="55"/>
      <c r="H69" s="214"/>
      <c r="I69" s="55"/>
      <c r="J69" s="214"/>
      <c r="K69" s="214"/>
      <c r="X69" s="55"/>
      <c r="Y69" s="55"/>
      <c r="AA69" s="55"/>
    </row>
    <row r="70" spans="1:27" x14ac:dyDescent="0.15">
      <c r="A70" s="55"/>
      <c r="B70" s="55"/>
      <c r="C70" s="214"/>
      <c r="D70" s="86"/>
      <c r="E70" s="214"/>
      <c r="F70" s="214"/>
      <c r="G70" s="55"/>
      <c r="H70" s="214"/>
      <c r="I70" s="55"/>
      <c r="J70" s="214"/>
      <c r="K70" s="214"/>
      <c r="X70" s="55"/>
      <c r="Y70" s="55"/>
      <c r="AA70" s="55"/>
    </row>
    <row r="71" spans="1:27" x14ac:dyDescent="0.15">
      <c r="A71" s="55"/>
      <c r="B71" s="55"/>
      <c r="C71" s="214"/>
      <c r="D71" s="86"/>
      <c r="E71" s="214"/>
      <c r="F71" s="214"/>
      <c r="G71" s="55"/>
      <c r="H71" s="214"/>
      <c r="I71" s="55"/>
      <c r="J71" s="214"/>
      <c r="K71" s="214"/>
      <c r="X71" s="55"/>
      <c r="Y71" s="55"/>
      <c r="AA71" s="55"/>
    </row>
    <row r="72" spans="1:27" x14ac:dyDescent="0.15">
      <c r="A72" s="55"/>
      <c r="B72" s="55"/>
      <c r="C72" s="214"/>
      <c r="D72" s="86"/>
      <c r="E72" s="214"/>
      <c r="F72" s="214"/>
      <c r="G72" s="55"/>
      <c r="H72" s="214"/>
      <c r="I72" s="55"/>
      <c r="J72" s="214"/>
      <c r="K72" s="214"/>
      <c r="X72" s="55"/>
      <c r="Y72" s="55"/>
      <c r="AA72" s="55"/>
    </row>
    <row r="73" spans="1:27" x14ac:dyDescent="0.15">
      <c r="A73" s="55"/>
      <c r="B73" s="55"/>
      <c r="C73" s="214"/>
      <c r="D73" s="86"/>
      <c r="E73" s="214"/>
      <c r="F73" s="214"/>
      <c r="G73" s="55"/>
      <c r="H73" s="214"/>
      <c r="I73" s="55"/>
      <c r="J73" s="214"/>
      <c r="K73" s="214"/>
      <c r="X73" s="55"/>
      <c r="Y73" s="55"/>
      <c r="AA73" s="55"/>
    </row>
    <row r="74" spans="1:27" x14ac:dyDescent="0.15">
      <c r="A74" s="55"/>
      <c r="B74" s="55"/>
      <c r="C74" s="214"/>
      <c r="D74" s="86"/>
      <c r="E74" s="214"/>
      <c r="F74" s="214"/>
      <c r="G74" s="55"/>
      <c r="H74" s="214"/>
      <c r="I74" s="55"/>
      <c r="J74" s="214"/>
      <c r="K74" s="214"/>
      <c r="X74" s="55"/>
      <c r="Y74" s="55"/>
      <c r="AA74" s="55"/>
    </row>
    <row r="75" spans="1:27" x14ac:dyDescent="0.15">
      <c r="A75" s="55"/>
      <c r="B75" s="55"/>
      <c r="C75" s="214"/>
      <c r="D75" s="86"/>
      <c r="E75" s="214"/>
      <c r="F75" s="214"/>
      <c r="G75" s="55"/>
      <c r="H75" s="214"/>
      <c r="I75" s="55"/>
      <c r="J75" s="214"/>
      <c r="K75" s="214"/>
      <c r="X75" s="55"/>
      <c r="Y75" s="55"/>
      <c r="AA75" s="55"/>
    </row>
    <row r="76" spans="1:27" x14ac:dyDescent="0.15">
      <c r="A76" s="55"/>
      <c r="B76" s="55"/>
      <c r="C76" s="214"/>
      <c r="D76" s="86"/>
      <c r="E76" s="214"/>
      <c r="F76" s="214"/>
      <c r="G76" s="55"/>
      <c r="H76" s="214"/>
      <c r="I76" s="55"/>
      <c r="J76" s="214"/>
      <c r="K76" s="214"/>
      <c r="X76" s="55"/>
      <c r="Y76" s="55"/>
      <c r="AA76" s="55"/>
    </row>
    <row r="77" spans="1:27" x14ac:dyDescent="0.15">
      <c r="A77" s="55"/>
      <c r="B77" s="55"/>
      <c r="C77" s="214"/>
      <c r="D77" s="86"/>
      <c r="E77" s="214"/>
      <c r="F77" s="214"/>
      <c r="G77" s="55"/>
      <c r="H77" s="214"/>
      <c r="I77" s="55"/>
      <c r="J77" s="214"/>
      <c r="K77" s="214"/>
      <c r="X77" s="55"/>
      <c r="Y77" s="55"/>
      <c r="AA77" s="55"/>
    </row>
    <row r="78" spans="1:27" x14ac:dyDescent="0.15">
      <c r="A78" s="55"/>
      <c r="B78" s="55"/>
      <c r="C78" s="214"/>
      <c r="D78" s="86"/>
      <c r="E78" s="214"/>
      <c r="F78" s="214"/>
      <c r="G78" s="55"/>
      <c r="H78" s="214"/>
      <c r="I78" s="55"/>
      <c r="J78" s="214"/>
      <c r="K78" s="214"/>
      <c r="X78" s="55"/>
      <c r="Y78" s="55"/>
      <c r="AA78" s="55"/>
    </row>
    <row r="79" spans="1:27" x14ac:dyDescent="0.15">
      <c r="A79" s="55"/>
      <c r="B79" s="55"/>
      <c r="C79" s="214"/>
      <c r="D79" s="86"/>
      <c r="E79" s="214"/>
      <c r="F79" s="214"/>
      <c r="G79" s="55"/>
      <c r="H79" s="214"/>
      <c r="I79" s="55"/>
      <c r="J79" s="214"/>
      <c r="K79" s="214"/>
      <c r="X79" s="55"/>
      <c r="Y79" s="55"/>
      <c r="AA79" s="55"/>
    </row>
    <row r="80" spans="1:27" x14ac:dyDescent="0.15">
      <c r="A80" s="55"/>
      <c r="B80" s="55"/>
      <c r="C80" s="214"/>
      <c r="D80" s="86"/>
      <c r="E80" s="214"/>
      <c r="F80" s="214"/>
      <c r="G80" s="55"/>
      <c r="H80" s="214"/>
      <c r="I80" s="55"/>
      <c r="J80" s="214"/>
      <c r="K80" s="214"/>
      <c r="X80" s="55"/>
      <c r="Y80" s="55"/>
      <c r="AA80" s="55"/>
    </row>
    <row r="81" spans="1:27" x14ac:dyDescent="0.15">
      <c r="A81" s="55"/>
      <c r="B81" s="55"/>
      <c r="C81" s="214"/>
      <c r="D81" s="86"/>
      <c r="E81" s="214"/>
      <c r="F81" s="214"/>
      <c r="G81" s="55"/>
      <c r="H81" s="214"/>
      <c r="I81" s="55"/>
      <c r="J81" s="214"/>
      <c r="K81" s="214"/>
      <c r="X81" s="55"/>
      <c r="Y81" s="55"/>
      <c r="AA81" s="55"/>
    </row>
    <row r="82" spans="1:27" x14ac:dyDescent="0.15">
      <c r="A82" s="55"/>
      <c r="B82" s="55"/>
      <c r="C82" s="214"/>
      <c r="D82" s="86"/>
      <c r="E82" s="214"/>
      <c r="F82" s="214"/>
      <c r="G82" s="55"/>
      <c r="H82" s="214"/>
      <c r="I82" s="55"/>
      <c r="J82" s="214"/>
      <c r="K82" s="214"/>
      <c r="X82" s="55"/>
      <c r="Y82" s="55"/>
      <c r="AA82" s="55"/>
    </row>
    <row r="83" spans="1:27" x14ac:dyDescent="0.15">
      <c r="E83" s="214"/>
      <c r="F83" s="214"/>
      <c r="G83" s="55"/>
      <c r="H83" s="214"/>
      <c r="I83" s="55"/>
      <c r="J83" s="214"/>
      <c r="K83" s="214"/>
      <c r="X83" s="55"/>
      <c r="Y83" s="55"/>
      <c r="AA83" s="55"/>
    </row>
    <row r="84" spans="1:27" x14ac:dyDescent="0.15">
      <c r="E84" s="214"/>
      <c r="F84" s="214"/>
      <c r="G84" s="55"/>
      <c r="H84" s="214"/>
      <c r="I84" s="55"/>
      <c r="J84" s="214"/>
      <c r="K84" s="214"/>
      <c r="X84" s="55"/>
      <c r="Y84" s="55"/>
      <c r="AA84" s="55"/>
    </row>
    <row r="85" spans="1:27" x14ac:dyDescent="0.15">
      <c r="E85" s="214"/>
      <c r="F85" s="214"/>
      <c r="G85" s="55"/>
      <c r="H85" s="214"/>
      <c r="I85" s="55"/>
      <c r="J85" s="214"/>
      <c r="K85" s="214"/>
      <c r="X85" s="55"/>
      <c r="Y85" s="55"/>
      <c r="AA85" s="55"/>
    </row>
    <row r="86" spans="1:27" x14ac:dyDescent="0.15">
      <c r="J86" s="214"/>
      <c r="K86" s="214"/>
    </row>
    <row r="87" spans="1:27" x14ac:dyDescent="0.15">
      <c r="J87" s="214"/>
      <c r="K87" s="214"/>
    </row>
    <row r="88" spans="1:27" x14ac:dyDescent="0.15">
      <c r="J88" s="214"/>
      <c r="K88" s="214"/>
    </row>
    <row r="89" spans="1:27" x14ac:dyDescent="0.15">
      <c r="J89" s="214"/>
      <c r="K89" s="214"/>
    </row>
    <row r="90" spans="1:27" x14ac:dyDescent="0.15">
      <c r="J90" s="214"/>
      <c r="K90" s="214"/>
    </row>
    <row r="91" spans="1:27" x14ac:dyDescent="0.15">
      <c r="J91" s="214"/>
      <c r="K91" s="214"/>
    </row>
    <row r="92" spans="1:27" x14ac:dyDescent="0.15">
      <c r="J92" s="214"/>
      <c r="K92" s="214"/>
    </row>
    <row r="93" spans="1:27" x14ac:dyDescent="0.15">
      <c r="J93" s="214"/>
      <c r="K93" s="214"/>
    </row>
    <row r="94" spans="1:27" x14ac:dyDescent="0.15">
      <c r="J94" s="214"/>
      <c r="K94" s="214"/>
    </row>
    <row r="95" spans="1:27" x14ac:dyDescent="0.15">
      <c r="J95" s="214"/>
      <c r="K95" s="214"/>
    </row>
    <row r="96" spans="1:27" x14ac:dyDescent="0.15">
      <c r="J96" s="214"/>
      <c r="K96" s="214"/>
    </row>
    <row r="97" spans="10:11" x14ac:dyDescent="0.15">
      <c r="J97" s="214"/>
      <c r="K97" s="214"/>
    </row>
    <row r="98" spans="10:11" x14ac:dyDescent="0.15">
      <c r="J98" s="214"/>
      <c r="K98" s="214"/>
    </row>
    <row r="99" spans="10:11" x14ac:dyDescent="0.15">
      <c r="J99" s="214"/>
      <c r="K99" s="214"/>
    </row>
    <row r="100" spans="10:11" x14ac:dyDescent="0.15">
      <c r="J100" s="214"/>
      <c r="K100" s="214"/>
    </row>
    <row r="101" spans="10:11" x14ac:dyDescent="0.15">
      <c r="K101" s="214"/>
    </row>
    <row r="102" spans="10:11" x14ac:dyDescent="0.15">
      <c r="K102" s="214"/>
    </row>
    <row r="103" spans="10:11" x14ac:dyDescent="0.15">
      <c r="K103" s="214"/>
    </row>
    <row r="104" spans="10:11" x14ac:dyDescent="0.15">
      <c r="K104" s="214"/>
    </row>
    <row r="105" spans="10:11" x14ac:dyDescent="0.15">
      <c r="K105" s="214"/>
    </row>
    <row r="106" spans="10:11" x14ac:dyDescent="0.15">
      <c r="K106" s="214"/>
    </row>
    <row r="107" spans="10:11" x14ac:dyDescent="0.15">
      <c r="K107" s="214"/>
    </row>
    <row r="108" spans="10:11" x14ac:dyDescent="0.15">
      <c r="K108" s="214"/>
    </row>
    <row r="109" spans="10:11" x14ac:dyDescent="0.15">
      <c r="K109" s="214"/>
    </row>
    <row r="110" spans="10:11" x14ac:dyDescent="0.15">
      <c r="K110" s="214"/>
    </row>
    <row r="111" spans="10:11" x14ac:dyDescent="0.15">
      <c r="K111" s="214"/>
    </row>
    <row r="112" spans="10:11" x14ac:dyDescent="0.15">
      <c r="K112" s="214"/>
    </row>
    <row r="113" spans="11:11" x14ac:dyDescent="0.15">
      <c r="K113" s="214"/>
    </row>
    <row r="114" spans="11:11" x14ac:dyDescent="0.15">
      <c r="K114" s="214"/>
    </row>
    <row r="115" spans="11:11" x14ac:dyDescent="0.15">
      <c r="K115" s="214"/>
    </row>
    <row r="116" spans="11:11" x14ac:dyDescent="0.15">
      <c r="K116" s="214"/>
    </row>
    <row r="117" spans="11:11" x14ac:dyDescent="0.15">
      <c r="K117" s="214"/>
    </row>
    <row r="118" spans="11:11" x14ac:dyDescent="0.15">
      <c r="K118" s="214"/>
    </row>
    <row r="119" spans="11:11" x14ac:dyDescent="0.15">
      <c r="K119" s="214"/>
    </row>
    <row r="120" spans="11:11" x14ac:dyDescent="0.15">
      <c r="K120" s="214"/>
    </row>
    <row r="121" spans="11:11" x14ac:dyDescent="0.15">
      <c r="K121" s="214"/>
    </row>
    <row r="122" spans="11:11" x14ac:dyDescent="0.15">
      <c r="K122" s="214"/>
    </row>
    <row r="123" spans="11:11" x14ac:dyDescent="0.15">
      <c r="K123" s="214"/>
    </row>
    <row r="124" spans="11:11" x14ac:dyDescent="0.15">
      <c r="K124" s="214"/>
    </row>
    <row r="125" spans="11:11" x14ac:dyDescent="0.15">
      <c r="K125" s="214"/>
    </row>
    <row r="126" spans="11:11" x14ac:dyDescent="0.15">
      <c r="K126" s="214"/>
    </row>
    <row r="127" spans="11:11" x14ac:dyDescent="0.15">
      <c r="K127" s="214"/>
    </row>
    <row r="128" spans="11:11" x14ac:dyDescent="0.15">
      <c r="K128" s="214"/>
    </row>
    <row r="129" spans="11:11" x14ac:dyDescent="0.15">
      <c r="K129" s="214"/>
    </row>
    <row r="130" spans="11:11" x14ac:dyDescent="0.15">
      <c r="K130" s="214"/>
    </row>
    <row r="131" spans="11:11" x14ac:dyDescent="0.15">
      <c r="K131" s="214"/>
    </row>
    <row r="132" spans="11:11" x14ac:dyDescent="0.15">
      <c r="K132" s="214"/>
    </row>
    <row r="133" spans="11:11" x14ac:dyDescent="0.15">
      <c r="K133" s="214"/>
    </row>
    <row r="134" spans="11:11" x14ac:dyDescent="0.15">
      <c r="K134" s="214"/>
    </row>
    <row r="135" spans="11:11" x14ac:dyDescent="0.15">
      <c r="K135" s="214"/>
    </row>
    <row r="136" spans="11:11" x14ac:dyDescent="0.15">
      <c r="K136" s="214"/>
    </row>
    <row r="137" spans="11:11" x14ac:dyDescent="0.15">
      <c r="K137" s="214"/>
    </row>
    <row r="138" spans="11:11" x14ac:dyDescent="0.15">
      <c r="K138" s="214"/>
    </row>
    <row r="139" spans="11:11" x14ac:dyDescent="0.15">
      <c r="K139" s="214"/>
    </row>
    <row r="140" spans="11:11" x14ac:dyDescent="0.15">
      <c r="K140" s="214"/>
    </row>
    <row r="141" spans="11:11" x14ac:dyDescent="0.15">
      <c r="K141" s="214"/>
    </row>
    <row r="142" spans="11:11" x14ac:dyDescent="0.15">
      <c r="K142" s="214"/>
    </row>
    <row r="143" spans="11:11" x14ac:dyDescent="0.15">
      <c r="K143" s="214"/>
    </row>
    <row r="144" spans="11:11" x14ac:dyDescent="0.15">
      <c r="K144" s="214"/>
    </row>
    <row r="145" spans="11:11" x14ac:dyDescent="0.15">
      <c r="K145" s="214"/>
    </row>
    <row r="146" spans="11:11" x14ac:dyDescent="0.15">
      <c r="K146" s="214"/>
    </row>
    <row r="147" spans="11:11" x14ac:dyDescent="0.15">
      <c r="K147" s="214"/>
    </row>
    <row r="148" spans="11:11" x14ac:dyDescent="0.15">
      <c r="K148" s="214"/>
    </row>
    <row r="149" spans="11:11" x14ac:dyDescent="0.15">
      <c r="K149" s="214"/>
    </row>
    <row r="150" spans="11:11" x14ac:dyDescent="0.15">
      <c r="K150" s="214"/>
    </row>
    <row r="151" spans="11:11" x14ac:dyDescent="0.15">
      <c r="K151" s="214"/>
    </row>
    <row r="152" spans="11:11" x14ac:dyDescent="0.15">
      <c r="K152" s="214"/>
    </row>
    <row r="153" spans="11:11" x14ac:dyDescent="0.15">
      <c r="K153" s="214"/>
    </row>
    <row r="154" spans="11:11" x14ac:dyDescent="0.15">
      <c r="K154" s="214"/>
    </row>
    <row r="155" spans="11:11" x14ac:dyDescent="0.15">
      <c r="K155" s="214"/>
    </row>
    <row r="156" spans="11:11" x14ac:dyDescent="0.15">
      <c r="K156" s="214"/>
    </row>
    <row r="157" spans="11:11" x14ac:dyDescent="0.15">
      <c r="K157" s="214"/>
    </row>
    <row r="158" spans="11:11" x14ac:dyDescent="0.15">
      <c r="K158" s="214"/>
    </row>
    <row r="159" spans="11:11" x14ac:dyDescent="0.15">
      <c r="K159" s="214"/>
    </row>
    <row r="160" spans="11:11" x14ac:dyDescent="0.15">
      <c r="K160" s="214"/>
    </row>
    <row r="161" spans="11:11" x14ac:dyDescent="0.15">
      <c r="K161" s="214"/>
    </row>
    <row r="162" spans="11:11" x14ac:dyDescent="0.15">
      <c r="K162" s="214"/>
    </row>
    <row r="163" spans="11:11" x14ac:dyDescent="0.15">
      <c r="K163" s="214"/>
    </row>
    <row r="164" spans="11:11" x14ac:dyDescent="0.15">
      <c r="K164" s="214"/>
    </row>
    <row r="165" spans="11:11" x14ac:dyDescent="0.15">
      <c r="K165" s="214"/>
    </row>
    <row r="166" spans="11:11" x14ac:dyDescent="0.15">
      <c r="K166" s="214"/>
    </row>
    <row r="167" spans="11:11" x14ac:dyDescent="0.15">
      <c r="K167" s="214"/>
    </row>
    <row r="168" spans="11:11" x14ac:dyDescent="0.15">
      <c r="K168" s="214"/>
    </row>
    <row r="169" spans="11:11" x14ac:dyDescent="0.15">
      <c r="K169" s="214"/>
    </row>
    <row r="170" spans="11:11" x14ac:dyDescent="0.15">
      <c r="K170" s="214"/>
    </row>
    <row r="171" spans="11:11" x14ac:dyDescent="0.15">
      <c r="K171" s="214"/>
    </row>
    <row r="172" spans="11:11" x14ac:dyDescent="0.15">
      <c r="K172" s="214"/>
    </row>
    <row r="173" spans="11:11" x14ac:dyDescent="0.15">
      <c r="K173" s="214"/>
    </row>
    <row r="174" spans="11:11" x14ac:dyDescent="0.15">
      <c r="K174" s="214"/>
    </row>
    <row r="175" spans="11:11" x14ac:dyDescent="0.15">
      <c r="K175" s="214"/>
    </row>
    <row r="176" spans="11:11" x14ac:dyDescent="0.15">
      <c r="K176" s="214"/>
    </row>
    <row r="177" spans="11:11" x14ac:dyDescent="0.15">
      <c r="K177" s="214"/>
    </row>
    <row r="178" spans="11:11" x14ac:dyDescent="0.15">
      <c r="K178" s="214"/>
    </row>
    <row r="179" spans="11:11" x14ac:dyDescent="0.15">
      <c r="K179" s="214"/>
    </row>
    <row r="180" spans="11:11" x14ac:dyDescent="0.15">
      <c r="K180" s="214"/>
    </row>
    <row r="181" spans="11:11" x14ac:dyDescent="0.15">
      <c r="K181" s="214"/>
    </row>
    <row r="182" spans="11:11" x14ac:dyDescent="0.15">
      <c r="K182" s="214"/>
    </row>
    <row r="183" spans="11:11" x14ac:dyDescent="0.15">
      <c r="K183" s="214"/>
    </row>
    <row r="184" spans="11:11" x14ac:dyDescent="0.15">
      <c r="K184" s="214"/>
    </row>
    <row r="185" spans="11:11" x14ac:dyDescent="0.15">
      <c r="K185" s="214"/>
    </row>
    <row r="186" spans="11:11" x14ac:dyDescent="0.15">
      <c r="K186" s="214"/>
    </row>
    <row r="187" spans="11:11" x14ac:dyDescent="0.15">
      <c r="K187" s="214"/>
    </row>
    <row r="188" spans="11:11" x14ac:dyDescent="0.15">
      <c r="K188" s="214"/>
    </row>
    <row r="189" spans="11:11" x14ac:dyDescent="0.15">
      <c r="K189" s="214"/>
    </row>
    <row r="190" spans="11:11" x14ac:dyDescent="0.15">
      <c r="K190" s="214"/>
    </row>
    <row r="191" spans="11:11" x14ac:dyDescent="0.15">
      <c r="K191" s="214"/>
    </row>
    <row r="192" spans="11:11" x14ac:dyDescent="0.15">
      <c r="K192" s="214"/>
    </row>
    <row r="193" spans="11:11" x14ac:dyDescent="0.15">
      <c r="K193" s="214"/>
    </row>
    <row r="194" spans="11:11" x14ac:dyDescent="0.15">
      <c r="K194" s="214"/>
    </row>
    <row r="195" spans="11:11" x14ac:dyDescent="0.15">
      <c r="K195" s="214"/>
    </row>
    <row r="196" spans="11:11" x14ac:dyDescent="0.15">
      <c r="K196" s="214"/>
    </row>
    <row r="197" spans="11:11" x14ac:dyDescent="0.15">
      <c r="K197" s="214"/>
    </row>
    <row r="198" spans="11:11" x14ac:dyDescent="0.15">
      <c r="K198" s="214"/>
    </row>
    <row r="199" spans="11:11" x14ac:dyDescent="0.15">
      <c r="K199" s="214"/>
    </row>
    <row r="200" spans="11:11" x14ac:dyDescent="0.15">
      <c r="K200" s="214"/>
    </row>
    <row r="201" spans="11:11" x14ac:dyDescent="0.15">
      <c r="K201" s="214"/>
    </row>
    <row r="202" spans="11:11" x14ac:dyDescent="0.15">
      <c r="K202" s="214"/>
    </row>
    <row r="203" spans="11:11" x14ac:dyDescent="0.15">
      <c r="K203" s="214"/>
    </row>
    <row r="204" spans="11:11" x14ac:dyDescent="0.15">
      <c r="K204" s="214"/>
    </row>
    <row r="205" spans="11:11" x14ac:dyDescent="0.15">
      <c r="K205" s="214"/>
    </row>
    <row r="206" spans="11:11" x14ac:dyDescent="0.15">
      <c r="K206" s="214"/>
    </row>
    <row r="207" spans="11:11" x14ac:dyDescent="0.15">
      <c r="K207" s="214"/>
    </row>
    <row r="208" spans="11:11" x14ac:dyDescent="0.15">
      <c r="K208" s="214"/>
    </row>
    <row r="209" spans="11:11" x14ac:dyDescent="0.15">
      <c r="K209" s="214"/>
    </row>
    <row r="210" spans="11:11" x14ac:dyDescent="0.15">
      <c r="K210" s="214"/>
    </row>
    <row r="211" spans="11:11" x14ac:dyDescent="0.15">
      <c r="K211" s="214"/>
    </row>
    <row r="212" spans="11:11" x14ac:dyDescent="0.15">
      <c r="K212" s="214"/>
    </row>
    <row r="213" spans="11:11" x14ac:dyDescent="0.15">
      <c r="K213" s="214"/>
    </row>
    <row r="214" spans="11:11" x14ac:dyDescent="0.15">
      <c r="K214" s="214"/>
    </row>
    <row r="215" spans="11:11" x14ac:dyDescent="0.15">
      <c r="K215" s="214"/>
    </row>
    <row r="216" spans="11:11" x14ac:dyDescent="0.15">
      <c r="K216" s="214"/>
    </row>
    <row r="217" spans="11:11" x14ac:dyDescent="0.15">
      <c r="K217" s="214"/>
    </row>
    <row r="218" spans="11:11" x14ac:dyDescent="0.15">
      <c r="K218" s="214"/>
    </row>
    <row r="219" spans="11:11" x14ac:dyDescent="0.15">
      <c r="K219" s="214"/>
    </row>
    <row r="220" spans="11:11" x14ac:dyDescent="0.15">
      <c r="K220" s="214"/>
    </row>
    <row r="221" spans="11:11" x14ac:dyDescent="0.15">
      <c r="K221" s="214"/>
    </row>
    <row r="222" spans="11:11" x14ac:dyDescent="0.15">
      <c r="K222" s="214"/>
    </row>
    <row r="223" spans="11:11" x14ac:dyDescent="0.15">
      <c r="K223" s="214"/>
    </row>
    <row r="224" spans="11:11" x14ac:dyDescent="0.15">
      <c r="K224" s="214"/>
    </row>
    <row r="225" spans="11:11" x14ac:dyDescent="0.15">
      <c r="K225" s="214"/>
    </row>
    <row r="226" spans="11:11" x14ac:dyDescent="0.15">
      <c r="K226" s="214"/>
    </row>
    <row r="227" spans="11:11" x14ac:dyDescent="0.15">
      <c r="K227" s="214"/>
    </row>
    <row r="228" spans="11:11" x14ac:dyDescent="0.15">
      <c r="K228" s="214"/>
    </row>
    <row r="229" spans="11:11" x14ac:dyDescent="0.15">
      <c r="K229" s="214"/>
    </row>
    <row r="230" spans="11:11" x14ac:dyDescent="0.15">
      <c r="K230" s="214"/>
    </row>
    <row r="231" spans="11:11" x14ac:dyDescent="0.15">
      <c r="K231" s="214"/>
    </row>
    <row r="232" spans="11:11" x14ac:dyDescent="0.15">
      <c r="K232" s="214"/>
    </row>
    <row r="233" spans="11:11" x14ac:dyDescent="0.15">
      <c r="K233" s="214"/>
    </row>
    <row r="234" spans="11:11" x14ac:dyDescent="0.15">
      <c r="K234" s="214"/>
    </row>
    <row r="235" spans="11:11" x14ac:dyDescent="0.15">
      <c r="K235" s="214"/>
    </row>
    <row r="236" spans="11:11" x14ac:dyDescent="0.15">
      <c r="K236" s="214"/>
    </row>
    <row r="237" spans="11:11" x14ac:dyDescent="0.15">
      <c r="K237" s="214"/>
    </row>
    <row r="238" spans="11:11" x14ac:dyDescent="0.15">
      <c r="K238" s="214"/>
    </row>
    <row r="239" spans="11:11" x14ac:dyDescent="0.15">
      <c r="K239" s="214"/>
    </row>
    <row r="240" spans="11:11" x14ac:dyDescent="0.15">
      <c r="K240" s="214"/>
    </row>
    <row r="241" spans="11:11" x14ac:dyDescent="0.15">
      <c r="K241" s="214"/>
    </row>
    <row r="242" spans="11:11" x14ac:dyDescent="0.15">
      <c r="K242" s="214"/>
    </row>
    <row r="243" spans="11:11" x14ac:dyDescent="0.15">
      <c r="K243" s="214"/>
    </row>
    <row r="244" spans="11:11" x14ac:dyDescent="0.15">
      <c r="K244" s="214"/>
    </row>
    <row r="245" spans="11:11" x14ac:dyDescent="0.15">
      <c r="K245" s="214"/>
    </row>
    <row r="246" spans="11:11" x14ac:dyDescent="0.15">
      <c r="K246" s="214"/>
    </row>
    <row r="247" spans="11:11" x14ac:dyDescent="0.15">
      <c r="K247" s="214"/>
    </row>
    <row r="248" spans="11:11" x14ac:dyDescent="0.15">
      <c r="K248" s="214"/>
    </row>
    <row r="249" spans="11:11" x14ac:dyDescent="0.15">
      <c r="K249" s="214"/>
    </row>
    <row r="250" spans="11:11" x14ac:dyDescent="0.15">
      <c r="K250" s="214"/>
    </row>
    <row r="251" spans="11:11" x14ac:dyDescent="0.15">
      <c r="K251" s="214"/>
    </row>
    <row r="252" spans="11:11" x14ac:dyDescent="0.15">
      <c r="K252" s="214"/>
    </row>
    <row r="253" spans="11:11" x14ac:dyDescent="0.15">
      <c r="K253" s="214"/>
    </row>
    <row r="254" spans="11:11" x14ac:dyDescent="0.15">
      <c r="K254" s="214"/>
    </row>
    <row r="255" spans="11:11" x14ac:dyDescent="0.15">
      <c r="K255" s="214"/>
    </row>
    <row r="256" spans="11:11" x14ac:dyDescent="0.15">
      <c r="K256" s="214"/>
    </row>
    <row r="257" spans="11:11" x14ac:dyDescent="0.15">
      <c r="K257" s="214"/>
    </row>
    <row r="258" spans="11:11" x14ac:dyDescent="0.15">
      <c r="K258" s="214"/>
    </row>
    <row r="259" spans="11:11" x14ac:dyDescent="0.15">
      <c r="K259" s="214"/>
    </row>
    <row r="260" spans="11:11" x14ac:dyDescent="0.15">
      <c r="K260" s="214"/>
    </row>
    <row r="261" spans="11:11" x14ac:dyDescent="0.15">
      <c r="K261" s="214"/>
    </row>
    <row r="262" spans="11:11" x14ac:dyDescent="0.15">
      <c r="K262" s="214"/>
    </row>
    <row r="263" spans="11:11" x14ac:dyDescent="0.15">
      <c r="K263" s="214"/>
    </row>
    <row r="264" spans="11:11" x14ac:dyDescent="0.15">
      <c r="K264" s="214"/>
    </row>
    <row r="265" spans="11:11" x14ac:dyDescent="0.15">
      <c r="K265" s="214"/>
    </row>
    <row r="266" spans="11:11" x14ac:dyDescent="0.15">
      <c r="K266" s="214"/>
    </row>
    <row r="267" spans="11:11" x14ac:dyDescent="0.15">
      <c r="K267" s="214"/>
    </row>
    <row r="268" spans="11:11" x14ac:dyDescent="0.15">
      <c r="K268" s="214"/>
    </row>
    <row r="269" spans="11:11" x14ac:dyDescent="0.15">
      <c r="K269" s="214"/>
    </row>
    <row r="270" spans="11:11" x14ac:dyDescent="0.15">
      <c r="K270" s="214"/>
    </row>
    <row r="271" spans="11:11" x14ac:dyDescent="0.15">
      <c r="K271" s="214"/>
    </row>
    <row r="272" spans="11:11" x14ac:dyDescent="0.15">
      <c r="K272" s="214"/>
    </row>
    <row r="273" spans="11:11" x14ac:dyDescent="0.15">
      <c r="K273" s="214"/>
    </row>
    <row r="274" spans="11:11" x14ac:dyDescent="0.15">
      <c r="K274" s="214"/>
    </row>
    <row r="275" spans="11:11" x14ac:dyDescent="0.15">
      <c r="K275" s="214"/>
    </row>
    <row r="276" spans="11:11" x14ac:dyDescent="0.15">
      <c r="K276" s="214"/>
    </row>
    <row r="277" spans="11:11" x14ac:dyDescent="0.15">
      <c r="K277" s="214"/>
    </row>
    <row r="278" spans="11:11" x14ac:dyDescent="0.15">
      <c r="K278" s="214"/>
    </row>
    <row r="279" spans="11:11" x14ac:dyDescent="0.15">
      <c r="K279" s="214"/>
    </row>
    <row r="280" spans="11:11" x14ac:dyDescent="0.15">
      <c r="K280" s="214"/>
    </row>
    <row r="281" spans="11:11" x14ac:dyDescent="0.15">
      <c r="K281" s="214"/>
    </row>
    <row r="282" spans="11:11" x14ac:dyDescent="0.15">
      <c r="K282" s="214"/>
    </row>
    <row r="283" spans="11:11" x14ac:dyDescent="0.15">
      <c r="K283" s="214"/>
    </row>
    <row r="284" spans="11:11" x14ac:dyDescent="0.15">
      <c r="K284" s="214"/>
    </row>
    <row r="285" spans="11:11" x14ac:dyDescent="0.15">
      <c r="K285" s="214"/>
    </row>
    <row r="286" spans="11:11" x14ac:dyDescent="0.15">
      <c r="K286" s="214"/>
    </row>
    <row r="287" spans="11:11" x14ac:dyDescent="0.15">
      <c r="K287" s="214"/>
    </row>
    <row r="288" spans="11:11" x14ac:dyDescent="0.15">
      <c r="K288" s="214"/>
    </row>
    <row r="289" spans="11:11" x14ac:dyDescent="0.15">
      <c r="K289" s="214"/>
    </row>
    <row r="290" spans="11:11" x14ac:dyDescent="0.15">
      <c r="K290" s="214"/>
    </row>
    <row r="291" spans="11:11" x14ac:dyDescent="0.15">
      <c r="K291" s="214"/>
    </row>
    <row r="292" spans="11:11" x14ac:dyDescent="0.15">
      <c r="K292" s="214"/>
    </row>
    <row r="293" spans="11:11" x14ac:dyDescent="0.15">
      <c r="K293" s="214"/>
    </row>
    <row r="294" spans="11:11" x14ac:dyDescent="0.15">
      <c r="K294" s="214"/>
    </row>
    <row r="295" spans="11:11" x14ac:dyDescent="0.15">
      <c r="K295" s="214"/>
    </row>
    <row r="296" spans="11:11" x14ac:dyDescent="0.15">
      <c r="K296" s="214"/>
    </row>
    <row r="297" spans="11:11" x14ac:dyDescent="0.15">
      <c r="K297" s="214"/>
    </row>
    <row r="298" spans="11:11" x14ac:dyDescent="0.15">
      <c r="K298" s="214"/>
    </row>
    <row r="299" spans="11:11" x14ac:dyDescent="0.15">
      <c r="K299" s="214"/>
    </row>
    <row r="300" spans="11:11" x14ac:dyDescent="0.15">
      <c r="K300" s="214"/>
    </row>
    <row r="301" spans="11:11" x14ac:dyDescent="0.15">
      <c r="K301" s="214"/>
    </row>
    <row r="302" spans="11:11" x14ac:dyDescent="0.15">
      <c r="K302" s="214"/>
    </row>
    <row r="303" spans="11:11" x14ac:dyDescent="0.15">
      <c r="K303" s="214"/>
    </row>
    <row r="304" spans="11:11" x14ac:dyDescent="0.15">
      <c r="K304" s="214"/>
    </row>
    <row r="305" spans="11:11" x14ac:dyDescent="0.15">
      <c r="K305" s="214"/>
    </row>
    <row r="306" spans="11:11" x14ac:dyDescent="0.15">
      <c r="K306" s="214"/>
    </row>
    <row r="307" spans="11:11" x14ac:dyDescent="0.15">
      <c r="K307" s="214"/>
    </row>
    <row r="308" spans="11:11" x14ac:dyDescent="0.15">
      <c r="K308" s="214"/>
    </row>
    <row r="309" spans="11:11" x14ac:dyDescent="0.15">
      <c r="K309" s="214"/>
    </row>
    <row r="310" spans="11:11" x14ac:dyDescent="0.15">
      <c r="K310" s="214"/>
    </row>
    <row r="311" spans="11:11" x14ac:dyDescent="0.15">
      <c r="K311" s="214"/>
    </row>
    <row r="312" spans="11:11" x14ac:dyDescent="0.15">
      <c r="K312" s="214"/>
    </row>
    <row r="313" spans="11:11" x14ac:dyDescent="0.15">
      <c r="K313" s="214"/>
    </row>
    <row r="314" spans="11:11" x14ac:dyDescent="0.15">
      <c r="K314" s="214"/>
    </row>
    <row r="315" spans="11:11" x14ac:dyDescent="0.15">
      <c r="K315" s="214"/>
    </row>
    <row r="316" spans="11:11" x14ac:dyDescent="0.15">
      <c r="K316" s="214"/>
    </row>
    <row r="317" spans="11:11" x14ac:dyDescent="0.15">
      <c r="K317" s="214"/>
    </row>
    <row r="318" spans="11:11" x14ac:dyDescent="0.15">
      <c r="K318" s="214"/>
    </row>
    <row r="319" spans="11:11" x14ac:dyDescent="0.15">
      <c r="K319" s="214"/>
    </row>
    <row r="320" spans="11:11" x14ac:dyDescent="0.15">
      <c r="K320" s="214"/>
    </row>
    <row r="321" spans="11:11" x14ac:dyDescent="0.15">
      <c r="K321" s="214"/>
    </row>
    <row r="322" spans="11:11" x14ac:dyDescent="0.15">
      <c r="K322" s="214"/>
    </row>
    <row r="323" spans="11:11" x14ac:dyDescent="0.15">
      <c r="K323" s="214"/>
    </row>
    <row r="324" spans="11:11" x14ac:dyDescent="0.15">
      <c r="K324" s="214"/>
    </row>
    <row r="325" spans="11:11" x14ac:dyDescent="0.15">
      <c r="K325" s="214"/>
    </row>
    <row r="326" spans="11:11" x14ac:dyDescent="0.15">
      <c r="K326" s="214"/>
    </row>
    <row r="327" spans="11:11" x14ac:dyDescent="0.15">
      <c r="K327" s="214"/>
    </row>
    <row r="328" spans="11:11" x14ac:dyDescent="0.15">
      <c r="K328" s="214"/>
    </row>
    <row r="329" spans="11:11" x14ac:dyDescent="0.15">
      <c r="K329" s="214"/>
    </row>
    <row r="330" spans="11:11" x14ac:dyDescent="0.15">
      <c r="K330" s="214"/>
    </row>
    <row r="331" spans="11:11" x14ac:dyDescent="0.15">
      <c r="K331" s="214"/>
    </row>
    <row r="332" spans="11:11" x14ac:dyDescent="0.15">
      <c r="K332" s="214"/>
    </row>
    <row r="333" spans="11:11" x14ac:dyDescent="0.15">
      <c r="K333" s="214"/>
    </row>
    <row r="334" spans="11:11" x14ac:dyDescent="0.15">
      <c r="K334" s="214"/>
    </row>
    <row r="335" spans="11:11" x14ac:dyDescent="0.15">
      <c r="K335" s="214"/>
    </row>
    <row r="336" spans="11:11" x14ac:dyDescent="0.15">
      <c r="K336" s="214"/>
    </row>
    <row r="337" spans="11:11" x14ac:dyDescent="0.15">
      <c r="K337" s="214"/>
    </row>
    <row r="338" spans="11:11" x14ac:dyDescent="0.15">
      <c r="K338" s="214"/>
    </row>
    <row r="339" spans="11:11" x14ac:dyDescent="0.15">
      <c r="K339" s="214"/>
    </row>
    <row r="340" spans="11:11" x14ac:dyDescent="0.15">
      <c r="K340" s="214"/>
    </row>
    <row r="341" spans="11:11" x14ac:dyDescent="0.15">
      <c r="K341" s="214"/>
    </row>
    <row r="342" spans="11:11" x14ac:dyDescent="0.15">
      <c r="K342" s="214"/>
    </row>
    <row r="343" spans="11:11" x14ac:dyDescent="0.15">
      <c r="K343" s="214"/>
    </row>
    <row r="344" spans="11:11" x14ac:dyDescent="0.15">
      <c r="K344" s="214"/>
    </row>
    <row r="345" spans="11:11" x14ac:dyDescent="0.15">
      <c r="K345" s="214"/>
    </row>
    <row r="346" spans="11:11" x14ac:dyDescent="0.15">
      <c r="K346" s="214"/>
    </row>
    <row r="347" spans="11:11" x14ac:dyDescent="0.15">
      <c r="K347" s="214"/>
    </row>
    <row r="348" spans="11:11" x14ac:dyDescent="0.15">
      <c r="K348" s="214"/>
    </row>
    <row r="349" spans="11:11" x14ac:dyDescent="0.15">
      <c r="K349" s="214"/>
    </row>
    <row r="350" spans="11:11" x14ac:dyDescent="0.15">
      <c r="K350" s="214"/>
    </row>
    <row r="351" spans="11:11" x14ac:dyDescent="0.15">
      <c r="K351" s="214"/>
    </row>
    <row r="352" spans="11:11" x14ac:dyDescent="0.15">
      <c r="K352" s="214"/>
    </row>
    <row r="353" spans="11:11" x14ac:dyDescent="0.15">
      <c r="K353" s="214"/>
    </row>
    <row r="354" spans="11:11" x14ac:dyDescent="0.15">
      <c r="K354" s="214"/>
    </row>
    <row r="355" spans="11:11" x14ac:dyDescent="0.15">
      <c r="K355" s="214"/>
    </row>
    <row r="356" spans="11:11" x14ac:dyDescent="0.15">
      <c r="K356" s="214"/>
    </row>
    <row r="357" spans="11:11" x14ac:dyDescent="0.15">
      <c r="K357" s="214"/>
    </row>
    <row r="358" spans="11:11" x14ac:dyDescent="0.15">
      <c r="K358" s="214"/>
    </row>
    <row r="359" spans="11:11" x14ac:dyDescent="0.15">
      <c r="K359" s="214"/>
    </row>
    <row r="360" spans="11:11" x14ac:dyDescent="0.15">
      <c r="K360" s="214"/>
    </row>
    <row r="361" spans="11:11" x14ac:dyDescent="0.15">
      <c r="K361" s="214"/>
    </row>
    <row r="362" spans="11:11" x14ac:dyDescent="0.15">
      <c r="K362" s="214"/>
    </row>
    <row r="363" spans="11:11" x14ac:dyDescent="0.15">
      <c r="K363" s="214"/>
    </row>
    <row r="364" spans="11:11" x14ac:dyDescent="0.15">
      <c r="K364" s="214"/>
    </row>
    <row r="365" spans="11:11" x14ac:dyDescent="0.15">
      <c r="K365" s="214"/>
    </row>
    <row r="366" spans="11:11" x14ac:dyDescent="0.15">
      <c r="K366" s="214"/>
    </row>
    <row r="367" spans="11:11" x14ac:dyDescent="0.15">
      <c r="K367" s="214"/>
    </row>
    <row r="368" spans="11:11" x14ac:dyDescent="0.15">
      <c r="K368" s="214"/>
    </row>
    <row r="369" spans="11:11" x14ac:dyDescent="0.15">
      <c r="K369" s="214"/>
    </row>
    <row r="370" spans="11:11" x14ac:dyDescent="0.15">
      <c r="K370" s="214"/>
    </row>
    <row r="371" spans="11:11" x14ac:dyDescent="0.15">
      <c r="K371" s="214"/>
    </row>
    <row r="372" spans="11:11" x14ac:dyDescent="0.15">
      <c r="K372" s="214"/>
    </row>
    <row r="373" spans="11:11" x14ac:dyDescent="0.15">
      <c r="K373" s="214"/>
    </row>
    <row r="374" spans="11:11" x14ac:dyDescent="0.15">
      <c r="K374" s="214"/>
    </row>
    <row r="375" spans="11:11" x14ac:dyDescent="0.15">
      <c r="K375" s="214"/>
    </row>
    <row r="376" spans="11:11" x14ac:dyDescent="0.15">
      <c r="K376" s="214"/>
    </row>
    <row r="377" spans="11:11" x14ac:dyDescent="0.15">
      <c r="K377" s="214"/>
    </row>
    <row r="378" spans="11:11" x14ac:dyDescent="0.15">
      <c r="K378" s="214"/>
    </row>
    <row r="379" spans="11:11" x14ac:dyDescent="0.15">
      <c r="K379" s="214"/>
    </row>
    <row r="380" spans="11:11" x14ac:dyDescent="0.15">
      <c r="K380" s="214"/>
    </row>
    <row r="381" spans="11:11" x14ac:dyDescent="0.15">
      <c r="K381" s="214"/>
    </row>
    <row r="382" spans="11:11" x14ac:dyDescent="0.15">
      <c r="K382" s="214"/>
    </row>
    <row r="383" spans="11:11" x14ac:dyDescent="0.15">
      <c r="K383" s="214"/>
    </row>
    <row r="384" spans="11:11" x14ac:dyDescent="0.15">
      <c r="K384" s="214"/>
    </row>
    <row r="385" spans="11:11" x14ac:dyDescent="0.15">
      <c r="K385" s="214"/>
    </row>
    <row r="386" spans="11:11" x14ac:dyDescent="0.15">
      <c r="K386" s="214"/>
    </row>
    <row r="387" spans="11:11" x14ac:dyDescent="0.15">
      <c r="K387" s="214"/>
    </row>
    <row r="388" spans="11:11" x14ac:dyDescent="0.15">
      <c r="K388" s="214"/>
    </row>
    <row r="389" spans="11:11" x14ac:dyDescent="0.15">
      <c r="K389" s="214"/>
    </row>
    <row r="390" spans="11:11" x14ac:dyDescent="0.15">
      <c r="K390" s="214"/>
    </row>
    <row r="391" spans="11:11" x14ac:dyDescent="0.15">
      <c r="K391" s="214"/>
    </row>
    <row r="392" spans="11:11" x14ac:dyDescent="0.15">
      <c r="K392" s="214"/>
    </row>
    <row r="393" spans="11:11" x14ac:dyDescent="0.15">
      <c r="K393" s="214"/>
    </row>
    <row r="394" spans="11:11" x14ac:dyDescent="0.15">
      <c r="K394" s="214"/>
    </row>
    <row r="395" spans="11:11" x14ac:dyDescent="0.15">
      <c r="K395" s="214"/>
    </row>
    <row r="396" spans="11:11" x14ac:dyDescent="0.15">
      <c r="K396" s="214"/>
    </row>
    <row r="397" spans="11:11" x14ac:dyDescent="0.15">
      <c r="K397" s="214"/>
    </row>
    <row r="398" spans="11:11" x14ac:dyDescent="0.15">
      <c r="K398" s="214"/>
    </row>
    <row r="399" spans="11:11" x14ac:dyDescent="0.15">
      <c r="K399" s="214"/>
    </row>
    <row r="400" spans="11:11" x14ac:dyDescent="0.15">
      <c r="K400" s="214"/>
    </row>
    <row r="401" spans="11:11" x14ac:dyDescent="0.15">
      <c r="K401" s="214"/>
    </row>
    <row r="402" spans="11:11" x14ac:dyDescent="0.15">
      <c r="K402" s="214"/>
    </row>
    <row r="403" spans="11:11" x14ac:dyDescent="0.15">
      <c r="K403" s="214"/>
    </row>
    <row r="404" spans="11:11" x14ac:dyDescent="0.15">
      <c r="K404" s="214"/>
    </row>
    <row r="405" spans="11:11" x14ac:dyDescent="0.15">
      <c r="K405" s="214"/>
    </row>
    <row r="406" spans="11:11" x14ac:dyDescent="0.15">
      <c r="K406" s="214"/>
    </row>
    <row r="407" spans="11:11" x14ac:dyDescent="0.15">
      <c r="K407" s="214"/>
    </row>
    <row r="408" spans="11:11" x14ac:dyDescent="0.15">
      <c r="K408" s="214"/>
    </row>
    <row r="409" spans="11:11" x14ac:dyDescent="0.15">
      <c r="K409" s="214"/>
    </row>
    <row r="410" spans="11:11" x14ac:dyDescent="0.15">
      <c r="K410" s="214"/>
    </row>
    <row r="411" spans="11:11" x14ac:dyDescent="0.15">
      <c r="K411" s="214"/>
    </row>
    <row r="412" spans="11:11" x14ac:dyDescent="0.15">
      <c r="K412" s="214"/>
    </row>
    <row r="413" spans="11:11" x14ac:dyDescent="0.15">
      <c r="K413" s="214"/>
    </row>
    <row r="414" spans="11:11" x14ac:dyDescent="0.15">
      <c r="K414" s="214"/>
    </row>
    <row r="415" spans="11:11" x14ac:dyDescent="0.15">
      <c r="K415" s="214"/>
    </row>
    <row r="416" spans="11:11" x14ac:dyDescent="0.15">
      <c r="K416" s="214"/>
    </row>
    <row r="417" spans="11:11" x14ac:dyDescent="0.15">
      <c r="K417" s="214"/>
    </row>
    <row r="418" spans="11:11" x14ac:dyDescent="0.15">
      <c r="K418" s="214"/>
    </row>
    <row r="419" spans="11:11" x14ac:dyDescent="0.15">
      <c r="K419" s="214"/>
    </row>
    <row r="420" spans="11:11" x14ac:dyDescent="0.15">
      <c r="K420" s="214"/>
    </row>
    <row r="421" spans="11:11" x14ac:dyDescent="0.15">
      <c r="K421" s="214"/>
    </row>
    <row r="422" spans="11:11" x14ac:dyDescent="0.15">
      <c r="K422" s="214"/>
    </row>
    <row r="423" spans="11:11" x14ac:dyDescent="0.15">
      <c r="K423" s="214"/>
    </row>
    <row r="424" spans="11:11" x14ac:dyDescent="0.15">
      <c r="K424" s="214"/>
    </row>
    <row r="425" spans="11:11" x14ac:dyDescent="0.15">
      <c r="K425" s="214"/>
    </row>
    <row r="426" spans="11:11" x14ac:dyDescent="0.15">
      <c r="K426" s="214"/>
    </row>
    <row r="427" spans="11:11" x14ac:dyDescent="0.15">
      <c r="K427" s="214"/>
    </row>
    <row r="428" spans="11:11" x14ac:dyDescent="0.15">
      <c r="K428" s="214"/>
    </row>
    <row r="429" spans="11:11" x14ac:dyDescent="0.15">
      <c r="K429" s="214"/>
    </row>
    <row r="430" spans="11:11" x14ac:dyDescent="0.15">
      <c r="K430" s="214"/>
    </row>
    <row r="431" spans="11:11" x14ac:dyDescent="0.15">
      <c r="K431" s="214"/>
    </row>
    <row r="432" spans="11:11" x14ac:dyDescent="0.15">
      <c r="K432" s="214"/>
    </row>
    <row r="433" spans="11:11" x14ac:dyDescent="0.15">
      <c r="K433" s="214"/>
    </row>
    <row r="434" spans="11:11" x14ac:dyDescent="0.15">
      <c r="K434" s="214"/>
    </row>
    <row r="435" spans="11:11" x14ac:dyDescent="0.15">
      <c r="K435" s="214"/>
    </row>
    <row r="436" spans="11:11" x14ac:dyDescent="0.15">
      <c r="K436" s="214"/>
    </row>
    <row r="437" spans="11:11" x14ac:dyDescent="0.15">
      <c r="K437" s="214"/>
    </row>
    <row r="438" spans="11:11" x14ac:dyDescent="0.15">
      <c r="K438" s="214"/>
    </row>
    <row r="439" spans="11:11" x14ac:dyDescent="0.15">
      <c r="K439" s="214"/>
    </row>
    <row r="440" spans="11:11" x14ac:dyDescent="0.15">
      <c r="K440" s="214"/>
    </row>
    <row r="441" spans="11:11" x14ac:dyDescent="0.15">
      <c r="K441" s="214"/>
    </row>
    <row r="442" spans="11:11" x14ac:dyDescent="0.15">
      <c r="K442" s="214"/>
    </row>
    <row r="443" spans="11:11" x14ac:dyDescent="0.15">
      <c r="K443" s="214"/>
    </row>
    <row r="444" spans="11:11" x14ac:dyDescent="0.15">
      <c r="K444" s="214"/>
    </row>
    <row r="445" spans="11:11" x14ac:dyDescent="0.15">
      <c r="K445" s="214"/>
    </row>
    <row r="446" spans="11:11" x14ac:dyDescent="0.15">
      <c r="K446" s="214"/>
    </row>
    <row r="447" spans="11:11" x14ac:dyDescent="0.15">
      <c r="K447" s="214"/>
    </row>
    <row r="448" spans="11:11" x14ac:dyDescent="0.15">
      <c r="K448" s="214"/>
    </row>
    <row r="449" spans="11:11" x14ac:dyDescent="0.15">
      <c r="K449" s="214"/>
    </row>
    <row r="450" spans="11:11" x14ac:dyDescent="0.15">
      <c r="K450" s="214"/>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85" zoomScaleNormal="85" workbookViewId="0">
      <selection activeCell="D46" sqref="D46"/>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172</v>
      </c>
      <c r="C1" s="90" t="s">
        <v>173</v>
      </c>
      <c r="D1" s="91" t="s">
        <v>3</v>
      </c>
      <c r="E1" s="92" t="s">
        <v>4</v>
      </c>
      <c r="F1" s="92" t="s">
        <v>5</v>
      </c>
      <c r="G1" s="92" t="s">
        <v>6</v>
      </c>
      <c r="H1" s="92" t="s">
        <v>7</v>
      </c>
      <c r="I1" s="92" t="s">
        <v>8</v>
      </c>
      <c r="J1" s="92" t="s">
        <v>9</v>
      </c>
      <c r="K1" s="92" t="s">
        <v>10</v>
      </c>
      <c r="L1" s="91" t="s">
        <v>174</v>
      </c>
      <c r="M1" s="91" t="s">
        <v>175</v>
      </c>
      <c r="N1" s="91" t="s">
        <v>13</v>
      </c>
      <c r="O1" s="91" t="s">
        <v>176</v>
      </c>
      <c r="P1" s="91" t="s">
        <v>177</v>
      </c>
      <c r="Q1" s="93" t="s">
        <v>178</v>
      </c>
      <c r="R1" s="91" t="s">
        <v>179</v>
      </c>
      <c r="S1" s="91" t="s">
        <v>180</v>
      </c>
      <c r="T1" s="93" t="s">
        <v>19</v>
      </c>
      <c r="U1" s="94" t="s">
        <v>108</v>
      </c>
      <c r="V1" s="95" t="s">
        <v>20</v>
      </c>
      <c r="W1" s="91" t="s">
        <v>181</v>
      </c>
      <c r="X1" s="92" t="s">
        <v>22</v>
      </c>
      <c r="Y1" s="92" t="s">
        <v>23</v>
      </c>
      <c r="Z1" s="92" t="s">
        <v>24</v>
      </c>
      <c r="AA1" s="96" t="s">
        <v>25</v>
      </c>
      <c r="AB1" s="97" t="s">
        <v>182</v>
      </c>
      <c r="AE1" s="99" t="s">
        <v>0</v>
      </c>
      <c r="AF1" s="100"/>
      <c r="AG1" s="99" t="s">
        <v>4</v>
      </c>
      <c r="AH1" s="99" t="s">
        <v>5</v>
      </c>
      <c r="AI1" s="100"/>
      <c r="AJ1" s="99" t="s">
        <v>6</v>
      </c>
      <c r="AK1" s="100"/>
      <c r="AL1" s="101" t="s">
        <v>7</v>
      </c>
      <c r="AM1" s="100"/>
      <c r="AN1" s="101" t="s">
        <v>8</v>
      </c>
      <c r="AO1" s="100"/>
      <c r="AP1" s="101" t="s">
        <v>27</v>
      </c>
      <c r="AQ1" s="100"/>
      <c r="AR1" s="101" t="s">
        <v>10</v>
      </c>
      <c r="AS1" s="100"/>
      <c r="AT1" s="102" t="s">
        <v>183</v>
      </c>
      <c r="AU1" s="100"/>
      <c r="AV1" s="101" t="s">
        <v>29</v>
      </c>
      <c r="AX1" s="103" t="s">
        <v>184</v>
      </c>
      <c r="AY1" s="104" t="s">
        <v>185</v>
      </c>
      <c r="AZ1" s="104" t="s">
        <v>186</v>
      </c>
      <c r="BA1" s="105" t="s">
        <v>187</v>
      </c>
    </row>
    <row r="2" spans="1:53" s="244" customFormat="1" x14ac:dyDescent="0.15">
      <c r="A2" s="244" t="s">
        <v>51</v>
      </c>
      <c r="B2" s="244" t="s">
        <v>331</v>
      </c>
      <c r="C2" s="244">
        <v>2018</v>
      </c>
      <c r="D2" s="106" t="s">
        <v>401</v>
      </c>
      <c r="E2" s="244" t="s">
        <v>188</v>
      </c>
      <c r="F2" s="244" t="s">
        <v>189</v>
      </c>
      <c r="G2" s="244" t="s">
        <v>42</v>
      </c>
      <c r="H2" s="244" t="s">
        <v>155</v>
      </c>
      <c r="I2" s="244" t="s">
        <v>153</v>
      </c>
      <c r="J2" s="244" t="s">
        <v>38</v>
      </c>
      <c r="K2" s="244" t="s">
        <v>154</v>
      </c>
      <c r="L2" s="244">
        <v>1</v>
      </c>
      <c r="N2" s="244">
        <v>2</v>
      </c>
      <c r="O2" s="244">
        <v>0.65</v>
      </c>
      <c r="P2" s="244">
        <v>0.65</v>
      </c>
      <c r="Q2" s="107">
        <f t="shared" ref="Q2:Q65" si="0">IF(OR(O2="",P2=""),"",AVERAGE(O2,P2))</f>
        <v>0.65</v>
      </c>
      <c r="R2" s="244">
        <v>13.8</v>
      </c>
      <c r="S2" s="244">
        <v>188</v>
      </c>
      <c r="T2" s="108">
        <f t="shared" ref="T2:T65" si="1">IF(H2="","",IF(OR(H2="GREEN",H2="GK"),IF(S2&gt;=$AX$2,VLOOKUP(S2,$AX$2:$AY$12,2,1),""),IF(S2&gt;=$AZ$2,VLOOKUP(S2,$AZ$2:$BA$12,2,1),"")))</f>
        <v>16</v>
      </c>
      <c r="U2" s="244">
        <v>298</v>
      </c>
      <c r="V2" s="109">
        <f t="shared" ref="V2:V65" si="2">IF(OR(N2="",U2="",T2=""),"",U2/N2*T2)</f>
        <v>2384</v>
      </c>
      <c r="W2" s="244">
        <v>2</v>
      </c>
      <c r="X2" s="244" t="s">
        <v>39</v>
      </c>
      <c r="Y2" s="244" t="s">
        <v>69</v>
      </c>
      <c r="Z2" s="244" t="s">
        <v>84</v>
      </c>
      <c r="AA2" s="244" t="s">
        <v>40</v>
      </c>
      <c r="AB2" s="244" t="s">
        <v>333</v>
      </c>
      <c r="AE2" s="110" t="s">
        <v>35</v>
      </c>
      <c r="AG2" s="111" t="s">
        <v>163</v>
      </c>
      <c r="AH2" s="111" t="s">
        <v>190</v>
      </c>
      <c r="AJ2" s="111" t="s">
        <v>36</v>
      </c>
      <c r="AL2" s="111" t="s">
        <v>191</v>
      </c>
      <c r="AN2" s="111" t="s">
        <v>37</v>
      </c>
      <c r="AP2" s="111" t="s">
        <v>38</v>
      </c>
      <c r="AR2" s="111" t="s">
        <v>154</v>
      </c>
      <c r="AT2" s="111" t="s">
        <v>39</v>
      </c>
      <c r="AV2" s="111" t="s">
        <v>40</v>
      </c>
      <c r="AX2" s="112">
        <v>1</v>
      </c>
      <c r="AY2" s="113">
        <v>50</v>
      </c>
      <c r="AZ2" s="113">
        <v>1</v>
      </c>
      <c r="BA2" s="114">
        <v>50</v>
      </c>
    </row>
    <row r="3" spans="1:53" s="115" customFormat="1" x14ac:dyDescent="0.15">
      <c r="A3" s="244" t="s">
        <v>51</v>
      </c>
      <c r="B3" s="244" t="s">
        <v>331</v>
      </c>
      <c r="C3" s="244">
        <v>2018</v>
      </c>
      <c r="D3" s="106" t="s">
        <v>401</v>
      </c>
      <c r="E3" s="244" t="s">
        <v>188</v>
      </c>
      <c r="F3" s="244" t="s">
        <v>189</v>
      </c>
      <c r="G3" s="244" t="s">
        <v>42</v>
      </c>
      <c r="H3" s="244" t="s">
        <v>155</v>
      </c>
      <c r="I3" s="244" t="s">
        <v>153</v>
      </c>
      <c r="J3" s="244" t="s">
        <v>38</v>
      </c>
      <c r="K3" s="244" t="s">
        <v>154</v>
      </c>
      <c r="L3" s="244">
        <v>2</v>
      </c>
      <c r="M3" s="244"/>
      <c r="N3" s="244">
        <v>2</v>
      </c>
      <c r="O3" s="244">
        <v>0.7</v>
      </c>
      <c r="P3" s="244">
        <v>0.55000000000000004</v>
      </c>
      <c r="Q3" s="107">
        <f t="shared" si="0"/>
        <v>0.625</v>
      </c>
      <c r="R3" s="244">
        <v>13.2</v>
      </c>
      <c r="S3" s="244">
        <v>184</v>
      </c>
      <c r="T3" s="108">
        <f t="shared" si="1"/>
        <v>16</v>
      </c>
      <c r="U3" s="244">
        <v>298</v>
      </c>
      <c r="V3" s="109">
        <f t="shared" si="2"/>
        <v>2384</v>
      </c>
      <c r="W3" s="244">
        <v>2</v>
      </c>
      <c r="X3" s="244" t="s">
        <v>39</v>
      </c>
      <c r="Y3" s="244" t="s">
        <v>69</v>
      </c>
      <c r="Z3" s="244" t="s">
        <v>84</v>
      </c>
      <c r="AA3" s="244" t="s">
        <v>40</v>
      </c>
      <c r="AB3" s="244" t="s">
        <v>333</v>
      </c>
      <c r="AE3" s="116" t="s">
        <v>41</v>
      </c>
      <c r="AG3" s="111" t="s">
        <v>192</v>
      </c>
      <c r="AH3" s="111" t="s">
        <v>193</v>
      </c>
      <c r="AJ3" s="117" t="s">
        <v>42</v>
      </c>
      <c r="AL3" s="117" t="s">
        <v>194</v>
      </c>
      <c r="AN3" s="117" t="s">
        <v>43</v>
      </c>
      <c r="AP3" s="117" t="s">
        <v>44</v>
      </c>
      <c r="AR3" s="118" t="s">
        <v>45</v>
      </c>
      <c r="AT3" s="117" t="s">
        <v>46</v>
      </c>
      <c r="AV3" s="117" t="s">
        <v>47</v>
      </c>
      <c r="AX3" s="119">
        <v>72</v>
      </c>
      <c r="AY3" s="120">
        <v>46</v>
      </c>
      <c r="AZ3" s="120">
        <v>71</v>
      </c>
      <c r="BA3" s="121">
        <v>42</v>
      </c>
    </row>
    <row r="4" spans="1:53" s="115" customFormat="1" x14ac:dyDescent="0.15">
      <c r="A4" s="244" t="s">
        <v>51</v>
      </c>
      <c r="B4" s="244" t="s">
        <v>331</v>
      </c>
      <c r="C4" s="244">
        <v>2018</v>
      </c>
      <c r="D4" s="106" t="s">
        <v>401</v>
      </c>
      <c r="E4" s="244" t="s">
        <v>188</v>
      </c>
      <c r="F4" s="244" t="s">
        <v>189</v>
      </c>
      <c r="G4" s="244" t="s">
        <v>42</v>
      </c>
      <c r="H4" s="244" t="s">
        <v>155</v>
      </c>
      <c r="I4" s="244" t="s">
        <v>153</v>
      </c>
      <c r="J4" s="244" t="s">
        <v>38</v>
      </c>
      <c r="K4" s="244" t="s">
        <v>154</v>
      </c>
      <c r="L4" s="244">
        <v>3</v>
      </c>
      <c r="M4" s="244"/>
      <c r="N4" s="244">
        <v>2</v>
      </c>
      <c r="O4" s="244">
        <v>0.7</v>
      </c>
      <c r="P4" s="244">
        <v>0.6</v>
      </c>
      <c r="Q4" s="107">
        <f t="shared" si="0"/>
        <v>0.64999999999999991</v>
      </c>
      <c r="R4" s="244">
        <v>14.4</v>
      </c>
      <c r="S4" s="244">
        <v>194</v>
      </c>
      <c r="T4" s="108">
        <f t="shared" si="1"/>
        <v>16</v>
      </c>
      <c r="U4" s="244">
        <v>298</v>
      </c>
      <c r="V4" s="109">
        <f t="shared" si="2"/>
        <v>2384</v>
      </c>
      <c r="W4" s="244">
        <v>2</v>
      </c>
      <c r="X4" s="244" t="s">
        <v>39</v>
      </c>
      <c r="Y4" s="244" t="s">
        <v>69</v>
      </c>
      <c r="Z4" s="244" t="s">
        <v>84</v>
      </c>
      <c r="AA4" s="244" t="s">
        <v>40</v>
      </c>
      <c r="AB4" s="244" t="s">
        <v>333</v>
      </c>
      <c r="AE4" s="116" t="s">
        <v>34</v>
      </c>
      <c r="AG4" s="111" t="s">
        <v>195</v>
      </c>
      <c r="AH4" s="111" t="s">
        <v>196</v>
      </c>
      <c r="AJ4" s="122" t="s">
        <v>48</v>
      </c>
      <c r="AL4" s="122" t="s">
        <v>197</v>
      </c>
      <c r="AN4" s="123" t="s">
        <v>198</v>
      </c>
      <c r="AP4" s="117" t="s">
        <v>199</v>
      </c>
      <c r="AR4" s="118" t="s">
        <v>200</v>
      </c>
      <c r="AT4" s="123"/>
      <c r="AV4" s="117" t="s">
        <v>50</v>
      </c>
      <c r="AX4" s="119">
        <v>75</v>
      </c>
      <c r="AY4" s="120">
        <v>42</v>
      </c>
      <c r="AZ4" s="120">
        <v>76</v>
      </c>
      <c r="BA4" s="121">
        <v>39</v>
      </c>
    </row>
    <row r="5" spans="1:53" s="115" customFormat="1" x14ac:dyDescent="0.15">
      <c r="A5" s="244" t="s">
        <v>51</v>
      </c>
      <c r="B5" s="244" t="s">
        <v>331</v>
      </c>
      <c r="C5" s="244">
        <v>2018</v>
      </c>
      <c r="D5" s="106" t="s">
        <v>401</v>
      </c>
      <c r="E5" s="244" t="s">
        <v>192</v>
      </c>
      <c r="F5" s="244" t="s">
        <v>193</v>
      </c>
      <c r="G5" s="244" t="s">
        <v>36</v>
      </c>
      <c r="H5" s="244" t="s">
        <v>155</v>
      </c>
      <c r="I5" s="244" t="s">
        <v>153</v>
      </c>
      <c r="J5" s="244" t="s">
        <v>38</v>
      </c>
      <c r="K5" s="244" t="s">
        <v>154</v>
      </c>
      <c r="L5" s="244">
        <v>1</v>
      </c>
      <c r="M5" s="244"/>
      <c r="N5" s="244">
        <v>1</v>
      </c>
      <c r="O5" s="244">
        <v>0.55000000000000004</v>
      </c>
      <c r="P5" s="244">
        <v>0.55000000000000004</v>
      </c>
      <c r="Q5" s="107">
        <f t="shared" si="0"/>
        <v>0.55000000000000004</v>
      </c>
      <c r="R5" s="244">
        <v>13.8</v>
      </c>
      <c r="S5" s="244">
        <v>148</v>
      </c>
      <c r="T5" s="108">
        <f t="shared" si="1"/>
        <v>22</v>
      </c>
      <c r="U5" s="244">
        <v>138</v>
      </c>
      <c r="V5" s="109">
        <f t="shared" si="2"/>
        <v>3036</v>
      </c>
      <c r="W5" s="244">
        <v>6</v>
      </c>
      <c r="X5" s="244" t="s">
        <v>46</v>
      </c>
      <c r="Y5" s="244" t="s">
        <v>84</v>
      </c>
      <c r="Z5" s="244" t="s">
        <v>90</v>
      </c>
      <c r="AA5" s="244" t="s">
        <v>69</v>
      </c>
      <c r="AB5" s="244" t="s">
        <v>333</v>
      </c>
      <c r="AE5" s="116" t="s">
        <v>51</v>
      </c>
      <c r="AG5" s="111" t="s">
        <v>201</v>
      </c>
      <c r="AH5" s="111" t="s">
        <v>189</v>
      </c>
      <c r="AJ5" s="123"/>
      <c r="AL5" s="124" t="s">
        <v>155</v>
      </c>
      <c r="AN5" s="124" t="s">
        <v>153</v>
      </c>
      <c r="AP5" s="117" t="s">
        <v>202</v>
      </c>
      <c r="AR5" s="118" t="s">
        <v>54</v>
      </c>
      <c r="AV5" s="117" t="s">
        <v>55</v>
      </c>
      <c r="AX5" s="119">
        <v>84</v>
      </c>
      <c r="AY5" s="120">
        <v>39</v>
      </c>
      <c r="AZ5" s="120">
        <v>84</v>
      </c>
      <c r="BA5" s="121">
        <v>36</v>
      </c>
    </row>
    <row r="6" spans="1:53" s="115" customFormat="1" x14ac:dyDescent="0.15">
      <c r="A6" s="244" t="s">
        <v>51</v>
      </c>
      <c r="B6" s="244" t="s">
        <v>331</v>
      </c>
      <c r="C6" s="244">
        <v>2018</v>
      </c>
      <c r="D6" s="106" t="s">
        <v>401</v>
      </c>
      <c r="E6" s="244" t="s">
        <v>192</v>
      </c>
      <c r="F6" s="244" t="s">
        <v>193</v>
      </c>
      <c r="G6" s="244" t="s">
        <v>36</v>
      </c>
      <c r="H6" s="244" t="s">
        <v>155</v>
      </c>
      <c r="I6" s="244" t="s">
        <v>153</v>
      </c>
      <c r="J6" s="244" t="s">
        <v>38</v>
      </c>
      <c r="K6" s="244" t="s">
        <v>154</v>
      </c>
      <c r="L6" s="244">
        <v>2</v>
      </c>
      <c r="M6" s="244"/>
      <c r="N6" s="244">
        <v>1</v>
      </c>
      <c r="O6" s="244">
        <v>0.25</v>
      </c>
      <c r="P6" s="244">
        <v>0.5</v>
      </c>
      <c r="Q6" s="107">
        <f t="shared" si="0"/>
        <v>0.375</v>
      </c>
      <c r="R6" s="244">
        <v>13.3</v>
      </c>
      <c r="S6" s="244">
        <v>146</v>
      </c>
      <c r="T6" s="108">
        <f t="shared" si="1"/>
        <v>22</v>
      </c>
      <c r="U6" s="244">
        <v>138</v>
      </c>
      <c r="V6" s="109">
        <f t="shared" si="2"/>
        <v>3036</v>
      </c>
      <c r="W6" s="244">
        <v>6</v>
      </c>
      <c r="X6" s="244" t="s">
        <v>46</v>
      </c>
      <c r="Y6" s="244" t="s">
        <v>84</v>
      </c>
      <c r="Z6" s="244" t="s">
        <v>90</v>
      </c>
      <c r="AA6" s="244" t="s">
        <v>69</v>
      </c>
      <c r="AB6" s="244" t="s">
        <v>333</v>
      </c>
      <c r="AE6" s="116" t="s">
        <v>56</v>
      </c>
      <c r="AG6" s="111" t="s">
        <v>203</v>
      </c>
      <c r="AH6" s="111" t="s">
        <v>204</v>
      </c>
      <c r="AL6" s="124" t="s">
        <v>205</v>
      </c>
      <c r="AN6" s="124" t="s">
        <v>156</v>
      </c>
      <c r="AP6" s="117" t="s">
        <v>53</v>
      </c>
      <c r="AR6" s="118" t="s">
        <v>59</v>
      </c>
      <c r="AV6" s="117" t="s">
        <v>60</v>
      </c>
      <c r="AX6" s="119">
        <v>97</v>
      </c>
      <c r="AY6" s="120">
        <v>36</v>
      </c>
      <c r="AZ6" s="120">
        <v>99</v>
      </c>
      <c r="BA6" s="121">
        <v>33</v>
      </c>
    </row>
    <row r="7" spans="1:53" s="115" customFormat="1" x14ac:dyDescent="0.15">
      <c r="A7" s="244" t="s">
        <v>51</v>
      </c>
      <c r="B7" s="244" t="s">
        <v>331</v>
      </c>
      <c r="C7" s="244">
        <v>2018</v>
      </c>
      <c r="D7" s="106" t="s">
        <v>401</v>
      </c>
      <c r="E7" s="244" t="s">
        <v>192</v>
      </c>
      <c r="F7" s="244" t="s">
        <v>193</v>
      </c>
      <c r="G7" s="244" t="s">
        <v>36</v>
      </c>
      <c r="H7" s="244" t="s">
        <v>155</v>
      </c>
      <c r="I7" s="244" t="s">
        <v>153</v>
      </c>
      <c r="J7" s="244" t="s">
        <v>38</v>
      </c>
      <c r="K7" s="244" t="s">
        <v>154</v>
      </c>
      <c r="L7" s="244">
        <v>3</v>
      </c>
      <c r="M7" s="244"/>
      <c r="N7" s="244">
        <v>1</v>
      </c>
      <c r="O7" s="244">
        <v>0.65</v>
      </c>
      <c r="P7" s="244">
        <v>0.7</v>
      </c>
      <c r="Q7" s="107">
        <f t="shared" si="0"/>
        <v>0.67500000000000004</v>
      </c>
      <c r="R7" s="244">
        <v>14.1</v>
      </c>
      <c r="S7" s="244">
        <v>148</v>
      </c>
      <c r="T7" s="108">
        <f t="shared" si="1"/>
        <v>22</v>
      </c>
      <c r="U7" s="244">
        <v>138</v>
      </c>
      <c r="V7" s="109">
        <f t="shared" si="2"/>
        <v>3036</v>
      </c>
      <c r="W7" s="244">
        <v>6</v>
      </c>
      <c r="X7" s="244" t="s">
        <v>46</v>
      </c>
      <c r="Y7" s="244" t="s">
        <v>84</v>
      </c>
      <c r="Z7" s="244" t="s">
        <v>90</v>
      </c>
      <c r="AA7" s="244" t="s">
        <v>69</v>
      </c>
      <c r="AB7" s="244" t="s">
        <v>333</v>
      </c>
      <c r="AE7" s="116" t="s">
        <v>61</v>
      </c>
      <c r="AG7" s="111" t="s">
        <v>206</v>
      </c>
      <c r="AH7" s="111" t="s">
        <v>190</v>
      </c>
      <c r="AL7" s="115" t="s">
        <v>207</v>
      </c>
      <c r="AP7" s="117" t="s">
        <v>58</v>
      </c>
      <c r="AR7" s="118" t="s">
        <v>208</v>
      </c>
      <c r="AV7" s="117" t="s">
        <v>64</v>
      </c>
      <c r="AX7" s="119">
        <v>109</v>
      </c>
      <c r="AY7" s="120">
        <v>33</v>
      </c>
      <c r="AZ7" s="120">
        <v>113</v>
      </c>
      <c r="BA7" s="121">
        <v>30</v>
      </c>
    </row>
    <row r="8" spans="1:53" s="115" customFormat="1" x14ac:dyDescent="0.15">
      <c r="A8" s="244" t="s">
        <v>51</v>
      </c>
      <c r="B8" s="244" t="s">
        <v>331</v>
      </c>
      <c r="C8" s="244">
        <v>2018</v>
      </c>
      <c r="D8" s="106" t="s">
        <v>401</v>
      </c>
      <c r="E8" s="244" t="s">
        <v>192</v>
      </c>
      <c r="F8" s="244" t="s">
        <v>193</v>
      </c>
      <c r="G8" s="244" t="s">
        <v>36</v>
      </c>
      <c r="H8" s="244" t="s">
        <v>205</v>
      </c>
      <c r="I8" s="244" t="s">
        <v>153</v>
      </c>
      <c r="J8" s="244" t="s">
        <v>38</v>
      </c>
      <c r="K8" s="244" t="s">
        <v>54</v>
      </c>
      <c r="L8" s="244">
        <v>1</v>
      </c>
      <c r="M8" s="244"/>
      <c r="N8" s="244">
        <v>4</v>
      </c>
      <c r="O8" s="244">
        <v>0.65</v>
      </c>
      <c r="P8" s="244">
        <v>0.7</v>
      </c>
      <c r="Q8" s="107">
        <f t="shared" si="0"/>
        <v>0.67500000000000004</v>
      </c>
      <c r="R8" s="244">
        <v>15.7</v>
      </c>
      <c r="S8" s="244">
        <v>81</v>
      </c>
      <c r="T8" s="108">
        <f t="shared" si="1"/>
        <v>42</v>
      </c>
      <c r="U8" s="244">
        <v>498</v>
      </c>
      <c r="V8" s="109">
        <f t="shared" si="2"/>
        <v>5229</v>
      </c>
      <c r="W8" s="244">
        <v>6</v>
      </c>
      <c r="X8" s="244" t="s">
        <v>46</v>
      </c>
      <c r="Y8" s="244" t="s">
        <v>84</v>
      </c>
      <c r="Z8" s="244" t="s">
        <v>90</v>
      </c>
      <c r="AA8" s="244" t="s">
        <v>69</v>
      </c>
      <c r="AB8" s="244" t="s">
        <v>333</v>
      </c>
      <c r="AE8" s="116" t="s">
        <v>59</v>
      </c>
      <c r="AG8" s="111" t="s">
        <v>209</v>
      </c>
      <c r="AH8" s="111" t="s">
        <v>210</v>
      </c>
      <c r="AL8" s="115" t="s">
        <v>160</v>
      </c>
      <c r="AP8" s="117" t="s">
        <v>62</v>
      </c>
      <c r="AR8" s="118" t="s">
        <v>81</v>
      </c>
      <c r="AV8" s="117" t="s">
        <v>97</v>
      </c>
      <c r="AX8" s="119">
        <v>119</v>
      </c>
      <c r="AY8" s="120">
        <v>30</v>
      </c>
      <c r="AZ8" s="120">
        <v>121</v>
      </c>
      <c r="BA8" s="121">
        <v>27</v>
      </c>
    </row>
    <row r="9" spans="1:53" s="115" customFormat="1" x14ac:dyDescent="0.15">
      <c r="A9" s="244" t="s">
        <v>51</v>
      </c>
      <c r="B9" s="244" t="s">
        <v>331</v>
      </c>
      <c r="C9" s="244">
        <v>2018</v>
      </c>
      <c r="D9" s="106" t="s">
        <v>401</v>
      </c>
      <c r="E9" s="244" t="s">
        <v>192</v>
      </c>
      <c r="F9" s="244" t="s">
        <v>193</v>
      </c>
      <c r="G9" s="244" t="s">
        <v>36</v>
      </c>
      <c r="H9" s="244" t="s">
        <v>205</v>
      </c>
      <c r="I9" s="244" t="s">
        <v>153</v>
      </c>
      <c r="J9" s="244" t="s">
        <v>38</v>
      </c>
      <c r="K9" s="244" t="s">
        <v>54</v>
      </c>
      <c r="L9" s="244">
        <v>2</v>
      </c>
      <c r="M9" s="244"/>
      <c r="N9" s="244">
        <v>4</v>
      </c>
      <c r="O9" s="244">
        <v>0.8</v>
      </c>
      <c r="P9" s="244">
        <v>0.6</v>
      </c>
      <c r="Q9" s="107">
        <f t="shared" si="0"/>
        <v>0.7</v>
      </c>
      <c r="R9" s="244">
        <v>15</v>
      </c>
      <c r="S9" s="244">
        <v>73</v>
      </c>
      <c r="T9" s="108">
        <f t="shared" si="1"/>
        <v>46</v>
      </c>
      <c r="U9" s="244">
        <v>498</v>
      </c>
      <c r="V9" s="109">
        <f t="shared" si="2"/>
        <v>5727</v>
      </c>
      <c r="W9" s="244">
        <v>6</v>
      </c>
      <c r="X9" s="244" t="s">
        <v>46</v>
      </c>
      <c r="Y9" s="244" t="s">
        <v>84</v>
      </c>
      <c r="Z9" s="244" t="s">
        <v>90</v>
      </c>
      <c r="AA9" s="244" t="s">
        <v>69</v>
      </c>
      <c r="AB9" s="244" t="s">
        <v>333</v>
      </c>
      <c r="AE9" s="116" t="s">
        <v>211</v>
      </c>
      <c r="AG9" s="111" t="s">
        <v>212</v>
      </c>
      <c r="AH9" s="111" t="s">
        <v>189</v>
      </c>
      <c r="AL9" s="124"/>
      <c r="AP9" s="117" t="s">
        <v>95</v>
      </c>
      <c r="AR9" s="118" t="s">
        <v>213</v>
      </c>
      <c r="AV9" s="117" t="s">
        <v>102</v>
      </c>
      <c r="AX9" s="119">
        <v>128</v>
      </c>
      <c r="AY9" s="120">
        <v>27</v>
      </c>
      <c r="AZ9" s="120">
        <v>129</v>
      </c>
      <c r="BA9" s="121">
        <v>25</v>
      </c>
    </row>
    <row r="10" spans="1:53" s="115" customFormat="1" x14ac:dyDescent="0.15">
      <c r="A10" s="244" t="s">
        <v>51</v>
      </c>
      <c r="B10" s="244" t="s">
        <v>331</v>
      </c>
      <c r="C10" s="244">
        <v>2018</v>
      </c>
      <c r="D10" s="106" t="s">
        <v>401</v>
      </c>
      <c r="E10" s="244" t="s">
        <v>192</v>
      </c>
      <c r="F10" s="244" t="s">
        <v>193</v>
      </c>
      <c r="G10" s="244" t="s">
        <v>36</v>
      </c>
      <c r="H10" s="244" t="s">
        <v>205</v>
      </c>
      <c r="I10" s="244" t="s">
        <v>153</v>
      </c>
      <c r="J10" s="244" t="s">
        <v>38</v>
      </c>
      <c r="K10" s="244" t="s">
        <v>54</v>
      </c>
      <c r="L10" s="244">
        <v>3</v>
      </c>
      <c r="M10" s="244"/>
      <c r="N10" s="244">
        <v>4</v>
      </c>
      <c r="O10" s="244">
        <v>0.75</v>
      </c>
      <c r="P10" s="244">
        <v>0.75</v>
      </c>
      <c r="Q10" s="107">
        <f t="shared" si="0"/>
        <v>0.75</v>
      </c>
      <c r="R10" s="244">
        <v>15.4</v>
      </c>
      <c r="S10" s="244">
        <v>81</v>
      </c>
      <c r="T10" s="108">
        <f t="shared" si="1"/>
        <v>42</v>
      </c>
      <c r="U10" s="244">
        <v>498</v>
      </c>
      <c r="V10" s="109">
        <f t="shared" si="2"/>
        <v>5229</v>
      </c>
      <c r="W10" s="244">
        <v>6</v>
      </c>
      <c r="X10" s="244" t="s">
        <v>46</v>
      </c>
      <c r="Y10" s="244" t="s">
        <v>84</v>
      </c>
      <c r="Z10" s="244" t="s">
        <v>90</v>
      </c>
      <c r="AA10" s="244" t="s">
        <v>69</v>
      </c>
      <c r="AB10" s="244" t="s">
        <v>333</v>
      </c>
      <c r="AE10" s="116" t="s">
        <v>214</v>
      </c>
      <c r="AG10" s="111" t="s">
        <v>188</v>
      </c>
      <c r="AH10" s="117" t="s">
        <v>189</v>
      </c>
      <c r="AP10" s="117" t="s">
        <v>100</v>
      </c>
      <c r="AR10" s="118" t="s">
        <v>215</v>
      </c>
      <c r="AV10" s="117" t="s">
        <v>106</v>
      </c>
      <c r="AX10" s="119">
        <v>138</v>
      </c>
      <c r="AY10" s="120">
        <v>25</v>
      </c>
      <c r="AZ10" s="120">
        <v>138</v>
      </c>
      <c r="BA10" s="121">
        <v>22</v>
      </c>
    </row>
    <row r="11" spans="1:53" s="115" customFormat="1" x14ac:dyDescent="0.15">
      <c r="A11" s="244" t="s">
        <v>51</v>
      </c>
      <c r="B11" s="244" t="s">
        <v>331</v>
      </c>
      <c r="C11" s="244">
        <v>2018</v>
      </c>
      <c r="D11" s="106" t="s">
        <v>401</v>
      </c>
      <c r="E11" s="244" t="s">
        <v>139</v>
      </c>
      <c r="F11" s="244" t="s">
        <v>402</v>
      </c>
      <c r="G11" s="244" t="s">
        <v>42</v>
      </c>
      <c r="H11" s="244" t="s">
        <v>155</v>
      </c>
      <c r="I11" s="244" t="s">
        <v>153</v>
      </c>
      <c r="J11" s="244" t="s">
        <v>38</v>
      </c>
      <c r="K11" s="244" t="s">
        <v>154</v>
      </c>
      <c r="L11" s="244">
        <v>1</v>
      </c>
      <c r="M11" s="244"/>
      <c r="N11" s="244">
        <v>1</v>
      </c>
      <c r="O11" s="244">
        <v>1</v>
      </c>
      <c r="P11" s="244">
        <v>0.9</v>
      </c>
      <c r="Q11" s="107">
        <f t="shared" si="0"/>
        <v>0.95</v>
      </c>
      <c r="R11" s="244">
        <v>12.7</v>
      </c>
      <c r="S11" s="244">
        <v>106</v>
      </c>
      <c r="T11" s="108">
        <f t="shared" si="1"/>
        <v>33</v>
      </c>
      <c r="U11" s="244">
        <v>100</v>
      </c>
      <c r="V11" s="109">
        <f t="shared" si="2"/>
        <v>3300</v>
      </c>
      <c r="W11" s="244">
        <v>10</v>
      </c>
      <c r="X11" s="244" t="s">
        <v>46</v>
      </c>
      <c r="Y11" s="244" t="s">
        <v>84</v>
      </c>
      <c r="Z11" s="244" t="s">
        <v>69</v>
      </c>
      <c r="AA11" s="244" t="s">
        <v>90</v>
      </c>
      <c r="AB11" s="244" t="s">
        <v>333</v>
      </c>
      <c r="AE11" s="116" t="s">
        <v>68</v>
      </c>
      <c r="AG11" s="111" t="s">
        <v>139</v>
      </c>
      <c r="AH11" s="117" t="s">
        <v>402</v>
      </c>
      <c r="AP11" s="117" t="s">
        <v>104</v>
      </c>
      <c r="AR11" s="118" t="s">
        <v>216</v>
      </c>
      <c r="AV11" s="117" t="s">
        <v>69</v>
      </c>
      <c r="AX11" s="119">
        <v>151</v>
      </c>
      <c r="AY11" s="120">
        <v>22</v>
      </c>
      <c r="AZ11" s="120">
        <v>152</v>
      </c>
      <c r="BA11" s="121">
        <v>18</v>
      </c>
    </row>
    <row r="12" spans="1:53" s="115" customFormat="1" x14ac:dyDescent="0.15">
      <c r="A12" s="244" t="s">
        <v>51</v>
      </c>
      <c r="B12" s="244" t="s">
        <v>331</v>
      </c>
      <c r="C12" s="244">
        <v>2018</v>
      </c>
      <c r="D12" s="106" t="s">
        <v>401</v>
      </c>
      <c r="E12" s="244" t="s">
        <v>139</v>
      </c>
      <c r="F12" s="244" t="s">
        <v>402</v>
      </c>
      <c r="G12" s="244" t="s">
        <v>42</v>
      </c>
      <c r="H12" s="244" t="s">
        <v>155</v>
      </c>
      <c r="I12" s="244" t="s">
        <v>153</v>
      </c>
      <c r="J12" s="244" t="s">
        <v>38</v>
      </c>
      <c r="K12" s="244" t="s">
        <v>154</v>
      </c>
      <c r="L12" s="244">
        <v>2</v>
      </c>
      <c r="M12" s="244"/>
      <c r="N12" s="244">
        <v>1</v>
      </c>
      <c r="O12" s="244">
        <v>0.95</v>
      </c>
      <c r="P12" s="244">
        <v>1.05</v>
      </c>
      <c r="Q12" s="107">
        <f t="shared" si="0"/>
        <v>1</v>
      </c>
      <c r="R12" s="244">
        <v>12.5</v>
      </c>
      <c r="S12" s="244">
        <v>106</v>
      </c>
      <c r="T12" s="108">
        <f t="shared" si="1"/>
        <v>33</v>
      </c>
      <c r="U12" s="244">
        <v>100</v>
      </c>
      <c r="V12" s="109">
        <f t="shared" si="2"/>
        <v>3300</v>
      </c>
      <c r="W12" s="244">
        <v>10</v>
      </c>
      <c r="X12" s="244" t="s">
        <v>46</v>
      </c>
      <c r="Y12" s="244" t="s">
        <v>84</v>
      </c>
      <c r="Z12" s="244" t="s">
        <v>69</v>
      </c>
      <c r="AA12" s="244" t="s">
        <v>90</v>
      </c>
      <c r="AB12" s="244" t="s">
        <v>333</v>
      </c>
      <c r="AE12" s="116" t="s">
        <v>217</v>
      </c>
      <c r="AG12" s="117"/>
      <c r="AH12" s="117"/>
      <c r="AP12" s="117" t="s">
        <v>67</v>
      </c>
      <c r="AR12" s="118" t="s">
        <v>218</v>
      </c>
      <c r="AV12" s="117" t="s">
        <v>72</v>
      </c>
      <c r="AX12" s="125">
        <v>180</v>
      </c>
      <c r="AY12" s="126">
        <v>18</v>
      </c>
      <c r="AZ12" s="126">
        <v>181</v>
      </c>
      <c r="BA12" s="127">
        <v>16</v>
      </c>
    </row>
    <row r="13" spans="1:53" s="115" customFormat="1" x14ac:dyDescent="0.15">
      <c r="A13" s="244" t="s">
        <v>51</v>
      </c>
      <c r="B13" s="244" t="s">
        <v>331</v>
      </c>
      <c r="C13" s="244">
        <v>2018</v>
      </c>
      <c r="D13" s="106" t="s">
        <v>401</v>
      </c>
      <c r="E13" s="244" t="s">
        <v>139</v>
      </c>
      <c r="F13" s="244" t="s">
        <v>402</v>
      </c>
      <c r="G13" s="244" t="s">
        <v>42</v>
      </c>
      <c r="H13" s="244" t="s">
        <v>155</v>
      </c>
      <c r="I13" s="244" t="s">
        <v>153</v>
      </c>
      <c r="J13" s="244" t="s">
        <v>38</v>
      </c>
      <c r="K13" s="244" t="s">
        <v>154</v>
      </c>
      <c r="L13" s="244">
        <v>3</v>
      </c>
      <c r="M13" s="244"/>
      <c r="N13" s="244">
        <v>1</v>
      </c>
      <c r="O13" s="244">
        <v>0.8</v>
      </c>
      <c r="P13" s="244">
        <v>0.9</v>
      </c>
      <c r="Q13" s="107">
        <f t="shared" si="0"/>
        <v>0.85000000000000009</v>
      </c>
      <c r="R13" s="244">
        <v>13.6</v>
      </c>
      <c r="S13" s="244">
        <v>114</v>
      </c>
      <c r="T13" s="108">
        <f t="shared" si="1"/>
        <v>30</v>
      </c>
      <c r="U13" s="244">
        <v>100</v>
      </c>
      <c r="V13" s="109">
        <f t="shared" si="2"/>
        <v>3000</v>
      </c>
      <c r="W13" s="244">
        <v>10</v>
      </c>
      <c r="X13" s="244" t="s">
        <v>46</v>
      </c>
      <c r="Y13" s="244" t="s">
        <v>84</v>
      </c>
      <c r="Z13" s="244" t="s">
        <v>69</v>
      </c>
      <c r="AA13" s="244" t="s">
        <v>90</v>
      </c>
      <c r="AB13" s="244" t="s">
        <v>333</v>
      </c>
      <c r="AE13" s="116" t="s">
        <v>219</v>
      </c>
      <c r="AG13" s="117"/>
      <c r="AH13" s="117"/>
      <c r="AP13" s="117" t="s">
        <v>71</v>
      </c>
      <c r="AR13" s="118" t="s">
        <v>214</v>
      </c>
      <c r="AV13" s="117" t="s">
        <v>75</v>
      </c>
    </row>
    <row r="14" spans="1:53" s="115" customFormat="1" x14ac:dyDescent="0.15">
      <c r="A14" s="244" t="s">
        <v>51</v>
      </c>
      <c r="B14" s="244" t="s">
        <v>331</v>
      </c>
      <c r="C14" s="244">
        <v>2018</v>
      </c>
      <c r="D14" s="106" t="s">
        <v>401</v>
      </c>
      <c r="E14" s="244" t="s">
        <v>139</v>
      </c>
      <c r="F14" s="244" t="s">
        <v>402</v>
      </c>
      <c r="G14" s="244" t="s">
        <v>42</v>
      </c>
      <c r="H14" s="244" t="s">
        <v>205</v>
      </c>
      <c r="I14" s="244" t="s">
        <v>153</v>
      </c>
      <c r="J14" s="244" t="s">
        <v>38</v>
      </c>
      <c r="K14" s="244" t="s">
        <v>54</v>
      </c>
      <c r="L14" s="244">
        <v>1</v>
      </c>
      <c r="M14" s="244"/>
      <c r="N14" s="244">
        <v>1</v>
      </c>
      <c r="O14" s="244">
        <v>0.6</v>
      </c>
      <c r="P14" s="244">
        <v>0.6</v>
      </c>
      <c r="Q14" s="107">
        <f t="shared" si="0"/>
        <v>0.6</v>
      </c>
      <c r="R14" s="244">
        <v>16</v>
      </c>
      <c r="S14" s="244">
        <v>99</v>
      </c>
      <c r="T14" s="108">
        <f t="shared" si="1"/>
        <v>36</v>
      </c>
      <c r="U14" s="244">
        <v>158</v>
      </c>
      <c r="V14" s="109">
        <f t="shared" si="2"/>
        <v>5688</v>
      </c>
      <c r="W14" s="244">
        <v>10</v>
      </c>
      <c r="X14" s="244" t="s">
        <v>46</v>
      </c>
      <c r="Y14" s="244" t="s">
        <v>84</v>
      </c>
      <c r="Z14" s="244" t="s">
        <v>69</v>
      </c>
      <c r="AA14" s="244" t="s">
        <v>90</v>
      </c>
      <c r="AB14" s="244" t="s">
        <v>333</v>
      </c>
      <c r="AE14" s="116" t="s">
        <v>96</v>
      </c>
      <c r="AG14" s="117"/>
      <c r="AH14" s="117"/>
      <c r="AP14" s="117" t="s">
        <v>74</v>
      </c>
      <c r="AR14" s="118" t="s">
        <v>220</v>
      </c>
      <c r="AV14" s="117" t="s">
        <v>78</v>
      </c>
    </row>
    <row r="15" spans="1:53" s="115" customFormat="1" x14ac:dyDescent="0.15">
      <c r="A15" s="244" t="s">
        <v>51</v>
      </c>
      <c r="B15" s="244" t="s">
        <v>331</v>
      </c>
      <c r="C15" s="244">
        <v>2018</v>
      </c>
      <c r="D15" s="106" t="s">
        <v>401</v>
      </c>
      <c r="E15" s="244" t="s">
        <v>139</v>
      </c>
      <c r="F15" s="244" t="s">
        <v>402</v>
      </c>
      <c r="G15" s="244" t="s">
        <v>42</v>
      </c>
      <c r="H15" s="244" t="s">
        <v>205</v>
      </c>
      <c r="I15" s="244" t="s">
        <v>153</v>
      </c>
      <c r="J15" s="244" t="s">
        <v>38</v>
      </c>
      <c r="K15" s="244" t="s">
        <v>54</v>
      </c>
      <c r="L15" s="244">
        <v>2</v>
      </c>
      <c r="M15" s="244"/>
      <c r="N15" s="244">
        <v>1</v>
      </c>
      <c r="O15" s="244">
        <v>0.65</v>
      </c>
      <c r="P15" s="244">
        <v>0.55000000000000004</v>
      </c>
      <c r="Q15" s="107">
        <f t="shared" si="0"/>
        <v>0.60000000000000009</v>
      </c>
      <c r="R15" s="244">
        <v>16.7</v>
      </c>
      <c r="S15" s="244">
        <v>104</v>
      </c>
      <c r="T15" s="108">
        <f t="shared" si="1"/>
        <v>36</v>
      </c>
      <c r="U15" s="244">
        <v>158</v>
      </c>
      <c r="V15" s="109">
        <f t="shared" si="2"/>
        <v>5688</v>
      </c>
      <c r="W15" s="244">
        <v>10</v>
      </c>
      <c r="X15" s="244" t="s">
        <v>46</v>
      </c>
      <c r="Y15" s="244" t="s">
        <v>84</v>
      </c>
      <c r="Z15" s="244" t="s">
        <v>69</v>
      </c>
      <c r="AA15" s="244" t="s">
        <v>90</v>
      </c>
      <c r="AB15" s="244" t="s">
        <v>333</v>
      </c>
      <c r="AE15" s="116" t="s">
        <v>221</v>
      </c>
      <c r="AG15" s="117"/>
      <c r="AH15" s="117"/>
      <c r="AP15" s="117" t="s">
        <v>77</v>
      </c>
      <c r="AR15" s="118" t="s">
        <v>80</v>
      </c>
      <c r="AV15" s="117" t="s">
        <v>107</v>
      </c>
    </row>
    <row r="16" spans="1:53" s="115" customFormat="1" x14ac:dyDescent="0.15">
      <c r="A16" s="244" t="s">
        <v>51</v>
      </c>
      <c r="B16" s="244" t="s">
        <v>331</v>
      </c>
      <c r="C16" s="244">
        <v>2018</v>
      </c>
      <c r="D16" s="106" t="s">
        <v>401</v>
      </c>
      <c r="E16" s="244" t="s">
        <v>139</v>
      </c>
      <c r="F16" s="244" t="s">
        <v>402</v>
      </c>
      <c r="G16" s="244" t="s">
        <v>42</v>
      </c>
      <c r="H16" s="244" t="s">
        <v>205</v>
      </c>
      <c r="I16" s="244" t="s">
        <v>153</v>
      </c>
      <c r="J16" s="244" t="s">
        <v>38</v>
      </c>
      <c r="K16" s="244" t="s">
        <v>54</v>
      </c>
      <c r="L16" s="244">
        <v>3</v>
      </c>
      <c r="M16" s="244"/>
      <c r="N16" s="244">
        <v>1</v>
      </c>
      <c r="O16" s="244">
        <v>0.7</v>
      </c>
      <c r="P16" s="244">
        <v>0.75</v>
      </c>
      <c r="Q16" s="107">
        <f t="shared" si="0"/>
        <v>0.72499999999999998</v>
      </c>
      <c r="R16" s="244">
        <v>16.399999999999999</v>
      </c>
      <c r="S16" s="244">
        <v>104</v>
      </c>
      <c r="T16" s="108">
        <f t="shared" si="1"/>
        <v>36</v>
      </c>
      <c r="U16" s="244">
        <v>158</v>
      </c>
      <c r="V16" s="109">
        <f t="shared" si="2"/>
        <v>5688</v>
      </c>
      <c r="W16" s="244">
        <v>10</v>
      </c>
      <c r="X16" s="244" t="s">
        <v>46</v>
      </c>
      <c r="Y16" s="244" t="s">
        <v>84</v>
      </c>
      <c r="Z16" s="244" t="s">
        <v>69</v>
      </c>
      <c r="AA16" s="244" t="s">
        <v>90</v>
      </c>
      <c r="AB16" s="244" t="s">
        <v>333</v>
      </c>
      <c r="AE16" s="116" t="s">
        <v>222</v>
      </c>
      <c r="AG16" s="123"/>
      <c r="AH16" s="123"/>
      <c r="AP16" s="117" t="s">
        <v>80</v>
      </c>
      <c r="AR16" s="118" t="s">
        <v>63</v>
      </c>
      <c r="AV16" s="117" t="s">
        <v>84</v>
      </c>
    </row>
    <row r="17" spans="1:48" s="115" customFormat="1" x14ac:dyDescent="0.15">
      <c r="A17" s="244" t="s">
        <v>51</v>
      </c>
      <c r="B17" s="244" t="s">
        <v>331</v>
      </c>
      <c r="C17" s="244">
        <v>2018</v>
      </c>
      <c r="D17" s="106" t="s">
        <v>401</v>
      </c>
      <c r="E17" s="244" t="s">
        <v>203</v>
      </c>
      <c r="F17" s="244" t="s">
        <v>204</v>
      </c>
      <c r="G17" s="244" t="s">
        <v>36</v>
      </c>
      <c r="H17" s="244" t="s">
        <v>155</v>
      </c>
      <c r="I17" s="244" t="s">
        <v>153</v>
      </c>
      <c r="J17" s="244" t="s">
        <v>38</v>
      </c>
      <c r="K17" s="244" t="s">
        <v>154</v>
      </c>
      <c r="L17" s="244">
        <v>1</v>
      </c>
      <c r="M17" s="244"/>
      <c r="N17" s="244">
        <v>1</v>
      </c>
      <c r="O17" s="244">
        <v>0.75</v>
      </c>
      <c r="P17" s="244">
        <v>0.8</v>
      </c>
      <c r="Q17" s="107">
        <f t="shared" si="0"/>
        <v>0.77500000000000002</v>
      </c>
      <c r="R17" s="244">
        <v>12.4</v>
      </c>
      <c r="S17" s="244">
        <v>124</v>
      </c>
      <c r="T17" s="108">
        <f t="shared" si="1"/>
        <v>27</v>
      </c>
      <c r="U17" s="244">
        <v>128</v>
      </c>
      <c r="V17" s="109">
        <f t="shared" si="2"/>
        <v>3456</v>
      </c>
      <c r="W17" s="244">
        <v>3</v>
      </c>
      <c r="X17" s="244" t="s">
        <v>39</v>
      </c>
      <c r="Y17" s="244" t="s">
        <v>84</v>
      </c>
      <c r="Z17" s="244" t="s">
        <v>90</v>
      </c>
      <c r="AA17" s="244" t="s">
        <v>40</v>
      </c>
      <c r="AB17" s="244" t="s">
        <v>333</v>
      </c>
      <c r="AE17" s="116" t="s">
        <v>223</v>
      </c>
      <c r="AP17" s="128" t="s">
        <v>224</v>
      </c>
      <c r="AR17" s="118" t="s">
        <v>96</v>
      </c>
      <c r="AV17" s="117" t="s">
        <v>86</v>
      </c>
    </row>
    <row r="18" spans="1:48" s="115" customFormat="1" x14ac:dyDescent="0.15">
      <c r="A18" s="244" t="s">
        <v>51</v>
      </c>
      <c r="B18" s="244" t="s">
        <v>331</v>
      </c>
      <c r="C18" s="244">
        <v>2018</v>
      </c>
      <c r="D18" s="106" t="s">
        <v>401</v>
      </c>
      <c r="E18" s="244" t="s">
        <v>203</v>
      </c>
      <c r="F18" s="244" t="s">
        <v>204</v>
      </c>
      <c r="G18" s="244" t="s">
        <v>36</v>
      </c>
      <c r="H18" s="244" t="s">
        <v>155</v>
      </c>
      <c r="I18" s="244" t="s">
        <v>153</v>
      </c>
      <c r="J18" s="244" t="s">
        <v>38</v>
      </c>
      <c r="K18" s="244" t="s">
        <v>154</v>
      </c>
      <c r="L18" s="244">
        <v>2</v>
      </c>
      <c r="M18" s="244"/>
      <c r="N18" s="244">
        <v>1</v>
      </c>
      <c r="O18" s="244">
        <v>0.9</v>
      </c>
      <c r="P18" s="244">
        <v>0.75</v>
      </c>
      <c r="Q18" s="107">
        <f t="shared" si="0"/>
        <v>0.82499999999999996</v>
      </c>
      <c r="R18" s="244">
        <v>12.1</v>
      </c>
      <c r="S18" s="244">
        <v>122</v>
      </c>
      <c r="T18" s="108">
        <f t="shared" si="1"/>
        <v>27</v>
      </c>
      <c r="U18" s="244">
        <v>128</v>
      </c>
      <c r="V18" s="109">
        <f t="shared" si="2"/>
        <v>3456</v>
      </c>
      <c r="W18" s="244">
        <v>3</v>
      </c>
      <c r="X18" s="244" t="s">
        <v>39</v>
      </c>
      <c r="Y18" s="244" t="s">
        <v>84</v>
      </c>
      <c r="Z18" s="244" t="s">
        <v>90</v>
      </c>
      <c r="AA18" s="244" t="s">
        <v>40</v>
      </c>
      <c r="AB18" s="244" t="s">
        <v>333</v>
      </c>
      <c r="AE18" s="116" t="s">
        <v>216</v>
      </c>
      <c r="AP18" s="128" t="s">
        <v>225</v>
      </c>
      <c r="AR18" s="118" t="s">
        <v>101</v>
      </c>
      <c r="AV18" s="117" t="s">
        <v>88</v>
      </c>
    </row>
    <row r="19" spans="1:48" s="115" customFormat="1" x14ac:dyDescent="0.15">
      <c r="A19" s="244" t="s">
        <v>51</v>
      </c>
      <c r="B19" s="244" t="s">
        <v>331</v>
      </c>
      <c r="C19" s="244">
        <v>2018</v>
      </c>
      <c r="D19" s="106" t="s">
        <v>401</v>
      </c>
      <c r="E19" s="244" t="s">
        <v>203</v>
      </c>
      <c r="F19" s="244" t="s">
        <v>204</v>
      </c>
      <c r="G19" s="244" t="s">
        <v>36</v>
      </c>
      <c r="H19" s="244" t="s">
        <v>155</v>
      </c>
      <c r="I19" s="244" t="s">
        <v>153</v>
      </c>
      <c r="J19" s="244" t="s">
        <v>38</v>
      </c>
      <c r="K19" s="244" t="s">
        <v>154</v>
      </c>
      <c r="L19" s="244">
        <v>3</v>
      </c>
      <c r="M19" s="244"/>
      <c r="N19" s="244">
        <v>1</v>
      </c>
      <c r="O19" s="244">
        <v>0.85</v>
      </c>
      <c r="P19" s="244">
        <v>0.8</v>
      </c>
      <c r="Q19" s="107">
        <f t="shared" si="0"/>
        <v>0.82499999999999996</v>
      </c>
      <c r="R19" s="244">
        <v>11.6</v>
      </c>
      <c r="S19" s="244">
        <v>120</v>
      </c>
      <c r="T19" s="108">
        <f t="shared" si="1"/>
        <v>30</v>
      </c>
      <c r="U19" s="244">
        <v>128</v>
      </c>
      <c r="V19" s="109">
        <f t="shared" si="2"/>
        <v>3840</v>
      </c>
      <c r="W19" s="244">
        <v>3</v>
      </c>
      <c r="X19" s="244" t="s">
        <v>39</v>
      </c>
      <c r="Y19" s="244" t="s">
        <v>84</v>
      </c>
      <c r="Z19" s="244" t="s">
        <v>90</v>
      </c>
      <c r="AA19" s="244" t="s">
        <v>40</v>
      </c>
      <c r="AB19" s="244" t="s">
        <v>333</v>
      </c>
      <c r="AE19" s="129" t="s">
        <v>213</v>
      </c>
      <c r="AP19" s="128" t="s">
        <v>226</v>
      </c>
      <c r="AR19" s="118" t="s">
        <v>227</v>
      </c>
      <c r="AV19" s="117" t="s">
        <v>90</v>
      </c>
    </row>
    <row r="20" spans="1:48" s="115" customFormat="1" x14ac:dyDescent="0.15">
      <c r="A20" s="244" t="s">
        <v>51</v>
      </c>
      <c r="B20" s="244" t="s">
        <v>331</v>
      </c>
      <c r="C20" s="244">
        <v>2018</v>
      </c>
      <c r="D20" s="106" t="s">
        <v>401</v>
      </c>
      <c r="E20" s="244" t="s">
        <v>203</v>
      </c>
      <c r="F20" s="244" t="s">
        <v>204</v>
      </c>
      <c r="G20" s="244" t="s">
        <v>36</v>
      </c>
      <c r="H20" s="244" t="s">
        <v>191</v>
      </c>
      <c r="I20" s="244" t="s">
        <v>153</v>
      </c>
      <c r="J20" s="244" t="s">
        <v>226</v>
      </c>
      <c r="K20" s="244" t="s">
        <v>105</v>
      </c>
      <c r="L20" s="244">
        <v>1</v>
      </c>
      <c r="M20" s="244"/>
      <c r="N20" s="244">
        <v>2</v>
      </c>
      <c r="O20" s="244">
        <v>1.25</v>
      </c>
      <c r="P20" s="244">
        <v>1.2</v>
      </c>
      <c r="Q20" s="107">
        <f t="shared" si="0"/>
        <v>1.2250000000000001</v>
      </c>
      <c r="R20" s="244">
        <v>14.4</v>
      </c>
      <c r="S20" s="244">
        <v>95</v>
      </c>
      <c r="T20" s="108">
        <f t="shared" si="1"/>
        <v>36</v>
      </c>
      <c r="U20" s="244">
        <v>298</v>
      </c>
      <c r="V20" s="109">
        <f t="shared" si="2"/>
        <v>5364</v>
      </c>
      <c r="W20" s="244">
        <v>3</v>
      </c>
      <c r="X20" s="244" t="s">
        <v>39</v>
      </c>
      <c r="Y20" s="244" t="s">
        <v>84</v>
      </c>
      <c r="Z20" s="244" t="s">
        <v>90</v>
      </c>
      <c r="AA20" s="244" t="s">
        <v>40</v>
      </c>
      <c r="AB20" s="244" t="s">
        <v>333</v>
      </c>
      <c r="AE20" s="129"/>
      <c r="AP20" s="128" t="s">
        <v>228</v>
      </c>
      <c r="AR20" s="118" t="s">
        <v>105</v>
      </c>
      <c r="AV20" s="122" t="s">
        <v>229</v>
      </c>
    </row>
    <row r="21" spans="1:48" s="115" customFormat="1" x14ac:dyDescent="0.15">
      <c r="A21" s="244" t="s">
        <v>51</v>
      </c>
      <c r="B21" s="244" t="s">
        <v>331</v>
      </c>
      <c r="C21" s="244">
        <v>2018</v>
      </c>
      <c r="D21" s="106" t="s">
        <v>401</v>
      </c>
      <c r="E21" s="244" t="s">
        <v>203</v>
      </c>
      <c r="F21" s="244" t="s">
        <v>204</v>
      </c>
      <c r="G21" s="244" t="s">
        <v>36</v>
      </c>
      <c r="H21" s="244" t="s">
        <v>191</v>
      </c>
      <c r="I21" s="244" t="s">
        <v>153</v>
      </c>
      <c r="J21" s="244" t="s">
        <v>226</v>
      </c>
      <c r="K21" s="244" t="s">
        <v>105</v>
      </c>
      <c r="L21" s="244">
        <v>2</v>
      </c>
      <c r="M21" s="244"/>
      <c r="N21" s="244">
        <v>2</v>
      </c>
      <c r="O21" s="244">
        <v>1.4</v>
      </c>
      <c r="P21" s="244">
        <v>1.5</v>
      </c>
      <c r="Q21" s="107">
        <f t="shared" si="0"/>
        <v>1.45</v>
      </c>
      <c r="R21" s="244">
        <v>14.2</v>
      </c>
      <c r="S21" s="244">
        <v>102</v>
      </c>
      <c r="T21" s="108">
        <f t="shared" si="1"/>
        <v>33</v>
      </c>
      <c r="U21" s="244">
        <v>298</v>
      </c>
      <c r="V21" s="109">
        <f t="shared" si="2"/>
        <v>4917</v>
      </c>
      <c r="W21" s="244">
        <v>3</v>
      </c>
      <c r="X21" s="244" t="s">
        <v>39</v>
      </c>
      <c r="Y21" s="244" t="s">
        <v>84</v>
      </c>
      <c r="Z21" s="244" t="s">
        <v>90</v>
      </c>
      <c r="AA21" s="244" t="s">
        <v>40</v>
      </c>
      <c r="AB21" s="244" t="s">
        <v>333</v>
      </c>
      <c r="AE21" s="123"/>
      <c r="AP21" s="128" t="s">
        <v>230</v>
      </c>
      <c r="AR21" s="118" t="s">
        <v>68</v>
      </c>
      <c r="AV21" s="122" t="s">
        <v>162</v>
      </c>
    </row>
    <row r="22" spans="1:48" s="115" customFormat="1" x14ac:dyDescent="0.15">
      <c r="A22" s="244" t="s">
        <v>51</v>
      </c>
      <c r="B22" s="244" t="s">
        <v>331</v>
      </c>
      <c r="C22" s="244">
        <v>2018</v>
      </c>
      <c r="D22" s="106" t="s">
        <v>401</v>
      </c>
      <c r="E22" s="244" t="s">
        <v>203</v>
      </c>
      <c r="F22" s="244" t="s">
        <v>204</v>
      </c>
      <c r="G22" s="244" t="s">
        <v>36</v>
      </c>
      <c r="H22" s="244" t="s">
        <v>191</v>
      </c>
      <c r="I22" s="244" t="s">
        <v>153</v>
      </c>
      <c r="J22" s="244" t="s">
        <v>226</v>
      </c>
      <c r="K22" s="244" t="s">
        <v>105</v>
      </c>
      <c r="L22" s="244">
        <v>3</v>
      </c>
      <c r="M22" s="244"/>
      <c r="N22" s="244">
        <v>2</v>
      </c>
      <c r="O22" s="244">
        <v>1.3</v>
      </c>
      <c r="P22" s="244">
        <v>1.25</v>
      </c>
      <c r="Q22" s="107">
        <f t="shared" si="0"/>
        <v>1.2749999999999999</v>
      </c>
      <c r="R22" s="244">
        <v>14.6</v>
      </c>
      <c r="S22" s="244">
        <v>104</v>
      </c>
      <c r="T22" s="108">
        <f t="shared" si="1"/>
        <v>33</v>
      </c>
      <c r="U22" s="244">
        <v>298</v>
      </c>
      <c r="V22" s="109">
        <f t="shared" si="2"/>
        <v>4917</v>
      </c>
      <c r="W22" s="244">
        <v>3</v>
      </c>
      <c r="X22" s="244" t="s">
        <v>39</v>
      </c>
      <c r="Y22" s="244" t="s">
        <v>84</v>
      </c>
      <c r="Z22" s="244" t="s">
        <v>90</v>
      </c>
      <c r="AA22" s="244" t="s">
        <v>40</v>
      </c>
      <c r="AB22" s="244" t="s">
        <v>333</v>
      </c>
      <c r="AP22" s="128" t="s">
        <v>231</v>
      </c>
      <c r="AR22" s="118" t="s">
        <v>83</v>
      </c>
      <c r="AV22" s="122"/>
    </row>
    <row r="23" spans="1:48" s="115" customFormat="1" x14ac:dyDescent="0.15">
      <c r="A23" s="244" t="s">
        <v>51</v>
      </c>
      <c r="B23" s="244" t="s">
        <v>331</v>
      </c>
      <c r="C23" s="244">
        <v>2018</v>
      </c>
      <c r="D23" s="106" t="s">
        <v>401</v>
      </c>
      <c r="E23" s="244" t="s">
        <v>163</v>
      </c>
      <c r="F23" s="244" t="s">
        <v>190</v>
      </c>
      <c r="G23" s="244" t="s">
        <v>42</v>
      </c>
      <c r="H23" s="244" t="s">
        <v>155</v>
      </c>
      <c r="I23" s="244" t="s">
        <v>153</v>
      </c>
      <c r="J23" s="244" t="s">
        <v>38</v>
      </c>
      <c r="K23" s="244" t="s">
        <v>154</v>
      </c>
      <c r="L23" s="244">
        <v>1</v>
      </c>
      <c r="M23" s="244"/>
      <c r="N23" s="244">
        <v>1</v>
      </c>
      <c r="O23" s="244">
        <v>0.5</v>
      </c>
      <c r="P23" s="244">
        <v>0.55000000000000004</v>
      </c>
      <c r="Q23" s="107">
        <f t="shared" si="0"/>
        <v>0.52500000000000002</v>
      </c>
      <c r="R23" s="244">
        <v>13.6</v>
      </c>
      <c r="S23" s="244">
        <v>122</v>
      </c>
      <c r="T23" s="108">
        <f t="shared" si="1"/>
        <v>27</v>
      </c>
      <c r="U23" s="244">
        <v>127</v>
      </c>
      <c r="V23" s="109">
        <f t="shared" si="2"/>
        <v>3429</v>
      </c>
      <c r="W23" s="244">
        <v>4</v>
      </c>
      <c r="X23" s="244" t="s">
        <v>46</v>
      </c>
      <c r="Y23" s="244" t="s">
        <v>84</v>
      </c>
      <c r="Z23" s="244" t="s">
        <v>40</v>
      </c>
      <c r="AA23" s="244" t="s">
        <v>90</v>
      </c>
      <c r="AB23" s="244" t="s">
        <v>333</v>
      </c>
      <c r="AP23" s="128" t="s">
        <v>232</v>
      </c>
      <c r="AR23" s="118" t="s">
        <v>61</v>
      </c>
    </row>
    <row r="24" spans="1:48" s="115" customFormat="1" x14ac:dyDescent="0.15">
      <c r="A24" s="244" t="s">
        <v>51</v>
      </c>
      <c r="B24" s="244" t="s">
        <v>331</v>
      </c>
      <c r="C24" s="244">
        <v>2018</v>
      </c>
      <c r="D24" s="106" t="s">
        <v>401</v>
      </c>
      <c r="E24" s="244" t="s">
        <v>163</v>
      </c>
      <c r="F24" s="244" t="s">
        <v>190</v>
      </c>
      <c r="G24" s="244" t="s">
        <v>42</v>
      </c>
      <c r="H24" s="244" t="s">
        <v>155</v>
      </c>
      <c r="I24" s="244" t="s">
        <v>153</v>
      </c>
      <c r="J24" s="244" t="s">
        <v>38</v>
      </c>
      <c r="K24" s="244" t="s">
        <v>154</v>
      </c>
      <c r="L24" s="244">
        <v>2</v>
      </c>
      <c r="M24" s="244"/>
      <c r="N24" s="244">
        <v>1</v>
      </c>
      <c r="O24" s="244">
        <v>0.55000000000000004</v>
      </c>
      <c r="P24" s="244">
        <v>0.55000000000000004</v>
      </c>
      <c r="Q24" s="107">
        <f t="shared" si="0"/>
        <v>0.55000000000000004</v>
      </c>
      <c r="R24" s="244">
        <v>13.8</v>
      </c>
      <c r="S24" s="244">
        <v>120</v>
      </c>
      <c r="T24" s="108">
        <f t="shared" si="1"/>
        <v>30</v>
      </c>
      <c r="U24" s="244">
        <v>127</v>
      </c>
      <c r="V24" s="109">
        <f t="shared" si="2"/>
        <v>3810</v>
      </c>
      <c r="W24" s="244">
        <v>4</v>
      </c>
      <c r="X24" s="244" t="s">
        <v>46</v>
      </c>
      <c r="Y24" s="244" t="s">
        <v>84</v>
      </c>
      <c r="Z24" s="244" t="s">
        <v>40</v>
      </c>
      <c r="AA24" s="244" t="s">
        <v>90</v>
      </c>
      <c r="AB24" s="244" t="s">
        <v>333</v>
      </c>
      <c r="AP24" s="128" t="s">
        <v>233</v>
      </c>
      <c r="AR24" s="118" t="s">
        <v>91</v>
      </c>
    </row>
    <row r="25" spans="1:48" s="115" customFormat="1" x14ac:dyDescent="0.15">
      <c r="A25" s="244" t="s">
        <v>51</v>
      </c>
      <c r="B25" s="244" t="s">
        <v>331</v>
      </c>
      <c r="C25" s="244">
        <v>2018</v>
      </c>
      <c r="D25" s="106" t="s">
        <v>401</v>
      </c>
      <c r="E25" s="244" t="s">
        <v>163</v>
      </c>
      <c r="F25" s="244" t="s">
        <v>190</v>
      </c>
      <c r="G25" s="244" t="s">
        <v>42</v>
      </c>
      <c r="H25" s="244" t="s">
        <v>155</v>
      </c>
      <c r="I25" s="244" t="s">
        <v>153</v>
      </c>
      <c r="J25" s="244" t="s">
        <v>38</v>
      </c>
      <c r="K25" s="244" t="s">
        <v>154</v>
      </c>
      <c r="L25" s="244">
        <v>3</v>
      </c>
      <c r="M25" s="244"/>
      <c r="N25" s="244">
        <v>1</v>
      </c>
      <c r="O25" s="244">
        <v>0.65</v>
      </c>
      <c r="P25" s="244">
        <v>0.55000000000000004</v>
      </c>
      <c r="Q25" s="107">
        <f t="shared" si="0"/>
        <v>0.60000000000000009</v>
      </c>
      <c r="R25" s="244">
        <v>14.1</v>
      </c>
      <c r="S25" s="244">
        <v>126</v>
      </c>
      <c r="T25" s="108">
        <f t="shared" si="1"/>
        <v>27</v>
      </c>
      <c r="U25" s="244">
        <v>127</v>
      </c>
      <c r="V25" s="109">
        <f t="shared" si="2"/>
        <v>3429</v>
      </c>
      <c r="W25" s="244">
        <v>4</v>
      </c>
      <c r="X25" s="244" t="s">
        <v>46</v>
      </c>
      <c r="Y25" s="244" t="s">
        <v>84</v>
      </c>
      <c r="Z25" s="244" t="s">
        <v>40</v>
      </c>
      <c r="AA25" s="244" t="s">
        <v>90</v>
      </c>
      <c r="AB25" s="244" t="s">
        <v>333</v>
      </c>
      <c r="AP25" s="128" t="s">
        <v>234</v>
      </c>
      <c r="AR25" s="128" t="s">
        <v>51</v>
      </c>
    </row>
    <row r="26" spans="1:48" s="115" customFormat="1" x14ac:dyDescent="0.15">
      <c r="A26" s="244" t="s">
        <v>51</v>
      </c>
      <c r="B26" s="244" t="s">
        <v>331</v>
      </c>
      <c r="C26" s="244">
        <v>2018</v>
      </c>
      <c r="D26" s="106" t="s">
        <v>401</v>
      </c>
      <c r="E26" s="244" t="s">
        <v>206</v>
      </c>
      <c r="F26" s="244" t="s">
        <v>190</v>
      </c>
      <c r="G26" s="244" t="s">
        <v>42</v>
      </c>
      <c r="H26" s="244" t="s">
        <v>155</v>
      </c>
      <c r="I26" s="244" t="s">
        <v>153</v>
      </c>
      <c r="J26" s="244" t="s">
        <v>38</v>
      </c>
      <c r="K26" s="244" t="s">
        <v>154</v>
      </c>
      <c r="L26" s="244">
        <v>1</v>
      </c>
      <c r="M26" s="244"/>
      <c r="N26" s="244">
        <v>4</v>
      </c>
      <c r="O26" s="244">
        <v>1</v>
      </c>
      <c r="P26" s="244">
        <v>0.85</v>
      </c>
      <c r="Q26" s="107">
        <f t="shared" si="0"/>
        <v>0.92500000000000004</v>
      </c>
      <c r="R26" s="244">
        <v>11.4</v>
      </c>
      <c r="S26" s="244">
        <v>99</v>
      </c>
      <c r="T26" s="108">
        <f t="shared" si="1"/>
        <v>33</v>
      </c>
      <c r="U26" s="244">
        <v>298</v>
      </c>
      <c r="V26" s="109">
        <f t="shared" si="2"/>
        <v>2458.5</v>
      </c>
      <c r="W26" s="244">
        <v>3</v>
      </c>
      <c r="X26" s="244" t="s">
        <v>46</v>
      </c>
      <c r="Y26" s="244" t="s">
        <v>84</v>
      </c>
      <c r="Z26" s="244" t="s">
        <v>90</v>
      </c>
      <c r="AA26" s="244" t="s">
        <v>40</v>
      </c>
      <c r="AB26" s="244" t="s">
        <v>333</v>
      </c>
      <c r="AP26" s="128" t="s">
        <v>235</v>
      </c>
      <c r="AR26" s="115" t="s">
        <v>403</v>
      </c>
    </row>
    <row r="27" spans="1:48" s="115" customFormat="1" x14ac:dyDescent="0.15">
      <c r="A27" s="244" t="s">
        <v>51</v>
      </c>
      <c r="B27" s="244" t="s">
        <v>331</v>
      </c>
      <c r="C27" s="244">
        <v>2018</v>
      </c>
      <c r="D27" s="106" t="s">
        <v>401</v>
      </c>
      <c r="E27" s="244" t="s">
        <v>206</v>
      </c>
      <c r="F27" s="244" t="s">
        <v>190</v>
      </c>
      <c r="G27" s="244" t="s">
        <v>42</v>
      </c>
      <c r="H27" s="244" t="s">
        <v>155</v>
      </c>
      <c r="I27" s="244" t="s">
        <v>153</v>
      </c>
      <c r="J27" s="244" t="s">
        <v>38</v>
      </c>
      <c r="K27" s="244" t="s">
        <v>154</v>
      </c>
      <c r="L27" s="244">
        <v>2</v>
      </c>
      <c r="M27" s="244"/>
      <c r="N27" s="244">
        <v>4</v>
      </c>
      <c r="O27" s="244">
        <v>0.95</v>
      </c>
      <c r="P27" s="244">
        <v>0.95</v>
      </c>
      <c r="Q27" s="107">
        <f t="shared" si="0"/>
        <v>0.95</v>
      </c>
      <c r="R27" s="244">
        <v>10.8</v>
      </c>
      <c r="S27" s="244">
        <v>96</v>
      </c>
      <c r="T27" s="108">
        <f t="shared" si="1"/>
        <v>36</v>
      </c>
      <c r="U27" s="244">
        <v>298</v>
      </c>
      <c r="V27" s="109">
        <f t="shared" si="2"/>
        <v>2682</v>
      </c>
      <c r="W27" s="244">
        <v>3</v>
      </c>
      <c r="X27" s="244" t="s">
        <v>46</v>
      </c>
      <c r="Y27" s="244" t="s">
        <v>84</v>
      </c>
      <c r="Z27" s="244" t="s">
        <v>90</v>
      </c>
      <c r="AA27" s="244" t="s">
        <v>40</v>
      </c>
      <c r="AB27" s="244" t="s">
        <v>333</v>
      </c>
      <c r="AP27" s="128" t="s">
        <v>236</v>
      </c>
    </row>
    <row r="28" spans="1:48" s="115" customFormat="1" x14ac:dyDescent="0.15">
      <c r="A28" s="244" t="s">
        <v>51</v>
      </c>
      <c r="B28" s="244" t="s">
        <v>331</v>
      </c>
      <c r="C28" s="244">
        <v>2018</v>
      </c>
      <c r="D28" s="106" t="s">
        <v>401</v>
      </c>
      <c r="E28" s="244" t="s">
        <v>206</v>
      </c>
      <c r="F28" s="244" t="s">
        <v>190</v>
      </c>
      <c r="G28" s="244" t="s">
        <v>42</v>
      </c>
      <c r="H28" s="244" t="s">
        <v>155</v>
      </c>
      <c r="I28" s="244" t="s">
        <v>153</v>
      </c>
      <c r="J28" s="244" t="s">
        <v>38</v>
      </c>
      <c r="K28" s="244" t="s">
        <v>154</v>
      </c>
      <c r="L28" s="244">
        <v>3</v>
      </c>
      <c r="M28" s="244"/>
      <c r="N28" s="244">
        <v>4</v>
      </c>
      <c r="O28" s="244">
        <v>0.85</v>
      </c>
      <c r="P28" s="244">
        <v>0.9</v>
      </c>
      <c r="Q28" s="107">
        <f t="shared" si="0"/>
        <v>0.875</v>
      </c>
      <c r="R28" s="244">
        <v>11.7</v>
      </c>
      <c r="S28" s="244">
        <v>104</v>
      </c>
      <c r="T28" s="108">
        <f t="shared" si="1"/>
        <v>33</v>
      </c>
      <c r="U28" s="244">
        <v>298</v>
      </c>
      <c r="V28" s="109">
        <f t="shared" si="2"/>
        <v>2458.5</v>
      </c>
      <c r="W28" s="244">
        <v>3</v>
      </c>
      <c r="X28" s="244" t="s">
        <v>46</v>
      </c>
      <c r="Y28" s="244" t="s">
        <v>84</v>
      </c>
      <c r="Z28" s="244" t="s">
        <v>90</v>
      </c>
      <c r="AA28" s="244" t="s">
        <v>40</v>
      </c>
      <c r="AB28" s="244" t="s">
        <v>333</v>
      </c>
    </row>
    <row r="29" spans="1:48" s="115" customFormat="1" x14ac:dyDescent="0.15">
      <c r="A29" s="244" t="s">
        <v>51</v>
      </c>
      <c r="B29" s="244" t="s">
        <v>331</v>
      </c>
      <c r="C29" s="244">
        <v>2018</v>
      </c>
      <c r="D29" s="106" t="s">
        <v>401</v>
      </c>
      <c r="E29" s="244" t="s">
        <v>195</v>
      </c>
      <c r="F29" s="244" t="s">
        <v>196</v>
      </c>
      <c r="G29" s="244" t="s">
        <v>42</v>
      </c>
      <c r="H29" s="244" t="s">
        <v>155</v>
      </c>
      <c r="I29" s="244" t="s">
        <v>153</v>
      </c>
      <c r="J29" s="244" t="s">
        <v>38</v>
      </c>
      <c r="K29" s="244" t="s">
        <v>154</v>
      </c>
      <c r="L29" s="244">
        <v>1</v>
      </c>
      <c r="M29" s="244"/>
      <c r="N29" s="244">
        <v>1</v>
      </c>
      <c r="O29" s="244">
        <v>0.75</v>
      </c>
      <c r="P29" s="244">
        <v>0.9</v>
      </c>
      <c r="Q29" s="107">
        <f t="shared" si="0"/>
        <v>0.82499999999999996</v>
      </c>
      <c r="R29" s="244">
        <v>14.6</v>
      </c>
      <c r="S29" s="244">
        <v>124</v>
      </c>
      <c r="T29" s="108">
        <f t="shared" si="1"/>
        <v>27</v>
      </c>
      <c r="U29" s="244">
        <v>99</v>
      </c>
      <c r="V29" s="109">
        <f t="shared" si="2"/>
        <v>2673</v>
      </c>
      <c r="W29" s="244">
        <v>1</v>
      </c>
      <c r="X29" s="244" t="s">
        <v>39</v>
      </c>
      <c r="Y29" s="244" t="s">
        <v>90</v>
      </c>
      <c r="Z29" s="244" t="s">
        <v>84</v>
      </c>
      <c r="AA29" s="244" t="s">
        <v>69</v>
      </c>
      <c r="AB29" s="244" t="s">
        <v>333</v>
      </c>
    </row>
    <row r="30" spans="1:48" s="115" customFormat="1" x14ac:dyDescent="0.15">
      <c r="A30" s="244" t="s">
        <v>51</v>
      </c>
      <c r="B30" s="244" t="s">
        <v>331</v>
      </c>
      <c r="C30" s="244">
        <v>2018</v>
      </c>
      <c r="D30" s="106" t="s">
        <v>401</v>
      </c>
      <c r="E30" s="244" t="s">
        <v>195</v>
      </c>
      <c r="F30" s="244" t="s">
        <v>196</v>
      </c>
      <c r="G30" s="244" t="s">
        <v>42</v>
      </c>
      <c r="H30" s="244" t="s">
        <v>155</v>
      </c>
      <c r="I30" s="244" t="s">
        <v>153</v>
      </c>
      <c r="J30" s="244" t="s">
        <v>38</v>
      </c>
      <c r="K30" s="244" t="s">
        <v>154</v>
      </c>
      <c r="L30" s="244">
        <v>2</v>
      </c>
      <c r="M30" s="244"/>
      <c r="N30" s="244">
        <v>1</v>
      </c>
      <c r="O30" s="244">
        <v>0.65</v>
      </c>
      <c r="P30" s="244">
        <v>0.7</v>
      </c>
      <c r="Q30" s="107">
        <f t="shared" si="0"/>
        <v>0.67500000000000004</v>
      </c>
      <c r="R30" s="244">
        <v>15.5</v>
      </c>
      <c r="S30" s="244">
        <v>138</v>
      </c>
      <c r="T30" s="108">
        <f t="shared" si="1"/>
        <v>22</v>
      </c>
      <c r="U30" s="244">
        <v>99</v>
      </c>
      <c r="V30" s="109">
        <f t="shared" si="2"/>
        <v>2178</v>
      </c>
      <c r="W30" s="244">
        <v>1</v>
      </c>
      <c r="X30" s="244" t="s">
        <v>39</v>
      </c>
      <c r="Y30" s="244" t="s">
        <v>90</v>
      </c>
      <c r="Z30" s="244" t="s">
        <v>84</v>
      </c>
      <c r="AA30" s="244" t="s">
        <v>69</v>
      </c>
      <c r="AB30" s="244" t="s">
        <v>333</v>
      </c>
    </row>
    <row r="31" spans="1:48" s="115" customFormat="1" x14ac:dyDescent="0.15">
      <c r="A31" s="244" t="s">
        <v>51</v>
      </c>
      <c r="B31" s="244" t="s">
        <v>331</v>
      </c>
      <c r="C31" s="244">
        <v>2018</v>
      </c>
      <c r="D31" s="106" t="s">
        <v>401</v>
      </c>
      <c r="E31" s="244" t="s">
        <v>195</v>
      </c>
      <c r="F31" s="244" t="s">
        <v>196</v>
      </c>
      <c r="G31" s="244" t="s">
        <v>42</v>
      </c>
      <c r="H31" s="244" t="s">
        <v>155</v>
      </c>
      <c r="I31" s="244" t="s">
        <v>153</v>
      </c>
      <c r="J31" s="244" t="s">
        <v>38</v>
      </c>
      <c r="K31" s="244" t="s">
        <v>154</v>
      </c>
      <c r="L31" s="244">
        <v>3</v>
      </c>
      <c r="M31" s="244"/>
      <c r="N31" s="244">
        <v>1</v>
      </c>
      <c r="O31" s="244">
        <v>0.8</v>
      </c>
      <c r="P31" s="244">
        <v>0.75</v>
      </c>
      <c r="Q31" s="107">
        <f t="shared" si="0"/>
        <v>0.77500000000000002</v>
      </c>
      <c r="R31" s="244">
        <v>15.3</v>
      </c>
      <c r="S31" s="244">
        <v>136</v>
      </c>
      <c r="T31" s="108">
        <f t="shared" si="1"/>
        <v>25</v>
      </c>
      <c r="U31" s="244">
        <v>99</v>
      </c>
      <c r="V31" s="109">
        <f t="shared" si="2"/>
        <v>2475</v>
      </c>
      <c r="W31" s="244">
        <v>1</v>
      </c>
      <c r="X31" s="244" t="s">
        <v>39</v>
      </c>
      <c r="Y31" s="244" t="s">
        <v>90</v>
      </c>
      <c r="Z31" s="244" t="s">
        <v>84</v>
      </c>
      <c r="AA31" s="244" t="s">
        <v>69</v>
      </c>
      <c r="AB31" s="244" t="s">
        <v>333</v>
      </c>
    </row>
    <row r="32" spans="1:48" s="115" customFormat="1" x14ac:dyDescent="0.15">
      <c r="A32" s="244" t="s">
        <v>51</v>
      </c>
      <c r="B32" s="244" t="s">
        <v>331</v>
      </c>
      <c r="C32" s="244">
        <v>2018</v>
      </c>
      <c r="D32" s="106" t="s">
        <v>401</v>
      </c>
      <c r="E32" s="244" t="s">
        <v>201</v>
      </c>
      <c r="F32" s="244" t="s">
        <v>189</v>
      </c>
      <c r="G32" s="244" t="s">
        <v>36</v>
      </c>
      <c r="H32" s="244" t="s">
        <v>155</v>
      </c>
      <c r="I32" s="244" t="s">
        <v>153</v>
      </c>
      <c r="J32" s="244" t="s">
        <v>38</v>
      </c>
      <c r="K32" s="244" t="s">
        <v>154</v>
      </c>
      <c r="L32" s="244">
        <v>1</v>
      </c>
      <c r="M32" s="244"/>
      <c r="N32" s="244">
        <v>5</v>
      </c>
      <c r="O32" s="244">
        <v>0.5</v>
      </c>
      <c r="P32" s="244">
        <v>0.5</v>
      </c>
      <c r="Q32" s="107">
        <f t="shared" si="0"/>
        <v>0.5</v>
      </c>
      <c r="R32" s="244">
        <v>13.8</v>
      </c>
      <c r="S32" s="244">
        <v>92</v>
      </c>
      <c r="T32" s="108">
        <f t="shared" si="1"/>
        <v>36</v>
      </c>
      <c r="U32" s="244">
        <v>398</v>
      </c>
      <c r="V32" s="109">
        <f t="shared" si="2"/>
        <v>2865.6</v>
      </c>
      <c r="W32" s="244">
        <v>4</v>
      </c>
      <c r="X32" s="244" t="s">
        <v>46</v>
      </c>
      <c r="Y32" s="244" t="s">
        <v>84</v>
      </c>
      <c r="Z32" s="244" t="s">
        <v>90</v>
      </c>
      <c r="AA32" s="244" t="s">
        <v>40</v>
      </c>
      <c r="AB32" s="244" t="s">
        <v>333</v>
      </c>
    </row>
    <row r="33" spans="1:28" s="115" customFormat="1" x14ac:dyDescent="0.15">
      <c r="A33" s="244" t="s">
        <v>51</v>
      </c>
      <c r="B33" s="244" t="s">
        <v>331</v>
      </c>
      <c r="C33" s="244">
        <v>2018</v>
      </c>
      <c r="D33" s="106" t="s">
        <v>401</v>
      </c>
      <c r="E33" s="244" t="s">
        <v>201</v>
      </c>
      <c r="F33" s="244" t="s">
        <v>189</v>
      </c>
      <c r="G33" s="244" t="s">
        <v>36</v>
      </c>
      <c r="H33" s="244" t="s">
        <v>155</v>
      </c>
      <c r="I33" s="244" t="s">
        <v>153</v>
      </c>
      <c r="J33" s="244" t="s">
        <v>38</v>
      </c>
      <c r="K33" s="244" t="s">
        <v>154</v>
      </c>
      <c r="L33" s="244">
        <v>2</v>
      </c>
      <c r="M33" s="244"/>
      <c r="N33" s="244">
        <v>5</v>
      </c>
      <c r="O33" s="244">
        <v>0.55000000000000004</v>
      </c>
      <c r="P33" s="244">
        <v>0.6</v>
      </c>
      <c r="Q33" s="107">
        <f t="shared" si="0"/>
        <v>0.57499999999999996</v>
      </c>
      <c r="R33" s="244">
        <v>13.6</v>
      </c>
      <c r="S33" s="244">
        <v>97</v>
      </c>
      <c r="T33" s="108">
        <f t="shared" si="1"/>
        <v>36</v>
      </c>
      <c r="U33" s="244">
        <v>398</v>
      </c>
      <c r="V33" s="109">
        <f t="shared" si="2"/>
        <v>2865.6</v>
      </c>
      <c r="W33" s="244">
        <v>4</v>
      </c>
      <c r="X33" s="244" t="s">
        <v>46</v>
      </c>
      <c r="Y33" s="244" t="s">
        <v>84</v>
      </c>
      <c r="Z33" s="244" t="s">
        <v>90</v>
      </c>
      <c r="AA33" s="244" t="s">
        <v>40</v>
      </c>
      <c r="AB33" s="244" t="s">
        <v>333</v>
      </c>
    </row>
    <row r="34" spans="1:28" s="115" customFormat="1" x14ac:dyDescent="0.15">
      <c r="A34" s="244" t="s">
        <v>51</v>
      </c>
      <c r="B34" s="244" t="s">
        <v>331</v>
      </c>
      <c r="C34" s="244">
        <v>2018</v>
      </c>
      <c r="D34" s="106" t="s">
        <v>401</v>
      </c>
      <c r="E34" s="244" t="s">
        <v>201</v>
      </c>
      <c r="F34" s="244" t="s">
        <v>189</v>
      </c>
      <c r="G34" s="244" t="s">
        <v>36</v>
      </c>
      <c r="H34" s="244" t="s">
        <v>155</v>
      </c>
      <c r="I34" s="244" t="s">
        <v>153</v>
      </c>
      <c r="J34" s="244" t="s">
        <v>38</v>
      </c>
      <c r="K34" s="244" t="s">
        <v>154</v>
      </c>
      <c r="L34" s="244">
        <v>3</v>
      </c>
      <c r="M34" s="244"/>
      <c r="N34" s="244">
        <v>5</v>
      </c>
      <c r="O34" s="244">
        <v>0.65</v>
      </c>
      <c r="P34" s="244">
        <v>0.55000000000000004</v>
      </c>
      <c r="Q34" s="107">
        <f t="shared" si="0"/>
        <v>0.60000000000000009</v>
      </c>
      <c r="R34" s="244">
        <v>14.3</v>
      </c>
      <c r="S34" s="244">
        <v>106</v>
      </c>
      <c r="T34" s="108">
        <f t="shared" si="1"/>
        <v>33</v>
      </c>
      <c r="U34" s="244">
        <v>398</v>
      </c>
      <c r="V34" s="109">
        <f t="shared" si="2"/>
        <v>2626.7999999999997</v>
      </c>
      <c r="W34" s="244">
        <v>4</v>
      </c>
      <c r="X34" s="244" t="s">
        <v>46</v>
      </c>
      <c r="Y34" s="244" t="s">
        <v>84</v>
      </c>
      <c r="Z34" s="244" t="s">
        <v>90</v>
      </c>
      <c r="AA34" s="244" t="s">
        <v>40</v>
      </c>
      <c r="AB34" s="244" t="s">
        <v>333</v>
      </c>
    </row>
    <row r="35" spans="1:28" s="115" customFormat="1" x14ac:dyDescent="0.15">
      <c r="A35" s="244" t="s">
        <v>51</v>
      </c>
      <c r="B35" s="244" t="s">
        <v>331</v>
      </c>
      <c r="C35" s="244">
        <v>2018</v>
      </c>
      <c r="D35" s="106" t="s">
        <v>401</v>
      </c>
      <c r="E35" s="244" t="s">
        <v>201</v>
      </c>
      <c r="F35" s="244" t="s">
        <v>189</v>
      </c>
      <c r="G35" s="244" t="s">
        <v>36</v>
      </c>
      <c r="H35" s="244" t="s">
        <v>155</v>
      </c>
      <c r="I35" s="244" t="s">
        <v>156</v>
      </c>
      <c r="J35" s="244" t="s">
        <v>38</v>
      </c>
      <c r="K35" s="244" t="s">
        <v>154</v>
      </c>
      <c r="L35" s="244">
        <v>1</v>
      </c>
      <c r="M35" s="244"/>
      <c r="N35" s="244">
        <v>2</v>
      </c>
      <c r="O35" s="244">
        <v>0.7</v>
      </c>
      <c r="P35" s="244">
        <v>0.55000000000000004</v>
      </c>
      <c r="Q35" s="107">
        <f t="shared" si="0"/>
        <v>0.625</v>
      </c>
      <c r="R35" s="244">
        <v>15.4</v>
      </c>
      <c r="S35" s="244">
        <v>144</v>
      </c>
      <c r="T35" s="108">
        <f t="shared" si="1"/>
        <v>22</v>
      </c>
      <c r="U35" s="244">
        <v>398</v>
      </c>
      <c r="V35" s="109">
        <f t="shared" si="2"/>
        <v>4378</v>
      </c>
      <c r="W35" s="244">
        <v>4</v>
      </c>
      <c r="X35" s="244" t="s">
        <v>46</v>
      </c>
      <c r="Y35" s="244" t="s">
        <v>84</v>
      </c>
      <c r="Z35" s="244" t="s">
        <v>90</v>
      </c>
      <c r="AA35" s="244" t="s">
        <v>40</v>
      </c>
      <c r="AB35" s="244" t="s">
        <v>333</v>
      </c>
    </row>
    <row r="36" spans="1:28" s="115" customFormat="1" x14ac:dyDescent="0.15">
      <c r="A36" s="244" t="s">
        <v>51</v>
      </c>
      <c r="B36" s="244" t="s">
        <v>331</v>
      </c>
      <c r="C36" s="244">
        <v>2018</v>
      </c>
      <c r="D36" s="106" t="s">
        <v>401</v>
      </c>
      <c r="E36" s="244" t="s">
        <v>201</v>
      </c>
      <c r="F36" s="244" t="s">
        <v>189</v>
      </c>
      <c r="G36" s="244" t="s">
        <v>36</v>
      </c>
      <c r="H36" s="244" t="s">
        <v>155</v>
      </c>
      <c r="I36" s="244" t="s">
        <v>156</v>
      </c>
      <c r="J36" s="244" t="s">
        <v>38</v>
      </c>
      <c r="K36" s="244" t="s">
        <v>154</v>
      </c>
      <c r="L36" s="244">
        <v>2</v>
      </c>
      <c r="M36" s="244"/>
      <c r="N36" s="244">
        <v>2</v>
      </c>
      <c r="O36" s="244">
        <v>0.55000000000000004</v>
      </c>
      <c r="P36" s="244">
        <v>0.6</v>
      </c>
      <c r="Q36" s="107">
        <f t="shared" si="0"/>
        <v>0.57499999999999996</v>
      </c>
      <c r="R36" s="244">
        <v>14.7</v>
      </c>
      <c r="S36" s="244">
        <v>138</v>
      </c>
      <c r="T36" s="108">
        <f t="shared" si="1"/>
        <v>22</v>
      </c>
      <c r="U36" s="244">
        <v>398</v>
      </c>
      <c r="V36" s="109">
        <f t="shared" si="2"/>
        <v>4378</v>
      </c>
      <c r="W36" s="244">
        <v>4</v>
      </c>
      <c r="X36" s="244" t="s">
        <v>46</v>
      </c>
      <c r="Y36" s="244" t="s">
        <v>84</v>
      </c>
      <c r="Z36" s="244" t="s">
        <v>90</v>
      </c>
      <c r="AA36" s="244" t="s">
        <v>40</v>
      </c>
      <c r="AB36" s="244" t="s">
        <v>333</v>
      </c>
    </row>
    <row r="37" spans="1:28" s="115" customFormat="1" x14ac:dyDescent="0.15">
      <c r="A37" s="244" t="s">
        <v>51</v>
      </c>
      <c r="B37" s="244" t="s">
        <v>331</v>
      </c>
      <c r="C37" s="244">
        <v>2018</v>
      </c>
      <c r="D37" s="106" t="s">
        <v>401</v>
      </c>
      <c r="E37" s="244" t="s">
        <v>201</v>
      </c>
      <c r="F37" s="244" t="s">
        <v>189</v>
      </c>
      <c r="G37" s="244" t="s">
        <v>36</v>
      </c>
      <c r="H37" s="244" t="s">
        <v>155</v>
      </c>
      <c r="I37" s="244" t="s">
        <v>156</v>
      </c>
      <c r="J37" s="244" t="s">
        <v>38</v>
      </c>
      <c r="K37" s="244" t="s">
        <v>154</v>
      </c>
      <c r="L37" s="244">
        <v>3</v>
      </c>
      <c r="M37" s="244"/>
      <c r="N37" s="244">
        <v>2</v>
      </c>
      <c r="O37" s="244">
        <v>0.65</v>
      </c>
      <c r="P37" s="244">
        <v>0.5</v>
      </c>
      <c r="Q37" s="107">
        <f t="shared" si="0"/>
        <v>0.57499999999999996</v>
      </c>
      <c r="R37" s="244">
        <v>15.1</v>
      </c>
      <c r="S37" s="244">
        <v>140</v>
      </c>
      <c r="T37" s="108">
        <f t="shared" si="1"/>
        <v>22</v>
      </c>
      <c r="U37" s="244">
        <v>398</v>
      </c>
      <c r="V37" s="109">
        <f t="shared" si="2"/>
        <v>4378</v>
      </c>
      <c r="W37" s="244">
        <v>4</v>
      </c>
      <c r="X37" s="244" t="s">
        <v>46</v>
      </c>
      <c r="Y37" s="244" t="s">
        <v>84</v>
      </c>
      <c r="Z37" s="244" t="s">
        <v>90</v>
      </c>
      <c r="AA37" s="244" t="s">
        <v>40</v>
      </c>
      <c r="AB37" s="244" t="s">
        <v>333</v>
      </c>
    </row>
    <row r="38" spans="1:28" s="115" customFormat="1" x14ac:dyDescent="0.15">
      <c r="A38" s="244" t="s">
        <v>51</v>
      </c>
      <c r="B38" s="244" t="s">
        <v>331</v>
      </c>
      <c r="C38" s="244">
        <v>2018</v>
      </c>
      <c r="D38" s="106" t="s">
        <v>401</v>
      </c>
      <c r="E38" s="244" t="s">
        <v>212</v>
      </c>
      <c r="F38" s="244" t="s">
        <v>189</v>
      </c>
      <c r="G38" s="244" t="s">
        <v>42</v>
      </c>
      <c r="H38" s="244" t="s">
        <v>155</v>
      </c>
      <c r="I38" s="244" t="s">
        <v>153</v>
      </c>
      <c r="J38" s="244" t="s">
        <v>38</v>
      </c>
      <c r="K38" s="244" t="s">
        <v>154</v>
      </c>
      <c r="L38" s="244">
        <v>1</v>
      </c>
      <c r="M38" s="244"/>
      <c r="N38" s="244">
        <v>1</v>
      </c>
      <c r="O38" s="244">
        <v>0.6</v>
      </c>
      <c r="P38" s="244">
        <v>0.7</v>
      </c>
      <c r="Q38" s="107">
        <f t="shared" si="0"/>
        <v>0.64999999999999991</v>
      </c>
      <c r="R38" s="244">
        <v>12.2</v>
      </c>
      <c r="S38" s="244">
        <v>116</v>
      </c>
      <c r="T38" s="108">
        <f t="shared" si="1"/>
        <v>30</v>
      </c>
      <c r="U38" s="244">
        <v>78</v>
      </c>
      <c r="V38" s="109">
        <f t="shared" si="2"/>
        <v>2340</v>
      </c>
      <c r="W38" s="244">
        <v>4</v>
      </c>
      <c r="X38" s="244" t="s">
        <v>46</v>
      </c>
      <c r="Y38" s="244" t="s">
        <v>84</v>
      </c>
      <c r="Z38" s="244" t="s">
        <v>69</v>
      </c>
      <c r="AA38" s="244" t="s">
        <v>40</v>
      </c>
      <c r="AB38" s="244" t="s">
        <v>333</v>
      </c>
    </row>
    <row r="39" spans="1:28" s="115" customFormat="1" x14ac:dyDescent="0.15">
      <c r="A39" s="244" t="s">
        <v>51</v>
      </c>
      <c r="B39" s="244" t="s">
        <v>331</v>
      </c>
      <c r="C39" s="244">
        <v>2018</v>
      </c>
      <c r="D39" s="106" t="s">
        <v>401</v>
      </c>
      <c r="E39" s="244" t="s">
        <v>212</v>
      </c>
      <c r="F39" s="244" t="s">
        <v>189</v>
      </c>
      <c r="G39" s="244" t="s">
        <v>42</v>
      </c>
      <c r="H39" s="244" t="s">
        <v>155</v>
      </c>
      <c r="I39" s="244" t="s">
        <v>153</v>
      </c>
      <c r="J39" s="244" t="s">
        <v>38</v>
      </c>
      <c r="K39" s="244" t="s">
        <v>154</v>
      </c>
      <c r="L39" s="244">
        <v>2</v>
      </c>
      <c r="M39" s="244"/>
      <c r="N39" s="244">
        <v>1</v>
      </c>
      <c r="O39" s="244">
        <v>0.7</v>
      </c>
      <c r="P39" s="244">
        <v>0.6</v>
      </c>
      <c r="Q39" s="107">
        <f t="shared" si="0"/>
        <v>0.64999999999999991</v>
      </c>
      <c r="R39" s="244">
        <v>12.5</v>
      </c>
      <c r="S39" s="244">
        <v>118</v>
      </c>
      <c r="T39" s="108">
        <f t="shared" si="1"/>
        <v>30</v>
      </c>
      <c r="U39" s="244">
        <v>78</v>
      </c>
      <c r="V39" s="109">
        <f t="shared" si="2"/>
        <v>2340</v>
      </c>
      <c r="W39" s="244">
        <v>4</v>
      </c>
      <c r="X39" s="244" t="s">
        <v>46</v>
      </c>
      <c r="Y39" s="244" t="s">
        <v>84</v>
      </c>
      <c r="Z39" s="244" t="s">
        <v>69</v>
      </c>
      <c r="AA39" s="244" t="s">
        <v>40</v>
      </c>
      <c r="AB39" s="244" t="s">
        <v>333</v>
      </c>
    </row>
    <row r="40" spans="1:28" s="115" customFormat="1" x14ac:dyDescent="0.15">
      <c r="A40" s="244" t="s">
        <v>51</v>
      </c>
      <c r="B40" s="244" t="s">
        <v>331</v>
      </c>
      <c r="C40" s="244">
        <v>2018</v>
      </c>
      <c r="D40" s="106" t="s">
        <v>401</v>
      </c>
      <c r="E40" s="244" t="s">
        <v>212</v>
      </c>
      <c r="F40" s="244" t="s">
        <v>189</v>
      </c>
      <c r="G40" s="244" t="s">
        <v>42</v>
      </c>
      <c r="H40" s="244" t="s">
        <v>155</v>
      </c>
      <c r="I40" s="244" t="s">
        <v>153</v>
      </c>
      <c r="J40" s="244" t="s">
        <v>38</v>
      </c>
      <c r="K40" s="244" t="s">
        <v>154</v>
      </c>
      <c r="L40" s="244">
        <v>3</v>
      </c>
      <c r="M40" s="244"/>
      <c r="N40" s="244">
        <v>1</v>
      </c>
      <c r="O40" s="244">
        <v>0.65</v>
      </c>
      <c r="P40" s="244">
        <v>0.65</v>
      </c>
      <c r="Q40" s="107">
        <f t="shared" si="0"/>
        <v>0.65</v>
      </c>
      <c r="R40" s="244">
        <v>11.3</v>
      </c>
      <c r="S40" s="244">
        <v>108</v>
      </c>
      <c r="T40" s="108">
        <f t="shared" si="1"/>
        <v>33</v>
      </c>
      <c r="U40" s="244">
        <v>78</v>
      </c>
      <c r="V40" s="109">
        <f t="shared" si="2"/>
        <v>2574</v>
      </c>
      <c r="W40" s="244">
        <v>4</v>
      </c>
      <c r="X40" s="244" t="s">
        <v>46</v>
      </c>
      <c r="Y40" s="244" t="s">
        <v>84</v>
      </c>
      <c r="Z40" s="244" t="s">
        <v>69</v>
      </c>
      <c r="AA40" s="244" t="s">
        <v>40</v>
      </c>
      <c r="AB40" s="244" t="s">
        <v>333</v>
      </c>
    </row>
    <row r="41" spans="1:28" s="115" customFormat="1" x14ac:dyDescent="0.15">
      <c r="A41" s="244" t="s">
        <v>51</v>
      </c>
      <c r="B41" s="244" t="s">
        <v>331</v>
      </c>
      <c r="C41" s="244">
        <v>2018</v>
      </c>
      <c r="D41" s="106" t="s">
        <v>401</v>
      </c>
      <c r="E41" s="244" t="s">
        <v>209</v>
      </c>
      <c r="F41" s="244" t="s">
        <v>210</v>
      </c>
      <c r="G41" s="244" t="s">
        <v>36</v>
      </c>
      <c r="H41" s="244" t="s">
        <v>155</v>
      </c>
      <c r="I41" s="244" t="s">
        <v>153</v>
      </c>
      <c r="J41" s="244" t="s">
        <v>38</v>
      </c>
      <c r="K41" s="244" t="s">
        <v>154</v>
      </c>
      <c r="L41" s="244">
        <v>1</v>
      </c>
      <c r="M41" s="244"/>
      <c r="N41" s="244">
        <v>6</v>
      </c>
      <c r="O41" s="244">
        <v>0.75</v>
      </c>
      <c r="P41" s="244">
        <v>0.75</v>
      </c>
      <c r="Q41" s="107">
        <f t="shared" si="0"/>
        <v>0.75</v>
      </c>
      <c r="R41" s="244">
        <v>13.6</v>
      </c>
      <c r="S41" s="244">
        <v>98</v>
      </c>
      <c r="T41" s="108">
        <f t="shared" si="1"/>
        <v>36</v>
      </c>
      <c r="U41" s="244">
        <v>398</v>
      </c>
      <c r="V41" s="109">
        <f t="shared" si="2"/>
        <v>2388</v>
      </c>
      <c r="W41" s="244">
        <v>1</v>
      </c>
      <c r="X41" s="244" t="s">
        <v>39</v>
      </c>
      <c r="Y41" s="244" t="s">
        <v>84</v>
      </c>
      <c r="Z41" s="244" t="s">
        <v>90</v>
      </c>
      <c r="AA41" s="244" t="s">
        <v>40</v>
      </c>
      <c r="AB41" s="244" t="s">
        <v>333</v>
      </c>
    </row>
    <row r="42" spans="1:28" s="115" customFormat="1" x14ac:dyDescent="0.15">
      <c r="A42" s="244" t="s">
        <v>51</v>
      </c>
      <c r="B42" s="244" t="s">
        <v>331</v>
      </c>
      <c r="C42" s="244">
        <v>2018</v>
      </c>
      <c r="D42" s="106" t="s">
        <v>401</v>
      </c>
      <c r="E42" s="244" t="s">
        <v>209</v>
      </c>
      <c r="F42" s="244" t="s">
        <v>210</v>
      </c>
      <c r="G42" s="244" t="s">
        <v>36</v>
      </c>
      <c r="H42" s="244" t="s">
        <v>155</v>
      </c>
      <c r="I42" s="244" t="s">
        <v>153</v>
      </c>
      <c r="J42" s="244" t="s">
        <v>38</v>
      </c>
      <c r="K42" s="244" t="s">
        <v>154</v>
      </c>
      <c r="L42" s="244">
        <v>2</v>
      </c>
      <c r="M42" s="244"/>
      <c r="N42" s="244">
        <v>6</v>
      </c>
      <c r="O42" s="244">
        <v>0.65</v>
      </c>
      <c r="P42" s="244">
        <v>0.7</v>
      </c>
      <c r="Q42" s="107">
        <f t="shared" si="0"/>
        <v>0.67500000000000004</v>
      </c>
      <c r="R42" s="244">
        <v>13.9</v>
      </c>
      <c r="S42" s="244">
        <v>97</v>
      </c>
      <c r="T42" s="108">
        <f t="shared" si="1"/>
        <v>36</v>
      </c>
      <c r="U42" s="244">
        <v>398</v>
      </c>
      <c r="V42" s="109">
        <f t="shared" si="2"/>
        <v>2388</v>
      </c>
      <c r="W42" s="244">
        <v>1</v>
      </c>
      <c r="X42" s="244" t="s">
        <v>39</v>
      </c>
      <c r="Y42" s="244" t="s">
        <v>84</v>
      </c>
      <c r="Z42" s="244" t="s">
        <v>90</v>
      </c>
      <c r="AA42" s="244" t="s">
        <v>40</v>
      </c>
      <c r="AB42" s="244" t="s">
        <v>333</v>
      </c>
    </row>
    <row r="43" spans="1:28" s="115" customFormat="1" x14ac:dyDescent="0.15">
      <c r="A43" s="244" t="s">
        <v>51</v>
      </c>
      <c r="B43" s="244" t="s">
        <v>331</v>
      </c>
      <c r="C43" s="244">
        <v>2018</v>
      </c>
      <c r="D43" s="106" t="s">
        <v>401</v>
      </c>
      <c r="E43" s="244" t="s">
        <v>209</v>
      </c>
      <c r="F43" s="244" t="s">
        <v>210</v>
      </c>
      <c r="G43" s="244" t="s">
        <v>36</v>
      </c>
      <c r="H43" s="244" t="s">
        <v>155</v>
      </c>
      <c r="I43" s="244" t="s">
        <v>153</v>
      </c>
      <c r="J43" s="244" t="s">
        <v>38</v>
      </c>
      <c r="K43" s="244" t="s">
        <v>154</v>
      </c>
      <c r="L43" s="244">
        <v>3</v>
      </c>
      <c r="M43" s="244"/>
      <c r="N43" s="244">
        <v>6</v>
      </c>
      <c r="O43" s="244">
        <v>0.25</v>
      </c>
      <c r="P43" s="244">
        <v>0.25</v>
      </c>
      <c r="Q43" s="107">
        <f t="shared" si="0"/>
        <v>0.25</v>
      </c>
      <c r="R43" s="244">
        <v>13.7</v>
      </c>
      <c r="S43" s="244">
        <v>100</v>
      </c>
      <c r="T43" s="108">
        <f t="shared" si="1"/>
        <v>33</v>
      </c>
      <c r="U43" s="244">
        <v>398</v>
      </c>
      <c r="V43" s="109">
        <f t="shared" si="2"/>
        <v>2189</v>
      </c>
      <c r="W43" s="244">
        <v>1</v>
      </c>
      <c r="X43" s="244" t="s">
        <v>39</v>
      </c>
      <c r="Y43" s="244" t="s">
        <v>84</v>
      </c>
      <c r="Z43" s="244" t="s">
        <v>90</v>
      </c>
      <c r="AA43" s="244" t="s">
        <v>40</v>
      </c>
      <c r="AB43" s="244" t="s">
        <v>333</v>
      </c>
    </row>
    <row r="44" spans="1:28" s="115" customFormat="1" x14ac:dyDescent="0.15">
      <c r="A44" s="244"/>
      <c r="B44" s="244"/>
      <c r="C44" s="244"/>
      <c r="D44" s="106"/>
      <c r="E44" s="244"/>
      <c r="F44" s="244"/>
      <c r="G44" s="244"/>
      <c r="H44" s="244"/>
      <c r="I44" s="244"/>
      <c r="J44" s="244"/>
      <c r="K44" s="244"/>
      <c r="L44" s="244"/>
      <c r="M44" s="244"/>
      <c r="N44" s="244"/>
      <c r="O44" s="244"/>
      <c r="P44" s="244"/>
      <c r="Q44" s="107" t="str">
        <f t="shared" si="0"/>
        <v/>
      </c>
      <c r="R44" s="244"/>
      <c r="S44" s="244"/>
      <c r="T44" s="108" t="str">
        <f t="shared" si="1"/>
        <v/>
      </c>
      <c r="U44" s="244"/>
      <c r="V44" s="109" t="str">
        <f t="shared" si="2"/>
        <v/>
      </c>
      <c r="W44" s="244"/>
      <c r="X44" s="244"/>
      <c r="Y44" s="244"/>
      <c r="Z44" s="244"/>
      <c r="AA44" s="244"/>
      <c r="AB44" s="244"/>
    </row>
    <row r="45" spans="1:28" s="115" customFormat="1" x14ac:dyDescent="0.15">
      <c r="A45" s="244"/>
      <c r="B45" s="244"/>
      <c r="C45" s="244"/>
      <c r="D45" s="106"/>
      <c r="E45" s="244"/>
      <c r="F45" s="244"/>
      <c r="G45" s="244"/>
      <c r="H45" s="244"/>
      <c r="I45" s="244"/>
      <c r="J45" s="244"/>
      <c r="K45" s="244"/>
      <c r="L45" s="244"/>
      <c r="M45" s="244"/>
      <c r="N45" s="244"/>
      <c r="O45" s="244"/>
      <c r="P45" s="244"/>
      <c r="Q45" s="107" t="str">
        <f t="shared" si="0"/>
        <v/>
      </c>
      <c r="R45" s="244"/>
      <c r="S45" s="244"/>
      <c r="T45" s="108" t="str">
        <f t="shared" si="1"/>
        <v/>
      </c>
      <c r="U45" s="244"/>
      <c r="V45" s="109" t="str">
        <f t="shared" si="2"/>
        <v/>
      </c>
      <c r="W45" s="244"/>
      <c r="X45" s="244"/>
      <c r="Y45" s="244"/>
      <c r="Z45" s="244"/>
      <c r="AA45" s="244"/>
      <c r="AB45" s="244"/>
    </row>
    <row r="46" spans="1:28" s="115" customFormat="1" x14ac:dyDescent="0.15">
      <c r="A46" s="244"/>
      <c r="B46" s="244"/>
      <c r="C46" s="244"/>
      <c r="D46" s="106"/>
      <c r="E46" s="244"/>
      <c r="F46" s="244"/>
      <c r="G46" s="244"/>
      <c r="H46" s="244"/>
      <c r="I46" s="244"/>
      <c r="J46" s="244"/>
      <c r="K46" s="244"/>
      <c r="L46" s="244"/>
      <c r="M46" s="244"/>
      <c r="N46" s="244"/>
      <c r="O46" s="244"/>
      <c r="P46" s="244"/>
      <c r="Q46" s="107" t="str">
        <f t="shared" si="0"/>
        <v/>
      </c>
      <c r="R46" s="244"/>
      <c r="S46" s="244"/>
      <c r="T46" s="108" t="str">
        <f t="shared" si="1"/>
        <v/>
      </c>
      <c r="U46" s="244"/>
      <c r="V46" s="109" t="str">
        <f t="shared" si="2"/>
        <v/>
      </c>
      <c r="W46" s="244"/>
      <c r="X46" s="244"/>
      <c r="Y46" s="244"/>
      <c r="Z46" s="244"/>
      <c r="AA46" s="244"/>
      <c r="AB46" s="244"/>
    </row>
    <row r="47" spans="1:28" s="115" customFormat="1" x14ac:dyDescent="0.15">
      <c r="A47" s="244"/>
      <c r="B47" s="244"/>
      <c r="C47" s="244"/>
      <c r="D47" s="106"/>
      <c r="E47" s="244"/>
      <c r="F47" s="244"/>
      <c r="G47" s="244"/>
      <c r="H47" s="244"/>
      <c r="I47" s="244"/>
      <c r="J47" s="244"/>
      <c r="K47" s="244"/>
      <c r="L47" s="244"/>
      <c r="M47" s="244"/>
      <c r="N47" s="244"/>
      <c r="O47" s="244"/>
      <c r="P47" s="244"/>
      <c r="Q47" s="107" t="str">
        <f t="shared" si="0"/>
        <v/>
      </c>
      <c r="R47" s="244"/>
      <c r="S47" s="244"/>
      <c r="T47" s="108" t="str">
        <f t="shared" si="1"/>
        <v/>
      </c>
      <c r="U47" s="244"/>
      <c r="V47" s="109" t="str">
        <f t="shared" si="2"/>
        <v/>
      </c>
      <c r="W47" s="244"/>
      <c r="X47" s="244"/>
      <c r="Y47" s="244"/>
      <c r="Z47" s="244"/>
      <c r="AA47" s="244"/>
      <c r="AB47" s="244"/>
    </row>
    <row r="48" spans="1:28" s="115" customFormat="1" x14ac:dyDescent="0.15">
      <c r="A48" s="244"/>
      <c r="B48" s="244"/>
      <c r="C48" s="244"/>
      <c r="D48" s="106"/>
      <c r="E48" s="244"/>
      <c r="F48" s="244"/>
      <c r="G48" s="244"/>
      <c r="H48" s="244"/>
      <c r="I48" s="244"/>
      <c r="J48" s="244"/>
      <c r="K48" s="244"/>
      <c r="L48" s="244"/>
      <c r="M48" s="244"/>
      <c r="N48" s="244"/>
      <c r="O48" s="244"/>
      <c r="P48" s="244"/>
      <c r="Q48" s="107" t="str">
        <f t="shared" si="0"/>
        <v/>
      </c>
      <c r="R48" s="244"/>
      <c r="S48" s="244"/>
      <c r="T48" s="108" t="str">
        <f t="shared" si="1"/>
        <v/>
      </c>
      <c r="U48" s="244"/>
      <c r="V48" s="109" t="str">
        <f t="shared" si="2"/>
        <v/>
      </c>
      <c r="W48" s="244"/>
      <c r="X48" s="244"/>
      <c r="Y48" s="244"/>
      <c r="Z48" s="244"/>
      <c r="AA48" s="244"/>
      <c r="AB48" s="244"/>
    </row>
    <row r="49" spans="1:28" s="115" customFormat="1" x14ac:dyDescent="0.15">
      <c r="A49" s="244"/>
      <c r="B49" s="244"/>
      <c r="C49" s="244"/>
      <c r="D49" s="106"/>
      <c r="E49" s="244"/>
      <c r="F49" s="244"/>
      <c r="G49" s="244"/>
      <c r="H49" s="244"/>
      <c r="I49" s="244"/>
      <c r="J49" s="244"/>
      <c r="K49" s="244"/>
      <c r="L49" s="244"/>
      <c r="M49" s="244"/>
      <c r="N49" s="244"/>
      <c r="O49" s="244"/>
      <c r="P49" s="244"/>
      <c r="Q49" s="107" t="str">
        <f t="shared" si="0"/>
        <v/>
      </c>
      <c r="R49" s="244"/>
      <c r="S49" s="244"/>
      <c r="T49" s="108" t="str">
        <f t="shared" si="1"/>
        <v/>
      </c>
      <c r="U49" s="244"/>
      <c r="V49" s="109" t="str">
        <f t="shared" si="2"/>
        <v/>
      </c>
      <c r="W49" s="244"/>
      <c r="X49" s="244"/>
      <c r="Y49" s="244"/>
      <c r="Z49" s="244"/>
      <c r="AA49" s="244"/>
      <c r="AB49" s="244"/>
    </row>
    <row r="50" spans="1:28" s="115" customFormat="1" x14ac:dyDescent="0.15">
      <c r="A50" s="244"/>
      <c r="B50" s="244"/>
      <c r="C50" s="244"/>
      <c r="D50" s="106"/>
      <c r="E50" s="244"/>
      <c r="F50" s="244"/>
      <c r="G50" s="244"/>
      <c r="H50" s="244"/>
      <c r="I50" s="244"/>
      <c r="J50" s="244"/>
      <c r="K50" s="244"/>
      <c r="L50" s="244"/>
      <c r="M50" s="244"/>
      <c r="N50" s="244"/>
      <c r="O50" s="244"/>
      <c r="P50" s="244"/>
      <c r="Q50" s="107" t="str">
        <f t="shared" si="0"/>
        <v/>
      </c>
      <c r="R50" s="244"/>
      <c r="S50" s="244"/>
      <c r="T50" s="108" t="str">
        <f t="shared" si="1"/>
        <v/>
      </c>
      <c r="U50" s="244"/>
      <c r="V50" s="109" t="str">
        <f t="shared" si="2"/>
        <v/>
      </c>
      <c r="W50" s="244"/>
      <c r="X50" s="244"/>
      <c r="Y50" s="244"/>
      <c r="Z50" s="244"/>
      <c r="AA50" s="244"/>
      <c r="AB50" s="244"/>
    </row>
    <row r="51" spans="1:28" s="115" customFormat="1" x14ac:dyDescent="0.15">
      <c r="A51" s="244"/>
      <c r="B51" s="244"/>
      <c r="C51" s="244"/>
      <c r="D51" s="106"/>
      <c r="E51" s="244"/>
      <c r="F51" s="244"/>
      <c r="G51" s="244"/>
      <c r="H51" s="244"/>
      <c r="I51" s="244"/>
      <c r="J51" s="244"/>
      <c r="K51" s="244"/>
      <c r="L51" s="244"/>
      <c r="M51" s="244"/>
      <c r="N51" s="244"/>
      <c r="O51" s="244"/>
      <c r="P51" s="244"/>
      <c r="Q51" s="107" t="str">
        <f t="shared" si="0"/>
        <v/>
      </c>
      <c r="R51" s="244"/>
      <c r="S51" s="244"/>
      <c r="T51" s="108" t="str">
        <f t="shared" si="1"/>
        <v/>
      </c>
      <c r="U51" s="244"/>
      <c r="V51" s="109" t="str">
        <f t="shared" si="2"/>
        <v/>
      </c>
      <c r="W51" s="244"/>
      <c r="X51" s="244"/>
      <c r="Y51" s="244"/>
      <c r="Z51" s="244"/>
      <c r="AA51" s="244"/>
      <c r="AB51" s="244"/>
    </row>
    <row r="52" spans="1:28" s="115" customFormat="1" x14ac:dyDescent="0.15">
      <c r="A52" s="244"/>
      <c r="B52" s="244"/>
      <c r="C52" s="244"/>
      <c r="D52" s="106"/>
      <c r="E52" s="244"/>
      <c r="F52" s="244"/>
      <c r="G52" s="244"/>
      <c r="H52" s="244"/>
      <c r="I52" s="244"/>
      <c r="J52" s="244"/>
      <c r="K52" s="244"/>
      <c r="L52" s="244"/>
      <c r="M52" s="244"/>
      <c r="N52" s="244"/>
      <c r="O52" s="244"/>
      <c r="P52" s="244"/>
      <c r="Q52" s="107" t="str">
        <f t="shared" si="0"/>
        <v/>
      </c>
      <c r="R52" s="244"/>
      <c r="S52" s="244"/>
      <c r="T52" s="108" t="str">
        <f t="shared" si="1"/>
        <v/>
      </c>
      <c r="U52" s="244"/>
      <c r="V52" s="109" t="str">
        <f t="shared" si="2"/>
        <v/>
      </c>
      <c r="W52" s="244"/>
      <c r="X52" s="244"/>
      <c r="Y52" s="244"/>
      <c r="Z52" s="244"/>
      <c r="AA52" s="244"/>
      <c r="AB52" s="244"/>
    </row>
    <row r="53" spans="1:28" s="115" customFormat="1" x14ac:dyDescent="0.15">
      <c r="A53" s="244"/>
      <c r="B53" s="244"/>
      <c r="C53" s="244"/>
      <c r="D53" s="106"/>
      <c r="E53" s="244"/>
      <c r="F53" s="244"/>
      <c r="G53" s="244"/>
      <c r="H53" s="244"/>
      <c r="I53" s="244"/>
      <c r="J53" s="244"/>
      <c r="K53" s="244"/>
      <c r="L53" s="244"/>
      <c r="M53" s="244"/>
      <c r="N53" s="244"/>
      <c r="O53" s="244"/>
      <c r="P53" s="244"/>
      <c r="Q53" s="107" t="str">
        <f t="shared" si="0"/>
        <v/>
      </c>
      <c r="R53" s="244"/>
      <c r="S53" s="244"/>
      <c r="T53" s="108" t="str">
        <f t="shared" si="1"/>
        <v/>
      </c>
      <c r="U53" s="244"/>
      <c r="V53" s="109" t="str">
        <f t="shared" si="2"/>
        <v/>
      </c>
      <c r="W53" s="244"/>
      <c r="X53" s="244"/>
      <c r="Y53" s="244"/>
      <c r="Z53" s="244"/>
      <c r="AA53" s="244"/>
      <c r="AB53" s="244"/>
    </row>
    <row r="54" spans="1:28" s="115" customFormat="1" x14ac:dyDescent="0.15">
      <c r="A54" s="244"/>
      <c r="B54" s="244"/>
      <c r="C54" s="244"/>
      <c r="D54" s="106"/>
      <c r="E54" s="244"/>
      <c r="F54" s="244"/>
      <c r="G54" s="244"/>
      <c r="H54" s="244"/>
      <c r="I54" s="244"/>
      <c r="J54" s="244"/>
      <c r="K54" s="244"/>
      <c r="L54" s="244"/>
      <c r="M54" s="244"/>
      <c r="N54" s="244"/>
      <c r="O54" s="244"/>
      <c r="P54" s="244"/>
      <c r="Q54" s="107" t="str">
        <f t="shared" si="0"/>
        <v/>
      </c>
      <c r="R54" s="244"/>
      <c r="S54" s="244"/>
      <c r="T54" s="108" t="str">
        <f t="shared" si="1"/>
        <v/>
      </c>
      <c r="U54" s="244"/>
      <c r="V54" s="109" t="str">
        <f t="shared" si="2"/>
        <v/>
      </c>
      <c r="W54" s="244"/>
      <c r="X54" s="244"/>
      <c r="Y54" s="244"/>
      <c r="Z54" s="244"/>
      <c r="AA54" s="244"/>
      <c r="AB54" s="244"/>
    </row>
    <row r="55" spans="1:28" s="115" customFormat="1" x14ac:dyDescent="0.15">
      <c r="A55" s="244"/>
      <c r="B55" s="244"/>
      <c r="C55" s="244"/>
      <c r="D55" s="106"/>
      <c r="E55" s="244"/>
      <c r="F55" s="244"/>
      <c r="G55" s="244"/>
      <c r="H55" s="244"/>
      <c r="I55" s="244"/>
      <c r="J55" s="244"/>
      <c r="K55" s="244"/>
      <c r="L55" s="244"/>
      <c r="M55" s="244"/>
      <c r="N55" s="244"/>
      <c r="O55" s="244"/>
      <c r="P55" s="244"/>
      <c r="Q55" s="107" t="str">
        <f t="shared" si="0"/>
        <v/>
      </c>
      <c r="R55" s="244"/>
      <c r="S55" s="244"/>
      <c r="T55" s="108" t="str">
        <f t="shared" si="1"/>
        <v/>
      </c>
      <c r="U55" s="244"/>
      <c r="V55" s="109" t="str">
        <f t="shared" si="2"/>
        <v/>
      </c>
      <c r="W55" s="244"/>
      <c r="X55" s="244"/>
      <c r="Y55" s="244"/>
      <c r="Z55" s="244"/>
      <c r="AA55" s="244"/>
      <c r="AB55" s="244"/>
    </row>
    <row r="56" spans="1:28" s="115" customFormat="1" x14ac:dyDescent="0.15">
      <c r="A56" s="244"/>
      <c r="B56" s="244"/>
      <c r="C56" s="244"/>
      <c r="D56" s="106"/>
      <c r="E56" s="244"/>
      <c r="F56" s="244"/>
      <c r="G56" s="244"/>
      <c r="H56" s="244"/>
      <c r="I56" s="244"/>
      <c r="J56" s="244"/>
      <c r="K56" s="244"/>
      <c r="L56" s="244"/>
      <c r="M56" s="244"/>
      <c r="N56" s="244"/>
      <c r="O56" s="244"/>
      <c r="P56" s="244"/>
      <c r="Q56" s="107" t="str">
        <f t="shared" si="0"/>
        <v/>
      </c>
      <c r="R56" s="244"/>
      <c r="S56" s="244"/>
      <c r="T56" s="108" t="str">
        <f t="shared" si="1"/>
        <v/>
      </c>
      <c r="U56" s="244"/>
      <c r="V56" s="109" t="str">
        <f t="shared" si="2"/>
        <v/>
      </c>
      <c r="W56" s="244"/>
      <c r="X56" s="244"/>
      <c r="Y56" s="244"/>
      <c r="Z56" s="244"/>
      <c r="AA56" s="244"/>
      <c r="AB56" s="244"/>
    </row>
    <row r="57" spans="1:28" s="115" customFormat="1" x14ac:dyDescent="0.15">
      <c r="A57" s="244"/>
      <c r="B57" s="244"/>
      <c r="C57" s="244"/>
      <c r="D57" s="106"/>
      <c r="E57" s="244"/>
      <c r="F57" s="244"/>
      <c r="G57" s="244"/>
      <c r="H57" s="244"/>
      <c r="I57" s="244"/>
      <c r="J57" s="244"/>
      <c r="K57" s="244"/>
      <c r="L57" s="244"/>
      <c r="M57" s="244"/>
      <c r="N57" s="244"/>
      <c r="O57" s="244"/>
      <c r="P57" s="244"/>
      <c r="Q57" s="107" t="str">
        <f t="shared" si="0"/>
        <v/>
      </c>
      <c r="R57" s="244"/>
      <c r="S57" s="244"/>
      <c r="T57" s="108" t="str">
        <f t="shared" si="1"/>
        <v/>
      </c>
      <c r="U57" s="244"/>
      <c r="V57" s="109" t="str">
        <f t="shared" si="2"/>
        <v/>
      </c>
      <c r="W57" s="244"/>
      <c r="X57" s="244"/>
      <c r="Y57" s="244"/>
      <c r="Z57" s="244"/>
      <c r="AA57" s="244"/>
      <c r="AB57" s="244"/>
    </row>
    <row r="58" spans="1:28" s="115" customFormat="1" x14ac:dyDescent="0.15">
      <c r="A58" s="244"/>
      <c r="B58" s="244"/>
      <c r="C58" s="244"/>
      <c r="D58" s="106"/>
      <c r="E58" s="244"/>
      <c r="F58" s="244"/>
      <c r="G58" s="244"/>
      <c r="H58" s="244"/>
      <c r="I58" s="244"/>
      <c r="J58" s="244"/>
      <c r="K58" s="244"/>
      <c r="L58" s="244"/>
      <c r="M58" s="244"/>
      <c r="N58" s="244"/>
      <c r="O58" s="244"/>
      <c r="P58" s="244"/>
      <c r="Q58" s="107" t="str">
        <f t="shared" si="0"/>
        <v/>
      </c>
      <c r="R58" s="244"/>
      <c r="S58" s="244"/>
      <c r="T58" s="108" t="str">
        <f t="shared" si="1"/>
        <v/>
      </c>
      <c r="U58" s="244"/>
      <c r="V58" s="109" t="str">
        <f t="shared" si="2"/>
        <v/>
      </c>
      <c r="W58" s="244"/>
      <c r="X58" s="244"/>
      <c r="Y58" s="244"/>
      <c r="Z58" s="244"/>
      <c r="AA58" s="244"/>
      <c r="AB58" s="244"/>
    </row>
    <row r="59" spans="1:28" s="115" customFormat="1" x14ac:dyDescent="0.15">
      <c r="A59" s="244"/>
      <c r="B59" s="244"/>
      <c r="C59" s="244"/>
      <c r="D59" s="106"/>
      <c r="E59" s="244"/>
      <c r="F59" s="244"/>
      <c r="G59" s="244"/>
      <c r="H59" s="244"/>
      <c r="I59" s="244"/>
      <c r="J59" s="244"/>
      <c r="K59" s="244"/>
      <c r="N59" s="244"/>
      <c r="Q59" s="107" t="str">
        <f t="shared" si="0"/>
        <v/>
      </c>
      <c r="T59" s="108" t="str">
        <f t="shared" si="1"/>
        <v/>
      </c>
      <c r="U59" s="244"/>
      <c r="V59" s="109" t="str">
        <f t="shared" si="2"/>
        <v/>
      </c>
      <c r="W59" s="244"/>
      <c r="X59" s="244"/>
      <c r="Y59" s="244"/>
      <c r="Z59" s="244"/>
      <c r="AA59" s="244"/>
      <c r="AB59" s="244"/>
    </row>
    <row r="60" spans="1:28" s="115" customFormat="1" x14ac:dyDescent="0.15">
      <c r="A60" s="244"/>
      <c r="B60" s="244"/>
      <c r="C60" s="244"/>
      <c r="D60" s="106"/>
      <c r="E60" s="244"/>
      <c r="F60" s="244"/>
      <c r="G60" s="244"/>
      <c r="H60" s="244"/>
      <c r="I60" s="244"/>
      <c r="J60" s="244"/>
      <c r="K60" s="244"/>
      <c r="N60" s="244"/>
      <c r="Q60" s="107" t="str">
        <f t="shared" si="0"/>
        <v/>
      </c>
      <c r="T60" s="108" t="str">
        <f t="shared" si="1"/>
        <v/>
      </c>
      <c r="U60" s="244"/>
      <c r="V60" s="109" t="str">
        <f t="shared" si="2"/>
        <v/>
      </c>
      <c r="W60" s="244"/>
      <c r="X60" s="244"/>
      <c r="Y60" s="244"/>
      <c r="Z60" s="244"/>
      <c r="AA60" s="244"/>
      <c r="AB60" s="244"/>
    </row>
    <row r="61" spans="1:28" s="115" customFormat="1" x14ac:dyDescent="0.15">
      <c r="A61" s="244"/>
      <c r="B61" s="244"/>
      <c r="C61" s="244"/>
      <c r="D61" s="106"/>
      <c r="E61" s="244"/>
      <c r="F61" s="244"/>
      <c r="G61" s="244"/>
      <c r="H61" s="244"/>
      <c r="I61" s="244"/>
      <c r="J61" s="244"/>
      <c r="K61" s="244"/>
      <c r="N61" s="244"/>
      <c r="Q61" s="107" t="str">
        <f t="shared" si="0"/>
        <v/>
      </c>
      <c r="T61" s="108" t="str">
        <f t="shared" si="1"/>
        <v/>
      </c>
      <c r="U61" s="244"/>
      <c r="V61" s="109" t="str">
        <f t="shared" si="2"/>
        <v/>
      </c>
      <c r="W61" s="244"/>
      <c r="X61" s="244"/>
      <c r="Y61" s="244"/>
      <c r="Z61" s="244"/>
      <c r="AA61" s="244"/>
      <c r="AB61" s="244"/>
    </row>
    <row r="62" spans="1:28" s="115" customFormat="1" x14ac:dyDescent="0.15">
      <c r="A62" s="244"/>
      <c r="B62" s="244"/>
      <c r="C62" s="244"/>
      <c r="D62" s="106"/>
      <c r="E62" s="244"/>
      <c r="F62" s="244"/>
      <c r="G62" s="244"/>
      <c r="H62" s="244"/>
      <c r="I62" s="244"/>
      <c r="J62" s="244"/>
      <c r="K62" s="244"/>
      <c r="N62" s="244"/>
      <c r="Q62" s="107" t="str">
        <f t="shared" si="0"/>
        <v/>
      </c>
      <c r="T62" s="108" t="str">
        <f t="shared" si="1"/>
        <v/>
      </c>
      <c r="U62" s="244"/>
      <c r="V62" s="109" t="str">
        <f t="shared" si="2"/>
        <v/>
      </c>
      <c r="W62" s="244"/>
      <c r="X62" s="244"/>
      <c r="Y62" s="244"/>
      <c r="Z62" s="244"/>
      <c r="AA62" s="244"/>
      <c r="AB62" s="244"/>
    </row>
    <row r="63" spans="1:28" s="115" customFormat="1" x14ac:dyDescent="0.15">
      <c r="A63" s="244"/>
      <c r="B63" s="244"/>
      <c r="C63" s="244"/>
      <c r="D63" s="106"/>
      <c r="E63" s="244"/>
      <c r="F63" s="244"/>
      <c r="G63" s="244"/>
      <c r="H63" s="244"/>
      <c r="I63" s="244"/>
      <c r="J63" s="244"/>
      <c r="K63" s="244"/>
      <c r="N63" s="244"/>
      <c r="Q63" s="107" t="str">
        <f t="shared" si="0"/>
        <v/>
      </c>
      <c r="T63" s="108" t="str">
        <f t="shared" si="1"/>
        <v/>
      </c>
      <c r="U63" s="244"/>
      <c r="V63" s="109" t="str">
        <f t="shared" si="2"/>
        <v/>
      </c>
      <c r="W63" s="244"/>
      <c r="X63" s="244"/>
      <c r="Y63" s="244"/>
      <c r="Z63" s="244"/>
      <c r="AA63" s="244"/>
      <c r="AB63" s="244"/>
    </row>
    <row r="64" spans="1:28" s="115" customFormat="1" x14ac:dyDescent="0.15">
      <c r="A64" s="244"/>
      <c r="B64" s="244"/>
      <c r="C64" s="244"/>
      <c r="D64" s="106"/>
      <c r="E64" s="244"/>
      <c r="F64" s="244"/>
      <c r="G64" s="244"/>
      <c r="H64" s="244"/>
      <c r="I64" s="244"/>
      <c r="J64" s="244"/>
      <c r="K64" s="244"/>
      <c r="N64" s="244"/>
      <c r="Q64" s="107" t="str">
        <f t="shared" si="0"/>
        <v/>
      </c>
      <c r="T64" s="108" t="str">
        <f t="shared" si="1"/>
        <v/>
      </c>
      <c r="U64" s="244"/>
      <c r="V64" s="109" t="str">
        <f t="shared" si="2"/>
        <v/>
      </c>
      <c r="W64" s="244"/>
      <c r="X64" s="244"/>
      <c r="Y64" s="244"/>
      <c r="Z64" s="244"/>
      <c r="AA64" s="244"/>
      <c r="AB64" s="244"/>
    </row>
    <row r="65" spans="1:28" s="115" customFormat="1" x14ac:dyDescent="0.15">
      <c r="A65" s="244"/>
      <c r="B65" s="244"/>
      <c r="C65" s="244"/>
      <c r="D65" s="106"/>
      <c r="E65" s="244"/>
      <c r="F65" s="244"/>
      <c r="G65" s="244"/>
      <c r="H65" s="244"/>
      <c r="I65" s="244"/>
      <c r="J65" s="244"/>
      <c r="K65" s="244"/>
      <c r="N65" s="244"/>
      <c r="Q65" s="108" t="str">
        <f t="shared" si="0"/>
        <v/>
      </c>
      <c r="T65" s="108" t="str">
        <f t="shared" si="1"/>
        <v/>
      </c>
      <c r="U65" s="244"/>
      <c r="V65" s="108" t="str">
        <f t="shared" si="2"/>
        <v/>
      </c>
      <c r="W65" s="244"/>
      <c r="X65" s="244"/>
      <c r="Y65" s="244"/>
      <c r="Z65" s="244"/>
      <c r="AA65" s="244"/>
      <c r="AB65" s="244"/>
    </row>
    <row r="66" spans="1:28" x14ac:dyDescent="0.15">
      <c r="A66" s="244"/>
      <c r="B66" s="244"/>
      <c r="C66" s="130"/>
      <c r="D66" s="131"/>
      <c r="E66" s="244"/>
      <c r="F66" s="244"/>
      <c r="G66" s="130"/>
      <c r="H66" s="130"/>
      <c r="I66" s="130"/>
      <c r="J66" s="130"/>
      <c r="K66" s="244"/>
      <c r="N66" s="130"/>
      <c r="Q66" s="132" t="str">
        <f t="shared" ref="Q66:Q85" si="3">IF(OR(O66="",P66=""),"",AVERAGE(O66,P66))</f>
        <v/>
      </c>
      <c r="T66" s="132" t="str">
        <f t="shared" ref="T66:T85" si="4">IF(H66="","",IF(OR(H66="GREEN",H66="GK"),IF(S66&gt;=$AX$2,VLOOKUP(S66,$AX$2:$AY$12,2,1),""),IF(S66&gt;=$AZ$2,VLOOKUP(S66,$AZ$2:$BA$12,2,1),"")))</f>
        <v/>
      </c>
      <c r="U66" s="130"/>
      <c r="V66" s="132" t="str">
        <f t="shared" ref="V66:V85" si="5">IF(OR(N66="",U66="",T66=""),"",U66/N66*T66)</f>
        <v/>
      </c>
      <c r="W66" s="130"/>
      <c r="X66" s="130"/>
      <c r="Y66" s="130"/>
      <c r="Z66" s="130"/>
      <c r="AA66" s="130"/>
      <c r="AB66" s="244"/>
    </row>
    <row r="67" spans="1:28" x14ac:dyDescent="0.15">
      <c r="A67" s="244"/>
      <c r="B67" s="244"/>
      <c r="C67" s="130"/>
      <c r="D67" s="131"/>
      <c r="E67" s="244"/>
      <c r="F67" s="244"/>
      <c r="G67" s="130"/>
      <c r="H67" s="130"/>
      <c r="I67" s="130"/>
      <c r="J67" s="130"/>
      <c r="K67" s="244"/>
      <c r="N67" s="130"/>
      <c r="O67" s="115"/>
      <c r="Q67" s="132" t="str">
        <f t="shared" si="3"/>
        <v/>
      </c>
      <c r="T67" s="132" t="str">
        <f t="shared" si="4"/>
        <v/>
      </c>
      <c r="U67" s="130"/>
      <c r="V67" s="132" t="str">
        <f t="shared" si="5"/>
        <v/>
      </c>
      <c r="W67" s="130"/>
      <c r="X67" s="130"/>
      <c r="Y67" s="130"/>
      <c r="Z67" s="130"/>
      <c r="AA67" s="130"/>
      <c r="AB67" s="244"/>
    </row>
    <row r="68" spans="1:28" x14ac:dyDescent="0.15">
      <c r="A68" s="244"/>
      <c r="B68" s="244"/>
      <c r="C68" s="130"/>
      <c r="D68" s="131"/>
      <c r="E68" s="244"/>
      <c r="F68" s="244"/>
      <c r="G68" s="130"/>
      <c r="H68" s="130"/>
      <c r="I68" s="130"/>
      <c r="J68" s="130"/>
      <c r="K68" s="244"/>
      <c r="N68" s="130"/>
      <c r="Q68" s="132" t="str">
        <f t="shared" si="3"/>
        <v/>
      </c>
      <c r="T68" s="132" t="str">
        <f t="shared" si="4"/>
        <v/>
      </c>
      <c r="V68" s="132" t="str">
        <f t="shared" si="5"/>
        <v/>
      </c>
      <c r="W68" s="130"/>
      <c r="X68" s="130"/>
      <c r="Y68" s="130"/>
      <c r="Z68" s="130"/>
      <c r="AA68" s="130"/>
      <c r="AB68" s="244"/>
    </row>
    <row r="69" spans="1:28" x14ac:dyDescent="0.15">
      <c r="A69" s="244"/>
      <c r="B69" s="244"/>
      <c r="C69" s="130"/>
      <c r="D69" s="131"/>
      <c r="E69" s="244"/>
      <c r="F69" s="244"/>
      <c r="G69" s="130"/>
      <c r="H69" s="130"/>
      <c r="I69" s="130"/>
      <c r="J69" s="130"/>
      <c r="K69" s="244"/>
      <c r="N69" s="130"/>
      <c r="O69" s="115"/>
      <c r="Q69" s="132" t="str">
        <f t="shared" si="3"/>
        <v/>
      </c>
      <c r="T69" s="132" t="str">
        <f t="shared" si="4"/>
        <v/>
      </c>
      <c r="V69" s="132" t="str">
        <f t="shared" si="5"/>
        <v/>
      </c>
      <c r="W69" s="130"/>
      <c r="X69" s="130"/>
      <c r="Y69" s="130"/>
      <c r="Z69" s="130"/>
      <c r="AA69" s="130"/>
      <c r="AB69" s="244"/>
    </row>
    <row r="70" spans="1:28" x14ac:dyDescent="0.15">
      <c r="A70" s="244"/>
      <c r="B70" s="244"/>
      <c r="C70" s="130"/>
      <c r="D70" s="131"/>
      <c r="E70" s="244"/>
      <c r="F70" s="244"/>
      <c r="G70" s="130"/>
      <c r="H70" s="130"/>
      <c r="I70" s="130"/>
      <c r="J70" s="130"/>
      <c r="K70" s="244"/>
      <c r="N70" s="130"/>
      <c r="Q70" s="132" t="str">
        <f t="shared" si="3"/>
        <v/>
      </c>
      <c r="T70" s="132" t="str">
        <f t="shared" si="4"/>
        <v/>
      </c>
      <c r="V70" s="132" t="str">
        <f t="shared" si="5"/>
        <v/>
      </c>
      <c r="W70" s="130"/>
      <c r="X70" s="130"/>
      <c r="Y70" s="130"/>
      <c r="Z70" s="130"/>
      <c r="AA70" s="130"/>
      <c r="AB70" s="244"/>
    </row>
    <row r="71" spans="1:28" x14ac:dyDescent="0.15">
      <c r="A71" s="244"/>
      <c r="B71" s="244"/>
      <c r="C71" s="130"/>
      <c r="D71" s="131"/>
      <c r="E71" s="244"/>
      <c r="F71" s="244"/>
      <c r="G71" s="130"/>
      <c r="H71" s="130"/>
      <c r="I71" s="130"/>
      <c r="J71" s="130"/>
      <c r="K71" s="244"/>
      <c r="N71" s="130"/>
      <c r="Q71" s="132" t="str">
        <f t="shared" si="3"/>
        <v/>
      </c>
      <c r="T71" s="132" t="str">
        <f t="shared" si="4"/>
        <v/>
      </c>
      <c r="V71" s="132" t="str">
        <f t="shared" si="5"/>
        <v/>
      </c>
      <c r="W71" s="130"/>
      <c r="X71" s="130"/>
      <c r="Y71" s="130"/>
      <c r="Z71" s="130"/>
      <c r="AA71" s="130"/>
      <c r="AB71" s="244"/>
    </row>
    <row r="72" spans="1:28" x14ac:dyDescent="0.15">
      <c r="A72" s="244"/>
      <c r="B72" s="244"/>
      <c r="C72" s="130"/>
      <c r="D72" s="131"/>
      <c r="E72" s="244"/>
      <c r="F72" s="244"/>
      <c r="G72" s="130"/>
      <c r="H72" s="130"/>
      <c r="I72" s="130"/>
      <c r="J72" s="130"/>
      <c r="K72" s="244"/>
      <c r="N72" s="130"/>
      <c r="Q72" s="132" t="str">
        <f t="shared" si="3"/>
        <v/>
      </c>
      <c r="T72" s="132" t="str">
        <f t="shared" si="4"/>
        <v/>
      </c>
      <c r="V72" s="132" t="str">
        <f t="shared" si="5"/>
        <v/>
      </c>
      <c r="W72" s="130"/>
      <c r="X72" s="130"/>
      <c r="Y72" s="130"/>
      <c r="Z72" s="130"/>
      <c r="AA72" s="130"/>
      <c r="AB72" s="244"/>
    </row>
    <row r="73" spans="1:28" x14ac:dyDescent="0.15">
      <c r="A73" s="244"/>
      <c r="B73" s="244"/>
      <c r="C73" s="130"/>
      <c r="D73" s="131"/>
      <c r="E73" s="244"/>
      <c r="F73" s="244"/>
      <c r="G73" s="130"/>
      <c r="H73" s="130"/>
      <c r="I73" s="130"/>
      <c r="J73" s="130"/>
      <c r="K73" s="244"/>
      <c r="N73" s="130"/>
      <c r="P73" s="115"/>
      <c r="Q73" s="132" t="str">
        <f t="shared" si="3"/>
        <v/>
      </c>
      <c r="T73" s="132" t="str">
        <f t="shared" si="4"/>
        <v/>
      </c>
      <c r="V73" s="132" t="str">
        <f t="shared" si="5"/>
        <v/>
      </c>
      <c r="W73" s="130"/>
      <c r="X73" s="130"/>
      <c r="Y73" s="130"/>
      <c r="Z73" s="130"/>
      <c r="AA73" s="130"/>
      <c r="AB73" s="244"/>
    </row>
    <row r="74" spans="1:28" x14ac:dyDescent="0.15">
      <c r="A74" s="244"/>
      <c r="B74" s="244"/>
      <c r="C74" s="130"/>
      <c r="D74" s="131"/>
      <c r="E74" s="244"/>
      <c r="F74" s="244"/>
      <c r="G74" s="130"/>
      <c r="H74" s="130"/>
      <c r="I74" s="130"/>
      <c r="J74" s="130"/>
      <c r="K74" s="244"/>
      <c r="N74" s="130"/>
      <c r="Q74" s="132" t="str">
        <f t="shared" si="3"/>
        <v/>
      </c>
      <c r="T74" s="132" t="str">
        <f t="shared" si="4"/>
        <v/>
      </c>
      <c r="V74" s="132" t="str">
        <f t="shared" si="5"/>
        <v/>
      </c>
      <c r="W74" s="130"/>
      <c r="X74" s="130"/>
      <c r="Y74" s="130"/>
      <c r="Z74" s="130"/>
      <c r="AA74" s="130"/>
      <c r="AB74" s="244"/>
    </row>
    <row r="75" spans="1:28" x14ac:dyDescent="0.15">
      <c r="A75" s="244"/>
      <c r="B75" s="244"/>
      <c r="C75" s="130"/>
      <c r="D75" s="131"/>
      <c r="E75" s="244"/>
      <c r="F75" s="244"/>
      <c r="G75" s="130"/>
      <c r="H75" s="130"/>
      <c r="I75" s="130"/>
      <c r="J75" s="130"/>
      <c r="K75" s="244"/>
      <c r="N75" s="130"/>
      <c r="Q75" s="132" t="str">
        <f t="shared" si="3"/>
        <v/>
      </c>
      <c r="T75" s="132" t="str">
        <f t="shared" si="4"/>
        <v/>
      </c>
      <c r="V75" s="132" t="str">
        <f t="shared" si="5"/>
        <v/>
      </c>
      <c r="W75" s="130"/>
      <c r="X75" s="130"/>
      <c r="Y75" s="130"/>
      <c r="Z75" s="130"/>
      <c r="AA75" s="130"/>
      <c r="AB75" s="244"/>
    </row>
    <row r="76" spans="1:28" x14ac:dyDescent="0.15">
      <c r="A76" s="244"/>
      <c r="B76" s="244"/>
      <c r="C76" s="130"/>
      <c r="D76" s="131"/>
      <c r="E76" s="244"/>
      <c r="F76" s="244"/>
      <c r="G76" s="130"/>
      <c r="H76" s="130"/>
      <c r="I76" s="130"/>
      <c r="J76" s="130"/>
      <c r="K76" s="244"/>
      <c r="N76" s="130"/>
      <c r="Q76" s="132" t="str">
        <f t="shared" si="3"/>
        <v/>
      </c>
      <c r="T76" s="132" t="str">
        <f t="shared" si="4"/>
        <v/>
      </c>
      <c r="V76" s="132" t="str">
        <f t="shared" si="5"/>
        <v/>
      </c>
      <c r="W76" s="130"/>
      <c r="X76" s="130"/>
      <c r="Y76" s="130"/>
      <c r="Z76" s="130"/>
      <c r="AA76" s="130"/>
      <c r="AB76" s="244"/>
    </row>
    <row r="77" spans="1:28" x14ac:dyDescent="0.15">
      <c r="A77" s="244"/>
      <c r="B77" s="244"/>
      <c r="C77" s="130"/>
      <c r="D77" s="131"/>
      <c r="E77" s="244"/>
      <c r="F77" s="244"/>
      <c r="G77" s="130"/>
      <c r="H77" s="130"/>
      <c r="I77" s="130"/>
      <c r="J77" s="130"/>
      <c r="K77" s="244"/>
      <c r="N77" s="130"/>
      <c r="Q77" s="132" t="str">
        <f t="shared" si="3"/>
        <v/>
      </c>
      <c r="T77" s="132" t="str">
        <f t="shared" si="4"/>
        <v/>
      </c>
      <c r="V77" s="132" t="str">
        <f t="shared" si="5"/>
        <v/>
      </c>
      <c r="W77" s="130"/>
      <c r="X77" s="130"/>
      <c r="Y77" s="130"/>
      <c r="Z77" s="130"/>
      <c r="AA77" s="130"/>
      <c r="AB77" s="244"/>
    </row>
    <row r="78" spans="1:28" x14ac:dyDescent="0.15">
      <c r="A78" s="244"/>
      <c r="B78" s="244"/>
      <c r="C78" s="130"/>
      <c r="D78" s="131"/>
      <c r="E78" s="244"/>
      <c r="F78" s="244"/>
      <c r="G78" s="130"/>
      <c r="H78" s="130"/>
      <c r="I78" s="130"/>
      <c r="J78" s="130"/>
      <c r="K78" s="244"/>
      <c r="N78" s="130"/>
      <c r="Q78" s="132" t="str">
        <f t="shared" si="3"/>
        <v/>
      </c>
      <c r="T78" s="132" t="str">
        <f t="shared" si="4"/>
        <v/>
      </c>
      <c r="V78" s="132" t="str">
        <f t="shared" si="5"/>
        <v/>
      </c>
      <c r="W78" s="130"/>
      <c r="X78" s="130"/>
      <c r="Y78" s="130"/>
      <c r="Z78" s="130"/>
      <c r="AA78" s="130"/>
      <c r="AB78" s="244"/>
    </row>
    <row r="79" spans="1:28" x14ac:dyDescent="0.15">
      <c r="A79" s="244"/>
      <c r="B79" s="244"/>
      <c r="C79" s="130"/>
      <c r="D79" s="131"/>
      <c r="E79" s="244"/>
      <c r="F79" s="244"/>
      <c r="G79" s="130"/>
      <c r="H79" s="130"/>
      <c r="I79" s="130"/>
      <c r="J79" s="130"/>
      <c r="K79" s="244"/>
      <c r="N79" s="130"/>
      <c r="Q79" s="132" t="str">
        <f t="shared" si="3"/>
        <v/>
      </c>
      <c r="R79" s="115"/>
      <c r="T79" s="132" t="str">
        <f t="shared" si="4"/>
        <v/>
      </c>
      <c r="V79" s="132" t="str">
        <f t="shared" si="5"/>
        <v/>
      </c>
      <c r="W79" s="130"/>
      <c r="X79" s="130"/>
      <c r="Y79" s="130"/>
      <c r="Z79" s="130"/>
      <c r="AA79" s="130"/>
      <c r="AB79" s="244"/>
    </row>
    <row r="80" spans="1:28" x14ac:dyDescent="0.15">
      <c r="A80" s="244"/>
      <c r="B80" s="244"/>
      <c r="C80" s="130"/>
      <c r="D80" s="131"/>
      <c r="E80" s="244"/>
      <c r="F80" s="244"/>
      <c r="G80" s="130"/>
      <c r="H80" s="130"/>
      <c r="I80" s="130"/>
      <c r="J80" s="130"/>
      <c r="K80" s="244"/>
      <c r="N80" s="130"/>
      <c r="Q80" s="132" t="str">
        <f t="shared" si="3"/>
        <v/>
      </c>
      <c r="T80" s="132" t="str">
        <f t="shared" si="4"/>
        <v/>
      </c>
      <c r="V80" s="132" t="str">
        <f t="shared" si="5"/>
        <v/>
      </c>
      <c r="W80" s="130"/>
      <c r="X80" s="130"/>
      <c r="Y80" s="130"/>
      <c r="Z80" s="130"/>
      <c r="AA80" s="130"/>
      <c r="AB80" s="244"/>
    </row>
    <row r="81" spans="1:28" x14ac:dyDescent="0.15">
      <c r="A81" s="244"/>
      <c r="B81" s="244"/>
      <c r="C81" s="130"/>
      <c r="D81" s="131"/>
      <c r="E81" s="244"/>
      <c r="F81" s="244"/>
      <c r="G81" s="130"/>
      <c r="H81" s="130"/>
      <c r="I81" s="130"/>
      <c r="J81" s="130"/>
      <c r="K81" s="244"/>
      <c r="N81" s="130"/>
      <c r="Q81" s="132" t="str">
        <f t="shared" si="3"/>
        <v/>
      </c>
      <c r="T81" s="132" t="str">
        <f t="shared" si="4"/>
        <v/>
      </c>
      <c r="V81" s="132" t="str">
        <f t="shared" si="5"/>
        <v/>
      </c>
      <c r="W81" s="130"/>
      <c r="X81" s="130"/>
      <c r="Y81" s="130"/>
      <c r="Z81" s="130"/>
      <c r="AA81" s="130"/>
      <c r="AB81" s="244"/>
    </row>
    <row r="82" spans="1:28" x14ac:dyDescent="0.15">
      <c r="A82" s="244"/>
      <c r="B82" s="244"/>
      <c r="C82" s="130"/>
      <c r="D82" s="131"/>
      <c r="E82" s="244"/>
      <c r="F82" s="244"/>
      <c r="G82" s="130"/>
      <c r="H82" s="130"/>
      <c r="I82" s="130"/>
      <c r="J82" s="130"/>
      <c r="K82" s="244"/>
      <c r="N82" s="130"/>
      <c r="Q82" s="132" t="str">
        <f t="shared" si="3"/>
        <v/>
      </c>
      <c r="T82" s="132" t="str">
        <f t="shared" si="4"/>
        <v/>
      </c>
      <c r="V82" s="132" t="str">
        <f t="shared" si="5"/>
        <v/>
      </c>
      <c r="W82" s="130"/>
      <c r="X82" s="130"/>
      <c r="Y82" s="130"/>
      <c r="Z82" s="130"/>
      <c r="AA82" s="130"/>
      <c r="AB82" s="244"/>
    </row>
    <row r="83" spans="1:28" x14ac:dyDescent="0.15">
      <c r="A83" s="244"/>
      <c r="B83" s="244"/>
      <c r="C83" s="130"/>
      <c r="D83" s="131"/>
      <c r="E83" s="244"/>
      <c r="F83" s="244"/>
      <c r="G83" s="130"/>
      <c r="H83" s="130"/>
      <c r="I83" s="130"/>
      <c r="J83" s="130"/>
      <c r="K83" s="244"/>
      <c r="N83" s="130"/>
      <c r="Q83" s="132" t="str">
        <f t="shared" si="3"/>
        <v/>
      </c>
      <c r="T83" s="132" t="str">
        <f t="shared" si="4"/>
        <v/>
      </c>
      <c r="V83" s="132" t="str">
        <f t="shared" si="5"/>
        <v/>
      </c>
      <c r="W83" s="130"/>
      <c r="X83" s="130"/>
      <c r="Y83" s="130"/>
      <c r="Z83" s="130"/>
      <c r="AA83" s="130"/>
      <c r="AB83" s="244"/>
    </row>
    <row r="84" spans="1:28" x14ac:dyDescent="0.15">
      <c r="A84" s="244"/>
      <c r="B84" s="244"/>
      <c r="C84" s="130"/>
      <c r="D84" s="131"/>
      <c r="E84" s="244"/>
      <c r="F84" s="244"/>
      <c r="G84" s="130"/>
      <c r="H84" s="130"/>
      <c r="I84" s="130"/>
      <c r="J84" s="130"/>
      <c r="K84" s="244"/>
      <c r="N84" s="130"/>
      <c r="Q84" s="132" t="str">
        <f t="shared" si="3"/>
        <v/>
      </c>
      <c r="T84" s="132" t="str">
        <f t="shared" si="4"/>
        <v/>
      </c>
      <c r="V84" s="132" t="str">
        <f t="shared" si="5"/>
        <v/>
      </c>
      <c r="W84" s="130"/>
      <c r="X84" s="130"/>
      <c r="Y84" s="130"/>
      <c r="Z84" s="130"/>
      <c r="AA84" s="130"/>
      <c r="AB84" s="244"/>
    </row>
    <row r="85" spans="1:28" x14ac:dyDescent="0.15">
      <c r="A85" s="244"/>
      <c r="B85" s="244"/>
      <c r="C85" s="130"/>
      <c r="D85" s="131"/>
      <c r="E85" s="244"/>
      <c r="F85" s="244"/>
      <c r="G85" s="130"/>
      <c r="H85" s="130"/>
      <c r="I85" s="130"/>
      <c r="J85" s="130"/>
      <c r="K85" s="244"/>
      <c r="N85" s="130"/>
      <c r="Q85" s="132" t="str">
        <f t="shared" si="3"/>
        <v/>
      </c>
      <c r="T85" s="132" t="str">
        <f t="shared" si="4"/>
        <v/>
      </c>
      <c r="V85" s="132" t="str">
        <f t="shared" si="5"/>
        <v/>
      </c>
      <c r="W85" s="130"/>
      <c r="X85" s="130"/>
      <c r="Y85" s="130"/>
      <c r="Z85" s="130"/>
      <c r="AA85" s="130"/>
      <c r="AB85" s="244"/>
    </row>
    <row r="86" spans="1:28" x14ac:dyDescent="0.15">
      <c r="A86" s="244"/>
      <c r="B86" s="244"/>
      <c r="C86" s="130"/>
      <c r="D86" s="131"/>
      <c r="E86" s="244"/>
      <c r="F86" s="244"/>
      <c r="G86" s="130"/>
      <c r="H86" s="130"/>
      <c r="I86" s="130"/>
      <c r="J86" s="130"/>
      <c r="K86" s="244"/>
      <c r="N86" s="130"/>
      <c r="W86" s="130"/>
      <c r="X86" s="130"/>
      <c r="Y86" s="130"/>
      <c r="Z86" s="130"/>
      <c r="AA86" s="130"/>
      <c r="AB86" s="244"/>
    </row>
    <row r="87" spans="1:28" x14ac:dyDescent="0.15">
      <c r="A87" s="244"/>
      <c r="B87" s="244"/>
      <c r="C87" s="130"/>
      <c r="D87" s="131"/>
      <c r="E87" s="244"/>
      <c r="F87" s="244"/>
      <c r="G87" s="130"/>
      <c r="H87" s="130"/>
      <c r="I87" s="130"/>
      <c r="J87" s="130"/>
      <c r="K87" s="244"/>
      <c r="N87" s="130"/>
      <c r="W87" s="130"/>
      <c r="X87" s="130"/>
      <c r="Y87" s="130"/>
      <c r="Z87" s="130"/>
      <c r="AA87" s="130"/>
      <c r="AB87" s="244"/>
    </row>
    <row r="88" spans="1:28" x14ac:dyDescent="0.15">
      <c r="A88" s="244"/>
      <c r="B88" s="244"/>
      <c r="C88" s="130"/>
      <c r="D88" s="131"/>
      <c r="E88" s="244"/>
      <c r="F88" s="244"/>
      <c r="G88" s="130"/>
      <c r="H88" s="130"/>
      <c r="I88" s="130"/>
      <c r="J88" s="130"/>
      <c r="K88" s="244"/>
      <c r="N88" s="130"/>
      <c r="W88" s="130"/>
      <c r="X88" s="130"/>
      <c r="Y88" s="130"/>
      <c r="Z88" s="130"/>
      <c r="AA88" s="130"/>
      <c r="AB88" s="244"/>
    </row>
    <row r="89" spans="1:28" x14ac:dyDescent="0.15">
      <c r="A89" s="244"/>
      <c r="B89" s="244"/>
      <c r="C89" s="130"/>
      <c r="D89" s="131"/>
      <c r="E89" s="244"/>
      <c r="F89" s="244"/>
      <c r="G89" s="130"/>
      <c r="H89" s="130"/>
      <c r="I89" s="130"/>
      <c r="J89" s="130"/>
      <c r="K89" s="244"/>
      <c r="N89" s="130"/>
      <c r="W89" s="130"/>
      <c r="X89" s="130"/>
      <c r="Y89" s="130"/>
      <c r="Z89" s="130"/>
      <c r="AA89" s="130"/>
      <c r="AB89" s="244"/>
    </row>
    <row r="90" spans="1:28" x14ac:dyDescent="0.15">
      <c r="A90" s="244"/>
      <c r="B90" s="244"/>
      <c r="C90" s="130"/>
      <c r="D90" s="131"/>
      <c r="E90" s="244"/>
      <c r="F90" s="244"/>
      <c r="G90" s="130"/>
      <c r="H90" s="130"/>
      <c r="I90" s="130"/>
      <c r="J90" s="130"/>
      <c r="K90" s="130"/>
      <c r="N90" s="130"/>
      <c r="W90" s="130"/>
      <c r="X90" s="130"/>
      <c r="Y90" s="130"/>
      <c r="Z90" s="130"/>
      <c r="AA90" s="130"/>
      <c r="AB90" s="244"/>
    </row>
    <row r="91" spans="1:28" x14ac:dyDescent="0.15">
      <c r="A91" s="244"/>
      <c r="B91" s="244"/>
      <c r="C91" s="130"/>
      <c r="D91" s="131"/>
      <c r="E91" s="244"/>
      <c r="F91" s="244"/>
      <c r="G91" s="130"/>
      <c r="H91" s="130"/>
      <c r="I91" s="130"/>
      <c r="J91" s="130"/>
      <c r="K91" s="130"/>
      <c r="N91" s="130"/>
      <c r="W91" s="130"/>
      <c r="X91" s="130"/>
      <c r="Y91" s="130"/>
      <c r="Z91" s="130"/>
      <c r="AA91" s="130"/>
      <c r="AB91" s="244"/>
    </row>
    <row r="92" spans="1:28" x14ac:dyDescent="0.15">
      <c r="E92" s="244"/>
      <c r="F92" s="244"/>
    </row>
    <row r="93" spans="1:28" x14ac:dyDescent="0.15">
      <c r="E93" s="244"/>
      <c r="F93" s="244"/>
    </row>
    <row r="94" spans="1:28" x14ac:dyDescent="0.15">
      <c r="E94" s="244"/>
      <c r="F94" s="244"/>
    </row>
    <row r="95" spans="1:28" x14ac:dyDescent="0.15">
      <c r="E95" s="244"/>
      <c r="F95" s="244"/>
    </row>
    <row r="96" spans="1:28" x14ac:dyDescent="0.15">
      <c r="E96" s="244"/>
      <c r="F96" s="244"/>
    </row>
    <row r="97" spans="5:6" x14ac:dyDescent="0.15">
      <c r="E97" s="244"/>
      <c r="F97" s="244"/>
    </row>
    <row r="98" spans="5:6" x14ac:dyDescent="0.15">
      <c r="E98" s="244"/>
      <c r="F98" s="244"/>
    </row>
    <row r="99" spans="5:6" x14ac:dyDescent="0.15">
      <c r="E99" s="244"/>
      <c r="F99" s="244"/>
    </row>
    <row r="100" spans="5:6" x14ac:dyDescent="0.15">
      <c r="E100" s="244"/>
      <c r="F100" s="244"/>
    </row>
    <row r="101" spans="5:6" x14ac:dyDescent="0.15">
      <c r="E101" s="244"/>
      <c r="F101" s="244"/>
    </row>
    <row r="102" spans="5:6" x14ac:dyDescent="0.15">
      <c r="E102" s="244"/>
      <c r="F102" s="244"/>
    </row>
    <row r="103" spans="5:6" x14ac:dyDescent="0.15">
      <c r="E103" s="244"/>
      <c r="F103" s="244"/>
    </row>
    <row r="104" spans="5:6" x14ac:dyDescent="0.15">
      <c r="E104" s="244"/>
      <c r="F104" s="244"/>
    </row>
    <row r="105" spans="5:6" x14ac:dyDescent="0.15">
      <c r="E105" s="244"/>
      <c r="F105" s="244"/>
    </row>
    <row r="106" spans="5:6" x14ac:dyDescent="0.15">
      <c r="E106" s="244"/>
      <c r="F106" s="244"/>
    </row>
    <row r="107" spans="5:6" x14ac:dyDescent="0.15">
      <c r="E107" s="244"/>
      <c r="F107" s="244"/>
    </row>
    <row r="108" spans="5:6" x14ac:dyDescent="0.15">
      <c r="E108" s="244"/>
      <c r="F108" s="244"/>
    </row>
    <row r="109" spans="5:6" x14ac:dyDescent="0.15">
      <c r="E109" s="244"/>
      <c r="F109" s="244"/>
    </row>
    <row r="110" spans="5:6" x14ac:dyDescent="0.15">
      <c r="E110" s="244"/>
      <c r="F110" s="244"/>
    </row>
    <row r="111" spans="5:6" x14ac:dyDescent="0.15">
      <c r="E111" s="244"/>
      <c r="F111" s="244"/>
    </row>
    <row r="112" spans="5:6" x14ac:dyDescent="0.15">
      <c r="E112" s="244"/>
      <c r="F112" s="244"/>
    </row>
    <row r="113" spans="5:6" x14ac:dyDescent="0.15">
      <c r="E113" s="244"/>
      <c r="F113" s="244"/>
    </row>
    <row r="114" spans="5:6" x14ac:dyDescent="0.15">
      <c r="E114" s="244"/>
      <c r="F114" s="244"/>
    </row>
    <row r="115" spans="5:6" x14ac:dyDescent="0.15">
      <c r="E115" s="244"/>
      <c r="F115" s="244"/>
    </row>
    <row r="116" spans="5:6" x14ac:dyDescent="0.15">
      <c r="E116" s="244"/>
      <c r="F116" s="244"/>
    </row>
    <row r="117" spans="5:6" x14ac:dyDescent="0.15">
      <c r="E117" s="244"/>
      <c r="F117" s="244"/>
    </row>
    <row r="118" spans="5:6" x14ac:dyDescent="0.15">
      <c r="E118" s="244"/>
      <c r="F118" s="244"/>
    </row>
    <row r="119" spans="5:6" x14ac:dyDescent="0.15">
      <c r="E119" s="244"/>
      <c r="F119" s="244"/>
    </row>
    <row r="120" spans="5:6" x14ac:dyDescent="0.15">
      <c r="E120" s="244"/>
      <c r="F120" s="244"/>
    </row>
    <row r="121" spans="5:6" x14ac:dyDescent="0.15">
      <c r="E121" s="244"/>
      <c r="F121" s="244"/>
    </row>
    <row r="122" spans="5:6" x14ac:dyDescent="0.15">
      <c r="E122" s="244"/>
      <c r="F122" s="244"/>
    </row>
    <row r="123" spans="5:6" x14ac:dyDescent="0.15">
      <c r="E123" s="244"/>
      <c r="F123" s="244"/>
    </row>
    <row r="124" spans="5:6" x14ac:dyDescent="0.15">
      <c r="E124" s="244"/>
      <c r="F124" s="244"/>
    </row>
    <row r="125" spans="5:6" x14ac:dyDescent="0.15">
      <c r="E125" s="244"/>
      <c r="F125" s="244"/>
    </row>
    <row r="126" spans="5:6" x14ac:dyDescent="0.15">
      <c r="E126" s="244"/>
      <c r="F126" s="244"/>
    </row>
    <row r="127" spans="5:6" x14ac:dyDescent="0.15">
      <c r="E127" s="244"/>
      <c r="F127" s="244"/>
    </row>
    <row r="128" spans="5:6" x14ac:dyDescent="0.15">
      <c r="E128" s="244"/>
      <c r="F128" s="244"/>
    </row>
    <row r="129" spans="5:6" x14ac:dyDescent="0.15">
      <c r="E129" s="244"/>
      <c r="F129" s="244"/>
    </row>
    <row r="130" spans="5:6" x14ac:dyDescent="0.15">
      <c r="E130" s="244"/>
      <c r="F130" s="244"/>
    </row>
    <row r="131" spans="5:6" x14ac:dyDescent="0.15">
      <c r="E131" s="244"/>
      <c r="F131" s="244"/>
    </row>
    <row r="132" spans="5:6" x14ac:dyDescent="0.15">
      <c r="E132" s="244"/>
      <c r="F132" s="244"/>
    </row>
    <row r="133" spans="5:6" x14ac:dyDescent="0.15">
      <c r="E133" s="244"/>
      <c r="F133" s="244"/>
    </row>
    <row r="134" spans="5:6" x14ac:dyDescent="0.15">
      <c r="E134" s="244"/>
      <c r="F134" s="244"/>
    </row>
    <row r="135" spans="5:6" x14ac:dyDescent="0.15">
      <c r="E135" s="244"/>
      <c r="F135" s="244"/>
    </row>
    <row r="136" spans="5:6" x14ac:dyDescent="0.15">
      <c r="E136" s="244"/>
      <c r="F136" s="244"/>
    </row>
    <row r="137" spans="5:6" x14ac:dyDescent="0.15">
      <c r="E137" s="244"/>
      <c r="F137" s="244"/>
    </row>
    <row r="138" spans="5:6" x14ac:dyDescent="0.15">
      <c r="E138" s="244"/>
      <c r="F138" s="244"/>
    </row>
    <row r="139" spans="5:6" x14ac:dyDescent="0.15">
      <c r="E139" s="244"/>
      <c r="F139" s="244"/>
    </row>
    <row r="140" spans="5:6" x14ac:dyDescent="0.15">
      <c r="E140" s="244"/>
      <c r="F140" s="244"/>
    </row>
    <row r="141" spans="5:6" x14ac:dyDescent="0.15">
      <c r="E141" s="244"/>
      <c r="F141" s="244"/>
    </row>
    <row r="142" spans="5:6" x14ac:dyDescent="0.15">
      <c r="E142" s="244"/>
      <c r="F142" s="244"/>
    </row>
    <row r="143" spans="5:6" x14ac:dyDescent="0.15">
      <c r="E143" s="244"/>
      <c r="F143" s="244"/>
    </row>
    <row r="144" spans="5:6" x14ac:dyDescent="0.15">
      <c r="E144" s="244"/>
      <c r="F144" s="244"/>
    </row>
    <row r="145" spans="5:6" x14ac:dyDescent="0.15">
      <c r="E145" s="244"/>
      <c r="F145" s="244"/>
    </row>
    <row r="146" spans="5:6" x14ac:dyDescent="0.15">
      <c r="E146" s="244"/>
      <c r="F146" s="244"/>
    </row>
    <row r="147" spans="5:6" x14ac:dyDescent="0.15">
      <c r="E147" s="244"/>
      <c r="F147" s="244"/>
    </row>
    <row r="148" spans="5:6" x14ac:dyDescent="0.15">
      <c r="E148" s="244"/>
      <c r="F148" s="244"/>
    </row>
    <row r="149" spans="5:6" x14ac:dyDescent="0.15">
      <c r="E149" s="244"/>
      <c r="F149" s="244"/>
    </row>
    <row r="150" spans="5:6" x14ac:dyDescent="0.15">
      <c r="E150" s="244"/>
      <c r="F150" s="244"/>
    </row>
    <row r="151" spans="5:6" x14ac:dyDescent="0.15">
      <c r="E151" s="244"/>
      <c r="F151" s="244"/>
    </row>
    <row r="152" spans="5:6" x14ac:dyDescent="0.15">
      <c r="E152" s="244"/>
      <c r="F152" s="244"/>
    </row>
    <row r="153" spans="5:6" x14ac:dyDescent="0.15">
      <c r="E153" s="244"/>
      <c r="F153" s="244"/>
    </row>
    <row r="154" spans="5:6" x14ac:dyDescent="0.15">
      <c r="E154" s="244"/>
      <c r="F154" s="244"/>
    </row>
    <row r="155" spans="5:6" x14ac:dyDescent="0.15">
      <c r="E155" s="244"/>
      <c r="F155" s="244"/>
    </row>
    <row r="156" spans="5:6" x14ac:dyDescent="0.15">
      <c r="E156" s="244"/>
      <c r="F156" s="244"/>
    </row>
    <row r="157" spans="5:6" x14ac:dyDescent="0.15">
      <c r="E157" s="244"/>
      <c r="F157" s="244"/>
    </row>
    <row r="158" spans="5:6" x14ac:dyDescent="0.15">
      <c r="E158" s="244"/>
      <c r="F158" s="244"/>
    </row>
    <row r="159" spans="5:6" x14ac:dyDescent="0.15">
      <c r="E159" s="244"/>
      <c r="F159" s="244"/>
    </row>
    <row r="160" spans="5:6" x14ac:dyDescent="0.15">
      <c r="E160" s="244"/>
      <c r="F160" s="244"/>
    </row>
    <row r="161" spans="5:6" x14ac:dyDescent="0.15">
      <c r="E161" s="244"/>
      <c r="F161" s="244"/>
    </row>
    <row r="162" spans="5:6" x14ac:dyDescent="0.15">
      <c r="E162" s="244"/>
      <c r="F162" s="244"/>
    </row>
    <row r="163" spans="5:6" x14ac:dyDescent="0.15">
      <c r="E163" s="244"/>
      <c r="F163" s="244"/>
    </row>
    <row r="164" spans="5:6" x14ac:dyDescent="0.15">
      <c r="E164" s="244"/>
      <c r="F164" s="244"/>
    </row>
    <row r="165" spans="5:6" x14ac:dyDescent="0.15">
      <c r="E165" s="244"/>
      <c r="F165" s="244"/>
    </row>
    <row r="166" spans="5:6" x14ac:dyDescent="0.15">
      <c r="E166" s="244"/>
      <c r="F166" s="244"/>
    </row>
    <row r="167" spans="5:6" x14ac:dyDescent="0.15">
      <c r="E167" s="244"/>
      <c r="F167" s="244"/>
    </row>
    <row r="168" spans="5:6" x14ac:dyDescent="0.15">
      <c r="E168" s="244"/>
      <c r="F168" s="244"/>
    </row>
    <row r="169" spans="5:6" x14ac:dyDescent="0.15">
      <c r="E169" s="244"/>
      <c r="F169" s="244"/>
    </row>
    <row r="170" spans="5:6" x14ac:dyDescent="0.15">
      <c r="E170" s="244"/>
      <c r="F170" s="244"/>
    </row>
    <row r="171" spans="5:6" x14ac:dyDescent="0.15">
      <c r="E171" s="244"/>
      <c r="F171" s="244"/>
    </row>
    <row r="172" spans="5:6" x14ac:dyDescent="0.15">
      <c r="E172" s="244"/>
      <c r="F172" s="244"/>
    </row>
    <row r="173" spans="5:6" x14ac:dyDescent="0.15">
      <c r="E173" s="244"/>
      <c r="F173" s="244"/>
    </row>
    <row r="174" spans="5:6" x14ac:dyDescent="0.15">
      <c r="E174" s="244"/>
      <c r="F174" s="244"/>
    </row>
    <row r="175" spans="5:6" x14ac:dyDescent="0.15">
      <c r="E175" s="244"/>
      <c r="F175" s="244"/>
    </row>
    <row r="176" spans="5:6" x14ac:dyDescent="0.15">
      <c r="E176" s="244"/>
      <c r="F176" s="244"/>
    </row>
    <row r="177" spans="5:6" x14ac:dyDescent="0.15">
      <c r="E177" s="244"/>
      <c r="F177" s="244"/>
    </row>
    <row r="178" spans="5:6" x14ac:dyDescent="0.15">
      <c r="E178" s="244"/>
      <c r="F178" s="244"/>
    </row>
    <row r="179" spans="5:6" x14ac:dyDescent="0.15">
      <c r="E179" s="244"/>
      <c r="F179" s="244"/>
    </row>
    <row r="180" spans="5:6" x14ac:dyDescent="0.15">
      <c r="E180" s="244"/>
      <c r="F180" s="244"/>
    </row>
    <row r="181" spans="5:6" x14ac:dyDescent="0.15">
      <c r="E181" s="244"/>
      <c r="F181" s="244"/>
    </row>
    <row r="182" spans="5:6" x14ac:dyDescent="0.15">
      <c r="E182" s="244"/>
      <c r="F182" s="244"/>
    </row>
    <row r="183" spans="5:6" x14ac:dyDescent="0.15">
      <c r="E183" s="244"/>
      <c r="F183" s="244"/>
    </row>
    <row r="184" spans="5:6" x14ac:dyDescent="0.15">
      <c r="E184" s="244"/>
      <c r="F184" s="244"/>
    </row>
    <row r="185" spans="5:6" x14ac:dyDescent="0.15">
      <c r="E185" s="244"/>
      <c r="F185" s="244"/>
    </row>
    <row r="186" spans="5:6" x14ac:dyDescent="0.15">
      <c r="E186" s="244"/>
      <c r="F186" s="244"/>
    </row>
    <row r="187" spans="5:6" x14ac:dyDescent="0.15">
      <c r="E187" s="244"/>
      <c r="F187" s="244"/>
    </row>
    <row r="188" spans="5:6" x14ac:dyDescent="0.15">
      <c r="E188" s="244"/>
      <c r="F188" s="244"/>
    </row>
    <row r="189" spans="5:6" x14ac:dyDescent="0.15">
      <c r="E189" s="244"/>
      <c r="F189" s="244"/>
    </row>
    <row r="190" spans="5:6" x14ac:dyDescent="0.15">
      <c r="E190" s="244"/>
      <c r="F190" s="244"/>
    </row>
    <row r="191" spans="5:6" x14ac:dyDescent="0.15">
      <c r="E191" s="244"/>
      <c r="F191" s="244"/>
    </row>
    <row r="192" spans="5:6" x14ac:dyDescent="0.15">
      <c r="E192" s="244"/>
      <c r="F192" s="244"/>
    </row>
    <row r="193" spans="5:6" x14ac:dyDescent="0.15">
      <c r="E193" s="244"/>
      <c r="F193" s="244"/>
    </row>
    <row r="194" spans="5:6" x14ac:dyDescent="0.15">
      <c r="E194" s="244"/>
      <c r="F194" s="244"/>
    </row>
    <row r="195" spans="5:6" x14ac:dyDescent="0.15">
      <c r="E195" s="244"/>
      <c r="F195" s="244"/>
    </row>
    <row r="196" spans="5:6" x14ac:dyDescent="0.15">
      <c r="E196" s="244"/>
      <c r="F196" s="244"/>
    </row>
    <row r="197" spans="5:6" x14ac:dyDescent="0.15">
      <c r="E197" s="244"/>
      <c r="F197" s="244"/>
    </row>
    <row r="198" spans="5:6" x14ac:dyDescent="0.15">
      <c r="E198" s="244"/>
      <c r="F198" s="244"/>
    </row>
    <row r="199" spans="5:6" x14ac:dyDescent="0.15">
      <c r="E199" s="244"/>
      <c r="F199" s="244"/>
    </row>
    <row r="200" spans="5:6" x14ac:dyDescent="0.15">
      <c r="E200" s="244"/>
      <c r="F200" s="244"/>
    </row>
    <row r="201" spans="5:6" x14ac:dyDescent="0.15">
      <c r="E201" s="244"/>
      <c r="F201" s="244"/>
    </row>
    <row r="202" spans="5:6" x14ac:dyDescent="0.15">
      <c r="E202" s="244"/>
      <c r="F202" s="244"/>
    </row>
    <row r="203" spans="5:6" x14ac:dyDescent="0.15">
      <c r="E203" s="244"/>
      <c r="F203" s="244"/>
    </row>
    <row r="204" spans="5:6" x14ac:dyDescent="0.15">
      <c r="E204" s="244"/>
      <c r="F204" s="244"/>
    </row>
    <row r="205" spans="5:6" x14ac:dyDescent="0.15">
      <c r="E205" s="244"/>
      <c r="F205" s="244"/>
    </row>
    <row r="206" spans="5:6" x14ac:dyDescent="0.15">
      <c r="E206" s="244"/>
      <c r="F206" s="244"/>
    </row>
    <row r="207" spans="5:6" x14ac:dyDescent="0.15">
      <c r="E207" s="244"/>
      <c r="F207" s="244"/>
    </row>
    <row r="208" spans="5:6" x14ac:dyDescent="0.15">
      <c r="E208" s="244"/>
      <c r="F208" s="244"/>
    </row>
    <row r="209" spans="5:6" x14ac:dyDescent="0.15">
      <c r="E209" s="244"/>
      <c r="F209" s="244"/>
    </row>
    <row r="210" spans="5:6" x14ac:dyDescent="0.15">
      <c r="E210" s="244"/>
      <c r="F210" s="244"/>
    </row>
    <row r="211" spans="5:6" x14ac:dyDescent="0.15">
      <c r="E211" s="244"/>
      <c r="F211" s="244"/>
    </row>
    <row r="212" spans="5:6" x14ac:dyDescent="0.15">
      <c r="E212" s="244"/>
      <c r="F212" s="244"/>
    </row>
    <row r="213" spans="5:6" x14ac:dyDescent="0.15">
      <c r="E213" s="244"/>
      <c r="F213" s="244"/>
    </row>
    <row r="214" spans="5:6" x14ac:dyDescent="0.15">
      <c r="E214" s="244"/>
      <c r="F214" s="244"/>
    </row>
    <row r="215" spans="5:6" x14ac:dyDescent="0.15">
      <c r="E215" s="244"/>
      <c r="F215" s="244"/>
    </row>
    <row r="216" spans="5:6" x14ac:dyDescent="0.15">
      <c r="E216" s="244"/>
      <c r="F216" s="244"/>
    </row>
    <row r="217" spans="5:6" x14ac:dyDescent="0.15">
      <c r="E217" s="244"/>
      <c r="F217" s="244"/>
    </row>
    <row r="218" spans="5:6" x14ac:dyDescent="0.15">
      <c r="E218" s="244"/>
      <c r="F218" s="244"/>
    </row>
    <row r="219" spans="5:6" x14ac:dyDescent="0.15">
      <c r="E219" s="244"/>
      <c r="F219" s="244"/>
    </row>
    <row r="220" spans="5:6" x14ac:dyDescent="0.15">
      <c r="E220" s="244"/>
      <c r="F220" s="244"/>
    </row>
    <row r="221" spans="5:6" x14ac:dyDescent="0.15">
      <c r="E221" s="244"/>
      <c r="F221" s="244"/>
    </row>
    <row r="222" spans="5:6" x14ac:dyDescent="0.15">
      <c r="E222" s="244"/>
      <c r="F222" s="244"/>
    </row>
    <row r="223" spans="5:6" x14ac:dyDescent="0.15">
      <c r="E223" s="244"/>
      <c r="F223" s="244"/>
    </row>
    <row r="224" spans="5:6" x14ac:dyDescent="0.15">
      <c r="E224" s="244"/>
      <c r="F224" s="244"/>
    </row>
    <row r="225" spans="5:6" x14ac:dyDescent="0.15">
      <c r="E225" s="244"/>
      <c r="F225" s="244"/>
    </row>
    <row r="226" spans="5:6" x14ac:dyDescent="0.15">
      <c r="E226" s="244"/>
      <c r="F226" s="244"/>
    </row>
    <row r="227" spans="5:6" x14ac:dyDescent="0.15">
      <c r="E227" s="244"/>
      <c r="F227" s="244"/>
    </row>
    <row r="228" spans="5:6" x14ac:dyDescent="0.15">
      <c r="E228" s="244"/>
      <c r="F228" s="244"/>
    </row>
    <row r="229" spans="5:6" x14ac:dyDescent="0.15">
      <c r="E229" s="244"/>
      <c r="F229" s="244"/>
    </row>
    <row r="230" spans="5:6" x14ac:dyDescent="0.15">
      <c r="E230" s="244"/>
      <c r="F230" s="244"/>
    </row>
    <row r="231" spans="5:6" x14ac:dyDescent="0.15">
      <c r="E231" s="244"/>
      <c r="F231" s="244"/>
    </row>
    <row r="232" spans="5:6" x14ac:dyDescent="0.15">
      <c r="E232" s="244"/>
      <c r="F232" s="244"/>
    </row>
    <row r="233" spans="5:6" x14ac:dyDescent="0.15">
      <c r="E233" s="244"/>
      <c r="F233" s="244"/>
    </row>
    <row r="234" spans="5:6" x14ac:dyDescent="0.15">
      <c r="E234" s="244"/>
      <c r="F234" s="244"/>
    </row>
    <row r="235" spans="5:6" x14ac:dyDescent="0.15">
      <c r="E235" s="244"/>
      <c r="F235" s="244"/>
    </row>
    <row r="236" spans="5:6" x14ac:dyDescent="0.15">
      <c r="E236" s="244"/>
      <c r="F236" s="244"/>
    </row>
    <row r="237" spans="5:6" x14ac:dyDescent="0.15">
      <c r="E237" s="244"/>
      <c r="F237" s="244"/>
    </row>
    <row r="238" spans="5:6" x14ac:dyDescent="0.15">
      <c r="E238" s="244"/>
      <c r="F238" s="244"/>
    </row>
    <row r="239" spans="5:6" x14ac:dyDescent="0.15">
      <c r="E239" s="244"/>
      <c r="F239" s="244"/>
    </row>
    <row r="240" spans="5:6" x14ac:dyDescent="0.15">
      <c r="E240" s="244"/>
      <c r="F240" s="244"/>
    </row>
    <row r="241" spans="5:6" x14ac:dyDescent="0.15">
      <c r="E241" s="244"/>
      <c r="F241" s="244"/>
    </row>
    <row r="242" spans="5:6" x14ac:dyDescent="0.15">
      <c r="E242" s="244"/>
      <c r="F242" s="244"/>
    </row>
    <row r="243" spans="5:6" x14ac:dyDescent="0.15">
      <c r="E243" s="244"/>
      <c r="F243" s="244"/>
    </row>
    <row r="244" spans="5:6" x14ac:dyDescent="0.15">
      <c r="E244" s="244"/>
      <c r="F244" s="244"/>
    </row>
    <row r="245" spans="5:6" x14ac:dyDescent="0.15">
      <c r="E245" s="244"/>
      <c r="F245" s="244"/>
    </row>
    <row r="246" spans="5:6" x14ac:dyDescent="0.15">
      <c r="E246" s="244"/>
      <c r="F246" s="244"/>
    </row>
    <row r="247" spans="5:6" x14ac:dyDescent="0.15">
      <c r="E247" s="244"/>
      <c r="F247" s="244"/>
    </row>
    <row r="248" spans="5:6" x14ac:dyDescent="0.15">
      <c r="E248" s="244"/>
      <c r="F248" s="244"/>
    </row>
    <row r="249" spans="5:6" x14ac:dyDescent="0.15">
      <c r="E249" s="244"/>
      <c r="F249" s="244"/>
    </row>
    <row r="250" spans="5:6" x14ac:dyDescent="0.15">
      <c r="E250" s="244"/>
      <c r="F250" s="244"/>
    </row>
    <row r="251" spans="5:6" x14ac:dyDescent="0.15">
      <c r="E251" s="244"/>
      <c r="F251" s="244"/>
    </row>
    <row r="252" spans="5:6" x14ac:dyDescent="0.15">
      <c r="E252" s="244"/>
      <c r="F252" s="244"/>
    </row>
    <row r="253" spans="5:6" x14ac:dyDescent="0.15">
      <c r="E253" s="244"/>
      <c r="F253" s="244"/>
    </row>
    <row r="254" spans="5:6" x14ac:dyDescent="0.15">
      <c r="E254" s="244"/>
      <c r="F254" s="244"/>
    </row>
    <row r="255" spans="5:6" x14ac:dyDescent="0.15">
      <c r="E255" s="244"/>
      <c r="F255" s="244"/>
    </row>
    <row r="256" spans="5:6" x14ac:dyDescent="0.15">
      <c r="E256" s="244"/>
      <c r="F256" s="244"/>
    </row>
    <row r="257" spans="5:6" x14ac:dyDescent="0.15">
      <c r="E257" s="244"/>
      <c r="F257" s="244"/>
    </row>
    <row r="258" spans="5:6" x14ac:dyDescent="0.15">
      <c r="E258" s="244"/>
      <c r="F258" s="244"/>
    </row>
    <row r="259" spans="5:6" x14ac:dyDescent="0.15">
      <c r="E259" s="244"/>
      <c r="F259" s="244"/>
    </row>
    <row r="260" spans="5:6" x14ac:dyDescent="0.15">
      <c r="E260" s="244"/>
      <c r="F260" s="244"/>
    </row>
    <row r="261" spans="5:6" x14ac:dyDescent="0.15">
      <c r="E261" s="244"/>
      <c r="F261" s="244"/>
    </row>
    <row r="262" spans="5:6" x14ac:dyDescent="0.15">
      <c r="E262" s="244"/>
      <c r="F262" s="244"/>
    </row>
    <row r="263" spans="5:6" x14ac:dyDescent="0.15">
      <c r="E263" s="244"/>
      <c r="F263" s="244"/>
    </row>
    <row r="264" spans="5:6" x14ac:dyDescent="0.15">
      <c r="E264" s="244"/>
      <c r="F264" s="244"/>
    </row>
    <row r="265" spans="5:6" x14ac:dyDescent="0.15">
      <c r="E265" s="244"/>
      <c r="F265" s="244"/>
    </row>
    <row r="266" spans="5:6" x14ac:dyDescent="0.15">
      <c r="E266" s="244"/>
      <c r="F266" s="244"/>
    </row>
    <row r="267" spans="5:6" x14ac:dyDescent="0.15">
      <c r="E267" s="244"/>
      <c r="F267" s="244"/>
    </row>
    <row r="268" spans="5:6" x14ac:dyDescent="0.15">
      <c r="E268" s="244"/>
      <c r="F268" s="244"/>
    </row>
    <row r="269" spans="5:6" x14ac:dyDescent="0.15">
      <c r="E269" s="244"/>
      <c r="F269" s="244"/>
    </row>
    <row r="270" spans="5:6" x14ac:dyDescent="0.15">
      <c r="E270" s="244"/>
      <c r="F270" s="244"/>
    </row>
    <row r="271" spans="5:6" x14ac:dyDescent="0.15">
      <c r="E271" s="244"/>
      <c r="F271" s="244"/>
    </row>
    <row r="272" spans="5:6" x14ac:dyDescent="0.15">
      <c r="E272" s="244"/>
      <c r="F272" s="244"/>
    </row>
    <row r="273" spans="5:6" x14ac:dyDescent="0.15">
      <c r="E273" s="244"/>
      <c r="F273" s="244"/>
    </row>
    <row r="274" spans="5:6" x14ac:dyDescent="0.15">
      <c r="E274" s="244"/>
      <c r="F274" s="244"/>
    </row>
    <row r="275" spans="5:6" x14ac:dyDescent="0.15">
      <c r="E275" s="244"/>
      <c r="F275" s="244"/>
    </row>
    <row r="276" spans="5:6" x14ac:dyDescent="0.15">
      <c r="E276" s="244"/>
      <c r="F276" s="244"/>
    </row>
    <row r="277" spans="5:6" x14ac:dyDescent="0.15">
      <c r="E277" s="244"/>
      <c r="F277" s="244"/>
    </row>
    <row r="278" spans="5:6" x14ac:dyDescent="0.15">
      <c r="E278" s="244"/>
      <c r="F278" s="244"/>
    </row>
    <row r="279" spans="5:6" x14ac:dyDescent="0.15">
      <c r="E279" s="244"/>
      <c r="F279" s="244"/>
    </row>
    <row r="280" spans="5:6" x14ac:dyDescent="0.15">
      <c r="E280" s="244"/>
      <c r="F280" s="244"/>
    </row>
    <row r="281" spans="5:6" x14ac:dyDescent="0.15">
      <c r="E281" s="244"/>
      <c r="F281" s="244"/>
    </row>
    <row r="282" spans="5:6" x14ac:dyDescent="0.15">
      <c r="E282" s="244"/>
      <c r="F282" s="244"/>
    </row>
    <row r="283" spans="5:6" x14ac:dyDescent="0.15">
      <c r="E283" s="244"/>
      <c r="F283" s="244"/>
    </row>
    <row r="284" spans="5:6" x14ac:dyDescent="0.15">
      <c r="E284" s="244"/>
      <c r="F284" s="244"/>
    </row>
    <row r="285" spans="5:6" x14ac:dyDescent="0.15">
      <c r="E285" s="244"/>
      <c r="F285" s="244"/>
    </row>
    <row r="286" spans="5:6" x14ac:dyDescent="0.15">
      <c r="E286" s="244"/>
      <c r="F286" s="244"/>
    </row>
    <row r="287" spans="5:6" x14ac:dyDescent="0.15">
      <c r="E287" s="244"/>
      <c r="F287" s="244"/>
    </row>
    <row r="288" spans="5:6" x14ac:dyDescent="0.15">
      <c r="E288" s="244"/>
      <c r="F288" s="244"/>
    </row>
    <row r="289" spans="5:6" x14ac:dyDescent="0.15">
      <c r="E289" s="244"/>
      <c r="F289" s="244"/>
    </row>
    <row r="290" spans="5:6" x14ac:dyDescent="0.15">
      <c r="E290" s="244"/>
      <c r="F290" s="244"/>
    </row>
    <row r="291" spans="5:6" x14ac:dyDescent="0.15">
      <c r="E291" s="244"/>
      <c r="F291" s="244"/>
    </row>
    <row r="292" spans="5:6" x14ac:dyDescent="0.15">
      <c r="E292" s="244"/>
      <c r="F292" s="244"/>
    </row>
    <row r="293" spans="5:6" x14ac:dyDescent="0.15">
      <c r="E293" s="244"/>
      <c r="F293" s="244"/>
    </row>
    <row r="294" spans="5:6" x14ac:dyDescent="0.15">
      <c r="E294" s="244"/>
      <c r="F294" s="244"/>
    </row>
    <row r="295" spans="5:6" x14ac:dyDescent="0.15">
      <c r="E295" s="244"/>
      <c r="F295" s="244"/>
    </row>
    <row r="296" spans="5:6" x14ac:dyDescent="0.15">
      <c r="E296" s="244"/>
      <c r="F296" s="244"/>
    </row>
    <row r="297" spans="5:6" x14ac:dyDescent="0.15">
      <c r="E297" s="244"/>
      <c r="F297" s="244"/>
    </row>
    <row r="298" spans="5:6" x14ac:dyDescent="0.15">
      <c r="E298" s="244"/>
      <c r="F298" s="244"/>
    </row>
    <row r="299" spans="5:6" x14ac:dyDescent="0.15">
      <c r="E299" s="244"/>
      <c r="F299" s="244"/>
    </row>
    <row r="300" spans="5:6" x14ac:dyDescent="0.15">
      <c r="E300" s="244"/>
      <c r="F300" s="244"/>
    </row>
    <row r="301" spans="5:6" x14ac:dyDescent="0.15">
      <c r="E301" s="244"/>
      <c r="F301" s="244"/>
    </row>
    <row r="302" spans="5:6" x14ac:dyDescent="0.15">
      <c r="E302" s="244"/>
      <c r="F302" s="244"/>
    </row>
    <row r="303" spans="5:6" x14ac:dyDescent="0.15">
      <c r="E303" s="244"/>
      <c r="F303" s="244"/>
    </row>
    <row r="304" spans="5:6" x14ac:dyDescent="0.15">
      <c r="E304" s="244"/>
      <c r="F304" s="244"/>
    </row>
    <row r="305" spans="5:6" x14ac:dyDescent="0.15">
      <c r="E305" s="244"/>
      <c r="F305" s="244"/>
    </row>
    <row r="306" spans="5:6" x14ac:dyDescent="0.15">
      <c r="E306" s="244"/>
      <c r="F306" s="244"/>
    </row>
    <row r="307" spans="5:6" x14ac:dyDescent="0.15">
      <c r="E307" s="244"/>
      <c r="F307" s="244"/>
    </row>
    <row r="308" spans="5:6" x14ac:dyDescent="0.15">
      <c r="E308" s="244"/>
      <c r="F308" s="244"/>
    </row>
    <row r="309" spans="5:6" x14ac:dyDescent="0.15">
      <c r="E309" s="244"/>
      <c r="F309" s="244"/>
    </row>
    <row r="310" spans="5:6" x14ac:dyDescent="0.15">
      <c r="E310" s="244"/>
      <c r="F310" s="244"/>
    </row>
    <row r="311" spans="5:6" x14ac:dyDescent="0.15">
      <c r="E311" s="244"/>
      <c r="F311" s="244"/>
    </row>
    <row r="312" spans="5:6" x14ac:dyDescent="0.15">
      <c r="E312" s="244"/>
      <c r="F312" s="244"/>
    </row>
    <row r="313" spans="5:6" x14ac:dyDescent="0.15">
      <c r="E313" s="244"/>
      <c r="F313" s="244"/>
    </row>
    <row r="314" spans="5:6" x14ac:dyDescent="0.15">
      <c r="E314" s="244"/>
      <c r="F314" s="244"/>
    </row>
    <row r="315" spans="5:6" x14ac:dyDescent="0.15">
      <c r="E315" s="244"/>
      <c r="F315" s="244"/>
    </row>
    <row r="316" spans="5:6" x14ac:dyDescent="0.15">
      <c r="E316" s="244"/>
      <c r="F316" s="244"/>
    </row>
    <row r="317" spans="5:6" x14ac:dyDescent="0.15">
      <c r="E317" s="244"/>
      <c r="F317" s="244"/>
    </row>
    <row r="318" spans="5:6" x14ac:dyDescent="0.15">
      <c r="E318" s="244"/>
      <c r="F318" s="244"/>
    </row>
    <row r="319" spans="5:6" x14ac:dyDescent="0.15">
      <c r="E319" s="244"/>
      <c r="F319" s="244"/>
    </row>
    <row r="320" spans="5:6" x14ac:dyDescent="0.15">
      <c r="E320" s="244"/>
      <c r="F320" s="244"/>
    </row>
    <row r="321" spans="5:6" x14ac:dyDescent="0.15">
      <c r="E321" s="244"/>
      <c r="F321" s="244"/>
    </row>
    <row r="322" spans="5:6" x14ac:dyDescent="0.15">
      <c r="E322" s="244"/>
      <c r="F322" s="244"/>
    </row>
    <row r="323" spans="5:6" x14ac:dyDescent="0.15">
      <c r="E323" s="244"/>
      <c r="F323" s="244"/>
    </row>
    <row r="324" spans="5:6" x14ac:dyDescent="0.15">
      <c r="E324" s="244"/>
      <c r="F324" s="244"/>
    </row>
    <row r="325" spans="5:6" x14ac:dyDescent="0.15">
      <c r="E325" s="244"/>
      <c r="F325" s="244"/>
    </row>
    <row r="326" spans="5:6" x14ac:dyDescent="0.15">
      <c r="E326" s="244"/>
      <c r="F326" s="244"/>
    </row>
    <row r="327" spans="5:6" x14ac:dyDescent="0.15">
      <c r="E327" s="244"/>
      <c r="F327" s="244"/>
    </row>
    <row r="328" spans="5:6" x14ac:dyDescent="0.15">
      <c r="E328" s="244"/>
      <c r="F328" s="244"/>
    </row>
    <row r="329" spans="5:6" x14ac:dyDescent="0.15">
      <c r="E329" s="244"/>
      <c r="F329" s="244"/>
    </row>
    <row r="330" spans="5:6" x14ac:dyDescent="0.15">
      <c r="E330" s="244"/>
      <c r="F330" s="244"/>
    </row>
    <row r="331" spans="5:6" x14ac:dyDescent="0.15">
      <c r="E331" s="244"/>
      <c r="F331" s="244"/>
    </row>
    <row r="332" spans="5:6" x14ac:dyDescent="0.15">
      <c r="E332" s="244"/>
      <c r="F332" s="244"/>
    </row>
    <row r="333" spans="5:6" x14ac:dyDescent="0.15">
      <c r="E333" s="244"/>
      <c r="F333" s="244"/>
    </row>
    <row r="334" spans="5:6" x14ac:dyDescent="0.15">
      <c r="E334" s="244"/>
      <c r="F334" s="244"/>
    </row>
    <row r="335" spans="5:6" x14ac:dyDescent="0.15">
      <c r="E335" s="244"/>
      <c r="F335" s="244"/>
    </row>
    <row r="336" spans="5:6" x14ac:dyDescent="0.15">
      <c r="E336" s="244"/>
      <c r="F336" s="244"/>
    </row>
    <row r="337" spans="5:6" x14ac:dyDescent="0.15">
      <c r="E337" s="244"/>
      <c r="F337" s="244"/>
    </row>
    <row r="338" spans="5:6" x14ac:dyDescent="0.15">
      <c r="E338" s="244"/>
      <c r="F338" s="244"/>
    </row>
    <row r="339" spans="5:6" x14ac:dyDescent="0.15">
      <c r="E339" s="244"/>
      <c r="F339" s="244"/>
    </row>
    <row r="340" spans="5:6" x14ac:dyDescent="0.15">
      <c r="E340" s="244"/>
      <c r="F340" s="244"/>
    </row>
    <row r="341" spans="5:6" x14ac:dyDescent="0.15">
      <c r="E341" s="244"/>
      <c r="F341" s="244"/>
    </row>
    <row r="342" spans="5:6" x14ac:dyDescent="0.15">
      <c r="E342" s="244"/>
      <c r="F342" s="244"/>
    </row>
    <row r="343" spans="5:6" x14ac:dyDescent="0.15">
      <c r="E343" s="244"/>
      <c r="F343" s="244"/>
    </row>
    <row r="344" spans="5:6" x14ac:dyDescent="0.15">
      <c r="E344" s="244"/>
      <c r="F344" s="244"/>
    </row>
    <row r="345" spans="5:6" x14ac:dyDescent="0.15">
      <c r="E345" s="244"/>
      <c r="F345" s="244"/>
    </row>
    <row r="346" spans="5:6" x14ac:dyDescent="0.15">
      <c r="E346" s="244"/>
      <c r="F346" s="244"/>
    </row>
    <row r="347" spans="5:6" x14ac:dyDescent="0.15">
      <c r="E347" s="244"/>
      <c r="F347" s="244"/>
    </row>
    <row r="348" spans="5:6" x14ac:dyDescent="0.15">
      <c r="E348" s="244"/>
      <c r="F348" s="244"/>
    </row>
    <row r="349" spans="5:6" x14ac:dyDescent="0.15">
      <c r="E349" s="244"/>
      <c r="F349" s="244"/>
    </row>
    <row r="350" spans="5:6" x14ac:dyDescent="0.15">
      <c r="E350" s="244"/>
      <c r="F350" s="244"/>
    </row>
    <row r="351" spans="5:6" x14ac:dyDescent="0.15">
      <c r="E351" s="244"/>
      <c r="F351" s="244"/>
    </row>
    <row r="352" spans="5:6" x14ac:dyDescent="0.15">
      <c r="E352" s="244"/>
      <c r="F352" s="244"/>
    </row>
    <row r="353" spans="5:6" x14ac:dyDescent="0.15">
      <c r="E353" s="244"/>
      <c r="F353" s="244"/>
    </row>
    <row r="354" spans="5:6" x14ac:dyDescent="0.15">
      <c r="E354" s="244"/>
      <c r="F354" s="244"/>
    </row>
    <row r="355" spans="5:6" x14ac:dyDescent="0.15">
      <c r="E355" s="244"/>
      <c r="F355" s="244"/>
    </row>
    <row r="356" spans="5:6" x14ac:dyDescent="0.15">
      <c r="E356" s="244"/>
      <c r="F356" s="244"/>
    </row>
    <row r="357" spans="5:6" x14ac:dyDescent="0.15">
      <c r="E357" s="244"/>
      <c r="F357" s="244"/>
    </row>
    <row r="358" spans="5:6" x14ac:dyDescent="0.15">
      <c r="E358" s="244"/>
      <c r="F358" s="244"/>
    </row>
    <row r="359" spans="5:6" x14ac:dyDescent="0.15">
      <c r="E359" s="244"/>
      <c r="F359" s="244"/>
    </row>
    <row r="360" spans="5:6" x14ac:dyDescent="0.15">
      <c r="E360" s="244"/>
      <c r="F360" s="244"/>
    </row>
    <row r="361" spans="5:6" x14ac:dyDescent="0.15">
      <c r="E361" s="244"/>
      <c r="F361" s="244"/>
    </row>
    <row r="362" spans="5:6" x14ac:dyDescent="0.15">
      <c r="E362" s="244"/>
      <c r="F362" s="244"/>
    </row>
    <row r="363" spans="5:6" x14ac:dyDescent="0.15">
      <c r="E363" s="244"/>
      <c r="F363" s="244"/>
    </row>
    <row r="364" spans="5:6" x14ac:dyDescent="0.15">
      <c r="E364" s="244"/>
      <c r="F364" s="244"/>
    </row>
    <row r="365" spans="5:6" x14ac:dyDescent="0.15">
      <c r="E365" s="244"/>
      <c r="F365" s="244"/>
    </row>
    <row r="366" spans="5:6" x14ac:dyDescent="0.15">
      <c r="E366" s="244"/>
      <c r="F366" s="244"/>
    </row>
    <row r="367" spans="5:6" x14ac:dyDescent="0.15">
      <c r="E367" s="244"/>
      <c r="F367" s="244"/>
    </row>
    <row r="368" spans="5:6" x14ac:dyDescent="0.15">
      <c r="E368" s="244"/>
      <c r="F368" s="244"/>
    </row>
    <row r="369" spans="5:6" x14ac:dyDescent="0.15">
      <c r="E369" s="244"/>
      <c r="F369" s="244"/>
    </row>
    <row r="370" spans="5:6" x14ac:dyDescent="0.15">
      <c r="E370" s="244"/>
      <c r="F370" s="244"/>
    </row>
    <row r="371" spans="5:6" x14ac:dyDescent="0.15">
      <c r="E371" s="244"/>
      <c r="F371" s="244"/>
    </row>
    <row r="372" spans="5:6" x14ac:dyDescent="0.15">
      <c r="E372" s="244"/>
      <c r="F372" s="244"/>
    </row>
    <row r="373" spans="5:6" x14ac:dyDescent="0.15">
      <c r="E373" s="244"/>
      <c r="F373" s="244"/>
    </row>
    <row r="374" spans="5:6" x14ac:dyDescent="0.15">
      <c r="E374" s="244"/>
      <c r="F374" s="244"/>
    </row>
    <row r="375" spans="5:6" x14ac:dyDescent="0.15">
      <c r="E375" s="244"/>
      <c r="F375" s="244"/>
    </row>
    <row r="376" spans="5:6" x14ac:dyDescent="0.15">
      <c r="E376" s="244"/>
      <c r="F376" s="244"/>
    </row>
    <row r="377" spans="5:6" x14ac:dyDescent="0.15">
      <c r="E377" s="244"/>
      <c r="F377" s="244"/>
    </row>
    <row r="378" spans="5:6" x14ac:dyDescent="0.15">
      <c r="E378" s="244"/>
      <c r="F378" s="244"/>
    </row>
    <row r="379" spans="5:6" x14ac:dyDescent="0.15">
      <c r="E379" s="244"/>
      <c r="F379" s="244"/>
    </row>
    <row r="380" spans="5:6" x14ac:dyDescent="0.15">
      <c r="E380" s="244"/>
      <c r="F380" s="244"/>
    </row>
    <row r="381" spans="5:6" x14ac:dyDescent="0.15">
      <c r="E381" s="244"/>
      <c r="F381" s="244"/>
    </row>
    <row r="382" spans="5:6" x14ac:dyDescent="0.15">
      <c r="E382" s="244"/>
      <c r="F382" s="244"/>
    </row>
    <row r="383" spans="5:6" x14ac:dyDescent="0.15">
      <c r="E383" s="244"/>
      <c r="F383" s="244"/>
    </row>
    <row r="384" spans="5:6" x14ac:dyDescent="0.15">
      <c r="E384" s="244"/>
      <c r="F384" s="244"/>
    </row>
    <row r="385" spans="5:6" x14ac:dyDescent="0.15">
      <c r="E385" s="244"/>
      <c r="F385" s="244"/>
    </row>
    <row r="386" spans="5:6" x14ac:dyDescent="0.15">
      <c r="E386" s="244"/>
      <c r="F386" s="244"/>
    </row>
    <row r="387" spans="5:6" x14ac:dyDescent="0.15">
      <c r="E387" s="244"/>
      <c r="F387" s="244"/>
    </row>
    <row r="388" spans="5:6" x14ac:dyDescent="0.15">
      <c r="E388" s="244"/>
      <c r="F388" s="244"/>
    </row>
    <row r="389" spans="5:6" x14ac:dyDescent="0.15">
      <c r="E389" s="244"/>
      <c r="F389" s="244"/>
    </row>
    <row r="390" spans="5:6" x14ac:dyDescent="0.15">
      <c r="E390" s="244"/>
      <c r="F390" s="244"/>
    </row>
    <row r="391" spans="5:6" x14ac:dyDescent="0.15">
      <c r="E391" s="244"/>
      <c r="F391" s="244"/>
    </row>
    <row r="392" spans="5:6" x14ac:dyDescent="0.15">
      <c r="E392" s="244"/>
      <c r="F392" s="244"/>
    </row>
    <row r="393" spans="5:6" x14ac:dyDescent="0.15">
      <c r="E393" s="244"/>
      <c r="F393" s="244"/>
    </row>
    <row r="394" spans="5:6" x14ac:dyDescent="0.15">
      <c r="E394" s="244"/>
      <c r="F394" s="244"/>
    </row>
    <row r="395" spans="5:6" x14ac:dyDescent="0.15">
      <c r="E395" s="244"/>
      <c r="F395" s="244"/>
    </row>
    <row r="396" spans="5:6" x14ac:dyDescent="0.15">
      <c r="E396" s="244"/>
      <c r="F396" s="244"/>
    </row>
    <row r="397" spans="5:6" x14ac:dyDescent="0.15">
      <c r="E397" s="244"/>
      <c r="F397" s="244"/>
    </row>
    <row r="398" spans="5:6" x14ac:dyDescent="0.15">
      <c r="E398" s="244"/>
      <c r="F398" s="244"/>
    </row>
    <row r="399" spans="5:6" x14ac:dyDescent="0.15">
      <c r="E399" s="244"/>
      <c r="F399" s="244"/>
    </row>
    <row r="400" spans="5:6" x14ac:dyDescent="0.15">
      <c r="E400" s="244"/>
      <c r="F400" s="244"/>
    </row>
    <row r="401" spans="5:6" x14ac:dyDescent="0.15">
      <c r="E401" s="244"/>
      <c r="F401" s="244"/>
    </row>
    <row r="402" spans="5:6" x14ac:dyDescent="0.15">
      <c r="E402" s="244"/>
      <c r="F402" s="244"/>
    </row>
    <row r="403" spans="5:6" x14ac:dyDescent="0.15">
      <c r="E403" s="244"/>
      <c r="F403" s="244"/>
    </row>
    <row r="404" spans="5:6" x14ac:dyDescent="0.15">
      <c r="E404" s="244"/>
      <c r="F404" s="244"/>
    </row>
    <row r="405" spans="5:6" x14ac:dyDescent="0.15">
      <c r="E405" s="244"/>
      <c r="F405" s="244"/>
    </row>
    <row r="406" spans="5:6" x14ac:dyDescent="0.15">
      <c r="E406" s="244"/>
      <c r="F406" s="244"/>
    </row>
    <row r="407" spans="5:6" x14ac:dyDescent="0.15">
      <c r="E407" s="244"/>
      <c r="F407" s="244"/>
    </row>
    <row r="408" spans="5:6" x14ac:dyDescent="0.15">
      <c r="E408" s="244"/>
      <c r="F408" s="244"/>
    </row>
    <row r="409" spans="5:6" x14ac:dyDescent="0.15">
      <c r="E409" s="244"/>
      <c r="F409" s="244"/>
    </row>
    <row r="410" spans="5:6" x14ac:dyDescent="0.15">
      <c r="E410" s="244"/>
      <c r="F410" s="244"/>
    </row>
    <row r="411" spans="5:6" x14ac:dyDescent="0.15">
      <c r="E411" s="244"/>
      <c r="F411" s="244"/>
    </row>
    <row r="412" spans="5:6" x14ac:dyDescent="0.15">
      <c r="E412" s="244"/>
      <c r="F412" s="244"/>
    </row>
    <row r="413" spans="5:6" x14ac:dyDescent="0.15">
      <c r="E413" s="244"/>
      <c r="F413" s="244"/>
    </row>
    <row r="414" spans="5:6" x14ac:dyDescent="0.15">
      <c r="E414" s="244"/>
      <c r="F414" s="244"/>
    </row>
    <row r="415" spans="5:6" x14ac:dyDescent="0.15">
      <c r="E415" s="244"/>
      <c r="F415" s="244"/>
    </row>
    <row r="416" spans="5:6" x14ac:dyDescent="0.15">
      <c r="E416" s="244"/>
      <c r="F416" s="244"/>
    </row>
    <row r="417" spans="5:6" x14ac:dyDescent="0.15">
      <c r="E417" s="244"/>
      <c r="F417" s="244"/>
    </row>
    <row r="418" spans="5:6" x14ac:dyDescent="0.15">
      <c r="E418" s="244"/>
      <c r="F418" s="244"/>
    </row>
    <row r="419" spans="5:6" x14ac:dyDescent="0.15">
      <c r="E419" s="244"/>
      <c r="F419" s="244"/>
    </row>
    <row r="420" spans="5:6" x14ac:dyDescent="0.15">
      <c r="E420" s="244"/>
      <c r="F420" s="244"/>
    </row>
    <row r="421" spans="5:6" x14ac:dyDescent="0.15">
      <c r="E421" s="244"/>
      <c r="F421" s="244"/>
    </row>
    <row r="422" spans="5:6" x14ac:dyDescent="0.15">
      <c r="E422" s="244"/>
      <c r="F422" s="244"/>
    </row>
    <row r="423" spans="5:6" x14ac:dyDescent="0.15">
      <c r="E423" s="244"/>
      <c r="F423" s="244"/>
    </row>
    <row r="424" spans="5:6" x14ac:dyDescent="0.15">
      <c r="E424" s="244"/>
      <c r="F424" s="244"/>
    </row>
    <row r="425" spans="5:6" x14ac:dyDescent="0.15">
      <c r="E425" s="244"/>
      <c r="F425" s="244"/>
    </row>
    <row r="426" spans="5:6" x14ac:dyDescent="0.15">
      <c r="E426" s="244"/>
      <c r="F426" s="244"/>
    </row>
    <row r="427" spans="5:6" x14ac:dyDescent="0.15">
      <c r="E427" s="244"/>
      <c r="F427" s="244"/>
    </row>
    <row r="428" spans="5:6" x14ac:dyDescent="0.15">
      <c r="E428" s="244"/>
      <c r="F428" s="244"/>
    </row>
    <row r="429" spans="5:6" x14ac:dyDescent="0.15">
      <c r="E429" s="244"/>
      <c r="F429" s="244"/>
    </row>
    <row r="430" spans="5:6" x14ac:dyDescent="0.15">
      <c r="E430" s="244"/>
      <c r="F430" s="244"/>
    </row>
    <row r="431" spans="5:6" x14ac:dyDescent="0.15">
      <c r="E431" s="244"/>
      <c r="F431" s="244"/>
    </row>
    <row r="432" spans="5:6" x14ac:dyDescent="0.15">
      <c r="E432" s="244"/>
      <c r="F432" s="244"/>
    </row>
    <row r="433" spans="5:6" x14ac:dyDescent="0.15">
      <c r="E433" s="244"/>
      <c r="F433" s="244"/>
    </row>
    <row r="434" spans="5:6" x14ac:dyDescent="0.15">
      <c r="E434" s="244"/>
      <c r="F434" s="244"/>
    </row>
    <row r="435" spans="5:6" x14ac:dyDescent="0.15">
      <c r="E435" s="244"/>
      <c r="F435" s="244"/>
    </row>
    <row r="436" spans="5:6" x14ac:dyDescent="0.15">
      <c r="E436" s="244"/>
      <c r="F436" s="244"/>
    </row>
    <row r="437" spans="5:6" x14ac:dyDescent="0.15">
      <c r="E437" s="244"/>
      <c r="F437" s="244"/>
    </row>
    <row r="438" spans="5:6" x14ac:dyDescent="0.15">
      <c r="E438" s="244"/>
      <c r="F438" s="244"/>
    </row>
    <row r="439" spans="5:6" x14ac:dyDescent="0.15">
      <c r="E439" s="244"/>
      <c r="F439" s="244"/>
    </row>
    <row r="440" spans="5:6" x14ac:dyDescent="0.15">
      <c r="E440" s="244"/>
      <c r="F440" s="244"/>
    </row>
    <row r="441" spans="5:6" x14ac:dyDescent="0.15">
      <c r="E441" s="244"/>
      <c r="F441" s="244"/>
    </row>
    <row r="442" spans="5:6" x14ac:dyDescent="0.15">
      <c r="E442" s="244"/>
      <c r="F442" s="244"/>
    </row>
    <row r="443" spans="5:6" x14ac:dyDescent="0.15">
      <c r="E443" s="244"/>
      <c r="F443" s="244"/>
    </row>
    <row r="444" spans="5:6" x14ac:dyDescent="0.15">
      <c r="E444" s="244"/>
      <c r="F444" s="244"/>
    </row>
    <row r="445" spans="5:6" x14ac:dyDescent="0.15">
      <c r="E445" s="244"/>
      <c r="F445" s="244"/>
    </row>
    <row r="446" spans="5:6" x14ac:dyDescent="0.15">
      <c r="E446" s="244"/>
      <c r="F446" s="244"/>
    </row>
    <row r="447" spans="5:6" x14ac:dyDescent="0.15">
      <c r="E447" s="244"/>
      <c r="F447" s="244"/>
    </row>
    <row r="448" spans="5:6" x14ac:dyDescent="0.15">
      <c r="E448" s="244"/>
      <c r="F448" s="244"/>
    </row>
    <row r="449" spans="5:6" x14ac:dyDescent="0.15">
      <c r="E449" s="244"/>
      <c r="F449" s="244"/>
    </row>
    <row r="450" spans="5:6" x14ac:dyDescent="0.15">
      <c r="E450" s="244"/>
      <c r="F450" s="244"/>
    </row>
    <row r="451" spans="5:6" x14ac:dyDescent="0.15">
      <c r="E451" s="244"/>
      <c r="F451" s="244"/>
    </row>
    <row r="452" spans="5:6" x14ac:dyDescent="0.15">
      <c r="E452" s="244"/>
      <c r="F452" s="244"/>
    </row>
    <row r="453" spans="5:6" x14ac:dyDescent="0.15">
      <c r="E453" s="244"/>
      <c r="F453" s="244"/>
    </row>
    <row r="454" spans="5:6" x14ac:dyDescent="0.15">
      <c r="E454" s="244"/>
      <c r="F454" s="244"/>
    </row>
    <row r="455" spans="5:6" x14ac:dyDescent="0.15">
      <c r="E455" s="244"/>
      <c r="F455" s="244"/>
    </row>
    <row r="456" spans="5:6" x14ac:dyDescent="0.15">
      <c r="E456" s="244"/>
      <c r="F456" s="244"/>
    </row>
    <row r="457" spans="5:6" x14ac:dyDescent="0.15">
      <c r="E457" s="244"/>
      <c r="F457" s="244"/>
    </row>
    <row r="458" spans="5:6" x14ac:dyDescent="0.15">
      <c r="E458" s="244"/>
      <c r="F458" s="244"/>
    </row>
    <row r="459" spans="5:6" x14ac:dyDescent="0.15">
      <c r="E459" s="244"/>
      <c r="F459" s="244"/>
    </row>
    <row r="460" spans="5:6" x14ac:dyDescent="0.15">
      <c r="E460" s="244"/>
      <c r="F460" s="244"/>
    </row>
    <row r="461" spans="5:6" x14ac:dyDescent="0.15">
      <c r="E461" s="244"/>
      <c r="F461" s="244"/>
    </row>
    <row r="462" spans="5:6" x14ac:dyDescent="0.15">
      <c r="E462" s="244"/>
      <c r="F462" s="244"/>
    </row>
    <row r="463" spans="5:6" x14ac:dyDescent="0.15">
      <c r="E463" s="244"/>
      <c r="F463" s="244"/>
    </row>
    <row r="464" spans="5:6" x14ac:dyDescent="0.15">
      <c r="E464" s="244"/>
      <c r="F464" s="244"/>
    </row>
    <row r="465" spans="5:6" x14ac:dyDescent="0.15">
      <c r="E465" s="244"/>
      <c r="F465" s="244"/>
    </row>
    <row r="466" spans="5:6" x14ac:dyDescent="0.15">
      <c r="E466" s="244"/>
      <c r="F466" s="244"/>
    </row>
    <row r="467" spans="5:6" x14ac:dyDescent="0.15">
      <c r="E467" s="244"/>
      <c r="F467" s="244"/>
    </row>
    <row r="468" spans="5:6" x14ac:dyDescent="0.15">
      <c r="E468" s="244"/>
      <c r="F468" s="244"/>
    </row>
    <row r="469" spans="5:6" x14ac:dyDescent="0.15">
      <c r="E469" s="244"/>
      <c r="F469" s="244"/>
    </row>
    <row r="470" spans="5:6" x14ac:dyDescent="0.15">
      <c r="E470" s="244"/>
      <c r="F470" s="244"/>
    </row>
    <row r="471" spans="5:6" x14ac:dyDescent="0.15">
      <c r="E471" s="244"/>
      <c r="F471" s="244"/>
    </row>
    <row r="472" spans="5:6" x14ac:dyDescent="0.15">
      <c r="E472" s="244"/>
      <c r="F472" s="244"/>
    </row>
    <row r="473" spans="5:6" x14ac:dyDescent="0.15">
      <c r="E473" s="244"/>
      <c r="F473" s="244"/>
    </row>
    <row r="474" spans="5:6" x14ac:dyDescent="0.15">
      <c r="E474" s="244"/>
      <c r="F474" s="244"/>
    </row>
    <row r="475" spans="5:6" x14ac:dyDescent="0.15">
      <c r="E475" s="244"/>
      <c r="F475" s="244"/>
    </row>
    <row r="476" spans="5:6" x14ac:dyDescent="0.15">
      <c r="E476" s="244"/>
      <c r="F476" s="244"/>
    </row>
    <row r="477" spans="5:6" x14ac:dyDescent="0.15">
      <c r="E477" s="244"/>
      <c r="F477" s="244"/>
    </row>
    <row r="478" spans="5:6" x14ac:dyDescent="0.15">
      <c r="E478" s="244"/>
      <c r="F478" s="244"/>
    </row>
    <row r="479" spans="5:6" x14ac:dyDescent="0.15">
      <c r="E479" s="244"/>
      <c r="F479" s="244"/>
    </row>
    <row r="480" spans="5:6" x14ac:dyDescent="0.15">
      <c r="E480" s="244"/>
      <c r="F480" s="244"/>
    </row>
    <row r="481" spans="5:6" x14ac:dyDescent="0.15">
      <c r="E481" s="244"/>
      <c r="F481" s="244"/>
    </row>
    <row r="482" spans="5:6" x14ac:dyDescent="0.15">
      <c r="E482" s="244"/>
      <c r="F482" s="244"/>
    </row>
    <row r="483" spans="5:6" x14ac:dyDescent="0.15">
      <c r="E483" s="244"/>
      <c r="F483" s="244"/>
    </row>
    <row r="484" spans="5:6" x14ac:dyDescent="0.15">
      <c r="E484" s="244"/>
      <c r="F484" s="244"/>
    </row>
    <row r="485" spans="5:6" x14ac:dyDescent="0.15">
      <c r="E485" s="244"/>
      <c r="F485" s="244"/>
    </row>
    <row r="486" spans="5:6" x14ac:dyDescent="0.15">
      <c r="E486" s="244"/>
      <c r="F486" s="244"/>
    </row>
    <row r="487" spans="5:6" x14ac:dyDescent="0.15">
      <c r="E487" s="244"/>
      <c r="F487" s="244"/>
    </row>
    <row r="488" spans="5:6" x14ac:dyDescent="0.15">
      <c r="E488" s="244"/>
      <c r="F488" s="244"/>
    </row>
    <row r="489" spans="5:6" x14ac:dyDescent="0.15">
      <c r="E489" s="244"/>
      <c r="F489" s="244"/>
    </row>
    <row r="490" spans="5:6" x14ac:dyDescent="0.15">
      <c r="E490" s="244"/>
      <c r="F490" s="244"/>
    </row>
    <row r="491" spans="5:6" x14ac:dyDescent="0.15">
      <c r="E491" s="244"/>
      <c r="F491" s="244"/>
    </row>
    <row r="492" spans="5:6" x14ac:dyDescent="0.15">
      <c r="E492" s="244"/>
      <c r="F492" s="244"/>
    </row>
    <row r="493" spans="5:6" x14ac:dyDescent="0.15">
      <c r="E493" s="244"/>
      <c r="F493" s="244"/>
    </row>
    <row r="494" spans="5:6" x14ac:dyDescent="0.15">
      <c r="E494" s="244"/>
      <c r="F494" s="244"/>
    </row>
    <row r="495" spans="5:6" x14ac:dyDescent="0.15">
      <c r="E495" s="244"/>
      <c r="F495" s="244"/>
    </row>
    <row r="496" spans="5:6" x14ac:dyDescent="0.15">
      <c r="E496" s="244"/>
      <c r="F496" s="244"/>
    </row>
    <row r="497" spans="5:6" x14ac:dyDescent="0.15">
      <c r="E497" s="244"/>
      <c r="F497" s="244"/>
    </row>
    <row r="498" spans="5:6" x14ac:dyDescent="0.15">
      <c r="E498" s="244"/>
      <c r="F498" s="244"/>
    </row>
    <row r="499" spans="5:6" x14ac:dyDescent="0.15">
      <c r="E499" s="244"/>
      <c r="F499" s="244"/>
    </row>
    <row r="500" spans="5:6" x14ac:dyDescent="0.15">
      <c r="E500" s="244"/>
      <c r="F500" s="244"/>
    </row>
    <row r="501" spans="5:6" x14ac:dyDescent="0.15">
      <c r="E501" s="244"/>
      <c r="F501" s="244"/>
    </row>
    <row r="502" spans="5:6" x14ac:dyDescent="0.15">
      <c r="E502" s="244"/>
      <c r="F502" s="244"/>
    </row>
    <row r="503" spans="5:6" x14ac:dyDescent="0.15">
      <c r="E503" s="244"/>
      <c r="F503" s="244"/>
    </row>
    <row r="504" spans="5:6" x14ac:dyDescent="0.15">
      <c r="E504" s="244"/>
      <c r="F504" s="244"/>
    </row>
    <row r="505" spans="5:6" x14ac:dyDescent="0.15">
      <c r="E505" s="244"/>
      <c r="F505" s="244"/>
    </row>
    <row r="506" spans="5:6" x14ac:dyDescent="0.15">
      <c r="E506" s="244"/>
      <c r="F506" s="244"/>
    </row>
    <row r="507" spans="5:6" x14ac:dyDescent="0.15">
      <c r="E507" s="244"/>
      <c r="F507" s="244"/>
    </row>
    <row r="508" spans="5:6" x14ac:dyDescent="0.15">
      <c r="E508" s="244"/>
      <c r="F508" s="244"/>
    </row>
    <row r="509" spans="5:6" x14ac:dyDescent="0.15">
      <c r="E509" s="244"/>
      <c r="F509" s="244"/>
    </row>
    <row r="510" spans="5:6" x14ac:dyDescent="0.15">
      <c r="E510" s="244"/>
      <c r="F510" s="244"/>
    </row>
    <row r="511" spans="5:6" x14ac:dyDescent="0.15">
      <c r="E511" s="244"/>
      <c r="F511" s="244"/>
    </row>
    <row r="512" spans="5:6" x14ac:dyDescent="0.15">
      <c r="E512" s="244"/>
      <c r="F512" s="244"/>
    </row>
    <row r="513" spans="5:6" x14ac:dyDescent="0.15">
      <c r="E513" s="244"/>
      <c r="F513" s="244"/>
    </row>
    <row r="514" spans="5:6" x14ac:dyDescent="0.15">
      <c r="E514" s="244"/>
      <c r="F514" s="244"/>
    </row>
    <row r="515" spans="5:6" x14ac:dyDescent="0.15">
      <c r="E515" s="244"/>
      <c r="F515" s="244"/>
    </row>
    <row r="516" spans="5:6" x14ac:dyDescent="0.15">
      <c r="E516" s="244"/>
      <c r="F516" s="244"/>
    </row>
    <row r="517" spans="5:6" x14ac:dyDescent="0.15">
      <c r="E517" s="244"/>
      <c r="F517" s="244"/>
    </row>
    <row r="518" spans="5:6" x14ac:dyDescent="0.15">
      <c r="E518" s="244"/>
      <c r="F518" s="244"/>
    </row>
    <row r="519" spans="5:6" x14ac:dyDescent="0.15">
      <c r="E519" s="244"/>
      <c r="F519" s="244"/>
    </row>
    <row r="520" spans="5:6" x14ac:dyDescent="0.15">
      <c r="E520" s="244"/>
      <c r="F520" s="244"/>
    </row>
    <row r="521" spans="5:6" x14ac:dyDescent="0.15">
      <c r="E521" s="244"/>
      <c r="F521" s="244"/>
    </row>
    <row r="522" spans="5:6" x14ac:dyDescent="0.15">
      <c r="E522" s="244"/>
      <c r="F522" s="244"/>
    </row>
    <row r="523" spans="5:6" x14ac:dyDescent="0.15">
      <c r="E523" s="244"/>
      <c r="F523" s="244"/>
    </row>
    <row r="524" spans="5:6" x14ac:dyDescent="0.15">
      <c r="E524" s="244"/>
      <c r="F524" s="244"/>
    </row>
    <row r="525" spans="5:6" x14ac:dyDescent="0.15">
      <c r="E525" s="244"/>
      <c r="F525" s="244"/>
    </row>
    <row r="526" spans="5:6" x14ac:dyDescent="0.15">
      <c r="E526" s="244"/>
      <c r="F526" s="244"/>
    </row>
    <row r="527" spans="5:6" x14ac:dyDescent="0.15">
      <c r="E527" s="244"/>
      <c r="F527" s="244"/>
    </row>
    <row r="528" spans="5:6" x14ac:dyDescent="0.15">
      <c r="E528" s="244"/>
      <c r="F528" s="244"/>
    </row>
    <row r="529" spans="5:6" x14ac:dyDescent="0.15">
      <c r="E529" s="244"/>
      <c r="F529" s="244"/>
    </row>
    <row r="530" spans="5:6" x14ac:dyDescent="0.15">
      <c r="E530" s="244"/>
      <c r="F530" s="244"/>
    </row>
    <row r="531" spans="5:6" x14ac:dyDescent="0.15">
      <c r="E531" s="244"/>
      <c r="F531" s="244"/>
    </row>
    <row r="532" spans="5:6" x14ac:dyDescent="0.15">
      <c r="E532" s="244"/>
      <c r="F532" s="244"/>
    </row>
    <row r="533" spans="5:6" x14ac:dyDescent="0.15">
      <c r="E533" s="244"/>
      <c r="F533" s="244"/>
    </row>
    <row r="534" spans="5:6" x14ac:dyDescent="0.15">
      <c r="E534" s="244"/>
      <c r="F534" s="244"/>
    </row>
    <row r="535" spans="5:6" x14ac:dyDescent="0.15">
      <c r="E535" s="244"/>
      <c r="F535" s="244"/>
    </row>
    <row r="536" spans="5:6" x14ac:dyDescent="0.15">
      <c r="E536" s="244"/>
      <c r="F536" s="244"/>
    </row>
    <row r="537" spans="5:6" x14ac:dyDescent="0.15">
      <c r="E537" s="244"/>
      <c r="F537" s="244"/>
    </row>
    <row r="538" spans="5:6" x14ac:dyDescent="0.15">
      <c r="E538" s="244"/>
      <c r="F538" s="244"/>
    </row>
    <row r="539" spans="5:6" x14ac:dyDescent="0.15">
      <c r="E539" s="244"/>
      <c r="F539" s="244"/>
    </row>
    <row r="540" spans="5:6" x14ac:dyDescent="0.15">
      <c r="E540" s="244"/>
      <c r="F540" s="244"/>
    </row>
    <row r="541" spans="5:6" x14ac:dyDescent="0.15">
      <c r="E541" s="244"/>
      <c r="F541" s="244"/>
    </row>
    <row r="542" spans="5:6" x14ac:dyDescent="0.15">
      <c r="E542" s="244"/>
      <c r="F542" s="244"/>
    </row>
    <row r="543" spans="5:6" x14ac:dyDescent="0.15">
      <c r="E543" s="244"/>
      <c r="F543" s="244"/>
    </row>
    <row r="544" spans="5:6" x14ac:dyDescent="0.15">
      <c r="E544" s="244"/>
      <c r="F544" s="244"/>
    </row>
    <row r="545" spans="5:6" x14ac:dyDescent="0.15">
      <c r="E545" s="244"/>
      <c r="F545" s="244"/>
    </row>
    <row r="546" spans="5:6" x14ac:dyDescent="0.15">
      <c r="E546" s="244"/>
      <c r="F546" s="244"/>
    </row>
    <row r="547" spans="5:6" x14ac:dyDescent="0.15">
      <c r="E547" s="244"/>
      <c r="F547" s="244"/>
    </row>
    <row r="548" spans="5:6" x14ac:dyDescent="0.15">
      <c r="E548" s="244"/>
      <c r="F548" s="244"/>
    </row>
    <row r="549" spans="5:6" x14ac:dyDescent="0.15">
      <c r="E549" s="244"/>
      <c r="F549" s="244"/>
    </row>
    <row r="550" spans="5:6" x14ac:dyDescent="0.15">
      <c r="E550" s="244"/>
      <c r="F550" s="244"/>
    </row>
    <row r="551" spans="5:6" x14ac:dyDescent="0.15">
      <c r="E551" s="244"/>
      <c r="F551" s="244"/>
    </row>
    <row r="552" spans="5:6" x14ac:dyDescent="0.15">
      <c r="E552" s="244"/>
      <c r="F552" s="244"/>
    </row>
    <row r="553" spans="5:6" x14ac:dyDescent="0.15">
      <c r="E553" s="244"/>
      <c r="F553" s="244"/>
    </row>
    <row r="554" spans="5:6" x14ac:dyDescent="0.15">
      <c r="E554" s="244"/>
      <c r="F554" s="244"/>
    </row>
    <row r="555" spans="5:6" x14ac:dyDescent="0.15">
      <c r="E555" s="244"/>
      <c r="F555" s="244"/>
    </row>
    <row r="556" spans="5:6" x14ac:dyDescent="0.15">
      <c r="E556" s="244"/>
      <c r="F556" s="244"/>
    </row>
    <row r="557" spans="5:6" x14ac:dyDescent="0.15">
      <c r="E557" s="244"/>
      <c r="F557" s="244"/>
    </row>
    <row r="558" spans="5:6" x14ac:dyDescent="0.15">
      <c r="E558" s="244"/>
      <c r="F558" s="244"/>
    </row>
    <row r="559" spans="5:6" x14ac:dyDescent="0.15">
      <c r="E559" s="244"/>
      <c r="F559" s="244"/>
    </row>
    <row r="560" spans="5:6" x14ac:dyDescent="0.15">
      <c r="E560" s="244"/>
      <c r="F560" s="244"/>
    </row>
    <row r="561" spans="5:6" x14ac:dyDescent="0.15">
      <c r="E561" s="244"/>
      <c r="F561" s="244"/>
    </row>
    <row r="562" spans="5:6" x14ac:dyDescent="0.15">
      <c r="E562" s="244"/>
      <c r="F562" s="244"/>
    </row>
    <row r="563" spans="5:6" x14ac:dyDescent="0.15">
      <c r="E563" s="244"/>
      <c r="F563" s="244"/>
    </row>
    <row r="564" spans="5:6" x14ac:dyDescent="0.15">
      <c r="E564" s="244"/>
      <c r="F564" s="244"/>
    </row>
    <row r="565" spans="5:6" x14ac:dyDescent="0.15">
      <c r="E565" s="244"/>
      <c r="F565" s="244"/>
    </row>
    <row r="566" spans="5:6" x14ac:dyDescent="0.15">
      <c r="E566" s="244"/>
      <c r="F566" s="244"/>
    </row>
    <row r="567" spans="5:6" x14ac:dyDescent="0.15">
      <c r="E567" s="244"/>
      <c r="F567" s="244"/>
    </row>
    <row r="568" spans="5:6" x14ac:dyDescent="0.15">
      <c r="E568" s="244"/>
      <c r="F568" s="244"/>
    </row>
    <row r="569" spans="5:6" x14ac:dyDescent="0.15">
      <c r="E569" s="244"/>
      <c r="F569" s="244"/>
    </row>
    <row r="570" spans="5:6" x14ac:dyDescent="0.15">
      <c r="E570" s="244"/>
      <c r="F570" s="244"/>
    </row>
    <row r="571" spans="5:6" x14ac:dyDescent="0.15">
      <c r="E571" s="244"/>
      <c r="F571" s="244"/>
    </row>
    <row r="572" spans="5:6" x14ac:dyDescent="0.15">
      <c r="E572" s="244"/>
      <c r="F572" s="244"/>
    </row>
    <row r="573" spans="5:6" x14ac:dyDescent="0.15">
      <c r="E573" s="244"/>
      <c r="F573" s="244"/>
    </row>
    <row r="574" spans="5:6" x14ac:dyDescent="0.15">
      <c r="E574" s="244"/>
      <c r="F574" s="244"/>
    </row>
    <row r="575" spans="5:6" x14ac:dyDescent="0.15">
      <c r="E575" s="244"/>
      <c r="F575" s="244"/>
    </row>
    <row r="576" spans="5:6" x14ac:dyDescent="0.15">
      <c r="E576" s="244"/>
      <c r="F576" s="244"/>
    </row>
    <row r="577" spans="5:6" x14ac:dyDescent="0.15">
      <c r="E577" s="244"/>
      <c r="F577" s="244"/>
    </row>
    <row r="578" spans="5:6" x14ac:dyDescent="0.15">
      <c r="E578" s="244"/>
      <c r="F578" s="244"/>
    </row>
    <row r="579" spans="5:6" x14ac:dyDescent="0.15">
      <c r="E579" s="244"/>
      <c r="F579" s="244"/>
    </row>
    <row r="580" spans="5:6" x14ac:dyDescent="0.15">
      <c r="E580" s="244"/>
      <c r="F580" s="244"/>
    </row>
    <row r="581" spans="5:6" x14ac:dyDescent="0.15">
      <c r="E581" s="244"/>
      <c r="F581" s="244"/>
    </row>
    <row r="582" spans="5:6" x14ac:dyDescent="0.15">
      <c r="E582" s="244"/>
      <c r="F582" s="244"/>
    </row>
    <row r="583" spans="5:6" x14ac:dyDescent="0.15">
      <c r="E583" s="244"/>
      <c r="F583" s="244"/>
    </row>
    <row r="584" spans="5:6" x14ac:dyDescent="0.15">
      <c r="E584" s="244"/>
      <c r="F584" s="244"/>
    </row>
    <row r="585" spans="5:6" x14ac:dyDescent="0.15">
      <c r="E585" s="244"/>
      <c r="F585" s="244"/>
    </row>
    <row r="586" spans="5:6" x14ac:dyDescent="0.15">
      <c r="E586" s="244"/>
      <c r="F586" s="244"/>
    </row>
    <row r="587" spans="5:6" x14ac:dyDescent="0.15">
      <c r="E587" s="244"/>
      <c r="F587" s="244"/>
    </row>
    <row r="588" spans="5:6" x14ac:dyDescent="0.15">
      <c r="E588" s="244"/>
      <c r="F588" s="244"/>
    </row>
    <row r="589" spans="5:6" x14ac:dyDescent="0.15">
      <c r="E589" s="244"/>
      <c r="F589" s="244"/>
    </row>
    <row r="590" spans="5:6" x14ac:dyDescent="0.15">
      <c r="E590" s="244"/>
      <c r="F590" s="244"/>
    </row>
    <row r="591" spans="5:6" x14ac:dyDescent="0.15">
      <c r="E591" s="244"/>
      <c r="F591" s="244"/>
    </row>
    <row r="592" spans="5:6" x14ac:dyDescent="0.15">
      <c r="E592" s="244"/>
      <c r="F592" s="244"/>
    </row>
    <row r="593" spans="5:6" x14ac:dyDescent="0.15">
      <c r="E593" s="244"/>
      <c r="F593" s="244"/>
    </row>
    <row r="594" spans="5:6" x14ac:dyDescent="0.15">
      <c r="E594" s="244"/>
      <c r="F594" s="244"/>
    </row>
    <row r="595" spans="5:6" x14ac:dyDescent="0.15">
      <c r="E595" s="244"/>
      <c r="F595" s="244"/>
    </row>
    <row r="596" spans="5:6" x14ac:dyDescent="0.15">
      <c r="E596" s="244"/>
      <c r="F596" s="244"/>
    </row>
    <row r="597" spans="5:6" x14ac:dyDescent="0.15">
      <c r="E597" s="244"/>
      <c r="F597" s="244"/>
    </row>
    <row r="598" spans="5:6" x14ac:dyDescent="0.15">
      <c r="E598" s="244"/>
      <c r="F598" s="244"/>
    </row>
    <row r="599" spans="5:6" x14ac:dyDescent="0.15">
      <c r="E599" s="244"/>
      <c r="F599" s="244"/>
    </row>
    <row r="600" spans="5:6" x14ac:dyDescent="0.15">
      <c r="E600" s="244"/>
      <c r="F600" s="244"/>
    </row>
    <row r="601" spans="5:6" x14ac:dyDescent="0.15">
      <c r="E601" s="244"/>
      <c r="F601" s="244"/>
    </row>
    <row r="602" spans="5:6" x14ac:dyDescent="0.15">
      <c r="E602" s="244"/>
      <c r="F602" s="244"/>
    </row>
    <row r="603" spans="5:6" x14ac:dyDescent="0.15">
      <c r="E603" s="244"/>
      <c r="F603" s="244"/>
    </row>
    <row r="604" spans="5:6" x14ac:dyDescent="0.15">
      <c r="E604" s="244"/>
      <c r="F604" s="244"/>
    </row>
    <row r="605" spans="5:6" x14ac:dyDescent="0.15">
      <c r="E605" s="244"/>
      <c r="F605" s="244"/>
    </row>
    <row r="606" spans="5:6" x14ac:dyDescent="0.15">
      <c r="E606" s="244"/>
      <c r="F606" s="244"/>
    </row>
    <row r="607" spans="5:6" x14ac:dyDescent="0.15">
      <c r="E607" s="244"/>
      <c r="F607" s="244"/>
    </row>
    <row r="608" spans="5:6" x14ac:dyDescent="0.15">
      <c r="E608" s="244"/>
      <c r="F608" s="244"/>
    </row>
    <row r="609" spans="5:6" x14ac:dyDescent="0.15">
      <c r="E609" s="244"/>
      <c r="F609" s="244"/>
    </row>
    <row r="610" spans="5:6" x14ac:dyDescent="0.15">
      <c r="E610" s="244"/>
      <c r="F610" s="244"/>
    </row>
    <row r="611" spans="5:6" x14ac:dyDescent="0.15">
      <c r="E611" s="244"/>
      <c r="F611" s="244"/>
    </row>
    <row r="612" spans="5:6" x14ac:dyDescent="0.15">
      <c r="E612" s="244"/>
      <c r="F612" s="244"/>
    </row>
    <row r="613" spans="5:6" x14ac:dyDescent="0.15">
      <c r="E613" s="244"/>
      <c r="F613" s="244"/>
    </row>
    <row r="614" spans="5:6" x14ac:dyDescent="0.15">
      <c r="E614" s="244"/>
      <c r="F614" s="244"/>
    </row>
    <row r="615" spans="5:6" x14ac:dyDescent="0.15">
      <c r="E615" s="244"/>
      <c r="F615" s="244"/>
    </row>
    <row r="616" spans="5:6" x14ac:dyDescent="0.15">
      <c r="E616" s="244"/>
      <c r="F616" s="244"/>
    </row>
    <row r="617" spans="5:6" x14ac:dyDescent="0.15">
      <c r="E617" s="244"/>
      <c r="F617" s="244"/>
    </row>
    <row r="618" spans="5:6" x14ac:dyDescent="0.15">
      <c r="E618" s="244"/>
      <c r="F618" s="244"/>
    </row>
    <row r="619" spans="5:6" x14ac:dyDescent="0.15">
      <c r="E619" s="244"/>
      <c r="F619" s="244"/>
    </row>
    <row r="620" spans="5:6" x14ac:dyDescent="0.15">
      <c r="E620" s="244"/>
      <c r="F620" s="244"/>
    </row>
    <row r="621" spans="5:6" x14ac:dyDescent="0.15">
      <c r="E621" s="244"/>
      <c r="F621" s="244"/>
    </row>
    <row r="622" spans="5:6" x14ac:dyDescent="0.15">
      <c r="E622" s="244"/>
      <c r="F622" s="244"/>
    </row>
    <row r="623" spans="5:6" x14ac:dyDescent="0.15">
      <c r="E623" s="244"/>
      <c r="F623" s="244"/>
    </row>
    <row r="624" spans="5:6" x14ac:dyDescent="0.15">
      <c r="E624" s="244"/>
      <c r="F624" s="244"/>
    </row>
    <row r="625" spans="5:6" x14ac:dyDescent="0.15">
      <c r="E625" s="244"/>
      <c r="F625" s="244"/>
    </row>
    <row r="626" spans="5:6" x14ac:dyDescent="0.15">
      <c r="E626" s="244"/>
      <c r="F626" s="244"/>
    </row>
    <row r="627" spans="5:6" x14ac:dyDescent="0.15">
      <c r="E627" s="244"/>
      <c r="F627" s="244"/>
    </row>
    <row r="628" spans="5:6" x14ac:dyDescent="0.15">
      <c r="E628" s="244"/>
      <c r="F628" s="244"/>
    </row>
    <row r="629" spans="5:6" x14ac:dyDescent="0.15">
      <c r="E629" s="244"/>
      <c r="F629" s="244"/>
    </row>
    <row r="630" spans="5:6" x14ac:dyDescent="0.15">
      <c r="E630" s="244"/>
      <c r="F630" s="244"/>
    </row>
    <row r="631" spans="5:6" x14ac:dyDescent="0.15">
      <c r="E631" s="244"/>
      <c r="F631" s="244"/>
    </row>
    <row r="632" spans="5:6" x14ac:dyDescent="0.15">
      <c r="E632" s="244"/>
      <c r="F632" s="244"/>
    </row>
    <row r="633" spans="5:6" x14ac:dyDescent="0.15">
      <c r="E633" s="244"/>
      <c r="F633" s="244"/>
    </row>
    <row r="634" spans="5:6" x14ac:dyDescent="0.15">
      <c r="E634" s="244"/>
      <c r="F634" s="244"/>
    </row>
    <row r="635" spans="5:6" x14ac:dyDescent="0.15">
      <c r="E635" s="244"/>
      <c r="F635" s="244"/>
    </row>
    <row r="636" spans="5:6" x14ac:dyDescent="0.15">
      <c r="E636" s="244"/>
      <c r="F636" s="244"/>
    </row>
    <row r="637" spans="5:6" x14ac:dyDescent="0.15">
      <c r="E637" s="244"/>
      <c r="F637" s="244"/>
    </row>
    <row r="638" spans="5:6" x14ac:dyDescent="0.15">
      <c r="E638" s="244"/>
      <c r="F638" s="244"/>
    </row>
    <row r="639" spans="5:6" x14ac:dyDescent="0.15">
      <c r="E639" s="244"/>
      <c r="F639" s="244"/>
    </row>
    <row r="640" spans="5:6" x14ac:dyDescent="0.15">
      <c r="E640" s="244"/>
      <c r="F640" s="244"/>
    </row>
    <row r="641" spans="5:6" x14ac:dyDescent="0.15">
      <c r="E641" s="244"/>
      <c r="F641" s="244"/>
    </row>
    <row r="642" spans="5:6" x14ac:dyDescent="0.15">
      <c r="E642" s="244"/>
      <c r="F642" s="244"/>
    </row>
    <row r="643" spans="5:6" x14ac:dyDescent="0.15">
      <c r="E643" s="244"/>
      <c r="F643" s="244"/>
    </row>
    <row r="644" spans="5:6" x14ac:dyDescent="0.15">
      <c r="E644" s="244"/>
      <c r="F644" s="244"/>
    </row>
    <row r="645" spans="5:6" x14ac:dyDescent="0.15">
      <c r="E645" s="244"/>
      <c r="F645" s="244"/>
    </row>
    <row r="646" spans="5:6" x14ac:dyDescent="0.15">
      <c r="E646" s="244"/>
      <c r="F646" s="244"/>
    </row>
    <row r="647" spans="5:6" x14ac:dyDescent="0.15">
      <c r="E647" s="244"/>
      <c r="F647" s="244"/>
    </row>
    <row r="648" spans="5:6" x14ac:dyDescent="0.15">
      <c r="E648" s="244"/>
      <c r="F648" s="244"/>
    </row>
    <row r="649" spans="5:6" x14ac:dyDescent="0.15">
      <c r="E649" s="244"/>
      <c r="F649" s="244"/>
    </row>
    <row r="650" spans="5:6" x14ac:dyDescent="0.15">
      <c r="E650" s="244"/>
      <c r="F650" s="244"/>
    </row>
    <row r="651" spans="5:6" x14ac:dyDescent="0.15">
      <c r="E651" s="244"/>
      <c r="F651" s="244"/>
    </row>
    <row r="652" spans="5:6" x14ac:dyDescent="0.15">
      <c r="E652" s="244"/>
      <c r="F652" s="244"/>
    </row>
    <row r="653" spans="5:6" x14ac:dyDescent="0.15">
      <c r="E653" s="244"/>
      <c r="F653" s="244"/>
    </row>
    <row r="654" spans="5:6" x14ac:dyDescent="0.15">
      <c r="E654" s="244"/>
      <c r="F654" s="244"/>
    </row>
    <row r="655" spans="5:6" x14ac:dyDescent="0.15">
      <c r="E655" s="244"/>
      <c r="F655" s="244"/>
    </row>
    <row r="656" spans="5:6" x14ac:dyDescent="0.15">
      <c r="E656" s="244"/>
      <c r="F656" s="244"/>
    </row>
    <row r="657" spans="5:6" x14ac:dyDescent="0.15">
      <c r="E657" s="244"/>
      <c r="F657" s="244"/>
    </row>
    <row r="658" spans="5:6" x14ac:dyDescent="0.15">
      <c r="E658" s="244"/>
      <c r="F658" s="244"/>
    </row>
    <row r="659" spans="5:6" x14ac:dyDescent="0.15">
      <c r="E659" s="244"/>
      <c r="F659" s="244"/>
    </row>
    <row r="660" spans="5:6" x14ac:dyDescent="0.15">
      <c r="E660" s="244"/>
      <c r="F660" s="244"/>
    </row>
    <row r="661" spans="5:6" x14ac:dyDescent="0.15">
      <c r="E661" s="244"/>
      <c r="F661" s="244"/>
    </row>
    <row r="662" spans="5:6" x14ac:dyDescent="0.15">
      <c r="E662" s="244"/>
      <c r="F662" s="244"/>
    </row>
    <row r="663" spans="5:6" x14ac:dyDescent="0.15">
      <c r="E663" s="244"/>
      <c r="F663" s="244"/>
    </row>
    <row r="664" spans="5:6" x14ac:dyDescent="0.15">
      <c r="E664" s="244"/>
      <c r="F664" s="244"/>
    </row>
    <row r="665" spans="5:6" x14ac:dyDescent="0.15">
      <c r="E665" s="244"/>
      <c r="F665" s="244"/>
    </row>
    <row r="666" spans="5:6" x14ac:dyDescent="0.15">
      <c r="E666" s="244"/>
      <c r="F666" s="244"/>
    </row>
    <row r="667" spans="5:6" x14ac:dyDescent="0.15">
      <c r="E667" s="244"/>
      <c r="F667" s="244"/>
    </row>
    <row r="668" spans="5:6" x14ac:dyDescent="0.15">
      <c r="E668" s="244"/>
      <c r="F668" s="244"/>
    </row>
    <row r="669" spans="5:6" x14ac:dyDescent="0.15">
      <c r="E669" s="244"/>
      <c r="F669" s="244"/>
    </row>
    <row r="670" spans="5:6" x14ac:dyDescent="0.15">
      <c r="E670" s="244"/>
      <c r="F670" s="244"/>
    </row>
    <row r="671" spans="5:6" x14ac:dyDescent="0.15">
      <c r="E671" s="244"/>
      <c r="F671" s="244"/>
    </row>
    <row r="672" spans="5:6" x14ac:dyDescent="0.15">
      <c r="E672" s="244"/>
      <c r="F672" s="244"/>
    </row>
    <row r="673" spans="5:6" x14ac:dyDescent="0.15">
      <c r="E673" s="244"/>
      <c r="F673" s="244"/>
    </row>
    <row r="674" spans="5:6" x14ac:dyDescent="0.15">
      <c r="E674" s="244"/>
      <c r="F674" s="244"/>
    </row>
    <row r="675" spans="5:6" x14ac:dyDescent="0.15">
      <c r="E675" s="244"/>
      <c r="F675" s="244"/>
    </row>
    <row r="676" spans="5:6" x14ac:dyDescent="0.15">
      <c r="E676" s="244"/>
      <c r="F676" s="244"/>
    </row>
    <row r="677" spans="5:6" x14ac:dyDescent="0.15">
      <c r="E677" s="244"/>
      <c r="F677" s="244"/>
    </row>
    <row r="678" spans="5:6" x14ac:dyDescent="0.15">
      <c r="E678" s="244"/>
      <c r="F678" s="244"/>
    </row>
    <row r="679" spans="5:6" x14ac:dyDescent="0.15">
      <c r="E679" s="244"/>
      <c r="F679" s="244"/>
    </row>
    <row r="680" spans="5:6" x14ac:dyDescent="0.15">
      <c r="E680" s="244"/>
      <c r="F680" s="244"/>
    </row>
    <row r="681" spans="5:6" x14ac:dyDescent="0.15">
      <c r="E681" s="244"/>
      <c r="F681" s="244"/>
    </row>
    <row r="682" spans="5:6" x14ac:dyDescent="0.15">
      <c r="E682" s="244"/>
      <c r="F682" s="244"/>
    </row>
    <row r="683" spans="5:6" x14ac:dyDescent="0.15">
      <c r="E683" s="244"/>
      <c r="F683" s="244"/>
    </row>
    <row r="684" spans="5:6" x14ac:dyDescent="0.15">
      <c r="E684" s="244"/>
      <c r="F684" s="244"/>
    </row>
    <row r="685" spans="5:6" x14ac:dyDescent="0.15">
      <c r="E685" s="244"/>
      <c r="F685" s="244"/>
    </row>
    <row r="686" spans="5:6" x14ac:dyDescent="0.15">
      <c r="E686" s="244"/>
      <c r="F686" s="244"/>
    </row>
    <row r="687" spans="5:6" x14ac:dyDescent="0.15">
      <c r="E687" s="244"/>
      <c r="F687" s="244"/>
    </row>
    <row r="688" spans="5:6" x14ac:dyDescent="0.15">
      <c r="E688" s="244"/>
      <c r="F688" s="244"/>
    </row>
    <row r="689" spans="5:6" x14ac:dyDescent="0.15">
      <c r="E689" s="244"/>
      <c r="F689" s="244"/>
    </row>
    <row r="690" spans="5:6" x14ac:dyDescent="0.15">
      <c r="E690" s="244"/>
      <c r="F690" s="244"/>
    </row>
    <row r="691" spans="5:6" x14ac:dyDescent="0.15">
      <c r="E691" s="244"/>
      <c r="F691" s="244"/>
    </row>
    <row r="692" spans="5:6" x14ac:dyDescent="0.15">
      <c r="E692" s="244"/>
      <c r="F692" s="244"/>
    </row>
    <row r="693" spans="5:6" x14ac:dyDescent="0.15">
      <c r="E693" s="244"/>
      <c r="F693" s="244"/>
    </row>
    <row r="694" spans="5:6" x14ac:dyDescent="0.15">
      <c r="E694" s="244"/>
      <c r="F694" s="244"/>
    </row>
    <row r="695" spans="5:6" x14ac:dyDescent="0.15">
      <c r="E695" s="244"/>
      <c r="F695" s="244"/>
    </row>
    <row r="696" spans="5:6" x14ac:dyDescent="0.15">
      <c r="E696" s="244"/>
      <c r="F696" s="244"/>
    </row>
    <row r="697" spans="5:6" x14ac:dyDescent="0.15">
      <c r="E697" s="244"/>
      <c r="F697" s="244"/>
    </row>
    <row r="698" spans="5:6" x14ac:dyDescent="0.15">
      <c r="E698" s="244"/>
      <c r="F698" s="244"/>
    </row>
    <row r="699" spans="5:6" x14ac:dyDescent="0.15">
      <c r="E699" s="244"/>
      <c r="F699" s="244"/>
    </row>
    <row r="700" spans="5:6" x14ac:dyDescent="0.15">
      <c r="E700" s="244"/>
      <c r="F700" s="244"/>
    </row>
    <row r="701" spans="5:6" x14ac:dyDescent="0.15">
      <c r="E701" s="244"/>
      <c r="F701" s="244"/>
    </row>
    <row r="702" spans="5:6" x14ac:dyDescent="0.15">
      <c r="E702" s="244"/>
      <c r="F702" s="244"/>
    </row>
    <row r="703" spans="5:6" x14ac:dyDescent="0.15">
      <c r="E703" s="244"/>
      <c r="F703" s="244"/>
    </row>
    <row r="704" spans="5:6" x14ac:dyDescent="0.15">
      <c r="E704" s="244"/>
      <c r="F704" s="244"/>
    </row>
    <row r="705" spans="5:6" x14ac:dyDescent="0.15">
      <c r="E705" s="244"/>
      <c r="F705" s="244"/>
    </row>
    <row r="706" spans="5:6" x14ac:dyDescent="0.15">
      <c r="E706" s="244"/>
      <c r="F706" s="244"/>
    </row>
    <row r="707" spans="5:6" x14ac:dyDescent="0.15">
      <c r="E707" s="244"/>
      <c r="F707" s="244"/>
    </row>
    <row r="708" spans="5:6" x14ac:dyDescent="0.15">
      <c r="E708" s="244"/>
      <c r="F708" s="244"/>
    </row>
    <row r="709" spans="5:6" x14ac:dyDescent="0.15">
      <c r="E709" s="244"/>
      <c r="F709" s="244"/>
    </row>
    <row r="710" spans="5:6" x14ac:dyDescent="0.15">
      <c r="E710" s="244"/>
      <c r="F710" s="244"/>
    </row>
    <row r="711" spans="5:6" x14ac:dyDescent="0.15">
      <c r="E711" s="244"/>
      <c r="F711" s="244"/>
    </row>
    <row r="712" spans="5:6" x14ac:dyDescent="0.15">
      <c r="E712" s="244"/>
      <c r="F712" s="244"/>
    </row>
    <row r="713" spans="5:6" x14ac:dyDescent="0.15">
      <c r="E713" s="244"/>
      <c r="F713" s="244"/>
    </row>
    <row r="714" spans="5:6" x14ac:dyDescent="0.15">
      <c r="E714" s="244"/>
      <c r="F714" s="244"/>
    </row>
    <row r="715" spans="5:6" x14ac:dyDescent="0.15">
      <c r="E715" s="244"/>
      <c r="F715" s="244"/>
    </row>
    <row r="716" spans="5:6" x14ac:dyDescent="0.15">
      <c r="E716" s="244"/>
      <c r="F716" s="244"/>
    </row>
    <row r="717" spans="5:6" x14ac:dyDescent="0.15">
      <c r="E717" s="244"/>
      <c r="F717" s="244"/>
    </row>
    <row r="718" spans="5:6" x14ac:dyDescent="0.15">
      <c r="E718" s="244"/>
      <c r="F718" s="244"/>
    </row>
    <row r="719" spans="5:6" x14ac:dyDescent="0.15">
      <c r="E719" s="244"/>
      <c r="F719" s="244"/>
    </row>
    <row r="720" spans="5:6" x14ac:dyDescent="0.15">
      <c r="E720" s="244"/>
      <c r="F720" s="244"/>
    </row>
    <row r="721" spans="5:6" x14ac:dyDescent="0.15">
      <c r="E721" s="244"/>
      <c r="F721" s="244"/>
    </row>
    <row r="722" spans="5:6" x14ac:dyDescent="0.15">
      <c r="E722" s="244"/>
      <c r="F722" s="244"/>
    </row>
    <row r="723" spans="5:6" x14ac:dyDescent="0.15">
      <c r="E723" s="244"/>
      <c r="F723" s="244"/>
    </row>
    <row r="724" spans="5:6" x14ac:dyDescent="0.15">
      <c r="E724" s="244"/>
      <c r="F724" s="244"/>
    </row>
    <row r="725" spans="5:6" x14ac:dyDescent="0.15">
      <c r="E725" s="244"/>
      <c r="F725" s="244"/>
    </row>
    <row r="726" spans="5:6" x14ac:dyDescent="0.15">
      <c r="E726" s="244"/>
      <c r="F726" s="244"/>
    </row>
    <row r="727" spans="5:6" x14ac:dyDescent="0.15">
      <c r="E727" s="244"/>
      <c r="F727" s="244"/>
    </row>
    <row r="728" spans="5:6" x14ac:dyDescent="0.15">
      <c r="E728" s="244"/>
      <c r="F728" s="244"/>
    </row>
    <row r="729" spans="5:6" x14ac:dyDescent="0.15">
      <c r="E729" s="244"/>
      <c r="F729" s="244"/>
    </row>
    <row r="730" spans="5:6" x14ac:dyDescent="0.15">
      <c r="E730" s="244"/>
      <c r="F730" s="244"/>
    </row>
    <row r="731" spans="5:6" x14ac:dyDescent="0.15">
      <c r="E731" s="244"/>
      <c r="F731" s="244"/>
    </row>
    <row r="732" spans="5:6" x14ac:dyDescent="0.15">
      <c r="E732" s="244"/>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2:H500">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Y2:AA500">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7"/>
  <sheetViews>
    <sheetView zoomScale="80" zoomScaleNormal="80" workbookViewId="0">
      <selection activeCell="L53" sqref="L53"/>
    </sheetView>
  </sheetViews>
  <sheetFormatPr defaultRowHeight="13.5" x14ac:dyDescent="0.15"/>
  <cols>
    <col min="1" max="3" width="9" style="206" customWidth="1"/>
    <col min="4" max="4" width="10.5" style="206" customWidth="1"/>
    <col min="5" max="5" width="11.25" style="206" bestFit="1" customWidth="1"/>
    <col min="6" max="7" width="9" style="206"/>
    <col min="8" max="10" width="9" style="206" customWidth="1"/>
    <col min="11" max="11" width="11.375" style="206" customWidth="1"/>
    <col min="12" max="16" width="9" style="206" customWidth="1"/>
    <col min="17" max="17" width="9" style="215" customWidth="1"/>
    <col min="18" max="18" width="9" style="206"/>
    <col min="19" max="19" width="9.5" style="206" bestFit="1" customWidth="1"/>
    <col min="20" max="20" width="9" style="215" customWidth="1"/>
    <col min="21" max="21" width="9" style="206"/>
    <col min="22" max="22" width="9" style="215" customWidth="1"/>
    <col min="23" max="28" width="9" style="206"/>
    <col min="29" max="29" width="26.5" style="206" customWidth="1"/>
    <col min="30" max="32" width="9" style="206"/>
    <col min="33" max="33" width="15.75" style="206" bestFit="1" customWidth="1"/>
    <col min="34" max="34" width="15" style="206" bestFit="1" customWidth="1"/>
    <col min="35" max="256" width="9" style="206"/>
    <col min="257" max="259" width="9" style="206" customWidth="1"/>
    <col min="260" max="260" width="10.5" style="206" customWidth="1"/>
    <col min="261" max="261" width="11.25" style="206" bestFit="1" customWidth="1"/>
    <col min="262" max="263" width="9" style="206"/>
    <col min="264" max="273" width="9" style="206" customWidth="1"/>
    <col min="274" max="274" width="9" style="206"/>
    <col min="275" max="275" width="9.5" style="206" bestFit="1" customWidth="1"/>
    <col min="276" max="276" width="9" style="206" customWidth="1"/>
    <col min="277" max="277" width="9" style="206"/>
    <col min="278" max="278" width="9" style="206" customWidth="1"/>
    <col min="279" max="284" width="9" style="206"/>
    <col min="285" max="285" width="26.5" style="206" customWidth="1"/>
    <col min="286" max="288" width="9" style="206"/>
    <col min="289" max="289" width="14.75" style="206" bestFit="1" customWidth="1"/>
    <col min="290" max="512" width="9" style="206"/>
    <col min="513" max="515" width="9" style="206" customWidth="1"/>
    <col min="516" max="516" width="10.5" style="206" customWidth="1"/>
    <col min="517" max="517" width="11.25" style="206" bestFit="1" customWidth="1"/>
    <col min="518" max="519" width="9" style="206"/>
    <col min="520" max="529" width="9" style="206" customWidth="1"/>
    <col min="530" max="530" width="9" style="206"/>
    <col min="531" max="531" width="9.5" style="206" bestFit="1" customWidth="1"/>
    <col min="532" max="532" width="9" style="206" customWidth="1"/>
    <col min="533" max="533" width="9" style="206"/>
    <col min="534" max="534" width="9" style="206" customWidth="1"/>
    <col min="535" max="540" width="9" style="206"/>
    <col min="541" max="541" width="26.5" style="206" customWidth="1"/>
    <col min="542" max="544" width="9" style="206"/>
    <col min="545" max="545" width="14.75" style="206" bestFit="1" customWidth="1"/>
    <col min="546" max="768" width="9" style="206"/>
    <col min="769" max="771" width="9" style="206" customWidth="1"/>
    <col min="772" max="772" width="10.5" style="206" customWidth="1"/>
    <col min="773" max="773" width="11.25" style="206" bestFit="1" customWidth="1"/>
    <col min="774" max="775" width="9" style="206"/>
    <col min="776" max="785" width="9" style="206" customWidth="1"/>
    <col min="786" max="786" width="9" style="206"/>
    <col min="787" max="787" width="9.5" style="206" bestFit="1" customWidth="1"/>
    <col min="788" max="788" width="9" style="206" customWidth="1"/>
    <col min="789" max="789" width="9" style="206"/>
    <col min="790" max="790" width="9" style="206" customWidth="1"/>
    <col min="791" max="796" width="9" style="206"/>
    <col min="797" max="797" width="26.5" style="206" customWidth="1"/>
    <col min="798" max="800" width="9" style="206"/>
    <col min="801" max="801" width="14.75" style="206" bestFit="1" customWidth="1"/>
    <col min="802" max="1024" width="9" style="206"/>
    <col min="1025" max="1027" width="9" style="206" customWidth="1"/>
    <col min="1028" max="1028" width="10.5" style="206" customWidth="1"/>
    <col min="1029" max="1029" width="11.25" style="206" bestFit="1" customWidth="1"/>
    <col min="1030" max="1031" width="9" style="206"/>
    <col min="1032" max="1041" width="9" style="206" customWidth="1"/>
    <col min="1042" max="1042" width="9" style="206"/>
    <col min="1043" max="1043" width="9.5" style="206" bestFit="1" customWidth="1"/>
    <col min="1044" max="1044" width="9" style="206" customWidth="1"/>
    <col min="1045" max="1045" width="9" style="206"/>
    <col min="1046" max="1046" width="9" style="206" customWidth="1"/>
    <col min="1047" max="1052" width="9" style="206"/>
    <col min="1053" max="1053" width="26.5" style="206" customWidth="1"/>
    <col min="1054" max="1056" width="9" style="206"/>
    <col min="1057" max="1057" width="14.75" style="206" bestFit="1" customWidth="1"/>
    <col min="1058" max="1280" width="9" style="206"/>
    <col min="1281" max="1283" width="9" style="206" customWidth="1"/>
    <col min="1284" max="1284" width="10.5" style="206" customWidth="1"/>
    <col min="1285" max="1285" width="11.25" style="206" bestFit="1" customWidth="1"/>
    <col min="1286" max="1287" width="9" style="206"/>
    <col min="1288" max="1297" width="9" style="206" customWidth="1"/>
    <col min="1298" max="1298" width="9" style="206"/>
    <col min="1299" max="1299" width="9.5" style="206" bestFit="1" customWidth="1"/>
    <col min="1300" max="1300" width="9" style="206" customWidth="1"/>
    <col min="1301" max="1301" width="9" style="206"/>
    <col min="1302" max="1302" width="9" style="206" customWidth="1"/>
    <col min="1303" max="1308" width="9" style="206"/>
    <col min="1309" max="1309" width="26.5" style="206" customWidth="1"/>
    <col min="1310" max="1312" width="9" style="206"/>
    <col min="1313" max="1313" width="14.75" style="206" bestFit="1" customWidth="1"/>
    <col min="1314" max="1536" width="9" style="206"/>
    <col min="1537" max="1539" width="9" style="206" customWidth="1"/>
    <col min="1540" max="1540" width="10.5" style="206" customWidth="1"/>
    <col min="1541" max="1541" width="11.25" style="206" bestFit="1" customWidth="1"/>
    <col min="1542" max="1543" width="9" style="206"/>
    <col min="1544" max="1553" width="9" style="206" customWidth="1"/>
    <col min="1554" max="1554" width="9" style="206"/>
    <col min="1555" max="1555" width="9.5" style="206" bestFit="1" customWidth="1"/>
    <col min="1556" max="1556" width="9" style="206" customWidth="1"/>
    <col min="1557" max="1557" width="9" style="206"/>
    <col min="1558" max="1558" width="9" style="206" customWidth="1"/>
    <col min="1559" max="1564" width="9" style="206"/>
    <col min="1565" max="1565" width="26.5" style="206" customWidth="1"/>
    <col min="1566" max="1568" width="9" style="206"/>
    <col min="1569" max="1569" width="14.75" style="206" bestFit="1" customWidth="1"/>
    <col min="1570" max="1792" width="9" style="206"/>
    <col min="1793" max="1795" width="9" style="206" customWidth="1"/>
    <col min="1796" max="1796" width="10.5" style="206" customWidth="1"/>
    <col min="1797" max="1797" width="11.25" style="206" bestFit="1" customWidth="1"/>
    <col min="1798" max="1799" width="9" style="206"/>
    <col min="1800" max="1809" width="9" style="206" customWidth="1"/>
    <col min="1810" max="1810" width="9" style="206"/>
    <col min="1811" max="1811" width="9.5" style="206" bestFit="1" customWidth="1"/>
    <col min="1812" max="1812" width="9" style="206" customWidth="1"/>
    <col min="1813" max="1813" width="9" style="206"/>
    <col min="1814" max="1814" width="9" style="206" customWidth="1"/>
    <col min="1815" max="1820" width="9" style="206"/>
    <col min="1821" max="1821" width="26.5" style="206" customWidth="1"/>
    <col min="1822" max="1824" width="9" style="206"/>
    <col min="1825" max="1825" width="14.75" style="206" bestFit="1" customWidth="1"/>
    <col min="1826" max="2048" width="9" style="206"/>
    <col min="2049" max="2051" width="9" style="206" customWidth="1"/>
    <col min="2052" max="2052" width="10.5" style="206" customWidth="1"/>
    <col min="2053" max="2053" width="11.25" style="206" bestFit="1" customWidth="1"/>
    <col min="2054" max="2055" width="9" style="206"/>
    <col min="2056" max="2065" width="9" style="206" customWidth="1"/>
    <col min="2066" max="2066" width="9" style="206"/>
    <col min="2067" max="2067" width="9.5" style="206" bestFit="1" customWidth="1"/>
    <col min="2068" max="2068" width="9" style="206" customWidth="1"/>
    <col min="2069" max="2069" width="9" style="206"/>
    <col min="2070" max="2070" width="9" style="206" customWidth="1"/>
    <col min="2071" max="2076" width="9" style="206"/>
    <col min="2077" max="2077" width="26.5" style="206" customWidth="1"/>
    <col min="2078" max="2080" width="9" style="206"/>
    <col min="2081" max="2081" width="14.75" style="206" bestFit="1" customWidth="1"/>
    <col min="2082" max="2304" width="9" style="206"/>
    <col min="2305" max="2307" width="9" style="206" customWidth="1"/>
    <col min="2308" max="2308" width="10.5" style="206" customWidth="1"/>
    <col min="2309" max="2309" width="11.25" style="206" bestFit="1" customWidth="1"/>
    <col min="2310" max="2311" width="9" style="206"/>
    <col min="2312" max="2321" width="9" style="206" customWidth="1"/>
    <col min="2322" max="2322" width="9" style="206"/>
    <col min="2323" max="2323" width="9.5" style="206" bestFit="1" customWidth="1"/>
    <col min="2324" max="2324" width="9" style="206" customWidth="1"/>
    <col min="2325" max="2325" width="9" style="206"/>
    <col min="2326" max="2326" width="9" style="206" customWidth="1"/>
    <col min="2327" max="2332" width="9" style="206"/>
    <col min="2333" max="2333" width="26.5" style="206" customWidth="1"/>
    <col min="2334" max="2336" width="9" style="206"/>
    <col min="2337" max="2337" width="14.75" style="206" bestFit="1" customWidth="1"/>
    <col min="2338" max="2560" width="9" style="206"/>
    <col min="2561" max="2563" width="9" style="206" customWidth="1"/>
    <col min="2564" max="2564" width="10.5" style="206" customWidth="1"/>
    <col min="2565" max="2565" width="11.25" style="206" bestFit="1" customWidth="1"/>
    <col min="2566" max="2567" width="9" style="206"/>
    <col min="2568" max="2577" width="9" style="206" customWidth="1"/>
    <col min="2578" max="2578" width="9" style="206"/>
    <col min="2579" max="2579" width="9.5" style="206" bestFit="1" customWidth="1"/>
    <col min="2580" max="2580" width="9" style="206" customWidth="1"/>
    <col min="2581" max="2581" width="9" style="206"/>
    <col min="2582" max="2582" width="9" style="206" customWidth="1"/>
    <col min="2583" max="2588" width="9" style="206"/>
    <col min="2589" max="2589" width="26.5" style="206" customWidth="1"/>
    <col min="2590" max="2592" width="9" style="206"/>
    <col min="2593" max="2593" width="14.75" style="206" bestFit="1" customWidth="1"/>
    <col min="2594" max="2816" width="9" style="206"/>
    <col min="2817" max="2819" width="9" style="206" customWidth="1"/>
    <col min="2820" max="2820" width="10.5" style="206" customWidth="1"/>
    <col min="2821" max="2821" width="11.25" style="206" bestFit="1" customWidth="1"/>
    <col min="2822" max="2823" width="9" style="206"/>
    <col min="2824" max="2833" width="9" style="206" customWidth="1"/>
    <col min="2834" max="2834" width="9" style="206"/>
    <col min="2835" max="2835" width="9.5" style="206" bestFit="1" customWidth="1"/>
    <col min="2836" max="2836" width="9" style="206" customWidth="1"/>
    <col min="2837" max="2837" width="9" style="206"/>
    <col min="2838" max="2838" width="9" style="206" customWidth="1"/>
    <col min="2839" max="2844" width="9" style="206"/>
    <col min="2845" max="2845" width="26.5" style="206" customWidth="1"/>
    <col min="2846" max="2848" width="9" style="206"/>
    <col min="2849" max="2849" width="14.75" style="206" bestFit="1" customWidth="1"/>
    <col min="2850" max="3072" width="9" style="206"/>
    <col min="3073" max="3075" width="9" style="206" customWidth="1"/>
    <col min="3076" max="3076" width="10.5" style="206" customWidth="1"/>
    <col min="3077" max="3077" width="11.25" style="206" bestFit="1" customWidth="1"/>
    <col min="3078" max="3079" width="9" style="206"/>
    <col min="3080" max="3089" width="9" style="206" customWidth="1"/>
    <col min="3090" max="3090" width="9" style="206"/>
    <col min="3091" max="3091" width="9.5" style="206" bestFit="1" customWidth="1"/>
    <col min="3092" max="3092" width="9" style="206" customWidth="1"/>
    <col min="3093" max="3093" width="9" style="206"/>
    <col min="3094" max="3094" width="9" style="206" customWidth="1"/>
    <col min="3095" max="3100" width="9" style="206"/>
    <col min="3101" max="3101" width="26.5" style="206" customWidth="1"/>
    <col min="3102" max="3104" width="9" style="206"/>
    <col min="3105" max="3105" width="14.75" style="206" bestFit="1" customWidth="1"/>
    <col min="3106" max="3328" width="9" style="206"/>
    <col min="3329" max="3331" width="9" style="206" customWidth="1"/>
    <col min="3332" max="3332" width="10.5" style="206" customWidth="1"/>
    <col min="3333" max="3333" width="11.25" style="206" bestFit="1" customWidth="1"/>
    <col min="3334" max="3335" width="9" style="206"/>
    <col min="3336" max="3345" width="9" style="206" customWidth="1"/>
    <col min="3346" max="3346" width="9" style="206"/>
    <col min="3347" max="3347" width="9.5" style="206" bestFit="1" customWidth="1"/>
    <col min="3348" max="3348" width="9" style="206" customWidth="1"/>
    <col min="3349" max="3349" width="9" style="206"/>
    <col min="3350" max="3350" width="9" style="206" customWidth="1"/>
    <col min="3351" max="3356" width="9" style="206"/>
    <col min="3357" max="3357" width="26.5" style="206" customWidth="1"/>
    <col min="3358" max="3360" width="9" style="206"/>
    <col min="3361" max="3361" width="14.75" style="206" bestFit="1" customWidth="1"/>
    <col min="3362" max="3584" width="9" style="206"/>
    <col min="3585" max="3587" width="9" style="206" customWidth="1"/>
    <col min="3588" max="3588" width="10.5" style="206" customWidth="1"/>
    <col min="3589" max="3589" width="11.25" style="206" bestFit="1" customWidth="1"/>
    <col min="3590" max="3591" width="9" style="206"/>
    <col min="3592" max="3601" width="9" style="206" customWidth="1"/>
    <col min="3602" max="3602" width="9" style="206"/>
    <col min="3603" max="3603" width="9.5" style="206" bestFit="1" customWidth="1"/>
    <col min="3604" max="3604" width="9" style="206" customWidth="1"/>
    <col min="3605" max="3605" width="9" style="206"/>
    <col min="3606" max="3606" width="9" style="206" customWidth="1"/>
    <col min="3607" max="3612" width="9" style="206"/>
    <col min="3613" max="3613" width="26.5" style="206" customWidth="1"/>
    <col min="3614" max="3616" width="9" style="206"/>
    <col min="3617" max="3617" width="14.75" style="206" bestFit="1" customWidth="1"/>
    <col min="3618" max="3840" width="9" style="206"/>
    <col min="3841" max="3843" width="9" style="206" customWidth="1"/>
    <col min="3844" max="3844" width="10.5" style="206" customWidth="1"/>
    <col min="3845" max="3845" width="11.25" style="206" bestFit="1" customWidth="1"/>
    <col min="3846" max="3847" width="9" style="206"/>
    <col min="3848" max="3857" width="9" style="206" customWidth="1"/>
    <col min="3858" max="3858" width="9" style="206"/>
    <col min="3859" max="3859" width="9.5" style="206" bestFit="1" customWidth="1"/>
    <col min="3860" max="3860" width="9" style="206" customWidth="1"/>
    <col min="3861" max="3861" width="9" style="206"/>
    <col min="3862" max="3862" width="9" style="206" customWidth="1"/>
    <col min="3863" max="3868" width="9" style="206"/>
    <col min="3869" max="3869" width="26.5" style="206" customWidth="1"/>
    <col min="3870" max="3872" width="9" style="206"/>
    <col min="3873" max="3873" width="14.75" style="206" bestFit="1" customWidth="1"/>
    <col min="3874" max="4096" width="9" style="206"/>
    <col min="4097" max="4099" width="9" style="206" customWidth="1"/>
    <col min="4100" max="4100" width="10.5" style="206" customWidth="1"/>
    <col min="4101" max="4101" width="11.25" style="206" bestFit="1" customWidth="1"/>
    <col min="4102" max="4103" width="9" style="206"/>
    <col min="4104" max="4113" width="9" style="206" customWidth="1"/>
    <col min="4114" max="4114" width="9" style="206"/>
    <col min="4115" max="4115" width="9.5" style="206" bestFit="1" customWidth="1"/>
    <col min="4116" max="4116" width="9" style="206" customWidth="1"/>
    <col min="4117" max="4117" width="9" style="206"/>
    <col min="4118" max="4118" width="9" style="206" customWidth="1"/>
    <col min="4119" max="4124" width="9" style="206"/>
    <col min="4125" max="4125" width="26.5" style="206" customWidth="1"/>
    <col min="4126" max="4128" width="9" style="206"/>
    <col min="4129" max="4129" width="14.75" style="206" bestFit="1" customWidth="1"/>
    <col min="4130" max="4352" width="9" style="206"/>
    <col min="4353" max="4355" width="9" style="206" customWidth="1"/>
    <col min="4356" max="4356" width="10.5" style="206" customWidth="1"/>
    <col min="4357" max="4357" width="11.25" style="206" bestFit="1" customWidth="1"/>
    <col min="4358" max="4359" width="9" style="206"/>
    <col min="4360" max="4369" width="9" style="206" customWidth="1"/>
    <col min="4370" max="4370" width="9" style="206"/>
    <col min="4371" max="4371" width="9.5" style="206" bestFit="1" customWidth="1"/>
    <col min="4372" max="4372" width="9" style="206" customWidth="1"/>
    <col min="4373" max="4373" width="9" style="206"/>
    <col min="4374" max="4374" width="9" style="206" customWidth="1"/>
    <col min="4375" max="4380" width="9" style="206"/>
    <col min="4381" max="4381" width="26.5" style="206" customWidth="1"/>
    <col min="4382" max="4384" width="9" style="206"/>
    <col min="4385" max="4385" width="14.75" style="206" bestFit="1" customWidth="1"/>
    <col min="4386" max="4608" width="9" style="206"/>
    <col min="4609" max="4611" width="9" style="206" customWidth="1"/>
    <col min="4612" max="4612" width="10.5" style="206" customWidth="1"/>
    <col min="4613" max="4613" width="11.25" style="206" bestFit="1" customWidth="1"/>
    <col min="4614" max="4615" width="9" style="206"/>
    <col min="4616" max="4625" width="9" style="206" customWidth="1"/>
    <col min="4626" max="4626" width="9" style="206"/>
    <col min="4627" max="4627" width="9.5" style="206" bestFit="1" customWidth="1"/>
    <col min="4628" max="4628" width="9" style="206" customWidth="1"/>
    <col min="4629" max="4629" width="9" style="206"/>
    <col min="4630" max="4630" width="9" style="206" customWidth="1"/>
    <col min="4631" max="4636" width="9" style="206"/>
    <col min="4637" max="4637" width="26.5" style="206" customWidth="1"/>
    <col min="4638" max="4640" width="9" style="206"/>
    <col min="4641" max="4641" width="14.75" style="206" bestFit="1" customWidth="1"/>
    <col min="4642" max="4864" width="9" style="206"/>
    <col min="4865" max="4867" width="9" style="206" customWidth="1"/>
    <col min="4868" max="4868" width="10.5" style="206" customWidth="1"/>
    <col min="4869" max="4869" width="11.25" style="206" bestFit="1" customWidth="1"/>
    <col min="4870" max="4871" width="9" style="206"/>
    <col min="4872" max="4881" width="9" style="206" customWidth="1"/>
    <col min="4882" max="4882" width="9" style="206"/>
    <col min="4883" max="4883" width="9.5" style="206" bestFit="1" customWidth="1"/>
    <col min="4884" max="4884" width="9" style="206" customWidth="1"/>
    <col min="4885" max="4885" width="9" style="206"/>
    <col min="4886" max="4886" width="9" style="206" customWidth="1"/>
    <col min="4887" max="4892" width="9" style="206"/>
    <col min="4893" max="4893" width="26.5" style="206" customWidth="1"/>
    <col min="4894" max="4896" width="9" style="206"/>
    <col min="4897" max="4897" width="14.75" style="206" bestFit="1" customWidth="1"/>
    <col min="4898" max="5120" width="9" style="206"/>
    <col min="5121" max="5123" width="9" style="206" customWidth="1"/>
    <col min="5124" max="5124" width="10.5" style="206" customWidth="1"/>
    <col min="5125" max="5125" width="11.25" style="206" bestFit="1" customWidth="1"/>
    <col min="5126" max="5127" width="9" style="206"/>
    <col min="5128" max="5137" width="9" style="206" customWidth="1"/>
    <col min="5138" max="5138" width="9" style="206"/>
    <col min="5139" max="5139" width="9.5" style="206" bestFit="1" customWidth="1"/>
    <col min="5140" max="5140" width="9" style="206" customWidth="1"/>
    <col min="5141" max="5141" width="9" style="206"/>
    <col min="5142" max="5142" width="9" style="206" customWidth="1"/>
    <col min="5143" max="5148" width="9" style="206"/>
    <col min="5149" max="5149" width="26.5" style="206" customWidth="1"/>
    <col min="5150" max="5152" width="9" style="206"/>
    <col min="5153" max="5153" width="14.75" style="206" bestFit="1" customWidth="1"/>
    <col min="5154" max="5376" width="9" style="206"/>
    <col min="5377" max="5379" width="9" style="206" customWidth="1"/>
    <col min="5380" max="5380" width="10.5" style="206" customWidth="1"/>
    <col min="5381" max="5381" width="11.25" style="206" bestFit="1" customWidth="1"/>
    <col min="5382" max="5383" width="9" style="206"/>
    <col min="5384" max="5393" width="9" style="206" customWidth="1"/>
    <col min="5394" max="5394" width="9" style="206"/>
    <col min="5395" max="5395" width="9.5" style="206" bestFit="1" customWidth="1"/>
    <col min="5396" max="5396" width="9" style="206" customWidth="1"/>
    <col min="5397" max="5397" width="9" style="206"/>
    <col min="5398" max="5398" width="9" style="206" customWidth="1"/>
    <col min="5399" max="5404" width="9" style="206"/>
    <col min="5405" max="5405" width="26.5" style="206" customWidth="1"/>
    <col min="5406" max="5408" width="9" style="206"/>
    <col min="5409" max="5409" width="14.75" style="206" bestFit="1" customWidth="1"/>
    <col min="5410" max="5632" width="9" style="206"/>
    <col min="5633" max="5635" width="9" style="206" customWidth="1"/>
    <col min="5636" max="5636" width="10.5" style="206" customWidth="1"/>
    <col min="5637" max="5637" width="11.25" style="206" bestFit="1" customWidth="1"/>
    <col min="5638" max="5639" width="9" style="206"/>
    <col min="5640" max="5649" width="9" style="206" customWidth="1"/>
    <col min="5650" max="5650" width="9" style="206"/>
    <col min="5651" max="5651" width="9.5" style="206" bestFit="1" customWidth="1"/>
    <col min="5652" max="5652" width="9" style="206" customWidth="1"/>
    <col min="5653" max="5653" width="9" style="206"/>
    <col min="5654" max="5654" width="9" style="206" customWidth="1"/>
    <col min="5655" max="5660" width="9" style="206"/>
    <col min="5661" max="5661" width="26.5" style="206" customWidth="1"/>
    <col min="5662" max="5664" width="9" style="206"/>
    <col min="5665" max="5665" width="14.75" style="206" bestFit="1" customWidth="1"/>
    <col min="5666" max="5888" width="9" style="206"/>
    <col min="5889" max="5891" width="9" style="206" customWidth="1"/>
    <col min="5892" max="5892" width="10.5" style="206" customWidth="1"/>
    <col min="5893" max="5893" width="11.25" style="206" bestFit="1" customWidth="1"/>
    <col min="5894" max="5895" width="9" style="206"/>
    <col min="5896" max="5905" width="9" style="206" customWidth="1"/>
    <col min="5906" max="5906" width="9" style="206"/>
    <col min="5907" max="5907" width="9.5" style="206" bestFit="1" customWidth="1"/>
    <col min="5908" max="5908" width="9" style="206" customWidth="1"/>
    <col min="5909" max="5909" width="9" style="206"/>
    <col min="5910" max="5910" width="9" style="206" customWidth="1"/>
    <col min="5911" max="5916" width="9" style="206"/>
    <col min="5917" max="5917" width="26.5" style="206" customWidth="1"/>
    <col min="5918" max="5920" width="9" style="206"/>
    <col min="5921" max="5921" width="14.75" style="206" bestFit="1" customWidth="1"/>
    <col min="5922" max="6144" width="9" style="206"/>
    <col min="6145" max="6147" width="9" style="206" customWidth="1"/>
    <col min="6148" max="6148" width="10.5" style="206" customWidth="1"/>
    <col min="6149" max="6149" width="11.25" style="206" bestFit="1" customWidth="1"/>
    <col min="6150" max="6151" width="9" style="206"/>
    <col min="6152" max="6161" width="9" style="206" customWidth="1"/>
    <col min="6162" max="6162" width="9" style="206"/>
    <col min="6163" max="6163" width="9.5" style="206" bestFit="1" customWidth="1"/>
    <col min="6164" max="6164" width="9" style="206" customWidth="1"/>
    <col min="6165" max="6165" width="9" style="206"/>
    <col min="6166" max="6166" width="9" style="206" customWidth="1"/>
    <col min="6167" max="6172" width="9" style="206"/>
    <col min="6173" max="6173" width="26.5" style="206" customWidth="1"/>
    <col min="6174" max="6176" width="9" style="206"/>
    <col min="6177" max="6177" width="14.75" style="206" bestFit="1" customWidth="1"/>
    <col min="6178" max="6400" width="9" style="206"/>
    <col min="6401" max="6403" width="9" style="206" customWidth="1"/>
    <col min="6404" max="6404" width="10.5" style="206" customWidth="1"/>
    <col min="6405" max="6405" width="11.25" style="206" bestFit="1" customWidth="1"/>
    <col min="6406" max="6407" width="9" style="206"/>
    <col min="6408" max="6417" width="9" style="206" customWidth="1"/>
    <col min="6418" max="6418" width="9" style="206"/>
    <col min="6419" max="6419" width="9.5" style="206" bestFit="1" customWidth="1"/>
    <col min="6420" max="6420" width="9" style="206" customWidth="1"/>
    <col min="6421" max="6421" width="9" style="206"/>
    <col min="6422" max="6422" width="9" style="206" customWidth="1"/>
    <col min="6423" max="6428" width="9" style="206"/>
    <col min="6429" max="6429" width="26.5" style="206" customWidth="1"/>
    <col min="6430" max="6432" width="9" style="206"/>
    <col min="6433" max="6433" width="14.75" style="206" bestFit="1" customWidth="1"/>
    <col min="6434" max="6656" width="9" style="206"/>
    <col min="6657" max="6659" width="9" style="206" customWidth="1"/>
    <col min="6660" max="6660" width="10.5" style="206" customWidth="1"/>
    <col min="6661" max="6661" width="11.25" style="206" bestFit="1" customWidth="1"/>
    <col min="6662" max="6663" width="9" style="206"/>
    <col min="6664" max="6673" width="9" style="206" customWidth="1"/>
    <col min="6674" max="6674" width="9" style="206"/>
    <col min="6675" max="6675" width="9.5" style="206" bestFit="1" customWidth="1"/>
    <col min="6676" max="6676" width="9" style="206" customWidth="1"/>
    <col min="6677" max="6677" width="9" style="206"/>
    <col min="6678" max="6678" width="9" style="206" customWidth="1"/>
    <col min="6679" max="6684" width="9" style="206"/>
    <col min="6685" max="6685" width="26.5" style="206" customWidth="1"/>
    <col min="6686" max="6688" width="9" style="206"/>
    <col min="6689" max="6689" width="14.75" style="206" bestFit="1" customWidth="1"/>
    <col min="6690" max="6912" width="9" style="206"/>
    <col min="6913" max="6915" width="9" style="206" customWidth="1"/>
    <col min="6916" max="6916" width="10.5" style="206" customWidth="1"/>
    <col min="6917" max="6917" width="11.25" style="206" bestFit="1" customWidth="1"/>
    <col min="6918" max="6919" width="9" style="206"/>
    <col min="6920" max="6929" width="9" style="206" customWidth="1"/>
    <col min="6930" max="6930" width="9" style="206"/>
    <col min="6931" max="6931" width="9.5" style="206" bestFit="1" customWidth="1"/>
    <col min="6932" max="6932" width="9" style="206" customWidth="1"/>
    <col min="6933" max="6933" width="9" style="206"/>
    <col min="6934" max="6934" width="9" style="206" customWidth="1"/>
    <col min="6935" max="6940" width="9" style="206"/>
    <col min="6941" max="6941" width="26.5" style="206" customWidth="1"/>
    <col min="6942" max="6944" width="9" style="206"/>
    <col min="6945" max="6945" width="14.75" style="206" bestFit="1" customWidth="1"/>
    <col min="6946" max="7168" width="9" style="206"/>
    <col min="7169" max="7171" width="9" style="206" customWidth="1"/>
    <col min="7172" max="7172" width="10.5" style="206" customWidth="1"/>
    <col min="7173" max="7173" width="11.25" style="206" bestFit="1" customWidth="1"/>
    <col min="7174" max="7175" width="9" style="206"/>
    <col min="7176" max="7185" width="9" style="206" customWidth="1"/>
    <col min="7186" max="7186" width="9" style="206"/>
    <col min="7187" max="7187" width="9.5" style="206" bestFit="1" customWidth="1"/>
    <col min="7188" max="7188" width="9" style="206" customWidth="1"/>
    <col min="7189" max="7189" width="9" style="206"/>
    <col min="7190" max="7190" width="9" style="206" customWidth="1"/>
    <col min="7191" max="7196" width="9" style="206"/>
    <col min="7197" max="7197" width="26.5" style="206" customWidth="1"/>
    <col min="7198" max="7200" width="9" style="206"/>
    <col min="7201" max="7201" width="14.75" style="206" bestFit="1" customWidth="1"/>
    <col min="7202" max="7424" width="9" style="206"/>
    <col min="7425" max="7427" width="9" style="206" customWidth="1"/>
    <col min="7428" max="7428" width="10.5" style="206" customWidth="1"/>
    <col min="7429" max="7429" width="11.25" style="206" bestFit="1" customWidth="1"/>
    <col min="7430" max="7431" width="9" style="206"/>
    <col min="7432" max="7441" width="9" style="206" customWidth="1"/>
    <col min="7442" max="7442" width="9" style="206"/>
    <col min="7443" max="7443" width="9.5" style="206" bestFit="1" customWidth="1"/>
    <col min="7444" max="7444" width="9" style="206" customWidth="1"/>
    <col min="7445" max="7445" width="9" style="206"/>
    <col min="7446" max="7446" width="9" style="206" customWidth="1"/>
    <col min="7447" max="7452" width="9" style="206"/>
    <col min="7453" max="7453" width="26.5" style="206" customWidth="1"/>
    <col min="7454" max="7456" width="9" style="206"/>
    <col min="7457" max="7457" width="14.75" style="206" bestFit="1" customWidth="1"/>
    <col min="7458" max="7680" width="9" style="206"/>
    <col min="7681" max="7683" width="9" style="206" customWidth="1"/>
    <col min="7684" max="7684" width="10.5" style="206" customWidth="1"/>
    <col min="7685" max="7685" width="11.25" style="206" bestFit="1" customWidth="1"/>
    <col min="7686" max="7687" width="9" style="206"/>
    <col min="7688" max="7697" width="9" style="206" customWidth="1"/>
    <col min="7698" max="7698" width="9" style="206"/>
    <col min="7699" max="7699" width="9.5" style="206" bestFit="1" customWidth="1"/>
    <col min="7700" max="7700" width="9" style="206" customWidth="1"/>
    <col min="7701" max="7701" width="9" style="206"/>
    <col min="7702" max="7702" width="9" style="206" customWidth="1"/>
    <col min="7703" max="7708" width="9" style="206"/>
    <col min="7709" max="7709" width="26.5" style="206" customWidth="1"/>
    <col min="7710" max="7712" width="9" style="206"/>
    <col min="7713" max="7713" width="14.75" style="206" bestFit="1" customWidth="1"/>
    <col min="7714" max="7936" width="9" style="206"/>
    <col min="7937" max="7939" width="9" style="206" customWidth="1"/>
    <col min="7940" max="7940" width="10.5" style="206" customWidth="1"/>
    <col min="7941" max="7941" width="11.25" style="206" bestFit="1" customWidth="1"/>
    <col min="7942" max="7943" width="9" style="206"/>
    <col min="7944" max="7953" width="9" style="206" customWidth="1"/>
    <col min="7954" max="7954" width="9" style="206"/>
    <col min="7955" max="7955" width="9.5" style="206" bestFit="1" customWidth="1"/>
    <col min="7956" max="7956" width="9" style="206" customWidth="1"/>
    <col min="7957" max="7957" width="9" style="206"/>
    <col min="7958" max="7958" width="9" style="206" customWidth="1"/>
    <col min="7959" max="7964" width="9" style="206"/>
    <col min="7965" max="7965" width="26.5" style="206" customWidth="1"/>
    <col min="7966" max="7968" width="9" style="206"/>
    <col min="7969" max="7969" width="14.75" style="206" bestFit="1" customWidth="1"/>
    <col min="7970" max="8192" width="9" style="206"/>
    <col min="8193" max="8195" width="9" style="206" customWidth="1"/>
    <col min="8196" max="8196" width="10.5" style="206" customWidth="1"/>
    <col min="8197" max="8197" width="11.25" style="206" bestFit="1" customWidth="1"/>
    <col min="8198" max="8199" width="9" style="206"/>
    <col min="8200" max="8209" width="9" style="206" customWidth="1"/>
    <col min="8210" max="8210" width="9" style="206"/>
    <col min="8211" max="8211" width="9.5" style="206" bestFit="1" customWidth="1"/>
    <col min="8212" max="8212" width="9" style="206" customWidth="1"/>
    <col min="8213" max="8213" width="9" style="206"/>
    <col min="8214" max="8214" width="9" style="206" customWidth="1"/>
    <col min="8215" max="8220" width="9" style="206"/>
    <col min="8221" max="8221" width="26.5" style="206" customWidth="1"/>
    <col min="8222" max="8224" width="9" style="206"/>
    <col min="8225" max="8225" width="14.75" style="206" bestFit="1" customWidth="1"/>
    <col min="8226" max="8448" width="9" style="206"/>
    <col min="8449" max="8451" width="9" style="206" customWidth="1"/>
    <col min="8452" max="8452" width="10.5" style="206" customWidth="1"/>
    <col min="8453" max="8453" width="11.25" style="206" bestFit="1" customWidth="1"/>
    <col min="8454" max="8455" width="9" style="206"/>
    <col min="8456" max="8465" width="9" style="206" customWidth="1"/>
    <col min="8466" max="8466" width="9" style="206"/>
    <col min="8467" max="8467" width="9.5" style="206" bestFit="1" customWidth="1"/>
    <col min="8468" max="8468" width="9" style="206" customWidth="1"/>
    <col min="8469" max="8469" width="9" style="206"/>
    <col min="8470" max="8470" width="9" style="206" customWidth="1"/>
    <col min="8471" max="8476" width="9" style="206"/>
    <col min="8477" max="8477" width="26.5" style="206" customWidth="1"/>
    <col min="8478" max="8480" width="9" style="206"/>
    <col min="8481" max="8481" width="14.75" style="206" bestFit="1" customWidth="1"/>
    <col min="8482" max="8704" width="9" style="206"/>
    <col min="8705" max="8707" width="9" style="206" customWidth="1"/>
    <col min="8708" max="8708" width="10.5" style="206" customWidth="1"/>
    <col min="8709" max="8709" width="11.25" style="206" bestFit="1" customWidth="1"/>
    <col min="8710" max="8711" width="9" style="206"/>
    <col min="8712" max="8721" width="9" style="206" customWidth="1"/>
    <col min="8722" max="8722" width="9" style="206"/>
    <col min="8723" max="8723" width="9.5" style="206" bestFit="1" customWidth="1"/>
    <col min="8724" max="8724" width="9" style="206" customWidth="1"/>
    <col min="8725" max="8725" width="9" style="206"/>
    <col min="8726" max="8726" width="9" style="206" customWidth="1"/>
    <col min="8727" max="8732" width="9" style="206"/>
    <col min="8733" max="8733" width="26.5" style="206" customWidth="1"/>
    <col min="8734" max="8736" width="9" style="206"/>
    <col min="8737" max="8737" width="14.75" style="206" bestFit="1" customWidth="1"/>
    <col min="8738" max="8960" width="9" style="206"/>
    <col min="8961" max="8963" width="9" style="206" customWidth="1"/>
    <col min="8964" max="8964" width="10.5" style="206" customWidth="1"/>
    <col min="8965" max="8965" width="11.25" style="206" bestFit="1" customWidth="1"/>
    <col min="8966" max="8967" width="9" style="206"/>
    <col min="8968" max="8977" width="9" style="206" customWidth="1"/>
    <col min="8978" max="8978" width="9" style="206"/>
    <col min="8979" max="8979" width="9.5" style="206" bestFit="1" customWidth="1"/>
    <col min="8980" max="8980" width="9" style="206" customWidth="1"/>
    <col min="8981" max="8981" width="9" style="206"/>
    <col min="8982" max="8982" width="9" style="206" customWidth="1"/>
    <col min="8983" max="8988" width="9" style="206"/>
    <col min="8989" max="8989" width="26.5" style="206" customWidth="1"/>
    <col min="8990" max="8992" width="9" style="206"/>
    <col min="8993" max="8993" width="14.75" style="206" bestFit="1" customWidth="1"/>
    <col min="8994" max="9216" width="9" style="206"/>
    <col min="9217" max="9219" width="9" style="206" customWidth="1"/>
    <col min="9220" max="9220" width="10.5" style="206" customWidth="1"/>
    <col min="9221" max="9221" width="11.25" style="206" bestFit="1" customWidth="1"/>
    <col min="9222" max="9223" width="9" style="206"/>
    <col min="9224" max="9233" width="9" style="206" customWidth="1"/>
    <col min="9234" max="9234" width="9" style="206"/>
    <col min="9235" max="9235" width="9.5" style="206" bestFit="1" customWidth="1"/>
    <col min="9236" max="9236" width="9" style="206" customWidth="1"/>
    <col min="9237" max="9237" width="9" style="206"/>
    <col min="9238" max="9238" width="9" style="206" customWidth="1"/>
    <col min="9239" max="9244" width="9" style="206"/>
    <col min="9245" max="9245" width="26.5" style="206" customWidth="1"/>
    <col min="9246" max="9248" width="9" style="206"/>
    <col min="9249" max="9249" width="14.75" style="206" bestFit="1" customWidth="1"/>
    <col min="9250" max="9472" width="9" style="206"/>
    <col min="9473" max="9475" width="9" style="206" customWidth="1"/>
    <col min="9476" max="9476" width="10.5" style="206" customWidth="1"/>
    <col min="9477" max="9477" width="11.25" style="206" bestFit="1" customWidth="1"/>
    <col min="9478" max="9479" width="9" style="206"/>
    <col min="9480" max="9489" width="9" style="206" customWidth="1"/>
    <col min="9490" max="9490" width="9" style="206"/>
    <col min="9491" max="9491" width="9.5" style="206" bestFit="1" customWidth="1"/>
    <col min="9492" max="9492" width="9" style="206" customWidth="1"/>
    <col min="9493" max="9493" width="9" style="206"/>
    <col min="9494" max="9494" width="9" style="206" customWidth="1"/>
    <col min="9495" max="9500" width="9" style="206"/>
    <col min="9501" max="9501" width="26.5" style="206" customWidth="1"/>
    <col min="9502" max="9504" width="9" style="206"/>
    <col min="9505" max="9505" width="14.75" style="206" bestFit="1" customWidth="1"/>
    <col min="9506" max="9728" width="9" style="206"/>
    <col min="9729" max="9731" width="9" style="206" customWidth="1"/>
    <col min="9732" max="9732" width="10.5" style="206" customWidth="1"/>
    <col min="9733" max="9733" width="11.25" style="206" bestFit="1" customWidth="1"/>
    <col min="9734" max="9735" width="9" style="206"/>
    <col min="9736" max="9745" width="9" style="206" customWidth="1"/>
    <col min="9746" max="9746" width="9" style="206"/>
    <col min="9747" max="9747" width="9.5" style="206" bestFit="1" customWidth="1"/>
    <col min="9748" max="9748" width="9" style="206" customWidth="1"/>
    <col min="9749" max="9749" width="9" style="206"/>
    <col min="9750" max="9750" width="9" style="206" customWidth="1"/>
    <col min="9751" max="9756" width="9" style="206"/>
    <col min="9757" max="9757" width="26.5" style="206" customWidth="1"/>
    <col min="9758" max="9760" width="9" style="206"/>
    <col min="9761" max="9761" width="14.75" style="206" bestFit="1" customWidth="1"/>
    <col min="9762" max="9984" width="9" style="206"/>
    <col min="9985" max="9987" width="9" style="206" customWidth="1"/>
    <col min="9988" max="9988" width="10.5" style="206" customWidth="1"/>
    <col min="9989" max="9989" width="11.25" style="206" bestFit="1" customWidth="1"/>
    <col min="9990" max="9991" width="9" style="206"/>
    <col min="9992" max="10001" width="9" style="206" customWidth="1"/>
    <col min="10002" max="10002" width="9" style="206"/>
    <col min="10003" max="10003" width="9.5" style="206" bestFit="1" customWidth="1"/>
    <col min="10004" max="10004" width="9" style="206" customWidth="1"/>
    <col min="10005" max="10005" width="9" style="206"/>
    <col min="10006" max="10006" width="9" style="206" customWidth="1"/>
    <col min="10007" max="10012" width="9" style="206"/>
    <col min="10013" max="10013" width="26.5" style="206" customWidth="1"/>
    <col min="10014" max="10016" width="9" style="206"/>
    <col min="10017" max="10017" width="14.75" style="206" bestFit="1" customWidth="1"/>
    <col min="10018" max="10240" width="9" style="206"/>
    <col min="10241" max="10243" width="9" style="206" customWidth="1"/>
    <col min="10244" max="10244" width="10.5" style="206" customWidth="1"/>
    <col min="10245" max="10245" width="11.25" style="206" bestFit="1" customWidth="1"/>
    <col min="10246" max="10247" width="9" style="206"/>
    <col min="10248" max="10257" width="9" style="206" customWidth="1"/>
    <col min="10258" max="10258" width="9" style="206"/>
    <col min="10259" max="10259" width="9.5" style="206" bestFit="1" customWidth="1"/>
    <col min="10260" max="10260" width="9" style="206" customWidth="1"/>
    <col min="10261" max="10261" width="9" style="206"/>
    <col min="10262" max="10262" width="9" style="206" customWidth="1"/>
    <col min="10263" max="10268" width="9" style="206"/>
    <col min="10269" max="10269" width="26.5" style="206" customWidth="1"/>
    <col min="10270" max="10272" width="9" style="206"/>
    <col min="10273" max="10273" width="14.75" style="206" bestFit="1" customWidth="1"/>
    <col min="10274" max="10496" width="9" style="206"/>
    <col min="10497" max="10499" width="9" style="206" customWidth="1"/>
    <col min="10500" max="10500" width="10.5" style="206" customWidth="1"/>
    <col min="10501" max="10501" width="11.25" style="206" bestFit="1" customWidth="1"/>
    <col min="10502" max="10503" width="9" style="206"/>
    <col min="10504" max="10513" width="9" style="206" customWidth="1"/>
    <col min="10514" max="10514" width="9" style="206"/>
    <col min="10515" max="10515" width="9.5" style="206" bestFit="1" customWidth="1"/>
    <col min="10516" max="10516" width="9" style="206" customWidth="1"/>
    <col min="10517" max="10517" width="9" style="206"/>
    <col min="10518" max="10518" width="9" style="206" customWidth="1"/>
    <col min="10519" max="10524" width="9" style="206"/>
    <col min="10525" max="10525" width="26.5" style="206" customWidth="1"/>
    <col min="10526" max="10528" width="9" style="206"/>
    <col min="10529" max="10529" width="14.75" style="206" bestFit="1" customWidth="1"/>
    <col min="10530" max="10752" width="9" style="206"/>
    <col min="10753" max="10755" width="9" style="206" customWidth="1"/>
    <col min="10756" max="10756" width="10.5" style="206" customWidth="1"/>
    <col min="10757" max="10757" width="11.25" style="206" bestFit="1" customWidth="1"/>
    <col min="10758" max="10759" width="9" style="206"/>
    <col min="10760" max="10769" width="9" style="206" customWidth="1"/>
    <col min="10770" max="10770" width="9" style="206"/>
    <col min="10771" max="10771" width="9.5" style="206" bestFit="1" customWidth="1"/>
    <col min="10772" max="10772" width="9" style="206" customWidth="1"/>
    <col min="10773" max="10773" width="9" style="206"/>
    <col min="10774" max="10774" width="9" style="206" customWidth="1"/>
    <col min="10775" max="10780" width="9" style="206"/>
    <col min="10781" max="10781" width="26.5" style="206" customWidth="1"/>
    <col min="10782" max="10784" width="9" style="206"/>
    <col min="10785" max="10785" width="14.75" style="206" bestFit="1" customWidth="1"/>
    <col min="10786" max="11008" width="9" style="206"/>
    <col min="11009" max="11011" width="9" style="206" customWidth="1"/>
    <col min="11012" max="11012" width="10.5" style="206" customWidth="1"/>
    <col min="11013" max="11013" width="11.25" style="206" bestFit="1" customWidth="1"/>
    <col min="11014" max="11015" width="9" style="206"/>
    <col min="11016" max="11025" width="9" style="206" customWidth="1"/>
    <col min="11026" max="11026" width="9" style="206"/>
    <col min="11027" max="11027" width="9.5" style="206" bestFit="1" customWidth="1"/>
    <col min="11028" max="11028" width="9" style="206" customWidth="1"/>
    <col min="11029" max="11029" width="9" style="206"/>
    <col min="11030" max="11030" width="9" style="206" customWidth="1"/>
    <col min="11031" max="11036" width="9" style="206"/>
    <col min="11037" max="11037" width="26.5" style="206" customWidth="1"/>
    <col min="11038" max="11040" width="9" style="206"/>
    <col min="11041" max="11041" width="14.75" style="206" bestFit="1" customWidth="1"/>
    <col min="11042" max="11264" width="9" style="206"/>
    <col min="11265" max="11267" width="9" style="206" customWidth="1"/>
    <col min="11268" max="11268" width="10.5" style="206" customWidth="1"/>
    <col min="11269" max="11269" width="11.25" style="206" bestFit="1" customWidth="1"/>
    <col min="11270" max="11271" width="9" style="206"/>
    <col min="11272" max="11281" width="9" style="206" customWidth="1"/>
    <col min="11282" max="11282" width="9" style="206"/>
    <col min="11283" max="11283" width="9.5" style="206" bestFit="1" customWidth="1"/>
    <col min="11284" max="11284" width="9" style="206" customWidth="1"/>
    <col min="11285" max="11285" width="9" style="206"/>
    <col min="11286" max="11286" width="9" style="206" customWidth="1"/>
    <col min="11287" max="11292" width="9" style="206"/>
    <col min="11293" max="11293" width="26.5" style="206" customWidth="1"/>
    <col min="11294" max="11296" width="9" style="206"/>
    <col min="11297" max="11297" width="14.75" style="206" bestFit="1" customWidth="1"/>
    <col min="11298" max="11520" width="9" style="206"/>
    <col min="11521" max="11523" width="9" style="206" customWidth="1"/>
    <col min="11524" max="11524" width="10.5" style="206" customWidth="1"/>
    <col min="11525" max="11525" width="11.25" style="206" bestFit="1" customWidth="1"/>
    <col min="11526" max="11527" width="9" style="206"/>
    <col min="11528" max="11537" width="9" style="206" customWidth="1"/>
    <col min="11538" max="11538" width="9" style="206"/>
    <col min="11539" max="11539" width="9.5" style="206" bestFit="1" customWidth="1"/>
    <col min="11540" max="11540" width="9" style="206" customWidth="1"/>
    <col min="11541" max="11541" width="9" style="206"/>
    <col min="11542" max="11542" width="9" style="206" customWidth="1"/>
    <col min="11543" max="11548" width="9" style="206"/>
    <col min="11549" max="11549" width="26.5" style="206" customWidth="1"/>
    <col min="11550" max="11552" width="9" style="206"/>
    <col min="11553" max="11553" width="14.75" style="206" bestFit="1" customWidth="1"/>
    <col min="11554" max="11776" width="9" style="206"/>
    <col min="11777" max="11779" width="9" style="206" customWidth="1"/>
    <col min="11780" max="11780" width="10.5" style="206" customWidth="1"/>
    <col min="11781" max="11781" width="11.25" style="206" bestFit="1" customWidth="1"/>
    <col min="11782" max="11783" width="9" style="206"/>
    <col min="11784" max="11793" width="9" style="206" customWidth="1"/>
    <col min="11794" max="11794" width="9" style="206"/>
    <col min="11795" max="11795" width="9.5" style="206" bestFit="1" customWidth="1"/>
    <col min="11796" max="11796" width="9" style="206" customWidth="1"/>
    <col min="11797" max="11797" width="9" style="206"/>
    <col min="11798" max="11798" width="9" style="206" customWidth="1"/>
    <col min="11799" max="11804" width="9" style="206"/>
    <col min="11805" max="11805" width="26.5" style="206" customWidth="1"/>
    <col min="11806" max="11808" width="9" style="206"/>
    <col min="11809" max="11809" width="14.75" style="206" bestFit="1" customWidth="1"/>
    <col min="11810" max="12032" width="9" style="206"/>
    <col min="12033" max="12035" width="9" style="206" customWidth="1"/>
    <col min="12036" max="12036" width="10.5" style="206" customWidth="1"/>
    <col min="12037" max="12037" width="11.25" style="206" bestFit="1" customWidth="1"/>
    <col min="12038" max="12039" width="9" style="206"/>
    <col min="12040" max="12049" width="9" style="206" customWidth="1"/>
    <col min="12050" max="12050" width="9" style="206"/>
    <col min="12051" max="12051" width="9.5" style="206" bestFit="1" customWidth="1"/>
    <col min="12052" max="12052" width="9" style="206" customWidth="1"/>
    <col min="12053" max="12053" width="9" style="206"/>
    <col min="12054" max="12054" width="9" style="206" customWidth="1"/>
    <col min="12055" max="12060" width="9" style="206"/>
    <col min="12061" max="12061" width="26.5" style="206" customWidth="1"/>
    <col min="12062" max="12064" width="9" style="206"/>
    <col min="12065" max="12065" width="14.75" style="206" bestFit="1" customWidth="1"/>
    <col min="12066" max="12288" width="9" style="206"/>
    <col min="12289" max="12291" width="9" style="206" customWidth="1"/>
    <col min="12292" max="12292" width="10.5" style="206" customWidth="1"/>
    <col min="12293" max="12293" width="11.25" style="206" bestFit="1" customWidth="1"/>
    <col min="12294" max="12295" width="9" style="206"/>
    <col min="12296" max="12305" width="9" style="206" customWidth="1"/>
    <col min="12306" max="12306" width="9" style="206"/>
    <col min="12307" max="12307" width="9.5" style="206" bestFit="1" customWidth="1"/>
    <col min="12308" max="12308" width="9" style="206" customWidth="1"/>
    <col min="12309" max="12309" width="9" style="206"/>
    <col min="12310" max="12310" width="9" style="206" customWidth="1"/>
    <col min="12311" max="12316" width="9" style="206"/>
    <col min="12317" max="12317" width="26.5" style="206" customWidth="1"/>
    <col min="12318" max="12320" width="9" style="206"/>
    <col min="12321" max="12321" width="14.75" style="206" bestFit="1" customWidth="1"/>
    <col min="12322" max="12544" width="9" style="206"/>
    <col min="12545" max="12547" width="9" style="206" customWidth="1"/>
    <col min="12548" max="12548" width="10.5" style="206" customWidth="1"/>
    <col min="12549" max="12549" width="11.25" style="206" bestFit="1" customWidth="1"/>
    <col min="12550" max="12551" width="9" style="206"/>
    <col min="12552" max="12561" width="9" style="206" customWidth="1"/>
    <col min="12562" max="12562" width="9" style="206"/>
    <col min="12563" max="12563" width="9.5" style="206" bestFit="1" customWidth="1"/>
    <col min="12564" max="12564" width="9" style="206" customWidth="1"/>
    <col min="12565" max="12565" width="9" style="206"/>
    <col min="12566" max="12566" width="9" style="206" customWidth="1"/>
    <col min="12567" max="12572" width="9" style="206"/>
    <col min="12573" max="12573" width="26.5" style="206" customWidth="1"/>
    <col min="12574" max="12576" width="9" style="206"/>
    <col min="12577" max="12577" width="14.75" style="206" bestFit="1" customWidth="1"/>
    <col min="12578" max="12800" width="9" style="206"/>
    <col min="12801" max="12803" width="9" style="206" customWidth="1"/>
    <col min="12804" max="12804" width="10.5" style="206" customWidth="1"/>
    <col min="12805" max="12805" width="11.25" style="206" bestFit="1" customWidth="1"/>
    <col min="12806" max="12807" width="9" style="206"/>
    <col min="12808" max="12817" width="9" style="206" customWidth="1"/>
    <col min="12818" max="12818" width="9" style="206"/>
    <col min="12819" max="12819" width="9.5" style="206" bestFit="1" customWidth="1"/>
    <col min="12820" max="12820" width="9" style="206" customWidth="1"/>
    <col min="12821" max="12821" width="9" style="206"/>
    <col min="12822" max="12822" width="9" style="206" customWidth="1"/>
    <col min="12823" max="12828" width="9" style="206"/>
    <col min="12829" max="12829" width="26.5" style="206" customWidth="1"/>
    <col min="12830" max="12832" width="9" style="206"/>
    <col min="12833" max="12833" width="14.75" style="206" bestFit="1" customWidth="1"/>
    <col min="12834" max="13056" width="9" style="206"/>
    <col min="13057" max="13059" width="9" style="206" customWidth="1"/>
    <col min="13060" max="13060" width="10.5" style="206" customWidth="1"/>
    <col min="13061" max="13061" width="11.25" style="206" bestFit="1" customWidth="1"/>
    <col min="13062" max="13063" width="9" style="206"/>
    <col min="13064" max="13073" width="9" style="206" customWidth="1"/>
    <col min="13074" max="13074" width="9" style="206"/>
    <col min="13075" max="13075" width="9.5" style="206" bestFit="1" customWidth="1"/>
    <col min="13076" max="13076" width="9" style="206" customWidth="1"/>
    <col min="13077" max="13077" width="9" style="206"/>
    <col min="13078" max="13078" width="9" style="206" customWidth="1"/>
    <col min="13079" max="13084" width="9" style="206"/>
    <col min="13085" max="13085" width="26.5" style="206" customWidth="1"/>
    <col min="13086" max="13088" width="9" style="206"/>
    <col min="13089" max="13089" width="14.75" style="206" bestFit="1" customWidth="1"/>
    <col min="13090" max="13312" width="9" style="206"/>
    <col min="13313" max="13315" width="9" style="206" customWidth="1"/>
    <col min="13316" max="13316" width="10.5" style="206" customWidth="1"/>
    <col min="13317" max="13317" width="11.25" style="206" bestFit="1" customWidth="1"/>
    <col min="13318" max="13319" width="9" style="206"/>
    <col min="13320" max="13329" width="9" style="206" customWidth="1"/>
    <col min="13330" max="13330" width="9" style="206"/>
    <col min="13331" max="13331" width="9.5" style="206" bestFit="1" customWidth="1"/>
    <col min="13332" max="13332" width="9" style="206" customWidth="1"/>
    <col min="13333" max="13333" width="9" style="206"/>
    <col min="13334" max="13334" width="9" style="206" customWidth="1"/>
    <col min="13335" max="13340" width="9" style="206"/>
    <col min="13341" max="13341" width="26.5" style="206" customWidth="1"/>
    <col min="13342" max="13344" width="9" style="206"/>
    <col min="13345" max="13345" width="14.75" style="206" bestFit="1" customWidth="1"/>
    <col min="13346" max="13568" width="9" style="206"/>
    <col min="13569" max="13571" width="9" style="206" customWidth="1"/>
    <col min="13572" max="13572" width="10.5" style="206" customWidth="1"/>
    <col min="13573" max="13573" width="11.25" style="206" bestFit="1" customWidth="1"/>
    <col min="13574" max="13575" width="9" style="206"/>
    <col min="13576" max="13585" width="9" style="206" customWidth="1"/>
    <col min="13586" max="13586" width="9" style="206"/>
    <col min="13587" max="13587" width="9.5" style="206" bestFit="1" customWidth="1"/>
    <col min="13588" max="13588" width="9" style="206" customWidth="1"/>
    <col min="13589" max="13589" width="9" style="206"/>
    <col min="13590" max="13590" width="9" style="206" customWidth="1"/>
    <col min="13591" max="13596" width="9" style="206"/>
    <col min="13597" max="13597" width="26.5" style="206" customWidth="1"/>
    <col min="13598" max="13600" width="9" style="206"/>
    <col min="13601" max="13601" width="14.75" style="206" bestFit="1" customWidth="1"/>
    <col min="13602" max="13824" width="9" style="206"/>
    <col min="13825" max="13827" width="9" style="206" customWidth="1"/>
    <col min="13828" max="13828" width="10.5" style="206" customWidth="1"/>
    <col min="13829" max="13829" width="11.25" style="206" bestFit="1" customWidth="1"/>
    <col min="13830" max="13831" width="9" style="206"/>
    <col min="13832" max="13841" width="9" style="206" customWidth="1"/>
    <col min="13842" max="13842" width="9" style="206"/>
    <col min="13843" max="13843" width="9.5" style="206" bestFit="1" customWidth="1"/>
    <col min="13844" max="13844" width="9" style="206" customWidth="1"/>
    <col min="13845" max="13845" width="9" style="206"/>
    <col min="13846" max="13846" width="9" style="206" customWidth="1"/>
    <col min="13847" max="13852" width="9" style="206"/>
    <col min="13853" max="13853" width="26.5" style="206" customWidth="1"/>
    <col min="13854" max="13856" width="9" style="206"/>
    <col min="13857" max="13857" width="14.75" style="206" bestFit="1" customWidth="1"/>
    <col min="13858" max="14080" width="9" style="206"/>
    <col min="14081" max="14083" width="9" style="206" customWidth="1"/>
    <col min="14084" max="14084" width="10.5" style="206" customWidth="1"/>
    <col min="14085" max="14085" width="11.25" style="206" bestFit="1" customWidth="1"/>
    <col min="14086" max="14087" width="9" style="206"/>
    <col min="14088" max="14097" width="9" style="206" customWidth="1"/>
    <col min="14098" max="14098" width="9" style="206"/>
    <col min="14099" max="14099" width="9.5" style="206" bestFit="1" customWidth="1"/>
    <col min="14100" max="14100" width="9" style="206" customWidth="1"/>
    <col min="14101" max="14101" width="9" style="206"/>
    <col min="14102" max="14102" width="9" style="206" customWidth="1"/>
    <col min="14103" max="14108" width="9" style="206"/>
    <col min="14109" max="14109" width="26.5" style="206" customWidth="1"/>
    <col min="14110" max="14112" width="9" style="206"/>
    <col min="14113" max="14113" width="14.75" style="206" bestFit="1" customWidth="1"/>
    <col min="14114" max="14336" width="9" style="206"/>
    <col min="14337" max="14339" width="9" style="206" customWidth="1"/>
    <col min="14340" max="14340" width="10.5" style="206" customWidth="1"/>
    <col min="14341" max="14341" width="11.25" style="206" bestFit="1" customWidth="1"/>
    <col min="14342" max="14343" width="9" style="206"/>
    <col min="14344" max="14353" width="9" style="206" customWidth="1"/>
    <col min="14354" max="14354" width="9" style="206"/>
    <col min="14355" max="14355" width="9.5" style="206" bestFit="1" customWidth="1"/>
    <col min="14356" max="14356" width="9" style="206" customWidth="1"/>
    <col min="14357" max="14357" width="9" style="206"/>
    <col min="14358" max="14358" width="9" style="206" customWidth="1"/>
    <col min="14359" max="14364" width="9" style="206"/>
    <col min="14365" max="14365" width="26.5" style="206" customWidth="1"/>
    <col min="14366" max="14368" width="9" style="206"/>
    <col min="14369" max="14369" width="14.75" style="206" bestFit="1" customWidth="1"/>
    <col min="14370" max="14592" width="9" style="206"/>
    <col min="14593" max="14595" width="9" style="206" customWidth="1"/>
    <col min="14596" max="14596" width="10.5" style="206" customWidth="1"/>
    <col min="14597" max="14597" width="11.25" style="206" bestFit="1" customWidth="1"/>
    <col min="14598" max="14599" width="9" style="206"/>
    <col min="14600" max="14609" width="9" style="206" customWidth="1"/>
    <col min="14610" max="14610" width="9" style="206"/>
    <col min="14611" max="14611" width="9.5" style="206" bestFit="1" customWidth="1"/>
    <col min="14612" max="14612" width="9" style="206" customWidth="1"/>
    <col min="14613" max="14613" width="9" style="206"/>
    <col min="14614" max="14614" width="9" style="206" customWidth="1"/>
    <col min="14615" max="14620" width="9" style="206"/>
    <col min="14621" max="14621" width="26.5" style="206" customWidth="1"/>
    <col min="14622" max="14624" width="9" style="206"/>
    <col min="14625" max="14625" width="14.75" style="206" bestFit="1" customWidth="1"/>
    <col min="14626" max="14848" width="9" style="206"/>
    <col min="14849" max="14851" width="9" style="206" customWidth="1"/>
    <col min="14852" max="14852" width="10.5" style="206" customWidth="1"/>
    <col min="14853" max="14853" width="11.25" style="206" bestFit="1" customWidth="1"/>
    <col min="14854" max="14855" width="9" style="206"/>
    <col min="14856" max="14865" width="9" style="206" customWidth="1"/>
    <col min="14866" max="14866" width="9" style="206"/>
    <col min="14867" max="14867" width="9.5" style="206" bestFit="1" customWidth="1"/>
    <col min="14868" max="14868" width="9" style="206" customWidth="1"/>
    <col min="14869" max="14869" width="9" style="206"/>
    <col min="14870" max="14870" width="9" style="206" customWidth="1"/>
    <col min="14871" max="14876" width="9" style="206"/>
    <col min="14877" max="14877" width="26.5" style="206" customWidth="1"/>
    <col min="14878" max="14880" width="9" style="206"/>
    <col min="14881" max="14881" width="14.75" style="206" bestFit="1" customWidth="1"/>
    <col min="14882" max="15104" width="9" style="206"/>
    <col min="15105" max="15107" width="9" style="206" customWidth="1"/>
    <col min="15108" max="15108" width="10.5" style="206" customWidth="1"/>
    <col min="15109" max="15109" width="11.25" style="206" bestFit="1" customWidth="1"/>
    <col min="15110" max="15111" width="9" style="206"/>
    <col min="15112" max="15121" width="9" style="206" customWidth="1"/>
    <col min="15122" max="15122" width="9" style="206"/>
    <col min="15123" max="15123" width="9.5" style="206" bestFit="1" customWidth="1"/>
    <col min="15124" max="15124" width="9" style="206" customWidth="1"/>
    <col min="15125" max="15125" width="9" style="206"/>
    <col min="15126" max="15126" width="9" style="206" customWidth="1"/>
    <col min="15127" max="15132" width="9" style="206"/>
    <col min="15133" max="15133" width="26.5" style="206" customWidth="1"/>
    <col min="15134" max="15136" width="9" style="206"/>
    <col min="15137" max="15137" width="14.75" style="206" bestFit="1" customWidth="1"/>
    <col min="15138" max="15360" width="9" style="206"/>
    <col min="15361" max="15363" width="9" style="206" customWidth="1"/>
    <col min="15364" max="15364" width="10.5" style="206" customWidth="1"/>
    <col min="15365" max="15365" width="11.25" style="206" bestFit="1" customWidth="1"/>
    <col min="15366" max="15367" width="9" style="206"/>
    <col min="15368" max="15377" width="9" style="206" customWidth="1"/>
    <col min="15378" max="15378" width="9" style="206"/>
    <col min="15379" max="15379" width="9.5" style="206" bestFit="1" customWidth="1"/>
    <col min="15380" max="15380" width="9" style="206" customWidth="1"/>
    <col min="15381" max="15381" width="9" style="206"/>
    <col min="15382" max="15382" width="9" style="206" customWidth="1"/>
    <col min="15383" max="15388" width="9" style="206"/>
    <col min="15389" max="15389" width="26.5" style="206" customWidth="1"/>
    <col min="15390" max="15392" width="9" style="206"/>
    <col min="15393" max="15393" width="14.75" style="206" bestFit="1" customWidth="1"/>
    <col min="15394" max="15616" width="9" style="206"/>
    <col min="15617" max="15619" width="9" style="206" customWidth="1"/>
    <col min="15620" max="15620" width="10.5" style="206" customWidth="1"/>
    <col min="15621" max="15621" width="11.25" style="206" bestFit="1" customWidth="1"/>
    <col min="15622" max="15623" width="9" style="206"/>
    <col min="15624" max="15633" width="9" style="206" customWidth="1"/>
    <col min="15634" max="15634" width="9" style="206"/>
    <col min="15635" max="15635" width="9.5" style="206" bestFit="1" customWidth="1"/>
    <col min="15636" max="15636" width="9" style="206" customWidth="1"/>
    <col min="15637" max="15637" width="9" style="206"/>
    <col min="15638" max="15638" width="9" style="206" customWidth="1"/>
    <col min="15639" max="15644" width="9" style="206"/>
    <col min="15645" max="15645" width="26.5" style="206" customWidth="1"/>
    <col min="15646" max="15648" width="9" style="206"/>
    <col min="15649" max="15649" width="14.75" style="206" bestFit="1" customWidth="1"/>
    <col min="15650" max="15872" width="9" style="206"/>
    <col min="15873" max="15875" width="9" style="206" customWidth="1"/>
    <col min="15876" max="15876" width="10.5" style="206" customWidth="1"/>
    <col min="15877" max="15877" width="11.25" style="206" bestFit="1" customWidth="1"/>
    <col min="15878" max="15879" width="9" style="206"/>
    <col min="15880" max="15889" width="9" style="206" customWidth="1"/>
    <col min="15890" max="15890" width="9" style="206"/>
    <col min="15891" max="15891" width="9.5" style="206" bestFit="1" customWidth="1"/>
    <col min="15892" max="15892" width="9" style="206" customWidth="1"/>
    <col min="15893" max="15893" width="9" style="206"/>
    <col min="15894" max="15894" width="9" style="206" customWidth="1"/>
    <col min="15895" max="15900" width="9" style="206"/>
    <col min="15901" max="15901" width="26.5" style="206" customWidth="1"/>
    <col min="15902" max="15904" width="9" style="206"/>
    <col min="15905" max="15905" width="14.75" style="206" bestFit="1" customWidth="1"/>
    <col min="15906" max="16128" width="9" style="206"/>
    <col min="16129" max="16131" width="9" style="206" customWidth="1"/>
    <col min="16132" max="16132" width="10.5" style="206" customWidth="1"/>
    <col min="16133" max="16133" width="11.25" style="206" bestFit="1" customWidth="1"/>
    <col min="16134" max="16135" width="9" style="206"/>
    <col min="16136" max="16145" width="9" style="206" customWidth="1"/>
    <col min="16146" max="16146" width="9" style="206"/>
    <col min="16147" max="16147" width="9.5" style="206" bestFit="1" customWidth="1"/>
    <col min="16148" max="16148" width="9" style="206" customWidth="1"/>
    <col min="16149" max="16149" width="9" style="206"/>
    <col min="16150" max="16150" width="9" style="206" customWidth="1"/>
    <col min="16151" max="16156" width="9" style="206"/>
    <col min="16157" max="16157" width="26.5" style="206" customWidth="1"/>
    <col min="16158" max="16160" width="9" style="206"/>
    <col min="16161" max="16161" width="14.75" style="206" bestFit="1" customWidth="1"/>
    <col min="16162" max="16384" width="9" style="206"/>
  </cols>
  <sheetData>
    <row r="1" spans="1:53" ht="44.25" customHeight="1" x14ac:dyDescent="0.15">
      <c r="A1" s="133" t="s">
        <v>404</v>
      </c>
      <c r="B1" s="200" t="s">
        <v>1</v>
      </c>
      <c r="C1" s="200" t="s">
        <v>339</v>
      </c>
      <c r="D1" s="201" t="s">
        <v>3</v>
      </c>
      <c r="E1" s="201" t="s">
        <v>405</v>
      </c>
      <c r="F1" s="201" t="s">
        <v>5</v>
      </c>
      <c r="G1" s="201" t="s">
        <v>6</v>
      </c>
      <c r="H1" s="201" t="s">
        <v>406</v>
      </c>
      <c r="I1" s="201" t="s">
        <v>8</v>
      </c>
      <c r="J1" s="201" t="s">
        <v>9</v>
      </c>
      <c r="K1" s="201" t="s">
        <v>10</v>
      </c>
      <c r="L1" s="201" t="s">
        <v>407</v>
      </c>
      <c r="M1" s="201" t="s">
        <v>12</v>
      </c>
      <c r="N1" s="201" t="s">
        <v>13</v>
      </c>
      <c r="O1" s="201" t="s">
        <v>408</v>
      </c>
      <c r="P1" s="201" t="s">
        <v>409</v>
      </c>
      <c r="Q1" s="202" t="s">
        <v>16</v>
      </c>
      <c r="R1" s="201" t="s">
        <v>410</v>
      </c>
      <c r="S1" s="201" t="s">
        <v>411</v>
      </c>
      <c r="T1" s="202" t="s">
        <v>19</v>
      </c>
      <c r="U1" s="203" t="s">
        <v>108</v>
      </c>
      <c r="V1" s="204" t="s">
        <v>20</v>
      </c>
      <c r="W1" s="201" t="s">
        <v>21</v>
      </c>
      <c r="X1" s="201" t="s">
        <v>22</v>
      </c>
      <c r="Y1" s="201" t="s">
        <v>23</v>
      </c>
      <c r="Z1" s="201" t="s">
        <v>24</v>
      </c>
      <c r="AA1" s="134" t="s">
        <v>25</v>
      </c>
      <c r="AB1" s="135" t="s">
        <v>412</v>
      </c>
      <c r="AC1" s="136"/>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413</v>
      </c>
      <c r="AY1" s="212" t="s">
        <v>414</v>
      </c>
      <c r="AZ1" s="212" t="s">
        <v>415</v>
      </c>
      <c r="BA1" s="213" t="s">
        <v>416</v>
      </c>
    </row>
    <row r="2" spans="1:53" s="143" customFormat="1" x14ac:dyDescent="0.15">
      <c r="A2" s="137" t="s">
        <v>61</v>
      </c>
      <c r="B2" s="137" t="s">
        <v>417</v>
      </c>
      <c r="C2" s="137">
        <v>2018</v>
      </c>
      <c r="D2" s="138" t="s">
        <v>418</v>
      </c>
      <c r="E2" s="137" t="s">
        <v>238</v>
      </c>
      <c r="F2" s="137" t="s">
        <v>237</v>
      </c>
      <c r="G2" s="137" t="s">
        <v>42</v>
      </c>
      <c r="H2" s="245" t="s">
        <v>127</v>
      </c>
      <c r="I2" s="245" t="s">
        <v>153</v>
      </c>
      <c r="J2" s="137" t="s">
        <v>80</v>
      </c>
      <c r="K2" s="245" t="s">
        <v>61</v>
      </c>
      <c r="L2" s="245">
        <v>1</v>
      </c>
      <c r="M2" s="245"/>
      <c r="N2" s="245">
        <v>2</v>
      </c>
      <c r="O2" s="245">
        <v>0.8</v>
      </c>
      <c r="P2" s="245">
        <v>0.8</v>
      </c>
      <c r="Q2" s="139">
        <f t="shared" ref="Q2:Q65" si="0">IF(OR(O2="",P2=""),"",AVERAGE(O2,P2))</f>
        <v>0.8</v>
      </c>
      <c r="R2" s="245">
        <v>15.3</v>
      </c>
      <c r="S2" s="245">
        <v>165</v>
      </c>
      <c r="T2" s="140">
        <f t="shared" ref="T2:T65" si="1">IF(H2="","",IF(OR(H2="GREEN",H2="GK"),IF(S2&gt;=$AX$2,VLOOKUP(S2,$AX$2:$AY$15,2,1),""),IF(S2&gt;=$AZ$2,VLOOKUP(S2,$AZ$2:$BA$15,2,1),"")))</f>
        <v>18</v>
      </c>
      <c r="U2" s="245">
        <v>183</v>
      </c>
      <c r="V2" s="141">
        <f t="shared" ref="V2:V65" si="2">IF(OR(N2="",U2="",T2=""),"",U2/N2*T2)</f>
        <v>1647</v>
      </c>
      <c r="W2" s="245">
        <v>1</v>
      </c>
      <c r="X2" s="137" t="s">
        <v>39</v>
      </c>
      <c r="Y2" s="245" t="s">
        <v>40</v>
      </c>
      <c r="Z2" s="245" t="s">
        <v>86</v>
      </c>
      <c r="AA2" s="245" t="s">
        <v>69</v>
      </c>
      <c r="AB2" s="137" t="s">
        <v>419</v>
      </c>
      <c r="AC2" s="142"/>
      <c r="AE2" s="216" t="s">
        <v>35</v>
      </c>
      <c r="AG2" s="49" t="s">
        <v>238</v>
      </c>
      <c r="AH2" s="49" t="s">
        <v>237</v>
      </c>
      <c r="AJ2" s="144" t="s">
        <v>36</v>
      </c>
      <c r="AL2" s="217" t="s">
        <v>127</v>
      </c>
      <c r="AN2" s="144" t="s">
        <v>37</v>
      </c>
      <c r="AP2" s="217" t="s">
        <v>38</v>
      </c>
      <c r="AR2" s="217" t="s">
        <v>420</v>
      </c>
      <c r="AT2" s="144" t="s">
        <v>39</v>
      </c>
      <c r="AV2" s="217" t="s">
        <v>40</v>
      </c>
      <c r="AX2" s="145">
        <v>1</v>
      </c>
      <c r="AY2" s="146">
        <v>50</v>
      </c>
      <c r="AZ2" s="146">
        <v>1</v>
      </c>
      <c r="BA2" s="147">
        <v>50</v>
      </c>
    </row>
    <row r="3" spans="1:53" x14ac:dyDescent="0.15">
      <c r="A3" s="137" t="s">
        <v>61</v>
      </c>
      <c r="B3" s="137" t="s">
        <v>417</v>
      </c>
      <c r="C3" s="137">
        <v>2018</v>
      </c>
      <c r="D3" s="138" t="s">
        <v>418</v>
      </c>
      <c r="E3" s="137" t="s">
        <v>238</v>
      </c>
      <c r="F3" s="137" t="s">
        <v>237</v>
      </c>
      <c r="G3" s="137" t="s">
        <v>42</v>
      </c>
      <c r="H3" s="245" t="s">
        <v>127</v>
      </c>
      <c r="I3" s="245" t="s">
        <v>153</v>
      </c>
      <c r="J3" s="137" t="s">
        <v>80</v>
      </c>
      <c r="K3" s="245" t="s">
        <v>61</v>
      </c>
      <c r="L3" s="245">
        <v>2</v>
      </c>
      <c r="M3" s="245"/>
      <c r="N3" s="245">
        <v>2</v>
      </c>
      <c r="O3" s="245">
        <v>0.85</v>
      </c>
      <c r="P3" s="245">
        <v>0.8</v>
      </c>
      <c r="Q3" s="139">
        <f t="shared" si="0"/>
        <v>0.82499999999999996</v>
      </c>
      <c r="R3" s="245">
        <v>15.4</v>
      </c>
      <c r="S3" s="245">
        <v>158</v>
      </c>
      <c r="T3" s="140">
        <f t="shared" si="1"/>
        <v>18</v>
      </c>
      <c r="U3" s="245">
        <v>183</v>
      </c>
      <c r="V3" s="141">
        <f t="shared" si="2"/>
        <v>1647</v>
      </c>
      <c r="W3" s="245">
        <v>1</v>
      </c>
      <c r="X3" s="137" t="s">
        <v>39</v>
      </c>
      <c r="Y3" s="245" t="s">
        <v>40</v>
      </c>
      <c r="Z3" s="245" t="s">
        <v>86</v>
      </c>
      <c r="AA3" s="245" t="s">
        <v>69</v>
      </c>
      <c r="AB3" s="137" t="s">
        <v>419</v>
      </c>
      <c r="AC3" s="142"/>
      <c r="AE3" s="221" t="s">
        <v>41</v>
      </c>
      <c r="AG3" s="49" t="s">
        <v>239</v>
      </c>
      <c r="AH3" s="49" t="s">
        <v>240</v>
      </c>
      <c r="AJ3" s="222" t="s">
        <v>42</v>
      </c>
      <c r="AL3" s="222" t="s">
        <v>128</v>
      </c>
      <c r="AN3" s="222" t="s">
        <v>43</v>
      </c>
      <c r="AP3" s="222" t="s">
        <v>44</v>
      </c>
      <c r="AR3" s="236" t="s">
        <v>45</v>
      </c>
      <c r="AT3" s="222" t="s">
        <v>46</v>
      </c>
      <c r="AV3" s="236" t="s">
        <v>47</v>
      </c>
      <c r="AX3" s="223">
        <v>72</v>
      </c>
      <c r="AY3" s="224">
        <v>46</v>
      </c>
      <c r="AZ3" s="224">
        <v>71</v>
      </c>
      <c r="BA3" s="225">
        <v>42</v>
      </c>
    </row>
    <row r="4" spans="1:53" x14ac:dyDescent="0.15">
      <c r="A4" s="137" t="s">
        <v>61</v>
      </c>
      <c r="B4" s="137" t="s">
        <v>417</v>
      </c>
      <c r="C4" s="137">
        <v>2018</v>
      </c>
      <c r="D4" s="138" t="s">
        <v>418</v>
      </c>
      <c r="E4" s="137" t="s">
        <v>238</v>
      </c>
      <c r="F4" s="137" t="s">
        <v>237</v>
      </c>
      <c r="G4" s="137" t="s">
        <v>42</v>
      </c>
      <c r="H4" s="245" t="s">
        <v>127</v>
      </c>
      <c r="I4" s="245" t="s">
        <v>153</v>
      </c>
      <c r="J4" s="137" t="s">
        <v>80</v>
      </c>
      <c r="K4" s="245" t="s">
        <v>61</v>
      </c>
      <c r="L4" s="245">
        <v>3</v>
      </c>
      <c r="M4" s="245"/>
      <c r="N4" s="245">
        <v>2</v>
      </c>
      <c r="O4" s="245">
        <v>0.8</v>
      </c>
      <c r="P4" s="245">
        <v>0.85</v>
      </c>
      <c r="Q4" s="139">
        <f t="shared" si="0"/>
        <v>0.82499999999999996</v>
      </c>
      <c r="R4" s="245">
        <v>14.9</v>
      </c>
      <c r="S4" s="245">
        <v>167</v>
      </c>
      <c r="T4" s="140">
        <f t="shared" si="1"/>
        <v>18</v>
      </c>
      <c r="U4" s="245">
        <v>183</v>
      </c>
      <c r="V4" s="141">
        <f t="shared" si="2"/>
        <v>1647</v>
      </c>
      <c r="W4" s="245">
        <v>1</v>
      </c>
      <c r="X4" s="137" t="s">
        <v>39</v>
      </c>
      <c r="Y4" s="245" t="s">
        <v>40</v>
      </c>
      <c r="Z4" s="245" t="s">
        <v>86</v>
      </c>
      <c r="AA4" s="245" t="s">
        <v>69</v>
      </c>
      <c r="AB4" s="137" t="s">
        <v>419</v>
      </c>
      <c r="AC4" s="142"/>
      <c r="AE4" s="221" t="s">
        <v>34</v>
      </c>
      <c r="AG4" s="49" t="s">
        <v>241</v>
      </c>
      <c r="AH4" s="49" t="s">
        <v>242</v>
      </c>
      <c r="AJ4" s="226" t="s">
        <v>48</v>
      </c>
      <c r="AL4" s="226" t="s">
        <v>129</v>
      </c>
      <c r="AN4" s="227" t="s">
        <v>49</v>
      </c>
      <c r="AP4" s="222" t="s">
        <v>421</v>
      </c>
      <c r="AR4" s="236" t="s">
        <v>422</v>
      </c>
      <c r="AT4" s="227"/>
      <c r="AV4" s="236" t="s">
        <v>50</v>
      </c>
      <c r="AX4" s="223">
        <v>75</v>
      </c>
      <c r="AY4" s="224">
        <v>42</v>
      </c>
      <c r="AZ4" s="224">
        <v>76</v>
      </c>
      <c r="BA4" s="225">
        <v>39</v>
      </c>
    </row>
    <row r="5" spans="1:53" x14ac:dyDescent="0.15">
      <c r="A5" s="137" t="s">
        <v>61</v>
      </c>
      <c r="B5" s="137" t="s">
        <v>417</v>
      </c>
      <c r="C5" s="137">
        <v>2018</v>
      </c>
      <c r="D5" s="138" t="s">
        <v>418</v>
      </c>
      <c r="E5" s="137" t="s">
        <v>241</v>
      </c>
      <c r="F5" s="137" t="s">
        <v>242</v>
      </c>
      <c r="G5" s="137" t="s">
        <v>42</v>
      </c>
      <c r="H5" s="245" t="s">
        <v>127</v>
      </c>
      <c r="I5" s="245" t="s">
        <v>153</v>
      </c>
      <c r="J5" s="137" t="s">
        <v>232</v>
      </c>
      <c r="K5" s="245" t="s">
        <v>59</v>
      </c>
      <c r="L5" s="245">
        <v>1</v>
      </c>
      <c r="M5" s="245"/>
      <c r="N5" s="245">
        <v>1</v>
      </c>
      <c r="O5" s="245">
        <v>0.9</v>
      </c>
      <c r="P5" s="245">
        <v>1</v>
      </c>
      <c r="Q5" s="139">
        <f t="shared" si="0"/>
        <v>0.95</v>
      </c>
      <c r="R5" s="245">
        <v>15.5</v>
      </c>
      <c r="S5" s="245">
        <v>99</v>
      </c>
      <c r="T5" s="140">
        <f t="shared" si="1"/>
        <v>33</v>
      </c>
      <c r="U5" s="245">
        <v>138</v>
      </c>
      <c r="V5" s="141">
        <f t="shared" si="2"/>
        <v>4554</v>
      </c>
      <c r="W5" s="245">
        <v>3</v>
      </c>
      <c r="X5" s="137" t="s">
        <v>46</v>
      </c>
      <c r="Y5" s="245" t="s">
        <v>84</v>
      </c>
      <c r="Z5" s="245" t="s">
        <v>69</v>
      </c>
      <c r="AA5" s="245" t="s">
        <v>90</v>
      </c>
      <c r="AB5" s="137" t="s">
        <v>419</v>
      </c>
      <c r="AC5" s="142"/>
      <c r="AE5" s="221" t="s">
        <v>51</v>
      </c>
      <c r="AG5" s="49" t="s">
        <v>243</v>
      </c>
      <c r="AH5" s="49" t="s">
        <v>244</v>
      </c>
      <c r="AJ5" s="226"/>
      <c r="AL5" s="228" t="s">
        <v>423</v>
      </c>
      <c r="AN5" s="228" t="s">
        <v>424</v>
      </c>
      <c r="AP5" s="222" t="s">
        <v>425</v>
      </c>
      <c r="AR5" s="236" t="s">
        <v>54</v>
      </c>
      <c r="AT5" s="245"/>
      <c r="AV5" s="236" t="s">
        <v>55</v>
      </c>
      <c r="AX5" s="223">
        <v>84</v>
      </c>
      <c r="AY5" s="224">
        <v>39</v>
      </c>
      <c r="AZ5" s="224">
        <v>84</v>
      </c>
      <c r="BA5" s="225">
        <v>36</v>
      </c>
    </row>
    <row r="6" spans="1:53" x14ac:dyDescent="0.15">
      <c r="A6" s="137" t="s">
        <v>61</v>
      </c>
      <c r="B6" s="137" t="s">
        <v>417</v>
      </c>
      <c r="C6" s="137">
        <v>2018</v>
      </c>
      <c r="D6" s="138" t="s">
        <v>418</v>
      </c>
      <c r="E6" s="137" t="s">
        <v>241</v>
      </c>
      <c r="F6" s="137" t="s">
        <v>242</v>
      </c>
      <c r="G6" s="137" t="s">
        <v>42</v>
      </c>
      <c r="H6" s="245" t="s">
        <v>127</v>
      </c>
      <c r="I6" s="245" t="s">
        <v>153</v>
      </c>
      <c r="J6" s="137" t="s">
        <v>232</v>
      </c>
      <c r="K6" s="245" t="s">
        <v>59</v>
      </c>
      <c r="L6" s="245">
        <v>2</v>
      </c>
      <c r="M6" s="245"/>
      <c r="N6" s="245">
        <v>1</v>
      </c>
      <c r="O6" s="245">
        <v>0.95</v>
      </c>
      <c r="P6" s="245">
        <v>0.9</v>
      </c>
      <c r="Q6" s="139">
        <f t="shared" si="0"/>
        <v>0.92500000000000004</v>
      </c>
      <c r="R6" s="245">
        <v>15.8</v>
      </c>
      <c r="S6" s="245">
        <v>95</v>
      </c>
      <c r="T6" s="140">
        <f t="shared" si="1"/>
        <v>36</v>
      </c>
      <c r="U6" s="245">
        <v>138</v>
      </c>
      <c r="V6" s="141">
        <f t="shared" si="2"/>
        <v>4968</v>
      </c>
      <c r="W6" s="245">
        <v>3</v>
      </c>
      <c r="X6" s="137" t="s">
        <v>46</v>
      </c>
      <c r="Y6" s="245" t="s">
        <v>84</v>
      </c>
      <c r="Z6" s="245" t="s">
        <v>69</v>
      </c>
      <c r="AA6" s="245" t="s">
        <v>90</v>
      </c>
      <c r="AB6" s="137" t="s">
        <v>419</v>
      </c>
      <c r="AC6" s="142"/>
      <c r="AE6" s="221" t="s">
        <v>56</v>
      </c>
      <c r="AG6" s="49" t="s">
        <v>245</v>
      </c>
      <c r="AH6" s="49" t="s">
        <v>246</v>
      </c>
      <c r="AJ6" s="226"/>
      <c r="AL6" s="228" t="s">
        <v>426</v>
      </c>
      <c r="AN6" s="228" t="s">
        <v>427</v>
      </c>
      <c r="AP6" s="222" t="s">
        <v>53</v>
      </c>
      <c r="AR6" s="236" t="s">
        <v>59</v>
      </c>
      <c r="AT6" s="245"/>
      <c r="AV6" s="236" t="s">
        <v>60</v>
      </c>
      <c r="AX6" s="223">
        <v>97</v>
      </c>
      <c r="AY6" s="224">
        <v>36</v>
      </c>
      <c r="AZ6" s="224">
        <v>99</v>
      </c>
      <c r="BA6" s="225">
        <v>33</v>
      </c>
    </row>
    <row r="7" spans="1:53" x14ac:dyDescent="0.15">
      <c r="A7" s="137" t="s">
        <v>61</v>
      </c>
      <c r="B7" s="137" t="s">
        <v>417</v>
      </c>
      <c r="C7" s="137">
        <v>2018</v>
      </c>
      <c r="D7" s="138" t="s">
        <v>418</v>
      </c>
      <c r="E7" s="137" t="s">
        <v>241</v>
      </c>
      <c r="F7" s="137" t="s">
        <v>242</v>
      </c>
      <c r="G7" s="137" t="s">
        <v>42</v>
      </c>
      <c r="H7" s="245" t="s">
        <v>127</v>
      </c>
      <c r="I7" s="245" t="s">
        <v>153</v>
      </c>
      <c r="J7" s="137" t="s">
        <v>232</v>
      </c>
      <c r="K7" s="245" t="s">
        <v>59</v>
      </c>
      <c r="L7" s="245">
        <v>3</v>
      </c>
      <c r="M7" s="245"/>
      <c r="N7" s="245">
        <v>1</v>
      </c>
      <c r="O7" s="245">
        <v>0.9</v>
      </c>
      <c r="P7" s="245">
        <v>1</v>
      </c>
      <c r="Q7" s="139">
        <f t="shared" si="0"/>
        <v>0.95</v>
      </c>
      <c r="R7" s="245">
        <v>15.2</v>
      </c>
      <c r="S7" s="245">
        <v>100</v>
      </c>
      <c r="T7" s="140">
        <f t="shared" si="1"/>
        <v>33</v>
      </c>
      <c r="U7" s="245">
        <v>138</v>
      </c>
      <c r="V7" s="141">
        <f t="shared" si="2"/>
        <v>4554</v>
      </c>
      <c r="W7" s="245">
        <v>3</v>
      </c>
      <c r="X7" s="137" t="s">
        <v>46</v>
      </c>
      <c r="Y7" s="245" t="s">
        <v>84</v>
      </c>
      <c r="Z7" s="245" t="s">
        <v>69</v>
      </c>
      <c r="AA7" s="245" t="s">
        <v>90</v>
      </c>
      <c r="AB7" s="137" t="s">
        <v>419</v>
      </c>
      <c r="AC7" s="142"/>
      <c r="AE7" s="221" t="s">
        <v>61</v>
      </c>
      <c r="AG7" s="49" t="s">
        <v>247</v>
      </c>
      <c r="AH7" s="49" t="s">
        <v>248</v>
      </c>
      <c r="AJ7" s="226"/>
      <c r="AL7" s="233" t="s">
        <v>428</v>
      </c>
      <c r="AN7" s="148"/>
      <c r="AP7" s="222" t="s">
        <v>58</v>
      </c>
      <c r="AR7" s="229" t="s">
        <v>122</v>
      </c>
      <c r="AT7" s="245"/>
      <c r="AV7" s="236" t="s">
        <v>64</v>
      </c>
      <c r="AX7" s="223">
        <v>109</v>
      </c>
      <c r="AY7" s="224">
        <v>33</v>
      </c>
      <c r="AZ7" s="224">
        <v>113</v>
      </c>
      <c r="BA7" s="225">
        <v>30</v>
      </c>
    </row>
    <row r="8" spans="1:53" x14ac:dyDescent="0.15">
      <c r="A8" s="137" t="s">
        <v>61</v>
      </c>
      <c r="B8" s="137" t="s">
        <v>374</v>
      </c>
      <c r="C8" s="137">
        <v>2018</v>
      </c>
      <c r="D8" s="138" t="s">
        <v>429</v>
      </c>
      <c r="E8" s="137" t="s">
        <v>243</v>
      </c>
      <c r="F8" s="137" t="s">
        <v>244</v>
      </c>
      <c r="G8" s="137" t="s">
        <v>42</v>
      </c>
      <c r="H8" s="245" t="s">
        <v>155</v>
      </c>
      <c r="I8" s="245" t="s">
        <v>153</v>
      </c>
      <c r="J8" s="137" t="s">
        <v>38</v>
      </c>
      <c r="K8" s="245" t="s">
        <v>154</v>
      </c>
      <c r="L8" s="245">
        <v>1</v>
      </c>
      <c r="M8" s="245"/>
      <c r="N8" s="245">
        <v>1</v>
      </c>
      <c r="O8" s="245">
        <v>0.5</v>
      </c>
      <c r="P8" s="245">
        <v>0.55000000000000004</v>
      </c>
      <c r="Q8" s="139">
        <f t="shared" si="0"/>
        <v>0.52500000000000002</v>
      </c>
      <c r="R8" s="245">
        <v>16.5</v>
      </c>
      <c r="S8" s="245">
        <v>100</v>
      </c>
      <c r="T8" s="140">
        <f t="shared" si="1"/>
        <v>33</v>
      </c>
      <c r="U8" s="245">
        <v>138</v>
      </c>
      <c r="V8" s="141">
        <f t="shared" si="2"/>
        <v>4554</v>
      </c>
      <c r="W8" s="245">
        <v>6</v>
      </c>
      <c r="X8" s="137" t="s">
        <v>39</v>
      </c>
      <c r="Y8" s="245" t="s">
        <v>40</v>
      </c>
      <c r="Z8" s="245" t="s">
        <v>50</v>
      </c>
      <c r="AA8" s="245" t="s">
        <v>69</v>
      </c>
      <c r="AB8" s="137" t="s">
        <v>430</v>
      </c>
      <c r="AC8" s="142"/>
      <c r="AE8" s="221" t="s">
        <v>59</v>
      </c>
      <c r="AG8" s="49" t="s">
        <v>249</v>
      </c>
      <c r="AH8" s="49" t="s">
        <v>250</v>
      </c>
      <c r="AJ8" s="227"/>
      <c r="AL8" s="142" t="s">
        <v>350</v>
      </c>
      <c r="AN8" s="228"/>
      <c r="AP8" s="222" t="s">
        <v>62</v>
      </c>
      <c r="AR8" s="236" t="s">
        <v>81</v>
      </c>
      <c r="AT8" s="245"/>
      <c r="AV8" s="236" t="s">
        <v>97</v>
      </c>
      <c r="AX8" s="223">
        <v>119</v>
      </c>
      <c r="AY8" s="224">
        <v>30</v>
      </c>
      <c r="AZ8" s="224">
        <v>121</v>
      </c>
      <c r="BA8" s="225">
        <v>27</v>
      </c>
    </row>
    <row r="9" spans="1:53" x14ac:dyDescent="0.15">
      <c r="A9" s="137" t="s">
        <v>61</v>
      </c>
      <c r="B9" s="137" t="s">
        <v>374</v>
      </c>
      <c r="C9" s="137">
        <v>2018</v>
      </c>
      <c r="D9" s="138" t="s">
        <v>429</v>
      </c>
      <c r="E9" s="137" t="s">
        <v>243</v>
      </c>
      <c r="F9" s="137" t="s">
        <v>244</v>
      </c>
      <c r="G9" s="137" t="s">
        <v>42</v>
      </c>
      <c r="H9" s="245" t="s">
        <v>155</v>
      </c>
      <c r="I9" s="245" t="s">
        <v>153</v>
      </c>
      <c r="J9" s="137" t="s">
        <v>38</v>
      </c>
      <c r="K9" s="245" t="s">
        <v>154</v>
      </c>
      <c r="L9" s="245">
        <v>2</v>
      </c>
      <c r="M9" s="245"/>
      <c r="N9" s="245">
        <v>1</v>
      </c>
      <c r="O9" s="245">
        <v>0.5</v>
      </c>
      <c r="P9" s="245">
        <v>0.5</v>
      </c>
      <c r="Q9" s="139">
        <f t="shared" si="0"/>
        <v>0.5</v>
      </c>
      <c r="R9" s="245">
        <v>16.2</v>
      </c>
      <c r="S9" s="245">
        <v>98</v>
      </c>
      <c r="T9" s="140">
        <f t="shared" si="1"/>
        <v>36</v>
      </c>
      <c r="U9" s="245">
        <v>138</v>
      </c>
      <c r="V9" s="141">
        <f t="shared" si="2"/>
        <v>4968</v>
      </c>
      <c r="W9" s="245">
        <v>6</v>
      </c>
      <c r="X9" s="137" t="s">
        <v>39</v>
      </c>
      <c r="Y9" s="245" t="s">
        <v>40</v>
      </c>
      <c r="Z9" s="245" t="s">
        <v>50</v>
      </c>
      <c r="AA9" s="245" t="s">
        <v>69</v>
      </c>
      <c r="AB9" s="137" t="s">
        <v>430</v>
      </c>
      <c r="AC9" s="142"/>
      <c r="AE9" s="221" t="s">
        <v>98</v>
      </c>
      <c r="AG9" s="49" t="s">
        <v>133</v>
      </c>
      <c r="AH9" s="49" t="s">
        <v>251</v>
      </c>
      <c r="AJ9" s="245"/>
      <c r="AL9" s="228"/>
      <c r="AN9" s="228"/>
      <c r="AP9" s="222" t="s">
        <v>95</v>
      </c>
      <c r="AR9" s="229" t="s">
        <v>89</v>
      </c>
      <c r="AT9" s="245"/>
      <c r="AV9" s="236" t="s">
        <v>102</v>
      </c>
      <c r="AX9" s="223">
        <v>128</v>
      </c>
      <c r="AY9" s="224">
        <v>27</v>
      </c>
      <c r="AZ9" s="224">
        <v>129</v>
      </c>
      <c r="BA9" s="225">
        <v>25</v>
      </c>
    </row>
    <row r="10" spans="1:53" x14ac:dyDescent="0.15">
      <c r="A10" s="137" t="s">
        <v>61</v>
      </c>
      <c r="B10" s="137" t="s">
        <v>379</v>
      </c>
      <c r="C10" s="137">
        <v>2018</v>
      </c>
      <c r="D10" s="138" t="s">
        <v>431</v>
      </c>
      <c r="E10" s="137" t="s">
        <v>243</v>
      </c>
      <c r="F10" s="137" t="s">
        <v>244</v>
      </c>
      <c r="G10" s="137" t="s">
        <v>42</v>
      </c>
      <c r="H10" s="245" t="s">
        <v>155</v>
      </c>
      <c r="I10" s="245" t="s">
        <v>153</v>
      </c>
      <c r="J10" s="137" t="s">
        <v>38</v>
      </c>
      <c r="K10" s="245" t="s">
        <v>154</v>
      </c>
      <c r="L10" s="245">
        <v>3</v>
      </c>
      <c r="M10" s="245"/>
      <c r="N10" s="245">
        <v>1</v>
      </c>
      <c r="O10" s="245">
        <v>0.5</v>
      </c>
      <c r="P10" s="245">
        <v>0.5</v>
      </c>
      <c r="Q10" s="139">
        <f t="shared" si="0"/>
        <v>0.5</v>
      </c>
      <c r="R10" s="245">
        <v>16.399999999999999</v>
      </c>
      <c r="S10" s="245">
        <v>98</v>
      </c>
      <c r="T10" s="140">
        <f t="shared" si="1"/>
        <v>36</v>
      </c>
      <c r="U10" s="245">
        <v>138</v>
      </c>
      <c r="V10" s="141">
        <f t="shared" si="2"/>
        <v>4968</v>
      </c>
      <c r="W10" s="245">
        <v>6</v>
      </c>
      <c r="X10" s="137" t="s">
        <v>39</v>
      </c>
      <c r="Y10" s="245" t="s">
        <v>40</v>
      </c>
      <c r="Z10" s="245" t="s">
        <v>50</v>
      </c>
      <c r="AA10" s="245" t="s">
        <v>69</v>
      </c>
      <c r="AB10" s="137" t="s">
        <v>432</v>
      </c>
      <c r="AC10" s="142"/>
      <c r="AE10" s="221" t="s">
        <v>103</v>
      </c>
      <c r="AG10" s="49" t="s">
        <v>252</v>
      </c>
      <c r="AH10" s="49" t="s">
        <v>253</v>
      </c>
      <c r="AJ10" s="245"/>
      <c r="AL10" s="226"/>
      <c r="AN10" s="245"/>
      <c r="AP10" s="222" t="s">
        <v>100</v>
      </c>
      <c r="AR10" s="229" t="s">
        <v>123</v>
      </c>
      <c r="AT10" s="245"/>
      <c r="AV10" s="236" t="s">
        <v>106</v>
      </c>
      <c r="AX10" s="223">
        <v>138</v>
      </c>
      <c r="AY10" s="224">
        <v>25</v>
      </c>
      <c r="AZ10" s="224">
        <v>138</v>
      </c>
      <c r="BA10" s="225">
        <v>22</v>
      </c>
    </row>
    <row r="11" spans="1:53" x14ac:dyDescent="0.15">
      <c r="A11" s="137" t="s">
        <v>61</v>
      </c>
      <c r="B11" s="137" t="s">
        <v>379</v>
      </c>
      <c r="C11" s="137">
        <v>2018</v>
      </c>
      <c r="D11" s="138" t="s">
        <v>431</v>
      </c>
      <c r="E11" s="137" t="s">
        <v>243</v>
      </c>
      <c r="F11" s="137" t="s">
        <v>244</v>
      </c>
      <c r="G11" s="137" t="s">
        <v>42</v>
      </c>
      <c r="H11" s="245" t="s">
        <v>205</v>
      </c>
      <c r="I11" s="245" t="s">
        <v>153</v>
      </c>
      <c r="J11" s="137" t="s">
        <v>38</v>
      </c>
      <c r="K11" s="245" t="s">
        <v>54</v>
      </c>
      <c r="L11" s="245">
        <v>1</v>
      </c>
      <c r="M11" s="245"/>
      <c r="N11" s="245">
        <v>4</v>
      </c>
      <c r="O11" s="245">
        <v>0.5</v>
      </c>
      <c r="P11" s="245">
        <v>0.55000000000000004</v>
      </c>
      <c r="Q11" s="139">
        <f t="shared" si="0"/>
        <v>0.52500000000000002</v>
      </c>
      <c r="R11" s="245">
        <v>17.600000000000001</v>
      </c>
      <c r="S11" s="245">
        <v>110</v>
      </c>
      <c r="T11" s="140">
        <f t="shared" si="1"/>
        <v>33</v>
      </c>
      <c r="U11" s="245">
        <v>537</v>
      </c>
      <c r="V11" s="141">
        <f t="shared" si="2"/>
        <v>4430.25</v>
      </c>
      <c r="W11" s="245">
        <v>6</v>
      </c>
      <c r="X11" s="137" t="s">
        <v>39</v>
      </c>
      <c r="Y11" s="245" t="s">
        <v>40</v>
      </c>
      <c r="Z11" s="245" t="s">
        <v>50</v>
      </c>
      <c r="AA11" s="245" t="s">
        <v>69</v>
      </c>
      <c r="AB11" s="137" t="s">
        <v>432</v>
      </c>
      <c r="AC11" s="142"/>
      <c r="AE11" s="221" t="s">
        <v>65</v>
      </c>
      <c r="AG11" s="49" t="s">
        <v>254</v>
      </c>
      <c r="AH11" s="49" t="s">
        <v>253</v>
      </c>
      <c r="AJ11" s="245"/>
      <c r="AL11" s="149"/>
      <c r="AN11" s="245"/>
      <c r="AP11" s="222" t="s">
        <v>104</v>
      </c>
      <c r="AR11" s="229" t="s">
        <v>87</v>
      </c>
      <c r="AV11" s="150" t="s">
        <v>433</v>
      </c>
      <c r="AX11" s="223">
        <v>151</v>
      </c>
      <c r="AY11" s="224">
        <v>22</v>
      </c>
      <c r="AZ11" s="224">
        <v>152</v>
      </c>
      <c r="BA11" s="225">
        <v>18</v>
      </c>
    </row>
    <row r="12" spans="1:53" x14ac:dyDescent="0.15">
      <c r="A12" s="137" t="s">
        <v>61</v>
      </c>
      <c r="B12" s="137" t="s">
        <v>386</v>
      </c>
      <c r="C12" s="137">
        <v>2018</v>
      </c>
      <c r="D12" s="138" t="s">
        <v>434</v>
      </c>
      <c r="E12" s="137" t="s">
        <v>243</v>
      </c>
      <c r="F12" s="137" t="s">
        <v>244</v>
      </c>
      <c r="G12" s="137" t="s">
        <v>42</v>
      </c>
      <c r="H12" s="245" t="s">
        <v>205</v>
      </c>
      <c r="I12" s="245" t="s">
        <v>153</v>
      </c>
      <c r="J12" s="137" t="s">
        <v>38</v>
      </c>
      <c r="K12" s="245" t="s">
        <v>54</v>
      </c>
      <c r="L12" s="245">
        <v>2</v>
      </c>
      <c r="M12" s="245"/>
      <c r="N12" s="245">
        <v>4</v>
      </c>
      <c r="O12" s="245">
        <v>0.55000000000000004</v>
      </c>
      <c r="P12" s="245">
        <v>0.55000000000000004</v>
      </c>
      <c r="Q12" s="139">
        <f t="shared" si="0"/>
        <v>0.55000000000000004</v>
      </c>
      <c r="R12" s="245">
        <v>16.899999999999999</v>
      </c>
      <c r="S12" s="245">
        <v>111</v>
      </c>
      <c r="T12" s="140">
        <f t="shared" si="1"/>
        <v>33</v>
      </c>
      <c r="U12" s="245">
        <v>537</v>
      </c>
      <c r="V12" s="141">
        <f t="shared" si="2"/>
        <v>4430.25</v>
      </c>
      <c r="W12" s="245">
        <v>6</v>
      </c>
      <c r="X12" s="137" t="s">
        <v>39</v>
      </c>
      <c r="Y12" s="245" t="s">
        <v>40</v>
      </c>
      <c r="Z12" s="245" t="s">
        <v>50</v>
      </c>
      <c r="AA12" s="245" t="s">
        <v>69</v>
      </c>
      <c r="AB12" s="137" t="s">
        <v>435</v>
      </c>
      <c r="AC12" s="142"/>
      <c r="AE12" s="221" t="s">
        <v>70</v>
      </c>
      <c r="AG12" s="222"/>
      <c r="AH12" s="221"/>
      <c r="AJ12" s="245"/>
      <c r="AL12" s="149"/>
      <c r="AN12" s="245"/>
      <c r="AP12" s="222" t="s">
        <v>67</v>
      </c>
      <c r="AR12" s="229" t="s">
        <v>124</v>
      </c>
      <c r="AV12" s="150" t="s">
        <v>436</v>
      </c>
      <c r="AX12" s="223">
        <v>180</v>
      </c>
      <c r="AY12" s="224">
        <v>18</v>
      </c>
      <c r="AZ12" s="224">
        <v>181</v>
      </c>
      <c r="BA12" s="225">
        <v>16</v>
      </c>
    </row>
    <row r="13" spans="1:53" x14ac:dyDescent="0.15">
      <c r="A13" s="137" t="s">
        <v>61</v>
      </c>
      <c r="B13" s="137" t="s">
        <v>390</v>
      </c>
      <c r="C13" s="137">
        <v>2018</v>
      </c>
      <c r="D13" s="138" t="s">
        <v>437</v>
      </c>
      <c r="E13" s="137" t="s">
        <v>243</v>
      </c>
      <c r="F13" s="137" t="s">
        <v>244</v>
      </c>
      <c r="G13" s="137" t="s">
        <v>42</v>
      </c>
      <c r="H13" s="245" t="s">
        <v>205</v>
      </c>
      <c r="I13" s="245" t="s">
        <v>153</v>
      </c>
      <c r="J13" s="137" t="s">
        <v>38</v>
      </c>
      <c r="K13" s="245" t="s">
        <v>54</v>
      </c>
      <c r="L13" s="245">
        <v>3</v>
      </c>
      <c r="M13" s="245"/>
      <c r="N13" s="245">
        <v>4</v>
      </c>
      <c r="O13" s="245">
        <v>0.55000000000000004</v>
      </c>
      <c r="P13" s="245">
        <v>0.5</v>
      </c>
      <c r="Q13" s="139">
        <f t="shared" si="0"/>
        <v>0.52500000000000002</v>
      </c>
      <c r="R13" s="245">
        <v>16.7</v>
      </c>
      <c r="S13" s="245">
        <v>108</v>
      </c>
      <c r="T13" s="140">
        <f t="shared" si="1"/>
        <v>36</v>
      </c>
      <c r="U13" s="245">
        <v>537</v>
      </c>
      <c r="V13" s="141">
        <f t="shared" si="2"/>
        <v>4833</v>
      </c>
      <c r="W13" s="245">
        <v>6</v>
      </c>
      <c r="X13" s="137" t="s">
        <v>39</v>
      </c>
      <c r="Y13" s="245" t="s">
        <v>40</v>
      </c>
      <c r="Z13" s="245" t="s">
        <v>50</v>
      </c>
      <c r="AA13" s="245" t="s">
        <v>69</v>
      </c>
      <c r="AB13" s="137" t="s">
        <v>438</v>
      </c>
      <c r="AC13" s="142"/>
      <c r="AE13" s="221" t="s">
        <v>73</v>
      </c>
      <c r="AG13" s="222"/>
      <c r="AH13" s="221"/>
      <c r="AJ13" s="245"/>
      <c r="AL13" s="151"/>
      <c r="AN13" s="245"/>
      <c r="AP13" s="222" t="s">
        <v>71</v>
      </c>
      <c r="AR13" s="229" t="s">
        <v>103</v>
      </c>
      <c r="AV13" s="150" t="s">
        <v>439</v>
      </c>
      <c r="AX13" s="223"/>
      <c r="AY13" s="224"/>
      <c r="AZ13" s="224"/>
      <c r="BA13" s="225"/>
    </row>
    <row r="14" spans="1:53" x14ac:dyDescent="0.15">
      <c r="A14" s="137" t="s">
        <v>61</v>
      </c>
      <c r="B14" s="137" t="s">
        <v>392</v>
      </c>
      <c r="C14" s="137">
        <v>2018</v>
      </c>
      <c r="D14" s="138" t="s">
        <v>440</v>
      </c>
      <c r="E14" s="137" t="s">
        <v>243</v>
      </c>
      <c r="F14" s="137" t="s">
        <v>244</v>
      </c>
      <c r="G14" s="137" t="s">
        <v>42</v>
      </c>
      <c r="H14" s="245" t="s">
        <v>155</v>
      </c>
      <c r="I14" s="245" t="s">
        <v>156</v>
      </c>
      <c r="J14" s="137" t="s">
        <v>38</v>
      </c>
      <c r="K14" s="245" t="s">
        <v>154</v>
      </c>
      <c r="L14" s="245">
        <v>1</v>
      </c>
      <c r="M14" s="245"/>
      <c r="N14" s="245">
        <v>2</v>
      </c>
      <c r="O14" s="245">
        <v>0.75</v>
      </c>
      <c r="P14" s="245">
        <v>0.7</v>
      </c>
      <c r="Q14" s="139">
        <f t="shared" si="0"/>
        <v>0.72499999999999998</v>
      </c>
      <c r="R14" s="245">
        <v>13.2</v>
      </c>
      <c r="S14" s="245">
        <v>100</v>
      </c>
      <c r="T14" s="140">
        <f t="shared" si="1"/>
        <v>33</v>
      </c>
      <c r="U14" s="245">
        <v>386</v>
      </c>
      <c r="V14" s="141">
        <f t="shared" si="2"/>
        <v>6369</v>
      </c>
      <c r="W14" s="245">
        <v>6</v>
      </c>
      <c r="X14" s="137" t="s">
        <v>39</v>
      </c>
      <c r="Y14" s="245" t="s">
        <v>40</v>
      </c>
      <c r="Z14" s="245" t="s">
        <v>50</v>
      </c>
      <c r="AA14" s="245" t="s">
        <v>69</v>
      </c>
      <c r="AB14" s="137" t="s">
        <v>441</v>
      </c>
      <c r="AC14" s="142"/>
      <c r="AE14" s="221" t="s">
        <v>76</v>
      </c>
      <c r="AG14" s="222"/>
      <c r="AH14" s="221"/>
      <c r="AL14" s="233"/>
      <c r="AP14" s="222" t="s">
        <v>74</v>
      </c>
      <c r="AR14" s="229" t="s">
        <v>125</v>
      </c>
      <c r="AV14" s="150" t="s">
        <v>442</v>
      </c>
      <c r="AX14" s="223"/>
      <c r="AY14" s="224"/>
      <c r="AZ14" s="224"/>
      <c r="BA14" s="225"/>
    </row>
    <row r="15" spans="1:53" x14ac:dyDescent="0.15">
      <c r="A15" s="137" t="s">
        <v>61</v>
      </c>
      <c r="B15" s="137" t="s">
        <v>392</v>
      </c>
      <c r="C15" s="137">
        <v>2018</v>
      </c>
      <c r="D15" s="138" t="s">
        <v>440</v>
      </c>
      <c r="E15" s="137" t="s">
        <v>243</v>
      </c>
      <c r="F15" s="137" t="s">
        <v>244</v>
      </c>
      <c r="G15" s="137" t="s">
        <v>42</v>
      </c>
      <c r="H15" s="245" t="s">
        <v>155</v>
      </c>
      <c r="I15" s="245" t="s">
        <v>156</v>
      </c>
      <c r="J15" s="137" t="s">
        <v>38</v>
      </c>
      <c r="K15" s="245" t="s">
        <v>154</v>
      </c>
      <c r="L15" s="245">
        <v>2</v>
      </c>
      <c r="M15" s="245"/>
      <c r="N15" s="245">
        <v>2</v>
      </c>
      <c r="O15" s="245">
        <v>0.6</v>
      </c>
      <c r="P15" s="245">
        <v>0.6</v>
      </c>
      <c r="Q15" s="139">
        <f t="shared" si="0"/>
        <v>0.6</v>
      </c>
      <c r="R15" s="142">
        <v>13</v>
      </c>
      <c r="S15" s="245">
        <v>106</v>
      </c>
      <c r="T15" s="140">
        <f t="shared" si="1"/>
        <v>33</v>
      </c>
      <c r="U15" s="245">
        <v>386</v>
      </c>
      <c r="V15" s="141">
        <f t="shared" si="2"/>
        <v>6369</v>
      </c>
      <c r="W15" s="245">
        <v>6</v>
      </c>
      <c r="X15" s="137" t="s">
        <v>39</v>
      </c>
      <c r="Y15" s="245" t="s">
        <v>40</v>
      </c>
      <c r="Z15" s="245" t="s">
        <v>50</v>
      </c>
      <c r="AA15" s="245" t="s">
        <v>69</v>
      </c>
      <c r="AB15" s="137" t="s">
        <v>441</v>
      </c>
      <c r="AC15" s="142"/>
      <c r="AE15" s="221" t="s">
        <v>79</v>
      </c>
      <c r="AG15" s="222"/>
      <c r="AH15" s="222"/>
      <c r="AL15" s="233"/>
      <c r="AP15" s="222" t="s">
        <v>77</v>
      </c>
      <c r="AR15" s="229" t="s">
        <v>94</v>
      </c>
      <c r="AV15" s="150" t="s">
        <v>443</v>
      </c>
      <c r="AX15" s="230"/>
      <c r="AY15" s="231"/>
      <c r="AZ15" s="231"/>
      <c r="BA15" s="232"/>
    </row>
    <row r="16" spans="1:53" x14ac:dyDescent="0.15">
      <c r="A16" s="137" t="s">
        <v>61</v>
      </c>
      <c r="B16" s="137" t="s">
        <v>394</v>
      </c>
      <c r="C16" s="137">
        <v>2018</v>
      </c>
      <c r="D16" s="138" t="s">
        <v>444</v>
      </c>
      <c r="E16" s="137" t="s">
        <v>243</v>
      </c>
      <c r="F16" s="137" t="s">
        <v>244</v>
      </c>
      <c r="G16" s="137" t="s">
        <v>42</v>
      </c>
      <c r="H16" s="245" t="s">
        <v>155</v>
      </c>
      <c r="I16" s="245" t="s">
        <v>156</v>
      </c>
      <c r="J16" s="137" t="s">
        <v>38</v>
      </c>
      <c r="K16" s="245" t="s">
        <v>154</v>
      </c>
      <c r="L16" s="245">
        <v>3</v>
      </c>
      <c r="M16" s="245"/>
      <c r="N16" s="245">
        <v>2</v>
      </c>
      <c r="O16" s="245">
        <v>0.65</v>
      </c>
      <c r="P16" s="245">
        <v>0.6</v>
      </c>
      <c r="Q16" s="139">
        <f t="shared" si="0"/>
        <v>0.625</v>
      </c>
      <c r="R16" s="245">
        <v>13.1</v>
      </c>
      <c r="S16" s="245">
        <v>102</v>
      </c>
      <c r="T16" s="140">
        <f t="shared" si="1"/>
        <v>33</v>
      </c>
      <c r="U16" s="245">
        <v>386</v>
      </c>
      <c r="V16" s="141">
        <f t="shared" si="2"/>
        <v>6369</v>
      </c>
      <c r="W16" s="245">
        <v>6</v>
      </c>
      <c r="X16" s="137" t="s">
        <v>39</v>
      </c>
      <c r="Y16" s="245" t="s">
        <v>40</v>
      </c>
      <c r="Z16" s="245" t="s">
        <v>50</v>
      </c>
      <c r="AA16" s="245" t="s">
        <v>69</v>
      </c>
      <c r="AB16" s="137" t="s">
        <v>445</v>
      </c>
      <c r="AC16" s="142"/>
      <c r="AE16" s="221" t="s">
        <v>82</v>
      </c>
      <c r="AG16" s="222"/>
      <c r="AH16" s="222"/>
      <c r="AP16" s="222" t="s">
        <v>80</v>
      </c>
      <c r="AR16" s="236" t="s">
        <v>63</v>
      </c>
      <c r="AV16" s="150" t="s">
        <v>446</v>
      </c>
    </row>
    <row r="17" spans="1:48" x14ac:dyDescent="0.15">
      <c r="A17" s="137" t="s">
        <v>61</v>
      </c>
      <c r="B17" s="137" t="s">
        <v>394</v>
      </c>
      <c r="C17" s="137">
        <v>2018</v>
      </c>
      <c r="D17" s="138" t="s">
        <v>444</v>
      </c>
      <c r="E17" s="137" t="s">
        <v>243</v>
      </c>
      <c r="F17" s="137" t="s">
        <v>244</v>
      </c>
      <c r="G17" s="137" t="s">
        <v>42</v>
      </c>
      <c r="H17" s="245" t="s">
        <v>128</v>
      </c>
      <c r="I17" s="245" t="s">
        <v>153</v>
      </c>
      <c r="J17" s="137" t="s">
        <v>80</v>
      </c>
      <c r="K17" s="245" t="s">
        <v>45</v>
      </c>
      <c r="L17" s="245">
        <v>1</v>
      </c>
      <c r="M17" s="245"/>
      <c r="N17" s="245">
        <v>1</v>
      </c>
      <c r="O17" s="245">
        <v>0.8</v>
      </c>
      <c r="P17" s="245">
        <v>0.8</v>
      </c>
      <c r="Q17" s="139">
        <f t="shared" si="0"/>
        <v>0.8</v>
      </c>
      <c r="R17" s="245">
        <v>14.5</v>
      </c>
      <c r="S17" s="245">
        <v>85</v>
      </c>
      <c r="T17" s="140">
        <f t="shared" si="1"/>
        <v>36</v>
      </c>
      <c r="U17" s="245">
        <v>105</v>
      </c>
      <c r="V17" s="141">
        <f t="shared" si="2"/>
        <v>3780</v>
      </c>
      <c r="W17" s="245">
        <v>6</v>
      </c>
      <c r="X17" s="137" t="s">
        <v>39</v>
      </c>
      <c r="Y17" s="245" t="s">
        <v>40</v>
      </c>
      <c r="Z17" s="245" t="s">
        <v>50</v>
      </c>
      <c r="AA17" s="245" t="s">
        <v>69</v>
      </c>
      <c r="AB17" s="137" t="s">
        <v>445</v>
      </c>
      <c r="AC17" s="142"/>
      <c r="AE17" s="221" t="s">
        <v>85</v>
      </c>
      <c r="AP17" s="237" t="s">
        <v>110</v>
      </c>
      <c r="AR17" s="236" t="s">
        <v>96</v>
      </c>
      <c r="AV17" s="150" t="s">
        <v>447</v>
      </c>
    </row>
    <row r="18" spans="1:48" x14ac:dyDescent="0.15">
      <c r="A18" s="137" t="s">
        <v>61</v>
      </c>
      <c r="B18" s="137" t="s">
        <v>394</v>
      </c>
      <c r="C18" s="137">
        <v>2018</v>
      </c>
      <c r="D18" s="138" t="s">
        <v>444</v>
      </c>
      <c r="E18" s="137" t="s">
        <v>243</v>
      </c>
      <c r="F18" s="137" t="s">
        <v>244</v>
      </c>
      <c r="G18" s="137" t="s">
        <v>42</v>
      </c>
      <c r="H18" s="245" t="s">
        <v>128</v>
      </c>
      <c r="I18" s="245" t="s">
        <v>153</v>
      </c>
      <c r="J18" s="137" t="s">
        <v>80</v>
      </c>
      <c r="K18" s="245" t="s">
        <v>45</v>
      </c>
      <c r="L18" s="245">
        <v>2</v>
      </c>
      <c r="M18" s="245"/>
      <c r="N18" s="245">
        <v>1</v>
      </c>
      <c r="O18" s="245">
        <v>0.7</v>
      </c>
      <c r="P18" s="245">
        <v>0.75</v>
      </c>
      <c r="Q18" s="139">
        <f t="shared" si="0"/>
        <v>0.72499999999999998</v>
      </c>
      <c r="R18" s="245">
        <v>14.4</v>
      </c>
      <c r="S18" s="245">
        <v>89</v>
      </c>
      <c r="T18" s="140">
        <f t="shared" si="1"/>
        <v>36</v>
      </c>
      <c r="U18" s="245">
        <v>105</v>
      </c>
      <c r="V18" s="141">
        <f t="shared" si="2"/>
        <v>3780</v>
      </c>
      <c r="W18" s="245">
        <v>6</v>
      </c>
      <c r="X18" s="137" t="s">
        <v>39</v>
      </c>
      <c r="Y18" s="245" t="s">
        <v>40</v>
      </c>
      <c r="Z18" s="245" t="s">
        <v>50</v>
      </c>
      <c r="AA18" s="245" t="s">
        <v>69</v>
      </c>
      <c r="AB18" s="137" t="s">
        <v>445</v>
      </c>
      <c r="AC18" s="142"/>
      <c r="AE18" s="221" t="s">
        <v>87</v>
      </c>
      <c r="AP18" s="237" t="s">
        <v>111</v>
      </c>
      <c r="AR18" s="236" t="s">
        <v>101</v>
      </c>
      <c r="AV18" s="150" t="s">
        <v>351</v>
      </c>
    </row>
    <row r="19" spans="1:48" x14ac:dyDescent="0.15">
      <c r="A19" s="137" t="s">
        <v>61</v>
      </c>
      <c r="B19" s="137" t="s">
        <v>386</v>
      </c>
      <c r="C19" s="137">
        <v>2018</v>
      </c>
      <c r="D19" s="138" t="s">
        <v>434</v>
      </c>
      <c r="E19" s="137" t="s">
        <v>243</v>
      </c>
      <c r="F19" s="137" t="s">
        <v>244</v>
      </c>
      <c r="G19" s="137" t="s">
        <v>42</v>
      </c>
      <c r="H19" s="245" t="s">
        <v>128</v>
      </c>
      <c r="I19" s="245" t="s">
        <v>153</v>
      </c>
      <c r="J19" s="137" t="s">
        <v>80</v>
      </c>
      <c r="K19" s="245" t="s">
        <v>45</v>
      </c>
      <c r="L19" s="245">
        <v>3</v>
      </c>
      <c r="M19" s="245"/>
      <c r="N19" s="245">
        <v>1</v>
      </c>
      <c r="O19" s="245">
        <v>0.85</v>
      </c>
      <c r="P19" s="245">
        <v>0.8</v>
      </c>
      <c r="Q19" s="139">
        <f t="shared" si="0"/>
        <v>0.82499999999999996</v>
      </c>
      <c r="R19" s="245">
        <v>14.2</v>
      </c>
      <c r="S19" s="245">
        <v>84</v>
      </c>
      <c r="T19" s="140">
        <f t="shared" si="1"/>
        <v>36</v>
      </c>
      <c r="U19" s="245">
        <v>105</v>
      </c>
      <c r="V19" s="141">
        <f t="shared" si="2"/>
        <v>3780</v>
      </c>
      <c r="W19" s="245">
        <v>6</v>
      </c>
      <c r="X19" s="137" t="s">
        <v>39</v>
      </c>
      <c r="Y19" s="245" t="s">
        <v>40</v>
      </c>
      <c r="Z19" s="245" t="s">
        <v>50</v>
      </c>
      <c r="AA19" s="245" t="s">
        <v>69</v>
      </c>
      <c r="AB19" s="137" t="s">
        <v>435</v>
      </c>
      <c r="AC19" s="142"/>
      <c r="AE19" s="234" t="s">
        <v>89</v>
      </c>
      <c r="AP19" s="237" t="s">
        <v>112</v>
      </c>
      <c r="AR19" s="229" t="s">
        <v>126</v>
      </c>
      <c r="AV19" s="150" t="s">
        <v>448</v>
      </c>
    </row>
    <row r="20" spans="1:48" x14ac:dyDescent="0.15">
      <c r="A20" s="137" t="s">
        <v>61</v>
      </c>
      <c r="B20" s="137" t="s">
        <v>386</v>
      </c>
      <c r="C20" s="137">
        <v>2018</v>
      </c>
      <c r="D20" s="138" t="s">
        <v>434</v>
      </c>
      <c r="E20" s="137" t="s">
        <v>245</v>
      </c>
      <c r="F20" s="137" t="s">
        <v>246</v>
      </c>
      <c r="G20" s="137" t="s">
        <v>42</v>
      </c>
      <c r="H20" s="245" t="s">
        <v>155</v>
      </c>
      <c r="I20" s="245" t="s">
        <v>153</v>
      </c>
      <c r="J20" s="137" t="s">
        <v>38</v>
      </c>
      <c r="K20" s="245" t="s">
        <v>154</v>
      </c>
      <c r="L20" s="245">
        <v>1</v>
      </c>
      <c r="M20" s="245"/>
      <c r="N20" s="245">
        <v>1</v>
      </c>
      <c r="O20" s="245">
        <v>0.7</v>
      </c>
      <c r="P20" s="245">
        <v>0.7</v>
      </c>
      <c r="Q20" s="139">
        <f t="shared" si="0"/>
        <v>0.7</v>
      </c>
      <c r="R20" s="245">
        <v>14.9</v>
      </c>
      <c r="S20" s="245">
        <v>100</v>
      </c>
      <c r="T20" s="140">
        <f t="shared" si="1"/>
        <v>33</v>
      </c>
      <c r="U20" s="245">
        <v>100</v>
      </c>
      <c r="V20" s="141">
        <f t="shared" si="2"/>
        <v>3300</v>
      </c>
      <c r="W20" s="245">
        <v>4</v>
      </c>
      <c r="X20" s="137" t="s">
        <v>39</v>
      </c>
      <c r="Y20" s="245" t="s">
        <v>50</v>
      </c>
      <c r="Z20" s="245" t="s">
        <v>84</v>
      </c>
      <c r="AA20" s="245" t="s">
        <v>69</v>
      </c>
      <c r="AB20" s="137" t="s">
        <v>435</v>
      </c>
      <c r="AC20" s="142"/>
      <c r="AE20" s="221"/>
      <c r="AG20" s="245"/>
      <c r="AH20" s="245"/>
      <c r="AJ20" s="245"/>
      <c r="AN20" s="245"/>
      <c r="AP20" s="237" t="s">
        <v>113</v>
      </c>
      <c r="AR20" s="236" t="s">
        <v>105</v>
      </c>
      <c r="AV20" s="150" t="s">
        <v>449</v>
      </c>
    </row>
    <row r="21" spans="1:48" x14ac:dyDescent="0.15">
      <c r="A21" s="137" t="s">
        <v>61</v>
      </c>
      <c r="B21" s="137" t="s">
        <v>386</v>
      </c>
      <c r="C21" s="137">
        <v>2018</v>
      </c>
      <c r="D21" s="138" t="s">
        <v>434</v>
      </c>
      <c r="E21" s="137" t="s">
        <v>245</v>
      </c>
      <c r="F21" s="137" t="s">
        <v>246</v>
      </c>
      <c r="G21" s="137" t="s">
        <v>42</v>
      </c>
      <c r="H21" s="245" t="s">
        <v>155</v>
      </c>
      <c r="I21" s="245" t="s">
        <v>153</v>
      </c>
      <c r="J21" s="137" t="s">
        <v>38</v>
      </c>
      <c r="K21" s="245" t="s">
        <v>154</v>
      </c>
      <c r="L21" s="245">
        <v>2</v>
      </c>
      <c r="M21" s="245"/>
      <c r="N21" s="245">
        <v>1</v>
      </c>
      <c r="O21" s="245">
        <v>0.75</v>
      </c>
      <c r="P21" s="245">
        <v>0.7</v>
      </c>
      <c r="Q21" s="139">
        <f t="shared" si="0"/>
        <v>0.72499999999999998</v>
      </c>
      <c r="R21" s="245">
        <v>15.2</v>
      </c>
      <c r="S21" s="245">
        <v>100</v>
      </c>
      <c r="T21" s="140">
        <f t="shared" si="1"/>
        <v>33</v>
      </c>
      <c r="U21" s="245">
        <v>100</v>
      </c>
      <c r="V21" s="141">
        <f t="shared" si="2"/>
        <v>3300</v>
      </c>
      <c r="W21" s="245">
        <v>4</v>
      </c>
      <c r="X21" s="137" t="s">
        <v>39</v>
      </c>
      <c r="Y21" s="245" t="s">
        <v>50</v>
      </c>
      <c r="Z21" s="245" t="s">
        <v>84</v>
      </c>
      <c r="AA21" s="245" t="s">
        <v>69</v>
      </c>
      <c r="AB21" s="137" t="s">
        <v>435</v>
      </c>
      <c r="AC21" s="142"/>
      <c r="AE21" s="221"/>
      <c r="AG21" s="245"/>
      <c r="AH21" s="245"/>
      <c r="AL21" s="245"/>
      <c r="AN21" s="245"/>
      <c r="AP21" s="237" t="s">
        <v>114</v>
      </c>
      <c r="AR21" s="236" t="s">
        <v>68</v>
      </c>
      <c r="AV21" s="150" t="s">
        <v>450</v>
      </c>
    </row>
    <row r="22" spans="1:48" x14ac:dyDescent="0.15">
      <c r="A22" s="137" t="s">
        <v>61</v>
      </c>
      <c r="B22" s="137" t="s">
        <v>386</v>
      </c>
      <c r="C22" s="137">
        <v>2018</v>
      </c>
      <c r="D22" s="138" t="s">
        <v>434</v>
      </c>
      <c r="E22" s="137" t="s">
        <v>245</v>
      </c>
      <c r="F22" s="137" t="s">
        <v>246</v>
      </c>
      <c r="G22" s="137" t="s">
        <v>42</v>
      </c>
      <c r="H22" s="245" t="s">
        <v>155</v>
      </c>
      <c r="I22" s="245" t="s">
        <v>153</v>
      </c>
      <c r="J22" s="137" t="s">
        <v>38</v>
      </c>
      <c r="K22" s="245" t="s">
        <v>154</v>
      </c>
      <c r="L22" s="245">
        <v>3</v>
      </c>
      <c r="M22" s="245"/>
      <c r="N22" s="245">
        <v>1</v>
      </c>
      <c r="O22" s="142">
        <v>0.75</v>
      </c>
      <c r="P22" s="245">
        <v>0.7</v>
      </c>
      <c r="Q22" s="139">
        <f t="shared" si="0"/>
        <v>0.72499999999999998</v>
      </c>
      <c r="R22" s="245">
        <v>15.6</v>
      </c>
      <c r="S22" s="245">
        <v>103</v>
      </c>
      <c r="T22" s="140">
        <f t="shared" si="1"/>
        <v>33</v>
      </c>
      <c r="U22" s="245">
        <v>100</v>
      </c>
      <c r="V22" s="141">
        <f t="shared" si="2"/>
        <v>3300</v>
      </c>
      <c r="W22" s="245">
        <v>4</v>
      </c>
      <c r="X22" s="137" t="s">
        <v>39</v>
      </c>
      <c r="Y22" s="245" t="s">
        <v>50</v>
      </c>
      <c r="Z22" s="245" t="s">
        <v>84</v>
      </c>
      <c r="AA22" s="245" t="s">
        <v>69</v>
      </c>
      <c r="AB22" s="137" t="s">
        <v>435</v>
      </c>
      <c r="AC22" s="142"/>
      <c r="AE22" s="234"/>
      <c r="AG22" s="245"/>
      <c r="AH22" s="245"/>
      <c r="AL22" s="245"/>
      <c r="AP22" s="237" t="s">
        <v>115</v>
      </c>
      <c r="AR22" s="236" t="s">
        <v>83</v>
      </c>
      <c r="AV22" s="222"/>
    </row>
    <row r="23" spans="1:48" x14ac:dyDescent="0.15">
      <c r="A23" s="137" t="s">
        <v>61</v>
      </c>
      <c r="B23" s="137" t="s">
        <v>386</v>
      </c>
      <c r="C23" s="137">
        <v>2018</v>
      </c>
      <c r="D23" s="138" t="s">
        <v>434</v>
      </c>
      <c r="E23" s="137" t="s">
        <v>247</v>
      </c>
      <c r="F23" s="137" t="s">
        <v>248</v>
      </c>
      <c r="G23" s="137" t="s">
        <v>42</v>
      </c>
      <c r="H23" s="245" t="s">
        <v>155</v>
      </c>
      <c r="I23" s="245" t="s">
        <v>153</v>
      </c>
      <c r="J23" s="137" t="s">
        <v>38</v>
      </c>
      <c r="K23" s="245" t="s">
        <v>154</v>
      </c>
      <c r="L23" s="245">
        <v>1</v>
      </c>
      <c r="M23" s="245"/>
      <c r="N23" s="142">
        <v>1</v>
      </c>
      <c r="O23" s="142">
        <v>0.5</v>
      </c>
      <c r="P23" s="245">
        <v>0.5</v>
      </c>
      <c r="Q23" s="139">
        <f t="shared" si="0"/>
        <v>0.5</v>
      </c>
      <c r="R23" s="245">
        <v>15.9</v>
      </c>
      <c r="S23" s="245">
        <v>95</v>
      </c>
      <c r="T23" s="140">
        <f t="shared" si="1"/>
        <v>36</v>
      </c>
      <c r="U23" s="245">
        <v>98</v>
      </c>
      <c r="V23" s="141">
        <f t="shared" si="2"/>
        <v>3528</v>
      </c>
      <c r="W23" s="245">
        <v>3</v>
      </c>
      <c r="X23" s="137" t="s">
        <v>39</v>
      </c>
      <c r="Y23" s="245" t="s">
        <v>90</v>
      </c>
      <c r="Z23" s="245" t="s">
        <v>40</v>
      </c>
      <c r="AA23" s="245" t="s">
        <v>84</v>
      </c>
      <c r="AB23" s="137" t="s">
        <v>435</v>
      </c>
      <c r="AC23" s="142"/>
      <c r="AE23" s="234"/>
      <c r="AG23" s="245"/>
      <c r="AH23" s="245"/>
      <c r="AL23" s="245"/>
      <c r="AP23" s="237"/>
      <c r="AR23" s="236"/>
      <c r="AV23" s="245"/>
    </row>
    <row r="24" spans="1:48" x14ac:dyDescent="0.15">
      <c r="A24" s="137" t="s">
        <v>61</v>
      </c>
      <c r="B24" s="137" t="s">
        <v>386</v>
      </c>
      <c r="C24" s="137">
        <v>2018</v>
      </c>
      <c r="D24" s="138" t="s">
        <v>434</v>
      </c>
      <c r="E24" s="137" t="s">
        <v>247</v>
      </c>
      <c r="F24" s="137" t="s">
        <v>248</v>
      </c>
      <c r="G24" s="137" t="s">
        <v>42</v>
      </c>
      <c r="H24" s="245" t="s">
        <v>155</v>
      </c>
      <c r="I24" s="245" t="s">
        <v>153</v>
      </c>
      <c r="J24" s="137" t="s">
        <v>38</v>
      </c>
      <c r="K24" s="245" t="s">
        <v>154</v>
      </c>
      <c r="L24" s="245">
        <v>2</v>
      </c>
      <c r="M24" s="245"/>
      <c r="N24" s="142">
        <v>1</v>
      </c>
      <c r="O24" s="142">
        <v>0.6</v>
      </c>
      <c r="P24" s="245">
        <v>0.55000000000000004</v>
      </c>
      <c r="Q24" s="139">
        <f t="shared" si="0"/>
        <v>0.57499999999999996</v>
      </c>
      <c r="R24" s="245">
        <v>15.7</v>
      </c>
      <c r="S24" s="245">
        <v>106</v>
      </c>
      <c r="T24" s="140">
        <f t="shared" si="1"/>
        <v>33</v>
      </c>
      <c r="U24" s="245">
        <v>98</v>
      </c>
      <c r="V24" s="141">
        <f t="shared" si="2"/>
        <v>3234</v>
      </c>
      <c r="W24" s="245">
        <v>3</v>
      </c>
      <c r="X24" s="137" t="s">
        <v>39</v>
      </c>
      <c r="Y24" s="245" t="s">
        <v>90</v>
      </c>
      <c r="Z24" s="245" t="s">
        <v>40</v>
      </c>
      <c r="AA24" s="245" t="s">
        <v>84</v>
      </c>
      <c r="AB24" s="137" t="s">
        <v>435</v>
      </c>
      <c r="AC24" s="142"/>
      <c r="AE24" s="234"/>
      <c r="AG24" s="245"/>
      <c r="AH24" s="245"/>
      <c r="AL24" s="245"/>
      <c r="AP24" s="237"/>
      <c r="AR24" s="236"/>
      <c r="AV24" s="245"/>
    </row>
    <row r="25" spans="1:48" x14ac:dyDescent="0.15">
      <c r="A25" s="137" t="s">
        <v>61</v>
      </c>
      <c r="B25" s="137" t="s">
        <v>386</v>
      </c>
      <c r="C25" s="137">
        <v>2018</v>
      </c>
      <c r="D25" s="138" t="s">
        <v>434</v>
      </c>
      <c r="E25" s="137" t="s">
        <v>247</v>
      </c>
      <c r="F25" s="137" t="s">
        <v>248</v>
      </c>
      <c r="G25" s="137" t="s">
        <v>42</v>
      </c>
      <c r="H25" s="245" t="s">
        <v>155</v>
      </c>
      <c r="I25" s="245" t="s">
        <v>153</v>
      </c>
      <c r="J25" s="137" t="s">
        <v>38</v>
      </c>
      <c r="K25" s="245" t="s">
        <v>154</v>
      </c>
      <c r="L25" s="245">
        <v>3</v>
      </c>
      <c r="M25" s="245"/>
      <c r="N25" s="142">
        <v>1</v>
      </c>
      <c r="O25" s="142">
        <v>0.55000000000000004</v>
      </c>
      <c r="P25" s="245">
        <v>0.5</v>
      </c>
      <c r="Q25" s="139">
        <f t="shared" si="0"/>
        <v>0.52500000000000002</v>
      </c>
      <c r="R25" s="245">
        <v>16</v>
      </c>
      <c r="S25" s="245">
        <v>99</v>
      </c>
      <c r="T25" s="140">
        <f t="shared" si="1"/>
        <v>33</v>
      </c>
      <c r="U25" s="245">
        <v>98</v>
      </c>
      <c r="V25" s="141">
        <f t="shared" si="2"/>
        <v>3234</v>
      </c>
      <c r="W25" s="245">
        <v>3</v>
      </c>
      <c r="X25" s="137" t="s">
        <v>39</v>
      </c>
      <c r="Y25" s="245" t="s">
        <v>90</v>
      </c>
      <c r="Z25" s="245" t="s">
        <v>40</v>
      </c>
      <c r="AA25" s="245" t="s">
        <v>84</v>
      </c>
      <c r="AB25" s="137" t="s">
        <v>435</v>
      </c>
      <c r="AC25" s="142"/>
      <c r="AE25" s="234"/>
      <c r="AG25" s="245"/>
      <c r="AH25" s="245"/>
      <c r="AL25" s="245"/>
      <c r="AP25" s="237"/>
      <c r="AR25" s="236"/>
      <c r="AV25" s="245"/>
    </row>
    <row r="26" spans="1:48" x14ac:dyDescent="0.15">
      <c r="A26" s="137" t="s">
        <v>61</v>
      </c>
      <c r="B26" s="137" t="s">
        <v>386</v>
      </c>
      <c r="C26" s="137">
        <v>2018</v>
      </c>
      <c r="D26" s="138" t="s">
        <v>434</v>
      </c>
      <c r="E26" s="137" t="s">
        <v>249</v>
      </c>
      <c r="F26" s="137" t="s">
        <v>250</v>
      </c>
      <c r="G26" s="137" t="s">
        <v>42</v>
      </c>
      <c r="H26" s="245" t="s">
        <v>155</v>
      </c>
      <c r="I26" s="245" t="s">
        <v>153</v>
      </c>
      <c r="J26" s="137" t="s">
        <v>38</v>
      </c>
      <c r="K26" s="245" t="s">
        <v>154</v>
      </c>
      <c r="L26" s="245">
        <v>1</v>
      </c>
      <c r="M26" s="245"/>
      <c r="N26" s="245">
        <v>1</v>
      </c>
      <c r="O26" s="245">
        <v>0.5</v>
      </c>
      <c r="P26" s="142">
        <v>0.5</v>
      </c>
      <c r="Q26" s="139">
        <f t="shared" si="0"/>
        <v>0.5</v>
      </c>
      <c r="R26" s="245">
        <v>15.6</v>
      </c>
      <c r="S26" s="245">
        <v>103</v>
      </c>
      <c r="T26" s="140">
        <f t="shared" si="1"/>
        <v>33</v>
      </c>
      <c r="U26" s="245">
        <v>105</v>
      </c>
      <c r="V26" s="141">
        <f t="shared" si="2"/>
        <v>3465</v>
      </c>
      <c r="W26" s="245">
        <v>4</v>
      </c>
      <c r="X26" s="137" t="s">
        <v>39</v>
      </c>
      <c r="Y26" s="245" t="s">
        <v>84</v>
      </c>
      <c r="Z26" s="245" t="s">
        <v>90</v>
      </c>
      <c r="AA26" s="245" t="s">
        <v>69</v>
      </c>
      <c r="AB26" s="137" t="s">
        <v>435</v>
      </c>
      <c r="AC26" s="142"/>
      <c r="AE26" s="221"/>
      <c r="AG26" s="245"/>
      <c r="AH26" s="245"/>
      <c r="AL26" s="245"/>
      <c r="AP26" s="237" t="s">
        <v>398</v>
      </c>
      <c r="AR26" s="236" t="s">
        <v>61</v>
      </c>
      <c r="AV26" s="245"/>
    </row>
    <row r="27" spans="1:48" x14ac:dyDescent="0.15">
      <c r="A27" s="137" t="s">
        <v>61</v>
      </c>
      <c r="B27" s="137" t="s">
        <v>386</v>
      </c>
      <c r="C27" s="137">
        <v>2018</v>
      </c>
      <c r="D27" s="138" t="s">
        <v>434</v>
      </c>
      <c r="E27" s="137" t="s">
        <v>249</v>
      </c>
      <c r="F27" s="137" t="s">
        <v>250</v>
      </c>
      <c r="G27" s="137" t="s">
        <v>42</v>
      </c>
      <c r="H27" s="245" t="s">
        <v>155</v>
      </c>
      <c r="I27" s="245" t="s">
        <v>153</v>
      </c>
      <c r="J27" s="137" t="s">
        <v>38</v>
      </c>
      <c r="K27" s="245" t="s">
        <v>154</v>
      </c>
      <c r="L27" s="245">
        <v>2</v>
      </c>
      <c r="M27" s="245"/>
      <c r="N27" s="245">
        <v>1</v>
      </c>
      <c r="O27" s="245">
        <v>0.5</v>
      </c>
      <c r="P27" s="142">
        <v>0.5</v>
      </c>
      <c r="Q27" s="139">
        <f t="shared" si="0"/>
        <v>0.5</v>
      </c>
      <c r="R27" s="245">
        <v>16</v>
      </c>
      <c r="S27" s="245">
        <v>99</v>
      </c>
      <c r="T27" s="140">
        <f t="shared" si="1"/>
        <v>33</v>
      </c>
      <c r="U27" s="245">
        <v>105</v>
      </c>
      <c r="V27" s="141">
        <f t="shared" si="2"/>
        <v>3465</v>
      </c>
      <c r="W27" s="245">
        <v>4</v>
      </c>
      <c r="X27" s="137" t="s">
        <v>39</v>
      </c>
      <c r="Y27" s="245" t="s">
        <v>84</v>
      </c>
      <c r="Z27" s="245" t="s">
        <v>90</v>
      </c>
      <c r="AA27" s="245" t="s">
        <v>69</v>
      </c>
      <c r="AB27" s="137" t="s">
        <v>435</v>
      </c>
      <c r="AC27" s="142"/>
      <c r="AE27" s="221"/>
      <c r="AG27" s="245"/>
      <c r="AH27" s="245"/>
      <c r="AL27" s="245"/>
      <c r="AP27" s="237" t="s">
        <v>399</v>
      </c>
      <c r="AR27" s="236" t="s">
        <v>91</v>
      </c>
      <c r="AV27" s="245"/>
    </row>
    <row r="28" spans="1:48" x14ac:dyDescent="0.15">
      <c r="A28" s="137" t="s">
        <v>61</v>
      </c>
      <c r="B28" s="137" t="s">
        <v>386</v>
      </c>
      <c r="C28" s="137">
        <v>2018</v>
      </c>
      <c r="D28" s="138" t="s">
        <v>434</v>
      </c>
      <c r="E28" s="137" t="s">
        <v>249</v>
      </c>
      <c r="F28" s="137" t="s">
        <v>250</v>
      </c>
      <c r="G28" s="137" t="s">
        <v>42</v>
      </c>
      <c r="H28" s="245" t="s">
        <v>155</v>
      </c>
      <c r="I28" s="245" t="s">
        <v>153</v>
      </c>
      <c r="J28" s="137" t="s">
        <v>38</v>
      </c>
      <c r="K28" s="245" t="s">
        <v>154</v>
      </c>
      <c r="L28" s="245">
        <v>3</v>
      </c>
      <c r="M28" s="245"/>
      <c r="N28" s="245">
        <v>1</v>
      </c>
      <c r="O28" s="245">
        <v>0.5</v>
      </c>
      <c r="P28" s="142">
        <v>0.5</v>
      </c>
      <c r="Q28" s="139">
        <f t="shared" si="0"/>
        <v>0.5</v>
      </c>
      <c r="R28" s="245">
        <v>16.399999999999999</v>
      </c>
      <c r="S28" s="245">
        <v>104</v>
      </c>
      <c r="T28" s="140">
        <f t="shared" si="1"/>
        <v>33</v>
      </c>
      <c r="U28" s="245">
        <v>105</v>
      </c>
      <c r="V28" s="141">
        <f t="shared" si="2"/>
        <v>3465</v>
      </c>
      <c r="W28" s="245">
        <v>4</v>
      </c>
      <c r="X28" s="137" t="s">
        <v>39</v>
      </c>
      <c r="Y28" s="245" t="s">
        <v>84</v>
      </c>
      <c r="Z28" s="245" t="s">
        <v>90</v>
      </c>
      <c r="AA28" s="245" t="s">
        <v>69</v>
      </c>
      <c r="AB28" s="137" t="s">
        <v>435</v>
      </c>
      <c r="AC28" s="142"/>
      <c r="AE28" s="234"/>
      <c r="AG28" s="245"/>
      <c r="AH28" s="245"/>
      <c r="AL28" s="245"/>
      <c r="AP28" s="237" t="s">
        <v>116</v>
      </c>
      <c r="AR28" s="42" t="s">
        <v>92</v>
      </c>
      <c r="AV28" s="245"/>
    </row>
    <row r="29" spans="1:48" x14ac:dyDescent="0.15">
      <c r="A29" s="137" t="s">
        <v>61</v>
      </c>
      <c r="B29" s="137" t="s">
        <v>386</v>
      </c>
      <c r="C29" s="137">
        <v>2018</v>
      </c>
      <c r="D29" s="138" t="s">
        <v>434</v>
      </c>
      <c r="E29" s="137" t="s">
        <v>249</v>
      </c>
      <c r="F29" s="137" t="s">
        <v>250</v>
      </c>
      <c r="G29" s="137" t="s">
        <v>42</v>
      </c>
      <c r="H29" s="245" t="s">
        <v>127</v>
      </c>
      <c r="I29" s="245" t="s">
        <v>153</v>
      </c>
      <c r="J29" s="137" t="s">
        <v>232</v>
      </c>
      <c r="K29" s="245" t="s">
        <v>59</v>
      </c>
      <c r="L29" s="245">
        <v>1</v>
      </c>
      <c r="M29" s="245"/>
      <c r="N29" s="245">
        <v>5</v>
      </c>
      <c r="O29" s="245">
        <v>0.7</v>
      </c>
      <c r="P29" s="142">
        <v>0.65</v>
      </c>
      <c r="Q29" s="139">
        <f t="shared" si="0"/>
        <v>0.67500000000000004</v>
      </c>
      <c r="R29" s="245">
        <v>16.399999999999999</v>
      </c>
      <c r="S29" s="245">
        <v>98</v>
      </c>
      <c r="T29" s="140">
        <f t="shared" si="1"/>
        <v>36</v>
      </c>
      <c r="U29" s="245">
        <v>429</v>
      </c>
      <c r="V29" s="141">
        <f t="shared" si="2"/>
        <v>3088.7999999999997</v>
      </c>
      <c r="W29" s="245">
        <v>4</v>
      </c>
      <c r="X29" s="137" t="s">
        <v>39</v>
      </c>
      <c r="Y29" s="245" t="s">
        <v>84</v>
      </c>
      <c r="Z29" s="245" t="s">
        <v>90</v>
      </c>
      <c r="AA29" s="245" t="s">
        <v>69</v>
      </c>
      <c r="AB29" s="137" t="s">
        <v>435</v>
      </c>
      <c r="AC29" s="142"/>
      <c r="AD29" s="233"/>
      <c r="AE29" s="234"/>
      <c r="AG29" s="245"/>
      <c r="AH29" s="245"/>
      <c r="AP29" s="237" t="s">
        <v>117</v>
      </c>
      <c r="AR29" s="222" t="s">
        <v>283</v>
      </c>
      <c r="AV29" s="245"/>
    </row>
    <row r="30" spans="1:48" x14ac:dyDescent="0.15">
      <c r="A30" s="137" t="s">
        <v>61</v>
      </c>
      <c r="B30" s="137" t="s">
        <v>386</v>
      </c>
      <c r="C30" s="137">
        <v>2018</v>
      </c>
      <c r="D30" s="138" t="s">
        <v>434</v>
      </c>
      <c r="E30" s="137" t="s">
        <v>249</v>
      </c>
      <c r="F30" s="137" t="s">
        <v>250</v>
      </c>
      <c r="G30" s="137" t="s">
        <v>42</v>
      </c>
      <c r="H30" s="245" t="s">
        <v>127</v>
      </c>
      <c r="I30" s="245" t="s">
        <v>153</v>
      </c>
      <c r="J30" s="137" t="s">
        <v>232</v>
      </c>
      <c r="K30" s="245" t="s">
        <v>59</v>
      </c>
      <c r="L30" s="245">
        <v>2</v>
      </c>
      <c r="M30" s="245"/>
      <c r="N30" s="245">
        <v>5</v>
      </c>
      <c r="O30" s="245">
        <v>0.7</v>
      </c>
      <c r="P30" s="142">
        <v>0.7</v>
      </c>
      <c r="Q30" s="139">
        <f t="shared" si="0"/>
        <v>0.7</v>
      </c>
      <c r="R30" s="245">
        <v>16.2</v>
      </c>
      <c r="S30" s="245">
        <v>94</v>
      </c>
      <c r="T30" s="140">
        <f t="shared" si="1"/>
        <v>36</v>
      </c>
      <c r="U30" s="245">
        <v>429</v>
      </c>
      <c r="V30" s="141">
        <f t="shared" si="2"/>
        <v>3088.7999999999997</v>
      </c>
      <c r="W30" s="245">
        <v>4</v>
      </c>
      <c r="X30" s="137" t="s">
        <v>39</v>
      </c>
      <c r="Y30" s="245" t="s">
        <v>84</v>
      </c>
      <c r="Z30" s="245" t="s">
        <v>90</v>
      </c>
      <c r="AA30" s="245" t="s">
        <v>69</v>
      </c>
      <c r="AB30" s="137" t="s">
        <v>435</v>
      </c>
      <c r="AC30" s="142"/>
      <c r="AD30" s="233"/>
      <c r="AE30" s="227"/>
      <c r="AG30" s="245"/>
      <c r="AH30" s="245"/>
      <c r="AP30" s="237" t="s">
        <v>118</v>
      </c>
      <c r="AR30" s="222"/>
      <c r="AV30" s="245"/>
    </row>
    <row r="31" spans="1:48" x14ac:dyDescent="0.15">
      <c r="A31" s="137" t="s">
        <v>61</v>
      </c>
      <c r="B31" s="137" t="s">
        <v>386</v>
      </c>
      <c r="C31" s="137">
        <v>2018</v>
      </c>
      <c r="D31" s="138" t="s">
        <v>434</v>
      </c>
      <c r="E31" s="137" t="s">
        <v>249</v>
      </c>
      <c r="F31" s="137" t="s">
        <v>250</v>
      </c>
      <c r="G31" s="137" t="s">
        <v>42</v>
      </c>
      <c r="H31" s="245" t="s">
        <v>127</v>
      </c>
      <c r="I31" s="245" t="s">
        <v>153</v>
      </c>
      <c r="J31" s="137" t="s">
        <v>232</v>
      </c>
      <c r="K31" s="245" t="s">
        <v>59</v>
      </c>
      <c r="L31" s="245">
        <v>3</v>
      </c>
      <c r="M31" s="245"/>
      <c r="N31" s="245">
        <v>5</v>
      </c>
      <c r="O31" s="245">
        <v>0.75</v>
      </c>
      <c r="P31" s="142">
        <v>0.75</v>
      </c>
      <c r="Q31" s="139">
        <f t="shared" si="0"/>
        <v>0.75</v>
      </c>
      <c r="R31" s="245">
        <v>16.8</v>
      </c>
      <c r="S31" s="245">
        <v>99</v>
      </c>
      <c r="T31" s="140">
        <f t="shared" si="1"/>
        <v>33</v>
      </c>
      <c r="U31" s="245">
        <v>429</v>
      </c>
      <c r="V31" s="141">
        <f t="shared" si="2"/>
        <v>2831.4</v>
      </c>
      <c r="W31" s="245">
        <v>4</v>
      </c>
      <c r="X31" s="137" t="s">
        <v>39</v>
      </c>
      <c r="Y31" s="245" t="s">
        <v>84</v>
      </c>
      <c r="Z31" s="245" t="s">
        <v>90</v>
      </c>
      <c r="AA31" s="245" t="s">
        <v>69</v>
      </c>
      <c r="AB31" s="137" t="s">
        <v>435</v>
      </c>
      <c r="AC31" s="142"/>
      <c r="AD31" s="233"/>
      <c r="AE31" s="245"/>
      <c r="AG31" s="245"/>
      <c r="AH31" s="245"/>
      <c r="AP31" s="226"/>
      <c r="AR31" s="222"/>
      <c r="AV31" s="245"/>
    </row>
    <row r="32" spans="1:48" x14ac:dyDescent="0.15">
      <c r="A32" s="137" t="s">
        <v>61</v>
      </c>
      <c r="B32" s="137" t="s">
        <v>386</v>
      </c>
      <c r="C32" s="137">
        <v>2018</v>
      </c>
      <c r="D32" s="138" t="s">
        <v>434</v>
      </c>
      <c r="E32" s="137" t="s">
        <v>133</v>
      </c>
      <c r="F32" s="137" t="s">
        <v>251</v>
      </c>
      <c r="G32" s="137" t="s">
        <v>42</v>
      </c>
      <c r="H32" s="245" t="s">
        <v>155</v>
      </c>
      <c r="I32" s="245" t="s">
        <v>153</v>
      </c>
      <c r="J32" s="137" t="s">
        <v>38</v>
      </c>
      <c r="K32" s="245" t="s">
        <v>154</v>
      </c>
      <c r="L32" s="245">
        <v>1</v>
      </c>
      <c r="M32" s="245"/>
      <c r="N32" s="245">
        <v>1</v>
      </c>
      <c r="O32" s="245">
        <v>0.8</v>
      </c>
      <c r="P32" s="245">
        <v>0.8</v>
      </c>
      <c r="Q32" s="139">
        <f t="shared" si="0"/>
        <v>0.8</v>
      </c>
      <c r="R32" s="245">
        <v>15.9</v>
      </c>
      <c r="S32" s="245">
        <v>115</v>
      </c>
      <c r="T32" s="140">
        <f t="shared" si="1"/>
        <v>30</v>
      </c>
      <c r="U32" s="245">
        <v>105</v>
      </c>
      <c r="V32" s="141">
        <f t="shared" si="2"/>
        <v>3150</v>
      </c>
      <c r="W32" s="245">
        <v>11</v>
      </c>
      <c r="X32" s="137" t="s">
        <v>46</v>
      </c>
      <c r="Y32" s="245" t="s">
        <v>40</v>
      </c>
      <c r="Z32" s="245" t="s">
        <v>84</v>
      </c>
      <c r="AA32" s="245" t="s">
        <v>69</v>
      </c>
      <c r="AB32" s="137" t="s">
        <v>435</v>
      </c>
      <c r="AC32" s="142"/>
    </row>
    <row r="33" spans="1:29" x14ac:dyDescent="0.15">
      <c r="A33" s="137" t="s">
        <v>61</v>
      </c>
      <c r="B33" s="137" t="s">
        <v>386</v>
      </c>
      <c r="C33" s="137">
        <v>2018</v>
      </c>
      <c r="D33" s="138" t="s">
        <v>434</v>
      </c>
      <c r="E33" s="137" t="s">
        <v>133</v>
      </c>
      <c r="F33" s="137" t="s">
        <v>251</v>
      </c>
      <c r="G33" s="137" t="s">
        <v>42</v>
      </c>
      <c r="H33" s="245" t="s">
        <v>155</v>
      </c>
      <c r="I33" s="245" t="s">
        <v>153</v>
      </c>
      <c r="J33" s="137" t="s">
        <v>38</v>
      </c>
      <c r="K33" s="245" t="s">
        <v>154</v>
      </c>
      <c r="L33" s="245">
        <v>2</v>
      </c>
      <c r="M33" s="245"/>
      <c r="N33" s="245">
        <v>1</v>
      </c>
      <c r="O33" s="245">
        <v>0.6</v>
      </c>
      <c r="P33" s="245">
        <v>0.75</v>
      </c>
      <c r="Q33" s="139">
        <f t="shared" si="0"/>
        <v>0.67500000000000004</v>
      </c>
      <c r="R33" s="245">
        <v>16.100000000000001</v>
      </c>
      <c r="S33" s="245">
        <v>117</v>
      </c>
      <c r="T33" s="140">
        <f t="shared" si="1"/>
        <v>30</v>
      </c>
      <c r="U33" s="245">
        <v>105</v>
      </c>
      <c r="V33" s="141">
        <f t="shared" si="2"/>
        <v>3150</v>
      </c>
      <c r="W33" s="245">
        <v>11</v>
      </c>
      <c r="X33" s="137" t="s">
        <v>46</v>
      </c>
      <c r="Y33" s="245" t="s">
        <v>40</v>
      </c>
      <c r="Z33" s="245" t="s">
        <v>84</v>
      </c>
      <c r="AA33" s="245" t="s">
        <v>69</v>
      </c>
      <c r="AB33" s="137" t="s">
        <v>435</v>
      </c>
      <c r="AC33" s="142"/>
    </row>
    <row r="34" spans="1:29" x14ac:dyDescent="0.15">
      <c r="A34" s="137" t="s">
        <v>61</v>
      </c>
      <c r="B34" s="137" t="s">
        <v>386</v>
      </c>
      <c r="C34" s="137">
        <v>2018</v>
      </c>
      <c r="D34" s="138" t="s">
        <v>434</v>
      </c>
      <c r="E34" s="137" t="s">
        <v>133</v>
      </c>
      <c r="F34" s="137" t="s">
        <v>251</v>
      </c>
      <c r="G34" s="137" t="s">
        <v>42</v>
      </c>
      <c r="H34" s="245" t="s">
        <v>155</v>
      </c>
      <c r="I34" s="245" t="s">
        <v>153</v>
      </c>
      <c r="J34" s="137" t="s">
        <v>38</v>
      </c>
      <c r="K34" s="245" t="s">
        <v>154</v>
      </c>
      <c r="L34" s="245">
        <v>3</v>
      </c>
      <c r="M34" s="245"/>
      <c r="N34" s="245">
        <v>1</v>
      </c>
      <c r="O34" s="245">
        <v>0.75</v>
      </c>
      <c r="P34" s="245">
        <v>0.75</v>
      </c>
      <c r="Q34" s="139">
        <f t="shared" si="0"/>
        <v>0.75</v>
      </c>
      <c r="R34" s="245">
        <v>16.5</v>
      </c>
      <c r="S34" s="245">
        <v>116</v>
      </c>
      <c r="T34" s="140">
        <f t="shared" si="1"/>
        <v>30</v>
      </c>
      <c r="U34" s="245">
        <v>105</v>
      </c>
      <c r="V34" s="141">
        <f t="shared" si="2"/>
        <v>3150</v>
      </c>
      <c r="W34" s="245">
        <v>11</v>
      </c>
      <c r="X34" s="137" t="s">
        <v>46</v>
      </c>
      <c r="Y34" s="245" t="s">
        <v>40</v>
      </c>
      <c r="Z34" s="245" t="s">
        <v>84</v>
      </c>
      <c r="AA34" s="245" t="s">
        <v>69</v>
      </c>
      <c r="AB34" s="137" t="s">
        <v>435</v>
      </c>
      <c r="AC34" s="142"/>
    </row>
    <row r="35" spans="1:29" x14ac:dyDescent="0.15">
      <c r="A35" s="137" t="s">
        <v>61</v>
      </c>
      <c r="B35" s="137" t="s">
        <v>386</v>
      </c>
      <c r="C35" s="137">
        <v>2018</v>
      </c>
      <c r="D35" s="138" t="s">
        <v>434</v>
      </c>
      <c r="E35" s="137" t="s">
        <v>133</v>
      </c>
      <c r="F35" s="137" t="s">
        <v>251</v>
      </c>
      <c r="G35" s="137" t="s">
        <v>42</v>
      </c>
      <c r="H35" s="245" t="s">
        <v>128</v>
      </c>
      <c r="I35" s="245" t="s">
        <v>153</v>
      </c>
      <c r="J35" s="137" t="s">
        <v>80</v>
      </c>
      <c r="K35" s="245" t="s">
        <v>45</v>
      </c>
      <c r="L35" s="245">
        <v>1</v>
      </c>
      <c r="M35" s="245"/>
      <c r="N35" s="245">
        <v>1</v>
      </c>
      <c r="O35" s="245">
        <v>0.6</v>
      </c>
      <c r="P35" s="245">
        <v>0.6</v>
      </c>
      <c r="Q35" s="139">
        <f t="shared" si="0"/>
        <v>0.6</v>
      </c>
      <c r="R35" s="245">
        <v>15.1</v>
      </c>
      <c r="S35" s="245">
        <v>86</v>
      </c>
      <c r="T35" s="140">
        <f t="shared" si="1"/>
        <v>36</v>
      </c>
      <c r="U35" s="245">
        <v>105</v>
      </c>
      <c r="V35" s="141">
        <f t="shared" si="2"/>
        <v>3780</v>
      </c>
      <c r="W35" s="245">
        <v>11</v>
      </c>
      <c r="X35" s="137" t="s">
        <v>46</v>
      </c>
      <c r="Y35" s="245" t="s">
        <v>40</v>
      </c>
      <c r="Z35" s="245" t="s">
        <v>84</v>
      </c>
      <c r="AA35" s="245" t="s">
        <v>69</v>
      </c>
      <c r="AB35" s="137" t="s">
        <v>435</v>
      </c>
      <c r="AC35" s="142"/>
    </row>
    <row r="36" spans="1:29" x14ac:dyDescent="0.15">
      <c r="A36" s="137" t="s">
        <v>61</v>
      </c>
      <c r="B36" s="137" t="s">
        <v>386</v>
      </c>
      <c r="C36" s="137">
        <v>2018</v>
      </c>
      <c r="D36" s="138" t="s">
        <v>434</v>
      </c>
      <c r="E36" s="137" t="s">
        <v>133</v>
      </c>
      <c r="F36" s="137" t="s">
        <v>251</v>
      </c>
      <c r="G36" s="137" t="s">
        <v>42</v>
      </c>
      <c r="H36" s="245" t="s">
        <v>128</v>
      </c>
      <c r="I36" s="245" t="s">
        <v>153</v>
      </c>
      <c r="J36" s="137" t="s">
        <v>80</v>
      </c>
      <c r="K36" s="245" t="s">
        <v>45</v>
      </c>
      <c r="L36" s="245">
        <v>2</v>
      </c>
      <c r="M36" s="245"/>
      <c r="N36" s="245">
        <v>1</v>
      </c>
      <c r="O36" s="245">
        <v>0.7</v>
      </c>
      <c r="P36" s="245">
        <v>0.75</v>
      </c>
      <c r="Q36" s="139">
        <f t="shared" si="0"/>
        <v>0.72499999999999998</v>
      </c>
      <c r="R36" s="245">
        <v>14.4</v>
      </c>
      <c r="S36" s="245">
        <v>91</v>
      </c>
      <c r="T36" s="140">
        <f t="shared" si="1"/>
        <v>36</v>
      </c>
      <c r="U36" s="245">
        <v>105</v>
      </c>
      <c r="V36" s="141">
        <f t="shared" si="2"/>
        <v>3780</v>
      </c>
      <c r="W36" s="245">
        <v>11</v>
      </c>
      <c r="X36" s="137" t="s">
        <v>46</v>
      </c>
      <c r="Y36" s="245" t="s">
        <v>40</v>
      </c>
      <c r="Z36" s="245" t="s">
        <v>84</v>
      </c>
      <c r="AA36" s="245" t="s">
        <v>69</v>
      </c>
      <c r="AB36" s="137" t="s">
        <v>435</v>
      </c>
      <c r="AC36" s="142"/>
    </row>
    <row r="37" spans="1:29" x14ac:dyDescent="0.15">
      <c r="A37" s="137" t="s">
        <v>61</v>
      </c>
      <c r="B37" s="137" t="s">
        <v>386</v>
      </c>
      <c r="C37" s="137">
        <v>2018</v>
      </c>
      <c r="D37" s="138" t="s">
        <v>434</v>
      </c>
      <c r="E37" s="137" t="s">
        <v>133</v>
      </c>
      <c r="F37" s="137" t="s">
        <v>251</v>
      </c>
      <c r="G37" s="137" t="s">
        <v>42</v>
      </c>
      <c r="H37" s="245" t="s">
        <v>128</v>
      </c>
      <c r="I37" s="245" t="s">
        <v>153</v>
      </c>
      <c r="J37" s="137" t="s">
        <v>80</v>
      </c>
      <c r="K37" s="245" t="s">
        <v>45</v>
      </c>
      <c r="L37" s="245">
        <v>3</v>
      </c>
      <c r="M37" s="245"/>
      <c r="N37" s="245">
        <v>1</v>
      </c>
      <c r="O37" s="245">
        <v>0.6</v>
      </c>
      <c r="P37" s="245">
        <v>0.6</v>
      </c>
      <c r="Q37" s="139">
        <f t="shared" si="0"/>
        <v>0.6</v>
      </c>
      <c r="R37" s="245">
        <v>14.4</v>
      </c>
      <c r="S37" s="245">
        <v>83</v>
      </c>
      <c r="T37" s="140">
        <f t="shared" si="1"/>
        <v>39</v>
      </c>
      <c r="U37" s="245">
        <v>105</v>
      </c>
      <c r="V37" s="141">
        <f t="shared" si="2"/>
        <v>4095</v>
      </c>
      <c r="W37" s="245">
        <v>11</v>
      </c>
      <c r="X37" s="137" t="s">
        <v>46</v>
      </c>
      <c r="Y37" s="245" t="s">
        <v>40</v>
      </c>
      <c r="Z37" s="245" t="s">
        <v>84</v>
      </c>
      <c r="AA37" s="245" t="s">
        <v>69</v>
      </c>
      <c r="AB37" s="137" t="s">
        <v>435</v>
      </c>
      <c r="AC37" s="142"/>
    </row>
    <row r="38" spans="1:29" x14ac:dyDescent="0.15">
      <c r="A38" s="137" t="s">
        <v>61</v>
      </c>
      <c r="B38" s="137" t="s">
        <v>386</v>
      </c>
      <c r="C38" s="137">
        <v>2018</v>
      </c>
      <c r="D38" s="138" t="s">
        <v>434</v>
      </c>
      <c r="E38" s="137" t="s">
        <v>252</v>
      </c>
      <c r="F38" s="137" t="s">
        <v>253</v>
      </c>
      <c r="G38" s="137" t="s">
        <v>42</v>
      </c>
      <c r="H38" s="245" t="s">
        <v>155</v>
      </c>
      <c r="I38" s="245" t="s">
        <v>153</v>
      </c>
      <c r="J38" s="137" t="s">
        <v>38</v>
      </c>
      <c r="K38" s="245" t="s">
        <v>154</v>
      </c>
      <c r="L38" s="245">
        <v>1</v>
      </c>
      <c r="M38" s="245"/>
      <c r="N38" s="245">
        <v>1</v>
      </c>
      <c r="O38" s="245">
        <v>0.6</v>
      </c>
      <c r="P38" s="245">
        <v>0.55000000000000004</v>
      </c>
      <c r="Q38" s="139">
        <f t="shared" si="0"/>
        <v>0.57499999999999996</v>
      </c>
      <c r="R38" s="245">
        <v>15.9</v>
      </c>
      <c r="S38" s="245">
        <v>109</v>
      </c>
      <c r="T38" s="140">
        <f t="shared" si="1"/>
        <v>33</v>
      </c>
      <c r="U38" s="245">
        <v>138</v>
      </c>
      <c r="V38" s="141">
        <f t="shared" si="2"/>
        <v>4554</v>
      </c>
      <c r="W38" s="245">
        <v>3</v>
      </c>
      <c r="X38" s="137" t="s">
        <v>46</v>
      </c>
      <c r="Y38" s="245" t="s">
        <v>84</v>
      </c>
      <c r="Z38" s="245" t="s">
        <v>90</v>
      </c>
      <c r="AA38" s="245" t="s">
        <v>50</v>
      </c>
      <c r="AB38" s="137" t="s">
        <v>435</v>
      </c>
      <c r="AC38" s="142"/>
    </row>
    <row r="39" spans="1:29" x14ac:dyDescent="0.15">
      <c r="A39" s="137" t="s">
        <v>61</v>
      </c>
      <c r="B39" s="137" t="s">
        <v>386</v>
      </c>
      <c r="C39" s="137">
        <v>2018</v>
      </c>
      <c r="D39" s="138" t="s">
        <v>434</v>
      </c>
      <c r="E39" s="137" t="s">
        <v>252</v>
      </c>
      <c r="F39" s="137" t="s">
        <v>253</v>
      </c>
      <c r="G39" s="137" t="s">
        <v>42</v>
      </c>
      <c r="H39" s="245" t="s">
        <v>155</v>
      </c>
      <c r="I39" s="245" t="s">
        <v>153</v>
      </c>
      <c r="J39" s="137" t="s">
        <v>38</v>
      </c>
      <c r="K39" s="245" t="s">
        <v>154</v>
      </c>
      <c r="L39" s="245">
        <v>2</v>
      </c>
      <c r="M39" s="245"/>
      <c r="N39" s="245">
        <v>1</v>
      </c>
      <c r="O39" s="245">
        <v>0.6</v>
      </c>
      <c r="P39" s="245">
        <v>0.5</v>
      </c>
      <c r="Q39" s="139">
        <f t="shared" si="0"/>
        <v>0.55000000000000004</v>
      </c>
      <c r="R39" s="245">
        <v>16.7</v>
      </c>
      <c r="S39" s="245">
        <v>111</v>
      </c>
      <c r="T39" s="140">
        <f t="shared" si="1"/>
        <v>33</v>
      </c>
      <c r="U39" s="245">
        <v>138</v>
      </c>
      <c r="V39" s="141">
        <f t="shared" si="2"/>
        <v>4554</v>
      </c>
      <c r="W39" s="245">
        <v>3</v>
      </c>
      <c r="X39" s="137" t="s">
        <v>46</v>
      </c>
      <c r="Y39" s="245" t="s">
        <v>84</v>
      </c>
      <c r="Z39" s="245" t="s">
        <v>90</v>
      </c>
      <c r="AA39" s="245" t="s">
        <v>50</v>
      </c>
      <c r="AB39" s="137" t="s">
        <v>435</v>
      </c>
      <c r="AC39" s="142"/>
    </row>
    <row r="40" spans="1:29" x14ac:dyDescent="0.15">
      <c r="A40" s="137" t="s">
        <v>61</v>
      </c>
      <c r="B40" s="137" t="s">
        <v>386</v>
      </c>
      <c r="C40" s="137">
        <v>2018</v>
      </c>
      <c r="D40" s="138" t="s">
        <v>434</v>
      </c>
      <c r="E40" s="137" t="s">
        <v>252</v>
      </c>
      <c r="F40" s="137" t="s">
        <v>253</v>
      </c>
      <c r="G40" s="137" t="s">
        <v>42</v>
      </c>
      <c r="H40" s="245" t="s">
        <v>155</v>
      </c>
      <c r="I40" s="245" t="s">
        <v>153</v>
      </c>
      <c r="J40" s="137" t="s">
        <v>38</v>
      </c>
      <c r="K40" s="245" t="s">
        <v>154</v>
      </c>
      <c r="L40" s="245">
        <v>3</v>
      </c>
      <c r="M40" s="245"/>
      <c r="N40" s="245">
        <v>1</v>
      </c>
      <c r="O40" s="245">
        <v>0.55000000000000004</v>
      </c>
      <c r="P40" s="245">
        <v>0.5</v>
      </c>
      <c r="Q40" s="139">
        <f t="shared" si="0"/>
        <v>0.52500000000000002</v>
      </c>
      <c r="R40" s="245">
        <v>16.5</v>
      </c>
      <c r="S40" s="245">
        <v>104</v>
      </c>
      <c r="T40" s="140">
        <f t="shared" si="1"/>
        <v>33</v>
      </c>
      <c r="U40" s="245">
        <v>138</v>
      </c>
      <c r="V40" s="141">
        <f t="shared" si="2"/>
        <v>4554</v>
      </c>
      <c r="W40" s="245">
        <v>3</v>
      </c>
      <c r="X40" s="137" t="s">
        <v>46</v>
      </c>
      <c r="Y40" s="245" t="s">
        <v>84</v>
      </c>
      <c r="Z40" s="245" t="s">
        <v>90</v>
      </c>
      <c r="AA40" s="245" t="s">
        <v>50</v>
      </c>
      <c r="AB40" s="137" t="s">
        <v>435</v>
      </c>
      <c r="AC40" s="142"/>
    </row>
    <row r="41" spans="1:29" x14ac:dyDescent="0.15">
      <c r="A41" s="137" t="s">
        <v>61</v>
      </c>
      <c r="B41" s="137" t="s">
        <v>386</v>
      </c>
      <c r="C41" s="137">
        <v>2018</v>
      </c>
      <c r="D41" s="138" t="s">
        <v>434</v>
      </c>
      <c r="E41" s="137" t="s">
        <v>254</v>
      </c>
      <c r="F41" s="137" t="s">
        <v>253</v>
      </c>
      <c r="G41" s="137" t="s">
        <v>42</v>
      </c>
      <c r="H41" s="245" t="s">
        <v>155</v>
      </c>
      <c r="I41" s="245" t="s">
        <v>153</v>
      </c>
      <c r="J41" s="137" t="s">
        <v>38</v>
      </c>
      <c r="K41" s="245" t="s">
        <v>154</v>
      </c>
      <c r="L41" s="245">
        <v>1</v>
      </c>
      <c r="M41" s="245"/>
      <c r="N41" s="245">
        <v>1</v>
      </c>
      <c r="O41" s="245">
        <v>0.5</v>
      </c>
      <c r="P41" s="245">
        <v>0.5</v>
      </c>
      <c r="Q41" s="139">
        <f t="shared" si="0"/>
        <v>0.5</v>
      </c>
      <c r="R41" s="245">
        <v>15.1</v>
      </c>
      <c r="S41" s="245">
        <v>104</v>
      </c>
      <c r="T41" s="140">
        <f t="shared" si="1"/>
        <v>33</v>
      </c>
      <c r="U41" s="245">
        <v>149</v>
      </c>
      <c r="V41" s="141">
        <f t="shared" si="2"/>
        <v>4917</v>
      </c>
      <c r="W41" s="245">
        <v>15</v>
      </c>
      <c r="X41" s="137" t="s">
        <v>46</v>
      </c>
      <c r="Y41" s="245" t="s">
        <v>40</v>
      </c>
      <c r="Z41" s="245" t="s">
        <v>90</v>
      </c>
      <c r="AA41" s="245" t="s">
        <v>86</v>
      </c>
      <c r="AB41" s="137" t="s">
        <v>435</v>
      </c>
      <c r="AC41" s="142"/>
    </row>
    <row r="42" spans="1:29" x14ac:dyDescent="0.15">
      <c r="A42" s="137" t="s">
        <v>61</v>
      </c>
      <c r="B42" s="137" t="s">
        <v>386</v>
      </c>
      <c r="C42" s="137">
        <v>2018</v>
      </c>
      <c r="D42" s="138" t="s">
        <v>434</v>
      </c>
      <c r="E42" s="137" t="s">
        <v>254</v>
      </c>
      <c r="F42" s="137" t="s">
        <v>253</v>
      </c>
      <c r="G42" s="137" t="s">
        <v>42</v>
      </c>
      <c r="H42" s="245" t="s">
        <v>155</v>
      </c>
      <c r="I42" s="245" t="s">
        <v>153</v>
      </c>
      <c r="J42" s="137" t="s">
        <v>38</v>
      </c>
      <c r="K42" s="245" t="s">
        <v>154</v>
      </c>
      <c r="L42" s="245">
        <v>2</v>
      </c>
      <c r="M42" s="245"/>
      <c r="N42" s="245">
        <v>1</v>
      </c>
      <c r="O42" s="245">
        <v>0.5</v>
      </c>
      <c r="P42" s="245">
        <v>0.5</v>
      </c>
      <c r="Q42" s="139">
        <f t="shared" si="0"/>
        <v>0.5</v>
      </c>
      <c r="R42" s="245">
        <v>16.2</v>
      </c>
      <c r="S42" s="245">
        <v>96</v>
      </c>
      <c r="T42" s="140">
        <f t="shared" si="1"/>
        <v>36</v>
      </c>
      <c r="U42" s="245">
        <v>149</v>
      </c>
      <c r="V42" s="141">
        <f t="shared" si="2"/>
        <v>5364</v>
      </c>
      <c r="W42" s="245">
        <v>15</v>
      </c>
      <c r="X42" s="137" t="s">
        <v>46</v>
      </c>
      <c r="Y42" s="245" t="s">
        <v>40</v>
      </c>
      <c r="Z42" s="245" t="s">
        <v>90</v>
      </c>
      <c r="AA42" s="245" t="s">
        <v>86</v>
      </c>
      <c r="AB42" s="137" t="s">
        <v>435</v>
      </c>
      <c r="AC42" s="142"/>
    </row>
    <row r="43" spans="1:29" x14ac:dyDescent="0.15">
      <c r="A43" s="137" t="s">
        <v>61</v>
      </c>
      <c r="B43" s="137" t="s">
        <v>386</v>
      </c>
      <c r="C43" s="137">
        <v>2018</v>
      </c>
      <c r="D43" s="138" t="s">
        <v>434</v>
      </c>
      <c r="E43" s="137" t="s">
        <v>254</v>
      </c>
      <c r="F43" s="137" t="s">
        <v>253</v>
      </c>
      <c r="G43" s="137" t="s">
        <v>42</v>
      </c>
      <c r="H43" s="245" t="s">
        <v>155</v>
      </c>
      <c r="I43" s="245" t="s">
        <v>153</v>
      </c>
      <c r="J43" s="137" t="s">
        <v>38</v>
      </c>
      <c r="K43" s="245" t="s">
        <v>154</v>
      </c>
      <c r="L43" s="245">
        <v>3</v>
      </c>
      <c r="M43" s="245"/>
      <c r="N43" s="245">
        <v>1</v>
      </c>
      <c r="O43" s="245">
        <v>0.5</v>
      </c>
      <c r="P43" s="245">
        <v>0.5</v>
      </c>
      <c r="Q43" s="139">
        <f t="shared" si="0"/>
        <v>0.5</v>
      </c>
      <c r="R43" s="245">
        <v>16.8</v>
      </c>
      <c r="S43" s="245">
        <v>106</v>
      </c>
      <c r="T43" s="140">
        <f t="shared" si="1"/>
        <v>33</v>
      </c>
      <c r="U43" s="245">
        <v>149</v>
      </c>
      <c r="V43" s="141">
        <f t="shared" si="2"/>
        <v>4917</v>
      </c>
      <c r="W43" s="245">
        <v>15</v>
      </c>
      <c r="X43" s="137" t="s">
        <v>46</v>
      </c>
      <c r="Y43" s="245" t="s">
        <v>40</v>
      </c>
      <c r="Z43" s="245" t="s">
        <v>90</v>
      </c>
      <c r="AA43" s="245" t="s">
        <v>86</v>
      </c>
      <c r="AB43" s="137" t="s">
        <v>435</v>
      </c>
      <c r="AC43" s="142"/>
    </row>
    <row r="44" spans="1:29" x14ac:dyDescent="0.15">
      <c r="A44" s="137" t="s">
        <v>61</v>
      </c>
      <c r="B44" s="137" t="s">
        <v>386</v>
      </c>
      <c r="C44" s="137">
        <v>2018</v>
      </c>
      <c r="D44" s="138" t="s">
        <v>434</v>
      </c>
      <c r="E44" s="137" t="s">
        <v>254</v>
      </c>
      <c r="F44" s="137" t="s">
        <v>253</v>
      </c>
      <c r="G44" s="137" t="s">
        <v>42</v>
      </c>
      <c r="H44" s="245" t="s">
        <v>128</v>
      </c>
      <c r="I44" s="245" t="s">
        <v>153</v>
      </c>
      <c r="J44" s="137" t="s">
        <v>80</v>
      </c>
      <c r="K44" s="245" t="s">
        <v>45</v>
      </c>
      <c r="L44" s="245">
        <v>1</v>
      </c>
      <c r="M44" s="245"/>
      <c r="N44" s="245">
        <v>1</v>
      </c>
      <c r="O44" s="245">
        <v>0.5</v>
      </c>
      <c r="P44" s="245">
        <v>0.55000000000000004</v>
      </c>
      <c r="Q44" s="139">
        <f t="shared" si="0"/>
        <v>0.52500000000000002</v>
      </c>
      <c r="R44" s="245">
        <v>15.6</v>
      </c>
      <c r="S44" s="245">
        <v>90</v>
      </c>
      <c r="T44" s="140">
        <f t="shared" si="1"/>
        <v>36</v>
      </c>
      <c r="U44" s="245">
        <v>149</v>
      </c>
      <c r="V44" s="141">
        <f t="shared" si="2"/>
        <v>5364</v>
      </c>
      <c r="W44" s="245">
        <v>15</v>
      </c>
      <c r="X44" s="137" t="s">
        <v>46</v>
      </c>
      <c r="Y44" s="245" t="s">
        <v>40</v>
      </c>
      <c r="Z44" s="245" t="s">
        <v>90</v>
      </c>
      <c r="AA44" s="245" t="s">
        <v>86</v>
      </c>
      <c r="AB44" s="137" t="s">
        <v>435</v>
      </c>
      <c r="AC44" s="142"/>
    </row>
    <row r="45" spans="1:29" x14ac:dyDescent="0.15">
      <c r="A45" s="137" t="s">
        <v>61</v>
      </c>
      <c r="B45" s="137" t="s">
        <v>386</v>
      </c>
      <c r="C45" s="137">
        <v>2018</v>
      </c>
      <c r="D45" s="138" t="s">
        <v>434</v>
      </c>
      <c r="E45" s="137" t="s">
        <v>254</v>
      </c>
      <c r="F45" s="137" t="s">
        <v>253</v>
      </c>
      <c r="G45" s="137" t="s">
        <v>42</v>
      </c>
      <c r="H45" s="245" t="s">
        <v>128</v>
      </c>
      <c r="I45" s="245" t="s">
        <v>153</v>
      </c>
      <c r="J45" s="137" t="s">
        <v>80</v>
      </c>
      <c r="K45" s="245" t="s">
        <v>45</v>
      </c>
      <c r="L45" s="245">
        <v>2</v>
      </c>
      <c r="M45" s="245"/>
      <c r="N45" s="245">
        <v>1</v>
      </c>
      <c r="O45" s="245">
        <v>0.5</v>
      </c>
      <c r="P45" s="245">
        <v>0.5</v>
      </c>
      <c r="Q45" s="139">
        <f t="shared" si="0"/>
        <v>0.5</v>
      </c>
      <c r="R45" s="245">
        <v>15.5</v>
      </c>
      <c r="S45" s="245">
        <v>96</v>
      </c>
      <c r="T45" s="140">
        <f t="shared" si="1"/>
        <v>36</v>
      </c>
      <c r="U45" s="245">
        <v>149</v>
      </c>
      <c r="V45" s="141">
        <f t="shared" si="2"/>
        <v>5364</v>
      </c>
      <c r="W45" s="245">
        <v>15</v>
      </c>
      <c r="X45" s="137" t="s">
        <v>46</v>
      </c>
      <c r="Y45" s="245" t="s">
        <v>40</v>
      </c>
      <c r="Z45" s="245" t="s">
        <v>90</v>
      </c>
      <c r="AA45" s="245" t="s">
        <v>86</v>
      </c>
      <c r="AB45" s="137" t="s">
        <v>435</v>
      </c>
      <c r="AC45" s="142"/>
    </row>
    <row r="46" spans="1:29" x14ac:dyDescent="0.15">
      <c r="A46" s="137" t="s">
        <v>61</v>
      </c>
      <c r="B46" s="137" t="s">
        <v>386</v>
      </c>
      <c r="C46" s="137">
        <v>2018</v>
      </c>
      <c r="D46" s="138" t="s">
        <v>434</v>
      </c>
      <c r="E46" s="137" t="s">
        <v>254</v>
      </c>
      <c r="F46" s="137" t="s">
        <v>253</v>
      </c>
      <c r="G46" s="137" t="s">
        <v>42</v>
      </c>
      <c r="H46" s="245" t="s">
        <v>128</v>
      </c>
      <c r="I46" s="245" t="s">
        <v>153</v>
      </c>
      <c r="J46" s="137" t="s">
        <v>80</v>
      </c>
      <c r="K46" s="245" t="s">
        <v>45</v>
      </c>
      <c r="L46" s="245">
        <v>3</v>
      </c>
      <c r="M46" s="245"/>
      <c r="N46" s="245">
        <v>1</v>
      </c>
      <c r="O46" s="245">
        <v>0.55000000000000004</v>
      </c>
      <c r="P46" s="245">
        <v>0.6</v>
      </c>
      <c r="Q46" s="139">
        <f t="shared" si="0"/>
        <v>0.57499999999999996</v>
      </c>
      <c r="R46" s="245">
        <v>14.6</v>
      </c>
      <c r="S46" s="245">
        <v>84</v>
      </c>
      <c r="T46" s="140">
        <f t="shared" si="1"/>
        <v>36</v>
      </c>
      <c r="U46" s="245">
        <v>149</v>
      </c>
      <c r="V46" s="141">
        <f t="shared" si="2"/>
        <v>5364</v>
      </c>
      <c r="W46" s="245">
        <v>15</v>
      </c>
      <c r="X46" s="137" t="s">
        <v>46</v>
      </c>
      <c r="Y46" s="245" t="s">
        <v>40</v>
      </c>
      <c r="Z46" s="245" t="s">
        <v>90</v>
      </c>
      <c r="AA46" s="245" t="s">
        <v>86</v>
      </c>
      <c r="AB46" s="137" t="s">
        <v>435</v>
      </c>
      <c r="AC46" s="142"/>
    </row>
    <row r="47" spans="1:29" x14ac:dyDescent="0.15">
      <c r="A47" s="137"/>
      <c r="B47" s="137"/>
      <c r="C47" s="137"/>
      <c r="D47" s="138"/>
      <c r="E47" s="137"/>
      <c r="F47" s="137"/>
      <c r="G47" s="137"/>
      <c r="H47" s="245"/>
      <c r="I47" s="245"/>
      <c r="J47" s="137"/>
      <c r="K47" s="245"/>
      <c r="L47" s="245"/>
      <c r="M47" s="245"/>
      <c r="N47" s="245"/>
      <c r="O47" s="245"/>
      <c r="P47" s="245"/>
      <c r="Q47" s="139" t="str">
        <f t="shared" si="0"/>
        <v/>
      </c>
      <c r="R47" s="245"/>
      <c r="S47" s="245"/>
      <c r="T47" s="140" t="str">
        <f t="shared" si="1"/>
        <v/>
      </c>
      <c r="U47" s="245"/>
      <c r="V47" s="141" t="str">
        <f t="shared" si="2"/>
        <v/>
      </c>
      <c r="W47" s="245"/>
      <c r="X47" s="137"/>
      <c r="Y47" s="245"/>
      <c r="Z47" s="245"/>
      <c r="AA47" s="245"/>
      <c r="AB47" s="137"/>
      <c r="AC47" s="142"/>
    </row>
    <row r="48" spans="1:29" x14ac:dyDescent="0.15">
      <c r="A48" s="137"/>
      <c r="B48" s="137"/>
      <c r="C48" s="137"/>
      <c r="D48" s="138"/>
      <c r="E48" s="137"/>
      <c r="F48" s="137"/>
      <c r="G48" s="137"/>
      <c r="H48" s="245"/>
      <c r="I48" s="245"/>
      <c r="J48" s="137"/>
      <c r="K48" s="245"/>
      <c r="L48" s="245"/>
      <c r="M48" s="245"/>
      <c r="N48" s="245"/>
      <c r="O48" s="245"/>
      <c r="P48" s="245"/>
      <c r="Q48" s="139" t="str">
        <f t="shared" si="0"/>
        <v/>
      </c>
      <c r="R48" s="245"/>
      <c r="S48" s="245"/>
      <c r="T48" s="140" t="str">
        <f t="shared" si="1"/>
        <v/>
      </c>
      <c r="U48" s="245"/>
      <c r="V48" s="141" t="str">
        <f t="shared" si="2"/>
        <v/>
      </c>
      <c r="W48" s="245"/>
      <c r="X48" s="137"/>
      <c r="Y48" s="245"/>
      <c r="Z48" s="245"/>
      <c r="AA48" s="245"/>
      <c r="AB48" s="137"/>
      <c r="AC48" s="142"/>
    </row>
    <row r="49" spans="1:29" x14ac:dyDescent="0.15">
      <c r="A49" s="137"/>
      <c r="B49" s="137"/>
      <c r="C49" s="137"/>
      <c r="D49" s="138"/>
      <c r="E49" s="137"/>
      <c r="F49" s="137"/>
      <c r="G49" s="137"/>
      <c r="H49" s="245"/>
      <c r="I49" s="245"/>
      <c r="J49" s="137"/>
      <c r="K49" s="245"/>
      <c r="L49" s="245"/>
      <c r="M49" s="245"/>
      <c r="N49" s="245"/>
      <c r="O49" s="245"/>
      <c r="P49" s="245"/>
      <c r="Q49" s="139" t="str">
        <f t="shared" si="0"/>
        <v/>
      </c>
      <c r="R49" s="245"/>
      <c r="S49" s="245"/>
      <c r="T49" s="140" t="str">
        <f t="shared" si="1"/>
        <v/>
      </c>
      <c r="U49" s="245"/>
      <c r="V49" s="141" t="str">
        <f t="shared" si="2"/>
        <v/>
      </c>
      <c r="W49" s="245"/>
      <c r="X49" s="137"/>
      <c r="Y49" s="245"/>
      <c r="Z49" s="245"/>
      <c r="AA49" s="245"/>
      <c r="AB49" s="137"/>
      <c r="AC49" s="142"/>
    </row>
    <row r="50" spans="1:29" x14ac:dyDescent="0.15">
      <c r="A50" s="137"/>
      <c r="B50" s="137"/>
      <c r="C50" s="137"/>
      <c r="D50" s="138"/>
      <c r="E50" s="137"/>
      <c r="F50" s="137"/>
      <c r="G50" s="137"/>
      <c r="H50" s="245"/>
      <c r="I50" s="245"/>
      <c r="J50" s="137"/>
      <c r="K50" s="245"/>
      <c r="L50" s="245"/>
      <c r="M50" s="245"/>
      <c r="N50" s="245"/>
      <c r="O50" s="245"/>
      <c r="P50" s="245"/>
      <c r="Q50" s="139" t="str">
        <f t="shared" si="0"/>
        <v/>
      </c>
      <c r="R50" s="245"/>
      <c r="S50" s="245"/>
      <c r="T50" s="140" t="str">
        <f t="shared" si="1"/>
        <v/>
      </c>
      <c r="U50" s="245"/>
      <c r="V50" s="141" t="str">
        <f t="shared" si="2"/>
        <v/>
      </c>
      <c r="W50" s="245"/>
      <c r="X50" s="137"/>
      <c r="Y50" s="245"/>
      <c r="Z50" s="245"/>
      <c r="AA50" s="245"/>
      <c r="AB50" s="137"/>
      <c r="AC50" s="142"/>
    </row>
    <row r="51" spans="1:29" x14ac:dyDescent="0.15">
      <c r="A51" s="137"/>
      <c r="B51" s="137"/>
      <c r="C51" s="137"/>
      <c r="D51" s="138"/>
      <c r="E51" s="137"/>
      <c r="F51" s="137"/>
      <c r="G51" s="137"/>
      <c r="H51" s="245"/>
      <c r="I51" s="245"/>
      <c r="J51" s="137"/>
      <c r="K51" s="245"/>
      <c r="L51" s="245"/>
      <c r="M51" s="245"/>
      <c r="N51" s="245"/>
      <c r="O51" s="245"/>
      <c r="P51" s="245"/>
      <c r="Q51" s="139" t="str">
        <f t="shared" si="0"/>
        <v/>
      </c>
      <c r="R51" s="245"/>
      <c r="S51" s="245"/>
      <c r="T51" s="140" t="str">
        <f t="shared" si="1"/>
        <v/>
      </c>
      <c r="U51" s="245"/>
      <c r="V51" s="141" t="str">
        <f t="shared" si="2"/>
        <v/>
      </c>
      <c r="W51" s="245"/>
      <c r="X51" s="137"/>
      <c r="Y51" s="245"/>
      <c r="Z51" s="245"/>
      <c r="AA51" s="245"/>
      <c r="AB51" s="137"/>
      <c r="AC51" s="142"/>
    </row>
    <row r="52" spans="1:29" x14ac:dyDescent="0.15">
      <c r="A52" s="137"/>
      <c r="B52" s="137"/>
      <c r="C52" s="137"/>
      <c r="D52" s="138"/>
      <c r="E52" s="137"/>
      <c r="F52" s="137"/>
      <c r="G52" s="137"/>
      <c r="H52" s="245"/>
      <c r="I52" s="245"/>
      <c r="J52" s="137"/>
      <c r="K52" s="245"/>
      <c r="L52" s="245"/>
      <c r="M52" s="245"/>
      <c r="N52" s="245"/>
      <c r="O52" s="245"/>
      <c r="P52" s="245"/>
      <c r="Q52" s="139" t="str">
        <f t="shared" si="0"/>
        <v/>
      </c>
      <c r="R52" s="245"/>
      <c r="S52" s="245"/>
      <c r="T52" s="140" t="str">
        <f t="shared" si="1"/>
        <v/>
      </c>
      <c r="U52" s="245"/>
      <c r="V52" s="141" t="str">
        <f t="shared" si="2"/>
        <v/>
      </c>
      <c r="W52" s="245"/>
      <c r="X52" s="137"/>
      <c r="Y52" s="245"/>
      <c r="Z52" s="245"/>
      <c r="AA52" s="245"/>
      <c r="AB52" s="137"/>
      <c r="AC52" s="142"/>
    </row>
    <row r="53" spans="1:29" x14ac:dyDescent="0.15">
      <c r="A53" s="137"/>
      <c r="B53" s="137"/>
      <c r="C53" s="137"/>
      <c r="D53" s="138"/>
      <c r="E53" s="137"/>
      <c r="F53" s="137"/>
      <c r="G53" s="137"/>
      <c r="H53" s="245"/>
      <c r="I53" s="245"/>
      <c r="J53" s="137"/>
      <c r="K53" s="245"/>
      <c r="L53" s="245"/>
      <c r="M53" s="245"/>
      <c r="N53" s="245"/>
      <c r="O53" s="245"/>
      <c r="P53" s="245"/>
      <c r="Q53" s="139" t="str">
        <f t="shared" si="0"/>
        <v/>
      </c>
      <c r="R53" s="245"/>
      <c r="S53" s="245"/>
      <c r="T53" s="140" t="str">
        <f t="shared" si="1"/>
        <v/>
      </c>
      <c r="U53" s="245"/>
      <c r="V53" s="141" t="str">
        <f t="shared" si="2"/>
        <v/>
      </c>
      <c r="W53" s="245"/>
      <c r="X53" s="137"/>
      <c r="Y53" s="245"/>
      <c r="Z53" s="245"/>
      <c r="AA53" s="245"/>
      <c r="AB53" s="137"/>
      <c r="AC53" s="142"/>
    </row>
    <row r="54" spans="1:29" x14ac:dyDescent="0.15">
      <c r="A54" s="137"/>
      <c r="B54" s="137"/>
      <c r="C54" s="137"/>
      <c r="D54" s="138"/>
      <c r="E54" s="137"/>
      <c r="F54" s="137"/>
      <c r="G54" s="137"/>
      <c r="H54" s="245"/>
      <c r="I54" s="245"/>
      <c r="J54" s="137"/>
      <c r="K54" s="245"/>
      <c r="L54" s="245"/>
      <c r="M54" s="245"/>
      <c r="N54" s="245"/>
      <c r="O54" s="245"/>
      <c r="P54" s="245"/>
      <c r="Q54" s="139" t="str">
        <f t="shared" si="0"/>
        <v/>
      </c>
      <c r="R54" s="245"/>
      <c r="S54" s="245"/>
      <c r="T54" s="140" t="str">
        <f t="shared" si="1"/>
        <v/>
      </c>
      <c r="U54" s="245"/>
      <c r="V54" s="141" t="str">
        <f t="shared" si="2"/>
        <v/>
      </c>
      <c r="W54" s="245"/>
      <c r="X54" s="137"/>
      <c r="Y54" s="245"/>
      <c r="Z54" s="245"/>
      <c r="AA54" s="245"/>
      <c r="AB54" s="137"/>
      <c r="AC54" s="142"/>
    </row>
    <row r="55" spans="1:29" x14ac:dyDescent="0.15">
      <c r="A55" s="137"/>
      <c r="B55" s="137"/>
      <c r="C55" s="137"/>
      <c r="D55" s="138"/>
      <c r="E55" s="137"/>
      <c r="F55" s="137"/>
      <c r="G55" s="137"/>
      <c r="H55" s="245"/>
      <c r="I55" s="245"/>
      <c r="J55" s="137"/>
      <c r="K55" s="245"/>
      <c r="L55" s="245"/>
      <c r="M55" s="245"/>
      <c r="N55" s="245"/>
      <c r="O55" s="245"/>
      <c r="P55" s="245"/>
      <c r="Q55" s="139" t="str">
        <f t="shared" si="0"/>
        <v/>
      </c>
      <c r="R55" s="245"/>
      <c r="S55" s="245"/>
      <c r="T55" s="140" t="str">
        <f t="shared" si="1"/>
        <v/>
      </c>
      <c r="U55" s="245"/>
      <c r="V55" s="141" t="str">
        <f t="shared" si="2"/>
        <v/>
      </c>
      <c r="W55" s="245"/>
      <c r="X55" s="137"/>
      <c r="Y55" s="245"/>
      <c r="Z55" s="245"/>
      <c r="AA55" s="245"/>
      <c r="AB55" s="137"/>
      <c r="AC55" s="142"/>
    </row>
    <row r="56" spans="1:29" x14ac:dyDescent="0.15">
      <c r="A56" s="137"/>
      <c r="B56" s="137"/>
      <c r="C56" s="137"/>
      <c r="D56" s="138"/>
      <c r="E56" s="137"/>
      <c r="F56" s="137"/>
      <c r="G56" s="137"/>
      <c r="H56" s="245"/>
      <c r="I56" s="245"/>
      <c r="J56" s="137"/>
      <c r="K56" s="245"/>
      <c r="L56" s="245"/>
      <c r="M56" s="245"/>
      <c r="N56" s="245"/>
      <c r="O56" s="245"/>
      <c r="P56" s="245"/>
      <c r="Q56" s="139" t="str">
        <f t="shared" si="0"/>
        <v/>
      </c>
      <c r="R56" s="245"/>
      <c r="S56" s="245"/>
      <c r="T56" s="140" t="str">
        <f t="shared" si="1"/>
        <v/>
      </c>
      <c r="U56" s="245"/>
      <c r="V56" s="141" t="str">
        <f t="shared" si="2"/>
        <v/>
      </c>
      <c r="W56" s="245"/>
      <c r="X56" s="137"/>
      <c r="Y56" s="245"/>
      <c r="Z56" s="245"/>
      <c r="AA56" s="245"/>
      <c r="AB56" s="137"/>
      <c r="AC56" s="245"/>
    </row>
    <row r="57" spans="1:29" x14ac:dyDescent="0.15">
      <c r="A57" s="137"/>
      <c r="B57" s="137"/>
      <c r="C57" s="137"/>
      <c r="D57" s="138"/>
      <c r="E57" s="137"/>
      <c r="F57" s="137"/>
      <c r="G57" s="137"/>
      <c r="H57" s="245"/>
      <c r="I57" s="245"/>
      <c r="J57" s="137"/>
      <c r="K57" s="245"/>
      <c r="L57" s="245"/>
      <c r="M57" s="245"/>
      <c r="N57" s="245"/>
      <c r="O57" s="245"/>
      <c r="P57" s="245"/>
      <c r="Q57" s="139" t="str">
        <f t="shared" si="0"/>
        <v/>
      </c>
      <c r="R57" s="245"/>
      <c r="S57" s="245"/>
      <c r="T57" s="140" t="str">
        <f t="shared" si="1"/>
        <v/>
      </c>
      <c r="U57" s="245"/>
      <c r="V57" s="141" t="str">
        <f t="shared" si="2"/>
        <v/>
      </c>
      <c r="W57" s="245"/>
      <c r="X57" s="137"/>
      <c r="Y57" s="245"/>
      <c r="Z57" s="245"/>
      <c r="AA57" s="245"/>
      <c r="AB57" s="137"/>
      <c r="AC57" s="245"/>
    </row>
    <row r="58" spans="1:29" x14ac:dyDescent="0.15">
      <c r="A58" s="137"/>
      <c r="B58" s="137"/>
      <c r="C58" s="137"/>
      <c r="D58" s="138"/>
      <c r="E58" s="137"/>
      <c r="F58" s="137"/>
      <c r="G58" s="137"/>
      <c r="H58" s="245"/>
      <c r="I58" s="245"/>
      <c r="J58" s="137"/>
      <c r="K58" s="245"/>
      <c r="L58" s="245"/>
      <c r="M58" s="245"/>
      <c r="N58" s="245"/>
      <c r="O58" s="245"/>
      <c r="P58" s="245"/>
      <c r="Q58" s="139" t="str">
        <f t="shared" si="0"/>
        <v/>
      </c>
      <c r="R58" s="245"/>
      <c r="S58" s="245"/>
      <c r="T58" s="140" t="str">
        <f t="shared" si="1"/>
        <v/>
      </c>
      <c r="U58" s="245"/>
      <c r="V58" s="141" t="str">
        <f t="shared" si="2"/>
        <v/>
      </c>
      <c r="W58" s="245"/>
      <c r="X58" s="137"/>
      <c r="Y58" s="245"/>
      <c r="Z58" s="245"/>
      <c r="AA58" s="245"/>
      <c r="AB58" s="137"/>
      <c r="AC58" s="245"/>
    </row>
    <row r="59" spans="1:29" x14ac:dyDescent="0.15">
      <c r="A59" s="137"/>
      <c r="B59" s="137"/>
      <c r="C59" s="137"/>
      <c r="D59" s="138"/>
      <c r="E59" s="137"/>
      <c r="F59" s="137"/>
      <c r="G59" s="137"/>
      <c r="H59" s="245"/>
      <c r="I59" s="245"/>
      <c r="J59" s="137"/>
      <c r="K59" s="245"/>
      <c r="L59" s="245"/>
      <c r="M59" s="245"/>
      <c r="N59" s="245"/>
      <c r="O59" s="245"/>
      <c r="P59" s="245"/>
      <c r="Q59" s="139" t="str">
        <f t="shared" si="0"/>
        <v/>
      </c>
      <c r="R59" s="245"/>
      <c r="S59" s="245"/>
      <c r="T59" s="140" t="str">
        <f t="shared" si="1"/>
        <v/>
      </c>
      <c r="U59" s="245"/>
      <c r="V59" s="141" t="str">
        <f t="shared" si="2"/>
        <v/>
      </c>
      <c r="W59" s="245"/>
      <c r="X59" s="137"/>
      <c r="Y59" s="245"/>
      <c r="Z59" s="245"/>
      <c r="AA59" s="245"/>
      <c r="AB59" s="137"/>
      <c r="AC59" s="245"/>
    </row>
    <row r="60" spans="1:29" x14ac:dyDescent="0.15">
      <c r="A60" s="137"/>
      <c r="B60" s="137"/>
      <c r="C60" s="137"/>
      <c r="D60" s="138"/>
      <c r="E60" s="137"/>
      <c r="F60" s="137"/>
      <c r="G60" s="137"/>
      <c r="H60" s="245"/>
      <c r="I60" s="245"/>
      <c r="J60" s="137"/>
      <c r="K60" s="245"/>
      <c r="L60" s="245"/>
      <c r="M60" s="245"/>
      <c r="N60" s="245"/>
      <c r="O60" s="245"/>
      <c r="P60" s="245"/>
      <c r="Q60" s="139" t="str">
        <f t="shared" si="0"/>
        <v/>
      </c>
      <c r="R60" s="245"/>
      <c r="S60" s="245"/>
      <c r="T60" s="140" t="str">
        <f t="shared" si="1"/>
        <v/>
      </c>
      <c r="U60" s="245"/>
      <c r="V60" s="141" t="str">
        <f t="shared" si="2"/>
        <v/>
      </c>
      <c r="W60" s="245"/>
      <c r="X60" s="137"/>
      <c r="Y60" s="245"/>
      <c r="Z60" s="245"/>
      <c r="AA60" s="245"/>
      <c r="AB60" s="137"/>
      <c r="AC60" s="245"/>
    </row>
    <row r="61" spans="1:29" x14ac:dyDescent="0.15">
      <c r="A61" s="137"/>
      <c r="B61" s="137"/>
      <c r="C61" s="137"/>
      <c r="D61" s="138"/>
      <c r="E61" s="137"/>
      <c r="F61" s="137"/>
      <c r="G61" s="137"/>
      <c r="H61" s="245"/>
      <c r="I61" s="245"/>
      <c r="J61" s="137"/>
      <c r="K61" s="245"/>
      <c r="L61" s="245"/>
      <c r="M61" s="245"/>
      <c r="N61" s="245"/>
      <c r="O61" s="245"/>
      <c r="P61" s="245"/>
      <c r="Q61" s="139" t="str">
        <f t="shared" si="0"/>
        <v/>
      </c>
      <c r="R61" s="245"/>
      <c r="S61" s="245"/>
      <c r="T61" s="140" t="str">
        <f t="shared" si="1"/>
        <v/>
      </c>
      <c r="U61" s="245"/>
      <c r="V61" s="141" t="str">
        <f t="shared" si="2"/>
        <v/>
      </c>
      <c r="W61" s="245"/>
      <c r="X61" s="137"/>
      <c r="Y61" s="245"/>
      <c r="Z61" s="245"/>
      <c r="AA61" s="245"/>
      <c r="AB61" s="137"/>
      <c r="AC61" s="245"/>
    </row>
    <row r="62" spans="1:29" x14ac:dyDescent="0.15">
      <c r="A62" s="137"/>
      <c r="B62" s="137"/>
      <c r="C62" s="137"/>
      <c r="D62" s="138"/>
      <c r="E62" s="137"/>
      <c r="F62" s="137"/>
      <c r="G62" s="137"/>
      <c r="H62" s="245"/>
      <c r="I62" s="245"/>
      <c r="J62" s="137"/>
      <c r="K62" s="245"/>
      <c r="L62" s="245"/>
      <c r="M62" s="245"/>
      <c r="N62" s="245"/>
      <c r="O62" s="245"/>
      <c r="P62" s="245"/>
      <c r="Q62" s="139" t="str">
        <f t="shared" si="0"/>
        <v/>
      </c>
      <c r="R62" s="245"/>
      <c r="S62" s="245"/>
      <c r="T62" s="140" t="str">
        <f t="shared" si="1"/>
        <v/>
      </c>
      <c r="U62" s="245"/>
      <c r="V62" s="141" t="str">
        <f t="shared" si="2"/>
        <v/>
      </c>
      <c r="W62" s="245"/>
      <c r="X62" s="137"/>
      <c r="Y62" s="245"/>
      <c r="Z62" s="245"/>
      <c r="AA62" s="245"/>
      <c r="AB62" s="137"/>
      <c r="AC62" s="142"/>
    </row>
    <row r="63" spans="1:29" x14ac:dyDescent="0.15">
      <c r="A63" s="137"/>
      <c r="B63" s="137"/>
      <c r="C63" s="137"/>
      <c r="D63" s="138"/>
      <c r="E63" s="137"/>
      <c r="F63" s="137"/>
      <c r="G63" s="137"/>
      <c r="H63" s="245"/>
      <c r="I63" s="245"/>
      <c r="J63" s="137"/>
      <c r="K63" s="245"/>
      <c r="L63" s="245"/>
      <c r="M63" s="245"/>
      <c r="N63" s="245"/>
      <c r="O63" s="245"/>
      <c r="P63" s="245"/>
      <c r="Q63" s="139" t="str">
        <f t="shared" si="0"/>
        <v/>
      </c>
      <c r="R63" s="245"/>
      <c r="S63" s="245"/>
      <c r="T63" s="140" t="str">
        <f t="shared" si="1"/>
        <v/>
      </c>
      <c r="U63" s="245"/>
      <c r="V63" s="141" t="str">
        <f t="shared" si="2"/>
        <v/>
      </c>
      <c r="W63" s="245"/>
      <c r="X63" s="137"/>
      <c r="Y63" s="245"/>
      <c r="Z63" s="245"/>
      <c r="AA63" s="245"/>
      <c r="AB63" s="137"/>
      <c r="AC63" s="142"/>
    </row>
    <row r="64" spans="1:29" x14ac:dyDescent="0.15">
      <c r="A64" s="137"/>
      <c r="B64" s="137"/>
      <c r="C64" s="137"/>
      <c r="D64" s="138"/>
      <c r="E64" s="137"/>
      <c r="F64" s="137"/>
      <c r="G64" s="137"/>
      <c r="H64" s="245"/>
      <c r="I64" s="245"/>
      <c r="J64" s="137"/>
      <c r="K64" s="245"/>
      <c r="L64" s="245"/>
      <c r="M64" s="245"/>
      <c r="N64" s="245"/>
      <c r="O64" s="245"/>
      <c r="P64" s="245"/>
      <c r="Q64" s="139" t="str">
        <f t="shared" si="0"/>
        <v/>
      </c>
      <c r="R64" s="245"/>
      <c r="S64" s="245"/>
      <c r="T64" s="140" t="str">
        <f t="shared" si="1"/>
        <v/>
      </c>
      <c r="U64" s="245"/>
      <c r="V64" s="141" t="str">
        <f t="shared" si="2"/>
        <v/>
      </c>
      <c r="W64" s="245"/>
      <c r="X64" s="137"/>
      <c r="Y64" s="245"/>
      <c r="Z64" s="245"/>
      <c r="AA64" s="245"/>
      <c r="AB64" s="137"/>
      <c r="AC64" s="142"/>
    </row>
    <row r="65" spans="1:29" x14ac:dyDescent="0.15">
      <c r="A65" s="137"/>
      <c r="B65" s="137"/>
      <c r="C65" s="137"/>
      <c r="D65" s="138"/>
      <c r="E65" s="137"/>
      <c r="F65" s="137"/>
      <c r="G65" s="137"/>
      <c r="H65" s="245"/>
      <c r="I65" s="245"/>
      <c r="J65" s="137"/>
      <c r="K65" s="245"/>
      <c r="L65" s="245"/>
      <c r="M65" s="245"/>
      <c r="N65" s="245"/>
      <c r="O65" s="245"/>
      <c r="P65" s="245"/>
      <c r="Q65" s="139" t="str">
        <f t="shared" si="0"/>
        <v/>
      </c>
      <c r="R65" s="245"/>
      <c r="S65" s="245"/>
      <c r="T65" s="140" t="str">
        <f t="shared" si="1"/>
        <v/>
      </c>
      <c r="U65" s="245"/>
      <c r="V65" s="141" t="str">
        <f t="shared" si="2"/>
        <v/>
      </c>
      <c r="W65" s="245"/>
      <c r="X65" s="137"/>
      <c r="Y65" s="245"/>
      <c r="Z65" s="245"/>
      <c r="AA65" s="245"/>
      <c r="AB65" s="137"/>
      <c r="AC65" s="142"/>
    </row>
    <row r="66" spans="1:29" x14ac:dyDescent="0.15">
      <c r="A66" s="137"/>
      <c r="B66" s="137"/>
      <c r="C66" s="137"/>
      <c r="D66" s="138"/>
      <c r="E66" s="137"/>
      <c r="F66" s="137"/>
      <c r="G66" s="137"/>
      <c r="H66" s="245"/>
      <c r="I66" s="245"/>
      <c r="J66" s="137"/>
      <c r="K66" s="245"/>
      <c r="L66" s="245"/>
      <c r="M66" s="245"/>
      <c r="N66" s="245"/>
      <c r="O66" s="245"/>
      <c r="P66" s="245"/>
      <c r="Q66" s="139" t="str">
        <f t="shared" ref="Q66:Q76" si="3">IF(OR(O66="",P66=""),"",AVERAGE(O66,P66))</f>
        <v/>
      </c>
      <c r="R66" s="245"/>
      <c r="S66" s="245"/>
      <c r="T66" s="140" t="str">
        <f t="shared" ref="T66:T76" si="4">IF(H66="","",IF(OR(H66="GREEN",H66="GK"),IF(S66&gt;=$AX$2,VLOOKUP(S66,$AX$2:$AY$15,2,1),""),IF(S66&gt;=$AZ$2,VLOOKUP(S66,$AZ$2:$BA$15,2,1),"")))</f>
        <v/>
      </c>
      <c r="U66" s="245"/>
      <c r="V66" s="141" t="str">
        <f t="shared" ref="V66:V76" si="5">IF(OR(N66="",U66="",T66=""),"",U66/N66*T66)</f>
        <v/>
      </c>
      <c r="W66" s="245"/>
      <c r="X66" s="137"/>
      <c r="Y66" s="245"/>
      <c r="Z66" s="245"/>
      <c r="AA66" s="245"/>
      <c r="AB66" s="137"/>
      <c r="AC66" s="142"/>
    </row>
    <row r="67" spans="1:29" x14ac:dyDescent="0.15">
      <c r="A67" s="137"/>
      <c r="B67" s="137"/>
      <c r="C67" s="137"/>
      <c r="D67" s="138"/>
      <c r="E67" s="137"/>
      <c r="F67" s="137"/>
      <c r="G67" s="137"/>
      <c r="H67" s="245"/>
      <c r="I67" s="245"/>
      <c r="J67" s="137"/>
      <c r="K67" s="245"/>
      <c r="L67" s="245"/>
      <c r="M67" s="245"/>
      <c r="N67" s="245"/>
      <c r="O67" s="245"/>
      <c r="P67" s="245"/>
      <c r="Q67" s="139" t="str">
        <f t="shared" si="3"/>
        <v/>
      </c>
      <c r="R67" s="245"/>
      <c r="S67" s="245"/>
      <c r="T67" s="140" t="str">
        <f t="shared" si="4"/>
        <v/>
      </c>
      <c r="U67" s="245"/>
      <c r="V67" s="141" t="str">
        <f t="shared" si="5"/>
        <v/>
      </c>
      <c r="W67" s="245"/>
      <c r="X67" s="137"/>
      <c r="Y67" s="245"/>
      <c r="Z67" s="245"/>
      <c r="AA67" s="245"/>
      <c r="AB67" s="137"/>
      <c r="AC67" s="142"/>
    </row>
    <row r="68" spans="1:29" x14ac:dyDescent="0.15">
      <c r="A68" s="137"/>
      <c r="B68" s="137"/>
      <c r="C68" s="137"/>
      <c r="D68" s="138"/>
      <c r="E68" s="137"/>
      <c r="F68" s="137"/>
      <c r="G68" s="137"/>
      <c r="H68" s="245"/>
      <c r="I68" s="245"/>
      <c r="J68" s="137"/>
      <c r="K68" s="245"/>
      <c r="L68" s="245"/>
      <c r="M68" s="245"/>
      <c r="N68" s="245"/>
      <c r="O68" s="245"/>
      <c r="P68" s="245"/>
      <c r="Q68" s="139" t="str">
        <f t="shared" si="3"/>
        <v/>
      </c>
      <c r="R68" s="245"/>
      <c r="S68" s="245"/>
      <c r="T68" s="140" t="str">
        <f t="shared" si="4"/>
        <v/>
      </c>
      <c r="U68" s="245"/>
      <c r="V68" s="141" t="str">
        <f t="shared" si="5"/>
        <v/>
      </c>
      <c r="W68" s="245"/>
      <c r="X68" s="137"/>
      <c r="Y68" s="245"/>
      <c r="Z68" s="245"/>
      <c r="AA68" s="245"/>
      <c r="AB68" s="137"/>
      <c r="AC68" s="142"/>
    </row>
    <row r="69" spans="1:29" x14ac:dyDescent="0.15">
      <c r="A69" s="137"/>
      <c r="B69" s="137"/>
      <c r="C69" s="137"/>
      <c r="D69" s="138"/>
      <c r="E69" s="137"/>
      <c r="F69" s="137"/>
      <c r="G69" s="137"/>
      <c r="H69" s="245"/>
      <c r="I69" s="245"/>
      <c r="J69" s="137"/>
      <c r="K69" s="245"/>
      <c r="L69" s="245"/>
      <c r="M69" s="245"/>
      <c r="N69" s="245"/>
      <c r="O69" s="245"/>
      <c r="P69" s="245"/>
      <c r="Q69" s="139" t="str">
        <f t="shared" si="3"/>
        <v/>
      </c>
      <c r="R69" s="245"/>
      <c r="S69" s="245"/>
      <c r="T69" s="140" t="str">
        <f t="shared" si="4"/>
        <v/>
      </c>
      <c r="U69" s="245"/>
      <c r="V69" s="141" t="str">
        <f t="shared" si="5"/>
        <v/>
      </c>
      <c r="W69" s="245"/>
      <c r="X69" s="137"/>
      <c r="Y69" s="245"/>
      <c r="Z69" s="245"/>
      <c r="AA69" s="245"/>
      <c r="AB69" s="137"/>
      <c r="AC69" s="142"/>
    </row>
    <row r="70" spans="1:29" x14ac:dyDescent="0.15">
      <c r="A70" s="137"/>
      <c r="B70" s="137"/>
      <c r="C70" s="137"/>
      <c r="D70" s="138"/>
      <c r="E70" s="137"/>
      <c r="F70" s="137"/>
      <c r="G70" s="137"/>
      <c r="H70" s="245"/>
      <c r="I70" s="245"/>
      <c r="J70" s="137"/>
      <c r="K70" s="245"/>
      <c r="L70" s="245"/>
      <c r="M70" s="245"/>
      <c r="N70" s="245"/>
      <c r="O70" s="245"/>
      <c r="P70" s="245"/>
      <c r="Q70" s="139" t="str">
        <f t="shared" si="3"/>
        <v/>
      </c>
      <c r="R70" s="245"/>
      <c r="S70" s="245"/>
      <c r="T70" s="140" t="str">
        <f t="shared" si="4"/>
        <v/>
      </c>
      <c r="U70" s="245"/>
      <c r="V70" s="141" t="str">
        <f t="shared" si="5"/>
        <v/>
      </c>
      <c r="W70" s="245"/>
      <c r="X70" s="137"/>
      <c r="Y70" s="245"/>
      <c r="Z70" s="245"/>
      <c r="AA70" s="245"/>
      <c r="AB70" s="137"/>
      <c r="AC70" s="142"/>
    </row>
    <row r="71" spans="1:29" x14ac:dyDescent="0.15">
      <c r="A71" s="137"/>
      <c r="B71" s="137"/>
      <c r="C71" s="137"/>
      <c r="D71" s="138"/>
      <c r="E71" s="137"/>
      <c r="F71" s="137"/>
      <c r="G71" s="137"/>
      <c r="H71" s="245"/>
      <c r="I71" s="245"/>
      <c r="J71" s="137"/>
      <c r="K71" s="245"/>
      <c r="L71" s="245"/>
      <c r="M71" s="245"/>
      <c r="N71" s="245"/>
      <c r="O71" s="245"/>
      <c r="P71" s="245"/>
      <c r="Q71" s="139" t="str">
        <f t="shared" si="3"/>
        <v/>
      </c>
      <c r="R71" s="245"/>
      <c r="S71" s="245"/>
      <c r="T71" s="140" t="str">
        <f t="shared" si="4"/>
        <v/>
      </c>
      <c r="U71" s="245"/>
      <c r="V71" s="141" t="str">
        <f t="shared" si="5"/>
        <v/>
      </c>
      <c r="W71" s="245"/>
      <c r="X71" s="137"/>
      <c r="Y71" s="245"/>
      <c r="Z71" s="245"/>
      <c r="AA71" s="245"/>
      <c r="AB71" s="137"/>
      <c r="AC71" s="245"/>
    </row>
    <row r="72" spans="1:29" x14ac:dyDescent="0.15">
      <c r="A72" s="137"/>
      <c r="B72" s="137"/>
      <c r="C72" s="137"/>
      <c r="D72" s="138"/>
      <c r="E72" s="137"/>
      <c r="F72" s="137"/>
      <c r="G72" s="137"/>
      <c r="H72" s="245"/>
      <c r="I72" s="245"/>
      <c r="J72" s="137"/>
      <c r="K72" s="245"/>
      <c r="L72" s="245"/>
      <c r="M72" s="245"/>
      <c r="N72" s="245"/>
      <c r="O72" s="245"/>
      <c r="P72" s="245"/>
      <c r="Q72" s="139" t="str">
        <f t="shared" si="3"/>
        <v/>
      </c>
      <c r="R72" s="245"/>
      <c r="S72" s="245"/>
      <c r="T72" s="140" t="str">
        <f t="shared" si="4"/>
        <v/>
      </c>
      <c r="U72" s="245"/>
      <c r="V72" s="141" t="str">
        <f t="shared" si="5"/>
        <v/>
      </c>
      <c r="W72" s="245"/>
      <c r="X72" s="137"/>
      <c r="Y72" s="245"/>
      <c r="Z72" s="245"/>
      <c r="AA72" s="245"/>
      <c r="AB72" s="137"/>
      <c r="AC72" s="245"/>
    </row>
    <row r="73" spans="1:29" x14ac:dyDescent="0.15">
      <c r="A73" s="137"/>
      <c r="B73" s="137"/>
      <c r="C73" s="137"/>
      <c r="D73" s="138"/>
      <c r="E73" s="137"/>
      <c r="F73" s="137"/>
      <c r="G73" s="137"/>
      <c r="H73" s="245"/>
      <c r="I73" s="245"/>
      <c r="J73" s="137"/>
      <c r="K73" s="245"/>
      <c r="L73" s="245"/>
      <c r="M73" s="245"/>
      <c r="N73" s="245"/>
      <c r="O73" s="245"/>
      <c r="P73" s="245"/>
      <c r="Q73" s="139" t="str">
        <f t="shared" si="3"/>
        <v/>
      </c>
      <c r="R73" s="245"/>
      <c r="S73" s="245"/>
      <c r="T73" s="140" t="str">
        <f t="shared" si="4"/>
        <v/>
      </c>
      <c r="U73" s="245"/>
      <c r="V73" s="141" t="str">
        <f t="shared" si="5"/>
        <v/>
      </c>
      <c r="W73" s="245"/>
      <c r="X73" s="137"/>
      <c r="Y73" s="245"/>
      <c r="Z73" s="245"/>
      <c r="AA73" s="245"/>
      <c r="AB73" s="137"/>
      <c r="AC73" s="245"/>
    </row>
    <row r="74" spans="1:29" x14ac:dyDescent="0.15">
      <c r="A74" s="137"/>
      <c r="B74" s="137"/>
      <c r="C74" s="137"/>
      <c r="D74" s="138"/>
      <c r="E74" s="137"/>
      <c r="F74" s="137"/>
      <c r="G74" s="137"/>
      <c r="H74" s="245"/>
      <c r="I74" s="245"/>
      <c r="J74" s="137"/>
      <c r="K74" s="245"/>
      <c r="L74" s="245"/>
      <c r="M74" s="245"/>
      <c r="N74" s="245"/>
      <c r="O74" s="245"/>
      <c r="P74" s="245"/>
      <c r="Q74" s="139" t="str">
        <f t="shared" si="3"/>
        <v/>
      </c>
      <c r="R74" s="245"/>
      <c r="S74" s="245"/>
      <c r="T74" s="140" t="str">
        <f t="shared" si="4"/>
        <v/>
      </c>
      <c r="U74" s="245"/>
      <c r="V74" s="141" t="str">
        <f t="shared" si="5"/>
        <v/>
      </c>
      <c r="W74" s="245"/>
      <c r="X74" s="137"/>
      <c r="Y74" s="245"/>
      <c r="Z74" s="245"/>
      <c r="AA74" s="245"/>
      <c r="AB74" s="137"/>
      <c r="AC74" s="245"/>
    </row>
    <row r="75" spans="1:29" x14ac:dyDescent="0.15">
      <c r="A75" s="137"/>
      <c r="B75" s="137"/>
      <c r="C75" s="137"/>
      <c r="D75" s="138"/>
      <c r="E75" s="137"/>
      <c r="F75" s="137"/>
      <c r="G75" s="137"/>
      <c r="H75" s="245"/>
      <c r="I75" s="245"/>
      <c r="J75" s="137"/>
      <c r="K75" s="245"/>
      <c r="L75" s="245"/>
      <c r="M75" s="245"/>
      <c r="N75" s="245"/>
      <c r="O75" s="245"/>
      <c r="P75" s="245"/>
      <c r="Q75" s="139" t="str">
        <f t="shared" si="3"/>
        <v/>
      </c>
      <c r="R75" s="245"/>
      <c r="S75" s="245"/>
      <c r="T75" s="140" t="str">
        <f t="shared" si="4"/>
        <v/>
      </c>
      <c r="U75" s="245"/>
      <c r="V75" s="141" t="str">
        <f t="shared" si="5"/>
        <v/>
      </c>
      <c r="W75" s="245"/>
      <c r="X75" s="137"/>
      <c r="Y75" s="245"/>
      <c r="Z75" s="245"/>
      <c r="AA75" s="245"/>
      <c r="AB75" s="137"/>
      <c r="AC75" s="245"/>
    </row>
    <row r="76" spans="1:29" x14ac:dyDescent="0.15">
      <c r="A76" s="137"/>
      <c r="B76" s="137"/>
      <c r="C76" s="137"/>
      <c r="D76" s="138"/>
      <c r="E76" s="137"/>
      <c r="F76" s="137"/>
      <c r="G76" s="137"/>
      <c r="H76" s="245"/>
      <c r="I76" s="245"/>
      <c r="J76" s="137"/>
      <c r="K76" s="245"/>
      <c r="L76" s="245"/>
      <c r="M76" s="245"/>
      <c r="N76" s="245"/>
      <c r="O76" s="245"/>
      <c r="P76" s="245"/>
      <c r="Q76" s="139" t="str">
        <f t="shared" si="3"/>
        <v/>
      </c>
      <c r="R76" s="245"/>
      <c r="S76" s="245"/>
      <c r="T76" s="140" t="str">
        <f t="shared" si="4"/>
        <v/>
      </c>
      <c r="U76" s="245"/>
      <c r="V76" s="141" t="str">
        <f t="shared" si="5"/>
        <v/>
      </c>
      <c r="W76" s="245"/>
      <c r="X76" s="137"/>
      <c r="Y76" s="245"/>
      <c r="Z76" s="245"/>
      <c r="AA76" s="245"/>
      <c r="AB76" s="137"/>
      <c r="AC76" s="245"/>
    </row>
    <row r="77" spans="1:29" x14ac:dyDescent="0.15">
      <c r="A77" s="137"/>
      <c r="B77" s="137"/>
      <c r="C77" s="137"/>
      <c r="D77" s="138"/>
      <c r="E77" s="137"/>
      <c r="F77" s="137"/>
      <c r="G77" s="137"/>
      <c r="H77" s="245"/>
      <c r="I77" s="245"/>
      <c r="J77" s="137"/>
      <c r="K77" s="245"/>
      <c r="L77" s="245"/>
      <c r="M77" s="245"/>
      <c r="N77" s="245"/>
      <c r="O77" s="245"/>
      <c r="P77" s="245"/>
      <c r="Q77" s="139"/>
      <c r="R77" s="245"/>
      <c r="S77" s="245"/>
      <c r="T77" s="140"/>
      <c r="U77" s="245"/>
      <c r="V77" s="141"/>
      <c r="W77" s="245"/>
      <c r="X77" s="137"/>
      <c r="Y77" s="245"/>
      <c r="Z77" s="245"/>
      <c r="AA77" s="245"/>
      <c r="AB77" s="137"/>
      <c r="AC77" s="245"/>
    </row>
    <row r="78" spans="1:29" x14ac:dyDescent="0.15">
      <c r="A78" s="137"/>
      <c r="B78" s="137"/>
      <c r="C78" s="137"/>
      <c r="D78" s="138"/>
      <c r="E78" s="137"/>
      <c r="F78" s="137"/>
      <c r="G78" s="137"/>
      <c r="H78" s="245"/>
      <c r="I78" s="245"/>
      <c r="J78" s="137"/>
      <c r="K78" s="245"/>
      <c r="L78" s="245"/>
      <c r="M78" s="245"/>
      <c r="N78" s="245"/>
      <c r="O78" s="245"/>
      <c r="P78" s="245"/>
      <c r="Q78" s="139"/>
      <c r="R78" s="245"/>
      <c r="S78" s="245"/>
      <c r="T78" s="140"/>
      <c r="U78" s="245"/>
      <c r="V78" s="141"/>
      <c r="W78" s="245"/>
      <c r="X78" s="137"/>
      <c r="Y78" s="245"/>
      <c r="Z78" s="245"/>
      <c r="AA78" s="245"/>
      <c r="AB78" s="137"/>
      <c r="AC78" s="245"/>
    </row>
    <row r="79" spans="1:29" x14ac:dyDescent="0.15">
      <c r="A79" s="137"/>
      <c r="B79" s="137"/>
      <c r="C79" s="137"/>
      <c r="D79" s="138"/>
      <c r="E79" s="137"/>
      <c r="F79" s="137"/>
      <c r="G79" s="137"/>
      <c r="H79" s="245"/>
      <c r="I79" s="245"/>
      <c r="J79" s="137"/>
      <c r="K79" s="245"/>
      <c r="L79" s="245"/>
      <c r="M79" s="245"/>
      <c r="N79" s="245"/>
      <c r="O79" s="245"/>
      <c r="P79" s="245"/>
      <c r="Q79" s="139"/>
      <c r="R79" s="245"/>
      <c r="S79" s="245"/>
      <c r="T79" s="140"/>
      <c r="U79" s="245"/>
      <c r="V79" s="141"/>
      <c r="W79" s="245"/>
      <c r="X79" s="137"/>
      <c r="Y79" s="245"/>
      <c r="Z79" s="245"/>
      <c r="AA79" s="245"/>
      <c r="AB79" s="137"/>
      <c r="AC79" s="245"/>
    </row>
    <row r="80" spans="1:29" x14ac:dyDescent="0.15">
      <c r="A80" s="137"/>
      <c r="B80" s="137"/>
      <c r="C80" s="137"/>
      <c r="D80" s="138"/>
      <c r="E80" s="137"/>
      <c r="F80" s="137"/>
      <c r="G80" s="137"/>
      <c r="H80" s="245"/>
      <c r="I80" s="245"/>
      <c r="J80" s="137"/>
      <c r="K80" s="245"/>
      <c r="L80" s="245"/>
      <c r="M80" s="245"/>
      <c r="N80" s="245"/>
      <c r="O80" s="245"/>
      <c r="P80" s="245"/>
      <c r="Q80" s="139"/>
      <c r="R80" s="245"/>
      <c r="S80" s="245"/>
      <c r="T80" s="140"/>
      <c r="U80" s="245"/>
      <c r="V80" s="141"/>
      <c r="W80" s="245"/>
      <c r="X80" s="137"/>
      <c r="Y80" s="245"/>
      <c r="Z80" s="245"/>
      <c r="AA80" s="245"/>
      <c r="AB80" s="137"/>
      <c r="AC80" s="245"/>
    </row>
    <row r="81" spans="1:29" x14ac:dyDescent="0.15">
      <c r="A81" s="137"/>
      <c r="B81" s="137"/>
      <c r="C81" s="137"/>
      <c r="D81" s="138"/>
      <c r="E81" s="137"/>
      <c r="F81" s="137"/>
      <c r="G81" s="137"/>
      <c r="H81" s="245"/>
      <c r="I81" s="245"/>
      <c r="J81" s="137"/>
      <c r="K81" s="245"/>
      <c r="L81" s="245"/>
      <c r="M81" s="245"/>
      <c r="N81" s="245"/>
      <c r="O81" s="245"/>
      <c r="P81" s="245"/>
      <c r="Q81" s="139"/>
      <c r="R81" s="245"/>
      <c r="S81" s="245"/>
      <c r="T81" s="140"/>
      <c r="U81" s="245"/>
      <c r="V81" s="141"/>
      <c r="W81" s="245"/>
      <c r="X81" s="137"/>
      <c r="Y81" s="245"/>
      <c r="Z81" s="245"/>
      <c r="AA81" s="245"/>
      <c r="AB81" s="137"/>
      <c r="AC81" s="245"/>
    </row>
    <row r="82" spans="1:29" x14ac:dyDescent="0.15">
      <c r="A82" s="137"/>
      <c r="B82" s="137"/>
      <c r="C82" s="137"/>
      <c r="D82" s="138"/>
      <c r="E82" s="137"/>
      <c r="F82" s="137"/>
      <c r="G82" s="137"/>
      <c r="H82" s="245"/>
      <c r="I82" s="245"/>
      <c r="J82" s="137"/>
      <c r="K82" s="245"/>
      <c r="L82" s="245"/>
      <c r="M82" s="245"/>
      <c r="N82" s="245"/>
      <c r="O82" s="245"/>
      <c r="P82" s="245"/>
      <c r="Q82" s="139"/>
      <c r="R82" s="245"/>
      <c r="S82" s="245"/>
      <c r="T82" s="140"/>
      <c r="U82" s="245"/>
      <c r="V82" s="141"/>
      <c r="W82" s="245"/>
      <c r="X82" s="137"/>
      <c r="Y82" s="245"/>
      <c r="Z82" s="245"/>
      <c r="AA82" s="245"/>
      <c r="AB82" s="137"/>
      <c r="AC82" s="245"/>
    </row>
    <row r="83" spans="1:29" x14ac:dyDescent="0.15">
      <c r="A83" s="137"/>
      <c r="B83" s="137"/>
      <c r="C83" s="137"/>
      <c r="D83" s="138"/>
      <c r="E83" s="137"/>
      <c r="F83" s="137"/>
      <c r="G83" s="137"/>
      <c r="H83" s="245"/>
      <c r="I83" s="245"/>
      <c r="J83" s="137"/>
      <c r="K83" s="245"/>
      <c r="L83" s="245"/>
      <c r="M83" s="245"/>
      <c r="N83" s="245"/>
      <c r="O83" s="245"/>
      <c r="P83" s="245"/>
      <c r="Q83" s="139"/>
      <c r="R83" s="245"/>
      <c r="S83" s="245"/>
      <c r="T83" s="140"/>
      <c r="U83" s="245"/>
      <c r="V83" s="141"/>
      <c r="W83" s="245"/>
      <c r="X83" s="137"/>
      <c r="Y83" s="245"/>
      <c r="Z83" s="245"/>
      <c r="AA83" s="245"/>
      <c r="AB83" s="137"/>
      <c r="AC83" s="245"/>
    </row>
    <row r="84" spans="1:29" x14ac:dyDescent="0.15">
      <c r="A84" s="137"/>
      <c r="B84" s="137"/>
      <c r="C84" s="137"/>
      <c r="D84" s="138"/>
      <c r="E84" s="137"/>
      <c r="F84" s="137"/>
      <c r="G84" s="137"/>
      <c r="H84" s="245"/>
      <c r="I84" s="245"/>
      <c r="J84" s="137"/>
      <c r="K84" s="245"/>
      <c r="L84" s="245"/>
      <c r="M84" s="245"/>
      <c r="N84" s="245"/>
      <c r="O84" s="245"/>
      <c r="P84" s="245"/>
      <c r="Q84" s="139"/>
      <c r="R84" s="245"/>
      <c r="S84" s="245"/>
      <c r="T84" s="140"/>
      <c r="U84" s="245"/>
      <c r="V84" s="141"/>
      <c r="W84" s="245"/>
      <c r="X84" s="137"/>
      <c r="Y84" s="245"/>
      <c r="Z84" s="245"/>
      <c r="AA84" s="245"/>
      <c r="AB84" s="137"/>
      <c r="AC84" s="245"/>
    </row>
    <row r="85" spans="1:29" x14ac:dyDescent="0.15">
      <c r="A85" s="137"/>
      <c r="B85" s="137"/>
      <c r="C85" s="137"/>
      <c r="D85" s="138"/>
      <c r="E85" s="137"/>
      <c r="F85" s="137"/>
      <c r="G85" s="137"/>
      <c r="H85" s="245"/>
      <c r="I85" s="245"/>
      <c r="J85" s="137"/>
      <c r="K85" s="245"/>
      <c r="L85" s="245"/>
      <c r="M85" s="245"/>
      <c r="N85" s="245"/>
      <c r="O85" s="245"/>
      <c r="P85" s="245"/>
      <c r="Q85" s="139"/>
      <c r="R85" s="245"/>
      <c r="S85" s="245"/>
      <c r="T85" s="140"/>
      <c r="U85" s="245"/>
      <c r="V85" s="141"/>
      <c r="W85" s="245"/>
      <c r="X85" s="137"/>
      <c r="Y85" s="245"/>
      <c r="Z85" s="245"/>
      <c r="AA85" s="245"/>
      <c r="AB85" s="137"/>
      <c r="AC85" s="245"/>
    </row>
    <row r="86" spans="1:29" x14ac:dyDescent="0.15">
      <c r="A86" s="137"/>
      <c r="B86" s="137"/>
      <c r="C86" s="137"/>
      <c r="D86" s="138"/>
      <c r="E86" s="245"/>
      <c r="F86" s="245"/>
      <c r="G86" s="137"/>
      <c r="H86" s="245"/>
      <c r="I86" s="245"/>
      <c r="J86" s="137"/>
      <c r="K86" s="245"/>
      <c r="L86" s="245"/>
      <c r="M86" s="245"/>
      <c r="N86" s="245"/>
      <c r="O86" s="245"/>
      <c r="P86" s="245"/>
      <c r="Q86" s="139"/>
      <c r="R86" s="245"/>
      <c r="S86" s="245"/>
      <c r="T86" s="140"/>
      <c r="U86" s="245"/>
      <c r="V86" s="141"/>
      <c r="W86" s="245"/>
      <c r="X86" s="137"/>
      <c r="Y86" s="245"/>
      <c r="Z86" s="245"/>
      <c r="AA86" s="245"/>
      <c r="AB86" s="137"/>
      <c r="AC86" s="245"/>
    </row>
    <row r="87" spans="1:29" x14ac:dyDescent="0.15">
      <c r="A87" s="137"/>
      <c r="B87" s="137"/>
      <c r="C87" s="137"/>
      <c r="D87" s="138"/>
      <c r="E87" s="245"/>
      <c r="F87" s="245"/>
      <c r="G87" s="137"/>
      <c r="H87" s="245"/>
      <c r="I87" s="245"/>
      <c r="J87" s="137"/>
      <c r="K87" s="245"/>
      <c r="L87" s="245"/>
      <c r="M87" s="245"/>
      <c r="N87" s="245"/>
      <c r="O87" s="245"/>
      <c r="P87" s="245"/>
      <c r="Q87" s="139"/>
      <c r="R87" s="245"/>
      <c r="S87" s="245"/>
      <c r="T87" s="140"/>
      <c r="U87" s="245"/>
      <c r="V87" s="141"/>
      <c r="W87" s="245"/>
      <c r="X87" s="137"/>
      <c r="Y87" s="245"/>
      <c r="Z87" s="245"/>
      <c r="AA87" s="245"/>
      <c r="AB87" s="137"/>
      <c r="AC87" s="245"/>
    </row>
    <row r="88" spans="1:29" x14ac:dyDescent="0.15">
      <c r="A88" s="137"/>
      <c r="B88" s="137"/>
      <c r="C88" s="137"/>
      <c r="D88" s="138"/>
      <c r="E88" s="245"/>
      <c r="F88" s="245"/>
      <c r="G88" s="137"/>
      <c r="H88" s="245"/>
      <c r="I88" s="245"/>
      <c r="J88" s="137"/>
      <c r="K88" s="245"/>
      <c r="L88" s="245"/>
      <c r="M88" s="245"/>
      <c r="N88" s="245"/>
      <c r="O88" s="245"/>
      <c r="P88" s="245"/>
      <c r="Q88" s="139"/>
      <c r="R88" s="245"/>
      <c r="S88" s="245"/>
      <c r="T88" s="140"/>
      <c r="U88" s="245"/>
      <c r="V88" s="141"/>
      <c r="W88" s="245"/>
      <c r="X88" s="137"/>
      <c r="Y88" s="245"/>
      <c r="Z88" s="245"/>
      <c r="AA88" s="245"/>
      <c r="AB88" s="137"/>
      <c r="AC88" s="245"/>
    </row>
    <row r="89" spans="1:29" x14ac:dyDescent="0.15">
      <c r="A89" s="137"/>
      <c r="B89" s="137"/>
      <c r="C89" s="137"/>
      <c r="D89" s="138"/>
      <c r="E89" s="245"/>
      <c r="F89" s="245"/>
      <c r="G89" s="137"/>
      <c r="H89" s="245"/>
      <c r="I89" s="245"/>
      <c r="J89" s="137"/>
      <c r="K89" s="245"/>
      <c r="L89" s="245"/>
      <c r="M89" s="245"/>
      <c r="N89" s="245"/>
      <c r="O89" s="245"/>
      <c r="P89" s="245"/>
      <c r="Q89" s="139"/>
      <c r="R89" s="245"/>
      <c r="S89" s="245"/>
      <c r="T89" s="140"/>
      <c r="U89" s="245"/>
      <c r="V89" s="141"/>
      <c r="W89" s="245"/>
      <c r="X89" s="137"/>
      <c r="Y89" s="245"/>
      <c r="Z89" s="245"/>
      <c r="AA89" s="245"/>
      <c r="AB89" s="137"/>
      <c r="AC89" s="245"/>
    </row>
    <row r="90" spans="1:29" x14ac:dyDescent="0.15">
      <c r="A90" s="137"/>
      <c r="B90" s="137"/>
      <c r="C90" s="137"/>
      <c r="D90" s="138"/>
      <c r="E90" s="245"/>
      <c r="F90" s="245"/>
      <c r="G90" s="137"/>
      <c r="H90" s="245"/>
      <c r="I90" s="245"/>
      <c r="J90" s="137"/>
      <c r="K90" s="245"/>
      <c r="L90" s="245"/>
      <c r="M90" s="245"/>
      <c r="N90" s="245"/>
      <c r="O90" s="245"/>
      <c r="P90" s="245"/>
      <c r="Q90" s="139"/>
      <c r="R90" s="245"/>
      <c r="S90" s="245"/>
      <c r="T90" s="140"/>
      <c r="U90" s="245"/>
      <c r="V90" s="141"/>
      <c r="W90" s="245"/>
      <c r="X90" s="137"/>
      <c r="Y90" s="245"/>
      <c r="Z90" s="245"/>
      <c r="AA90" s="245"/>
      <c r="AB90" s="137"/>
      <c r="AC90" s="245"/>
    </row>
    <row r="91" spans="1:29" x14ac:dyDescent="0.15">
      <c r="A91" s="137"/>
      <c r="B91" s="137"/>
      <c r="C91" s="137"/>
      <c r="D91" s="138"/>
      <c r="E91" s="245"/>
      <c r="F91" s="245"/>
      <c r="G91" s="137"/>
      <c r="H91" s="245"/>
      <c r="I91" s="245"/>
      <c r="J91" s="137"/>
      <c r="K91" s="245"/>
      <c r="L91" s="245"/>
      <c r="M91" s="245"/>
      <c r="N91" s="245"/>
      <c r="O91" s="245"/>
      <c r="P91" s="245"/>
      <c r="Q91" s="139"/>
      <c r="R91" s="245"/>
      <c r="S91" s="245"/>
      <c r="T91" s="140"/>
      <c r="U91" s="245"/>
      <c r="V91" s="141"/>
      <c r="W91" s="245"/>
      <c r="X91" s="137"/>
      <c r="Y91" s="245"/>
      <c r="Z91" s="245"/>
      <c r="AA91" s="245"/>
      <c r="AB91" s="137"/>
      <c r="AC91" s="245"/>
    </row>
    <row r="92" spans="1:29" x14ac:dyDescent="0.15">
      <c r="K92" s="245"/>
      <c r="AC92" s="245"/>
    </row>
    <row r="93" spans="1:29" x14ac:dyDescent="0.15">
      <c r="A93" s="137"/>
      <c r="B93" s="137"/>
      <c r="C93" s="137"/>
      <c r="D93" s="138"/>
      <c r="E93" s="245"/>
      <c r="F93" s="245"/>
      <c r="G93" s="137"/>
      <c r="H93" s="245"/>
      <c r="I93" s="245"/>
      <c r="J93" s="137"/>
      <c r="K93" s="245"/>
      <c r="L93" s="245"/>
      <c r="M93" s="245"/>
      <c r="N93" s="245"/>
      <c r="O93" s="245"/>
      <c r="P93" s="245"/>
      <c r="Q93" s="139"/>
      <c r="R93" s="245"/>
      <c r="S93" s="245"/>
      <c r="T93" s="140"/>
      <c r="U93" s="245"/>
      <c r="V93" s="141"/>
      <c r="W93" s="245"/>
      <c r="X93" s="137"/>
      <c r="Y93" s="245"/>
      <c r="Z93" s="245"/>
      <c r="AA93" s="245"/>
      <c r="AB93" s="137"/>
      <c r="AC93" s="245"/>
    </row>
    <row r="94" spans="1:29" x14ac:dyDescent="0.15">
      <c r="A94" s="137"/>
      <c r="B94" s="137"/>
      <c r="C94" s="137"/>
      <c r="D94" s="138"/>
      <c r="E94" s="245"/>
      <c r="F94" s="245"/>
      <c r="G94" s="137"/>
      <c r="H94" s="245"/>
      <c r="I94" s="245"/>
      <c r="J94" s="137"/>
      <c r="K94" s="245"/>
      <c r="L94" s="245"/>
      <c r="M94" s="245"/>
      <c r="N94" s="245"/>
      <c r="O94" s="245"/>
      <c r="P94" s="245"/>
      <c r="Q94" s="139"/>
      <c r="R94" s="245"/>
      <c r="S94" s="245"/>
      <c r="T94" s="140"/>
      <c r="U94" s="245"/>
      <c r="V94" s="141"/>
      <c r="W94" s="245"/>
      <c r="X94" s="137"/>
      <c r="Y94" s="245"/>
      <c r="Z94" s="245"/>
      <c r="AA94" s="245"/>
      <c r="AB94" s="137"/>
      <c r="AC94" s="245"/>
    </row>
    <row r="95" spans="1:29" x14ac:dyDescent="0.15">
      <c r="A95" s="137"/>
      <c r="B95" s="137"/>
      <c r="C95" s="137"/>
      <c r="D95" s="138"/>
      <c r="E95" s="245"/>
      <c r="F95" s="245"/>
      <c r="G95" s="137"/>
      <c r="H95" s="245"/>
      <c r="I95" s="245"/>
      <c r="J95" s="137"/>
      <c r="K95" s="245"/>
      <c r="L95" s="245"/>
      <c r="M95" s="245"/>
      <c r="N95" s="245"/>
      <c r="O95" s="245"/>
      <c r="P95" s="245"/>
      <c r="Q95" s="139"/>
      <c r="R95" s="245"/>
      <c r="S95" s="245"/>
      <c r="T95" s="140"/>
      <c r="U95" s="245"/>
      <c r="V95" s="141"/>
      <c r="W95" s="245"/>
      <c r="X95" s="137"/>
      <c r="Y95" s="245"/>
      <c r="Z95" s="245"/>
      <c r="AA95" s="245"/>
      <c r="AB95" s="137"/>
      <c r="AC95" s="245"/>
    </row>
    <row r="96" spans="1:29" x14ac:dyDescent="0.15">
      <c r="A96" s="137"/>
      <c r="B96" s="137"/>
      <c r="C96" s="137"/>
      <c r="D96" s="138"/>
      <c r="E96" s="245"/>
      <c r="F96" s="245"/>
      <c r="G96" s="137"/>
      <c r="H96" s="245"/>
      <c r="I96" s="245"/>
      <c r="J96" s="137"/>
      <c r="K96" s="245"/>
      <c r="L96" s="245"/>
      <c r="M96" s="245"/>
      <c r="N96" s="245"/>
      <c r="O96" s="245"/>
      <c r="P96" s="245"/>
      <c r="Q96" s="139"/>
      <c r="R96" s="245"/>
      <c r="S96" s="245"/>
      <c r="T96" s="140"/>
      <c r="U96" s="245"/>
      <c r="V96" s="141"/>
      <c r="W96" s="245"/>
      <c r="X96" s="137"/>
      <c r="Y96" s="245"/>
      <c r="Z96" s="245"/>
      <c r="AA96" s="245"/>
      <c r="AB96" s="137"/>
      <c r="AC96" s="245"/>
    </row>
    <row r="97" spans="1:29" x14ac:dyDescent="0.15">
      <c r="A97" s="137"/>
      <c r="B97" s="137"/>
      <c r="C97" s="137"/>
      <c r="D97" s="138"/>
      <c r="E97" s="245"/>
      <c r="F97" s="245"/>
      <c r="G97" s="137"/>
      <c r="H97" s="245"/>
      <c r="I97" s="245"/>
      <c r="J97" s="137"/>
      <c r="K97" s="245"/>
      <c r="L97" s="245"/>
      <c r="M97" s="245"/>
      <c r="N97" s="245"/>
      <c r="O97" s="245"/>
      <c r="P97" s="245"/>
      <c r="Q97" s="139"/>
      <c r="R97" s="245"/>
      <c r="S97" s="245"/>
      <c r="T97" s="140"/>
      <c r="U97" s="245"/>
      <c r="V97" s="141"/>
      <c r="W97" s="245"/>
      <c r="X97" s="137"/>
      <c r="Y97" s="245"/>
      <c r="Z97" s="245"/>
      <c r="AA97" s="245"/>
      <c r="AB97" s="137"/>
      <c r="AC97" s="245"/>
    </row>
    <row r="98" spans="1:29" x14ac:dyDescent="0.15">
      <c r="A98" s="137"/>
      <c r="B98" s="137"/>
      <c r="C98" s="137"/>
      <c r="D98" s="138"/>
      <c r="E98" s="245"/>
      <c r="F98" s="245"/>
      <c r="G98" s="137"/>
      <c r="H98" s="245"/>
      <c r="I98" s="245"/>
      <c r="J98" s="137"/>
      <c r="K98" s="245"/>
      <c r="L98" s="245"/>
      <c r="M98" s="245"/>
      <c r="N98" s="245"/>
      <c r="O98" s="245"/>
      <c r="P98" s="245"/>
      <c r="Q98" s="139"/>
      <c r="R98" s="245"/>
      <c r="S98" s="245"/>
      <c r="T98" s="140"/>
      <c r="U98" s="245"/>
      <c r="V98" s="141"/>
      <c r="W98" s="245"/>
      <c r="X98" s="137"/>
      <c r="Y98" s="245"/>
      <c r="Z98" s="245"/>
      <c r="AA98" s="245"/>
      <c r="AB98" s="137"/>
      <c r="AC98" s="245"/>
    </row>
    <row r="99" spans="1:29" x14ac:dyDescent="0.15">
      <c r="A99" s="137"/>
      <c r="B99" s="137"/>
      <c r="C99" s="137"/>
      <c r="D99" s="138"/>
      <c r="E99" s="245"/>
      <c r="F99" s="245"/>
      <c r="G99" s="137"/>
      <c r="H99" s="245"/>
      <c r="I99" s="245"/>
      <c r="J99" s="137"/>
      <c r="K99" s="245"/>
      <c r="L99" s="245"/>
      <c r="M99" s="245"/>
      <c r="N99" s="245"/>
      <c r="O99" s="245"/>
      <c r="P99" s="245"/>
      <c r="Q99" s="139"/>
      <c r="R99" s="245"/>
      <c r="S99" s="245"/>
      <c r="T99" s="140"/>
      <c r="U99" s="245"/>
      <c r="V99" s="141"/>
      <c r="W99" s="245"/>
      <c r="X99" s="137"/>
      <c r="Y99" s="245"/>
      <c r="Z99" s="245"/>
      <c r="AA99" s="245"/>
      <c r="AB99" s="137"/>
      <c r="AC99" s="245"/>
    </row>
    <row r="100" spans="1:29" x14ac:dyDescent="0.15">
      <c r="A100" s="137"/>
      <c r="B100" s="137"/>
      <c r="C100" s="137"/>
      <c r="D100" s="138"/>
      <c r="E100" s="245"/>
      <c r="F100" s="245"/>
      <c r="G100" s="137"/>
      <c r="H100" s="245"/>
      <c r="I100" s="245"/>
      <c r="J100" s="137"/>
      <c r="K100" s="245"/>
      <c r="L100" s="245"/>
      <c r="M100" s="245"/>
      <c r="N100" s="245"/>
      <c r="O100" s="245"/>
      <c r="P100" s="245"/>
      <c r="Q100" s="139"/>
      <c r="R100" s="245"/>
      <c r="S100" s="245"/>
      <c r="T100" s="140"/>
      <c r="U100" s="245"/>
      <c r="V100" s="141"/>
      <c r="W100" s="245"/>
      <c r="X100" s="137"/>
      <c r="Y100" s="245"/>
      <c r="Z100" s="245"/>
      <c r="AA100" s="245"/>
      <c r="AB100" s="137"/>
      <c r="AC100" s="245"/>
    </row>
    <row r="101" spans="1:29" x14ac:dyDescent="0.15">
      <c r="A101" s="137"/>
      <c r="B101" s="137"/>
      <c r="C101" s="137"/>
      <c r="D101" s="138"/>
      <c r="E101" s="245"/>
      <c r="F101" s="245"/>
      <c r="G101" s="137"/>
      <c r="H101" s="245"/>
      <c r="I101" s="245"/>
      <c r="J101" s="137"/>
      <c r="K101" s="245"/>
      <c r="L101" s="245"/>
      <c r="M101" s="245"/>
      <c r="N101" s="245"/>
      <c r="O101" s="245"/>
      <c r="P101" s="245"/>
      <c r="Q101" s="139"/>
      <c r="R101" s="245"/>
      <c r="S101" s="245"/>
      <c r="T101" s="140"/>
      <c r="U101" s="245"/>
      <c r="V101" s="141"/>
      <c r="W101" s="245"/>
      <c r="X101" s="137"/>
      <c r="Y101" s="245"/>
      <c r="Z101" s="245"/>
      <c r="AA101" s="245"/>
      <c r="AB101" s="137"/>
      <c r="AC101" s="245"/>
    </row>
    <row r="102" spans="1:29" x14ac:dyDescent="0.15">
      <c r="A102" s="137"/>
      <c r="B102" s="137"/>
      <c r="C102" s="137"/>
      <c r="D102" s="138"/>
      <c r="E102" s="245"/>
      <c r="F102" s="245"/>
      <c r="G102" s="137"/>
      <c r="H102" s="245"/>
      <c r="I102" s="245"/>
      <c r="J102" s="137"/>
      <c r="K102" s="245"/>
      <c r="L102" s="245"/>
      <c r="M102" s="245"/>
      <c r="N102" s="245"/>
      <c r="O102" s="245"/>
      <c r="P102" s="245"/>
      <c r="Q102" s="139"/>
      <c r="R102" s="245"/>
      <c r="S102" s="245"/>
      <c r="T102" s="140"/>
      <c r="U102" s="245"/>
      <c r="V102" s="141"/>
      <c r="W102" s="245"/>
      <c r="X102" s="137"/>
      <c r="Y102" s="245"/>
      <c r="Z102" s="245"/>
      <c r="AA102" s="245"/>
      <c r="AB102" s="137"/>
      <c r="AC102" s="245"/>
    </row>
    <row r="103" spans="1:29" x14ac:dyDescent="0.15">
      <c r="A103" s="137"/>
      <c r="B103" s="137"/>
      <c r="C103" s="137"/>
      <c r="D103" s="138"/>
      <c r="E103" s="245"/>
      <c r="F103" s="245"/>
      <c r="G103" s="137"/>
      <c r="H103" s="245"/>
      <c r="I103" s="245"/>
      <c r="J103" s="137"/>
      <c r="K103" s="245"/>
      <c r="L103" s="245"/>
      <c r="M103" s="245"/>
      <c r="N103" s="245"/>
      <c r="O103" s="245"/>
      <c r="P103" s="245"/>
      <c r="Q103" s="139"/>
      <c r="R103" s="245"/>
      <c r="S103" s="245"/>
      <c r="T103" s="140"/>
      <c r="U103" s="245"/>
      <c r="V103" s="141"/>
      <c r="W103" s="245"/>
      <c r="X103" s="137"/>
      <c r="Y103" s="245"/>
      <c r="Z103" s="245"/>
      <c r="AA103" s="245"/>
      <c r="AB103" s="137"/>
      <c r="AC103" s="245"/>
    </row>
    <row r="104" spans="1:29" x14ac:dyDescent="0.15">
      <c r="A104" s="137"/>
      <c r="B104" s="137"/>
      <c r="C104" s="137"/>
      <c r="D104" s="138"/>
      <c r="E104" s="245"/>
      <c r="F104" s="245"/>
      <c r="G104" s="137"/>
      <c r="H104" s="245"/>
      <c r="I104" s="245"/>
      <c r="J104" s="137"/>
      <c r="K104" s="245"/>
      <c r="L104" s="245"/>
      <c r="M104" s="245"/>
      <c r="N104" s="245"/>
      <c r="O104" s="245"/>
      <c r="P104" s="245"/>
      <c r="Q104" s="139"/>
      <c r="R104" s="245"/>
      <c r="S104" s="245"/>
      <c r="T104" s="140"/>
      <c r="U104" s="245"/>
      <c r="V104" s="141"/>
      <c r="W104" s="245"/>
      <c r="X104" s="137"/>
      <c r="Y104" s="245"/>
      <c r="Z104" s="245"/>
      <c r="AA104" s="245"/>
      <c r="AB104" s="137"/>
      <c r="AC104" s="245"/>
    </row>
    <row r="105" spans="1:29" x14ac:dyDescent="0.15">
      <c r="A105" s="137"/>
      <c r="B105" s="137"/>
      <c r="C105" s="137"/>
      <c r="D105" s="138"/>
      <c r="E105" s="245"/>
      <c r="F105" s="245"/>
      <c r="G105" s="137"/>
      <c r="H105" s="245"/>
      <c r="I105" s="245"/>
      <c r="J105" s="137"/>
      <c r="K105" s="245"/>
      <c r="L105" s="245"/>
      <c r="M105" s="245"/>
      <c r="N105" s="245"/>
      <c r="O105" s="245"/>
      <c r="P105" s="245"/>
      <c r="Q105" s="139"/>
      <c r="R105" s="245"/>
      <c r="S105" s="245"/>
      <c r="T105" s="140"/>
      <c r="U105" s="245"/>
      <c r="V105" s="141"/>
      <c r="W105" s="245"/>
      <c r="X105" s="137"/>
      <c r="Y105" s="245"/>
      <c r="Z105" s="245"/>
      <c r="AA105" s="245"/>
      <c r="AB105" s="137"/>
      <c r="AC105" s="245"/>
    </row>
    <row r="106" spans="1:29" x14ac:dyDescent="0.15">
      <c r="A106" s="137"/>
      <c r="B106" s="137"/>
      <c r="C106" s="137"/>
      <c r="D106" s="138"/>
      <c r="E106" s="245"/>
      <c r="F106" s="245"/>
      <c r="G106" s="137"/>
      <c r="H106" s="245"/>
      <c r="I106" s="245"/>
      <c r="J106" s="137"/>
      <c r="K106" s="245"/>
      <c r="L106" s="245"/>
      <c r="M106" s="245"/>
      <c r="N106" s="245"/>
      <c r="O106" s="245"/>
      <c r="P106" s="245"/>
      <c r="Q106" s="139"/>
      <c r="R106" s="245"/>
      <c r="S106" s="245"/>
      <c r="T106" s="140"/>
      <c r="U106" s="245"/>
      <c r="V106" s="141"/>
      <c r="W106" s="245"/>
      <c r="X106" s="137"/>
      <c r="Y106" s="245"/>
      <c r="Z106" s="245"/>
      <c r="AA106" s="245"/>
      <c r="AB106" s="137"/>
      <c r="AC106" s="245"/>
    </row>
    <row r="107" spans="1:29" x14ac:dyDescent="0.15">
      <c r="A107" s="137"/>
      <c r="B107" s="137"/>
      <c r="C107" s="137"/>
      <c r="D107" s="138"/>
      <c r="E107" s="245"/>
      <c r="F107" s="245"/>
      <c r="G107" s="137"/>
      <c r="H107" s="245"/>
      <c r="I107" s="245"/>
      <c r="J107" s="137"/>
      <c r="K107" s="245"/>
      <c r="L107" s="245"/>
      <c r="M107" s="245"/>
      <c r="N107" s="245"/>
      <c r="O107" s="245"/>
      <c r="P107" s="245"/>
      <c r="Q107" s="139"/>
      <c r="R107" s="245"/>
      <c r="S107" s="245"/>
      <c r="T107" s="140"/>
      <c r="U107" s="245"/>
      <c r="V107" s="141"/>
      <c r="W107" s="245"/>
      <c r="X107" s="137"/>
      <c r="Y107" s="245"/>
      <c r="Z107" s="245"/>
      <c r="AA107" s="245"/>
      <c r="AB107" s="137"/>
      <c r="AC107" s="245"/>
    </row>
    <row r="108" spans="1:29" x14ac:dyDescent="0.15">
      <c r="A108" s="137"/>
      <c r="B108" s="137"/>
      <c r="C108" s="137"/>
      <c r="D108" s="138"/>
      <c r="E108" s="245"/>
      <c r="F108" s="245"/>
      <c r="G108" s="137"/>
      <c r="H108" s="245"/>
      <c r="I108" s="245"/>
      <c r="J108" s="137"/>
      <c r="K108" s="245"/>
      <c r="L108" s="245"/>
      <c r="M108" s="245"/>
      <c r="N108" s="245"/>
      <c r="O108" s="245"/>
      <c r="P108" s="245"/>
      <c r="Q108" s="139"/>
      <c r="R108" s="245"/>
      <c r="S108" s="245"/>
      <c r="T108" s="140"/>
      <c r="U108" s="245"/>
      <c r="V108" s="141"/>
      <c r="W108" s="245"/>
      <c r="X108" s="137"/>
      <c r="Y108" s="245"/>
      <c r="Z108" s="245"/>
      <c r="AA108" s="245"/>
      <c r="AB108" s="137"/>
      <c r="AC108" s="245"/>
    </row>
    <row r="109" spans="1:29" x14ac:dyDescent="0.15">
      <c r="A109" s="137"/>
      <c r="B109" s="137"/>
      <c r="C109" s="137"/>
      <c r="D109" s="138"/>
      <c r="E109" s="245"/>
      <c r="F109" s="245"/>
      <c r="G109" s="137"/>
      <c r="H109" s="245"/>
      <c r="I109" s="245"/>
      <c r="J109" s="137"/>
      <c r="K109" s="245"/>
      <c r="L109" s="245"/>
      <c r="M109" s="245"/>
      <c r="N109" s="245"/>
      <c r="O109" s="245"/>
      <c r="P109" s="245"/>
      <c r="Q109" s="139"/>
      <c r="R109" s="245"/>
      <c r="S109" s="245"/>
      <c r="T109" s="140"/>
      <c r="U109" s="245"/>
      <c r="V109" s="141"/>
      <c r="W109" s="245"/>
      <c r="X109" s="137"/>
      <c r="Y109" s="245"/>
      <c r="Z109" s="245"/>
      <c r="AA109" s="245"/>
      <c r="AB109" s="137"/>
      <c r="AC109" s="245"/>
    </row>
    <row r="110" spans="1:29" x14ac:dyDescent="0.15">
      <c r="A110" s="245"/>
      <c r="B110" s="245"/>
      <c r="C110" s="245"/>
      <c r="D110" s="245"/>
      <c r="E110" s="245"/>
      <c r="F110" s="245"/>
      <c r="G110" s="245"/>
      <c r="H110" s="245"/>
      <c r="I110" s="245"/>
      <c r="J110" s="245"/>
      <c r="K110" s="245"/>
      <c r="L110" s="245"/>
      <c r="M110" s="245"/>
      <c r="N110" s="245"/>
      <c r="O110" s="245"/>
      <c r="P110" s="245"/>
      <c r="Q110" s="140"/>
      <c r="R110" s="245"/>
      <c r="S110" s="245"/>
      <c r="T110" s="140"/>
      <c r="U110" s="245"/>
      <c r="V110" s="140"/>
      <c r="W110" s="245"/>
      <c r="X110" s="245"/>
      <c r="Y110" s="245"/>
      <c r="Z110" s="245"/>
      <c r="AA110" s="245"/>
      <c r="AB110" s="245"/>
      <c r="AC110" s="245"/>
    </row>
    <row r="111" spans="1:29" x14ac:dyDescent="0.15">
      <c r="A111" s="245"/>
      <c r="B111" s="245"/>
      <c r="C111" s="245"/>
      <c r="D111" s="245"/>
      <c r="E111" s="245"/>
      <c r="F111" s="245"/>
      <c r="G111" s="245"/>
      <c r="H111" s="245"/>
      <c r="I111" s="245"/>
      <c r="J111" s="245"/>
      <c r="K111" s="245"/>
      <c r="L111" s="245" t="s">
        <v>451</v>
      </c>
      <c r="M111" s="245"/>
      <c r="N111" s="245"/>
      <c r="O111" s="245"/>
      <c r="P111" s="245"/>
      <c r="Q111" s="140"/>
      <c r="R111" s="245"/>
      <c r="S111" s="245"/>
      <c r="T111" s="140"/>
      <c r="U111" s="245"/>
      <c r="V111" s="140"/>
      <c r="W111" s="245"/>
      <c r="X111" s="245"/>
      <c r="Y111" s="245"/>
      <c r="Z111" s="245"/>
      <c r="AA111" s="245"/>
      <c r="AB111" s="245"/>
      <c r="AC111" s="245"/>
    </row>
    <row r="112" spans="1:29" x14ac:dyDescent="0.15">
      <c r="K112" s="245"/>
    </row>
    <row r="113" spans="11:11" x14ac:dyDescent="0.15">
      <c r="K113" s="245"/>
    </row>
    <row r="114" spans="11:11" x14ac:dyDescent="0.15">
      <c r="K114" s="245"/>
    </row>
    <row r="115" spans="11:11" x14ac:dyDescent="0.15">
      <c r="K115" s="245"/>
    </row>
    <row r="116" spans="11:11" x14ac:dyDescent="0.15">
      <c r="K116" s="245"/>
    </row>
    <row r="117" spans="11:11" x14ac:dyDescent="0.15">
      <c r="K117" s="245"/>
    </row>
  </sheetData>
  <autoFilter ref="A1:BA1">
    <sortState ref="A2:BA76">
      <sortCondition ref="Y1"/>
    </sortState>
  </autoFilter>
  <phoneticPr fontId="3"/>
  <dataValidations count="21">
    <dataValidation type="list" allowBlank="1" showInputMessage="1" showErrorMessage="1" sqref="K2:K117">
      <formula1>$AR$2:$AR$29</formula1>
    </dataValidation>
    <dataValidation type="list" allowBlank="1" showInputMessage="1" showErrorMessage="1" sqref="I64403:I64408 WVQ981886:WVQ981891 WLU981886:WLU981891 WBY981886:WBY981891 VSC981886:VSC981891 VIG981886:VIG981891 UYK981886:UYK981891 UOO981886:UOO981891 UES981886:UES981891 TUW981886:TUW981891 TLA981886:TLA981891 TBE981886:TBE981891 SRI981886:SRI981891 SHM981886:SHM981891 RXQ981886:RXQ981891 RNU981886:RNU981891 RDY981886:RDY981891 QUC981886:QUC981891 QKG981886:QKG981891 QAK981886:QAK981891 PQO981886:PQO981891 PGS981886:PGS981891 OWW981886:OWW981891 ONA981886:ONA981891 ODE981886:ODE981891 NTI981886:NTI981891 NJM981886:NJM981891 MZQ981886:MZQ981891 MPU981886:MPU981891 MFY981886:MFY981891 LWC981886:LWC981891 LMG981886:LMG981891 LCK981886:LCK981891 KSO981886:KSO981891 KIS981886:KIS981891 JYW981886:JYW981891 JPA981886:JPA981891 JFE981886:JFE981891 IVI981886:IVI981891 ILM981886:ILM981891 IBQ981886:IBQ981891 HRU981886:HRU981891 HHY981886:HHY981891 GYC981886:GYC981891 GOG981886:GOG981891 GEK981886:GEK981891 FUO981886:FUO981891 FKS981886:FKS981891 FAW981886:FAW981891 ERA981886:ERA981891 EHE981886:EHE981891 DXI981886:DXI981891 DNM981886:DNM981891 DDQ981886:DDQ981891 CTU981886:CTU981891 CJY981886:CJY981891 CAC981886:CAC981891 BQG981886:BQG981891 BGK981886:BGK981891 AWO981886:AWO981891 AMS981886:AMS981891 ACW981886:ACW981891 TA981886:TA981891 JE981886:JE981891 I981907:I981912 WVQ916350:WVQ916355 WLU916350:WLU916355 WBY916350:WBY916355 VSC916350:VSC916355 VIG916350:VIG916355 UYK916350:UYK916355 UOO916350:UOO916355 UES916350:UES916355 TUW916350:TUW916355 TLA916350:TLA916355 TBE916350:TBE916355 SRI916350:SRI916355 SHM916350:SHM916355 RXQ916350:RXQ916355 RNU916350:RNU916355 RDY916350:RDY916355 QUC916350:QUC916355 QKG916350:QKG916355 QAK916350:QAK916355 PQO916350:PQO916355 PGS916350:PGS916355 OWW916350:OWW916355 ONA916350:ONA916355 ODE916350:ODE916355 NTI916350:NTI916355 NJM916350:NJM916355 MZQ916350:MZQ916355 MPU916350:MPU916355 MFY916350:MFY916355 LWC916350:LWC916355 LMG916350:LMG916355 LCK916350:LCK916355 KSO916350:KSO916355 KIS916350:KIS916355 JYW916350:JYW916355 JPA916350:JPA916355 JFE916350:JFE916355 IVI916350:IVI916355 ILM916350:ILM916355 IBQ916350:IBQ916355 HRU916350:HRU916355 HHY916350:HHY916355 GYC916350:GYC916355 GOG916350:GOG916355 GEK916350:GEK916355 FUO916350:FUO916355 FKS916350:FKS916355 FAW916350:FAW916355 ERA916350:ERA916355 EHE916350:EHE916355 DXI916350:DXI916355 DNM916350:DNM916355 DDQ916350:DDQ916355 CTU916350:CTU916355 CJY916350:CJY916355 CAC916350:CAC916355 BQG916350:BQG916355 BGK916350:BGK916355 AWO916350:AWO916355 AMS916350:AMS916355 ACW916350:ACW916355 TA916350:TA916355 JE916350:JE916355 I916371:I916376 WVQ850814:WVQ850819 WLU850814:WLU850819 WBY850814:WBY850819 VSC850814:VSC850819 VIG850814:VIG850819 UYK850814:UYK850819 UOO850814:UOO850819 UES850814:UES850819 TUW850814:TUW850819 TLA850814:TLA850819 TBE850814:TBE850819 SRI850814:SRI850819 SHM850814:SHM850819 RXQ850814:RXQ850819 RNU850814:RNU850819 RDY850814:RDY850819 QUC850814:QUC850819 QKG850814:QKG850819 QAK850814:QAK850819 PQO850814:PQO850819 PGS850814:PGS850819 OWW850814:OWW850819 ONA850814:ONA850819 ODE850814:ODE850819 NTI850814:NTI850819 NJM850814:NJM850819 MZQ850814:MZQ850819 MPU850814:MPU850819 MFY850814:MFY850819 LWC850814:LWC850819 LMG850814:LMG850819 LCK850814:LCK850819 KSO850814:KSO850819 KIS850814:KIS850819 JYW850814:JYW850819 JPA850814:JPA850819 JFE850814:JFE850819 IVI850814:IVI850819 ILM850814:ILM850819 IBQ850814:IBQ850819 HRU850814:HRU850819 HHY850814:HHY850819 GYC850814:GYC850819 GOG850814:GOG850819 GEK850814:GEK850819 FUO850814:FUO850819 FKS850814:FKS850819 FAW850814:FAW850819 ERA850814:ERA850819 EHE850814:EHE850819 DXI850814:DXI850819 DNM850814:DNM850819 DDQ850814:DDQ850819 CTU850814:CTU850819 CJY850814:CJY850819 CAC850814:CAC850819 BQG850814:BQG850819 BGK850814:BGK850819 AWO850814:AWO850819 AMS850814:AMS850819 ACW850814:ACW850819 TA850814:TA850819 JE850814:JE850819 I850835:I850840 WVQ785278:WVQ785283 WLU785278:WLU785283 WBY785278:WBY785283 VSC785278:VSC785283 VIG785278:VIG785283 UYK785278:UYK785283 UOO785278:UOO785283 UES785278:UES785283 TUW785278:TUW785283 TLA785278:TLA785283 TBE785278:TBE785283 SRI785278:SRI785283 SHM785278:SHM785283 RXQ785278:RXQ785283 RNU785278:RNU785283 RDY785278:RDY785283 QUC785278:QUC785283 QKG785278:QKG785283 QAK785278:QAK785283 PQO785278:PQO785283 PGS785278:PGS785283 OWW785278:OWW785283 ONA785278:ONA785283 ODE785278:ODE785283 NTI785278:NTI785283 NJM785278:NJM785283 MZQ785278:MZQ785283 MPU785278:MPU785283 MFY785278:MFY785283 LWC785278:LWC785283 LMG785278:LMG785283 LCK785278:LCK785283 KSO785278:KSO785283 KIS785278:KIS785283 JYW785278:JYW785283 JPA785278:JPA785283 JFE785278:JFE785283 IVI785278:IVI785283 ILM785278:ILM785283 IBQ785278:IBQ785283 HRU785278:HRU785283 HHY785278:HHY785283 GYC785278:GYC785283 GOG785278:GOG785283 GEK785278:GEK785283 FUO785278:FUO785283 FKS785278:FKS785283 FAW785278:FAW785283 ERA785278:ERA785283 EHE785278:EHE785283 DXI785278:DXI785283 DNM785278:DNM785283 DDQ785278:DDQ785283 CTU785278:CTU785283 CJY785278:CJY785283 CAC785278:CAC785283 BQG785278:BQG785283 BGK785278:BGK785283 AWO785278:AWO785283 AMS785278:AMS785283 ACW785278:ACW785283 TA785278:TA785283 JE785278:JE785283 I785299:I785304 WVQ719742:WVQ719747 WLU719742:WLU719747 WBY719742:WBY719747 VSC719742:VSC719747 VIG719742:VIG719747 UYK719742:UYK719747 UOO719742:UOO719747 UES719742:UES719747 TUW719742:TUW719747 TLA719742:TLA719747 TBE719742:TBE719747 SRI719742:SRI719747 SHM719742:SHM719747 RXQ719742:RXQ719747 RNU719742:RNU719747 RDY719742:RDY719747 QUC719742:QUC719747 QKG719742:QKG719747 QAK719742:QAK719747 PQO719742:PQO719747 PGS719742:PGS719747 OWW719742:OWW719747 ONA719742:ONA719747 ODE719742:ODE719747 NTI719742:NTI719747 NJM719742:NJM719747 MZQ719742:MZQ719747 MPU719742:MPU719747 MFY719742:MFY719747 LWC719742:LWC719747 LMG719742:LMG719747 LCK719742:LCK719747 KSO719742:KSO719747 KIS719742:KIS719747 JYW719742:JYW719747 JPA719742:JPA719747 JFE719742:JFE719747 IVI719742:IVI719747 ILM719742:ILM719747 IBQ719742:IBQ719747 HRU719742:HRU719747 HHY719742:HHY719747 GYC719742:GYC719747 GOG719742:GOG719747 GEK719742:GEK719747 FUO719742:FUO719747 FKS719742:FKS719747 FAW719742:FAW719747 ERA719742:ERA719747 EHE719742:EHE719747 DXI719742:DXI719747 DNM719742:DNM719747 DDQ719742:DDQ719747 CTU719742:CTU719747 CJY719742:CJY719747 CAC719742:CAC719747 BQG719742:BQG719747 BGK719742:BGK719747 AWO719742:AWO719747 AMS719742:AMS719747 ACW719742:ACW719747 TA719742:TA719747 JE719742:JE719747 I719763:I719768 WVQ654206:WVQ654211 WLU654206:WLU654211 WBY654206:WBY654211 VSC654206:VSC654211 VIG654206:VIG654211 UYK654206:UYK654211 UOO654206:UOO654211 UES654206:UES654211 TUW654206:TUW654211 TLA654206:TLA654211 TBE654206:TBE654211 SRI654206:SRI654211 SHM654206:SHM654211 RXQ654206:RXQ654211 RNU654206:RNU654211 RDY654206:RDY654211 QUC654206:QUC654211 QKG654206:QKG654211 QAK654206:QAK654211 PQO654206:PQO654211 PGS654206:PGS654211 OWW654206:OWW654211 ONA654206:ONA654211 ODE654206:ODE654211 NTI654206:NTI654211 NJM654206:NJM654211 MZQ654206:MZQ654211 MPU654206:MPU654211 MFY654206:MFY654211 LWC654206:LWC654211 LMG654206:LMG654211 LCK654206:LCK654211 KSO654206:KSO654211 KIS654206:KIS654211 JYW654206:JYW654211 JPA654206:JPA654211 JFE654206:JFE654211 IVI654206:IVI654211 ILM654206:ILM654211 IBQ654206:IBQ654211 HRU654206:HRU654211 HHY654206:HHY654211 GYC654206:GYC654211 GOG654206:GOG654211 GEK654206:GEK654211 FUO654206:FUO654211 FKS654206:FKS654211 FAW654206:FAW654211 ERA654206:ERA654211 EHE654206:EHE654211 DXI654206:DXI654211 DNM654206:DNM654211 DDQ654206:DDQ654211 CTU654206:CTU654211 CJY654206:CJY654211 CAC654206:CAC654211 BQG654206:BQG654211 BGK654206:BGK654211 AWO654206:AWO654211 AMS654206:AMS654211 ACW654206:ACW654211 TA654206:TA654211 JE654206:JE654211 I654227:I654232 WVQ588670:WVQ588675 WLU588670:WLU588675 WBY588670:WBY588675 VSC588670:VSC588675 VIG588670:VIG588675 UYK588670:UYK588675 UOO588670:UOO588675 UES588670:UES588675 TUW588670:TUW588675 TLA588670:TLA588675 TBE588670:TBE588675 SRI588670:SRI588675 SHM588670:SHM588675 RXQ588670:RXQ588675 RNU588670:RNU588675 RDY588670:RDY588675 QUC588670:QUC588675 QKG588670:QKG588675 QAK588670:QAK588675 PQO588670:PQO588675 PGS588670:PGS588675 OWW588670:OWW588675 ONA588670:ONA588675 ODE588670:ODE588675 NTI588670:NTI588675 NJM588670:NJM588675 MZQ588670:MZQ588675 MPU588670:MPU588675 MFY588670:MFY588675 LWC588670:LWC588675 LMG588670:LMG588675 LCK588670:LCK588675 KSO588670:KSO588675 KIS588670:KIS588675 JYW588670:JYW588675 JPA588670:JPA588675 JFE588670:JFE588675 IVI588670:IVI588675 ILM588670:ILM588675 IBQ588670:IBQ588675 HRU588670:HRU588675 HHY588670:HHY588675 GYC588670:GYC588675 GOG588670:GOG588675 GEK588670:GEK588675 FUO588670:FUO588675 FKS588670:FKS588675 FAW588670:FAW588675 ERA588670:ERA588675 EHE588670:EHE588675 DXI588670:DXI588675 DNM588670:DNM588675 DDQ588670:DDQ588675 CTU588670:CTU588675 CJY588670:CJY588675 CAC588670:CAC588675 BQG588670:BQG588675 BGK588670:BGK588675 AWO588670:AWO588675 AMS588670:AMS588675 ACW588670:ACW588675 TA588670:TA588675 JE588670:JE588675 I588691:I588696 WVQ523134:WVQ523139 WLU523134:WLU523139 WBY523134:WBY523139 VSC523134:VSC523139 VIG523134:VIG523139 UYK523134:UYK523139 UOO523134:UOO523139 UES523134:UES523139 TUW523134:TUW523139 TLA523134:TLA523139 TBE523134:TBE523139 SRI523134:SRI523139 SHM523134:SHM523139 RXQ523134:RXQ523139 RNU523134:RNU523139 RDY523134:RDY523139 QUC523134:QUC523139 QKG523134:QKG523139 QAK523134:QAK523139 PQO523134:PQO523139 PGS523134:PGS523139 OWW523134:OWW523139 ONA523134:ONA523139 ODE523134:ODE523139 NTI523134:NTI523139 NJM523134:NJM523139 MZQ523134:MZQ523139 MPU523134:MPU523139 MFY523134:MFY523139 LWC523134:LWC523139 LMG523134:LMG523139 LCK523134:LCK523139 KSO523134:KSO523139 KIS523134:KIS523139 JYW523134:JYW523139 JPA523134:JPA523139 JFE523134:JFE523139 IVI523134:IVI523139 ILM523134:ILM523139 IBQ523134:IBQ523139 HRU523134:HRU523139 HHY523134:HHY523139 GYC523134:GYC523139 GOG523134:GOG523139 GEK523134:GEK523139 FUO523134:FUO523139 FKS523134:FKS523139 FAW523134:FAW523139 ERA523134:ERA523139 EHE523134:EHE523139 DXI523134:DXI523139 DNM523134:DNM523139 DDQ523134:DDQ523139 CTU523134:CTU523139 CJY523134:CJY523139 CAC523134:CAC523139 BQG523134:BQG523139 BGK523134:BGK523139 AWO523134:AWO523139 AMS523134:AMS523139 ACW523134:ACW523139 TA523134:TA523139 JE523134:JE523139 I523155:I523160 WVQ457598:WVQ457603 WLU457598:WLU457603 WBY457598:WBY457603 VSC457598:VSC457603 VIG457598:VIG457603 UYK457598:UYK457603 UOO457598:UOO457603 UES457598:UES457603 TUW457598:TUW457603 TLA457598:TLA457603 TBE457598:TBE457603 SRI457598:SRI457603 SHM457598:SHM457603 RXQ457598:RXQ457603 RNU457598:RNU457603 RDY457598:RDY457603 QUC457598:QUC457603 QKG457598:QKG457603 QAK457598:QAK457603 PQO457598:PQO457603 PGS457598:PGS457603 OWW457598:OWW457603 ONA457598:ONA457603 ODE457598:ODE457603 NTI457598:NTI457603 NJM457598:NJM457603 MZQ457598:MZQ457603 MPU457598:MPU457603 MFY457598:MFY457603 LWC457598:LWC457603 LMG457598:LMG457603 LCK457598:LCK457603 KSO457598:KSO457603 KIS457598:KIS457603 JYW457598:JYW457603 JPA457598:JPA457603 JFE457598:JFE457603 IVI457598:IVI457603 ILM457598:ILM457603 IBQ457598:IBQ457603 HRU457598:HRU457603 HHY457598:HHY457603 GYC457598:GYC457603 GOG457598:GOG457603 GEK457598:GEK457603 FUO457598:FUO457603 FKS457598:FKS457603 FAW457598:FAW457603 ERA457598:ERA457603 EHE457598:EHE457603 DXI457598:DXI457603 DNM457598:DNM457603 DDQ457598:DDQ457603 CTU457598:CTU457603 CJY457598:CJY457603 CAC457598:CAC457603 BQG457598:BQG457603 BGK457598:BGK457603 AWO457598:AWO457603 AMS457598:AMS457603 ACW457598:ACW457603 TA457598:TA457603 JE457598:JE457603 I457619:I457624 WVQ392062:WVQ392067 WLU392062:WLU392067 WBY392062:WBY392067 VSC392062:VSC392067 VIG392062:VIG392067 UYK392062:UYK392067 UOO392062:UOO392067 UES392062:UES392067 TUW392062:TUW392067 TLA392062:TLA392067 TBE392062:TBE392067 SRI392062:SRI392067 SHM392062:SHM392067 RXQ392062:RXQ392067 RNU392062:RNU392067 RDY392062:RDY392067 QUC392062:QUC392067 QKG392062:QKG392067 QAK392062:QAK392067 PQO392062:PQO392067 PGS392062:PGS392067 OWW392062:OWW392067 ONA392062:ONA392067 ODE392062:ODE392067 NTI392062:NTI392067 NJM392062:NJM392067 MZQ392062:MZQ392067 MPU392062:MPU392067 MFY392062:MFY392067 LWC392062:LWC392067 LMG392062:LMG392067 LCK392062:LCK392067 KSO392062:KSO392067 KIS392062:KIS392067 JYW392062:JYW392067 JPA392062:JPA392067 JFE392062:JFE392067 IVI392062:IVI392067 ILM392062:ILM392067 IBQ392062:IBQ392067 HRU392062:HRU392067 HHY392062:HHY392067 GYC392062:GYC392067 GOG392062:GOG392067 GEK392062:GEK392067 FUO392062:FUO392067 FKS392062:FKS392067 FAW392062:FAW392067 ERA392062:ERA392067 EHE392062:EHE392067 DXI392062:DXI392067 DNM392062:DNM392067 DDQ392062:DDQ392067 CTU392062:CTU392067 CJY392062:CJY392067 CAC392062:CAC392067 BQG392062:BQG392067 BGK392062:BGK392067 AWO392062:AWO392067 AMS392062:AMS392067 ACW392062:ACW392067 TA392062:TA392067 JE392062:JE392067 I392083:I392088 WVQ326526:WVQ326531 WLU326526:WLU326531 WBY326526:WBY326531 VSC326526:VSC326531 VIG326526:VIG326531 UYK326526:UYK326531 UOO326526:UOO326531 UES326526:UES326531 TUW326526:TUW326531 TLA326526:TLA326531 TBE326526:TBE326531 SRI326526:SRI326531 SHM326526:SHM326531 RXQ326526:RXQ326531 RNU326526:RNU326531 RDY326526:RDY326531 QUC326526:QUC326531 QKG326526:QKG326531 QAK326526:QAK326531 PQO326526:PQO326531 PGS326526:PGS326531 OWW326526:OWW326531 ONA326526:ONA326531 ODE326526:ODE326531 NTI326526:NTI326531 NJM326526:NJM326531 MZQ326526:MZQ326531 MPU326526:MPU326531 MFY326526:MFY326531 LWC326526:LWC326531 LMG326526:LMG326531 LCK326526:LCK326531 KSO326526:KSO326531 KIS326526:KIS326531 JYW326526:JYW326531 JPA326526:JPA326531 JFE326526:JFE326531 IVI326526:IVI326531 ILM326526:ILM326531 IBQ326526:IBQ326531 HRU326526:HRU326531 HHY326526:HHY326531 GYC326526:GYC326531 GOG326526:GOG326531 GEK326526:GEK326531 FUO326526:FUO326531 FKS326526:FKS326531 FAW326526:FAW326531 ERA326526:ERA326531 EHE326526:EHE326531 DXI326526:DXI326531 DNM326526:DNM326531 DDQ326526:DDQ326531 CTU326526:CTU326531 CJY326526:CJY326531 CAC326526:CAC326531 BQG326526:BQG326531 BGK326526:BGK326531 AWO326526:AWO326531 AMS326526:AMS326531 ACW326526:ACW326531 TA326526:TA326531 JE326526:JE326531 I326547:I326552 WVQ260990:WVQ260995 WLU260990:WLU260995 WBY260990:WBY260995 VSC260990:VSC260995 VIG260990:VIG260995 UYK260990:UYK260995 UOO260990:UOO260995 UES260990:UES260995 TUW260990:TUW260995 TLA260990:TLA260995 TBE260990:TBE260995 SRI260990:SRI260995 SHM260990:SHM260995 RXQ260990:RXQ260995 RNU260990:RNU260995 RDY260990:RDY260995 QUC260990:QUC260995 QKG260990:QKG260995 QAK260990:QAK260995 PQO260990:PQO260995 PGS260990:PGS260995 OWW260990:OWW260995 ONA260990:ONA260995 ODE260990:ODE260995 NTI260990:NTI260995 NJM260990:NJM260995 MZQ260990:MZQ260995 MPU260990:MPU260995 MFY260990:MFY260995 LWC260990:LWC260995 LMG260990:LMG260995 LCK260990:LCK260995 KSO260990:KSO260995 KIS260990:KIS260995 JYW260990:JYW260995 JPA260990:JPA260995 JFE260990:JFE260995 IVI260990:IVI260995 ILM260990:ILM260995 IBQ260990:IBQ260995 HRU260990:HRU260995 HHY260990:HHY260995 GYC260990:GYC260995 GOG260990:GOG260995 GEK260990:GEK260995 FUO260990:FUO260995 FKS260990:FKS260995 FAW260990:FAW260995 ERA260990:ERA260995 EHE260990:EHE260995 DXI260990:DXI260995 DNM260990:DNM260995 DDQ260990:DDQ260995 CTU260990:CTU260995 CJY260990:CJY260995 CAC260990:CAC260995 BQG260990:BQG260995 BGK260990:BGK260995 AWO260990:AWO260995 AMS260990:AMS260995 ACW260990:ACW260995 TA260990:TA260995 JE260990:JE260995 I261011:I261016 WVQ195454:WVQ195459 WLU195454:WLU195459 WBY195454:WBY195459 VSC195454:VSC195459 VIG195454:VIG195459 UYK195454:UYK195459 UOO195454:UOO195459 UES195454:UES195459 TUW195454:TUW195459 TLA195454:TLA195459 TBE195454:TBE195459 SRI195454:SRI195459 SHM195454:SHM195459 RXQ195454:RXQ195459 RNU195454:RNU195459 RDY195454:RDY195459 QUC195454:QUC195459 QKG195454:QKG195459 QAK195454:QAK195459 PQO195454:PQO195459 PGS195454:PGS195459 OWW195454:OWW195459 ONA195454:ONA195459 ODE195454:ODE195459 NTI195454:NTI195459 NJM195454:NJM195459 MZQ195454:MZQ195459 MPU195454:MPU195459 MFY195454:MFY195459 LWC195454:LWC195459 LMG195454:LMG195459 LCK195454:LCK195459 KSO195454:KSO195459 KIS195454:KIS195459 JYW195454:JYW195459 JPA195454:JPA195459 JFE195454:JFE195459 IVI195454:IVI195459 ILM195454:ILM195459 IBQ195454:IBQ195459 HRU195454:HRU195459 HHY195454:HHY195459 GYC195454:GYC195459 GOG195454:GOG195459 GEK195454:GEK195459 FUO195454:FUO195459 FKS195454:FKS195459 FAW195454:FAW195459 ERA195454:ERA195459 EHE195454:EHE195459 DXI195454:DXI195459 DNM195454:DNM195459 DDQ195454:DDQ195459 CTU195454:CTU195459 CJY195454:CJY195459 CAC195454:CAC195459 BQG195454:BQG195459 BGK195454:BGK195459 AWO195454:AWO195459 AMS195454:AMS195459 ACW195454:ACW195459 TA195454:TA195459 JE195454:JE195459 I195475:I195480 WVQ129918:WVQ129923 WLU129918:WLU129923 WBY129918:WBY129923 VSC129918:VSC129923 VIG129918:VIG129923 UYK129918:UYK129923 UOO129918:UOO129923 UES129918:UES129923 TUW129918:TUW129923 TLA129918:TLA129923 TBE129918:TBE129923 SRI129918:SRI129923 SHM129918:SHM129923 RXQ129918:RXQ129923 RNU129918:RNU129923 RDY129918:RDY129923 QUC129918:QUC129923 QKG129918:QKG129923 QAK129918:QAK129923 PQO129918:PQO129923 PGS129918:PGS129923 OWW129918:OWW129923 ONA129918:ONA129923 ODE129918:ODE129923 NTI129918:NTI129923 NJM129918:NJM129923 MZQ129918:MZQ129923 MPU129918:MPU129923 MFY129918:MFY129923 LWC129918:LWC129923 LMG129918:LMG129923 LCK129918:LCK129923 KSO129918:KSO129923 KIS129918:KIS129923 JYW129918:JYW129923 JPA129918:JPA129923 JFE129918:JFE129923 IVI129918:IVI129923 ILM129918:ILM129923 IBQ129918:IBQ129923 HRU129918:HRU129923 HHY129918:HHY129923 GYC129918:GYC129923 GOG129918:GOG129923 GEK129918:GEK129923 FUO129918:FUO129923 FKS129918:FKS129923 FAW129918:FAW129923 ERA129918:ERA129923 EHE129918:EHE129923 DXI129918:DXI129923 DNM129918:DNM129923 DDQ129918:DDQ129923 CTU129918:CTU129923 CJY129918:CJY129923 CAC129918:CAC129923 BQG129918:BQG129923 BGK129918:BGK129923 AWO129918:AWO129923 AMS129918:AMS129923 ACW129918:ACW129923 TA129918:TA129923 JE129918:JE129923 I129939:I129944 WVQ64382:WVQ64387 WLU64382:WLU64387 WBY64382:WBY64387 VSC64382:VSC64387 VIG64382:VIG64387 UYK64382:UYK64387 UOO64382:UOO64387 UES64382:UES64387 TUW64382:TUW64387 TLA64382:TLA64387 TBE64382:TBE64387 SRI64382:SRI64387 SHM64382:SHM64387 RXQ64382:RXQ64387 RNU64382:RNU64387 RDY64382:RDY64387 QUC64382:QUC64387 QKG64382:QKG64387 QAK64382:QAK64387 PQO64382:PQO64387 PGS64382:PGS64387 OWW64382:OWW64387 ONA64382:ONA64387 ODE64382:ODE64387 NTI64382:NTI64387 NJM64382:NJM64387 MZQ64382:MZQ64387 MPU64382:MPU64387 MFY64382:MFY64387 LWC64382:LWC64387 LMG64382:LMG64387 LCK64382:LCK64387 KSO64382:KSO64387 KIS64382:KIS64387 JYW64382:JYW64387 JPA64382:JPA64387 JFE64382:JFE64387 IVI64382:IVI64387 ILM64382:ILM64387 IBQ64382:IBQ64387 HRU64382:HRU64387 HHY64382:HHY64387 GYC64382:GYC64387 GOG64382:GOG64387 GEK64382:GEK64387 FUO64382:FUO64387 FKS64382:FKS64387 FAW64382:FAW64387 ERA64382:ERA64387 EHE64382:EHE64387 DXI64382:DXI64387 DNM64382:DNM64387 DDQ64382:DDQ64387 CTU64382:CTU64387 CJY64382:CJY64387 CAC64382:CAC64387 BQG64382:BQG64387 BGK64382:BGK64387 AWO64382:AWO64387 AMS64382:AMS64387 ACW64382:ACW64387 TA64382:TA64387 JE64382:JE64387">
      <formula1>$AN$8:$AN$9</formula1>
    </dataValidation>
    <dataValidation type="list" allowBlank="1" showInputMessage="1" showErrorMessage="1" sqref="WVS981802:WVS981891 WVS2:WVS70 WLW2:WLW70 WCA2:WCA70 VSE2:VSE70 VII2:VII70 UYM2:UYM70 UOQ2:UOQ70 UEU2:UEU70 TUY2:TUY70 TLC2:TLC70 TBG2:TBG70 SRK2:SRK70 SHO2:SHO70 RXS2:RXS70 RNW2:RNW70 REA2:REA70 QUE2:QUE70 QKI2:QKI70 QAM2:QAM70 PQQ2:PQQ70 PGU2:PGU70 OWY2:OWY70 ONC2:ONC70 ODG2:ODG70 NTK2:NTK70 NJO2:NJO70 MZS2:MZS70 MPW2:MPW70 MGA2:MGA70 LWE2:LWE70 LMI2:LMI70 LCM2:LCM70 KSQ2:KSQ70 KIU2:KIU70 JYY2:JYY70 JPC2:JPC70 JFG2:JFG70 IVK2:IVK70 ILO2:ILO70 IBS2:IBS70 HRW2:HRW70 HIA2:HIA70 GYE2:GYE70 GOI2:GOI70 GEM2:GEM70 FUQ2:FUQ70 FKU2:FKU70 FAY2:FAY70 ERC2:ERC70 EHG2:EHG70 DXK2:DXK70 DNO2:DNO70 DDS2:DDS70 CTW2:CTW70 CKA2:CKA70 CAE2:CAE70 BQI2:BQI70 BGM2:BGM70 AWQ2:AWQ70 AMU2:AMU70 ACY2:ACY70 TC2:TC70 JG2:JG70 K64307:K64396 JG64298:JG64387 TC64298:TC64387 ACY64298:ACY64387 AMU64298:AMU64387 AWQ64298:AWQ64387 BGM64298:BGM64387 BQI64298:BQI64387 CAE64298:CAE64387 CKA64298:CKA64387 CTW64298:CTW64387 DDS64298:DDS64387 DNO64298:DNO64387 DXK64298:DXK64387 EHG64298:EHG64387 ERC64298:ERC64387 FAY64298:FAY64387 FKU64298:FKU64387 FUQ64298:FUQ64387 GEM64298:GEM64387 GOI64298:GOI64387 GYE64298:GYE64387 HIA64298:HIA64387 HRW64298:HRW64387 IBS64298:IBS64387 ILO64298:ILO64387 IVK64298:IVK64387 JFG64298:JFG64387 JPC64298:JPC64387 JYY64298:JYY64387 KIU64298:KIU64387 KSQ64298:KSQ64387 LCM64298:LCM64387 LMI64298:LMI64387 LWE64298:LWE64387 MGA64298:MGA64387 MPW64298:MPW64387 MZS64298:MZS64387 NJO64298:NJO64387 NTK64298:NTK64387 ODG64298:ODG64387 ONC64298:ONC64387 OWY64298:OWY64387 PGU64298:PGU64387 PQQ64298:PQQ64387 QAM64298:QAM64387 QKI64298:QKI64387 QUE64298:QUE64387 REA64298:REA64387 RNW64298:RNW64387 RXS64298:RXS64387 SHO64298:SHO64387 SRK64298:SRK64387 TBG64298:TBG64387 TLC64298:TLC64387 TUY64298:TUY64387 UEU64298:UEU64387 UOQ64298:UOQ64387 UYM64298:UYM64387 VII64298:VII64387 VSE64298:VSE64387 WCA64298:WCA64387 WLW64298:WLW64387 WVS64298:WVS64387 K129843:K129932 JG129834:JG129923 TC129834:TC129923 ACY129834:ACY129923 AMU129834:AMU129923 AWQ129834:AWQ129923 BGM129834:BGM129923 BQI129834:BQI129923 CAE129834:CAE129923 CKA129834:CKA129923 CTW129834:CTW129923 DDS129834:DDS129923 DNO129834:DNO129923 DXK129834:DXK129923 EHG129834:EHG129923 ERC129834:ERC129923 FAY129834:FAY129923 FKU129834:FKU129923 FUQ129834:FUQ129923 GEM129834:GEM129923 GOI129834:GOI129923 GYE129834:GYE129923 HIA129834:HIA129923 HRW129834:HRW129923 IBS129834:IBS129923 ILO129834:ILO129923 IVK129834:IVK129923 JFG129834:JFG129923 JPC129834:JPC129923 JYY129834:JYY129923 KIU129834:KIU129923 KSQ129834:KSQ129923 LCM129834:LCM129923 LMI129834:LMI129923 LWE129834:LWE129923 MGA129834:MGA129923 MPW129834:MPW129923 MZS129834:MZS129923 NJO129834:NJO129923 NTK129834:NTK129923 ODG129834:ODG129923 ONC129834:ONC129923 OWY129834:OWY129923 PGU129834:PGU129923 PQQ129834:PQQ129923 QAM129834:QAM129923 QKI129834:QKI129923 QUE129834:QUE129923 REA129834:REA129923 RNW129834:RNW129923 RXS129834:RXS129923 SHO129834:SHO129923 SRK129834:SRK129923 TBG129834:TBG129923 TLC129834:TLC129923 TUY129834:TUY129923 UEU129834:UEU129923 UOQ129834:UOQ129923 UYM129834:UYM129923 VII129834:VII129923 VSE129834:VSE129923 WCA129834:WCA129923 WLW129834:WLW129923 WVS129834:WVS129923 K195379:K195468 JG195370:JG195459 TC195370:TC195459 ACY195370:ACY195459 AMU195370:AMU195459 AWQ195370:AWQ195459 BGM195370:BGM195459 BQI195370:BQI195459 CAE195370:CAE195459 CKA195370:CKA195459 CTW195370:CTW195459 DDS195370:DDS195459 DNO195370:DNO195459 DXK195370:DXK195459 EHG195370:EHG195459 ERC195370:ERC195459 FAY195370:FAY195459 FKU195370:FKU195459 FUQ195370:FUQ195459 GEM195370:GEM195459 GOI195370:GOI195459 GYE195370:GYE195459 HIA195370:HIA195459 HRW195370:HRW195459 IBS195370:IBS195459 ILO195370:ILO195459 IVK195370:IVK195459 JFG195370:JFG195459 JPC195370:JPC195459 JYY195370:JYY195459 KIU195370:KIU195459 KSQ195370:KSQ195459 LCM195370:LCM195459 LMI195370:LMI195459 LWE195370:LWE195459 MGA195370:MGA195459 MPW195370:MPW195459 MZS195370:MZS195459 NJO195370:NJO195459 NTK195370:NTK195459 ODG195370:ODG195459 ONC195370:ONC195459 OWY195370:OWY195459 PGU195370:PGU195459 PQQ195370:PQQ195459 QAM195370:QAM195459 QKI195370:QKI195459 QUE195370:QUE195459 REA195370:REA195459 RNW195370:RNW195459 RXS195370:RXS195459 SHO195370:SHO195459 SRK195370:SRK195459 TBG195370:TBG195459 TLC195370:TLC195459 TUY195370:TUY195459 UEU195370:UEU195459 UOQ195370:UOQ195459 UYM195370:UYM195459 VII195370:VII195459 VSE195370:VSE195459 WCA195370:WCA195459 WLW195370:WLW195459 WVS195370:WVS195459 K260915:K261004 JG260906:JG260995 TC260906:TC260995 ACY260906:ACY260995 AMU260906:AMU260995 AWQ260906:AWQ260995 BGM260906:BGM260995 BQI260906:BQI260995 CAE260906:CAE260995 CKA260906:CKA260995 CTW260906:CTW260995 DDS260906:DDS260995 DNO260906:DNO260995 DXK260906:DXK260995 EHG260906:EHG260995 ERC260906:ERC260995 FAY260906:FAY260995 FKU260906:FKU260995 FUQ260906:FUQ260995 GEM260906:GEM260995 GOI260906:GOI260995 GYE260906:GYE260995 HIA260906:HIA260995 HRW260906:HRW260995 IBS260906:IBS260995 ILO260906:ILO260995 IVK260906:IVK260995 JFG260906:JFG260995 JPC260906:JPC260995 JYY260906:JYY260995 KIU260906:KIU260995 KSQ260906:KSQ260995 LCM260906:LCM260995 LMI260906:LMI260995 LWE260906:LWE260995 MGA260906:MGA260995 MPW260906:MPW260995 MZS260906:MZS260995 NJO260906:NJO260995 NTK260906:NTK260995 ODG260906:ODG260995 ONC260906:ONC260995 OWY260906:OWY260995 PGU260906:PGU260995 PQQ260906:PQQ260995 QAM260906:QAM260995 QKI260906:QKI260995 QUE260906:QUE260995 REA260906:REA260995 RNW260906:RNW260995 RXS260906:RXS260995 SHO260906:SHO260995 SRK260906:SRK260995 TBG260906:TBG260995 TLC260906:TLC260995 TUY260906:TUY260995 UEU260906:UEU260995 UOQ260906:UOQ260995 UYM260906:UYM260995 VII260906:VII260995 VSE260906:VSE260995 WCA260906:WCA260995 WLW260906:WLW260995 WVS260906:WVS260995 K326451:K326540 JG326442:JG326531 TC326442:TC326531 ACY326442:ACY326531 AMU326442:AMU326531 AWQ326442:AWQ326531 BGM326442:BGM326531 BQI326442:BQI326531 CAE326442:CAE326531 CKA326442:CKA326531 CTW326442:CTW326531 DDS326442:DDS326531 DNO326442:DNO326531 DXK326442:DXK326531 EHG326442:EHG326531 ERC326442:ERC326531 FAY326442:FAY326531 FKU326442:FKU326531 FUQ326442:FUQ326531 GEM326442:GEM326531 GOI326442:GOI326531 GYE326442:GYE326531 HIA326442:HIA326531 HRW326442:HRW326531 IBS326442:IBS326531 ILO326442:ILO326531 IVK326442:IVK326531 JFG326442:JFG326531 JPC326442:JPC326531 JYY326442:JYY326531 KIU326442:KIU326531 KSQ326442:KSQ326531 LCM326442:LCM326531 LMI326442:LMI326531 LWE326442:LWE326531 MGA326442:MGA326531 MPW326442:MPW326531 MZS326442:MZS326531 NJO326442:NJO326531 NTK326442:NTK326531 ODG326442:ODG326531 ONC326442:ONC326531 OWY326442:OWY326531 PGU326442:PGU326531 PQQ326442:PQQ326531 QAM326442:QAM326531 QKI326442:QKI326531 QUE326442:QUE326531 REA326442:REA326531 RNW326442:RNW326531 RXS326442:RXS326531 SHO326442:SHO326531 SRK326442:SRK326531 TBG326442:TBG326531 TLC326442:TLC326531 TUY326442:TUY326531 UEU326442:UEU326531 UOQ326442:UOQ326531 UYM326442:UYM326531 VII326442:VII326531 VSE326442:VSE326531 WCA326442:WCA326531 WLW326442:WLW326531 WVS326442:WVS326531 K391987:K392076 JG391978:JG392067 TC391978:TC392067 ACY391978:ACY392067 AMU391978:AMU392067 AWQ391978:AWQ392067 BGM391978:BGM392067 BQI391978:BQI392067 CAE391978:CAE392067 CKA391978:CKA392067 CTW391978:CTW392067 DDS391978:DDS392067 DNO391978:DNO392067 DXK391978:DXK392067 EHG391978:EHG392067 ERC391978:ERC392067 FAY391978:FAY392067 FKU391978:FKU392067 FUQ391978:FUQ392067 GEM391978:GEM392067 GOI391978:GOI392067 GYE391978:GYE392067 HIA391978:HIA392067 HRW391978:HRW392067 IBS391978:IBS392067 ILO391978:ILO392067 IVK391978:IVK392067 JFG391978:JFG392067 JPC391978:JPC392067 JYY391978:JYY392067 KIU391978:KIU392067 KSQ391978:KSQ392067 LCM391978:LCM392067 LMI391978:LMI392067 LWE391978:LWE392067 MGA391978:MGA392067 MPW391978:MPW392067 MZS391978:MZS392067 NJO391978:NJO392067 NTK391978:NTK392067 ODG391978:ODG392067 ONC391978:ONC392067 OWY391978:OWY392067 PGU391978:PGU392067 PQQ391978:PQQ392067 QAM391978:QAM392067 QKI391978:QKI392067 QUE391978:QUE392067 REA391978:REA392067 RNW391978:RNW392067 RXS391978:RXS392067 SHO391978:SHO392067 SRK391978:SRK392067 TBG391978:TBG392067 TLC391978:TLC392067 TUY391978:TUY392067 UEU391978:UEU392067 UOQ391978:UOQ392067 UYM391978:UYM392067 VII391978:VII392067 VSE391978:VSE392067 WCA391978:WCA392067 WLW391978:WLW392067 WVS391978:WVS392067 K457523:K457612 JG457514:JG457603 TC457514:TC457603 ACY457514:ACY457603 AMU457514:AMU457603 AWQ457514:AWQ457603 BGM457514:BGM457603 BQI457514:BQI457603 CAE457514:CAE457603 CKA457514:CKA457603 CTW457514:CTW457603 DDS457514:DDS457603 DNO457514:DNO457603 DXK457514:DXK457603 EHG457514:EHG457603 ERC457514:ERC457603 FAY457514:FAY457603 FKU457514:FKU457603 FUQ457514:FUQ457603 GEM457514:GEM457603 GOI457514:GOI457603 GYE457514:GYE457603 HIA457514:HIA457603 HRW457514:HRW457603 IBS457514:IBS457603 ILO457514:ILO457603 IVK457514:IVK457603 JFG457514:JFG457603 JPC457514:JPC457603 JYY457514:JYY457603 KIU457514:KIU457603 KSQ457514:KSQ457603 LCM457514:LCM457603 LMI457514:LMI457603 LWE457514:LWE457603 MGA457514:MGA457603 MPW457514:MPW457603 MZS457514:MZS457603 NJO457514:NJO457603 NTK457514:NTK457603 ODG457514:ODG457603 ONC457514:ONC457603 OWY457514:OWY457603 PGU457514:PGU457603 PQQ457514:PQQ457603 QAM457514:QAM457603 QKI457514:QKI457603 QUE457514:QUE457603 REA457514:REA457603 RNW457514:RNW457603 RXS457514:RXS457603 SHO457514:SHO457603 SRK457514:SRK457603 TBG457514:TBG457603 TLC457514:TLC457603 TUY457514:TUY457603 UEU457514:UEU457603 UOQ457514:UOQ457603 UYM457514:UYM457603 VII457514:VII457603 VSE457514:VSE457603 WCA457514:WCA457603 WLW457514:WLW457603 WVS457514:WVS457603 K523059:K523148 JG523050:JG523139 TC523050:TC523139 ACY523050:ACY523139 AMU523050:AMU523139 AWQ523050:AWQ523139 BGM523050:BGM523139 BQI523050:BQI523139 CAE523050:CAE523139 CKA523050:CKA523139 CTW523050:CTW523139 DDS523050:DDS523139 DNO523050:DNO523139 DXK523050:DXK523139 EHG523050:EHG523139 ERC523050:ERC523139 FAY523050:FAY523139 FKU523050:FKU523139 FUQ523050:FUQ523139 GEM523050:GEM523139 GOI523050:GOI523139 GYE523050:GYE523139 HIA523050:HIA523139 HRW523050:HRW523139 IBS523050:IBS523139 ILO523050:ILO523139 IVK523050:IVK523139 JFG523050:JFG523139 JPC523050:JPC523139 JYY523050:JYY523139 KIU523050:KIU523139 KSQ523050:KSQ523139 LCM523050:LCM523139 LMI523050:LMI523139 LWE523050:LWE523139 MGA523050:MGA523139 MPW523050:MPW523139 MZS523050:MZS523139 NJO523050:NJO523139 NTK523050:NTK523139 ODG523050:ODG523139 ONC523050:ONC523139 OWY523050:OWY523139 PGU523050:PGU523139 PQQ523050:PQQ523139 QAM523050:QAM523139 QKI523050:QKI523139 QUE523050:QUE523139 REA523050:REA523139 RNW523050:RNW523139 RXS523050:RXS523139 SHO523050:SHO523139 SRK523050:SRK523139 TBG523050:TBG523139 TLC523050:TLC523139 TUY523050:TUY523139 UEU523050:UEU523139 UOQ523050:UOQ523139 UYM523050:UYM523139 VII523050:VII523139 VSE523050:VSE523139 WCA523050:WCA523139 WLW523050:WLW523139 WVS523050:WVS523139 K588595:K588684 JG588586:JG588675 TC588586:TC588675 ACY588586:ACY588675 AMU588586:AMU588675 AWQ588586:AWQ588675 BGM588586:BGM588675 BQI588586:BQI588675 CAE588586:CAE588675 CKA588586:CKA588675 CTW588586:CTW588675 DDS588586:DDS588675 DNO588586:DNO588675 DXK588586:DXK588675 EHG588586:EHG588675 ERC588586:ERC588675 FAY588586:FAY588675 FKU588586:FKU588675 FUQ588586:FUQ588675 GEM588586:GEM588675 GOI588586:GOI588675 GYE588586:GYE588675 HIA588586:HIA588675 HRW588586:HRW588675 IBS588586:IBS588675 ILO588586:ILO588675 IVK588586:IVK588675 JFG588586:JFG588675 JPC588586:JPC588675 JYY588586:JYY588675 KIU588586:KIU588675 KSQ588586:KSQ588675 LCM588586:LCM588675 LMI588586:LMI588675 LWE588586:LWE588675 MGA588586:MGA588675 MPW588586:MPW588675 MZS588586:MZS588675 NJO588586:NJO588675 NTK588586:NTK588675 ODG588586:ODG588675 ONC588586:ONC588675 OWY588586:OWY588675 PGU588586:PGU588675 PQQ588586:PQQ588675 QAM588586:QAM588675 QKI588586:QKI588675 QUE588586:QUE588675 REA588586:REA588675 RNW588586:RNW588675 RXS588586:RXS588675 SHO588586:SHO588675 SRK588586:SRK588675 TBG588586:TBG588675 TLC588586:TLC588675 TUY588586:TUY588675 UEU588586:UEU588675 UOQ588586:UOQ588675 UYM588586:UYM588675 VII588586:VII588675 VSE588586:VSE588675 WCA588586:WCA588675 WLW588586:WLW588675 WVS588586:WVS588675 K654131:K654220 JG654122:JG654211 TC654122:TC654211 ACY654122:ACY654211 AMU654122:AMU654211 AWQ654122:AWQ654211 BGM654122:BGM654211 BQI654122:BQI654211 CAE654122:CAE654211 CKA654122:CKA654211 CTW654122:CTW654211 DDS654122:DDS654211 DNO654122:DNO654211 DXK654122:DXK654211 EHG654122:EHG654211 ERC654122:ERC654211 FAY654122:FAY654211 FKU654122:FKU654211 FUQ654122:FUQ654211 GEM654122:GEM654211 GOI654122:GOI654211 GYE654122:GYE654211 HIA654122:HIA654211 HRW654122:HRW654211 IBS654122:IBS654211 ILO654122:ILO654211 IVK654122:IVK654211 JFG654122:JFG654211 JPC654122:JPC654211 JYY654122:JYY654211 KIU654122:KIU654211 KSQ654122:KSQ654211 LCM654122:LCM654211 LMI654122:LMI654211 LWE654122:LWE654211 MGA654122:MGA654211 MPW654122:MPW654211 MZS654122:MZS654211 NJO654122:NJO654211 NTK654122:NTK654211 ODG654122:ODG654211 ONC654122:ONC654211 OWY654122:OWY654211 PGU654122:PGU654211 PQQ654122:PQQ654211 QAM654122:QAM654211 QKI654122:QKI654211 QUE654122:QUE654211 REA654122:REA654211 RNW654122:RNW654211 RXS654122:RXS654211 SHO654122:SHO654211 SRK654122:SRK654211 TBG654122:TBG654211 TLC654122:TLC654211 TUY654122:TUY654211 UEU654122:UEU654211 UOQ654122:UOQ654211 UYM654122:UYM654211 VII654122:VII654211 VSE654122:VSE654211 WCA654122:WCA654211 WLW654122:WLW654211 WVS654122:WVS654211 K719667:K719756 JG719658:JG719747 TC719658:TC719747 ACY719658:ACY719747 AMU719658:AMU719747 AWQ719658:AWQ719747 BGM719658:BGM719747 BQI719658:BQI719747 CAE719658:CAE719747 CKA719658:CKA719747 CTW719658:CTW719747 DDS719658:DDS719747 DNO719658:DNO719747 DXK719658:DXK719747 EHG719658:EHG719747 ERC719658:ERC719747 FAY719658:FAY719747 FKU719658:FKU719747 FUQ719658:FUQ719747 GEM719658:GEM719747 GOI719658:GOI719747 GYE719658:GYE719747 HIA719658:HIA719747 HRW719658:HRW719747 IBS719658:IBS719747 ILO719658:ILO719747 IVK719658:IVK719747 JFG719658:JFG719747 JPC719658:JPC719747 JYY719658:JYY719747 KIU719658:KIU719747 KSQ719658:KSQ719747 LCM719658:LCM719747 LMI719658:LMI719747 LWE719658:LWE719747 MGA719658:MGA719747 MPW719658:MPW719747 MZS719658:MZS719747 NJO719658:NJO719747 NTK719658:NTK719747 ODG719658:ODG719747 ONC719658:ONC719747 OWY719658:OWY719747 PGU719658:PGU719747 PQQ719658:PQQ719747 QAM719658:QAM719747 QKI719658:QKI719747 QUE719658:QUE719747 REA719658:REA719747 RNW719658:RNW719747 RXS719658:RXS719747 SHO719658:SHO719747 SRK719658:SRK719747 TBG719658:TBG719747 TLC719658:TLC719747 TUY719658:TUY719747 UEU719658:UEU719747 UOQ719658:UOQ719747 UYM719658:UYM719747 VII719658:VII719747 VSE719658:VSE719747 WCA719658:WCA719747 WLW719658:WLW719747 WVS719658:WVS719747 K785203:K785292 JG785194:JG785283 TC785194:TC785283 ACY785194:ACY785283 AMU785194:AMU785283 AWQ785194:AWQ785283 BGM785194:BGM785283 BQI785194:BQI785283 CAE785194:CAE785283 CKA785194:CKA785283 CTW785194:CTW785283 DDS785194:DDS785283 DNO785194:DNO785283 DXK785194:DXK785283 EHG785194:EHG785283 ERC785194:ERC785283 FAY785194:FAY785283 FKU785194:FKU785283 FUQ785194:FUQ785283 GEM785194:GEM785283 GOI785194:GOI785283 GYE785194:GYE785283 HIA785194:HIA785283 HRW785194:HRW785283 IBS785194:IBS785283 ILO785194:ILO785283 IVK785194:IVK785283 JFG785194:JFG785283 JPC785194:JPC785283 JYY785194:JYY785283 KIU785194:KIU785283 KSQ785194:KSQ785283 LCM785194:LCM785283 LMI785194:LMI785283 LWE785194:LWE785283 MGA785194:MGA785283 MPW785194:MPW785283 MZS785194:MZS785283 NJO785194:NJO785283 NTK785194:NTK785283 ODG785194:ODG785283 ONC785194:ONC785283 OWY785194:OWY785283 PGU785194:PGU785283 PQQ785194:PQQ785283 QAM785194:QAM785283 QKI785194:QKI785283 QUE785194:QUE785283 REA785194:REA785283 RNW785194:RNW785283 RXS785194:RXS785283 SHO785194:SHO785283 SRK785194:SRK785283 TBG785194:TBG785283 TLC785194:TLC785283 TUY785194:TUY785283 UEU785194:UEU785283 UOQ785194:UOQ785283 UYM785194:UYM785283 VII785194:VII785283 VSE785194:VSE785283 WCA785194:WCA785283 WLW785194:WLW785283 WVS785194:WVS785283 K850739:K850828 JG850730:JG850819 TC850730:TC850819 ACY850730:ACY850819 AMU850730:AMU850819 AWQ850730:AWQ850819 BGM850730:BGM850819 BQI850730:BQI850819 CAE850730:CAE850819 CKA850730:CKA850819 CTW850730:CTW850819 DDS850730:DDS850819 DNO850730:DNO850819 DXK850730:DXK850819 EHG850730:EHG850819 ERC850730:ERC850819 FAY850730:FAY850819 FKU850730:FKU850819 FUQ850730:FUQ850819 GEM850730:GEM850819 GOI850730:GOI850819 GYE850730:GYE850819 HIA850730:HIA850819 HRW850730:HRW850819 IBS850730:IBS850819 ILO850730:ILO850819 IVK850730:IVK850819 JFG850730:JFG850819 JPC850730:JPC850819 JYY850730:JYY850819 KIU850730:KIU850819 KSQ850730:KSQ850819 LCM850730:LCM850819 LMI850730:LMI850819 LWE850730:LWE850819 MGA850730:MGA850819 MPW850730:MPW850819 MZS850730:MZS850819 NJO850730:NJO850819 NTK850730:NTK850819 ODG850730:ODG850819 ONC850730:ONC850819 OWY850730:OWY850819 PGU850730:PGU850819 PQQ850730:PQQ850819 QAM850730:QAM850819 QKI850730:QKI850819 QUE850730:QUE850819 REA850730:REA850819 RNW850730:RNW850819 RXS850730:RXS850819 SHO850730:SHO850819 SRK850730:SRK850819 TBG850730:TBG850819 TLC850730:TLC850819 TUY850730:TUY850819 UEU850730:UEU850819 UOQ850730:UOQ850819 UYM850730:UYM850819 VII850730:VII850819 VSE850730:VSE850819 WCA850730:WCA850819 WLW850730:WLW850819 WVS850730:WVS850819 K916275:K916364 JG916266:JG916355 TC916266:TC916355 ACY916266:ACY916355 AMU916266:AMU916355 AWQ916266:AWQ916355 BGM916266:BGM916355 BQI916266:BQI916355 CAE916266:CAE916355 CKA916266:CKA916355 CTW916266:CTW916355 DDS916266:DDS916355 DNO916266:DNO916355 DXK916266:DXK916355 EHG916266:EHG916355 ERC916266:ERC916355 FAY916266:FAY916355 FKU916266:FKU916355 FUQ916266:FUQ916355 GEM916266:GEM916355 GOI916266:GOI916355 GYE916266:GYE916355 HIA916266:HIA916355 HRW916266:HRW916355 IBS916266:IBS916355 ILO916266:ILO916355 IVK916266:IVK916355 JFG916266:JFG916355 JPC916266:JPC916355 JYY916266:JYY916355 KIU916266:KIU916355 KSQ916266:KSQ916355 LCM916266:LCM916355 LMI916266:LMI916355 LWE916266:LWE916355 MGA916266:MGA916355 MPW916266:MPW916355 MZS916266:MZS916355 NJO916266:NJO916355 NTK916266:NTK916355 ODG916266:ODG916355 ONC916266:ONC916355 OWY916266:OWY916355 PGU916266:PGU916355 PQQ916266:PQQ916355 QAM916266:QAM916355 QKI916266:QKI916355 QUE916266:QUE916355 REA916266:REA916355 RNW916266:RNW916355 RXS916266:RXS916355 SHO916266:SHO916355 SRK916266:SRK916355 TBG916266:TBG916355 TLC916266:TLC916355 TUY916266:TUY916355 UEU916266:UEU916355 UOQ916266:UOQ916355 UYM916266:UYM916355 VII916266:VII916355 VSE916266:VSE916355 WCA916266:WCA916355 WLW916266:WLW916355 WVS916266:WVS916355 K981811:K981900 JG981802:JG981891 TC981802:TC981891 ACY981802:ACY981891 AMU981802:AMU981891 AWQ981802:AWQ981891 BGM981802:BGM981891 BQI981802:BQI981891 CAE981802:CAE981891 CKA981802:CKA981891 CTW981802:CTW981891 DDS981802:DDS981891 DNO981802:DNO981891 DXK981802:DXK981891 EHG981802:EHG981891 ERC981802:ERC981891 FAY981802:FAY981891 FKU981802:FKU981891 FUQ981802:FUQ981891 GEM981802:GEM981891 GOI981802:GOI981891 GYE981802:GYE981891 HIA981802:HIA981891 HRW981802:HRW981891 IBS981802:IBS981891 ILO981802:ILO981891 IVK981802:IVK981891 JFG981802:JFG981891 JPC981802:JPC981891 JYY981802:JYY981891 KIU981802:KIU981891 KSQ981802:KSQ981891 LCM981802:LCM981891 LMI981802:LMI981891 LWE981802:LWE981891 MGA981802:MGA981891 MPW981802:MPW981891 MZS981802:MZS981891 NJO981802:NJO981891 NTK981802:NTK981891 ODG981802:ODG981891 ONC981802:ONC981891 OWY981802:OWY981891 PGU981802:PGU981891 PQQ981802:PQQ981891 QAM981802:QAM981891 QKI981802:QKI981891 QUE981802:QUE981891 REA981802:REA981891 RNW981802:RNW981891 RXS981802:RXS981891 SHO981802:SHO981891 SRK981802:SRK981891 TBG981802:TBG981891 TLC981802:TLC981891 TUY981802:TUY981891 UEU981802:UEU981891 UOQ981802:UOQ981891 UYM981802:UYM981891 VII981802:VII981891 VSE981802:VSE981891 WCA981802:WCA981891 WLW981802:WLW981891">
      <formula1>$AR$2:$AR$27</formula1>
    </dataValidation>
    <dataValidation type="list" allowBlank="1" showInputMessage="1" showErrorMessage="1" sqref="WVR981802:WVR981891 WLV981802:WLV981891 WBZ981802:WBZ981891 VSD981802:VSD981891 VIH981802:VIH981891 UYL981802:UYL981891 UOP981802:UOP981891 UET981802:UET981891 TUX981802:TUX981891 TLB981802:TLB981891 TBF981802:TBF981891 SRJ981802:SRJ981891 SHN981802:SHN981891 RXR981802:RXR981891 RNV981802:RNV981891 RDZ981802:RDZ981891 QUD981802:QUD981891 QKH981802:QKH981891 QAL981802:QAL981891 PQP981802:PQP981891 PGT981802:PGT981891 OWX981802:OWX981891 ONB981802:ONB981891 ODF981802:ODF981891 NTJ981802:NTJ981891 NJN981802:NJN981891 MZR981802:MZR981891 MPV981802:MPV981891 MFZ981802:MFZ981891 LWD981802:LWD981891 LMH981802:LMH981891 LCL981802:LCL981891 KSP981802:KSP981891 KIT981802:KIT981891 JYX981802:JYX981891 JPB981802:JPB981891 JFF981802:JFF981891 IVJ981802:IVJ981891 ILN981802:ILN981891 IBR981802:IBR981891 HRV981802:HRV981891 HHZ981802:HHZ981891 GYD981802:GYD981891 GOH981802:GOH981891 GEL981802:GEL981891 FUP981802:FUP981891 FKT981802:FKT981891 FAX981802:FAX981891 ERB981802:ERB981891 EHF981802:EHF981891 DXJ981802:DXJ981891 DNN981802:DNN981891 DDR981802:DDR981891 CTV981802:CTV981891 CJZ981802:CJZ981891 CAD981802:CAD981891 BQH981802:BQH981891 BGL981802:BGL981891 AWP981802:AWP981891 AMT981802:AMT981891 ACX981802:ACX981891 TB981802:TB981891 JF981802:JF981891 J981811:J981900 WVR916266:WVR916355 WLV916266:WLV916355 WBZ916266:WBZ916355 VSD916266:VSD916355 VIH916266:VIH916355 UYL916266:UYL916355 UOP916266:UOP916355 UET916266:UET916355 TUX916266:TUX916355 TLB916266:TLB916355 TBF916266:TBF916355 SRJ916266:SRJ916355 SHN916266:SHN916355 RXR916266:RXR916355 RNV916266:RNV916355 RDZ916266:RDZ916355 QUD916266:QUD916355 QKH916266:QKH916355 QAL916266:QAL916355 PQP916266:PQP916355 PGT916266:PGT916355 OWX916266:OWX916355 ONB916266:ONB916355 ODF916266:ODF916355 NTJ916266:NTJ916355 NJN916266:NJN916355 MZR916266:MZR916355 MPV916266:MPV916355 MFZ916266:MFZ916355 LWD916266:LWD916355 LMH916266:LMH916355 LCL916266:LCL916355 KSP916266:KSP916355 KIT916266:KIT916355 JYX916266:JYX916355 JPB916266:JPB916355 JFF916266:JFF916355 IVJ916266:IVJ916355 ILN916266:ILN916355 IBR916266:IBR916355 HRV916266:HRV916355 HHZ916266:HHZ916355 GYD916266:GYD916355 GOH916266:GOH916355 GEL916266:GEL916355 FUP916266:FUP916355 FKT916266:FKT916355 FAX916266:FAX916355 ERB916266:ERB916355 EHF916266:EHF916355 DXJ916266:DXJ916355 DNN916266:DNN916355 DDR916266:DDR916355 CTV916266:CTV916355 CJZ916266:CJZ916355 CAD916266:CAD916355 BQH916266:BQH916355 BGL916266:BGL916355 AWP916266:AWP916355 AMT916266:AMT916355 ACX916266:ACX916355 TB916266:TB916355 JF916266:JF916355 J916275:J916364 WVR850730:WVR850819 WLV850730:WLV850819 WBZ850730:WBZ850819 VSD850730:VSD850819 VIH850730:VIH850819 UYL850730:UYL850819 UOP850730:UOP850819 UET850730:UET850819 TUX850730:TUX850819 TLB850730:TLB850819 TBF850730:TBF850819 SRJ850730:SRJ850819 SHN850730:SHN850819 RXR850730:RXR850819 RNV850730:RNV850819 RDZ850730:RDZ850819 QUD850730:QUD850819 QKH850730:QKH850819 QAL850730:QAL850819 PQP850730:PQP850819 PGT850730:PGT850819 OWX850730:OWX850819 ONB850730:ONB850819 ODF850730:ODF850819 NTJ850730:NTJ850819 NJN850730:NJN850819 MZR850730:MZR850819 MPV850730:MPV850819 MFZ850730:MFZ850819 LWD850730:LWD850819 LMH850730:LMH850819 LCL850730:LCL850819 KSP850730:KSP850819 KIT850730:KIT850819 JYX850730:JYX850819 JPB850730:JPB850819 JFF850730:JFF850819 IVJ850730:IVJ850819 ILN850730:ILN850819 IBR850730:IBR850819 HRV850730:HRV850819 HHZ850730:HHZ850819 GYD850730:GYD850819 GOH850730:GOH850819 GEL850730:GEL850819 FUP850730:FUP850819 FKT850730:FKT850819 FAX850730:FAX850819 ERB850730:ERB850819 EHF850730:EHF850819 DXJ850730:DXJ850819 DNN850730:DNN850819 DDR850730:DDR850819 CTV850730:CTV850819 CJZ850730:CJZ850819 CAD850730:CAD850819 BQH850730:BQH850819 BGL850730:BGL850819 AWP850730:AWP850819 AMT850730:AMT850819 ACX850730:ACX850819 TB850730:TB850819 JF850730:JF850819 J850739:J850828 WVR785194:WVR785283 WLV785194:WLV785283 WBZ785194:WBZ785283 VSD785194:VSD785283 VIH785194:VIH785283 UYL785194:UYL785283 UOP785194:UOP785283 UET785194:UET785283 TUX785194:TUX785283 TLB785194:TLB785283 TBF785194:TBF785283 SRJ785194:SRJ785283 SHN785194:SHN785283 RXR785194:RXR785283 RNV785194:RNV785283 RDZ785194:RDZ785283 QUD785194:QUD785283 QKH785194:QKH785283 QAL785194:QAL785283 PQP785194:PQP785283 PGT785194:PGT785283 OWX785194:OWX785283 ONB785194:ONB785283 ODF785194:ODF785283 NTJ785194:NTJ785283 NJN785194:NJN785283 MZR785194:MZR785283 MPV785194:MPV785283 MFZ785194:MFZ785283 LWD785194:LWD785283 LMH785194:LMH785283 LCL785194:LCL785283 KSP785194:KSP785283 KIT785194:KIT785283 JYX785194:JYX785283 JPB785194:JPB785283 JFF785194:JFF785283 IVJ785194:IVJ785283 ILN785194:ILN785283 IBR785194:IBR785283 HRV785194:HRV785283 HHZ785194:HHZ785283 GYD785194:GYD785283 GOH785194:GOH785283 GEL785194:GEL785283 FUP785194:FUP785283 FKT785194:FKT785283 FAX785194:FAX785283 ERB785194:ERB785283 EHF785194:EHF785283 DXJ785194:DXJ785283 DNN785194:DNN785283 DDR785194:DDR785283 CTV785194:CTV785283 CJZ785194:CJZ785283 CAD785194:CAD785283 BQH785194:BQH785283 BGL785194:BGL785283 AWP785194:AWP785283 AMT785194:AMT785283 ACX785194:ACX785283 TB785194:TB785283 JF785194:JF785283 J785203:J785292 WVR719658:WVR719747 WLV719658:WLV719747 WBZ719658:WBZ719747 VSD719658:VSD719747 VIH719658:VIH719747 UYL719658:UYL719747 UOP719658:UOP719747 UET719658:UET719747 TUX719658:TUX719747 TLB719658:TLB719747 TBF719658:TBF719747 SRJ719658:SRJ719747 SHN719658:SHN719747 RXR719658:RXR719747 RNV719658:RNV719747 RDZ719658:RDZ719747 QUD719658:QUD719747 QKH719658:QKH719747 QAL719658:QAL719747 PQP719658:PQP719747 PGT719658:PGT719747 OWX719658:OWX719747 ONB719658:ONB719747 ODF719658:ODF719747 NTJ719658:NTJ719747 NJN719658:NJN719747 MZR719658:MZR719747 MPV719658:MPV719747 MFZ719658:MFZ719747 LWD719658:LWD719747 LMH719658:LMH719747 LCL719658:LCL719747 KSP719658:KSP719747 KIT719658:KIT719747 JYX719658:JYX719747 JPB719658:JPB719747 JFF719658:JFF719747 IVJ719658:IVJ719747 ILN719658:ILN719747 IBR719658:IBR719747 HRV719658:HRV719747 HHZ719658:HHZ719747 GYD719658:GYD719747 GOH719658:GOH719747 GEL719658:GEL719747 FUP719658:FUP719747 FKT719658:FKT719747 FAX719658:FAX719747 ERB719658:ERB719747 EHF719658:EHF719747 DXJ719658:DXJ719747 DNN719658:DNN719747 DDR719658:DDR719747 CTV719658:CTV719747 CJZ719658:CJZ719747 CAD719658:CAD719747 BQH719658:BQH719747 BGL719658:BGL719747 AWP719658:AWP719747 AMT719658:AMT719747 ACX719658:ACX719747 TB719658:TB719747 JF719658:JF719747 J719667:J719756 WVR654122:WVR654211 WLV654122:WLV654211 WBZ654122:WBZ654211 VSD654122:VSD654211 VIH654122:VIH654211 UYL654122:UYL654211 UOP654122:UOP654211 UET654122:UET654211 TUX654122:TUX654211 TLB654122:TLB654211 TBF654122:TBF654211 SRJ654122:SRJ654211 SHN654122:SHN654211 RXR654122:RXR654211 RNV654122:RNV654211 RDZ654122:RDZ654211 QUD654122:QUD654211 QKH654122:QKH654211 QAL654122:QAL654211 PQP654122:PQP654211 PGT654122:PGT654211 OWX654122:OWX654211 ONB654122:ONB654211 ODF654122:ODF654211 NTJ654122:NTJ654211 NJN654122:NJN654211 MZR654122:MZR654211 MPV654122:MPV654211 MFZ654122:MFZ654211 LWD654122:LWD654211 LMH654122:LMH654211 LCL654122:LCL654211 KSP654122:KSP654211 KIT654122:KIT654211 JYX654122:JYX654211 JPB654122:JPB654211 JFF654122:JFF654211 IVJ654122:IVJ654211 ILN654122:ILN654211 IBR654122:IBR654211 HRV654122:HRV654211 HHZ654122:HHZ654211 GYD654122:GYD654211 GOH654122:GOH654211 GEL654122:GEL654211 FUP654122:FUP654211 FKT654122:FKT654211 FAX654122:FAX654211 ERB654122:ERB654211 EHF654122:EHF654211 DXJ654122:DXJ654211 DNN654122:DNN654211 DDR654122:DDR654211 CTV654122:CTV654211 CJZ654122:CJZ654211 CAD654122:CAD654211 BQH654122:BQH654211 BGL654122:BGL654211 AWP654122:AWP654211 AMT654122:AMT654211 ACX654122:ACX654211 TB654122:TB654211 JF654122:JF654211 J654131:J654220 WVR588586:WVR588675 WLV588586:WLV588675 WBZ588586:WBZ588675 VSD588586:VSD588675 VIH588586:VIH588675 UYL588586:UYL588675 UOP588586:UOP588675 UET588586:UET588675 TUX588586:TUX588675 TLB588586:TLB588675 TBF588586:TBF588675 SRJ588586:SRJ588675 SHN588586:SHN588675 RXR588586:RXR588675 RNV588586:RNV588675 RDZ588586:RDZ588675 QUD588586:QUD588675 QKH588586:QKH588675 QAL588586:QAL588675 PQP588586:PQP588675 PGT588586:PGT588675 OWX588586:OWX588675 ONB588586:ONB588675 ODF588586:ODF588675 NTJ588586:NTJ588675 NJN588586:NJN588675 MZR588586:MZR588675 MPV588586:MPV588675 MFZ588586:MFZ588675 LWD588586:LWD588675 LMH588586:LMH588675 LCL588586:LCL588675 KSP588586:KSP588675 KIT588586:KIT588675 JYX588586:JYX588675 JPB588586:JPB588675 JFF588586:JFF588675 IVJ588586:IVJ588675 ILN588586:ILN588675 IBR588586:IBR588675 HRV588586:HRV588675 HHZ588586:HHZ588675 GYD588586:GYD588675 GOH588586:GOH588675 GEL588586:GEL588675 FUP588586:FUP588675 FKT588586:FKT588675 FAX588586:FAX588675 ERB588586:ERB588675 EHF588586:EHF588675 DXJ588586:DXJ588675 DNN588586:DNN588675 DDR588586:DDR588675 CTV588586:CTV588675 CJZ588586:CJZ588675 CAD588586:CAD588675 BQH588586:BQH588675 BGL588586:BGL588675 AWP588586:AWP588675 AMT588586:AMT588675 ACX588586:ACX588675 TB588586:TB588675 JF588586:JF588675 J588595:J588684 WVR523050:WVR523139 WLV523050:WLV523139 WBZ523050:WBZ523139 VSD523050:VSD523139 VIH523050:VIH523139 UYL523050:UYL523139 UOP523050:UOP523139 UET523050:UET523139 TUX523050:TUX523139 TLB523050:TLB523139 TBF523050:TBF523139 SRJ523050:SRJ523139 SHN523050:SHN523139 RXR523050:RXR523139 RNV523050:RNV523139 RDZ523050:RDZ523139 QUD523050:QUD523139 QKH523050:QKH523139 QAL523050:QAL523139 PQP523050:PQP523139 PGT523050:PGT523139 OWX523050:OWX523139 ONB523050:ONB523139 ODF523050:ODF523139 NTJ523050:NTJ523139 NJN523050:NJN523139 MZR523050:MZR523139 MPV523050:MPV523139 MFZ523050:MFZ523139 LWD523050:LWD523139 LMH523050:LMH523139 LCL523050:LCL523139 KSP523050:KSP523139 KIT523050:KIT523139 JYX523050:JYX523139 JPB523050:JPB523139 JFF523050:JFF523139 IVJ523050:IVJ523139 ILN523050:ILN523139 IBR523050:IBR523139 HRV523050:HRV523139 HHZ523050:HHZ523139 GYD523050:GYD523139 GOH523050:GOH523139 GEL523050:GEL523139 FUP523050:FUP523139 FKT523050:FKT523139 FAX523050:FAX523139 ERB523050:ERB523139 EHF523050:EHF523139 DXJ523050:DXJ523139 DNN523050:DNN523139 DDR523050:DDR523139 CTV523050:CTV523139 CJZ523050:CJZ523139 CAD523050:CAD523139 BQH523050:BQH523139 BGL523050:BGL523139 AWP523050:AWP523139 AMT523050:AMT523139 ACX523050:ACX523139 TB523050:TB523139 JF523050:JF523139 J523059:J523148 WVR457514:WVR457603 WLV457514:WLV457603 WBZ457514:WBZ457603 VSD457514:VSD457603 VIH457514:VIH457603 UYL457514:UYL457603 UOP457514:UOP457603 UET457514:UET457603 TUX457514:TUX457603 TLB457514:TLB457603 TBF457514:TBF457603 SRJ457514:SRJ457603 SHN457514:SHN457603 RXR457514:RXR457603 RNV457514:RNV457603 RDZ457514:RDZ457603 QUD457514:QUD457603 QKH457514:QKH457603 QAL457514:QAL457603 PQP457514:PQP457603 PGT457514:PGT457603 OWX457514:OWX457603 ONB457514:ONB457603 ODF457514:ODF457603 NTJ457514:NTJ457603 NJN457514:NJN457603 MZR457514:MZR457603 MPV457514:MPV457603 MFZ457514:MFZ457603 LWD457514:LWD457603 LMH457514:LMH457603 LCL457514:LCL457603 KSP457514:KSP457603 KIT457514:KIT457603 JYX457514:JYX457603 JPB457514:JPB457603 JFF457514:JFF457603 IVJ457514:IVJ457603 ILN457514:ILN457603 IBR457514:IBR457603 HRV457514:HRV457603 HHZ457514:HHZ457603 GYD457514:GYD457603 GOH457514:GOH457603 GEL457514:GEL457603 FUP457514:FUP457603 FKT457514:FKT457603 FAX457514:FAX457603 ERB457514:ERB457603 EHF457514:EHF457603 DXJ457514:DXJ457603 DNN457514:DNN457603 DDR457514:DDR457603 CTV457514:CTV457603 CJZ457514:CJZ457603 CAD457514:CAD457603 BQH457514:BQH457603 BGL457514:BGL457603 AWP457514:AWP457603 AMT457514:AMT457603 ACX457514:ACX457603 TB457514:TB457603 JF457514:JF457603 J457523:J457612 WVR391978:WVR392067 WLV391978:WLV392067 WBZ391978:WBZ392067 VSD391978:VSD392067 VIH391978:VIH392067 UYL391978:UYL392067 UOP391978:UOP392067 UET391978:UET392067 TUX391978:TUX392067 TLB391978:TLB392067 TBF391978:TBF392067 SRJ391978:SRJ392067 SHN391978:SHN392067 RXR391978:RXR392067 RNV391978:RNV392067 RDZ391978:RDZ392067 QUD391978:QUD392067 QKH391978:QKH392067 QAL391978:QAL392067 PQP391978:PQP392067 PGT391978:PGT392067 OWX391978:OWX392067 ONB391978:ONB392067 ODF391978:ODF392067 NTJ391978:NTJ392067 NJN391978:NJN392067 MZR391978:MZR392067 MPV391978:MPV392067 MFZ391978:MFZ392067 LWD391978:LWD392067 LMH391978:LMH392067 LCL391978:LCL392067 KSP391978:KSP392067 KIT391978:KIT392067 JYX391978:JYX392067 JPB391978:JPB392067 JFF391978:JFF392067 IVJ391978:IVJ392067 ILN391978:ILN392067 IBR391978:IBR392067 HRV391978:HRV392067 HHZ391978:HHZ392067 GYD391978:GYD392067 GOH391978:GOH392067 GEL391978:GEL392067 FUP391978:FUP392067 FKT391978:FKT392067 FAX391978:FAX392067 ERB391978:ERB392067 EHF391978:EHF392067 DXJ391978:DXJ392067 DNN391978:DNN392067 DDR391978:DDR392067 CTV391978:CTV392067 CJZ391978:CJZ392067 CAD391978:CAD392067 BQH391978:BQH392067 BGL391978:BGL392067 AWP391978:AWP392067 AMT391978:AMT392067 ACX391978:ACX392067 TB391978:TB392067 JF391978:JF392067 J391987:J392076 WVR326442:WVR326531 WLV326442:WLV326531 WBZ326442:WBZ326531 VSD326442:VSD326531 VIH326442:VIH326531 UYL326442:UYL326531 UOP326442:UOP326531 UET326442:UET326531 TUX326442:TUX326531 TLB326442:TLB326531 TBF326442:TBF326531 SRJ326442:SRJ326531 SHN326442:SHN326531 RXR326442:RXR326531 RNV326442:RNV326531 RDZ326442:RDZ326531 QUD326442:QUD326531 QKH326442:QKH326531 QAL326442:QAL326531 PQP326442:PQP326531 PGT326442:PGT326531 OWX326442:OWX326531 ONB326442:ONB326531 ODF326442:ODF326531 NTJ326442:NTJ326531 NJN326442:NJN326531 MZR326442:MZR326531 MPV326442:MPV326531 MFZ326442:MFZ326531 LWD326442:LWD326531 LMH326442:LMH326531 LCL326442:LCL326531 KSP326442:KSP326531 KIT326442:KIT326531 JYX326442:JYX326531 JPB326442:JPB326531 JFF326442:JFF326531 IVJ326442:IVJ326531 ILN326442:ILN326531 IBR326442:IBR326531 HRV326442:HRV326531 HHZ326442:HHZ326531 GYD326442:GYD326531 GOH326442:GOH326531 GEL326442:GEL326531 FUP326442:FUP326531 FKT326442:FKT326531 FAX326442:FAX326531 ERB326442:ERB326531 EHF326442:EHF326531 DXJ326442:DXJ326531 DNN326442:DNN326531 DDR326442:DDR326531 CTV326442:CTV326531 CJZ326442:CJZ326531 CAD326442:CAD326531 BQH326442:BQH326531 BGL326442:BGL326531 AWP326442:AWP326531 AMT326442:AMT326531 ACX326442:ACX326531 TB326442:TB326531 JF326442:JF326531 J326451:J326540 WVR260906:WVR260995 WLV260906:WLV260995 WBZ260906:WBZ260995 VSD260906:VSD260995 VIH260906:VIH260995 UYL260906:UYL260995 UOP260906:UOP260995 UET260906:UET260995 TUX260906:TUX260995 TLB260906:TLB260995 TBF260906:TBF260995 SRJ260906:SRJ260995 SHN260906:SHN260995 RXR260906:RXR260995 RNV260906:RNV260995 RDZ260906:RDZ260995 QUD260906:QUD260995 QKH260906:QKH260995 QAL260906:QAL260995 PQP260906:PQP260995 PGT260906:PGT260995 OWX260906:OWX260995 ONB260906:ONB260995 ODF260906:ODF260995 NTJ260906:NTJ260995 NJN260906:NJN260995 MZR260906:MZR260995 MPV260906:MPV260995 MFZ260906:MFZ260995 LWD260906:LWD260995 LMH260906:LMH260995 LCL260906:LCL260995 KSP260906:KSP260995 KIT260906:KIT260995 JYX260906:JYX260995 JPB260906:JPB260995 JFF260906:JFF260995 IVJ260906:IVJ260995 ILN260906:ILN260995 IBR260906:IBR260995 HRV260906:HRV260995 HHZ260906:HHZ260995 GYD260906:GYD260995 GOH260906:GOH260995 GEL260906:GEL260995 FUP260906:FUP260995 FKT260906:FKT260995 FAX260906:FAX260995 ERB260906:ERB260995 EHF260906:EHF260995 DXJ260906:DXJ260995 DNN260906:DNN260995 DDR260906:DDR260995 CTV260906:CTV260995 CJZ260906:CJZ260995 CAD260906:CAD260995 BQH260906:BQH260995 BGL260906:BGL260995 AWP260906:AWP260995 AMT260906:AMT260995 ACX260906:ACX260995 TB260906:TB260995 JF260906:JF260995 J260915:J261004 WVR195370:WVR195459 WLV195370:WLV195459 WBZ195370:WBZ195459 VSD195370:VSD195459 VIH195370:VIH195459 UYL195370:UYL195459 UOP195370:UOP195459 UET195370:UET195459 TUX195370:TUX195459 TLB195370:TLB195459 TBF195370:TBF195459 SRJ195370:SRJ195459 SHN195370:SHN195459 RXR195370:RXR195459 RNV195370:RNV195459 RDZ195370:RDZ195459 QUD195370:QUD195459 QKH195370:QKH195459 QAL195370:QAL195459 PQP195370:PQP195459 PGT195370:PGT195459 OWX195370:OWX195459 ONB195370:ONB195459 ODF195370:ODF195459 NTJ195370:NTJ195459 NJN195370:NJN195459 MZR195370:MZR195459 MPV195370:MPV195459 MFZ195370:MFZ195459 LWD195370:LWD195459 LMH195370:LMH195459 LCL195370:LCL195459 KSP195370:KSP195459 KIT195370:KIT195459 JYX195370:JYX195459 JPB195370:JPB195459 JFF195370:JFF195459 IVJ195370:IVJ195459 ILN195370:ILN195459 IBR195370:IBR195459 HRV195370:HRV195459 HHZ195370:HHZ195459 GYD195370:GYD195459 GOH195370:GOH195459 GEL195370:GEL195459 FUP195370:FUP195459 FKT195370:FKT195459 FAX195370:FAX195459 ERB195370:ERB195459 EHF195370:EHF195459 DXJ195370:DXJ195459 DNN195370:DNN195459 DDR195370:DDR195459 CTV195370:CTV195459 CJZ195370:CJZ195459 CAD195370:CAD195459 BQH195370:BQH195459 BGL195370:BGL195459 AWP195370:AWP195459 AMT195370:AMT195459 ACX195370:ACX195459 TB195370:TB195459 JF195370:JF195459 J195379:J195468 WVR129834:WVR129923 WLV129834:WLV129923 WBZ129834:WBZ129923 VSD129834:VSD129923 VIH129834:VIH129923 UYL129834:UYL129923 UOP129834:UOP129923 UET129834:UET129923 TUX129834:TUX129923 TLB129834:TLB129923 TBF129834:TBF129923 SRJ129834:SRJ129923 SHN129834:SHN129923 RXR129834:RXR129923 RNV129834:RNV129923 RDZ129834:RDZ129923 QUD129834:QUD129923 QKH129834:QKH129923 QAL129834:QAL129923 PQP129834:PQP129923 PGT129834:PGT129923 OWX129834:OWX129923 ONB129834:ONB129923 ODF129834:ODF129923 NTJ129834:NTJ129923 NJN129834:NJN129923 MZR129834:MZR129923 MPV129834:MPV129923 MFZ129834:MFZ129923 LWD129834:LWD129923 LMH129834:LMH129923 LCL129834:LCL129923 KSP129834:KSP129923 KIT129834:KIT129923 JYX129834:JYX129923 JPB129834:JPB129923 JFF129834:JFF129923 IVJ129834:IVJ129923 ILN129834:ILN129923 IBR129834:IBR129923 HRV129834:HRV129923 HHZ129834:HHZ129923 GYD129834:GYD129923 GOH129834:GOH129923 GEL129834:GEL129923 FUP129834:FUP129923 FKT129834:FKT129923 FAX129834:FAX129923 ERB129834:ERB129923 EHF129834:EHF129923 DXJ129834:DXJ129923 DNN129834:DNN129923 DDR129834:DDR129923 CTV129834:CTV129923 CJZ129834:CJZ129923 CAD129834:CAD129923 BQH129834:BQH129923 BGL129834:BGL129923 AWP129834:AWP129923 AMT129834:AMT129923 ACX129834:ACX129923 TB129834:TB129923 JF129834:JF129923 J129843:J129932 WVR64298:WVR64387 WLV64298:WLV64387 WBZ64298:WBZ64387 VSD64298:VSD64387 VIH64298:VIH64387 UYL64298:UYL64387 UOP64298:UOP64387 UET64298:UET64387 TUX64298:TUX64387 TLB64298:TLB64387 TBF64298:TBF64387 SRJ64298:SRJ64387 SHN64298:SHN64387 RXR64298:RXR64387 RNV64298:RNV64387 RDZ64298:RDZ64387 QUD64298:QUD64387 QKH64298:QKH64387 QAL64298:QAL64387 PQP64298:PQP64387 PGT64298:PGT64387 OWX64298:OWX64387 ONB64298:ONB64387 ODF64298:ODF64387 NTJ64298:NTJ64387 NJN64298:NJN64387 MZR64298:MZR64387 MPV64298:MPV64387 MFZ64298:MFZ64387 LWD64298:LWD64387 LMH64298:LMH64387 LCL64298:LCL64387 KSP64298:KSP64387 KIT64298:KIT64387 JYX64298:JYX64387 JPB64298:JPB64387 JFF64298:JFF64387 IVJ64298:IVJ64387 ILN64298:ILN64387 IBR64298:IBR64387 HRV64298:HRV64387 HHZ64298:HHZ64387 GYD64298:GYD64387 GOH64298:GOH64387 GEL64298:GEL64387 FUP64298:FUP64387 FKT64298:FKT64387 FAX64298:FAX64387 ERB64298:ERB64387 EHF64298:EHF64387 DXJ64298:DXJ64387 DNN64298:DNN64387 DDR64298:DDR64387 CTV64298:CTV64387 CJZ64298:CJZ64387 CAD64298:CAD64387 BQH64298:BQH64387 BGL64298:BGL64387 AWP64298:AWP64387 AMT64298:AMT64387 ACX64298:ACX64387 TB64298:TB64387 JF64298:JF64387 J64307:J64396 JF2:JF70 TB2:TB70 ACX2:ACX70 AMT2:AMT70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formula1>$AP$2:$AP$15</formula1>
    </dataValidation>
    <dataValidation type="list" allowBlank="1" showInputMessage="1" showErrorMessage="1" sqref="WVN981802:WVN981891 WLR981802:WLR981891 WBV981802:WBV981891 VRZ981802:VRZ981891 VID981802:VID981891 UYH981802:UYH981891 UOL981802:UOL981891 UEP981802:UEP981891 TUT981802:TUT981891 TKX981802:TKX981891 TBB981802:TBB981891 SRF981802:SRF981891 SHJ981802:SHJ981891 RXN981802:RXN981891 RNR981802:RNR981891 RDV981802:RDV981891 QTZ981802:QTZ981891 QKD981802:QKD981891 QAH981802:QAH981891 PQL981802:PQL981891 PGP981802:PGP981891 OWT981802:OWT981891 OMX981802:OMX981891 ODB981802:ODB981891 NTF981802:NTF981891 NJJ981802:NJJ981891 MZN981802:MZN981891 MPR981802:MPR981891 MFV981802:MFV981891 LVZ981802:LVZ981891 LMD981802:LMD981891 LCH981802:LCH981891 KSL981802:KSL981891 KIP981802:KIP981891 JYT981802:JYT981891 JOX981802:JOX981891 JFB981802:JFB981891 IVF981802:IVF981891 ILJ981802:ILJ981891 IBN981802:IBN981891 HRR981802:HRR981891 HHV981802:HHV981891 GXZ981802:GXZ981891 GOD981802:GOD981891 GEH981802:GEH981891 FUL981802:FUL981891 FKP981802:FKP981891 FAT981802:FAT981891 EQX981802:EQX981891 EHB981802:EHB981891 DXF981802:DXF981891 DNJ981802:DNJ981891 DDN981802:DDN981891 CTR981802:CTR981891 CJV981802:CJV981891 BZZ981802:BZZ981891 BQD981802:BQD981891 BGH981802:BGH981891 AWL981802:AWL981891 AMP981802:AMP981891 ACT981802:ACT981891 SX981802:SX981891 JB981802:JB981891 F981811:F981900 WVN916266:WVN916355 WLR916266:WLR916355 WBV916266:WBV916355 VRZ916266:VRZ916355 VID916266:VID916355 UYH916266:UYH916355 UOL916266:UOL916355 UEP916266:UEP916355 TUT916266:TUT916355 TKX916266:TKX916355 TBB916266:TBB916355 SRF916266:SRF916355 SHJ916266:SHJ916355 RXN916266:RXN916355 RNR916266:RNR916355 RDV916266:RDV916355 QTZ916266:QTZ916355 QKD916266:QKD916355 QAH916266:QAH916355 PQL916266:PQL916355 PGP916266:PGP916355 OWT916266:OWT916355 OMX916266:OMX916355 ODB916266:ODB916355 NTF916266:NTF916355 NJJ916266:NJJ916355 MZN916266:MZN916355 MPR916266:MPR916355 MFV916266:MFV916355 LVZ916266:LVZ916355 LMD916266:LMD916355 LCH916266:LCH916355 KSL916266:KSL916355 KIP916266:KIP916355 JYT916266:JYT916355 JOX916266:JOX916355 JFB916266:JFB916355 IVF916266:IVF916355 ILJ916266:ILJ916355 IBN916266:IBN916355 HRR916266:HRR916355 HHV916266:HHV916355 GXZ916266:GXZ916355 GOD916266:GOD916355 GEH916266:GEH916355 FUL916266:FUL916355 FKP916266:FKP916355 FAT916266:FAT916355 EQX916266:EQX916355 EHB916266:EHB916355 DXF916266:DXF916355 DNJ916266:DNJ916355 DDN916266:DDN916355 CTR916266:CTR916355 CJV916266:CJV916355 BZZ916266:BZZ916355 BQD916266:BQD916355 BGH916266:BGH916355 AWL916266:AWL916355 AMP916266:AMP916355 ACT916266:ACT916355 SX916266:SX916355 JB916266:JB916355 F916275:F916364 WVN850730:WVN850819 WLR850730:WLR850819 WBV850730:WBV850819 VRZ850730:VRZ850819 VID850730:VID850819 UYH850730:UYH850819 UOL850730:UOL850819 UEP850730:UEP850819 TUT850730:TUT850819 TKX850730:TKX850819 TBB850730:TBB850819 SRF850730:SRF850819 SHJ850730:SHJ850819 RXN850730:RXN850819 RNR850730:RNR850819 RDV850730:RDV850819 QTZ850730:QTZ850819 QKD850730:QKD850819 QAH850730:QAH850819 PQL850730:PQL850819 PGP850730:PGP850819 OWT850730:OWT850819 OMX850730:OMX850819 ODB850730:ODB850819 NTF850730:NTF850819 NJJ850730:NJJ850819 MZN850730:MZN850819 MPR850730:MPR850819 MFV850730:MFV850819 LVZ850730:LVZ850819 LMD850730:LMD850819 LCH850730:LCH850819 KSL850730:KSL850819 KIP850730:KIP850819 JYT850730:JYT850819 JOX850730:JOX850819 JFB850730:JFB850819 IVF850730:IVF850819 ILJ850730:ILJ850819 IBN850730:IBN850819 HRR850730:HRR850819 HHV850730:HHV850819 GXZ850730:GXZ850819 GOD850730:GOD850819 GEH850730:GEH850819 FUL850730:FUL850819 FKP850730:FKP850819 FAT850730:FAT850819 EQX850730:EQX850819 EHB850730:EHB850819 DXF850730:DXF850819 DNJ850730:DNJ850819 DDN850730:DDN850819 CTR850730:CTR850819 CJV850730:CJV850819 BZZ850730:BZZ850819 BQD850730:BQD850819 BGH850730:BGH850819 AWL850730:AWL850819 AMP850730:AMP850819 ACT850730:ACT850819 SX850730:SX850819 JB850730:JB850819 F850739:F850828 WVN785194:WVN785283 WLR785194:WLR785283 WBV785194:WBV785283 VRZ785194:VRZ785283 VID785194:VID785283 UYH785194:UYH785283 UOL785194:UOL785283 UEP785194:UEP785283 TUT785194:TUT785283 TKX785194:TKX785283 TBB785194:TBB785283 SRF785194:SRF785283 SHJ785194:SHJ785283 RXN785194:RXN785283 RNR785194:RNR785283 RDV785194:RDV785283 QTZ785194:QTZ785283 QKD785194:QKD785283 QAH785194:QAH785283 PQL785194:PQL785283 PGP785194:PGP785283 OWT785194:OWT785283 OMX785194:OMX785283 ODB785194:ODB785283 NTF785194:NTF785283 NJJ785194:NJJ785283 MZN785194:MZN785283 MPR785194:MPR785283 MFV785194:MFV785283 LVZ785194:LVZ785283 LMD785194:LMD785283 LCH785194:LCH785283 KSL785194:KSL785283 KIP785194:KIP785283 JYT785194:JYT785283 JOX785194:JOX785283 JFB785194:JFB785283 IVF785194:IVF785283 ILJ785194:ILJ785283 IBN785194:IBN785283 HRR785194:HRR785283 HHV785194:HHV785283 GXZ785194:GXZ785283 GOD785194:GOD785283 GEH785194:GEH785283 FUL785194:FUL785283 FKP785194:FKP785283 FAT785194:FAT785283 EQX785194:EQX785283 EHB785194:EHB785283 DXF785194:DXF785283 DNJ785194:DNJ785283 DDN785194:DDN785283 CTR785194:CTR785283 CJV785194:CJV785283 BZZ785194:BZZ785283 BQD785194:BQD785283 BGH785194:BGH785283 AWL785194:AWL785283 AMP785194:AMP785283 ACT785194:ACT785283 SX785194:SX785283 JB785194:JB785283 F785203:F785292 WVN719658:WVN719747 WLR719658:WLR719747 WBV719658:WBV719747 VRZ719658:VRZ719747 VID719658:VID719747 UYH719658:UYH719747 UOL719658:UOL719747 UEP719658:UEP719747 TUT719658:TUT719747 TKX719658:TKX719747 TBB719658:TBB719747 SRF719658:SRF719747 SHJ719658:SHJ719747 RXN719658:RXN719747 RNR719658:RNR719747 RDV719658:RDV719747 QTZ719658:QTZ719747 QKD719658:QKD719747 QAH719658:QAH719747 PQL719658:PQL719747 PGP719658:PGP719747 OWT719658:OWT719747 OMX719658:OMX719747 ODB719658:ODB719747 NTF719658:NTF719747 NJJ719658:NJJ719747 MZN719658:MZN719747 MPR719658:MPR719747 MFV719658:MFV719747 LVZ719658:LVZ719747 LMD719658:LMD719747 LCH719658:LCH719747 KSL719658:KSL719747 KIP719658:KIP719747 JYT719658:JYT719747 JOX719658:JOX719747 JFB719658:JFB719747 IVF719658:IVF719747 ILJ719658:ILJ719747 IBN719658:IBN719747 HRR719658:HRR719747 HHV719658:HHV719747 GXZ719658:GXZ719747 GOD719658:GOD719747 GEH719658:GEH719747 FUL719658:FUL719747 FKP719658:FKP719747 FAT719658:FAT719747 EQX719658:EQX719747 EHB719658:EHB719747 DXF719658:DXF719747 DNJ719658:DNJ719747 DDN719658:DDN719747 CTR719658:CTR719747 CJV719658:CJV719747 BZZ719658:BZZ719747 BQD719658:BQD719747 BGH719658:BGH719747 AWL719658:AWL719747 AMP719658:AMP719747 ACT719658:ACT719747 SX719658:SX719747 JB719658:JB719747 F719667:F719756 WVN654122:WVN654211 WLR654122:WLR654211 WBV654122:WBV654211 VRZ654122:VRZ654211 VID654122:VID654211 UYH654122:UYH654211 UOL654122:UOL654211 UEP654122:UEP654211 TUT654122:TUT654211 TKX654122:TKX654211 TBB654122:TBB654211 SRF654122:SRF654211 SHJ654122:SHJ654211 RXN654122:RXN654211 RNR654122:RNR654211 RDV654122:RDV654211 QTZ654122:QTZ654211 QKD654122:QKD654211 QAH654122:QAH654211 PQL654122:PQL654211 PGP654122:PGP654211 OWT654122:OWT654211 OMX654122:OMX654211 ODB654122:ODB654211 NTF654122:NTF654211 NJJ654122:NJJ654211 MZN654122:MZN654211 MPR654122:MPR654211 MFV654122:MFV654211 LVZ654122:LVZ654211 LMD654122:LMD654211 LCH654122:LCH654211 KSL654122:KSL654211 KIP654122:KIP654211 JYT654122:JYT654211 JOX654122:JOX654211 JFB654122:JFB654211 IVF654122:IVF654211 ILJ654122:ILJ654211 IBN654122:IBN654211 HRR654122:HRR654211 HHV654122:HHV654211 GXZ654122:GXZ654211 GOD654122:GOD654211 GEH654122:GEH654211 FUL654122:FUL654211 FKP654122:FKP654211 FAT654122:FAT654211 EQX654122:EQX654211 EHB654122:EHB654211 DXF654122:DXF654211 DNJ654122:DNJ654211 DDN654122:DDN654211 CTR654122:CTR654211 CJV654122:CJV654211 BZZ654122:BZZ654211 BQD654122:BQD654211 BGH654122:BGH654211 AWL654122:AWL654211 AMP654122:AMP654211 ACT654122:ACT654211 SX654122:SX654211 JB654122:JB654211 F654131:F654220 WVN588586:WVN588675 WLR588586:WLR588675 WBV588586:WBV588675 VRZ588586:VRZ588675 VID588586:VID588675 UYH588586:UYH588675 UOL588586:UOL588675 UEP588586:UEP588675 TUT588586:TUT588675 TKX588586:TKX588675 TBB588586:TBB588675 SRF588586:SRF588675 SHJ588586:SHJ588675 RXN588586:RXN588675 RNR588586:RNR588675 RDV588586:RDV588675 QTZ588586:QTZ588675 QKD588586:QKD588675 QAH588586:QAH588675 PQL588586:PQL588675 PGP588586:PGP588675 OWT588586:OWT588675 OMX588586:OMX588675 ODB588586:ODB588675 NTF588586:NTF588675 NJJ588586:NJJ588675 MZN588586:MZN588675 MPR588586:MPR588675 MFV588586:MFV588675 LVZ588586:LVZ588675 LMD588586:LMD588675 LCH588586:LCH588675 KSL588586:KSL588675 KIP588586:KIP588675 JYT588586:JYT588675 JOX588586:JOX588675 JFB588586:JFB588675 IVF588586:IVF588675 ILJ588586:ILJ588675 IBN588586:IBN588675 HRR588586:HRR588675 HHV588586:HHV588675 GXZ588586:GXZ588675 GOD588586:GOD588675 GEH588586:GEH588675 FUL588586:FUL588675 FKP588586:FKP588675 FAT588586:FAT588675 EQX588586:EQX588675 EHB588586:EHB588675 DXF588586:DXF588675 DNJ588586:DNJ588675 DDN588586:DDN588675 CTR588586:CTR588675 CJV588586:CJV588675 BZZ588586:BZZ588675 BQD588586:BQD588675 BGH588586:BGH588675 AWL588586:AWL588675 AMP588586:AMP588675 ACT588586:ACT588675 SX588586:SX588675 JB588586:JB588675 F588595:F588684 WVN523050:WVN523139 WLR523050:WLR523139 WBV523050:WBV523139 VRZ523050:VRZ523139 VID523050:VID523139 UYH523050:UYH523139 UOL523050:UOL523139 UEP523050:UEP523139 TUT523050:TUT523139 TKX523050:TKX523139 TBB523050:TBB523139 SRF523050:SRF523139 SHJ523050:SHJ523139 RXN523050:RXN523139 RNR523050:RNR523139 RDV523050:RDV523139 QTZ523050:QTZ523139 QKD523050:QKD523139 QAH523050:QAH523139 PQL523050:PQL523139 PGP523050:PGP523139 OWT523050:OWT523139 OMX523050:OMX523139 ODB523050:ODB523139 NTF523050:NTF523139 NJJ523050:NJJ523139 MZN523050:MZN523139 MPR523050:MPR523139 MFV523050:MFV523139 LVZ523050:LVZ523139 LMD523050:LMD523139 LCH523050:LCH523139 KSL523050:KSL523139 KIP523050:KIP523139 JYT523050:JYT523139 JOX523050:JOX523139 JFB523050:JFB523139 IVF523050:IVF523139 ILJ523050:ILJ523139 IBN523050:IBN523139 HRR523050:HRR523139 HHV523050:HHV523139 GXZ523050:GXZ523139 GOD523050:GOD523139 GEH523050:GEH523139 FUL523050:FUL523139 FKP523050:FKP523139 FAT523050:FAT523139 EQX523050:EQX523139 EHB523050:EHB523139 DXF523050:DXF523139 DNJ523050:DNJ523139 DDN523050:DDN523139 CTR523050:CTR523139 CJV523050:CJV523139 BZZ523050:BZZ523139 BQD523050:BQD523139 BGH523050:BGH523139 AWL523050:AWL523139 AMP523050:AMP523139 ACT523050:ACT523139 SX523050:SX523139 JB523050:JB523139 F523059:F523148 WVN457514:WVN457603 WLR457514:WLR457603 WBV457514:WBV457603 VRZ457514:VRZ457603 VID457514:VID457603 UYH457514:UYH457603 UOL457514:UOL457603 UEP457514:UEP457603 TUT457514:TUT457603 TKX457514:TKX457603 TBB457514:TBB457603 SRF457514:SRF457603 SHJ457514:SHJ457603 RXN457514:RXN457603 RNR457514:RNR457603 RDV457514:RDV457603 QTZ457514:QTZ457603 QKD457514:QKD457603 QAH457514:QAH457603 PQL457514:PQL457603 PGP457514:PGP457603 OWT457514:OWT457603 OMX457514:OMX457603 ODB457514:ODB457603 NTF457514:NTF457603 NJJ457514:NJJ457603 MZN457514:MZN457603 MPR457514:MPR457603 MFV457514:MFV457603 LVZ457514:LVZ457603 LMD457514:LMD457603 LCH457514:LCH457603 KSL457514:KSL457603 KIP457514:KIP457603 JYT457514:JYT457603 JOX457514:JOX457603 JFB457514:JFB457603 IVF457514:IVF457603 ILJ457514:ILJ457603 IBN457514:IBN457603 HRR457514:HRR457603 HHV457514:HHV457603 GXZ457514:GXZ457603 GOD457514:GOD457603 GEH457514:GEH457603 FUL457514:FUL457603 FKP457514:FKP457603 FAT457514:FAT457603 EQX457514:EQX457603 EHB457514:EHB457603 DXF457514:DXF457603 DNJ457514:DNJ457603 DDN457514:DDN457603 CTR457514:CTR457603 CJV457514:CJV457603 BZZ457514:BZZ457603 BQD457514:BQD457603 BGH457514:BGH457603 AWL457514:AWL457603 AMP457514:AMP457603 ACT457514:ACT457603 SX457514:SX457603 JB457514:JB457603 F457523:F457612 WVN391978:WVN392067 WLR391978:WLR392067 WBV391978:WBV392067 VRZ391978:VRZ392067 VID391978:VID392067 UYH391978:UYH392067 UOL391978:UOL392067 UEP391978:UEP392067 TUT391978:TUT392067 TKX391978:TKX392067 TBB391978:TBB392067 SRF391978:SRF392067 SHJ391978:SHJ392067 RXN391978:RXN392067 RNR391978:RNR392067 RDV391978:RDV392067 QTZ391978:QTZ392067 QKD391978:QKD392067 QAH391978:QAH392067 PQL391978:PQL392067 PGP391978:PGP392067 OWT391978:OWT392067 OMX391978:OMX392067 ODB391978:ODB392067 NTF391978:NTF392067 NJJ391978:NJJ392067 MZN391978:MZN392067 MPR391978:MPR392067 MFV391978:MFV392067 LVZ391978:LVZ392067 LMD391978:LMD392067 LCH391978:LCH392067 KSL391978:KSL392067 KIP391978:KIP392067 JYT391978:JYT392067 JOX391978:JOX392067 JFB391978:JFB392067 IVF391978:IVF392067 ILJ391978:ILJ392067 IBN391978:IBN392067 HRR391978:HRR392067 HHV391978:HHV392067 GXZ391978:GXZ392067 GOD391978:GOD392067 GEH391978:GEH392067 FUL391978:FUL392067 FKP391978:FKP392067 FAT391978:FAT392067 EQX391978:EQX392067 EHB391978:EHB392067 DXF391978:DXF392067 DNJ391978:DNJ392067 DDN391978:DDN392067 CTR391978:CTR392067 CJV391978:CJV392067 BZZ391978:BZZ392067 BQD391978:BQD392067 BGH391978:BGH392067 AWL391978:AWL392067 AMP391978:AMP392067 ACT391978:ACT392067 SX391978:SX392067 JB391978:JB392067 F391987:F392076 WVN326442:WVN326531 WLR326442:WLR326531 WBV326442:WBV326531 VRZ326442:VRZ326531 VID326442:VID326531 UYH326442:UYH326531 UOL326442:UOL326531 UEP326442:UEP326531 TUT326442:TUT326531 TKX326442:TKX326531 TBB326442:TBB326531 SRF326442:SRF326531 SHJ326442:SHJ326531 RXN326442:RXN326531 RNR326442:RNR326531 RDV326442:RDV326531 QTZ326442:QTZ326531 QKD326442:QKD326531 QAH326442:QAH326531 PQL326442:PQL326531 PGP326442:PGP326531 OWT326442:OWT326531 OMX326442:OMX326531 ODB326442:ODB326531 NTF326442:NTF326531 NJJ326442:NJJ326531 MZN326442:MZN326531 MPR326442:MPR326531 MFV326442:MFV326531 LVZ326442:LVZ326531 LMD326442:LMD326531 LCH326442:LCH326531 KSL326442:KSL326531 KIP326442:KIP326531 JYT326442:JYT326531 JOX326442:JOX326531 JFB326442:JFB326531 IVF326442:IVF326531 ILJ326442:ILJ326531 IBN326442:IBN326531 HRR326442:HRR326531 HHV326442:HHV326531 GXZ326442:GXZ326531 GOD326442:GOD326531 GEH326442:GEH326531 FUL326442:FUL326531 FKP326442:FKP326531 FAT326442:FAT326531 EQX326442:EQX326531 EHB326442:EHB326531 DXF326442:DXF326531 DNJ326442:DNJ326531 DDN326442:DDN326531 CTR326442:CTR326531 CJV326442:CJV326531 BZZ326442:BZZ326531 BQD326442:BQD326531 BGH326442:BGH326531 AWL326442:AWL326531 AMP326442:AMP326531 ACT326442:ACT326531 SX326442:SX326531 JB326442:JB326531 F326451:F326540 WVN260906:WVN260995 WLR260906:WLR260995 WBV260906:WBV260995 VRZ260906:VRZ260995 VID260906:VID260995 UYH260906:UYH260995 UOL260906:UOL260995 UEP260906:UEP260995 TUT260906:TUT260995 TKX260906:TKX260995 TBB260906:TBB260995 SRF260906:SRF260995 SHJ260906:SHJ260995 RXN260906:RXN260995 RNR260906:RNR260995 RDV260906:RDV260995 QTZ260906:QTZ260995 QKD260906:QKD260995 QAH260906:QAH260995 PQL260906:PQL260995 PGP260906:PGP260995 OWT260906:OWT260995 OMX260906:OMX260995 ODB260906:ODB260995 NTF260906:NTF260995 NJJ260906:NJJ260995 MZN260906:MZN260995 MPR260906:MPR260995 MFV260906:MFV260995 LVZ260906:LVZ260995 LMD260906:LMD260995 LCH260906:LCH260995 KSL260906:KSL260995 KIP260906:KIP260995 JYT260906:JYT260995 JOX260906:JOX260995 JFB260906:JFB260995 IVF260906:IVF260995 ILJ260906:ILJ260995 IBN260906:IBN260995 HRR260906:HRR260995 HHV260906:HHV260995 GXZ260906:GXZ260995 GOD260906:GOD260995 GEH260906:GEH260995 FUL260906:FUL260995 FKP260906:FKP260995 FAT260906:FAT260995 EQX260906:EQX260995 EHB260906:EHB260995 DXF260906:DXF260995 DNJ260906:DNJ260995 DDN260906:DDN260995 CTR260906:CTR260995 CJV260906:CJV260995 BZZ260906:BZZ260995 BQD260906:BQD260995 BGH260906:BGH260995 AWL260906:AWL260995 AMP260906:AMP260995 ACT260906:ACT260995 SX260906:SX260995 JB260906:JB260995 F260915:F261004 WVN195370:WVN195459 WLR195370:WLR195459 WBV195370:WBV195459 VRZ195370:VRZ195459 VID195370:VID195459 UYH195370:UYH195459 UOL195370:UOL195459 UEP195370:UEP195459 TUT195370:TUT195459 TKX195370:TKX195459 TBB195370:TBB195459 SRF195370:SRF195459 SHJ195370:SHJ195459 RXN195370:RXN195459 RNR195370:RNR195459 RDV195370:RDV195459 QTZ195370:QTZ195459 QKD195370:QKD195459 QAH195370:QAH195459 PQL195370:PQL195459 PGP195370:PGP195459 OWT195370:OWT195459 OMX195370:OMX195459 ODB195370:ODB195459 NTF195370:NTF195459 NJJ195370:NJJ195459 MZN195370:MZN195459 MPR195370:MPR195459 MFV195370:MFV195459 LVZ195370:LVZ195459 LMD195370:LMD195459 LCH195370:LCH195459 KSL195370:KSL195459 KIP195370:KIP195459 JYT195370:JYT195459 JOX195370:JOX195459 JFB195370:JFB195459 IVF195370:IVF195459 ILJ195370:ILJ195459 IBN195370:IBN195459 HRR195370:HRR195459 HHV195370:HHV195459 GXZ195370:GXZ195459 GOD195370:GOD195459 GEH195370:GEH195459 FUL195370:FUL195459 FKP195370:FKP195459 FAT195370:FAT195459 EQX195370:EQX195459 EHB195370:EHB195459 DXF195370:DXF195459 DNJ195370:DNJ195459 DDN195370:DDN195459 CTR195370:CTR195459 CJV195370:CJV195459 BZZ195370:BZZ195459 BQD195370:BQD195459 BGH195370:BGH195459 AWL195370:AWL195459 AMP195370:AMP195459 ACT195370:ACT195459 SX195370:SX195459 JB195370:JB195459 F195379:F195468 WVN129834:WVN129923 WLR129834:WLR129923 WBV129834:WBV129923 VRZ129834:VRZ129923 VID129834:VID129923 UYH129834:UYH129923 UOL129834:UOL129923 UEP129834:UEP129923 TUT129834:TUT129923 TKX129834:TKX129923 TBB129834:TBB129923 SRF129834:SRF129923 SHJ129834:SHJ129923 RXN129834:RXN129923 RNR129834:RNR129923 RDV129834:RDV129923 QTZ129834:QTZ129923 QKD129834:QKD129923 QAH129834:QAH129923 PQL129834:PQL129923 PGP129834:PGP129923 OWT129834:OWT129923 OMX129834:OMX129923 ODB129834:ODB129923 NTF129834:NTF129923 NJJ129834:NJJ129923 MZN129834:MZN129923 MPR129834:MPR129923 MFV129834:MFV129923 LVZ129834:LVZ129923 LMD129834:LMD129923 LCH129834:LCH129923 KSL129834:KSL129923 KIP129834:KIP129923 JYT129834:JYT129923 JOX129834:JOX129923 JFB129834:JFB129923 IVF129834:IVF129923 ILJ129834:ILJ129923 IBN129834:IBN129923 HRR129834:HRR129923 HHV129834:HHV129923 GXZ129834:GXZ129923 GOD129834:GOD129923 GEH129834:GEH129923 FUL129834:FUL129923 FKP129834:FKP129923 FAT129834:FAT129923 EQX129834:EQX129923 EHB129834:EHB129923 DXF129834:DXF129923 DNJ129834:DNJ129923 DDN129834:DDN129923 CTR129834:CTR129923 CJV129834:CJV129923 BZZ129834:BZZ129923 BQD129834:BQD129923 BGH129834:BGH129923 AWL129834:AWL129923 AMP129834:AMP129923 ACT129834:ACT129923 SX129834:SX129923 JB129834:JB129923 F129843:F129932 WVN64298:WVN64387 WLR64298:WLR64387 WBV64298:WBV64387 VRZ64298:VRZ64387 VID64298:VID64387 UYH64298:UYH64387 UOL64298:UOL64387 UEP64298:UEP64387 TUT64298:TUT64387 TKX64298:TKX64387 TBB64298:TBB64387 SRF64298:SRF64387 SHJ64298:SHJ64387 RXN64298:RXN64387 RNR64298:RNR64387 RDV64298:RDV64387 QTZ64298:QTZ64387 QKD64298:QKD64387 QAH64298:QAH64387 PQL64298:PQL64387 PGP64298:PGP64387 OWT64298:OWT64387 OMX64298:OMX64387 ODB64298:ODB64387 NTF64298:NTF64387 NJJ64298:NJJ64387 MZN64298:MZN64387 MPR64298:MPR64387 MFV64298:MFV64387 LVZ64298:LVZ64387 LMD64298:LMD64387 LCH64298:LCH64387 KSL64298:KSL64387 KIP64298:KIP64387 JYT64298:JYT64387 JOX64298:JOX64387 JFB64298:JFB64387 IVF64298:IVF64387 ILJ64298:ILJ64387 IBN64298:IBN64387 HRR64298:HRR64387 HHV64298:HHV64387 GXZ64298:GXZ64387 GOD64298:GOD64387 GEH64298:GEH64387 FUL64298:FUL64387 FKP64298:FKP64387 FAT64298:FAT64387 EQX64298:EQX64387 EHB64298:EHB64387 DXF64298:DXF64387 DNJ64298:DNJ64387 DDN64298:DDN64387 CTR64298:CTR64387 CJV64298:CJV64387 BZZ64298:BZZ64387 BQD64298:BQD64387 BGH64298:BGH64387 AWL64298:AWL64387 AMP64298:AMP64387 ACT64298:ACT64387 SX64298:SX64387 JB64298:JB64387 F64307:F64396 JB2:JB70 SX2:SX70 ACT2:ACT70 AMP2:AMP70 AWL2:AWL70 BGH2:BGH70 BQD2:BQD70 BZZ2:BZZ70 CJV2:CJV70 CTR2:CTR70 DDN2:DDN70 DNJ2:DNJ70 DXF2:DXF70 EHB2:EHB70 EQX2:EQX70 FAT2:FAT70 FKP2:FKP70 FUL2:FUL70 GEH2:GEH70 GOD2:GOD70 GXZ2:GXZ70 HHV2:HHV70 HRR2:HRR70 IBN2:IBN70 ILJ2:ILJ70 IVF2:IVF70 JFB2:JFB70 JOX2:JOX70 JYT2:JYT70 KIP2:KIP70 KSL2:KSL70 LCH2:LCH70 LMD2:LMD70 LVZ2:LVZ70 MFV2:MFV70 MPR2:MPR70 MZN2:MZN70 NJJ2:NJJ70 NTF2:NTF70 ODB2:ODB70 OMX2:OMX70 OWT2:OWT70 PGP2:PGP70 PQL2:PQL70 QAH2:QAH70 QKD2:QKD70 QTZ2:QTZ70 RDV2:RDV70 RNR2:RNR70 RXN2:RXN70 SHJ2:SHJ70 SRF2:SRF70 TBB2:TBB70 TKX2:TKX70 TUT2:TUT70 UEP2:UEP70 UOL2:UOL70 UYH2:UYH70 VID2:VID70 VRZ2:VRZ70 WBV2:WBV70 WLR2:WLR70 WVN2:WVN70">
      <formula1>$AH$2:$AH$13</formula1>
    </dataValidation>
    <dataValidation type="list" allowBlank="1" showInputMessage="1" showErrorMessage="1" sqref="WVM981802:WVM981891 WLQ981802:WLQ981891 WBU981802:WBU981891 VRY981802:VRY981891 VIC981802:VIC981891 UYG981802:UYG981891 UOK981802:UOK981891 UEO981802:UEO981891 TUS981802:TUS981891 TKW981802:TKW981891 TBA981802:TBA981891 SRE981802:SRE981891 SHI981802:SHI981891 RXM981802:RXM981891 RNQ981802:RNQ981891 RDU981802:RDU981891 QTY981802:QTY981891 QKC981802:QKC981891 QAG981802:QAG981891 PQK981802:PQK981891 PGO981802:PGO981891 OWS981802:OWS981891 OMW981802:OMW981891 ODA981802:ODA981891 NTE981802:NTE981891 NJI981802:NJI981891 MZM981802:MZM981891 MPQ981802:MPQ981891 MFU981802:MFU981891 LVY981802:LVY981891 LMC981802:LMC981891 LCG981802:LCG981891 KSK981802:KSK981891 KIO981802:KIO981891 JYS981802:JYS981891 JOW981802:JOW981891 JFA981802:JFA981891 IVE981802:IVE981891 ILI981802:ILI981891 IBM981802:IBM981891 HRQ981802:HRQ981891 HHU981802:HHU981891 GXY981802:GXY981891 GOC981802:GOC981891 GEG981802:GEG981891 FUK981802:FUK981891 FKO981802:FKO981891 FAS981802:FAS981891 EQW981802:EQW981891 EHA981802:EHA981891 DXE981802:DXE981891 DNI981802:DNI981891 DDM981802:DDM981891 CTQ981802:CTQ981891 CJU981802:CJU981891 BZY981802:BZY981891 BQC981802:BQC981891 BGG981802:BGG981891 AWK981802:AWK981891 AMO981802:AMO981891 ACS981802:ACS981891 SW981802:SW981891 JA981802:JA981891 E981811:E981900 WVM916266:WVM916355 WLQ916266:WLQ916355 WBU916266:WBU916355 VRY916266:VRY916355 VIC916266:VIC916355 UYG916266:UYG916355 UOK916266:UOK916355 UEO916266:UEO916355 TUS916266:TUS916355 TKW916266:TKW916355 TBA916266:TBA916355 SRE916266:SRE916355 SHI916266:SHI916355 RXM916266:RXM916355 RNQ916266:RNQ916355 RDU916266:RDU916355 QTY916266:QTY916355 QKC916266:QKC916355 QAG916266:QAG916355 PQK916266:PQK916355 PGO916266:PGO916355 OWS916266:OWS916355 OMW916266:OMW916355 ODA916266:ODA916355 NTE916266:NTE916355 NJI916266:NJI916355 MZM916266:MZM916355 MPQ916266:MPQ916355 MFU916266:MFU916355 LVY916266:LVY916355 LMC916266:LMC916355 LCG916266:LCG916355 KSK916266:KSK916355 KIO916266:KIO916355 JYS916266:JYS916355 JOW916266:JOW916355 JFA916266:JFA916355 IVE916266:IVE916355 ILI916266:ILI916355 IBM916266:IBM916355 HRQ916266:HRQ916355 HHU916266:HHU916355 GXY916266:GXY916355 GOC916266:GOC916355 GEG916266:GEG916355 FUK916266:FUK916355 FKO916266:FKO916355 FAS916266:FAS916355 EQW916266:EQW916355 EHA916266:EHA916355 DXE916266:DXE916355 DNI916266:DNI916355 DDM916266:DDM916355 CTQ916266:CTQ916355 CJU916266:CJU916355 BZY916266:BZY916355 BQC916266:BQC916355 BGG916266:BGG916355 AWK916266:AWK916355 AMO916266:AMO916355 ACS916266:ACS916355 SW916266:SW916355 JA916266:JA916355 E916275:E916364 WVM850730:WVM850819 WLQ850730:WLQ850819 WBU850730:WBU850819 VRY850730:VRY850819 VIC850730:VIC850819 UYG850730:UYG850819 UOK850730:UOK850819 UEO850730:UEO850819 TUS850730:TUS850819 TKW850730:TKW850819 TBA850730:TBA850819 SRE850730:SRE850819 SHI850730:SHI850819 RXM850730:RXM850819 RNQ850730:RNQ850819 RDU850730:RDU850819 QTY850730:QTY850819 QKC850730:QKC850819 QAG850730:QAG850819 PQK850730:PQK850819 PGO850730:PGO850819 OWS850730:OWS850819 OMW850730:OMW850819 ODA850730:ODA850819 NTE850730:NTE850819 NJI850730:NJI850819 MZM850730:MZM850819 MPQ850730:MPQ850819 MFU850730:MFU850819 LVY850730:LVY850819 LMC850730:LMC850819 LCG850730:LCG850819 KSK850730:KSK850819 KIO850730:KIO850819 JYS850730:JYS850819 JOW850730:JOW850819 JFA850730:JFA850819 IVE850730:IVE850819 ILI850730:ILI850819 IBM850730:IBM850819 HRQ850730:HRQ850819 HHU850730:HHU850819 GXY850730:GXY850819 GOC850730:GOC850819 GEG850730:GEG850819 FUK850730:FUK850819 FKO850730:FKO850819 FAS850730:FAS850819 EQW850730:EQW850819 EHA850730:EHA850819 DXE850730:DXE850819 DNI850730:DNI850819 DDM850730:DDM850819 CTQ850730:CTQ850819 CJU850730:CJU850819 BZY850730:BZY850819 BQC850730:BQC850819 BGG850730:BGG850819 AWK850730:AWK850819 AMO850730:AMO850819 ACS850730:ACS850819 SW850730:SW850819 JA850730:JA850819 E850739:E850828 WVM785194:WVM785283 WLQ785194:WLQ785283 WBU785194:WBU785283 VRY785194:VRY785283 VIC785194:VIC785283 UYG785194:UYG785283 UOK785194:UOK785283 UEO785194:UEO785283 TUS785194:TUS785283 TKW785194:TKW785283 TBA785194:TBA785283 SRE785194:SRE785283 SHI785194:SHI785283 RXM785194:RXM785283 RNQ785194:RNQ785283 RDU785194:RDU785283 QTY785194:QTY785283 QKC785194:QKC785283 QAG785194:QAG785283 PQK785194:PQK785283 PGO785194:PGO785283 OWS785194:OWS785283 OMW785194:OMW785283 ODA785194:ODA785283 NTE785194:NTE785283 NJI785194:NJI785283 MZM785194:MZM785283 MPQ785194:MPQ785283 MFU785194:MFU785283 LVY785194:LVY785283 LMC785194:LMC785283 LCG785194:LCG785283 KSK785194:KSK785283 KIO785194:KIO785283 JYS785194:JYS785283 JOW785194:JOW785283 JFA785194:JFA785283 IVE785194:IVE785283 ILI785194:ILI785283 IBM785194:IBM785283 HRQ785194:HRQ785283 HHU785194:HHU785283 GXY785194:GXY785283 GOC785194:GOC785283 GEG785194:GEG785283 FUK785194:FUK785283 FKO785194:FKO785283 FAS785194:FAS785283 EQW785194:EQW785283 EHA785194:EHA785283 DXE785194:DXE785283 DNI785194:DNI785283 DDM785194:DDM785283 CTQ785194:CTQ785283 CJU785194:CJU785283 BZY785194:BZY785283 BQC785194:BQC785283 BGG785194:BGG785283 AWK785194:AWK785283 AMO785194:AMO785283 ACS785194:ACS785283 SW785194:SW785283 JA785194:JA785283 E785203:E785292 WVM719658:WVM719747 WLQ719658:WLQ719747 WBU719658:WBU719747 VRY719658:VRY719747 VIC719658:VIC719747 UYG719658:UYG719747 UOK719658:UOK719747 UEO719658:UEO719747 TUS719658:TUS719747 TKW719658:TKW719747 TBA719658:TBA719747 SRE719658:SRE719747 SHI719658:SHI719747 RXM719658:RXM719747 RNQ719658:RNQ719747 RDU719658:RDU719747 QTY719658:QTY719747 QKC719658:QKC719747 QAG719658:QAG719747 PQK719658:PQK719747 PGO719658:PGO719747 OWS719658:OWS719747 OMW719658:OMW719747 ODA719658:ODA719747 NTE719658:NTE719747 NJI719658:NJI719747 MZM719658:MZM719747 MPQ719658:MPQ719747 MFU719658:MFU719747 LVY719658:LVY719747 LMC719658:LMC719747 LCG719658:LCG719747 KSK719658:KSK719747 KIO719658:KIO719747 JYS719658:JYS719747 JOW719658:JOW719747 JFA719658:JFA719747 IVE719658:IVE719747 ILI719658:ILI719747 IBM719658:IBM719747 HRQ719658:HRQ719747 HHU719658:HHU719747 GXY719658:GXY719747 GOC719658:GOC719747 GEG719658:GEG719747 FUK719658:FUK719747 FKO719658:FKO719747 FAS719658:FAS719747 EQW719658:EQW719747 EHA719658:EHA719747 DXE719658:DXE719747 DNI719658:DNI719747 DDM719658:DDM719747 CTQ719658:CTQ719747 CJU719658:CJU719747 BZY719658:BZY719747 BQC719658:BQC719747 BGG719658:BGG719747 AWK719658:AWK719747 AMO719658:AMO719747 ACS719658:ACS719747 SW719658:SW719747 JA719658:JA719747 E719667:E719756 WVM654122:WVM654211 WLQ654122:WLQ654211 WBU654122:WBU654211 VRY654122:VRY654211 VIC654122:VIC654211 UYG654122:UYG654211 UOK654122:UOK654211 UEO654122:UEO654211 TUS654122:TUS654211 TKW654122:TKW654211 TBA654122:TBA654211 SRE654122:SRE654211 SHI654122:SHI654211 RXM654122:RXM654211 RNQ654122:RNQ654211 RDU654122:RDU654211 QTY654122:QTY654211 QKC654122:QKC654211 QAG654122:QAG654211 PQK654122:PQK654211 PGO654122:PGO654211 OWS654122:OWS654211 OMW654122:OMW654211 ODA654122:ODA654211 NTE654122:NTE654211 NJI654122:NJI654211 MZM654122:MZM654211 MPQ654122:MPQ654211 MFU654122:MFU654211 LVY654122:LVY654211 LMC654122:LMC654211 LCG654122:LCG654211 KSK654122:KSK654211 KIO654122:KIO654211 JYS654122:JYS654211 JOW654122:JOW654211 JFA654122:JFA654211 IVE654122:IVE654211 ILI654122:ILI654211 IBM654122:IBM654211 HRQ654122:HRQ654211 HHU654122:HHU654211 GXY654122:GXY654211 GOC654122:GOC654211 GEG654122:GEG654211 FUK654122:FUK654211 FKO654122:FKO654211 FAS654122:FAS654211 EQW654122:EQW654211 EHA654122:EHA654211 DXE654122:DXE654211 DNI654122:DNI654211 DDM654122:DDM654211 CTQ654122:CTQ654211 CJU654122:CJU654211 BZY654122:BZY654211 BQC654122:BQC654211 BGG654122:BGG654211 AWK654122:AWK654211 AMO654122:AMO654211 ACS654122:ACS654211 SW654122:SW654211 JA654122:JA654211 E654131:E654220 WVM588586:WVM588675 WLQ588586:WLQ588675 WBU588586:WBU588675 VRY588586:VRY588675 VIC588586:VIC588675 UYG588586:UYG588675 UOK588586:UOK588675 UEO588586:UEO588675 TUS588586:TUS588675 TKW588586:TKW588675 TBA588586:TBA588675 SRE588586:SRE588675 SHI588586:SHI588675 RXM588586:RXM588675 RNQ588586:RNQ588675 RDU588586:RDU588675 QTY588586:QTY588675 QKC588586:QKC588675 QAG588586:QAG588675 PQK588586:PQK588675 PGO588586:PGO588675 OWS588586:OWS588675 OMW588586:OMW588675 ODA588586:ODA588675 NTE588586:NTE588675 NJI588586:NJI588675 MZM588586:MZM588675 MPQ588586:MPQ588675 MFU588586:MFU588675 LVY588586:LVY588675 LMC588586:LMC588675 LCG588586:LCG588675 KSK588586:KSK588675 KIO588586:KIO588675 JYS588586:JYS588675 JOW588586:JOW588675 JFA588586:JFA588675 IVE588586:IVE588675 ILI588586:ILI588675 IBM588586:IBM588675 HRQ588586:HRQ588675 HHU588586:HHU588675 GXY588586:GXY588675 GOC588586:GOC588675 GEG588586:GEG588675 FUK588586:FUK588675 FKO588586:FKO588675 FAS588586:FAS588675 EQW588586:EQW588675 EHA588586:EHA588675 DXE588586:DXE588675 DNI588586:DNI588675 DDM588586:DDM588675 CTQ588586:CTQ588675 CJU588586:CJU588675 BZY588586:BZY588675 BQC588586:BQC588675 BGG588586:BGG588675 AWK588586:AWK588675 AMO588586:AMO588675 ACS588586:ACS588675 SW588586:SW588675 JA588586:JA588675 E588595:E588684 WVM523050:WVM523139 WLQ523050:WLQ523139 WBU523050:WBU523139 VRY523050:VRY523139 VIC523050:VIC523139 UYG523050:UYG523139 UOK523050:UOK523139 UEO523050:UEO523139 TUS523050:TUS523139 TKW523050:TKW523139 TBA523050:TBA523139 SRE523050:SRE523139 SHI523050:SHI523139 RXM523050:RXM523139 RNQ523050:RNQ523139 RDU523050:RDU523139 QTY523050:QTY523139 QKC523050:QKC523139 QAG523050:QAG523139 PQK523050:PQK523139 PGO523050:PGO523139 OWS523050:OWS523139 OMW523050:OMW523139 ODA523050:ODA523139 NTE523050:NTE523139 NJI523050:NJI523139 MZM523050:MZM523139 MPQ523050:MPQ523139 MFU523050:MFU523139 LVY523050:LVY523139 LMC523050:LMC523139 LCG523050:LCG523139 KSK523050:KSK523139 KIO523050:KIO523139 JYS523050:JYS523139 JOW523050:JOW523139 JFA523050:JFA523139 IVE523050:IVE523139 ILI523050:ILI523139 IBM523050:IBM523139 HRQ523050:HRQ523139 HHU523050:HHU523139 GXY523050:GXY523139 GOC523050:GOC523139 GEG523050:GEG523139 FUK523050:FUK523139 FKO523050:FKO523139 FAS523050:FAS523139 EQW523050:EQW523139 EHA523050:EHA523139 DXE523050:DXE523139 DNI523050:DNI523139 DDM523050:DDM523139 CTQ523050:CTQ523139 CJU523050:CJU523139 BZY523050:BZY523139 BQC523050:BQC523139 BGG523050:BGG523139 AWK523050:AWK523139 AMO523050:AMO523139 ACS523050:ACS523139 SW523050:SW523139 JA523050:JA523139 E523059:E523148 WVM457514:WVM457603 WLQ457514:WLQ457603 WBU457514:WBU457603 VRY457514:VRY457603 VIC457514:VIC457603 UYG457514:UYG457603 UOK457514:UOK457603 UEO457514:UEO457603 TUS457514:TUS457603 TKW457514:TKW457603 TBA457514:TBA457603 SRE457514:SRE457603 SHI457514:SHI457603 RXM457514:RXM457603 RNQ457514:RNQ457603 RDU457514:RDU457603 QTY457514:QTY457603 QKC457514:QKC457603 QAG457514:QAG457603 PQK457514:PQK457603 PGO457514:PGO457603 OWS457514:OWS457603 OMW457514:OMW457603 ODA457514:ODA457603 NTE457514:NTE457603 NJI457514:NJI457603 MZM457514:MZM457603 MPQ457514:MPQ457603 MFU457514:MFU457603 LVY457514:LVY457603 LMC457514:LMC457603 LCG457514:LCG457603 KSK457514:KSK457603 KIO457514:KIO457603 JYS457514:JYS457603 JOW457514:JOW457603 JFA457514:JFA457603 IVE457514:IVE457603 ILI457514:ILI457603 IBM457514:IBM457603 HRQ457514:HRQ457603 HHU457514:HHU457603 GXY457514:GXY457603 GOC457514:GOC457603 GEG457514:GEG457603 FUK457514:FUK457603 FKO457514:FKO457603 FAS457514:FAS457603 EQW457514:EQW457603 EHA457514:EHA457603 DXE457514:DXE457603 DNI457514:DNI457603 DDM457514:DDM457603 CTQ457514:CTQ457603 CJU457514:CJU457603 BZY457514:BZY457603 BQC457514:BQC457603 BGG457514:BGG457603 AWK457514:AWK457603 AMO457514:AMO457603 ACS457514:ACS457603 SW457514:SW457603 JA457514:JA457603 E457523:E457612 WVM391978:WVM392067 WLQ391978:WLQ392067 WBU391978:WBU392067 VRY391978:VRY392067 VIC391978:VIC392067 UYG391978:UYG392067 UOK391978:UOK392067 UEO391978:UEO392067 TUS391978:TUS392067 TKW391978:TKW392067 TBA391978:TBA392067 SRE391978:SRE392067 SHI391978:SHI392067 RXM391978:RXM392067 RNQ391978:RNQ392067 RDU391978:RDU392067 QTY391978:QTY392067 QKC391978:QKC392067 QAG391978:QAG392067 PQK391978:PQK392067 PGO391978:PGO392067 OWS391978:OWS392067 OMW391978:OMW392067 ODA391978:ODA392067 NTE391978:NTE392067 NJI391978:NJI392067 MZM391978:MZM392067 MPQ391978:MPQ392067 MFU391978:MFU392067 LVY391978:LVY392067 LMC391978:LMC392067 LCG391978:LCG392067 KSK391978:KSK392067 KIO391978:KIO392067 JYS391978:JYS392067 JOW391978:JOW392067 JFA391978:JFA392067 IVE391978:IVE392067 ILI391978:ILI392067 IBM391978:IBM392067 HRQ391978:HRQ392067 HHU391978:HHU392067 GXY391978:GXY392067 GOC391978:GOC392067 GEG391978:GEG392067 FUK391978:FUK392067 FKO391978:FKO392067 FAS391978:FAS392067 EQW391978:EQW392067 EHA391978:EHA392067 DXE391978:DXE392067 DNI391978:DNI392067 DDM391978:DDM392067 CTQ391978:CTQ392067 CJU391978:CJU392067 BZY391978:BZY392067 BQC391978:BQC392067 BGG391978:BGG392067 AWK391978:AWK392067 AMO391978:AMO392067 ACS391978:ACS392067 SW391978:SW392067 JA391978:JA392067 E391987:E392076 WVM326442:WVM326531 WLQ326442:WLQ326531 WBU326442:WBU326531 VRY326442:VRY326531 VIC326442:VIC326531 UYG326442:UYG326531 UOK326442:UOK326531 UEO326442:UEO326531 TUS326442:TUS326531 TKW326442:TKW326531 TBA326442:TBA326531 SRE326442:SRE326531 SHI326442:SHI326531 RXM326442:RXM326531 RNQ326442:RNQ326531 RDU326442:RDU326531 QTY326442:QTY326531 QKC326442:QKC326531 QAG326442:QAG326531 PQK326442:PQK326531 PGO326442:PGO326531 OWS326442:OWS326531 OMW326442:OMW326531 ODA326442:ODA326531 NTE326442:NTE326531 NJI326442:NJI326531 MZM326442:MZM326531 MPQ326442:MPQ326531 MFU326442:MFU326531 LVY326442:LVY326531 LMC326442:LMC326531 LCG326442:LCG326531 KSK326442:KSK326531 KIO326442:KIO326531 JYS326442:JYS326531 JOW326442:JOW326531 JFA326442:JFA326531 IVE326442:IVE326531 ILI326442:ILI326531 IBM326442:IBM326531 HRQ326442:HRQ326531 HHU326442:HHU326531 GXY326442:GXY326531 GOC326442:GOC326531 GEG326442:GEG326531 FUK326442:FUK326531 FKO326442:FKO326531 FAS326442:FAS326531 EQW326442:EQW326531 EHA326442:EHA326531 DXE326442:DXE326531 DNI326442:DNI326531 DDM326442:DDM326531 CTQ326442:CTQ326531 CJU326442:CJU326531 BZY326442:BZY326531 BQC326442:BQC326531 BGG326442:BGG326531 AWK326442:AWK326531 AMO326442:AMO326531 ACS326442:ACS326531 SW326442:SW326531 JA326442:JA326531 E326451:E326540 WVM260906:WVM260995 WLQ260906:WLQ260995 WBU260906:WBU260995 VRY260906:VRY260995 VIC260906:VIC260995 UYG260906:UYG260995 UOK260906:UOK260995 UEO260906:UEO260995 TUS260906:TUS260995 TKW260906:TKW260995 TBA260906:TBA260995 SRE260906:SRE260995 SHI260906:SHI260995 RXM260906:RXM260995 RNQ260906:RNQ260995 RDU260906:RDU260995 QTY260906:QTY260995 QKC260906:QKC260995 QAG260906:QAG260995 PQK260906:PQK260995 PGO260906:PGO260995 OWS260906:OWS260995 OMW260906:OMW260995 ODA260906:ODA260995 NTE260906:NTE260995 NJI260906:NJI260995 MZM260906:MZM260995 MPQ260906:MPQ260995 MFU260906:MFU260995 LVY260906:LVY260995 LMC260906:LMC260995 LCG260906:LCG260995 KSK260906:KSK260995 KIO260906:KIO260995 JYS260906:JYS260995 JOW260906:JOW260995 JFA260906:JFA260995 IVE260906:IVE260995 ILI260906:ILI260995 IBM260906:IBM260995 HRQ260906:HRQ260995 HHU260906:HHU260995 GXY260906:GXY260995 GOC260906:GOC260995 GEG260906:GEG260995 FUK260906:FUK260995 FKO260906:FKO260995 FAS260906:FAS260995 EQW260906:EQW260995 EHA260906:EHA260995 DXE260906:DXE260995 DNI260906:DNI260995 DDM260906:DDM260995 CTQ260906:CTQ260995 CJU260906:CJU260995 BZY260906:BZY260995 BQC260906:BQC260995 BGG260906:BGG260995 AWK260906:AWK260995 AMO260906:AMO260995 ACS260906:ACS260995 SW260906:SW260995 JA260906:JA260995 E260915:E261004 WVM195370:WVM195459 WLQ195370:WLQ195459 WBU195370:WBU195459 VRY195370:VRY195459 VIC195370:VIC195459 UYG195370:UYG195459 UOK195370:UOK195459 UEO195370:UEO195459 TUS195370:TUS195459 TKW195370:TKW195459 TBA195370:TBA195459 SRE195370:SRE195459 SHI195370:SHI195459 RXM195370:RXM195459 RNQ195370:RNQ195459 RDU195370:RDU195459 QTY195370:QTY195459 QKC195370:QKC195459 QAG195370:QAG195459 PQK195370:PQK195459 PGO195370:PGO195459 OWS195370:OWS195459 OMW195370:OMW195459 ODA195370:ODA195459 NTE195370:NTE195459 NJI195370:NJI195459 MZM195370:MZM195459 MPQ195370:MPQ195459 MFU195370:MFU195459 LVY195370:LVY195459 LMC195370:LMC195459 LCG195370:LCG195459 KSK195370:KSK195459 KIO195370:KIO195459 JYS195370:JYS195459 JOW195370:JOW195459 JFA195370:JFA195459 IVE195370:IVE195459 ILI195370:ILI195459 IBM195370:IBM195459 HRQ195370:HRQ195459 HHU195370:HHU195459 GXY195370:GXY195459 GOC195370:GOC195459 GEG195370:GEG195459 FUK195370:FUK195459 FKO195370:FKO195459 FAS195370:FAS195459 EQW195370:EQW195459 EHA195370:EHA195459 DXE195370:DXE195459 DNI195370:DNI195459 DDM195370:DDM195459 CTQ195370:CTQ195459 CJU195370:CJU195459 BZY195370:BZY195459 BQC195370:BQC195459 BGG195370:BGG195459 AWK195370:AWK195459 AMO195370:AMO195459 ACS195370:ACS195459 SW195370:SW195459 JA195370:JA195459 E195379:E195468 WVM129834:WVM129923 WLQ129834:WLQ129923 WBU129834:WBU129923 VRY129834:VRY129923 VIC129834:VIC129923 UYG129834:UYG129923 UOK129834:UOK129923 UEO129834:UEO129923 TUS129834:TUS129923 TKW129834:TKW129923 TBA129834:TBA129923 SRE129834:SRE129923 SHI129834:SHI129923 RXM129834:RXM129923 RNQ129834:RNQ129923 RDU129834:RDU129923 QTY129834:QTY129923 QKC129834:QKC129923 QAG129834:QAG129923 PQK129834:PQK129923 PGO129834:PGO129923 OWS129834:OWS129923 OMW129834:OMW129923 ODA129834:ODA129923 NTE129834:NTE129923 NJI129834:NJI129923 MZM129834:MZM129923 MPQ129834:MPQ129923 MFU129834:MFU129923 LVY129834:LVY129923 LMC129834:LMC129923 LCG129834:LCG129923 KSK129834:KSK129923 KIO129834:KIO129923 JYS129834:JYS129923 JOW129834:JOW129923 JFA129834:JFA129923 IVE129834:IVE129923 ILI129834:ILI129923 IBM129834:IBM129923 HRQ129834:HRQ129923 HHU129834:HHU129923 GXY129834:GXY129923 GOC129834:GOC129923 GEG129834:GEG129923 FUK129834:FUK129923 FKO129834:FKO129923 FAS129834:FAS129923 EQW129834:EQW129923 EHA129834:EHA129923 DXE129834:DXE129923 DNI129834:DNI129923 DDM129834:DDM129923 CTQ129834:CTQ129923 CJU129834:CJU129923 BZY129834:BZY129923 BQC129834:BQC129923 BGG129834:BGG129923 AWK129834:AWK129923 AMO129834:AMO129923 ACS129834:ACS129923 SW129834:SW129923 JA129834:JA129923 E129843:E129932 WVM64298:WVM64387 WLQ64298:WLQ64387 WBU64298:WBU64387 VRY64298:VRY64387 VIC64298:VIC64387 UYG64298:UYG64387 UOK64298:UOK64387 UEO64298:UEO64387 TUS64298:TUS64387 TKW64298:TKW64387 TBA64298:TBA64387 SRE64298:SRE64387 SHI64298:SHI64387 RXM64298:RXM64387 RNQ64298:RNQ64387 RDU64298:RDU64387 QTY64298:QTY64387 QKC64298:QKC64387 QAG64298:QAG64387 PQK64298:PQK64387 PGO64298:PGO64387 OWS64298:OWS64387 OMW64298:OMW64387 ODA64298:ODA64387 NTE64298:NTE64387 NJI64298:NJI64387 MZM64298:MZM64387 MPQ64298:MPQ64387 MFU64298:MFU64387 LVY64298:LVY64387 LMC64298:LMC64387 LCG64298:LCG64387 KSK64298:KSK64387 KIO64298:KIO64387 JYS64298:JYS64387 JOW64298:JOW64387 JFA64298:JFA64387 IVE64298:IVE64387 ILI64298:ILI64387 IBM64298:IBM64387 HRQ64298:HRQ64387 HHU64298:HHU64387 GXY64298:GXY64387 GOC64298:GOC64387 GEG64298:GEG64387 FUK64298:FUK64387 FKO64298:FKO64387 FAS64298:FAS64387 EQW64298:EQW64387 EHA64298:EHA64387 DXE64298:DXE64387 DNI64298:DNI64387 DDM64298:DDM64387 CTQ64298:CTQ64387 CJU64298:CJU64387 BZY64298:BZY64387 BQC64298:BQC64387 BGG64298:BGG64387 AWK64298:AWK64387 AMO64298:AMO64387 ACS64298:ACS64387 SW64298:SW64387 JA64298:JA64387 E64307:E64396 JA2:JA70 SW2:SW70 ACS2:ACS70 AMO2:AMO70 AWK2:AWK70 BGG2:BGG70 BQC2:BQC70 BZY2:BZY70 CJU2:CJU70 CTQ2:CTQ70 DDM2:DDM70 DNI2:DNI70 DXE2:DXE70 EHA2:EHA70 EQW2:EQW70 FAS2:FAS70 FKO2:FKO70 FUK2:FUK70 GEG2:GEG70 GOC2:GOC70 GXY2:GXY70 HHU2:HHU70 HRQ2:HRQ70 IBM2:IBM70 ILI2:ILI70 IVE2:IVE70 JFA2:JFA70 JOW2:JOW70 JYS2:JYS70 KIO2:KIO70 KSK2:KSK70 LCG2:LCG70 LMC2:LMC70 LVY2:LVY70 MFU2:MFU70 MPQ2:MPQ70 MZM2:MZM70 NJI2:NJI70 NTE2:NTE70 ODA2:ODA70 OMW2:OMW70 OWS2:OWS70 PGO2:PGO70 PQK2:PQK70 QAG2:QAG70 QKC2:QKC70 QTY2:QTY70 RDU2:RDU70 RNQ2:RNQ70 RXM2:RXM70 SHI2:SHI70 SRE2:SRE70 TBA2:TBA70 TKW2:TKW70 TUS2:TUS70 UEO2:UEO70 UOK2:UOK70 UYG2:UYG70 VIC2:VIC70 VRY2:VRY70 WBU2:WBU70 WLQ2:WLQ70 WVM2:WVM70">
      <formula1>$AG$2:$AG$13</formula1>
    </dataValidation>
    <dataValidation type="list" allowBlank="1" showInputMessage="1" showErrorMessage="1" sqref="WWF981802:WWF981885 WMJ981802:WMJ981885 WCN981802:WCN981885 VSR981802:VSR981885 VIV981802:VIV981885 UYZ981802:UYZ981885 UPD981802:UPD981885 UFH981802:UFH981885 TVL981802:TVL981885 TLP981802:TLP981885 TBT981802:TBT981885 SRX981802:SRX981885 SIB981802:SIB981885 RYF981802:RYF981885 ROJ981802:ROJ981885 REN981802:REN981885 QUR981802:QUR981885 QKV981802:QKV981885 QAZ981802:QAZ981885 PRD981802:PRD981885 PHH981802:PHH981885 OXL981802:OXL981885 ONP981802:ONP981885 ODT981802:ODT981885 NTX981802:NTX981885 NKB981802:NKB981885 NAF981802:NAF981885 MQJ981802:MQJ981885 MGN981802:MGN981885 LWR981802:LWR981885 LMV981802:LMV981885 LCZ981802:LCZ981885 KTD981802:KTD981885 KJH981802:KJH981885 JZL981802:JZL981885 JPP981802:JPP981885 JFT981802:JFT981885 IVX981802:IVX981885 IMB981802:IMB981885 ICF981802:ICF981885 HSJ981802:HSJ981885 HIN981802:HIN981885 GYR981802:GYR981885 GOV981802:GOV981885 GEZ981802:GEZ981885 FVD981802:FVD981885 FLH981802:FLH981885 FBL981802:FBL981885 ERP981802:ERP981885 EHT981802:EHT981885 DXX981802:DXX981885 DOB981802:DOB981885 DEF981802:DEF981885 CUJ981802:CUJ981885 CKN981802:CKN981885 CAR981802:CAR981885 BQV981802:BQV981885 BGZ981802:BGZ981885 AXD981802:AXD981885 ANH981802:ANH981885 ADL981802:ADL981885 TP981802:TP981885 JT981802:JT981885 X981802:X981885 WWF916266:WWF916349 WMJ916266:WMJ916349 WCN916266:WCN916349 VSR916266:VSR916349 VIV916266:VIV916349 UYZ916266:UYZ916349 UPD916266:UPD916349 UFH916266:UFH916349 TVL916266:TVL916349 TLP916266:TLP916349 TBT916266:TBT916349 SRX916266:SRX916349 SIB916266:SIB916349 RYF916266:RYF916349 ROJ916266:ROJ916349 REN916266:REN916349 QUR916266:QUR916349 QKV916266:QKV916349 QAZ916266:QAZ916349 PRD916266:PRD916349 PHH916266:PHH916349 OXL916266:OXL916349 ONP916266:ONP916349 ODT916266:ODT916349 NTX916266:NTX916349 NKB916266:NKB916349 NAF916266:NAF916349 MQJ916266:MQJ916349 MGN916266:MGN916349 LWR916266:LWR916349 LMV916266:LMV916349 LCZ916266:LCZ916349 KTD916266:KTD916349 KJH916266:KJH916349 JZL916266:JZL916349 JPP916266:JPP916349 JFT916266:JFT916349 IVX916266:IVX916349 IMB916266:IMB916349 ICF916266:ICF916349 HSJ916266:HSJ916349 HIN916266:HIN916349 GYR916266:GYR916349 GOV916266:GOV916349 GEZ916266:GEZ916349 FVD916266:FVD916349 FLH916266:FLH916349 FBL916266:FBL916349 ERP916266:ERP916349 EHT916266:EHT916349 DXX916266:DXX916349 DOB916266:DOB916349 DEF916266:DEF916349 CUJ916266:CUJ916349 CKN916266:CKN916349 CAR916266:CAR916349 BQV916266:BQV916349 BGZ916266:BGZ916349 AXD916266:AXD916349 ANH916266:ANH916349 ADL916266:ADL916349 TP916266:TP916349 JT916266:JT916349 X916266:X916349 WWF850730:WWF850813 WMJ850730:WMJ850813 WCN850730:WCN850813 VSR850730:VSR850813 VIV850730:VIV850813 UYZ850730:UYZ850813 UPD850730:UPD850813 UFH850730:UFH850813 TVL850730:TVL850813 TLP850730:TLP850813 TBT850730:TBT850813 SRX850730:SRX850813 SIB850730:SIB850813 RYF850730:RYF850813 ROJ850730:ROJ850813 REN850730:REN850813 QUR850730:QUR850813 QKV850730:QKV850813 QAZ850730:QAZ850813 PRD850730:PRD850813 PHH850730:PHH850813 OXL850730:OXL850813 ONP850730:ONP850813 ODT850730:ODT850813 NTX850730:NTX850813 NKB850730:NKB850813 NAF850730:NAF850813 MQJ850730:MQJ850813 MGN850730:MGN850813 LWR850730:LWR850813 LMV850730:LMV850813 LCZ850730:LCZ850813 KTD850730:KTD850813 KJH850730:KJH850813 JZL850730:JZL850813 JPP850730:JPP850813 JFT850730:JFT850813 IVX850730:IVX850813 IMB850730:IMB850813 ICF850730:ICF850813 HSJ850730:HSJ850813 HIN850730:HIN850813 GYR850730:GYR850813 GOV850730:GOV850813 GEZ850730:GEZ850813 FVD850730:FVD850813 FLH850730:FLH850813 FBL850730:FBL850813 ERP850730:ERP850813 EHT850730:EHT850813 DXX850730:DXX850813 DOB850730:DOB850813 DEF850730:DEF850813 CUJ850730:CUJ850813 CKN850730:CKN850813 CAR850730:CAR850813 BQV850730:BQV850813 BGZ850730:BGZ850813 AXD850730:AXD850813 ANH850730:ANH850813 ADL850730:ADL850813 TP850730:TP850813 JT850730:JT850813 X850730:X850813 WWF785194:WWF785277 WMJ785194:WMJ785277 WCN785194:WCN785277 VSR785194:VSR785277 VIV785194:VIV785277 UYZ785194:UYZ785277 UPD785194:UPD785277 UFH785194:UFH785277 TVL785194:TVL785277 TLP785194:TLP785277 TBT785194:TBT785277 SRX785194:SRX785277 SIB785194:SIB785277 RYF785194:RYF785277 ROJ785194:ROJ785277 REN785194:REN785277 QUR785194:QUR785277 QKV785194:QKV785277 QAZ785194:QAZ785277 PRD785194:PRD785277 PHH785194:PHH785277 OXL785194:OXL785277 ONP785194:ONP785277 ODT785194:ODT785277 NTX785194:NTX785277 NKB785194:NKB785277 NAF785194:NAF785277 MQJ785194:MQJ785277 MGN785194:MGN785277 LWR785194:LWR785277 LMV785194:LMV785277 LCZ785194:LCZ785277 KTD785194:KTD785277 KJH785194:KJH785277 JZL785194:JZL785277 JPP785194:JPP785277 JFT785194:JFT785277 IVX785194:IVX785277 IMB785194:IMB785277 ICF785194:ICF785277 HSJ785194:HSJ785277 HIN785194:HIN785277 GYR785194:GYR785277 GOV785194:GOV785277 GEZ785194:GEZ785277 FVD785194:FVD785277 FLH785194:FLH785277 FBL785194:FBL785277 ERP785194:ERP785277 EHT785194:EHT785277 DXX785194:DXX785277 DOB785194:DOB785277 DEF785194:DEF785277 CUJ785194:CUJ785277 CKN785194:CKN785277 CAR785194:CAR785277 BQV785194:BQV785277 BGZ785194:BGZ785277 AXD785194:AXD785277 ANH785194:ANH785277 ADL785194:ADL785277 TP785194:TP785277 JT785194:JT785277 X785194:X785277 WWF719658:WWF719741 WMJ719658:WMJ719741 WCN719658:WCN719741 VSR719658:VSR719741 VIV719658:VIV719741 UYZ719658:UYZ719741 UPD719658:UPD719741 UFH719658:UFH719741 TVL719658:TVL719741 TLP719658:TLP719741 TBT719658:TBT719741 SRX719658:SRX719741 SIB719658:SIB719741 RYF719658:RYF719741 ROJ719658:ROJ719741 REN719658:REN719741 QUR719658:QUR719741 QKV719658:QKV719741 QAZ719658:QAZ719741 PRD719658:PRD719741 PHH719658:PHH719741 OXL719658:OXL719741 ONP719658:ONP719741 ODT719658:ODT719741 NTX719658:NTX719741 NKB719658:NKB719741 NAF719658:NAF719741 MQJ719658:MQJ719741 MGN719658:MGN719741 LWR719658:LWR719741 LMV719658:LMV719741 LCZ719658:LCZ719741 KTD719658:KTD719741 KJH719658:KJH719741 JZL719658:JZL719741 JPP719658:JPP719741 JFT719658:JFT719741 IVX719658:IVX719741 IMB719658:IMB719741 ICF719658:ICF719741 HSJ719658:HSJ719741 HIN719658:HIN719741 GYR719658:GYR719741 GOV719658:GOV719741 GEZ719658:GEZ719741 FVD719658:FVD719741 FLH719658:FLH719741 FBL719658:FBL719741 ERP719658:ERP719741 EHT719658:EHT719741 DXX719658:DXX719741 DOB719658:DOB719741 DEF719658:DEF719741 CUJ719658:CUJ719741 CKN719658:CKN719741 CAR719658:CAR719741 BQV719658:BQV719741 BGZ719658:BGZ719741 AXD719658:AXD719741 ANH719658:ANH719741 ADL719658:ADL719741 TP719658:TP719741 JT719658:JT719741 X719658:X719741 WWF654122:WWF654205 WMJ654122:WMJ654205 WCN654122:WCN654205 VSR654122:VSR654205 VIV654122:VIV654205 UYZ654122:UYZ654205 UPD654122:UPD654205 UFH654122:UFH654205 TVL654122:TVL654205 TLP654122:TLP654205 TBT654122:TBT654205 SRX654122:SRX654205 SIB654122:SIB654205 RYF654122:RYF654205 ROJ654122:ROJ654205 REN654122:REN654205 QUR654122:QUR654205 QKV654122:QKV654205 QAZ654122:QAZ654205 PRD654122:PRD654205 PHH654122:PHH654205 OXL654122:OXL654205 ONP654122:ONP654205 ODT654122:ODT654205 NTX654122:NTX654205 NKB654122:NKB654205 NAF654122:NAF654205 MQJ654122:MQJ654205 MGN654122:MGN654205 LWR654122:LWR654205 LMV654122:LMV654205 LCZ654122:LCZ654205 KTD654122:KTD654205 KJH654122:KJH654205 JZL654122:JZL654205 JPP654122:JPP654205 JFT654122:JFT654205 IVX654122:IVX654205 IMB654122:IMB654205 ICF654122:ICF654205 HSJ654122:HSJ654205 HIN654122:HIN654205 GYR654122:GYR654205 GOV654122:GOV654205 GEZ654122:GEZ654205 FVD654122:FVD654205 FLH654122:FLH654205 FBL654122:FBL654205 ERP654122:ERP654205 EHT654122:EHT654205 DXX654122:DXX654205 DOB654122:DOB654205 DEF654122:DEF654205 CUJ654122:CUJ654205 CKN654122:CKN654205 CAR654122:CAR654205 BQV654122:BQV654205 BGZ654122:BGZ654205 AXD654122:AXD654205 ANH654122:ANH654205 ADL654122:ADL654205 TP654122:TP654205 JT654122:JT654205 X654122:X654205 WWF588586:WWF588669 WMJ588586:WMJ588669 WCN588586:WCN588669 VSR588586:VSR588669 VIV588586:VIV588669 UYZ588586:UYZ588669 UPD588586:UPD588669 UFH588586:UFH588669 TVL588586:TVL588669 TLP588586:TLP588669 TBT588586:TBT588669 SRX588586:SRX588669 SIB588586:SIB588669 RYF588586:RYF588669 ROJ588586:ROJ588669 REN588586:REN588669 QUR588586:QUR588669 QKV588586:QKV588669 QAZ588586:QAZ588669 PRD588586:PRD588669 PHH588586:PHH588669 OXL588586:OXL588669 ONP588586:ONP588669 ODT588586:ODT588669 NTX588586:NTX588669 NKB588586:NKB588669 NAF588586:NAF588669 MQJ588586:MQJ588669 MGN588586:MGN588669 LWR588586:LWR588669 LMV588586:LMV588669 LCZ588586:LCZ588669 KTD588586:KTD588669 KJH588586:KJH588669 JZL588586:JZL588669 JPP588586:JPP588669 JFT588586:JFT588669 IVX588586:IVX588669 IMB588586:IMB588669 ICF588586:ICF588669 HSJ588586:HSJ588669 HIN588586:HIN588669 GYR588586:GYR588669 GOV588586:GOV588669 GEZ588586:GEZ588669 FVD588586:FVD588669 FLH588586:FLH588669 FBL588586:FBL588669 ERP588586:ERP588669 EHT588586:EHT588669 DXX588586:DXX588669 DOB588586:DOB588669 DEF588586:DEF588669 CUJ588586:CUJ588669 CKN588586:CKN588669 CAR588586:CAR588669 BQV588586:BQV588669 BGZ588586:BGZ588669 AXD588586:AXD588669 ANH588586:ANH588669 ADL588586:ADL588669 TP588586:TP588669 JT588586:JT588669 X588586:X588669 WWF523050:WWF523133 WMJ523050:WMJ523133 WCN523050:WCN523133 VSR523050:VSR523133 VIV523050:VIV523133 UYZ523050:UYZ523133 UPD523050:UPD523133 UFH523050:UFH523133 TVL523050:TVL523133 TLP523050:TLP523133 TBT523050:TBT523133 SRX523050:SRX523133 SIB523050:SIB523133 RYF523050:RYF523133 ROJ523050:ROJ523133 REN523050:REN523133 QUR523050:QUR523133 QKV523050:QKV523133 QAZ523050:QAZ523133 PRD523050:PRD523133 PHH523050:PHH523133 OXL523050:OXL523133 ONP523050:ONP523133 ODT523050:ODT523133 NTX523050:NTX523133 NKB523050:NKB523133 NAF523050:NAF523133 MQJ523050:MQJ523133 MGN523050:MGN523133 LWR523050:LWR523133 LMV523050:LMV523133 LCZ523050:LCZ523133 KTD523050:KTD523133 KJH523050:KJH523133 JZL523050:JZL523133 JPP523050:JPP523133 JFT523050:JFT523133 IVX523050:IVX523133 IMB523050:IMB523133 ICF523050:ICF523133 HSJ523050:HSJ523133 HIN523050:HIN523133 GYR523050:GYR523133 GOV523050:GOV523133 GEZ523050:GEZ523133 FVD523050:FVD523133 FLH523050:FLH523133 FBL523050:FBL523133 ERP523050:ERP523133 EHT523050:EHT523133 DXX523050:DXX523133 DOB523050:DOB523133 DEF523050:DEF523133 CUJ523050:CUJ523133 CKN523050:CKN523133 CAR523050:CAR523133 BQV523050:BQV523133 BGZ523050:BGZ523133 AXD523050:AXD523133 ANH523050:ANH523133 ADL523050:ADL523133 TP523050:TP523133 JT523050:JT523133 X523050:X523133 WWF457514:WWF457597 WMJ457514:WMJ457597 WCN457514:WCN457597 VSR457514:VSR457597 VIV457514:VIV457597 UYZ457514:UYZ457597 UPD457514:UPD457597 UFH457514:UFH457597 TVL457514:TVL457597 TLP457514:TLP457597 TBT457514:TBT457597 SRX457514:SRX457597 SIB457514:SIB457597 RYF457514:RYF457597 ROJ457514:ROJ457597 REN457514:REN457597 QUR457514:QUR457597 QKV457514:QKV457597 QAZ457514:QAZ457597 PRD457514:PRD457597 PHH457514:PHH457597 OXL457514:OXL457597 ONP457514:ONP457597 ODT457514:ODT457597 NTX457514:NTX457597 NKB457514:NKB457597 NAF457514:NAF457597 MQJ457514:MQJ457597 MGN457514:MGN457597 LWR457514:LWR457597 LMV457514:LMV457597 LCZ457514:LCZ457597 KTD457514:KTD457597 KJH457514:KJH457597 JZL457514:JZL457597 JPP457514:JPP457597 JFT457514:JFT457597 IVX457514:IVX457597 IMB457514:IMB457597 ICF457514:ICF457597 HSJ457514:HSJ457597 HIN457514:HIN457597 GYR457514:GYR457597 GOV457514:GOV457597 GEZ457514:GEZ457597 FVD457514:FVD457597 FLH457514:FLH457597 FBL457514:FBL457597 ERP457514:ERP457597 EHT457514:EHT457597 DXX457514:DXX457597 DOB457514:DOB457597 DEF457514:DEF457597 CUJ457514:CUJ457597 CKN457514:CKN457597 CAR457514:CAR457597 BQV457514:BQV457597 BGZ457514:BGZ457597 AXD457514:AXD457597 ANH457514:ANH457597 ADL457514:ADL457597 TP457514:TP457597 JT457514:JT457597 X457514:X457597 WWF391978:WWF392061 WMJ391978:WMJ392061 WCN391978:WCN392061 VSR391978:VSR392061 VIV391978:VIV392061 UYZ391978:UYZ392061 UPD391978:UPD392061 UFH391978:UFH392061 TVL391978:TVL392061 TLP391978:TLP392061 TBT391978:TBT392061 SRX391978:SRX392061 SIB391978:SIB392061 RYF391978:RYF392061 ROJ391978:ROJ392061 REN391978:REN392061 QUR391978:QUR392061 QKV391978:QKV392061 QAZ391978:QAZ392061 PRD391978:PRD392061 PHH391978:PHH392061 OXL391978:OXL392061 ONP391978:ONP392061 ODT391978:ODT392061 NTX391978:NTX392061 NKB391978:NKB392061 NAF391978:NAF392061 MQJ391978:MQJ392061 MGN391978:MGN392061 LWR391978:LWR392061 LMV391978:LMV392061 LCZ391978:LCZ392061 KTD391978:KTD392061 KJH391978:KJH392061 JZL391978:JZL392061 JPP391978:JPP392061 JFT391978:JFT392061 IVX391978:IVX392061 IMB391978:IMB392061 ICF391978:ICF392061 HSJ391978:HSJ392061 HIN391978:HIN392061 GYR391978:GYR392061 GOV391978:GOV392061 GEZ391978:GEZ392061 FVD391978:FVD392061 FLH391978:FLH392061 FBL391978:FBL392061 ERP391978:ERP392061 EHT391978:EHT392061 DXX391978:DXX392061 DOB391978:DOB392061 DEF391978:DEF392061 CUJ391978:CUJ392061 CKN391978:CKN392061 CAR391978:CAR392061 BQV391978:BQV392061 BGZ391978:BGZ392061 AXD391978:AXD392061 ANH391978:ANH392061 ADL391978:ADL392061 TP391978:TP392061 JT391978:JT392061 X391978:X392061 WWF326442:WWF326525 WMJ326442:WMJ326525 WCN326442:WCN326525 VSR326442:VSR326525 VIV326442:VIV326525 UYZ326442:UYZ326525 UPD326442:UPD326525 UFH326442:UFH326525 TVL326442:TVL326525 TLP326442:TLP326525 TBT326442:TBT326525 SRX326442:SRX326525 SIB326442:SIB326525 RYF326442:RYF326525 ROJ326442:ROJ326525 REN326442:REN326525 QUR326442:QUR326525 QKV326442:QKV326525 QAZ326442:QAZ326525 PRD326442:PRD326525 PHH326442:PHH326525 OXL326442:OXL326525 ONP326442:ONP326525 ODT326442:ODT326525 NTX326442:NTX326525 NKB326442:NKB326525 NAF326442:NAF326525 MQJ326442:MQJ326525 MGN326442:MGN326525 LWR326442:LWR326525 LMV326442:LMV326525 LCZ326442:LCZ326525 KTD326442:KTD326525 KJH326442:KJH326525 JZL326442:JZL326525 JPP326442:JPP326525 JFT326442:JFT326525 IVX326442:IVX326525 IMB326442:IMB326525 ICF326442:ICF326525 HSJ326442:HSJ326525 HIN326442:HIN326525 GYR326442:GYR326525 GOV326442:GOV326525 GEZ326442:GEZ326525 FVD326442:FVD326525 FLH326442:FLH326525 FBL326442:FBL326525 ERP326442:ERP326525 EHT326442:EHT326525 DXX326442:DXX326525 DOB326442:DOB326525 DEF326442:DEF326525 CUJ326442:CUJ326525 CKN326442:CKN326525 CAR326442:CAR326525 BQV326442:BQV326525 BGZ326442:BGZ326525 AXD326442:AXD326525 ANH326442:ANH326525 ADL326442:ADL326525 TP326442:TP326525 JT326442:JT326525 X326442:X326525 WWF260906:WWF260989 WMJ260906:WMJ260989 WCN260906:WCN260989 VSR260906:VSR260989 VIV260906:VIV260989 UYZ260906:UYZ260989 UPD260906:UPD260989 UFH260906:UFH260989 TVL260906:TVL260989 TLP260906:TLP260989 TBT260906:TBT260989 SRX260906:SRX260989 SIB260906:SIB260989 RYF260906:RYF260989 ROJ260906:ROJ260989 REN260906:REN260989 QUR260906:QUR260989 QKV260906:QKV260989 QAZ260906:QAZ260989 PRD260906:PRD260989 PHH260906:PHH260989 OXL260906:OXL260989 ONP260906:ONP260989 ODT260906:ODT260989 NTX260906:NTX260989 NKB260906:NKB260989 NAF260906:NAF260989 MQJ260906:MQJ260989 MGN260906:MGN260989 LWR260906:LWR260989 LMV260906:LMV260989 LCZ260906:LCZ260989 KTD260906:KTD260989 KJH260906:KJH260989 JZL260906:JZL260989 JPP260906:JPP260989 JFT260906:JFT260989 IVX260906:IVX260989 IMB260906:IMB260989 ICF260906:ICF260989 HSJ260906:HSJ260989 HIN260906:HIN260989 GYR260906:GYR260989 GOV260906:GOV260989 GEZ260906:GEZ260989 FVD260906:FVD260989 FLH260906:FLH260989 FBL260906:FBL260989 ERP260906:ERP260989 EHT260906:EHT260989 DXX260906:DXX260989 DOB260906:DOB260989 DEF260906:DEF260989 CUJ260906:CUJ260989 CKN260906:CKN260989 CAR260906:CAR260989 BQV260906:BQV260989 BGZ260906:BGZ260989 AXD260906:AXD260989 ANH260906:ANH260989 ADL260906:ADL260989 TP260906:TP260989 JT260906:JT260989 X260906:X260989 WWF195370:WWF195453 WMJ195370:WMJ195453 WCN195370:WCN195453 VSR195370:VSR195453 VIV195370:VIV195453 UYZ195370:UYZ195453 UPD195370:UPD195453 UFH195370:UFH195453 TVL195370:TVL195453 TLP195370:TLP195453 TBT195370:TBT195453 SRX195370:SRX195453 SIB195370:SIB195453 RYF195370:RYF195453 ROJ195370:ROJ195453 REN195370:REN195453 QUR195370:QUR195453 QKV195370:QKV195453 QAZ195370:QAZ195453 PRD195370:PRD195453 PHH195370:PHH195453 OXL195370:OXL195453 ONP195370:ONP195453 ODT195370:ODT195453 NTX195370:NTX195453 NKB195370:NKB195453 NAF195370:NAF195453 MQJ195370:MQJ195453 MGN195370:MGN195453 LWR195370:LWR195453 LMV195370:LMV195453 LCZ195370:LCZ195453 KTD195370:KTD195453 KJH195370:KJH195453 JZL195370:JZL195453 JPP195370:JPP195453 JFT195370:JFT195453 IVX195370:IVX195453 IMB195370:IMB195453 ICF195370:ICF195453 HSJ195370:HSJ195453 HIN195370:HIN195453 GYR195370:GYR195453 GOV195370:GOV195453 GEZ195370:GEZ195453 FVD195370:FVD195453 FLH195370:FLH195453 FBL195370:FBL195453 ERP195370:ERP195453 EHT195370:EHT195453 DXX195370:DXX195453 DOB195370:DOB195453 DEF195370:DEF195453 CUJ195370:CUJ195453 CKN195370:CKN195453 CAR195370:CAR195453 BQV195370:BQV195453 BGZ195370:BGZ195453 AXD195370:AXD195453 ANH195370:ANH195453 ADL195370:ADL195453 TP195370:TP195453 JT195370:JT195453 X195370:X195453 WWF129834:WWF129917 WMJ129834:WMJ129917 WCN129834:WCN129917 VSR129834:VSR129917 VIV129834:VIV129917 UYZ129834:UYZ129917 UPD129834:UPD129917 UFH129834:UFH129917 TVL129834:TVL129917 TLP129834:TLP129917 TBT129834:TBT129917 SRX129834:SRX129917 SIB129834:SIB129917 RYF129834:RYF129917 ROJ129834:ROJ129917 REN129834:REN129917 QUR129834:QUR129917 QKV129834:QKV129917 QAZ129834:QAZ129917 PRD129834:PRD129917 PHH129834:PHH129917 OXL129834:OXL129917 ONP129834:ONP129917 ODT129834:ODT129917 NTX129834:NTX129917 NKB129834:NKB129917 NAF129834:NAF129917 MQJ129834:MQJ129917 MGN129834:MGN129917 LWR129834:LWR129917 LMV129834:LMV129917 LCZ129834:LCZ129917 KTD129834:KTD129917 KJH129834:KJH129917 JZL129834:JZL129917 JPP129834:JPP129917 JFT129834:JFT129917 IVX129834:IVX129917 IMB129834:IMB129917 ICF129834:ICF129917 HSJ129834:HSJ129917 HIN129834:HIN129917 GYR129834:GYR129917 GOV129834:GOV129917 GEZ129834:GEZ129917 FVD129834:FVD129917 FLH129834:FLH129917 FBL129834:FBL129917 ERP129834:ERP129917 EHT129834:EHT129917 DXX129834:DXX129917 DOB129834:DOB129917 DEF129834:DEF129917 CUJ129834:CUJ129917 CKN129834:CKN129917 CAR129834:CAR129917 BQV129834:BQV129917 BGZ129834:BGZ129917 AXD129834:AXD129917 ANH129834:ANH129917 ADL129834:ADL129917 TP129834:TP129917 JT129834:JT129917 X129834:X129917 WWF64298:WWF64381 WMJ64298:WMJ64381 WCN64298:WCN64381 VSR64298:VSR64381 VIV64298:VIV64381 UYZ64298:UYZ64381 UPD64298:UPD64381 UFH64298:UFH64381 TVL64298:TVL64381 TLP64298:TLP64381 TBT64298:TBT64381 SRX64298:SRX64381 SIB64298:SIB64381 RYF64298:RYF64381 ROJ64298:ROJ64381 REN64298:REN64381 QUR64298:QUR64381 QKV64298:QKV64381 QAZ64298:QAZ64381 PRD64298:PRD64381 PHH64298:PHH64381 OXL64298:OXL64381 ONP64298:ONP64381 ODT64298:ODT64381 NTX64298:NTX64381 NKB64298:NKB64381 NAF64298:NAF64381 MQJ64298:MQJ64381 MGN64298:MGN64381 LWR64298:LWR64381 LMV64298:LMV64381 LCZ64298:LCZ64381 KTD64298:KTD64381 KJH64298:KJH64381 JZL64298:JZL64381 JPP64298:JPP64381 JFT64298:JFT64381 IVX64298:IVX64381 IMB64298:IMB64381 ICF64298:ICF64381 HSJ64298:HSJ64381 HIN64298:HIN64381 GYR64298:GYR64381 GOV64298:GOV64381 GEZ64298:GEZ64381 FVD64298:FVD64381 FLH64298:FLH64381 FBL64298:FBL64381 ERP64298:ERP64381 EHT64298:EHT64381 DXX64298:DXX64381 DOB64298:DOB64381 DEF64298:DEF64381 CUJ64298:CUJ64381 CKN64298:CKN64381 CAR64298:CAR64381 BQV64298:BQV64381 BGZ64298:BGZ64381 AXD64298:AXD64381 ANH64298:ANH64381 ADL64298:ADL64381 TP64298:TP64381 JT64298:JT64381 X64298:X64381 X93:X497 JT2:JT70 TP2:TP70 ADL2:ADL70 ANH2:ANH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X2:X91">
      <formula1>$AT$2:$AT$3</formula1>
    </dataValidation>
    <dataValidation operator="equal" allowBlank="1" showInputMessage="1" showErrorMessage="1" sqref="WVJ981802:WVJ981891 WLN981802:WLN981891 WBR981802:WBR981891 VRV981802:VRV981891 VHZ981802:VHZ981891 UYD981802:UYD981891 UOH981802:UOH981891 UEL981802:UEL981891 TUP981802:TUP981891 TKT981802:TKT981891 TAX981802:TAX981891 SRB981802:SRB981891 SHF981802:SHF981891 RXJ981802:RXJ981891 RNN981802:RNN981891 RDR981802:RDR981891 QTV981802:QTV981891 QJZ981802:QJZ981891 QAD981802:QAD981891 PQH981802:PQH981891 PGL981802:PGL981891 OWP981802:OWP981891 OMT981802:OMT981891 OCX981802:OCX981891 NTB981802:NTB981891 NJF981802:NJF981891 MZJ981802:MZJ981891 MPN981802:MPN981891 MFR981802:MFR981891 LVV981802:LVV981891 LLZ981802:LLZ981891 LCD981802:LCD981891 KSH981802:KSH981891 KIL981802:KIL981891 JYP981802:JYP981891 JOT981802:JOT981891 JEX981802:JEX981891 IVB981802:IVB981891 ILF981802:ILF981891 IBJ981802:IBJ981891 HRN981802:HRN981891 HHR981802:HHR981891 GXV981802:GXV981891 GNZ981802:GNZ981891 GED981802:GED981891 FUH981802:FUH981891 FKL981802:FKL981891 FAP981802:FAP981891 EQT981802:EQT981891 EGX981802:EGX981891 DXB981802:DXB981891 DNF981802:DNF981891 DDJ981802:DDJ981891 CTN981802:CTN981891 CJR981802:CJR981891 BZV981802:BZV981891 BPZ981802:BPZ981891 BGD981802:BGD981891 AWH981802:AWH981891 AML981802:AML981891 ACP981802:ACP981891 ST981802:ST981891 IX981802:IX981891 B981808:B981897 WVJ916266:WVJ916355 WLN916266:WLN916355 WBR916266:WBR916355 VRV916266:VRV916355 VHZ916266:VHZ916355 UYD916266:UYD916355 UOH916266:UOH916355 UEL916266:UEL916355 TUP916266:TUP916355 TKT916266:TKT916355 TAX916266:TAX916355 SRB916266:SRB916355 SHF916266:SHF916355 RXJ916266:RXJ916355 RNN916266:RNN916355 RDR916266:RDR916355 QTV916266:QTV916355 QJZ916266:QJZ916355 QAD916266:QAD916355 PQH916266:PQH916355 PGL916266:PGL916355 OWP916266:OWP916355 OMT916266:OMT916355 OCX916266:OCX916355 NTB916266:NTB916355 NJF916266:NJF916355 MZJ916266:MZJ916355 MPN916266:MPN916355 MFR916266:MFR916355 LVV916266:LVV916355 LLZ916266:LLZ916355 LCD916266:LCD916355 KSH916266:KSH916355 KIL916266:KIL916355 JYP916266:JYP916355 JOT916266:JOT916355 JEX916266:JEX916355 IVB916266:IVB916355 ILF916266:ILF916355 IBJ916266:IBJ916355 HRN916266:HRN916355 HHR916266:HHR916355 GXV916266:GXV916355 GNZ916266:GNZ916355 GED916266:GED916355 FUH916266:FUH916355 FKL916266:FKL916355 FAP916266:FAP916355 EQT916266:EQT916355 EGX916266:EGX916355 DXB916266:DXB916355 DNF916266:DNF916355 DDJ916266:DDJ916355 CTN916266:CTN916355 CJR916266:CJR916355 BZV916266:BZV916355 BPZ916266:BPZ916355 BGD916266:BGD916355 AWH916266:AWH916355 AML916266:AML916355 ACP916266:ACP916355 ST916266:ST916355 IX916266:IX916355 B916272:B916361 WVJ850730:WVJ850819 WLN850730:WLN850819 WBR850730:WBR850819 VRV850730:VRV850819 VHZ850730:VHZ850819 UYD850730:UYD850819 UOH850730:UOH850819 UEL850730:UEL850819 TUP850730:TUP850819 TKT850730:TKT850819 TAX850730:TAX850819 SRB850730:SRB850819 SHF850730:SHF850819 RXJ850730:RXJ850819 RNN850730:RNN850819 RDR850730:RDR850819 QTV850730:QTV850819 QJZ850730:QJZ850819 QAD850730:QAD850819 PQH850730:PQH850819 PGL850730:PGL850819 OWP850730:OWP850819 OMT850730:OMT850819 OCX850730:OCX850819 NTB850730:NTB850819 NJF850730:NJF850819 MZJ850730:MZJ850819 MPN850730:MPN850819 MFR850730:MFR850819 LVV850730:LVV850819 LLZ850730:LLZ850819 LCD850730:LCD850819 KSH850730:KSH850819 KIL850730:KIL850819 JYP850730:JYP850819 JOT850730:JOT850819 JEX850730:JEX850819 IVB850730:IVB850819 ILF850730:ILF850819 IBJ850730:IBJ850819 HRN850730:HRN850819 HHR850730:HHR850819 GXV850730:GXV850819 GNZ850730:GNZ850819 GED850730:GED850819 FUH850730:FUH850819 FKL850730:FKL850819 FAP850730:FAP850819 EQT850730:EQT850819 EGX850730:EGX850819 DXB850730:DXB850819 DNF850730:DNF850819 DDJ850730:DDJ850819 CTN850730:CTN850819 CJR850730:CJR850819 BZV850730:BZV850819 BPZ850730:BPZ850819 BGD850730:BGD850819 AWH850730:AWH850819 AML850730:AML850819 ACP850730:ACP850819 ST850730:ST850819 IX850730:IX850819 B850736:B850825 WVJ785194:WVJ785283 WLN785194:WLN785283 WBR785194:WBR785283 VRV785194:VRV785283 VHZ785194:VHZ785283 UYD785194:UYD785283 UOH785194:UOH785283 UEL785194:UEL785283 TUP785194:TUP785283 TKT785194:TKT785283 TAX785194:TAX785283 SRB785194:SRB785283 SHF785194:SHF785283 RXJ785194:RXJ785283 RNN785194:RNN785283 RDR785194:RDR785283 QTV785194:QTV785283 QJZ785194:QJZ785283 QAD785194:QAD785283 PQH785194:PQH785283 PGL785194:PGL785283 OWP785194:OWP785283 OMT785194:OMT785283 OCX785194:OCX785283 NTB785194:NTB785283 NJF785194:NJF785283 MZJ785194:MZJ785283 MPN785194:MPN785283 MFR785194:MFR785283 LVV785194:LVV785283 LLZ785194:LLZ785283 LCD785194:LCD785283 KSH785194:KSH785283 KIL785194:KIL785283 JYP785194:JYP785283 JOT785194:JOT785283 JEX785194:JEX785283 IVB785194:IVB785283 ILF785194:ILF785283 IBJ785194:IBJ785283 HRN785194:HRN785283 HHR785194:HHR785283 GXV785194:GXV785283 GNZ785194:GNZ785283 GED785194:GED785283 FUH785194:FUH785283 FKL785194:FKL785283 FAP785194:FAP785283 EQT785194:EQT785283 EGX785194:EGX785283 DXB785194:DXB785283 DNF785194:DNF785283 DDJ785194:DDJ785283 CTN785194:CTN785283 CJR785194:CJR785283 BZV785194:BZV785283 BPZ785194:BPZ785283 BGD785194:BGD785283 AWH785194:AWH785283 AML785194:AML785283 ACP785194:ACP785283 ST785194:ST785283 IX785194:IX785283 B785200:B785289 WVJ719658:WVJ719747 WLN719658:WLN719747 WBR719658:WBR719747 VRV719658:VRV719747 VHZ719658:VHZ719747 UYD719658:UYD719747 UOH719658:UOH719747 UEL719658:UEL719747 TUP719658:TUP719747 TKT719658:TKT719747 TAX719658:TAX719747 SRB719658:SRB719747 SHF719658:SHF719747 RXJ719658:RXJ719747 RNN719658:RNN719747 RDR719658:RDR719747 QTV719658:QTV719747 QJZ719658:QJZ719747 QAD719658:QAD719747 PQH719658:PQH719747 PGL719658:PGL719747 OWP719658:OWP719747 OMT719658:OMT719747 OCX719658:OCX719747 NTB719658:NTB719747 NJF719658:NJF719747 MZJ719658:MZJ719747 MPN719658:MPN719747 MFR719658:MFR719747 LVV719658:LVV719747 LLZ719658:LLZ719747 LCD719658:LCD719747 KSH719658:KSH719747 KIL719658:KIL719747 JYP719658:JYP719747 JOT719658:JOT719747 JEX719658:JEX719747 IVB719658:IVB719747 ILF719658:ILF719747 IBJ719658:IBJ719747 HRN719658:HRN719747 HHR719658:HHR719747 GXV719658:GXV719747 GNZ719658:GNZ719747 GED719658:GED719747 FUH719658:FUH719747 FKL719658:FKL719747 FAP719658:FAP719747 EQT719658:EQT719747 EGX719658:EGX719747 DXB719658:DXB719747 DNF719658:DNF719747 DDJ719658:DDJ719747 CTN719658:CTN719747 CJR719658:CJR719747 BZV719658:BZV719747 BPZ719658:BPZ719747 BGD719658:BGD719747 AWH719658:AWH719747 AML719658:AML719747 ACP719658:ACP719747 ST719658:ST719747 IX719658:IX719747 B719664:B719753 WVJ654122:WVJ654211 WLN654122:WLN654211 WBR654122:WBR654211 VRV654122:VRV654211 VHZ654122:VHZ654211 UYD654122:UYD654211 UOH654122:UOH654211 UEL654122:UEL654211 TUP654122:TUP654211 TKT654122:TKT654211 TAX654122:TAX654211 SRB654122:SRB654211 SHF654122:SHF654211 RXJ654122:RXJ654211 RNN654122:RNN654211 RDR654122:RDR654211 QTV654122:QTV654211 QJZ654122:QJZ654211 QAD654122:QAD654211 PQH654122:PQH654211 PGL654122:PGL654211 OWP654122:OWP654211 OMT654122:OMT654211 OCX654122:OCX654211 NTB654122:NTB654211 NJF654122:NJF654211 MZJ654122:MZJ654211 MPN654122:MPN654211 MFR654122:MFR654211 LVV654122:LVV654211 LLZ654122:LLZ654211 LCD654122:LCD654211 KSH654122:KSH654211 KIL654122:KIL654211 JYP654122:JYP654211 JOT654122:JOT654211 JEX654122:JEX654211 IVB654122:IVB654211 ILF654122:ILF654211 IBJ654122:IBJ654211 HRN654122:HRN654211 HHR654122:HHR654211 GXV654122:GXV654211 GNZ654122:GNZ654211 GED654122:GED654211 FUH654122:FUH654211 FKL654122:FKL654211 FAP654122:FAP654211 EQT654122:EQT654211 EGX654122:EGX654211 DXB654122:DXB654211 DNF654122:DNF654211 DDJ654122:DDJ654211 CTN654122:CTN654211 CJR654122:CJR654211 BZV654122:BZV654211 BPZ654122:BPZ654211 BGD654122:BGD654211 AWH654122:AWH654211 AML654122:AML654211 ACP654122:ACP654211 ST654122:ST654211 IX654122:IX654211 B654128:B654217 WVJ588586:WVJ588675 WLN588586:WLN588675 WBR588586:WBR588675 VRV588586:VRV588675 VHZ588586:VHZ588675 UYD588586:UYD588675 UOH588586:UOH588675 UEL588586:UEL588675 TUP588586:TUP588675 TKT588586:TKT588675 TAX588586:TAX588675 SRB588586:SRB588675 SHF588586:SHF588675 RXJ588586:RXJ588675 RNN588586:RNN588675 RDR588586:RDR588675 QTV588586:QTV588675 QJZ588586:QJZ588675 QAD588586:QAD588675 PQH588586:PQH588675 PGL588586:PGL588675 OWP588586:OWP588675 OMT588586:OMT588675 OCX588586:OCX588675 NTB588586:NTB588675 NJF588586:NJF588675 MZJ588586:MZJ588675 MPN588586:MPN588675 MFR588586:MFR588675 LVV588586:LVV588675 LLZ588586:LLZ588675 LCD588586:LCD588675 KSH588586:KSH588675 KIL588586:KIL588675 JYP588586:JYP588675 JOT588586:JOT588675 JEX588586:JEX588675 IVB588586:IVB588675 ILF588586:ILF588675 IBJ588586:IBJ588675 HRN588586:HRN588675 HHR588586:HHR588675 GXV588586:GXV588675 GNZ588586:GNZ588675 GED588586:GED588675 FUH588586:FUH588675 FKL588586:FKL588675 FAP588586:FAP588675 EQT588586:EQT588675 EGX588586:EGX588675 DXB588586:DXB588675 DNF588586:DNF588675 DDJ588586:DDJ588675 CTN588586:CTN588675 CJR588586:CJR588675 BZV588586:BZV588675 BPZ588586:BPZ588675 BGD588586:BGD588675 AWH588586:AWH588675 AML588586:AML588675 ACP588586:ACP588675 ST588586:ST588675 IX588586:IX588675 B588592:B588681 WVJ523050:WVJ523139 WLN523050:WLN523139 WBR523050:WBR523139 VRV523050:VRV523139 VHZ523050:VHZ523139 UYD523050:UYD523139 UOH523050:UOH523139 UEL523050:UEL523139 TUP523050:TUP523139 TKT523050:TKT523139 TAX523050:TAX523139 SRB523050:SRB523139 SHF523050:SHF523139 RXJ523050:RXJ523139 RNN523050:RNN523139 RDR523050:RDR523139 QTV523050:QTV523139 QJZ523050:QJZ523139 QAD523050:QAD523139 PQH523050:PQH523139 PGL523050:PGL523139 OWP523050:OWP523139 OMT523050:OMT523139 OCX523050:OCX523139 NTB523050:NTB523139 NJF523050:NJF523139 MZJ523050:MZJ523139 MPN523050:MPN523139 MFR523050:MFR523139 LVV523050:LVV523139 LLZ523050:LLZ523139 LCD523050:LCD523139 KSH523050:KSH523139 KIL523050:KIL523139 JYP523050:JYP523139 JOT523050:JOT523139 JEX523050:JEX523139 IVB523050:IVB523139 ILF523050:ILF523139 IBJ523050:IBJ523139 HRN523050:HRN523139 HHR523050:HHR523139 GXV523050:GXV523139 GNZ523050:GNZ523139 GED523050:GED523139 FUH523050:FUH523139 FKL523050:FKL523139 FAP523050:FAP523139 EQT523050:EQT523139 EGX523050:EGX523139 DXB523050:DXB523139 DNF523050:DNF523139 DDJ523050:DDJ523139 CTN523050:CTN523139 CJR523050:CJR523139 BZV523050:BZV523139 BPZ523050:BPZ523139 BGD523050:BGD523139 AWH523050:AWH523139 AML523050:AML523139 ACP523050:ACP523139 ST523050:ST523139 IX523050:IX523139 B523056:B523145 WVJ457514:WVJ457603 WLN457514:WLN457603 WBR457514:WBR457603 VRV457514:VRV457603 VHZ457514:VHZ457603 UYD457514:UYD457603 UOH457514:UOH457603 UEL457514:UEL457603 TUP457514:TUP457603 TKT457514:TKT457603 TAX457514:TAX457603 SRB457514:SRB457603 SHF457514:SHF457603 RXJ457514:RXJ457603 RNN457514:RNN457603 RDR457514:RDR457603 QTV457514:QTV457603 QJZ457514:QJZ457603 QAD457514:QAD457603 PQH457514:PQH457603 PGL457514:PGL457603 OWP457514:OWP457603 OMT457514:OMT457603 OCX457514:OCX457603 NTB457514:NTB457603 NJF457514:NJF457603 MZJ457514:MZJ457603 MPN457514:MPN457603 MFR457514:MFR457603 LVV457514:LVV457603 LLZ457514:LLZ457603 LCD457514:LCD457603 KSH457514:KSH457603 KIL457514:KIL457603 JYP457514:JYP457603 JOT457514:JOT457603 JEX457514:JEX457603 IVB457514:IVB457603 ILF457514:ILF457603 IBJ457514:IBJ457603 HRN457514:HRN457603 HHR457514:HHR457603 GXV457514:GXV457603 GNZ457514:GNZ457603 GED457514:GED457603 FUH457514:FUH457603 FKL457514:FKL457603 FAP457514:FAP457603 EQT457514:EQT457603 EGX457514:EGX457603 DXB457514:DXB457603 DNF457514:DNF457603 DDJ457514:DDJ457603 CTN457514:CTN457603 CJR457514:CJR457603 BZV457514:BZV457603 BPZ457514:BPZ457603 BGD457514:BGD457603 AWH457514:AWH457603 AML457514:AML457603 ACP457514:ACP457603 ST457514:ST457603 IX457514:IX457603 B457520:B457609 WVJ391978:WVJ392067 WLN391978:WLN392067 WBR391978:WBR392067 VRV391978:VRV392067 VHZ391978:VHZ392067 UYD391978:UYD392067 UOH391978:UOH392067 UEL391978:UEL392067 TUP391978:TUP392067 TKT391978:TKT392067 TAX391978:TAX392067 SRB391978:SRB392067 SHF391978:SHF392067 RXJ391978:RXJ392067 RNN391978:RNN392067 RDR391978:RDR392067 QTV391978:QTV392067 QJZ391978:QJZ392067 QAD391978:QAD392067 PQH391978:PQH392067 PGL391978:PGL392067 OWP391978:OWP392067 OMT391978:OMT392067 OCX391978:OCX392067 NTB391978:NTB392067 NJF391978:NJF392067 MZJ391978:MZJ392067 MPN391978:MPN392067 MFR391978:MFR392067 LVV391978:LVV392067 LLZ391978:LLZ392067 LCD391978:LCD392067 KSH391978:KSH392067 KIL391978:KIL392067 JYP391978:JYP392067 JOT391978:JOT392067 JEX391978:JEX392067 IVB391978:IVB392067 ILF391978:ILF392067 IBJ391978:IBJ392067 HRN391978:HRN392067 HHR391978:HHR392067 GXV391978:GXV392067 GNZ391978:GNZ392067 GED391978:GED392067 FUH391978:FUH392067 FKL391978:FKL392067 FAP391978:FAP392067 EQT391978:EQT392067 EGX391978:EGX392067 DXB391978:DXB392067 DNF391978:DNF392067 DDJ391978:DDJ392067 CTN391978:CTN392067 CJR391978:CJR392067 BZV391978:BZV392067 BPZ391978:BPZ392067 BGD391978:BGD392067 AWH391978:AWH392067 AML391978:AML392067 ACP391978:ACP392067 ST391978:ST392067 IX391978:IX392067 B391984:B392073 WVJ326442:WVJ326531 WLN326442:WLN326531 WBR326442:WBR326531 VRV326442:VRV326531 VHZ326442:VHZ326531 UYD326442:UYD326531 UOH326442:UOH326531 UEL326442:UEL326531 TUP326442:TUP326531 TKT326442:TKT326531 TAX326442:TAX326531 SRB326442:SRB326531 SHF326442:SHF326531 RXJ326442:RXJ326531 RNN326442:RNN326531 RDR326442:RDR326531 QTV326442:QTV326531 QJZ326442:QJZ326531 QAD326442:QAD326531 PQH326442:PQH326531 PGL326442:PGL326531 OWP326442:OWP326531 OMT326442:OMT326531 OCX326442:OCX326531 NTB326442:NTB326531 NJF326442:NJF326531 MZJ326442:MZJ326531 MPN326442:MPN326531 MFR326442:MFR326531 LVV326442:LVV326531 LLZ326442:LLZ326531 LCD326442:LCD326531 KSH326442:KSH326531 KIL326442:KIL326531 JYP326442:JYP326531 JOT326442:JOT326531 JEX326442:JEX326531 IVB326442:IVB326531 ILF326442:ILF326531 IBJ326442:IBJ326531 HRN326442:HRN326531 HHR326442:HHR326531 GXV326442:GXV326531 GNZ326442:GNZ326531 GED326442:GED326531 FUH326442:FUH326531 FKL326442:FKL326531 FAP326442:FAP326531 EQT326442:EQT326531 EGX326442:EGX326531 DXB326442:DXB326531 DNF326442:DNF326531 DDJ326442:DDJ326531 CTN326442:CTN326531 CJR326442:CJR326531 BZV326442:BZV326531 BPZ326442:BPZ326531 BGD326442:BGD326531 AWH326442:AWH326531 AML326442:AML326531 ACP326442:ACP326531 ST326442:ST326531 IX326442:IX326531 B326448:B326537 WVJ260906:WVJ260995 WLN260906:WLN260995 WBR260906:WBR260995 VRV260906:VRV260995 VHZ260906:VHZ260995 UYD260906:UYD260995 UOH260906:UOH260995 UEL260906:UEL260995 TUP260906:TUP260995 TKT260906:TKT260995 TAX260906:TAX260995 SRB260906:SRB260995 SHF260906:SHF260995 RXJ260906:RXJ260995 RNN260906:RNN260995 RDR260906:RDR260995 QTV260906:QTV260995 QJZ260906:QJZ260995 QAD260906:QAD260995 PQH260906:PQH260995 PGL260906:PGL260995 OWP260906:OWP260995 OMT260906:OMT260995 OCX260906:OCX260995 NTB260906:NTB260995 NJF260906:NJF260995 MZJ260906:MZJ260995 MPN260906:MPN260995 MFR260906:MFR260995 LVV260906:LVV260995 LLZ260906:LLZ260995 LCD260906:LCD260995 KSH260906:KSH260995 KIL260906:KIL260995 JYP260906:JYP260995 JOT260906:JOT260995 JEX260906:JEX260995 IVB260906:IVB260995 ILF260906:ILF260995 IBJ260906:IBJ260995 HRN260906:HRN260995 HHR260906:HHR260995 GXV260906:GXV260995 GNZ260906:GNZ260995 GED260906:GED260995 FUH260906:FUH260995 FKL260906:FKL260995 FAP260906:FAP260995 EQT260906:EQT260995 EGX260906:EGX260995 DXB260906:DXB260995 DNF260906:DNF260995 DDJ260906:DDJ260995 CTN260906:CTN260995 CJR260906:CJR260995 BZV260906:BZV260995 BPZ260906:BPZ260995 BGD260906:BGD260995 AWH260906:AWH260995 AML260906:AML260995 ACP260906:ACP260995 ST260906:ST260995 IX260906:IX260995 B260912:B261001 WVJ195370:WVJ195459 WLN195370:WLN195459 WBR195370:WBR195459 VRV195370:VRV195459 VHZ195370:VHZ195459 UYD195370:UYD195459 UOH195370:UOH195459 UEL195370:UEL195459 TUP195370:TUP195459 TKT195370:TKT195459 TAX195370:TAX195459 SRB195370:SRB195459 SHF195370:SHF195459 RXJ195370:RXJ195459 RNN195370:RNN195459 RDR195370:RDR195459 QTV195370:QTV195459 QJZ195370:QJZ195459 QAD195370:QAD195459 PQH195370:PQH195459 PGL195370:PGL195459 OWP195370:OWP195459 OMT195370:OMT195459 OCX195370:OCX195459 NTB195370:NTB195459 NJF195370:NJF195459 MZJ195370:MZJ195459 MPN195370:MPN195459 MFR195370:MFR195459 LVV195370:LVV195459 LLZ195370:LLZ195459 LCD195370:LCD195459 KSH195370:KSH195459 KIL195370:KIL195459 JYP195370:JYP195459 JOT195370:JOT195459 JEX195370:JEX195459 IVB195370:IVB195459 ILF195370:ILF195459 IBJ195370:IBJ195459 HRN195370:HRN195459 HHR195370:HHR195459 GXV195370:GXV195459 GNZ195370:GNZ195459 GED195370:GED195459 FUH195370:FUH195459 FKL195370:FKL195459 FAP195370:FAP195459 EQT195370:EQT195459 EGX195370:EGX195459 DXB195370:DXB195459 DNF195370:DNF195459 DDJ195370:DDJ195459 CTN195370:CTN195459 CJR195370:CJR195459 BZV195370:BZV195459 BPZ195370:BPZ195459 BGD195370:BGD195459 AWH195370:AWH195459 AML195370:AML195459 ACP195370:ACP195459 ST195370:ST195459 IX195370:IX195459 B195376:B195465 WVJ129834:WVJ129923 WLN129834:WLN129923 WBR129834:WBR129923 VRV129834:VRV129923 VHZ129834:VHZ129923 UYD129834:UYD129923 UOH129834:UOH129923 UEL129834:UEL129923 TUP129834:TUP129923 TKT129834:TKT129923 TAX129834:TAX129923 SRB129834:SRB129923 SHF129834:SHF129923 RXJ129834:RXJ129923 RNN129834:RNN129923 RDR129834:RDR129923 QTV129834:QTV129923 QJZ129834:QJZ129923 QAD129834:QAD129923 PQH129834:PQH129923 PGL129834:PGL129923 OWP129834:OWP129923 OMT129834:OMT129923 OCX129834:OCX129923 NTB129834:NTB129923 NJF129834:NJF129923 MZJ129834:MZJ129923 MPN129834:MPN129923 MFR129834:MFR129923 LVV129834:LVV129923 LLZ129834:LLZ129923 LCD129834:LCD129923 KSH129834:KSH129923 KIL129834:KIL129923 JYP129834:JYP129923 JOT129834:JOT129923 JEX129834:JEX129923 IVB129834:IVB129923 ILF129834:ILF129923 IBJ129834:IBJ129923 HRN129834:HRN129923 HHR129834:HHR129923 GXV129834:GXV129923 GNZ129834:GNZ129923 GED129834:GED129923 FUH129834:FUH129923 FKL129834:FKL129923 FAP129834:FAP129923 EQT129834:EQT129923 EGX129834:EGX129923 DXB129834:DXB129923 DNF129834:DNF129923 DDJ129834:DDJ129923 CTN129834:CTN129923 CJR129834:CJR129923 BZV129834:BZV129923 BPZ129834:BPZ129923 BGD129834:BGD129923 AWH129834:AWH129923 AML129834:AML129923 ACP129834:ACP129923 ST129834:ST129923 IX129834:IX129923 B129840:B129929 WVJ64298:WVJ64387 WLN64298:WLN64387 WBR64298:WBR64387 VRV64298:VRV64387 VHZ64298:VHZ64387 UYD64298:UYD64387 UOH64298:UOH64387 UEL64298:UEL64387 TUP64298:TUP64387 TKT64298:TKT64387 TAX64298:TAX64387 SRB64298:SRB64387 SHF64298:SHF64387 RXJ64298:RXJ64387 RNN64298:RNN64387 RDR64298:RDR64387 QTV64298:QTV64387 QJZ64298:QJZ64387 QAD64298:QAD64387 PQH64298:PQH64387 PGL64298:PGL64387 OWP64298:OWP64387 OMT64298:OMT64387 OCX64298:OCX64387 NTB64298:NTB64387 NJF64298:NJF64387 MZJ64298:MZJ64387 MPN64298:MPN64387 MFR64298:MFR64387 LVV64298:LVV64387 LLZ64298:LLZ64387 LCD64298:LCD64387 KSH64298:KSH64387 KIL64298:KIL64387 JYP64298:JYP64387 JOT64298:JOT64387 JEX64298:JEX64387 IVB64298:IVB64387 ILF64298:ILF64387 IBJ64298:IBJ64387 HRN64298:HRN64387 HHR64298:HHR64387 GXV64298:GXV64387 GNZ64298:GNZ64387 GED64298:GED64387 FUH64298:FUH64387 FKL64298:FKL64387 FAP64298:FAP64387 EQT64298:EQT64387 EGX64298:EGX64387 DXB64298:DXB64387 DNF64298:DNF64387 DDJ64298:DDJ64387 CTN64298:CTN64387 CJR64298:CJR64387 BZV64298:BZV64387 BPZ64298:BPZ64387 BGD64298:BGD64387 AWH64298:AWH64387 AML64298:AML64387 ACP64298:ACP64387 ST64298:ST64387 IX64298:IX64387 B64304:B64393 B93:B109 IX2:IX70 ST2:ST70 ACP2:ACP70 AML2:AML70 AWH2:AWH70 BGD2:BGD70 BPZ2:BPZ70 BZV2:BZV70 CJR2:CJR70 CTN2:CTN70 DDJ2:DDJ70 DNF2:DNF70 DXB2:DXB70 EGX2:EGX70 EQT2:EQT70 FAP2:FAP70 FKL2:FKL70 FUH2:FUH70 GED2:GED70 GNZ2:GNZ70 GXV2:GXV70 HHR2:HHR70 HRN2:HRN70 IBJ2:IBJ70 ILF2:ILF70 IVB2:IVB70 JEX2:JEX70 JOT2:JOT70 JYP2:JYP70 KIL2:KIL70 KSH2:KSH70 LCD2:LCD70 LLZ2:LLZ70 LVV2:LVV70 MFR2:MFR70 MPN2:MPN70 MZJ2:MZJ70 NJF2:NJF70 NTB2:NTB70 OCX2:OCX70 OMT2:OMT70 OWP2:OWP70 PGL2:PGL70 PQH2:PQH70 QAD2:QAD70 QJZ2:QJZ70 QTV2:QTV70 RDR2:RDR70 RNN2:RNN70 RXJ2:RXJ70 SHF2:SHF70 SRB2:SRB70 TAX2:TAX70 TKT2:TKT70 TUP2:TUP70 UEL2:UEL70 UOH2:UOH70 UYD2:UYD70 VHZ2:VHZ70 VRV2:VRV70 WBR2:WBR70 WLN2:WLN70 WVJ2:WVJ70 B2:B91"/>
    <dataValidation type="list" allowBlank="1" showInputMessage="1" showErrorMessage="1" sqref="WVI981802:WVI981891 WLM981802:WLM981891 WBQ981802:WBQ981891 VRU981802:VRU981891 VHY981802:VHY981891 UYC981802:UYC981891 UOG981802:UOG981891 UEK981802:UEK981891 TUO981802:TUO981891 TKS981802:TKS981891 TAW981802:TAW981891 SRA981802:SRA981891 SHE981802:SHE981891 RXI981802:RXI981891 RNM981802:RNM981891 RDQ981802:RDQ981891 QTU981802:QTU981891 QJY981802:QJY981891 QAC981802:QAC981891 PQG981802:PQG981891 PGK981802:PGK981891 OWO981802:OWO981891 OMS981802:OMS981891 OCW981802:OCW981891 NTA981802:NTA981891 NJE981802:NJE981891 MZI981802:MZI981891 MPM981802:MPM981891 MFQ981802:MFQ981891 LVU981802:LVU981891 LLY981802:LLY981891 LCC981802:LCC981891 KSG981802:KSG981891 KIK981802:KIK981891 JYO981802:JYO981891 JOS981802:JOS981891 JEW981802:JEW981891 IVA981802:IVA981891 ILE981802:ILE981891 IBI981802:IBI981891 HRM981802:HRM981891 HHQ981802:HHQ981891 GXU981802:GXU981891 GNY981802:GNY981891 GEC981802:GEC981891 FUG981802:FUG981891 FKK981802:FKK981891 FAO981802:FAO981891 EQS981802:EQS981891 EGW981802:EGW981891 DXA981802:DXA981891 DNE981802:DNE981891 DDI981802:DDI981891 CTM981802:CTM981891 CJQ981802:CJQ981891 BZU981802:BZU981891 BPY981802:BPY981891 BGC981802:BGC981891 AWG981802:AWG981891 AMK981802:AMK981891 ACO981802:ACO981891 SS981802:SS981891 IW981802:IW981891 A981808:A981897 WVI916266:WVI916355 WLM916266:WLM916355 WBQ916266:WBQ916355 VRU916266:VRU916355 VHY916266:VHY916355 UYC916266:UYC916355 UOG916266:UOG916355 UEK916266:UEK916355 TUO916266:TUO916355 TKS916266:TKS916355 TAW916266:TAW916355 SRA916266:SRA916355 SHE916266:SHE916355 RXI916266:RXI916355 RNM916266:RNM916355 RDQ916266:RDQ916355 QTU916266:QTU916355 QJY916266:QJY916355 QAC916266:QAC916355 PQG916266:PQG916355 PGK916266:PGK916355 OWO916266:OWO916355 OMS916266:OMS916355 OCW916266:OCW916355 NTA916266:NTA916355 NJE916266:NJE916355 MZI916266:MZI916355 MPM916266:MPM916355 MFQ916266:MFQ916355 LVU916266:LVU916355 LLY916266:LLY916355 LCC916266:LCC916355 KSG916266:KSG916355 KIK916266:KIK916355 JYO916266:JYO916355 JOS916266:JOS916355 JEW916266:JEW916355 IVA916266:IVA916355 ILE916266:ILE916355 IBI916266:IBI916355 HRM916266:HRM916355 HHQ916266:HHQ916355 GXU916266:GXU916355 GNY916266:GNY916355 GEC916266:GEC916355 FUG916266:FUG916355 FKK916266:FKK916355 FAO916266:FAO916355 EQS916266:EQS916355 EGW916266:EGW916355 DXA916266:DXA916355 DNE916266:DNE916355 DDI916266:DDI916355 CTM916266:CTM916355 CJQ916266:CJQ916355 BZU916266:BZU916355 BPY916266:BPY916355 BGC916266:BGC916355 AWG916266:AWG916355 AMK916266:AMK916355 ACO916266:ACO916355 SS916266:SS916355 IW916266:IW916355 A916272:A916361 WVI850730:WVI850819 WLM850730:WLM850819 WBQ850730:WBQ850819 VRU850730:VRU850819 VHY850730:VHY850819 UYC850730:UYC850819 UOG850730:UOG850819 UEK850730:UEK850819 TUO850730:TUO850819 TKS850730:TKS850819 TAW850730:TAW850819 SRA850730:SRA850819 SHE850730:SHE850819 RXI850730:RXI850819 RNM850730:RNM850819 RDQ850730:RDQ850819 QTU850730:QTU850819 QJY850730:QJY850819 QAC850730:QAC850819 PQG850730:PQG850819 PGK850730:PGK850819 OWO850730:OWO850819 OMS850730:OMS850819 OCW850730:OCW850819 NTA850730:NTA850819 NJE850730:NJE850819 MZI850730:MZI850819 MPM850730:MPM850819 MFQ850730:MFQ850819 LVU850730:LVU850819 LLY850730:LLY850819 LCC850730:LCC850819 KSG850730:KSG850819 KIK850730:KIK850819 JYO850730:JYO850819 JOS850730:JOS850819 JEW850730:JEW850819 IVA850730:IVA850819 ILE850730:ILE850819 IBI850730:IBI850819 HRM850730:HRM850819 HHQ850730:HHQ850819 GXU850730:GXU850819 GNY850730:GNY850819 GEC850730:GEC850819 FUG850730:FUG850819 FKK850730:FKK850819 FAO850730:FAO850819 EQS850730:EQS850819 EGW850730:EGW850819 DXA850730:DXA850819 DNE850730:DNE850819 DDI850730:DDI850819 CTM850730:CTM850819 CJQ850730:CJQ850819 BZU850730:BZU850819 BPY850730:BPY850819 BGC850730:BGC850819 AWG850730:AWG850819 AMK850730:AMK850819 ACO850730:ACO850819 SS850730:SS850819 IW850730:IW850819 A850736:A850825 WVI785194:WVI785283 WLM785194:WLM785283 WBQ785194:WBQ785283 VRU785194:VRU785283 VHY785194:VHY785283 UYC785194:UYC785283 UOG785194:UOG785283 UEK785194:UEK785283 TUO785194:TUO785283 TKS785194:TKS785283 TAW785194:TAW785283 SRA785194:SRA785283 SHE785194:SHE785283 RXI785194:RXI785283 RNM785194:RNM785283 RDQ785194:RDQ785283 QTU785194:QTU785283 QJY785194:QJY785283 QAC785194:QAC785283 PQG785194:PQG785283 PGK785194:PGK785283 OWO785194:OWO785283 OMS785194:OMS785283 OCW785194:OCW785283 NTA785194:NTA785283 NJE785194:NJE785283 MZI785194:MZI785283 MPM785194:MPM785283 MFQ785194:MFQ785283 LVU785194:LVU785283 LLY785194:LLY785283 LCC785194:LCC785283 KSG785194:KSG785283 KIK785194:KIK785283 JYO785194:JYO785283 JOS785194:JOS785283 JEW785194:JEW785283 IVA785194:IVA785283 ILE785194:ILE785283 IBI785194:IBI785283 HRM785194:HRM785283 HHQ785194:HHQ785283 GXU785194:GXU785283 GNY785194:GNY785283 GEC785194:GEC785283 FUG785194:FUG785283 FKK785194:FKK785283 FAO785194:FAO785283 EQS785194:EQS785283 EGW785194:EGW785283 DXA785194:DXA785283 DNE785194:DNE785283 DDI785194:DDI785283 CTM785194:CTM785283 CJQ785194:CJQ785283 BZU785194:BZU785283 BPY785194:BPY785283 BGC785194:BGC785283 AWG785194:AWG785283 AMK785194:AMK785283 ACO785194:ACO785283 SS785194:SS785283 IW785194:IW785283 A785200:A785289 WVI719658:WVI719747 WLM719658:WLM719747 WBQ719658:WBQ719747 VRU719658:VRU719747 VHY719658:VHY719747 UYC719658:UYC719747 UOG719658:UOG719747 UEK719658:UEK719747 TUO719658:TUO719747 TKS719658:TKS719747 TAW719658:TAW719747 SRA719658:SRA719747 SHE719658:SHE719747 RXI719658:RXI719747 RNM719658:RNM719747 RDQ719658:RDQ719747 QTU719658:QTU719747 QJY719658:QJY719747 QAC719658:QAC719747 PQG719658:PQG719747 PGK719658:PGK719747 OWO719658:OWO719747 OMS719658:OMS719747 OCW719658:OCW719747 NTA719658:NTA719747 NJE719658:NJE719747 MZI719658:MZI719747 MPM719658:MPM719747 MFQ719658:MFQ719747 LVU719658:LVU719747 LLY719658:LLY719747 LCC719658:LCC719747 KSG719658:KSG719747 KIK719658:KIK719747 JYO719658:JYO719747 JOS719658:JOS719747 JEW719658:JEW719747 IVA719658:IVA719747 ILE719658:ILE719747 IBI719658:IBI719747 HRM719658:HRM719747 HHQ719658:HHQ719747 GXU719658:GXU719747 GNY719658:GNY719747 GEC719658:GEC719747 FUG719658:FUG719747 FKK719658:FKK719747 FAO719658:FAO719747 EQS719658:EQS719747 EGW719658:EGW719747 DXA719658:DXA719747 DNE719658:DNE719747 DDI719658:DDI719747 CTM719658:CTM719747 CJQ719658:CJQ719747 BZU719658:BZU719747 BPY719658:BPY719747 BGC719658:BGC719747 AWG719658:AWG719747 AMK719658:AMK719747 ACO719658:ACO719747 SS719658:SS719747 IW719658:IW719747 A719664:A719753 WVI654122:WVI654211 WLM654122:WLM654211 WBQ654122:WBQ654211 VRU654122:VRU654211 VHY654122:VHY654211 UYC654122:UYC654211 UOG654122:UOG654211 UEK654122:UEK654211 TUO654122:TUO654211 TKS654122:TKS654211 TAW654122:TAW654211 SRA654122:SRA654211 SHE654122:SHE654211 RXI654122:RXI654211 RNM654122:RNM654211 RDQ654122:RDQ654211 QTU654122:QTU654211 QJY654122:QJY654211 QAC654122:QAC654211 PQG654122:PQG654211 PGK654122:PGK654211 OWO654122:OWO654211 OMS654122:OMS654211 OCW654122:OCW654211 NTA654122:NTA654211 NJE654122:NJE654211 MZI654122:MZI654211 MPM654122:MPM654211 MFQ654122:MFQ654211 LVU654122:LVU654211 LLY654122:LLY654211 LCC654122:LCC654211 KSG654122:KSG654211 KIK654122:KIK654211 JYO654122:JYO654211 JOS654122:JOS654211 JEW654122:JEW654211 IVA654122:IVA654211 ILE654122:ILE654211 IBI654122:IBI654211 HRM654122:HRM654211 HHQ654122:HHQ654211 GXU654122:GXU654211 GNY654122:GNY654211 GEC654122:GEC654211 FUG654122:FUG654211 FKK654122:FKK654211 FAO654122:FAO654211 EQS654122:EQS654211 EGW654122:EGW654211 DXA654122:DXA654211 DNE654122:DNE654211 DDI654122:DDI654211 CTM654122:CTM654211 CJQ654122:CJQ654211 BZU654122:BZU654211 BPY654122:BPY654211 BGC654122:BGC654211 AWG654122:AWG654211 AMK654122:AMK654211 ACO654122:ACO654211 SS654122:SS654211 IW654122:IW654211 A654128:A654217 WVI588586:WVI588675 WLM588586:WLM588675 WBQ588586:WBQ588675 VRU588586:VRU588675 VHY588586:VHY588675 UYC588586:UYC588675 UOG588586:UOG588675 UEK588586:UEK588675 TUO588586:TUO588675 TKS588586:TKS588675 TAW588586:TAW588675 SRA588586:SRA588675 SHE588586:SHE588675 RXI588586:RXI588675 RNM588586:RNM588675 RDQ588586:RDQ588675 QTU588586:QTU588675 QJY588586:QJY588675 QAC588586:QAC588675 PQG588586:PQG588675 PGK588586:PGK588675 OWO588586:OWO588675 OMS588586:OMS588675 OCW588586:OCW588675 NTA588586:NTA588675 NJE588586:NJE588675 MZI588586:MZI588675 MPM588586:MPM588675 MFQ588586:MFQ588675 LVU588586:LVU588675 LLY588586:LLY588675 LCC588586:LCC588675 KSG588586:KSG588675 KIK588586:KIK588675 JYO588586:JYO588675 JOS588586:JOS588675 JEW588586:JEW588675 IVA588586:IVA588675 ILE588586:ILE588675 IBI588586:IBI588675 HRM588586:HRM588675 HHQ588586:HHQ588675 GXU588586:GXU588675 GNY588586:GNY588675 GEC588586:GEC588675 FUG588586:FUG588675 FKK588586:FKK588675 FAO588586:FAO588675 EQS588586:EQS588675 EGW588586:EGW588675 DXA588586:DXA588675 DNE588586:DNE588675 DDI588586:DDI588675 CTM588586:CTM588675 CJQ588586:CJQ588675 BZU588586:BZU588675 BPY588586:BPY588675 BGC588586:BGC588675 AWG588586:AWG588675 AMK588586:AMK588675 ACO588586:ACO588675 SS588586:SS588675 IW588586:IW588675 A588592:A588681 WVI523050:WVI523139 WLM523050:WLM523139 WBQ523050:WBQ523139 VRU523050:VRU523139 VHY523050:VHY523139 UYC523050:UYC523139 UOG523050:UOG523139 UEK523050:UEK523139 TUO523050:TUO523139 TKS523050:TKS523139 TAW523050:TAW523139 SRA523050:SRA523139 SHE523050:SHE523139 RXI523050:RXI523139 RNM523050:RNM523139 RDQ523050:RDQ523139 QTU523050:QTU523139 QJY523050:QJY523139 QAC523050:QAC523139 PQG523050:PQG523139 PGK523050:PGK523139 OWO523050:OWO523139 OMS523050:OMS523139 OCW523050:OCW523139 NTA523050:NTA523139 NJE523050:NJE523139 MZI523050:MZI523139 MPM523050:MPM523139 MFQ523050:MFQ523139 LVU523050:LVU523139 LLY523050:LLY523139 LCC523050:LCC523139 KSG523050:KSG523139 KIK523050:KIK523139 JYO523050:JYO523139 JOS523050:JOS523139 JEW523050:JEW523139 IVA523050:IVA523139 ILE523050:ILE523139 IBI523050:IBI523139 HRM523050:HRM523139 HHQ523050:HHQ523139 GXU523050:GXU523139 GNY523050:GNY523139 GEC523050:GEC523139 FUG523050:FUG523139 FKK523050:FKK523139 FAO523050:FAO523139 EQS523050:EQS523139 EGW523050:EGW523139 DXA523050:DXA523139 DNE523050:DNE523139 DDI523050:DDI523139 CTM523050:CTM523139 CJQ523050:CJQ523139 BZU523050:BZU523139 BPY523050:BPY523139 BGC523050:BGC523139 AWG523050:AWG523139 AMK523050:AMK523139 ACO523050:ACO523139 SS523050:SS523139 IW523050:IW523139 A523056:A523145 WVI457514:WVI457603 WLM457514:WLM457603 WBQ457514:WBQ457603 VRU457514:VRU457603 VHY457514:VHY457603 UYC457514:UYC457603 UOG457514:UOG457603 UEK457514:UEK457603 TUO457514:TUO457603 TKS457514:TKS457603 TAW457514:TAW457603 SRA457514:SRA457603 SHE457514:SHE457603 RXI457514:RXI457603 RNM457514:RNM457603 RDQ457514:RDQ457603 QTU457514:QTU457603 QJY457514:QJY457603 QAC457514:QAC457603 PQG457514:PQG457603 PGK457514:PGK457603 OWO457514:OWO457603 OMS457514:OMS457603 OCW457514:OCW457603 NTA457514:NTA457603 NJE457514:NJE457603 MZI457514:MZI457603 MPM457514:MPM457603 MFQ457514:MFQ457603 LVU457514:LVU457603 LLY457514:LLY457603 LCC457514:LCC457603 KSG457514:KSG457603 KIK457514:KIK457603 JYO457514:JYO457603 JOS457514:JOS457603 JEW457514:JEW457603 IVA457514:IVA457603 ILE457514:ILE457603 IBI457514:IBI457603 HRM457514:HRM457603 HHQ457514:HHQ457603 GXU457514:GXU457603 GNY457514:GNY457603 GEC457514:GEC457603 FUG457514:FUG457603 FKK457514:FKK457603 FAO457514:FAO457603 EQS457514:EQS457603 EGW457514:EGW457603 DXA457514:DXA457603 DNE457514:DNE457603 DDI457514:DDI457603 CTM457514:CTM457603 CJQ457514:CJQ457603 BZU457514:BZU457603 BPY457514:BPY457603 BGC457514:BGC457603 AWG457514:AWG457603 AMK457514:AMK457603 ACO457514:ACO457603 SS457514:SS457603 IW457514:IW457603 A457520:A457609 WVI391978:WVI392067 WLM391978:WLM392067 WBQ391978:WBQ392067 VRU391978:VRU392067 VHY391978:VHY392067 UYC391978:UYC392067 UOG391978:UOG392067 UEK391978:UEK392067 TUO391978:TUO392067 TKS391978:TKS392067 TAW391978:TAW392067 SRA391978:SRA392067 SHE391978:SHE392067 RXI391978:RXI392067 RNM391978:RNM392067 RDQ391978:RDQ392067 QTU391978:QTU392067 QJY391978:QJY392067 QAC391978:QAC392067 PQG391978:PQG392067 PGK391978:PGK392067 OWO391978:OWO392067 OMS391978:OMS392067 OCW391978:OCW392067 NTA391978:NTA392067 NJE391978:NJE392067 MZI391978:MZI392067 MPM391978:MPM392067 MFQ391978:MFQ392067 LVU391978:LVU392067 LLY391978:LLY392067 LCC391978:LCC392067 KSG391978:KSG392067 KIK391978:KIK392067 JYO391978:JYO392067 JOS391978:JOS392067 JEW391978:JEW392067 IVA391978:IVA392067 ILE391978:ILE392067 IBI391978:IBI392067 HRM391978:HRM392067 HHQ391978:HHQ392067 GXU391978:GXU392067 GNY391978:GNY392067 GEC391978:GEC392067 FUG391978:FUG392067 FKK391978:FKK392067 FAO391978:FAO392067 EQS391978:EQS392067 EGW391978:EGW392067 DXA391978:DXA392067 DNE391978:DNE392067 DDI391978:DDI392067 CTM391978:CTM392067 CJQ391978:CJQ392067 BZU391978:BZU392067 BPY391978:BPY392067 BGC391978:BGC392067 AWG391978:AWG392067 AMK391978:AMK392067 ACO391978:ACO392067 SS391978:SS392067 IW391978:IW392067 A391984:A392073 WVI326442:WVI326531 WLM326442:WLM326531 WBQ326442:WBQ326531 VRU326442:VRU326531 VHY326442:VHY326531 UYC326442:UYC326531 UOG326442:UOG326531 UEK326442:UEK326531 TUO326442:TUO326531 TKS326442:TKS326531 TAW326442:TAW326531 SRA326442:SRA326531 SHE326442:SHE326531 RXI326442:RXI326531 RNM326442:RNM326531 RDQ326442:RDQ326531 QTU326442:QTU326531 QJY326442:QJY326531 QAC326442:QAC326531 PQG326442:PQG326531 PGK326442:PGK326531 OWO326442:OWO326531 OMS326442:OMS326531 OCW326442:OCW326531 NTA326442:NTA326531 NJE326442:NJE326531 MZI326442:MZI326531 MPM326442:MPM326531 MFQ326442:MFQ326531 LVU326442:LVU326531 LLY326442:LLY326531 LCC326442:LCC326531 KSG326442:KSG326531 KIK326442:KIK326531 JYO326442:JYO326531 JOS326442:JOS326531 JEW326442:JEW326531 IVA326442:IVA326531 ILE326442:ILE326531 IBI326442:IBI326531 HRM326442:HRM326531 HHQ326442:HHQ326531 GXU326442:GXU326531 GNY326442:GNY326531 GEC326442:GEC326531 FUG326442:FUG326531 FKK326442:FKK326531 FAO326442:FAO326531 EQS326442:EQS326531 EGW326442:EGW326531 DXA326442:DXA326531 DNE326442:DNE326531 DDI326442:DDI326531 CTM326442:CTM326531 CJQ326442:CJQ326531 BZU326442:BZU326531 BPY326442:BPY326531 BGC326442:BGC326531 AWG326442:AWG326531 AMK326442:AMK326531 ACO326442:ACO326531 SS326442:SS326531 IW326442:IW326531 A326448:A326537 WVI260906:WVI260995 WLM260906:WLM260995 WBQ260906:WBQ260995 VRU260906:VRU260995 VHY260906:VHY260995 UYC260906:UYC260995 UOG260906:UOG260995 UEK260906:UEK260995 TUO260906:TUO260995 TKS260906:TKS260995 TAW260906:TAW260995 SRA260906:SRA260995 SHE260906:SHE260995 RXI260906:RXI260995 RNM260906:RNM260995 RDQ260906:RDQ260995 QTU260906:QTU260995 QJY260906:QJY260995 QAC260906:QAC260995 PQG260906:PQG260995 PGK260906:PGK260995 OWO260906:OWO260995 OMS260906:OMS260995 OCW260906:OCW260995 NTA260906:NTA260995 NJE260906:NJE260995 MZI260906:MZI260995 MPM260906:MPM260995 MFQ260906:MFQ260995 LVU260906:LVU260995 LLY260906:LLY260995 LCC260906:LCC260995 KSG260906:KSG260995 KIK260906:KIK260995 JYO260906:JYO260995 JOS260906:JOS260995 JEW260906:JEW260995 IVA260906:IVA260995 ILE260906:ILE260995 IBI260906:IBI260995 HRM260906:HRM260995 HHQ260906:HHQ260995 GXU260906:GXU260995 GNY260906:GNY260995 GEC260906:GEC260995 FUG260906:FUG260995 FKK260906:FKK260995 FAO260906:FAO260995 EQS260906:EQS260995 EGW260906:EGW260995 DXA260906:DXA260995 DNE260906:DNE260995 DDI260906:DDI260995 CTM260906:CTM260995 CJQ260906:CJQ260995 BZU260906:BZU260995 BPY260906:BPY260995 BGC260906:BGC260995 AWG260906:AWG260995 AMK260906:AMK260995 ACO260906:ACO260995 SS260906:SS260995 IW260906:IW260995 A260912:A261001 WVI195370:WVI195459 WLM195370:WLM195459 WBQ195370:WBQ195459 VRU195370:VRU195459 VHY195370:VHY195459 UYC195370:UYC195459 UOG195370:UOG195459 UEK195370:UEK195459 TUO195370:TUO195459 TKS195370:TKS195459 TAW195370:TAW195459 SRA195370:SRA195459 SHE195370:SHE195459 RXI195370:RXI195459 RNM195370:RNM195459 RDQ195370:RDQ195459 QTU195370:QTU195459 QJY195370:QJY195459 QAC195370:QAC195459 PQG195370:PQG195459 PGK195370:PGK195459 OWO195370:OWO195459 OMS195370:OMS195459 OCW195370:OCW195459 NTA195370:NTA195459 NJE195370:NJE195459 MZI195370:MZI195459 MPM195370:MPM195459 MFQ195370:MFQ195459 LVU195370:LVU195459 LLY195370:LLY195459 LCC195370:LCC195459 KSG195370:KSG195459 KIK195370:KIK195459 JYO195370:JYO195459 JOS195370:JOS195459 JEW195370:JEW195459 IVA195370:IVA195459 ILE195370:ILE195459 IBI195370:IBI195459 HRM195370:HRM195459 HHQ195370:HHQ195459 GXU195370:GXU195459 GNY195370:GNY195459 GEC195370:GEC195459 FUG195370:FUG195459 FKK195370:FKK195459 FAO195370:FAO195459 EQS195370:EQS195459 EGW195370:EGW195459 DXA195370:DXA195459 DNE195370:DNE195459 DDI195370:DDI195459 CTM195370:CTM195459 CJQ195370:CJQ195459 BZU195370:BZU195459 BPY195370:BPY195459 BGC195370:BGC195459 AWG195370:AWG195459 AMK195370:AMK195459 ACO195370:ACO195459 SS195370:SS195459 IW195370:IW195459 A195376:A195465 WVI129834:WVI129923 WLM129834:WLM129923 WBQ129834:WBQ129923 VRU129834:VRU129923 VHY129834:VHY129923 UYC129834:UYC129923 UOG129834:UOG129923 UEK129834:UEK129923 TUO129834:TUO129923 TKS129834:TKS129923 TAW129834:TAW129923 SRA129834:SRA129923 SHE129834:SHE129923 RXI129834:RXI129923 RNM129834:RNM129923 RDQ129834:RDQ129923 QTU129834:QTU129923 QJY129834:QJY129923 QAC129834:QAC129923 PQG129834:PQG129923 PGK129834:PGK129923 OWO129834:OWO129923 OMS129834:OMS129923 OCW129834:OCW129923 NTA129834:NTA129923 NJE129834:NJE129923 MZI129834:MZI129923 MPM129834:MPM129923 MFQ129834:MFQ129923 LVU129834:LVU129923 LLY129834:LLY129923 LCC129834:LCC129923 KSG129834:KSG129923 KIK129834:KIK129923 JYO129834:JYO129923 JOS129834:JOS129923 JEW129834:JEW129923 IVA129834:IVA129923 ILE129834:ILE129923 IBI129834:IBI129923 HRM129834:HRM129923 HHQ129834:HHQ129923 GXU129834:GXU129923 GNY129834:GNY129923 GEC129834:GEC129923 FUG129834:FUG129923 FKK129834:FKK129923 FAO129834:FAO129923 EQS129834:EQS129923 EGW129834:EGW129923 DXA129834:DXA129923 DNE129834:DNE129923 DDI129834:DDI129923 CTM129834:CTM129923 CJQ129834:CJQ129923 BZU129834:BZU129923 BPY129834:BPY129923 BGC129834:BGC129923 AWG129834:AWG129923 AMK129834:AMK129923 ACO129834:ACO129923 SS129834:SS129923 IW129834:IW129923 A129840:A129929 WVI64298:WVI64387 WLM64298:WLM64387 WBQ64298:WBQ64387 VRU64298:VRU64387 VHY64298:VHY64387 UYC64298:UYC64387 UOG64298:UOG64387 UEK64298:UEK64387 TUO64298:TUO64387 TKS64298:TKS64387 TAW64298:TAW64387 SRA64298:SRA64387 SHE64298:SHE64387 RXI64298:RXI64387 RNM64298:RNM64387 RDQ64298:RDQ64387 QTU64298:QTU64387 QJY64298:QJY64387 QAC64298:QAC64387 PQG64298:PQG64387 PGK64298:PGK64387 OWO64298:OWO64387 OMS64298:OMS64387 OCW64298:OCW64387 NTA64298:NTA64387 NJE64298:NJE64387 MZI64298:MZI64387 MPM64298:MPM64387 MFQ64298:MFQ64387 LVU64298:LVU64387 LLY64298:LLY64387 LCC64298:LCC64387 KSG64298:KSG64387 KIK64298:KIK64387 JYO64298:JYO64387 JOS64298:JOS64387 JEW64298:JEW64387 IVA64298:IVA64387 ILE64298:ILE64387 IBI64298:IBI64387 HRM64298:HRM64387 HHQ64298:HHQ64387 GXU64298:GXU64387 GNY64298:GNY64387 GEC64298:GEC64387 FUG64298:FUG64387 FKK64298:FKK64387 FAO64298:FAO64387 EQS64298:EQS64387 EGW64298:EGW64387 DXA64298:DXA64387 DNE64298:DNE64387 DDI64298:DDI64387 CTM64298:CTM64387 CJQ64298:CJQ64387 BZU64298:BZU64387 BPY64298:BPY64387 BGC64298:BGC64387 AWG64298:AWG64387 AMK64298:AMK64387 ACO64298:ACO64387 SS64298:SS64387 IW64298:IW64387 A64304:A64393 IW2:IW70 SS2:SS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WVI2:WVI70">
      <formula1>$AE$2:$AE$22</formula1>
    </dataValidation>
    <dataValidation type="list" allowBlank="1" showInputMessage="1" showErrorMessage="1" sqref="WVO981802:WVO981891 WLS981802:WLS981891 WBW981802:WBW981891 VSA981802:VSA981891 VIE981802:VIE981891 UYI981802:UYI981891 UOM981802:UOM981891 UEQ981802:UEQ981891 TUU981802:TUU981891 TKY981802:TKY981891 TBC981802:TBC981891 SRG981802:SRG981891 SHK981802:SHK981891 RXO981802:RXO981891 RNS981802:RNS981891 RDW981802:RDW981891 QUA981802:QUA981891 QKE981802:QKE981891 QAI981802:QAI981891 PQM981802:PQM981891 PGQ981802:PGQ981891 OWU981802:OWU981891 OMY981802:OMY981891 ODC981802:ODC981891 NTG981802:NTG981891 NJK981802:NJK981891 MZO981802:MZO981891 MPS981802:MPS981891 MFW981802:MFW981891 LWA981802:LWA981891 LME981802:LME981891 LCI981802:LCI981891 KSM981802:KSM981891 KIQ981802:KIQ981891 JYU981802:JYU981891 JOY981802:JOY981891 JFC981802:JFC981891 IVG981802:IVG981891 ILK981802:ILK981891 IBO981802:IBO981891 HRS981802:HRS981891 HHW981802:HHW981891 GYA981802:GYA981891 GOE981802:GOE981891 GEI981802:GEI981891 FUM981802:FUM981891 FKQ981802:FKQ981891 FAU981802:FAU981891 EQY981802:EQY981891 EHC981802:EHC981891 DXG981802:DXG981891 DNK981802:DNK981891 DDO981802:DDO981891 CTS981802:CTS981891 CJW981802:CJW981891 CAA981802:CAA981891 BQE981802:BQE981891 BGI981802:BGI981891 AWM981802:AWM981891 AMQ981802:AMQ981891 ACU981802:ACU981891 SY981802:SY981891 JC981802:JC981891 G981811:G981900 WVO916266:WVO916355 WLS916266:WLS916355 WBW916266:WBW916355 VSA916266:VSA916355 VIE916266:VIE916355 UYI916266:UYI916355 UOM916266:UOM916355 UEQ916266:UEQ916355 TUU916266:TUU916355 TKY916266:TKY916355 TBC916266:TBC916355 SRG916266:SRG916355 SHK916266:SHK916355 RXO916266:RXO916355 RNS916266:RNS916355 RDW916266:RDW916355 QUA916266:QUA916355 QKE916266:QKE916355 QAI916266:QAI916355 PQM916266:PQM916355 PGQ916266:PGQ916355 OWU916266:OWU916355 OMY916266:OMY916355 ODC916266:ODC916355 NTG916266:NTG916355 NJK916266:NJK916355 MZO916266:MZO916355 MPS916266:MPS916355 MFW916266:MFW916355 LWA916266:LWA916355 LME916266:LME916355 LCI916266:LCI916355 KSM916266:KSM916355 KIQ916266:KIQ916355 JYU916266:JYU916355 JOY916266:JOY916355 JFC916266:JFC916355 IVG916266:IVG916355 ILK916266:ILK916355 IBO916266:IBO916355 HRS916266:HRS916355 HHW916266:HHW916355 GYA916266:GYA916355 GOE916266:GOE916355 GEI916266:GEI916355 FUM916266:FUM916355 FKQ916266:FKQ916355 FAU916266:FAU916355 EQY916266:EQY916355 EHC916266:EHC916355 DXG916266:DXG916355 DNK916266:DNK916355 DDO916266:DDO916355 CTS916266:CTS916355 CJW916266:CJW916355 CAA916266:CAA916355 BQE916266:BQE916355 BGI916266:BGI916355 AWM916266:AWM916355 AMQ916266:AMQ916355 ACU916266:ACU916355 SY916266:SY916355 JC916266:JC916355 G916275:G916364 WVO850730:WVO850819 WLS850730:WLS850819 WBW850730:WBW850819 VSA850730:VSA850819 VIE850730:VIE850819 UYI850730:UYI850819 UOM850730:UOM850819 UEQ850730:UEQ850819 TUU850730:TUU850819 TKY850730:TKY850819 TBC850730:TBC850819 SRG850730:SRG850819 SHK850730:SHK850819 RXO850730:RXO850819 RNS850730:RNS850819 RDW850730:RDW850819 QUA850730:QUA850819 QKE850730:QKE850819 QAI850730:QAI850819 PQM850730:PQM850819 PGQ850730:PGQ850819 OWU850730:OWU850819 OMY850730:OMY850819 ODC850730:ODC850819 NTG850730:NTG850819 NJK850730:NJK850819 MZO850730:MZO850819 MPS850730:MPS850819 MFW850730:MFW850819 LWA850730:LWA850819 LME850730:LME850819 LCI850730:LCI850819 KSM850730:KSM850819 KIQ850730:KIQ850819 JYU850730:JYU850819 JOY850730:JOY850819 JFC850730:JFC850819 IVG850730:IVG850819 ILK850730:ILK850819 IBO850730:IBO850819 HRS850730:HRS850819 HHW850730:HHW850819 GYA850730:GYA850819 GOE850730:GOE850819 GEI850730:GEI850819 FUM850730:FUM850819 FKQ850730:FKQ850819 FAU850730:FAU850819 EQY850730:EQY850819 EHC850730:EHC850819 DXG850730:DXG850819 DNK850730:DNK850819 DDO850730:DDO850819 CTS850730:CTS850819 CJW850730:CJW850819 CAA850730:CAA850819 BQE850730:BQE850819 BGI850730:BGI850819 AWM850730:AWM850819 AMQ850730:AMQ850819 ACU850730:ACU850819 SY850730:SY850819 JC850730:JC850819 G850739:G850828 WVO785194:WVO785283 WLS785194:WLS785283 WBW785194:WBW785283 VSA785194:VSA785283 VIE785194:VIE785283 UYI785194:UYI785283 UOM785194:UOM785283 UEQ785194:UEQ785283 TUU785194:TUU785283 TKY785194:TKY785283 TBC785194:TBC785283 SRG785194:SRG785283 SHK785194:SHK785283 RXO785194:RXO785283 RNS785194:RNS785283 RDW785194:RDW785283 QUA785194:QUA785283 QKE785194:QKE785283 QAI785194:QAI785283 PQM785194:PQM785283 PGQ785194:PGQ785283 OWU785194:OWU785283 OMY785194:OMY785283 ODC785194:ODC785283 NTG785194:NTG785283 NJK785194:NJK785283 MZO785194:MZO785283 MPS785194:MPS785283 MFW785194:MFW785283 LWA785194:LWA785283 LME785194:LME785283 LCI785194:LCI785283 KSM785194:KSM785283 KIQ785194:KIQ785283 JYU785194:JYU785283 JOY785194:JOY785283 JFC785194:JFC785283 IVG785194:IVG785283 ILK785194:ILK785283 IBO785194:IBO785283 HRS785194:HRS785283 HHW785194:HHW785283 GYA785194:GYA785283 GOE785194:GOE785283 GEI785194:GEI785283 FUM785194:FUM785283 FKQ785194:FKQ785283 FAU785194:FAU785283 EQY785194:EQY785283 EHC785194:EHC785283 DXG785194:DXG785283 DNK785194:DNK785283 DDO785194:DDO785283 CTS785194:CTS785283 CJW785194:CJW785283 CAA785194:CAA785283 BQE785194:BQE785283 BGI785194:BGI785283 AWM785194:AWM785283 AMQ785194:AMQ785283 ACU785194:ACU785283 SY785194:SY785283 JC785194:JC785283 G785203:G785292 WVO719658:WVO719747 WLS719658:WLS719747 WBW719658:WBW719747 VSA719658:VSA719747 VIE719658:VIE719747 UYI719658:UYI719747 UOM719658:UOM719747 UEQ719658:UEQ719747 TUU719658:TUU719747 TKY719658:TKY719747 TBC719658:TBC719747 SRG719658:SRG719747 SHK719658:SHK719747 RXO719658:RXO719747 RNS719658:RNS719747 RDW719658:RDW719747 QUA719658:QUA719747 QKE719658:QKE719747 QAI719658:QAI719747 PQM719658:PQM719747 PGQ719658:PGQ719747 OWU719658:OWU719747 OMY719658:OMY719747 ODC719658:ODC719747 NTG719658:NTG719747 NJK719658:NJK719747 MZO719658:MZO719747 MPS719658:MPS719747 MFW719658:MFW719747 LWA719658:LWA719747 LME719658:LME719747 LCI719658:LCI719747 KSM719658:KSM719747 KIQ719658:KIQ719747 JYU719658:JYU719747 JOY719658:JOY719747 JFC719658:JFC719747 IVG719658:IVG719747 ILK719658:ILK719747 IBO719658:IBO719747 HRS719658:HRS719747 HHW719658:HHW719747 GYA719658:GYA719747 GOE719658:GOE719747 GEI719658:GEI719747 FUM719658:FUM719747 FKQ719658:FKQ719747 FAU719658:FAU719747 EQY719658:EQY719747 EHC719658:EHC719747 DXG719658:DXG719747 DNK719658:DNK719747 DDO719658:DDO719747 CTS719658:CTS719747 CJW719658:CJW719747 CAA719658:CAA719747 BQE719658:BQE719747 BGI719658:BGI719747 AWM719658:AWM719747 AMQ719658:AMQ719747 ACU719658:ACU719747 SY719658:SY719747 JC719658:JC719747 G719667:G719756 WVO654122:WVO654211 WLS654122:WLS654211 WBW654122:WBW654211 VSA654122:VSA654211 VIE654122:VIE654211 UYI654122:UYI654211 UOM654122:UOM654211 UEQ654122:UEQ654211 TUU654122:TUU654211 TKY654122:TKY654211 TBC654122:TBC654211 SRG654122:SRG654211 SHK654122:SHK654211 RXO654122:RXO654211 RNS654122:RNS654211 RDW654122:RDW654211 QUA654122:QUA654211 QKE654122:QKE654211 QAI654122:QAI654211 PQM654122:PQM654211 PGQ654122:PGQ654211 OWU654122:OWU654211 OMY654122:OMY654211 ODC654122:ODC654211 NTG654122:NTG654211 NJK654122:NJK654211 MZO654122:MZO654211 MPS654122:MPS654211 MFW654122:MFW654211 LWA654122:LWA654211 LME654122:LME654211 LCI654122:LCI654211 KSM654122:KSM654211 KIQ654122:KIQ654211 JYU654122:JYU654211 JOY654122:JOY654211 JFC654122:JFC654211 IVG654122:IVG654211 ILK654122:ILK654211 IBO654122:IBO654211 HRS654122:HRS654211 HHW654122:HHW654211 GYA654122:GYA654211 GOE654122:GOE654211 GEI654122:GEI654211 FUM654122:FUM654211 FKQ654122:FKQ654211 FAU654122:FAU654211 EQY654122:EQY654211 EHC654122:EHC654211 DXG654122:DXG654211 DNK654122:DNK654211 DDO654122:DDO654211 CTS654122:CTS654211 CJW654122:CJW654211 CAA654122:CAA654211 BQE654122:BQE654211 BGI654122:BGI654211 AWM654122:AWM654211 AMQ654122:AMQ654211 ACU654122:ACU654211 SY654122:SY654211 JC654122:JC654211 G654131:G654220 WVO588586:WVO588675 WLS588586:WLS588675 WBW588586:WBW588675 VSA588586:VSA588675 VIE588586:VIE588675 UYI588586:UYI588675 UOM588586:UOM588675 UEQ588586:UEQ588675 TUU588586:TUU588675 TKY588586:TKY588675 TBC588586:TBC588675 SRG588586:SRG588675 SHK588586:SHK588675 RXO588586:RXO588675 RNS588586:RNS588675 RDW588586:RDW588675 QUA588586:QUA588675 QKE588586:QKE588675 QAI588586:QAI588675 PQM588586:PQM588675 PGQ588586:PGQ588675 OWU588586:OWU588675 OMY588586:OMY588675 ODC588586:ODC588675 NTG588586:NTG588675 NJK588586:NJK588675 MZO588586:MZO588675 MPS588586:MPS588675 MFW588586:MFW588675 LWA588586:LWA588675 LME588586:LME588675 LCI588586:LCI588675 KSM588586:KSM588675 KIQ588586:KIQ588675 JYU588586:JYU588675 JOY588586:JOY588675 JFC588586:JFC588675 IVG588586:IVG588675 ILK588586:ILK588675 IBO588586:IBO588675 HRS588586:HRS588675 HHW588586:HHW588675 GYA588586:GYA588675 GOE588586:GOE588675 GEI588586:GEI588675 FUM588586:FUM588675 FKQ588586:FKQ588675 FAU588586:FAU588675 EQY588586:EQY588675 EHC588586:EHC588675 DXG588586:DXG588675 DNK588586:DNK588675 DDO588586:DDO588675 CTS588586:CTS588675 CJW588586:CJW588675 CAA588586:CAA588675 BQE588586:BQE588675 BGI588586:BGI588675 AWM588586:AWM588675 AMQ588586:AMQ588675 ACU588586:ACU588675 SY588586:SY588675 JC588586:JC588675 G588595:G588684 WVO523050:WVO523139 WLS523050:WLS523139 WBW523050:WBW523139 VSA523050:VSA523139 VIE523050:VIE523139 UYI523050:UYI523139 UOM523050:UOM523139 UEQ523050:UEQ523139 TUU523050:TUU523139 TKY523050:TKY523139 TBC523050:TBC523139 SRG523050:SRG523139 SHK523050:SHK523139 RXO523050:RXO523139 RNS523050:RNS523139 RDW523050:RDW523139 QUA523050:QUA523139 QKE523050:QKE523139 QAI523050:QAI523139 PQM523050:PQM523139 PGQ523050:PGQ523139 OWU523050:OWU523139 OMY523050:OMY523139 ODC523050:ODC523139 NTG523050:NTG523139 NJK523050:NJK523139 MZO523050:MZO523139 MPS523050:MPS523139 MFW523050:MFW523139 LWA523050:LWA523139 LME523050:LME523139 LCI523050:LCI523139 KSM523050:KSM523139 KIQ523050:KIQ523139 JYU523050:JYU523139 JOY523050:JOY523139 JFC523050:JFC523139 IVG523050:IVG523139 ILK523050:ILK523139 IBO523050:IBO523139 HRS523050:HRS523139 HHW523050:HHW523139 GYA523050:GYA523139 GOE523050:GOE523139 GEI523050:GEI523139 FUM523050:FUM523139 FKQ523050:FKQ523139 FAU523050:FAU523139 EQY523050:EQY523139 EHC523050:EHC523139 DXG523050:DXG523139 DNK523050:DNK523139 DDO523050:DDO523139 CTS523050:CTS523139 CJW523050:CJW523139 CAA523050:CAA523139 BQE523050:BQE523139 BGI523050:BGI523139 AWM523050:AWM523139 AMQ523050:AMQ523139 ACU523050:ACU523139 SY523050:SY523139 JC523050:JC523139 G523059:G523148 WVO457514:WVO457603 WLS457514:WLS457603 WBW457514:WBW457603 VSA457514:VSA457603 VIE457514:VIE457603 UYI457514:UYI457603 UOM457514:UOM457603 UEQ457514:UEQ457603 TUU457514:TUU457603 TKY457514:TKY457603 TBC457514:TBC457603 SRG457514:SRG457603 SHK457514:SHK457603 RXO457514:RXO457603 RNS457514:RNS457603 RDW457514:RDW457603 QUA457514:QUA457603 QKE457514:QKE457603 QAI457514:QAI457603 PQM457514:PQM457603 PGQ457514:PGQ457603 OWU457514:OWU457603 OMY457514:OMY457603 ODC457514:ODC457603 NTG457514:NTG457603 NJK457514:NJK457603 MZO457514:MZO457603 MPS457514:MPS457603 MFW457514:MFW457603 LWA457514:LWA457603 LME457514:LME457603 LCI457514:LCI457603 KSM457514:KSM457603 KIQ457514:KIQ457603 JYU457514:JYU457603 JOY457514:JOY457603 JFC457514:JFC457603 IVG457514:IVG457603 ILK457514:ILK457603 IBO457514:IBO457603 HRS457514:HRS457603 HHW457514:HHW457603 GYA457514:GYA457603 GOE457514:GOE457603 GEI457514:GEI457603 FUM457514:FUM457603 FKQ457514:FKQ457603 FAU457514:FAU457603 EQY457514:EQY457603 EHC457514:EHC457603 DXG457514:DXG457603 DNK457514:DNK457603 DDO457514:DDO457603 CTS457514:CTS457603 CJW457514:CJW457603 CAA457514:CAA457603 BQE457514:BQE457603 BGI457514:BGI457603 AWM457514:AWM457603 AMQ457514:AMQ457603 ACU457514:ACU457603 SY457514:SY457603 JC457514:JC457603 G457523:G457612 WVO391978:WVO392067 WLS391978:WLS392067 WBW391978:WBW392067 VSA391978:VSA392067 VIE391978:VIE392067 UYI391978:UYI392067 UOM391978:UOM392067 UEQ391978:UEQ392067 TUU391978:TUU392067 TKY391978:TKY392067 TBC391978:TBC392067 SRG391978:SRG392067 SHK391978:SHK392067 RXO391978:RXO392067 RNS391978:RNS392067 RDW391978:RDW392067 QUA391978:QUA392067 QKE391978:QKE392067 QAI391978:QAI392067 PQM391978:PQM392067 PGQ391978:PGQ392067 OWU391978:OWU392067 OMY391978:OMY392067 ODC391978:ODC392067 NTG391978:NTG392067 NJK391978:NJK392067 MZO391978:MZO392067 MPS391978:MPS392067 MFW391978:MFW392067 LWA391978:LWA392067 LME391978:LME392067 LCI391978:LCI392067 KSM391978:KSM392067 KIQ391978:KIQ392067 JYU391978:JYU392067 JOY391978:JOY392067 JFC391978:JFC392067 IVG391978:IVG392067 ILK391978:ILK392067 IBO391978:IBO392067 HRS391978:HRS392067 HHW391978:HHW392067 GYA391978:GYA392067 GOE391978:GOE392067 GEI391978:GEI392067 FUM391978:FUM392067 FKQ391978:FKQ392067 FAU391978:FAU392067 EQY391978:EQY392067 EHC391978:EHC392067 DXG391978:DXG392067 DNK391978:DNK392067 DDO391978:DDO392067 CTS391978:CTS392067 CJW391978:CJW392067 CAA391978:CAA392067 BQE391978:BQE392067 BGI391978:BGI392067 AWM391978:AWM392067 AMQ391978:AMQ392067 ACU391978:ACU392067 SY391978:SY392067 JC391978:JC392067 G391987:G392076 WVO326442:WVO326531 WLS326442:WLS326531 WBW326442:WBW326531 VSA326442:VSA326531 VIE326442:VIE326531 UYI326442:UYI326531 UOM326442:UOM326531 UEQ326442:UEQ326531 TUU326442:TUU326531 TKY326442:TKY326531 TBC326442:TBC326531 SRG326442:SRG326531 SHK326442:SHK326531 RXO326442:RXO326531 RNS326442:RNS326531 RDW326442:RDW326531 QUA326442:QUA326531 QKE326442:QKE326531 QAI326442:QAI326531 PQM326442:PQM326531 PGQ326442:PGQ326531 OWU326442:OWU326531 OMY326442:OMY326531 ODC326442:ODC326531 NTG326442:NTG326531 NJK326442:NJK326531 MZO326442:MZO326531 MPS326442:MPS326531 MFW326442:MFW326531 LWA326442:LWA326531 LME326442:LME326531 LCI326442:LCI326531 KSM326442:KSM326531 KIQ326442:KIQ326531 JYU326442:JYU326531 JOY326442:JOY326531 JFC326442:JFC326531 IVG326442:IVG326531 ILK326442:ILK326531 IBO326442:IBO326531 HRS326442:HRS326531 HHW326442:HHW326531 GYA326442:GYA326531 GOE326442:GOE326531 GEI326442:GEI326531 FUM326442:FUM326531 FKQ326442:FKQ326531 FAU326442:FAU326531 EQY326442:EQY326531 EHC326442:EHC326531 DXG326442:DXG326531 DNK326442:DNK326531 DDO326442:DDO326531 CTS326442:CTS326531 CJW326442:CJW326531 CAA326442:CAA326531 BQE326442:BQE326531 BGI326442:BGI326531 AWM326442:AWM326531 AMQ326442:AMQ326531 ACU326442:ACU326531 SY326442:SY326531 JC326442:JC326531 G326451:G326540 WVO260906:WVO260995 WLS260906:WLS260995 WBW260906:WBW260995 VSA260906:VSA260995 VIE260906:VIE260995 UYI260906:UYI260995 UOM260906:UOM260995 UEQ260906:UEQ260995 TUU260906:TUU260995 TKY260906:TKY260995 TBC260906:TBC260995 SRG260906:SRG260995 SHK260906:SHK260995 RXO260906:RXO260995 RNS260906:RNS260995 RDW260906:RDW260995 QUA260906:QUA260995 QKE260906:QKE260995 QAI260906:QAI260995 PQM260906:PQM260995 PGQ260906:PGQ260995 OWU260906:OWU260995 OMY260906:OMY260995 ODC260906:ODC260995 NTG260906:NTG260995 NJK260906:NJK260995 MZO260906:MZO260995 MPS260906:MPS260995 MFW260906:MFW260995 LWA260906:LWA260995 LME260906:LME260995 LCI260906:LCI260995 KSM260906:KSM260995 KIQ260906:KIQ260995 JYU260906:JYU260995 JOY260906:JOY260995 JFC260906:JFC260995 IVG260906:IVG260995 ILK260906:ILK260995 IBO260906:IBO260995 HRS260906:HRS260995 HHW260906:HHW260995 GYA260906:GYA260995 GOE260906:GOE260995 GEI260906:GEI260995 FUM260906:FUM260995 FKQ260906:FKQ260995 FAU260906:FAU260995 EQY260906:EQY260995 EHC260906:EHC260995 DXG260906:DXG260995 DNK260906:DNK260995 DDO260906:DDO260995 CTS260906:CTS260995 CJW260906:CJW260995 CAA260906:CAA260995 BQE260906:BQE260995 BGI260906:BGI260995 AWM260906:AWM260995 AMQ260906:AMQ260995 ACU260906:ACU260995 SY260906:SY260995 JC260906:JC260995 G260915:G261004 WVO195370:WVO195459 WLS195370:WLS195459 WBW195370:WBW195459 VSA195370:VSA195459 VIE195370:VIE195459 UYI195370:UYI195459 UOM195370:UOM195459 UEQ195370:UEQ195459 TUU195370:TUU195459 TKY195370:TKY195459 TBC195370:TBC195459 SRG195370:SRG195459 SHK195370:SHK195459 RXO195370:RXO195459 RNS195370:RNS195459 RDW195370:RDW195459 QUA195370:QUA195459 QKE195370:QKE195459 QAI195370:QAI195459 PQM195370:PQM195459 PGQ195370:PGQ195459 OWU195370:OWU195459 OMY195370:OMY195459 ODC195370:ODC195459 NTG195370:NTG195459 NJK195370:NJK195459 MZO195370:MZO195459 MPS195370:MPS195459 MFW195370:MFW195459 LWA195370:LWA195459 LME195370:LME195459 LCI195370:LCI195459 KSM195370:KSM195459 KIQ195370:KIQ195459 JYU195370:JYU195459 JOY195370:JOY195459 JFC195370:JFC195459 IVG195370:IVG195459 ILK195370:ILK195459 IBO195370:IBO195459 HRS195370:HRS195459 HHW195370:HHW195459 GYA195370:GYA195459 GOE195370:GOE195459 GEI195370:GEI195459 FUM195370:FUM195459 FKQ195370:FKQ195459 FAU195370:FAU195459 EQY195370:EQY195459 EHC195370:EHC195459 DXG195370:DXG195459 DNK195370:DNK195459 DDO195370:DDO195459 CTS195370:CTS195459 CJW195370:CJW195459 CAA195370:CAA195459 BQE195370:BQE195459 BGI195370:BGI195459 AWM195370:AWM195459 AMQ195370:AMQ195459 ACU195370:ACU195459 SY195370:SY195459 JC195370:JC195459 G195379:G195468 WVO129834:WVO129923 WLS129834:WLS129923 WBW129834:WBW129923 VSA129834:VSA129923 VIE129834:VIE129923 UYI129834:UYI129923 UOM129834:UOM129923 UEQ129834:UEQ129923 TUU129834:TUU129923 TKY129834:TKY129923 TBC129834:TBC129923 SRG129834:SRG129923 SHK129834:SHK129923 RXO129834:RXO129923 RNS129834:RNS129923 RDW129834:RDW129923 QUA129834:QUA129923 QKE129834:QKE129923 QAI129834:QAI129923 PQM129834:PQM129923 PGQ129834:PGQ129923 OWU129834:OWU129923 OMY129834:OMY129923 ODC129834:ODC129923 NTG129834:NTG129923 NJK129834:NJK129923 MZO129834:MZO129923 MPS129834:MPS129923 MFW129834:MFW129923 LWA129834:LWA129923 LME129834:LME129923 LCI129834:LCI129923 KSM129834:KSM129923 KIQ129834:KIQ129923 JYU129834:JYU129923 JOY129834:JOY129923 JFC129834:JFC129923 IVG129834:IVG129923 ILK129834:ILK129923 IBO129834:IBO129923 HRS129834:HRS129923 HHW129834:HHW129923 GYA129834:GYA129923 GOE129834:GOE129923 GEI129834:GEI129923 FUM129834:FUM129923 FKQ129834:FKQ129923 FAU129834:FAU129923 EQY129834:EQY129923 EHC129834:EHC129923 DXG129834:DXG129923 DNK129834:DNK129923 DDO129834:DDO129923 CTS129834:CTS129923 CJW129834:CJW129923 CAA129834:CAA129923 BQE129834:BQE129923 BGI129834:BGI129923 AWM129834:AWM129923 AMQ129834:AMQ129923 ACU129834:ACU129923 SY129834:SY129923 JC129834:JC129923 G129843:G129932 WVO64298:WVO64387 WLS64298:WLS64387 WBW64298:WBW64387 VSA64298:VSA64387 VIE64298:VIE64387 UYI64298:UYI64387 UOM64298:UOM64387 UEQ64298:UEQ64387 TUU64298:TUU64387 TKY64298:TKY64387 TBC64298:TBC64387 SRG64298:SRG64387 SHK64298:SHK64387 RXO64298:RXO64387 RNS64298:RNS64387 RDW64298:RDW64387 QUA64298:QUA64387 QKE64298:QKE64387 QAI64298:QAI64387 PQM64298:PQM64387 PGQ64298:PGQ64387 OWU64298:OWU64387 OMY64298:OMY64387 ODC64298:ODC64387 NTG64298:NTG64387 NJK64298:NJK64387 MZO64298:MZO64387 MPS64298:MPS64387 MFW64298:MFW64387 LWA64298:LWA64387 LME64298:LME64387 LCI64298:LCI64387 KSM64298:KSM64387 KIQ64298:KIQ64387 JYU64298:JYU64387 JOY64298:JOY64387 JFC64298:JFC64387 IVG64298:IVG64387 ILK64298:ILK64387 IBO64298:IBO64387 HRS64298:HRS64387 HHW64298:HHW64387 GYA64298:GYA64387 GOE64298:GOE64387 GEI64298:GEI64387 FUM64298:FUM64387 FKQ64298:FKQ64387 FAU64298:FAU64387 EQY64298:EQY64387 EHC64298:EHC64387 DXG64298:DXG64387 DNK64298:DNK64387 DDO64298:DDO64387 CTS64298:CTS64387 CJW64298:CJW64387 CAA64298:CAA64387 BQE64298:BQE64387 BGI64298:BGI64387 AWM64298:AWM64387 AMQ64298:AMQ64387 ACU64298:ACU64387 SY64298:SY64387 JC64298:JC64387 G64307:G64396 G93:G497 JC2:JC70 SY2:SY70 ACU2:ACU70 AMQ2:AMQ70 AWM2:AWM70 BGI2:BGI70 BQE2:BQE70 CAA2:CAA70 CJW2:CJW70 CTS2:CTS70 DDO2:DDO70 DNK2:DNK70 DXG2:DXG70 EHC2:EHC70 EQY2:EQY70 FAU2:FAU70 FKQ2:FKQ70 FUM2:FUM70 GEI2:GEI70 GOE2:GOE70 GYA2:GYA70 HHW2:HHW70 HRS2:HRS70 IBO2:IBO70 ILK2:ILK70 IVG2:IVG70 JFC2:JFC70 JOY2:JOY70 JYU2:JYU70 KIQ2:KIQ70 KSM2:KSM70 LCI2:LCI70 LME2:LME70 LWA2:LWA70 MFW2:MFW70 MPS2:MPS70 MZO2:MZO70 NJK2:NJK70 NTG2:NTG70 ODC2:ODC70 OMY2:OMY70 OWU2:OWU70 PGQ2:PGQ70 PQM2:PQM70 QAI2:QAI70 QKE2:QKE70 QUA2:QUA70 RDW2:RDW70 RNS2:RNS70 RXO2:RXO70 SHK2:SHK70 SRG2:SRG70 TBC2:TBC70 TKY2:TKY70 TUU2:TUU70 UEQ2:UEQ70 UOM2:UOM70 UYI2:UYI70 VIE2:VIE70 VSA2:VSA70 WBW2:WBW70 WLS2:WLS70 WVO2:WVO70 G2:G91">
      <formula1>$AJ$2:$AJ$4</formula1>
    </dataValidation>
    <dataValidation type="list" allowBlank="1" showInputMessage="1" showErrorMessage="1" sqref="WVP981802:WVP981891 WLT981802:WLT981891 WBX981802:WBX981891 VSB981802:VSB981891 VIF981802:VIF981891 UYJ981802:UYJ981891 UON981802:UON981891 UER981802:UER981891 TUV981802:TUV981891 TKZ981802:TKZ981891 TBD981802:TBD981891 SRH981802:SRH981891 SHL981802:SHL981891 RXP981802:RXP981891 RNT981802:RNT981891 RDX981802:RDX981891 QUB981802:QUB981891 QKF981802:QKF981891 QAJ981802:QAJ981891 PQN981802:PQN981891 PGR981802:PGR981891 OWV981802:OWV981891 OMZ981802:OMZ981891 ODD981802:ODD981891 NTH981802:NTH981891 NJL981802:NJL981891 MZP981802:MZP981891 MPT981802:MPT981891 MFX981802:MFX981891 LWB981802:LWB981891 LMF981802:LMF981891 LCJ981802:LCJ981891 KSN981802:KSN981891 KIR981802:KIR981891 JYV981802:JYV981891 JOZ981802:JOZ981891 JFD981802:JFD981891 IVH981802:IVH981891 ILL981802:ILL981891 IBP981802:IBP981891 HRT981802:HRT981891 HHX981802:HHX981891 GYB981802:GYB981891 GOF981802:GOF981891 GEJ981802:GEJ981891 FUN981802:FUN981891 FKR981802:FKR981891 FAV981802:FAV981891 EQZ981802:EQZ981891 EHD981802:EHD981891 DXH981802:DXH981891 DNL981802:DNL981891 DDP981802:DDP981891 CTT981802:CTT981891 CJX981802:CJX981891 CAB981802:CAB981891 BQF981802:BQF981891 BGJ981802:BGJ981891 AWN981802:AWN981891 AMR981802:AMR981891 ACV981802:ACV981891 SZ981802:SZ981891 JD981802:JD981891 H981823:H981912 WVP916266:WVP916355 WLT916266:WLT916355 WBX916266:WBX916355 VSB916266:VSB916355 VIF916266:VIF916355 UYJ916266:UYJ916355 UON916266:UON916355 UER916266:UER916355 TUV916266:TUV916355 TKZ916266:TKZ916355 TBD916266:TBD916355 SRH916266:SRH916355 SHL916266:SHL916355 RXP916266:RXP916355 RNT916266:RNT916355 RDX916266:RDX916355 QUB916266:QUB916355 QKF916266:QKF916355 QAJ916266:QAJ916355 PQN916266:PQN916355 PGR916266:PGR916355 OWV916266:OWV916355 OMZ916266:OMZ916355 ODD916266:ODD916355 NTH916266:NTH916355 NJL916266:NJL916355 MZP916266:MZP916355 MPT916266:MPT916355 MFX916266:MFX916355 LWB916266:LWB916355 LMF916266:LMF916355 LCJ916266:LCJ916355 KSN916266:KSN916355 KIR916266:KIR916355 JYV916266:JYV916355 JOZ916266:JOZ916355 JFD916266:JFD916355 IVH916266:IVH916355 ILL916266:ILL916355 IBP916266:IBP916355 HRT916266:HRT916355 HHX916266:HHX916355 GYB916266:GYB916355 GOF916266:GOF916355 GEJ916266:GEJ916355 FUN916266:FUN916355 FKR916266:FKR916355 FAV916266:FAV916355 EQZ916266:EQZ916355 EHD916266:EHD916355 DXH916266:DXH916355 DNL916266:DNL916355 DDP916266:DDP916355 CTT916266:CTT916355 CJX916266:CJX916355 CAB916266:CAB916355 BQF916266:BQF916355 BGJ916266:BGJ916355 AWN916266:AWN916355 AMR916266:AMR916355 ACV916266:ACV916355 SZ916266:SZ916355 JD916266:JD916355 H916287:H916376 WVP850730:WVP850819 WLT850730:WLT850819 WBX850730:WBX850819 VSB850730:VSB850819 VIF850730:VIF850819 UYJ850730:UYJ850819 UON850730:UON850819 UER850730:UER850819 TUV850730:TUV850819 TKZ850730:TKZ850819 TBD850730:TBD850819 SRH850730:SRH850819 SHL850730:SHL850819 RXP850730:RXP850819 RNT850730:RNT850819 RDX850730:RDX850819 QUB850730:QUB850819 QKF850730:QKF850819 QAJ850730:QAJ850819 PQN850730:PQN850819 PGR850730:PGR850819 OWV850730:OWV850819 OMZ850730:OMZ850819 ODD850730:ODD850819 NTH850730:NTH850819 NJL850730:NJL850819 MZP850730:MZP850819 MPT850730:MPT850819 MFX850730:MFX850819 LWB850730:LWB850819 LMF850730:LMF850819 LCJ850730:LCJ850819 KSN850730:KSN850819 KIR850730:KIR850819 JYV850730:JYV850819 JOZ850730:JOZ850819 JFD850730:JFD850819 IVH850730:IVH850819 ILL850730:ILL850819 IBP850730:IBP850819 HRT850730:HRT850819 HHX850730:HHX850819 GYB850730:GYB850819 GOF850730:GOF850819 GEJ850730:GEJ850819 FUN850730:FUN850819 FKR850730:FKR850819 FAV850730:FAV850819 EQZ850730:EQZ850819 EHD850730:EHD850819 DXH850730:DXH850819 DNL850730:DNL850819 DDP850730:DDP850819 CTT850730:CTT850819 CJX850730:CJX850819 CAB850730:CAB850819 BQF850730:BQF850819 BGJ850730:BGJ850819 AWN850730:AWN850819 AMR850730:AMR850819 ACV850730:ACV850819 SZ850730:SZ850819 JD850730:JD850819 H850751:H850840 WVP785194:WVP785283 WLT785194:WLT785283 WBX785194:WBX785283 VSB785194:VSB785283 VIF785194:VIF785283 UYJ785194:UYJ785283 UON785194:UON785283 UER785194:UER785283 TUV785194:TUV785283 TKZ785194:TKZ785283 TBD785194:TBD785283 SRH785194:SRH785283 SHL785194:SHL785283 RXP785194:RXP785283 RNT785194:RNT785283 RDX785194:RDX785283 QUB785194:QUB785283 QKF785194:QKF785283 QAJ785194:QAJ785283 PQN785194:PQN785283 PGR785194:PGR785283 OWV785194:OWV785283 OMZ785194:OMZ785283 ODD785194:ODD785283 NTH785194:NTH785283 NJL785194:NJL785283 MZP785194:MZP785283 MPT785194:MPT785283 MFX785194:MFX785283 LWB785194:LWB785283 LMF785194:LMF785283 LCJ785194:LCJ785283 KSN785194:KSN785283 KIR785194:KIR785283 JYV785194:JYV785283 JOZ785194:JOZ785283 JFD785194:JFD785283 IVH785194:IVH785283 ILL785194:ILL785283 IBP785194:IBP785283 HRT785194:HRT785283 HHX785194:HHX785283 GYB785194:GYB785283 GOF785194:GOF785283 GEJ785194:GEJ785283 FUN785194:FUN785283 FKR785194:FKR785283 FAV785194:FAV785283 EQZ785194:EQZ785283 EHD785194:EHD785283 DXH785194:DXH785283 DNL785194:DNL785283 DDP785194:DDP785283 CTT785194:CTT785283 CJX785194:CJX785283 CAB785194:CAB785283 BQF785194:BQF785283 BGJ785194:BGJ785283 AWN785194:AWN785283 AMR785194:AMR785283 ACV785194:ACV785283 SZ785194:SZ785283 JD785194:JD785283 H785215:H785304 WVP719658:WVP719747 WLT719658:WLT719747 WBX719658:WBX719747 VSB719658:VSB719747 VIF719658:VIF719747 UYJ719658:UYJ719747 UON719658:UON719747 UER719658:UER719747 TUV719658:TUV719747 TKZ719658:TKZ719747 TBD719658:TBD719747 SRH719658:SRH719747 SHL719658:SHL719747 RXP719658:RXP719747 RNT719658:RNT719747 RDX719658:RDX719747 QUB719658:QUB719747 QKF719658:QKF719747 QAJ719658:QAJ719747 PQN719658:PQN719747 PGR719658:PGR719747 OWV719658:OWV719747 OMZ719658:OMZ719747 ODD719658:ODD719747 NTH719658:NTH719747 NJL719658:NJL719747 MZP719658:MZP719747 MPT719658:MPT719747 MFX719658:MFX719747 LWB719658:LWB719747 LMF719658:LMF719747 LCJ719658:LCJ719747 KSN719658:KSN719747 KIR719658:KIR719747 JYV719658:JYV719747 JOZ719658:JOZ719747 JFD719658:JFD719747 IVH719658:IVH719747 ILL719658:ILL719747 IBP719658:IBP719747 HRT719658:HRT719747 HHX719658:HHX719747 GYB719658:GYB719747 GOF719658:GOF719747 GEJ719658:GEJ719747 FUN719658:FUN719747 FKR719658:FKR719747 FAV719658:FAV719747 EQZ719658:EQZ719747 EHD719658:EHD719747 DXH719658:DXH719747 DNL719658:DNL719747 DDP719658:DDP719747 CTT719658:CTT719747 CJX719658:CJX719747 CAB719658:CAB719747 BQF719658:BQF719747 BGJ719658:BGJ719747 AWN719658:AWN719747 AMR719658:AMR719747 ACV719658:ACV719747 SZ719658:SZ719747 JD719658:JD719747 H719679:H719768 WVP654122:WVP654211 WLT654122:WLT654211 WBX654122:WBX654211 VSB654122:VSB654211 VIF654122:VIF654211 UYJ654122:UYJ654211 UON654122:UON654211 UER654122:UER654211 TUV654122:TUV654211 TKZ654122:TKZ654211 TBD654122:TBD654211 SRH654122:SRH654211 SHL654122:SHL654211 RXP654122:RXP654211 RNT654122:RNT654211 RDX654122:RDX654211 QUB654122:QUB654211 QKF654122:QKF654211 QAJ654122:QAJ654211 PQN654122:PQN654211 PGR654122:PGR654211 OWV654122:OWV654211 OMZ654122:OMZ654211 ODD654122:ODD654211 NTH654122:NTH654211 NJL654122:NJL654211 MZP654122:MZP654211 MPT654122:MPT654211 MFX654122:MFX654211 LWB654122:LWB654211 LMF654122:LMF654211 LCJ654122:LCJ654211 KSN654122:KSN654211 KIR654122:KIR654211 JYV654122:JYV654211 JOZ654122:JOZ654211 JFD654122:JFD654211 IVH654122:IVH654211 ILL654122:ILL654211 IBP654122:IBP654211 HRT654122:HRT654211 HHX654122:HHX654211 GYB654122:GYB654211 GOF654122:GOF654211 GEJ654122:GEJ654211 FUN654122:FUN654211 FKR654122:FKR654211 FAV654122:FAV654211 EQZ654122:EQZ654211 EHD654122:EHD654211 DXH654122:DXH654211 DNL654122:DNL654211 DDP654122:DDP654211 CTT654122:CTT654211 CJX654122:CJX654211 CAB654122:CAB654211 BQF654122:BQF654211 BGJ654122:BGJ654211 AWN654122:AWN654211 AMR654122:AMR654211 ACV654122:ACV654211 SZ654122:SZ654211 JD654122:JD654211 H654143:H654232 WVP588586:WVP588675 WLT588586:WLT588675 WBX588586:WBX588675 VSB588586:VSB588675 VIF588586:VIF588675 UYJ588586:UYJ588675 UON588586:UON588675 UER588586:UER588675 TUV588586:TUV588675 TKZ588586:TKZ588675 TBD588586:TBD588675 SRH588586:SRH588675 SHL588586:SHL588675 RXP588586:RXP588675 RNT588586:RNT588675 RDX588586:RDX588675 QUB588586:QUB588675 QKF588586:QKF588675 QAJ588586:QAJ588675 PQN588586:PQN588675 PGR588586:PGR588675 OWV588586:OWV588675 OMZ588586:OMZ588675 ODD588586:ODD588675 NTH588586:NTH588675 NJL588586:NJL588675 MZP588586:MZP588675 MPT588586:MPT588675 MFX588586:MFX588675 LWB588586:LWB588675 LMF588586:LMF588675 LCJ588586:LCJ588675 KSN588586:KSN588675 KIR588586:KIR588675 JYV588586:JYV588675 JOZ588586:JOZ588675 JFD588586:JFD588675 IVH588586:IVH588675 ILL588586:ILL588675 IBP588586:IBP588675 HRT588586:HRT588675 HHX588586:HHX588675 GYB588586:GYB588675 GOF588586:GOF588675 GEJ588586:GEJ588675 FUN588586:FUN588675 FKR588586:FKR588675 FAV588586:FAV588675 EQZ588586:EQZ588675 EHD588586:EHD588675 DXH588586:DXH588675 DNL588586:DNL588675 DDP588586:DDP588675 CTT588586:CTT588675 CJX588586:CJX588675 CAB588586:CAB588675 BQF588586:BQF588675 BGJ588586:BGJ588675 AWN588586:AWN588675 AMR588586:AMR588675 ACV588586:ACV588675 SZ588586:SZ588675 JD588586:JD588675 H588607:H588696 WVP523050:WVP523139 WLT523050:WLT523139 WBX523050:WBX523139 VSB523050:VSB523139 VIF523050:VIF523139 UYJ523050:UYJ523139 UON523050:UON523139 UER523050:UER523139 TUV523050:TUV523139 TKZ523050:TKZ523139 TBD523050:TBD523139 SRH523050:SRH523139 SHL523050:SHL523139 RXP523050:RXP523139 RNT523050:RNT523139 RDX523050:RDX523139 QUB523050:QUB523139 QKF523050:QKF523139 QAJ523050:QAJ523139 PQN523050:PQN523139 PGR523050:PGR523139 OWV523050:OWV523139 OMZ523050:OMZ523139 ODD523050:ODD523139 NTH523050:NTH523139 NJL523050:NJL523139 MZP523050:MZP523139 MPT523050:MPT523139 MFX523050:MFX523139 LWB523050:LWB523139 LMF523050:LMF523139 LCJ523050:LCJ523139 KSN523050:KSN523139 KIR523050:KIR523139 JYV523050:JYV523139 JOZ523050:JOZ523139 JFD523050:JFD523139 IVH523050:IVH523139 ILL523050:ILL523139 IBP523050:IBP523139 HRT523050:HRT523139 HHX523050:HHX523139 GYB523050:GYB523139 GOF523050:GOF523139 GEJ523050:GEJ523139 FUN523050:FUN523139 FKR523050:FKR523139 FAV523050:FAV523139 EQZ523050:EQZ523139 EHD523050:EHD523139 DXH523050:DXH523139 DNL523050:DNL523139 DDP523050:DDP523139 CTT523050:CTT523139 CJX523050:CJX523139 CAB523050:CAB523139 BQF523050:BQF523139 BGJ523050:BGJ523139 AWN523050:AWN523139 AMR523050:AMR523139 ACV523050:ACV523139 SZ523050:SZ523139 JD523050:JD523139 H523071:H523160 WVP457514:WVP457603 WLT457514:WLT457603 WBX457514:WBX457603 VSB457514:VSB457603 VIF457514:VIF457603 UYJ457514:UYJ457603 UON457514:UON457603 UER457514:UER457603 TUV457514:TUV457603 TKZ457514:TKZ457603 TBD457514:TBD457603 SRH457514:SRH457603 SHL457514:SHL457603 RXP457514:RXP457603 RNT457514:RNT457603 RDX457514:RDX457603 QUB457514:QUB457603 QKF457514:QKF457603 QAJ457514:QAJ457603 PQN457514:PQN457603 PGR457514:PGR457603 OWV457514:OWV457603 OMZ457514:OMZ457603 ODD457514:ODD457603 NTH457514:NTH457603 NJL457514:NJL457603 MZP457514:MZP457603 MPT457514:MPT457603 MFX457514:MFX457603 LWB457514:LWB457603 LMF457514:LMF457603 LCJ457514:LCJ457603 KSN457514:KSN457603 KIR457514:KIR457603 JYV457514:JYV457603 JOZ457514:JOZ457603 JFD457514:JFD457603 IVH457514:IVH457603 ILL457514:ILL457603 IBP457514:IBP457603 HRT457514:HRT457603 HHX457514:HHX457603 GYB457514:GYB457603 GOF457514:GOF457603 GEJ457514:GEJ457603 FUN457514:FUN457603 FKR457514:FKR457603 FAV457514:FAV457603 EQZ457514:EQZ457603 EHD457514:EHD457603 DXH457514:DXH457603 DNL457514:DNL457603 DDP457514:DDP457603 CTT457514:CTT457603 CJX457514:CJX457603 CAB457514:CAB457603 BQF457514:BQF457603 BGJ457514:BGJ457603 AWN457514:AWN457603 AMR457514:AMR457603 ACV457514:ACV457603 SZ457514:SZ457603 JD457514:JD457603 H457535:H457624 WVP391978:WVP392067 WLT391978:WLT392067 WBX391978:WBX392067 VSB391978:VSB392067 VIF391978:VIF392067 UYJ391978:UYJ392067 UON391978:UON392067 UER391978:UER392067 TUV391978:TUV392067 TKZ391978:TKZ392067 TBD391978:TBD392067 SRH391978:SRH392067 SHL391978:SHL392067 RXP391978:RXP392067 RNT391978:RNT392067 RDX391978:RDX392067 QUB391978:QUB392067 QKF391978:QKF392067 QAJ391978:QAJ392067 PQN391978:PQN392067 PGR391978:PGR392067 OWV391978:OWV392067 OMZ391978:OMZ392067 ODD391978:ODD392067 NTH391978:NTH392067 NJL391978:NJL392067 MZP391978:MZP392067 MPT391978:MPT392067 MFX391978:MFX392067 LWB391978:LWB392067 LMF391978:LMF392067 LCJ391978:LCJ392067 KSN391978:KSN392067 KIR391978:KIR392067 JYV391978:JYV392067 JOZ391978:JOZ392067 JFD391978:JFD392067 IVH391978:IVH392067 ILL391978:ILL392067 IBP391978:IBP392067 HRT391978:HRT392067 HHX391978:HHX392067 GYB391978:GYB392067 GOF391978:GOF392067 GEJ391978:GEJ392067 FUN391978:FUN392067 FKR391978:FKR392067 FAV391978:FAV392067 EQZ391978:EQZ392067 EHD391978:EHD392067 DXH391978:DXH392067 DNL391978:DNL392067 DDP391978:DDP392067 CTT391978:CTT392067 CJX391978:CJX392067 CAB391978:CAB392067 BQF391978:BQF392067 BGJ391978:BGJ392067 AWN391978:AWN392067 AMR391978:AMR392067 ACV391978:ACV392067 SZ391978:SZ392067 JD391978:JD392067 H391999:H392088 WVP326442:WVP326531 WLT326442:WLT326531 WBX326442:WBX326531 VSB326442:VSB326531 VIF326442:VIF326531 UYJ326442:UYJ326531 UON326442:UON326531 UER326442:UER326531 TUV326442:TUV326531 TKZ326442:TKZ326531 TBD326442:TBD326531 SRH326442:SRH326531 SHL326442:SHL326531 RXP326442:RXP326531 RNT326442:RNT326531 RDX326442:RDX326531 QUB326442:QUB326531 QKF326442:QKF326531 QAJ326442:QAJ326531 PQN326442:PQN326531 PGR326442:PGR326531 OWV326442:OWV326531 OMZ326442:OMZ326531 ODD326442:ODD326531 NTH326442:NTH326531 NJL326442:NJL326531 MZP326442:MZP326531 MPT326442:MPT326531 MFX326442:MFX326531 LWB326442:LWB326531 LMF326442:LMF326531 LCJ326442:LCJ326531 KSN326442:KSN326531 KIR326442:KIR326531 JYV326442:JYV326531 JOZ326442:JOZ326531 JFD326442:JFD326531 IVH326442:IVH326531 ILL326442:ILL326531 IBP326442:IBP326531 HRT326442:HRT326531 HHX326442:HHX326531 GYB326442:GYB326531 GOF326442:GOF326531 GEJ326442:GEJ326531 FUN326442:FUN326531 FKR326442:FKR326531 FAV326442:FAV326531 EQZ326442:EQZ326531 EHD326442:EHD326531 DXH326442:DXH326531 DNL326442:DNL326531 DDP326442:DDP326531 CTT326442:CTT326531 CJX326442:CJX326531 CAB326442:CAB326531 BQF326442:BQF326531 BGJ326442:BGJ326531 AWN326442:AWN326531 AMR326442:AMR326531 ACV326442:ACV326531 SZ326442:SZ326531 JD326442:JD326531 H326463:H326552 WVP260906:WVP260995 WLT260906:WLT260995 WBX260906:WBX260995 VSB260906:VSB260995 VIF260906:VIF260995 UYJ260906:UYJ260995 UON260906:UON260995 UER260906:UER260995 TUV260906:TUV260995 TKZ260906:TKZ260995 TBD260906:TBD260995 SRH260906:SRH260995 SHL260906:SHL260995 RXP260906:RXP260995 RNT260906:RNT260995 RDX260906:RDX260995 QUB260906:QUB260995 QKF260906:QKF260995 QAJ260906:QAJ260995 PQN260906:PQN260995 PGR260906:PGR260995 OWV260906:OWV260995 OMZ260906:OMZ260995 ODD260906:ODD260995 NTH260906:NTH260995 NJL260906:NJL260995 MZP260906:MZP260995 MPT260906:MPT260995 MFX260906:MFX260995 LWB260906:LWB260995 LMF260906:LMF260995 LCJ260906:LCJ260995 KSN260906:KSN260995 KIR260906:KIR260995 JYV260906:JYV260995 JOZ260906:JOZ260995 JFD260906:JFD260995 IVH260906:IVH260995 ILL260906:ILL260995 IBP260906:IBP260995 HRT260906:HRT260995 HHX260906:HHX260995 GYB260906:GYB260995 GOF260906:GOF260995 GEJ260906:GEJ260995 FUN260906:FUN260995 FKR260906:FKR260995 FAV260906:FAV260995 EQZ260906:EQZ260995 EHD260906:EHD260995 DXH260906:DXH260995 DNL260906:DNL260995 DDP260906:DDP260995 CTT260906:CTT260995 CJX260906:CJX260995 CAB260906:CAB260995 BQF260906:BQF260995 BGJ260906:BGJ260995 AWN260906:AWN260995 AMR260906:AMR260995 ACV260906:ACV260995 SZ260906:SZ260995 JD260906:JD260995 H260927:H261016 WVP195370:WVP195459 WLT195370:WLT195459 WBX195370:WBX195459 VSB195370:VSB195459 VIF195370:VIF195459 UYJ195370:UYJ195459 UON195370:UON195459 UER195370:UER195459 TUV195370:TUV195459 TKZ195370:TKZ195459 TBD195370:TBD195459 SRH195370:SRH195459 SHL195370:SHL195459 RXP195370:RXP195459 RNT195370:RNT195459 RDX195370:RDX195459 QUB195370:QUB195459 QKF195370:QKF195459 QAJ195370:QAJ195459 PQN195370:PQN195459 PGR195370:PGR195459 OWV195370:OWV195459 OMZ195370:OMZ195459 ODD195370:ODD195459 NTH195370:NTH195459 NJL195370:NJL195459 MZP195370:MZP195459 MPT195370:MPT195459 MFX195370:MFX195459 LWB195370:LWB195459 LMF195370:LMF195459 LCJ195370:LCJ195459 KSN195370:KSN195459 KIR195370:KIR195459 JYV195370:JYV195459 JOZ195370:JOZ195459 JFD195370:JFD195459 IVH195370:IVH195459 ILL195370:ILL195459 IBP195370:IBP195459 HRT195370:HRT195459 HHX195370:HHX195459 GYB195370:GYB195459 GOF195370:GOF195459 GEJ195370:GEJ195459 FUN195370:FUN195459 FKR195370:FKR195459 FAV195370:FAV195459 EQZ195370:EQZ195459 EHD195370:EHD195459 DXH195370:DXH195459 DNL195370:DNL195459 DDP195370:DDP195459 CTT195370:CTT195459 CJX195370:CJX195459 CAB195370:CAB195459 BQF195370:BQF195459 BGJ195370:BGJ195459 AWN195370:AWN195459 AMR195370:AMR195459 ACV195370:ACV195459 SZ195370:SZ195459 JD195370:JD195459 H195391:H195480 WVP129834:WVP129923 WLT129834:WLT129923 WBX129834:WBX129923 VSB129834:VSB129923 VIF129834:VIF129923 UYJ129834:UYJ129923 UON129834:UON129923 UER129834:UER129923 TUV129834:TUV129923 TKZ129834:TKZ129923 TBD129834:TBD129923 SRH129834:SRH129923 SHL129834:SHL129923 RXP129834:RXP129923 RNT129834:RNT129923 RDX129834:RDX129923 QUB129834:QUB129923 QKF129834:QKF129923 QAJ129834:QAJ129923 PQN129834:PQN129923 PGR129834:PGR129923 OWV129834:OWV129923 OMZ129834:OMZ129923 ODD129834:ODD129923 NTH129834:NTH129923 NJL129834:NJL129923 MZP129834:MZP129923 MPT129834:MPT129923 MFX129834:MFX129923 LWB129834:LWB129923 LMF129834:LMF129923 LCJ129834:LCJ129923 KSN129834:KSN129923 KIR129834:KIR129923 JYV129834:JYV129923 JOZ129834:JOZ129923 JFD129834:JFD129923 IVH129834:IVH129923 ILL129834:ILL129923 IBP129834:IBP129923 HRT129834:HRT129923 HHX129834:HHX129923 GYB129834:GYB129923 GOF129834:GOF129923 GEJ129834:GEJ129923 FUN129834:FUN129923 FKR129834:FKR129923 FAV129834:FAV129923 EQZ129834:EQZ129923 EHD129834:EHD129923 DXH129834:DXH129923 DNL129834:DNL129923 DDP129834:DDP129923 CTT129834:CTT129923 CJX129834:CJX129923 CAB129834:CAB129923 BQF129834:BQF129923 BGJ129834:BGJ129923 AWN129834:AWN129923 AMR129834:AMR129923 ACV129834:ACV129923 SZ129834:SZ129923 JD129834:JD129923 H129855:H129944 WVP64298:WVP64387 WLT64298:WLT64387 WBX64298:WBX64387 VSB64298:VSB64387 VIF64298:VIF64387 UYJ64298:UYJ64387 UON64298:UON64387 UER64298:UER64387 TUV64298:TUV64387 TKZ64298:TKZ64387 TBD64298:TBD64387 SRH64298:SRH64387 SHL64298:SHL64387 RXP64298:RXP64387 RNT64298:RNT64387 RDX64298:RDX64387 QUB64298:QUB64387 QKF64298:QKF64387 QAJ64298:QAJ64387 PQN64298:PQN64387 PGR64298:PGR64387 OWV64298:OWV64387 OMZ64298:OMZ64387 ODD64298:ODD64387 NTH64298:NTH64387 NJL64298:NJL64387 MZP64298:MZP64387 MPT64298:MPT64387 MFX64298:MFX64387 LWB64298:LWB64387 LMF64298:LMF64387 LCJ64298:LCJ64387 KSN64298:KSN64387 KIR64298:KIR64387 JYV64298:JYV64387 JOZ64298:JOZ64387 JFD64298:JFD64387 IVH64298:IVH64387 ILL64298:ILL64387 IBP64298:IBP64387 HRT64298:HRT64387 HHX64298:HHX64387 GYB64298:GYB64387 GOF64298:GOF64387 GEJ64298:GEJ64387 FUN64298:FUN64387 FKR64298:FKR64387 FAV64298:FAV64387 EQZ64298:EQZ64387 EHD64298:EHD64387 DXH64298:DXH64387 DNL64298:DNL64387 DDP64298:DDP64387 CTT64298:CTT64387 CJX64298:CJX64387 CAB64298:CAB64387 BQF64298:BQF64387 BGJ64298:BGJ64387 AWN64298:AWN64387 AMR64298:AMR64387 ACV64298:ACV64387 SZ64298:SZ64387 JD64298:JD64387 H64319:H64408 JD2:JD70 SZ2:SZ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formula1>$AL$8:$AL$13</formula1>
    </dataValidation>
    <dataValidation type="list" allowBlank="1" showInputMessage="1" showErrorMessage="1" sqref="WVQ981802:WVQ981885 WLU981802:WLU981885 WBY981802:WBY981885 VSC981802:VSC981885 VIG981802:VIG981885 UYK981802:UYK981885 UOO981802:UOO981885 UES981802:UES981885 TUW981802:TUW981885 TLA981802:TLA981885 TBE981802:TBE981885 SRI981802:SRI981885 SHM981802:SHM981885 RXQ981802:RXQ981885 RNU981802:RNU981885 RDY981802:RDY981885 QUC981802:QUC981885 QKG981802:QKG981885 QAK981802:QAK981885 PQO981802:PQO981885 PGS981802:PGS981885 OWW981802:OWW981885 ONA981802:ONA981885 ODE981802:ODE981885 NTI981802:NTI981885 NJM981802:NJM981885 MZQ981802:MZQ981885 MPU981802:MPU981885 MFY981802:MFY981885 LWC981802:LWC981885 LMG981802:LMG981885 LCK981802:LCK981885 KSO981802:KSO981885 KIS981802:KIS981885 JYW981802:JYW981885 JPA981802:JPA981885 JFE981802:JFE981885 IVI981802:IVI981885 ILM981802:ILM981885 IBQ981802:IBQ981885 HRU981802:HRU981885 HHY981802:HHY981885 GYC981802:GYC981885 GOG981802:GOG981885 GEK981802:GEK981885 FUO981802:FUO981885 FKS981802:FKS981885 FAW981802:FAW981885 ERA981802:ERA981885 EHE981802:EHE981885 DXI981802:DXI981885 DNM981802:DNM981885 DDQ981802:DDQ981885 CTU981802:CTU981885 CJY981802:CJY981885 CAC981802:CAC981885 BQG981802:BQG981885 BGK981802:BGK981885 AWO981802:AWO981885 AMS981802:AMS981885 ACW981802:ACW981885 TA981802:TA981885 JE981802:JE981885 I981823:I981906 WVQ916266:WVQ916349 WLU916266:WLU916349 WBY916266:WBY916349 VSC916266:VSC916349 VIG916266:VIG916349 UYK916266:UYK916349 UOO916266:UOO916349 UES916266:UES916349 TUW916266:TUW916349 TLA916266:TLA916349 TBE916266:TBE916349 SRI916266:SRI916349 SHM916266:SHM916349 RXQ916266:RXQ916349 RNU916266:RNU916349 RDY916266:RDY916349 QUC916266:QUC916349 QKG916266:QKG916349 QAK916266:QAK916349 PQO916266:PQO916349 PGS916266:PGS916349 OWW916266:OWW916349 ONA916266:ONA916349 ODE916266:ODE916349 NTI916266:NTI916349 NJM916266:NJM916349 MZQ916266:MZQ916349 MPU916266:MPU916349 MFY916266:MFY916349 LWC916266:LWC916349 LMG916266:LMG916349 LCK916266:LCK916349 KSO916266:KSO916349 KIS916266:KIS916349 JYW916266:JYW916349 JPA916266:JPA916349 JFE916266:JFE916349 IVI916266:IVI916349 ILM916266:ILM916349 IBQ916266:IBQ916349 HRU916266:HRU916349 HHY916266:HHY916349 GYC916266:GYC916349 GOG916266:GOG916349 GEK916266:GEK916349 FUO916266:FUO916349 FKS916266:FKS916349 FAW916266:FAW916349 ERA916266:ERA916349 EHE916266:EHE916349 DXI916266:DXI916349 DNM916266:DNM916349 DDQ916266:DDQ916349 CTU916266:CTU916349 CJY916266:CJY916349 CAC916266:CAC916349 BQG916266:BQG916349 BGK916266:BGK916349 AWO916266:AWO916349 AMS916266:AMS916349 ACW916266:ACW916349 TA916266:TA916349 JE916266:JE916349 I916287:I916370 WVQ850730:WVQ850813 WLU850730:WLU850813 WBY850730:WBY850813 VSC850730:VSC850813 VIG850730:VIG850813 UYK850730:UYK850813 UOO850730:UOO850813 UES850730:UES850813 TUW850730:TUW850813 TLA850730:TLA850813 TBE850730:TBE850813 SRI850730:SRI850813 SHM850730:SHM850813 RXQ850730:RXQ850813 RNU850730:RNU850813 RDY850730:RDY850813 QUC850730:QUC850813 QKG850730:QKG850813 QAK850730:QAK850813 PQO850730:PQO850813 PGS850730:PGS850813 OWW850730:OWW850813 ONA850730:ONA850813 ODE850730:ODE850813 NTI850730:NTI850813 NJM850730:NJM850813 MZQ850730:MZQ850813 MPU850730:MPU850813 MFY850730:MFY850813 LWC850730:LWC850813 LMG850730:LMG850813 LCK850730:LCK850813 KSO850730:KSO850813 KIS850730:KIS850813 JYW850730:JYW850813 JPA850730:JPA850813 JFE850730:JFE850813 IVI850730:IVI850813 ILM850730:ILM850813 IBQ850730:IBQ850813 HRU850730:HRU850813 HHY850730:HHY850813 GYC850730:GYC850813 GOG850730:GOG850813 GEK850730:GEK850813 FUO850730:FUO850813 FKS850730:FKS850813 FAW850730:FAW850813 ERA850730:ERA850813 EHE850730:EHE850813 DXI850730:DXI850813 DNM850730:DNM850813 DDQ850730:DDQ850813 CTU850730:CTU850813 CJY850730:CJY850813 CAC850730:CAC850813 BQG850730:BQG850813 BGK850730:BGK850813 AWO850730:AWO850813 AMS850730:AMS850813 ACW850730:ACW850813 TA850730:TA850813 JE850730:JE850813 I850751:I850834 WVQ785194:WVQ785277 WLU785194:WLU785277 WBY785194:WBY785277 VSC785194:VSC785277 VIG785194:VIG785277 UYK785194:UYK785277 UOO785194:UOO785277 UES785194:UES785277 TUW785194:TUW785277 TLA785194:TLA785277 TBE785194:TBE785277 SRI785194:SRI785277 SHM785194:SHM785277 RXQ785194:RXQ785277 RNU785194:RNU785277 RDY785194:RDY785277 QUC785194:QUC785277 QKG785194:QKG785277 QAK785194:QAK785277 PQO785194:PQO785277 PGS785194:PGS785277 OWW785194:OWW785277 ONA785194:ONA785277 ODE785194:ODE785277 NTI785194:NTI785277 NJM785194:NJM785277 MZQ785194:MZQ785277 MPU785194:MPU785277 MFY785194:MFY785277 LWC785194:LWC785277 LMG785194:LMG785277 LCK785194:LCK785277 KSO785194:KSO785277 KIS785194:KIS785277 JYW785194:JYW785277 JPA785194:JPA785277 JFE785194:JFE785277 IVI785194:IVI785277 ILM785194:ILM785277 IBQ785194:IBQ785277 HRU785194:HRU785277 HHY785194:HHY785277 GYC785194:GYC785277 GOG785194:GOG785277 GEK785194:GEK785277 FUO785194:FUO785277 FKS785194:FKS785277 FAW785194:FAW785277 ERA785194:ERA785277 EHE785194:EHE785277 DXI785194:DXI785277 DNM785194:DNM785277 DDQ785194:DDQ785277 CTU785194:CTU785277 CJY785194:CJY785277 CAC785194:CAC785277 BQG785194:BQG785277 BGK785194:BGK785277 AWO785194:AWO785277 AMS785194:AMS785277 ACW785194:ACW785277 TA785194:TA785277 JE785194:JE785277 I785215:I785298 WVQ719658:WVQ719741 WLU719658:WLU719741 WBY719658:WBY719741 VSC719658:VSC719741 VIG719658:VIG719741 UYK719658:UYK719741 UOO719658:UOO719741 UES719658:UES719741 TUW719658:TUW719741 TLA719658:TLA719741 TBE719658:TBE719741 SRI719658:SRI719741 SHM719658:SHM719741 RXQ719658:RXQ719741 RNU719658:RNU719741 RDY719658:RDY719741 QUC719658:QUC719741 QKG719658:QKG719741 QAK719658:QAK719741 PQO719658:PQO719741 PGS719658:PGS719741 OWW719658:OWW719741 ONA719658:ONA719741 ODE719658:ODE719741 NTI719658:NTI719741 NJM719658:NJM719741 MZQ719658:MZQ719741 MPU719658:MPU719741 MFY719658:MFY719741 LWC719658:LWC719741 LMG719658:LMG719741 LCK719658:LCK719741 KSO719658:KSO719741 KIS719658:KIS719741 JYW719658:JYW719741 JPA719658:JPA719741 JFE719658:JFE719741 IVI719658:IVI719741 ILM719658:ILM719741 IBQ719658:IBQ719741 HRU719658:HRU719741 HHY719658:HHY719741 GYC719658:GYC719741 GOG719658:GOG719741 GEK719658:GEK719741 FUO719658:FUO719741 FKS719658:FKS719741 FAW719658:FAW719741 ERA719658:ERA719741 EHE719658:EHE719741 DXI719658:DXI719741 DNM719658:DNM719741 DDQ719658:DDQ719741 CTU719658:CTU719741 CJY719658:CJY719741 CAC719658:CAC719741 BQG719658:BQG719741 BGK719658:BGK719741 AWO719658:AWO719741 AMS719658:AMS719741 ACW719658:ACW719741 TA719658:TA719741 JE719658:JE719741 I719679:I719762 WVQ654122:WVQ654205 WLU654122:WLU654205 WBY654122:WBY654205 VSC654122:VSC654205 VIG654122:VIG654205 UYK654122:UYK654205 UOO654122:UOO654205 UES654122:UES654205 TUW654122:TUW654205 TLA654122:TLA654205 TBE654122:TBE654205 SRI654122:SRI654205 SHM654122:SHM654205 RXQ654122:RXQ654205 RNU654122:RNU654205 RDY654122:RDY654205 QUC654122:QUC654205 QKG654122:QKG654205 QAK654122:QAK654205 PQO654122:PQO654205 PGS654122:PGS654205 OWW654122:OWW654205 ONA654122:ONA654205 ODE654122:ODE654205 NTI654122:NTI654205 NJM654122:NJM654205 MZQ654122:MZQ654205 MPU654122:MPU654205 MFY654122:MFY654205 LWC654122:LWC654205 LMG654122:LMG654205 LCK654122:LCK654205 KSO654122:KSO654205 KIS654122:KIS654205 JYW654122:JYW654205 JPA654122:JPA654205 JFE654122:JFE654205 IVI654122:IVI654205 ILM654122:ILM654205 IBQ654122:IBQ654205 HRU654122:HRU654205 HHY654122:HHY654205 GYC654122:GYC654205 GOG654122:GOG654205 GEK654122:GEK654205 FUO654122:FUO654205 FKS654122:FKS654205 FAW654122:FAW654205 ERA654122:ERA654205 EHE654122:EHE654205 DXI654122:DXI654205 DNM654122:DNM654205 DDQ654122:DDQ654205 CTU654122:CTU654205 CJY654122:CJY654205 CAC654122:CAC654205 BQG654122:BQG654205 BGK654122:BGK654205 AWO654122:AWO654205 AMS654122:AMS654205 ACW654122:ACW654205 TA654122:TA654205 JE654122:JE654205 I654143:I654226 WVQ588586:WVQ588669 WLU588586:WLU588669 WBY588586:WBY588669 VSC588586:VSC588669 VIG588586:VIG588669 UYK588586:UYK588669 UOO588586:UOO588669 UES588586:UES588669 TUW588586:TUW588669 TLA588586:TLA588669 TBE588586:TBE588669 SRI588586:SRI588669 SHM588586:SHM588669 RXQ588586:RXQ588669 RNU588586:RNU588669 RDY588586:RDY588669 QUC588586:QUC588669 QKG588586:QKG588669 QAK588586:QAK588669 PQO588586:PQO588669 PGS588586:PGS588669 OWW588586:OWW588669 ONA588586:ONA588669 ODE588586:ODE588669 NTI588586:NTI588669 NJM588586:NJM588669 MZQ588586:MZQ588669 MPU588586:MPU588669 MFY588586:MFY588669 LWC588586:LWC588669 LMG588586:LMG588669 LCK588586:LCK588669 KSO588586:KSO588669 KIS588586:KIS588669 JYW588586:JYW588669 JPA588586:JPA588669 JFE588586:JFE588669 IVI588586:IVI588669 ILM588586:ILM588669 IBQ588586:IBQ588669 HRU588586:HRU588669 HHY588586:HHY588669 GYC588586:GYC588669 GOG588586:GOG588669 GEK588586:GEK588669 FUO588586:FUO588669 FKS588586:FKS588669 FAW588586:FAW588669 ERA588586:ERA588669 EHE588586:EHE588669 DXI588586:DXI588669 DNM588586:DNM588669 DDQ588586:DDQ588669 CTU588586:CTU588669 CJY588586:CJY588669 CAC588586:CAC588669 BQG588586:BQG588669 BGK588586:BGK588669 AWO588586:AWO588669 AMS588586:AMS588669 ACW588586:ACW588669 TA588586:TA588669 JE588586:JE588669 I588607:I588690 WVQ523050:WVQ523133 WLU523050:WLU523133 WBY523050:WBY523133 VSC523050:VSC523133 VIG523050:VIG523133 UYK523050:UYK523133 UOO523050:UOO523133 UES523050:UES523133 TUW523050:TUW523133 TLA523050:TLA523133 TBE523050:TBE523133 SRI523050:SRI523133 SHM523050:SHM523133 RXQ523050:RXQ523133 RNU523050:RNU523133 RDY523050:RDY523133 QUC523050:QUC523133 QKG523050:QKG523133 QAK523050:QAK523133 PQO523050:PQO523133 PGS523050:PGS523133 OWW523050:OWW523133 ONA523050:ONA523133 ODE523050:ODE523133 NTI523050:NTI523133 NJM523050:NJM523133 MZQ523050:MZQ523133 MPU523050:MPU523133 MFY523050:MFY523133 LWC523050:LWC523133 LMG523050:LMG523133 LCK523050:LCK523133 KSO523050:KSO523133 KIS523050:KIS523133 JYW523050:JYW523133 JPA523050:JPA523133 JFE523050:JFE523133 IVI523050:IVI523133 ILM523050:ILM523133 IBQ523050:IBQ523133 HRU523050:HRU523133 HHY523050:HHY523133 GYC523050:GYC523133 GOG523050:GOG523133 GEK523050:GEK523133 FUO523050:FUO523133 FKS523050:FKS523133 FAW523050:FAW523133 ERA523050:ERA523133 EHE523050:EHE523133 DXI523050:DXI523133 DNM523050:DNM523133 DDQ523050:DDQ523133 CTU523050:CTU523133 CJY523050:CJY523133 CAC523050:CAC523133 BQG523050:BQG523133 BGK523050:BGK523133 AWO523050:AWO523133 AMS523050:AMS523133 ACW523050:ACW523133 TA523050:TA523133 JE523050:JE523133 I523071:I523154 WVQ457514:WVQ457597 WLU457514:WLU457597 WBY457514:WBY457597 VSC457514:VSC457597 VIG457514:VIG457597 UYK457514:UYK457597 UOO457514:UOO457597 UES457514:UES457597 TUW457514:TUW457597 TLA457514:TLA457597 TBE457514:TBE457597 SRI457514:SRI457597 SHM457514:SHM457597 RXQ457514:RXQ457597 RNU457514:RNU457597 RDY457514:RDY457597 QUC457514:QUC457597 QKG457514:QKG457597 QAK457514:QAK457597 PQO457514:PQO457597 PGS457514:PGS457597 OWW457514:OWW457597 ONA457514:ONA457597 ODE457514:ODE457597 NTI457514:NTI457597 NJM457514:NJM457597 MZQ457514:MZQ457597 MPU457514:MPU457597 MFY457514:MFY457597 LWC457514:LWC457597 LMG457514:LMG457597 LCK457514:LCK457597 KSO457514:KSO457597 KIS457514:KIS457597 JYW457514:JYW457597 JPA457514:JPA457597 JFE457514:JFE457597 IVI457514:IVI457597 ILM457514:ILM457597 IBQ457514:IBQ457597 HRU457514:HRU457597 HHY457514:HHY457597 GYC457514:GYC457597 GOG457514:GOG457597 GEK457514:GEK457597 FUO457514:FUO457597 FKS457514:FKS457597 FAW457514:FAW457597 ERA457514:ERA457597 EHE457514:EHE457597 DXI457514:DXI457597 DNM457514:DNM457597 DDQ457514:DDQ457597 CTU457514:CTU457597 CJY457514:CJY457597 CAC457514:CAC457597 BQG457514:BQG457597 BGK457514:BGK457597 AWO457514:AWO457597 AMS457514:AMS457597 ACW457514:ACW457597 TA457514:TA457597 JE457514:JE457597 I457535:I457618 WVQ391978:WVQ392061 WLU391978:WLU392061 WBY391978:WBY392061 VSC391978:VSC392061 VIG391978:VIG392061 UYK391978:UYK392061 UOO391978:UOO392061 UES391978:UES392061 TUW391978:TUW392061 TLA391978:TLA392061 TBE391978:TBE392061 SRI391978:SRI392061 SHM391978:SHM392061 RXQ391978:RXQ392061 RNU391978:RNU392061 RDY391978:RDY392061 QUC391978:QUC392061 QKG391978:QKG392061 QAK391978:QAK392061 PQO391978:PQO392061 PGS391978:PGS392061 OWW391978:OWW392061 ONA391978:ONA392061 ODE391978:ODE392061 NTI391978:NTI392061 NJM391978:NJM392061 MZQ391978:MZQ392061 MPU391978:MPU392061 MFY391978:MFY392061 LWC391978:LWC392061 LMG391978:LMG392061 LCK391978:LCK392061 KSO391978:KSO392061 KIS391978:KIS392061 JYW391978:JYW392061 JPA391978:JPA392061 JFE391978:JFE392061 IVI391978:IVI392061 ILM391978:ILM392061 IBQ391978:IBQ392061 HRU391978:HRU392061 HHY391978:HHY392061 GYC391978:GYC392061 GOG391978:GOG392061 GEK391978:GEK392061 FUO391978:FUO392061 FKS391978:FKS392061 FAW391978:FAW392061 ERA391978:ERA392061 EHE391978:EHE392061 DXI391978:DXI392061 DNM391978:DNM392061 DDQ391978:DDQ392061 CTU391978:CTU392061 CJY391978:CJY392061 CAC391978:CAC392061 BQG391978:BQG392061 BGK391978:BGK392061 AWO391978:AWO392061 AMS391978:AMS392061 ACW391978:ACW392061 TA391978:TA392061 JE391978:JE392061 I391999:I392082 WVQ326442:WVQ326525 WLU326442:WLU326525 WBY326442:WBY326525 VSC326442:VSC326525 VIG326442:VIG326525 UYK326442:UYK326525 UOO326442:UOO326525 UES326442:UES326525 TUW326442:TUW326525 TLA326442:TLA326525 TBE326442:TBE326525 SRI326442:SRI326525 SHM326442:SHM326525 RXQ326442:RXQ326525 RNU326442:RNU326525 RDY326442:RDY326525 QUC326442:QUC326525 QKG326442:QKG326525 QAK326442:QAK326525 PQO326442:PQO326525 PGS326442:PGS326525 OWW326442:OWW326525 ONA326442:ONA326525 ODE326442:ODE326525 NTI326442:NTI326525 NJM326442:NJM326525 MZQ326442:MZQ326525 MPU326442:MPU326525 MFY326442:MFY326525 LWC326442:LWC326525 LMG326442:LMG326525 LCK326442:LCK326525 KSO326442:KSO326525 KIS326442:KIS326525 JYW326442:JYW326525 JPA326442:JPA326525 JFE326442:JFE326525 IVI326442:IVI326525 ILM326442:ILM326525 IBQ326442:IBQ326525 HRU326442:HRU326525 HHY326442:HHY326525 GYC326442:GYC326525 GOG326442:GOG326525 GEK326442:GEK326525 FUO326442:FUO326525 FKS326442:FKS326525 FAW326442:FAW326525 ERA326442:ERA326525 EHE326442:EHE326525 DXI326442:DXI326525 DNM326442:DNM326525 DDQ326442:DDQ326525 CTU326442:CTU326525 CJY326442:CJY326525 CAC326442:CAC326525 BQG326442:BQG326525 BGK326442:BGK326525 AWO326442:AWO326525 AMS326442:AMS326525 ACW326442:ACW326525 TA326442:TA326525 JE326442:JE326525 I326463:I326546 WVQ260906:WVQ260989 WLU260906:WLU260989 WBY260906:WBY260989 VSC260906:VSC260989 VIG260906:VIG260989 UYK260906:UYK260989 UOO260906:UOO260989 UES260906:UES260989 TUW260906:TUW260989 TLA260906:TLA260989 TBE260906:TBE260989 SRI260906:SRI260989 SHM260906:SHM260989 RXQ260906:RXQ260989 RNU260906:RNU260989 RDY260906:RDY260989 QUC260906:QUC260989 QKG260906:QKG260989 QAK260906:QAK260989 PQO260906:PQO260989 PGS260906:PGS260989 OWW260906:OWW260989 ONA260906:ONA260989 ODE260906:ODE260989 NTI260906:NTI260989 NJM260906:NJM260989 MZQ260906:MZQ260989 MPU260906:MPU260989 MFY260906:MFY260989 LWC260906:LWC260989 LMG260906:LMG260989 LCK260906:LCK260989 KSO260906:KSO260989 KIS260906:KIS260989 JYW260906:JYW260989 JPA260906:JPA260989 JFE260906:JFE260989 IVI260906:IVI260989 ILM260906:ILM260989 IBQ260906:IBQ260989 HRU260906:HRU260989 HHY260906:HHY260989 GYC260906:GYC260989 GOG260906:GOG260989 GEK260906:GEK260989 FUO260906:FUO260989 FKS260906:FKS260989 FAW260906:FAW260989 ERA260906:ERA260989 EHE260906:EHE260989 DXI260906:DXI260989 DNM260906:DNM260989 DDQ260906:DDQ260989 CTU260906:CTU260989 CJY260906:CJY260989 CAC260906:CAC260989 BQG260906:BQG260989 BGK260906:BGK260989 AWO260906:AWO260989 AMS260906:AMS260989 ACW260906:ACW260989 TA260906:TA260989 JE260906:JE260989 I260927:I261010 WVQ195370:WVQ195453 WLU195370:WLU195453 WBY195370:WBY195453 VSC195370:VSC195453 VIG195370:VIG195453 UYK195370:UYK195453 UOO195370:UOO195453 UES195370:UES195453 TUW195370:TUW195453 TLA195370:TLA195453 TBE195370:TBE195453 SRI195370:SRI195453 SHM195370:SHM195453 RXQ195370:RXQ195453 RNU195370:RNU195453 RDY195370:RDY195453 QUC195370:QUC195453 QKG195370:QKG195453 QAK195370:QAK195453 PQO195370:PQO195453 PGS195370:PGS195453 OWW195370:OWW195453 ONA195370:ONA195453 ODE195370:ODE195453 NTI195370:NTI195453 NJM195370:NJM195453 MZQ195370:MZQ195453 MPU195370:MPU195453 MFY195370:MFY195453 LWC195370:LWC195453 LMG195370:LMG195453 LCK195370:LCK195453 KSO195370:KSO195453 KIS195370:KIS195453 JYW195370:JYW195453 JPA195370:JPA195453 JFE195370:JFE195453 IVI195370:IVI195453 ILM195370:ILM195453 IBQ195370:IBQ195453 HRU195370:HRU195453 HHY195370:HHY195453 GYC195370:GYC195453 GOG195370:GOG195453 GEK195370:GEK195453 FUO195370:FUO195453 FKS195370:FKS195453 FAW195370:FAW195453 ERA195370:ERA195453 EHE195370:EHE195453 DXI195370:DXI195453 DNM195370:DNM195453 DDQ195370:DDQ195453 CTU195370:CTU195453 CJY195370:CJY195453 CAC195370:CAC195453 BQG195370:BQG195453 BGK195370:BGK195453 AWO195370:AWO195453 AMS195370:AMS195453 ACW195370:ACW195453 TA195370:TA195453 JE195370:JE195453 I195391:I195474 WVQ129834:WVQ129917 WLU129834:WLU129917 WBY129834:WBY129917 VSC129834:VSC129917 VIG129834:VIG129917 UYK129834:UYK129917 UOO129834:UOO129917 UES129834:UES129917 TUW129834:TUW129917 TLA129834:TLA129917 TBE129834:TBE129917 SRI129834:SRI129917 SHM129834:SHM129917 RXQ129834:RXQ129917 RNU129834:RNU129917 RDY129834:RDY129917 QUC129834:QUC129917 QKG129834:QKG129917 QAK129834:QAK129917 PQO129834:PQO129917 PGS129834:PGS129917 OWW129834:OWW129917 ONA129834:ONA129917 ODE129834:ODE129917 NTI129834:NTI129917 NJM129834:NJM129917 MZQ129834:MZQ129917 MPU129834:MPU129917 MFY129834:MFY129917 LWC129834:LWC129917 LMG129834:LMG129917 LCK129834:LCK129917 KSO129834:KSO129917 KIS129834:KIS129917 JYW129834:JYW129917 JPA129834:JPA129917 JFE129834:JFE129917 IVI129834:IVI129917 ILM129834:ILM129917 IBQ129834:IBQ129917 HRU129834:HRU129917 HHY129834:HHY129917 GYC129834:GYC129917 GOG129834:GOG129917 GEK129834:GEK129917 FUO129834:FUO129917 FKS129834:FKS129917 FAW129834:FAW129917 ERA129834:ERA129917 EHE129834:EHE129917 DXI129834:DXI129917 DNM129834:DNM129917 DDQ129834:DDQ129917 CTU129834:CTU129917 CJY129834:CJY129917 CAC129834:CAC129917 BQG129834:BQG129917 BGK129834:BGK129917 AWO129834:AWO129917 AMS129834:AMS129917 ACW129834:ACW129917 TA129834:TA129917 JE129834:JE129917 I129855:I129938 WVQ64298:WVQ64381 WLU64298:WLU64381 WBY64298:WBY64381 VSC64298:VSC64381 VIG64298:VIG64381 UYK64298:UYK64381 UOO64298:UOO64381 UES64298:UES64381 TUW64298:TUW64381 TLA64298:TLA64381 TBE64298:TBE64381 SRI64298:SRI64381 SHM64298:SHM64381 RXQ64298:RXQ64381 RNU64298:RNU64381 RDY64298:RDY64381 QUC64298:QUC64381 QKG64298:QKG64381 QAK64298:QAK64381 PQO64298:PQO64381 PGS64298:PGS64381 OWW64298:OWW64381 ONA64298:ONA64381 ODE64298:ODE64381 NTI64298:NTI64381 NJM64298:NJM64381 MZQ64298:MZQ64381 MPU64298:MPU64381 MFY64298:MFY64381 LWC64298:LWC64381 LMG64298:LMG64381 LCK64298:LCK64381 KSO64298:KSO64381 KIS64298:KIS64381 JYW64298:JYW64381 JPA64298:JPA64381 JFE64298:JFE64381 IVI64298:IVI64381 ILM64298:ILM64381 IBQ64298:IBQ64381 HRU64298:HRU64381 HHY64298:HHY64381 GYC64298:GYC64381 GOG64298:GOG64381 GEK64298:GEK64381 FUO64298:FUO64381 FKS64298:FKS64381 FAW64298:FAW64381 ERA64298:ERA64381 EHE64298:EHE64381 DXI64298:DXI64381 DNM64298:DNM64381 DDQ64298:DDQ64381 CTU64298:CTU64381 CJY64298:CJY64381 CAC64298:CAC64381 BQG64298:BQG64381 BGK64298:BGK64381 AWO64298:AWO64381 AMS64298:AMS64381 ACW64298:ACW64381 TA64298:TA64381 JE64298:JE64381 I64319:I64402 I93:I497 JE2:JE70 TA2:TA70 ACW2:ACW70 AMS2:AMS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I2:I91">
      <formula1>$AN$5:$AN$6</formula1>
    </dataValidation>
    <dataValidation type="list" allowBlank="1" showInputMessage="1" showErrorMessage="1" sqref="WWG981802:WWI981885 WMK981802:WMM981885 Y64298:AA64381 JU64298:JW64381 TQ64298:TS64381 ADM64298:ADO64381 ANI64298:ANK64381 AXE64298:AXG64381 BHA64298:BHC64381 BQW64298:BQY64381 CAS64298:CAU64381 CKO64298:CKQ64381 CUK64298:CUM64381 DEG64298:DEI64381 DOC64298:DOE64381 DXY64298:DYA64381 EHU64298:EHW64381 ERQ64298:ERS64381 FBM64298:FBO64381 FLI64298:FLK64381 FVE64298:FVG64381 GFA64298:GFC64381 GOW64298:GOY64381 GYS64298:GYU64381 HIO64298:HIQ64381 HSK64298:HSM64381 ICG64298:ICI64381 IMC64298:IME64381 IVY64298:IWA64381 JFU64298:JFW64381 JPQ64298:JPS64381 JZM64298:JZO64381 KJI64298:KJK64381 KTE64298:KTG64381 LDA64298:LDC64381 LMW64298:LMY64381 LWS64298:LWU64381 MGO64298:MGQ64381 MQK64298:MQM64381 NAG64298:NAI64381 NKC64298:NKE64381 NTY64298:NUA64381 ODU64298:ODW64381 ONQ64298:ONS64381 OXM64298:OXO64381 PHI64298:PHK64381 PRE64298:PRG64381 QBA64298:QBC64381 QKW64298:QKY64381 QUS64298:QUU64381 REO64298:REQ64381 ROK64298:ROM64381 RYG64298:RYI64381 SIC64298:SIE64381 SRY64298:SSA64381 TBU64298:TBW64381 TLQ64298:TLS64381 TVM64298:TVO64381 UFI64298:UFK64381 UPE64298:UPG64381 UZA64298:UZC64381 VIW64298:VIY64381 VSS64298:VSU64381 WCO64298:WCQ64381 WMK64298:WMM64381 WWG64298:WWI64381 Y129834:AA129917 JU129834:JW129917 TQ129834:TS129917 ADM129834:ADO129917 ANI129834:ANK129917 AXE129834:AXG129917 BHA129834:BHC129917 BQW129834:BQY129917 CAS129834:CAU129917 CKO129834:CKQ129917 CUK129834:CUM129917 DEG129834:DEI129917 DOC129834:DOE129917 DXY129834:DYA129917 EHU129834:EHW129917 ERQ129834:ERS129917 FBM129834:FBO129917 FLI129834:FLK129917 FVE129834:FVG129917 GFA129834:GFC129917 GOW129834:GOY129917 GYS129834:GYU129917 HIO129834:HIQ129917 HSK129834:HSM129917 ICG129834:ICI129917 IMC129834:IME129917 IVY129834:IWA129917 JFU129834:JFW129917 JPQ129834:JPS129917 JZM129834:JZO129917 KJI129834:KJK129917 KTE129834:KTG129917 LDA129834:LDC129917 LMW129834:LMY129917 LWS129834:LWU129917 MGO129834:MGQ129917 MQK129834:MQM129917 NAG129834:NAI129917 NKC129834:NKE129917 NTY129834:NUA129917 ODU129834:ODW129917 ONQ129834:ONS129917 OXM129834:OXO129917 PHI129834:PHK129917 PRE129834:PRG129917 QBA129834:QBC129917 QKW129834:QKY129917 QUS129834:QUU129917 REO129834:REQ129917 ROK129834:ROM129917 RYG129834:RYI129917 SIC129834:SIE129917 SRY129834:SSA129917 TBU129834:TBW129917 TLQ129834:TLS129917 TVM129834:TVO129917 UFI129834:UFK129917 UPE129834:UPG129917 UZA129834:UZC129917 VIW129834:VIY129917 VSS129834:VSU129917 WCO129834:WCQ129917 WMK129834:WMM129917 WWG129834:WWI129917 Y195370:AA195453 JU195370:JW195453 TQ195370:TS195453 ADM195370:ADO195453 ANI195370:ANK195453 AXE195370:AXG195453 BHA195370:BHC195453 BQW195370:BQY195453 CAS195370:CAU195453 CKO195370:CKQ195453 CUK195370:CUM195453 DEG195370:DEI195453 DOC195370:DOE195453 DXY195370:DYA195453 EHU195370:EHW195453 ERQ195370:ERS195453 FBM195370:FBO195453 FLI195370:FLK195453 FVE195370:FVG195453 GFA195370:GFC195453 GOW195370:GOY195453 GYS195370:GYU195453 HIO195370:HIQ195453 HSK195370:HSM195453 ICG195370:ICI195453 IMC195370:IME195453 IVY195370:IWA195453 JFU195370:JFW195453 JPQ195370:JPS195453 JZM195370:JZO195453 KJI195370:KJK195453 KTE195370:KTG195453 LDA195370:LDC195453 LMW195370:LMY195453 LWS195370:LWU195453 MGO195370:MGQ195453 MQK195370:MQM195453 NAG195370:NAI195453 NKC195370:NKE195453 NTY195370:NUA195453 ODU195370:ODW195453 ONQ195370:ONS195453 OXM195370:OXO195453 PHI195370:PHK195453 PRE195370:PRG195453 QBA195370:QBC195453 QKW195370:QKY195453 QUS195370:QUU195453 REO195370:REQ195453 ROK195370:ROM195453 RYG195370:RYI195453 SIC195370:SIE195453 SRY195370:SSA195453 TBU195370:TBW195453 TLQ195370:TLS195453 TVM195370:TVO195453 UFI195370:UFK195453 UPE195370:UPG195453 UZA195370:UZC195453 VIW195370:VIY195453 VSS195370:VSU195453 WCO195370:WCQ195453 WMK195370:WMM195453 WWG195370:WWI195453 Y260906:AA260989 JU260906:JW260989 TQ260906:TS260989 ADM260906:ADO260989 ANI260906:ANK260989 AXE260906:AXG260989 BHA260906:BHC260989 BQW260906:BQY260989 CAS260906:CAU260989 CKO260906:CKQ260989 CUK260906:CUM260989 DEG260906:DEI260989 DOC260906:DOE260989 DXY260906:DYA260989 EHU260906:EHW260989 ERQ260906:ERS260989 FBM260906:FBO260989 FLI260906:FLK260989 FVE260906:FVG260989 GFA260906:GFC260989 GOW260906:GOY260989 GYS260906:GYU260989 HIO260906:HIQ260989 HSK260906:HSM260989 ICG260906:ICI260989 IMC260906:IME260989 IVY260906:IWA260989 JFU260906:JFW260989 JPQ260906:JPS260989 JZM260906:JZO260989 KJI260906:KJK260989 KTE260906:KTG260989 LDA260906:LDC260989 LMW260906:LMY260989 LWS260906:LWU260989 MGO260906:MGQ260989 MQK260906:MQM260989 NAG260906:NAI260989 NKC260906:NKE260989 NTY260906:NUA260989 ODU260906:ODW260989 ONQ260906:ONS260989 OXM260906:OXO260989 PHI260906:PHK260989 PRE260906:PRG260989 QBA260906:QBC260989 QKW260906:QKY260989 QUS260906:QUU260989 REO260906:REQ260989 ROK260906:ROM260989 RYG260906:RYI260989 SIC260906:SIE260989 SRY260906:SSA260989 TBU260906:TBW260989 TLQ260906:TLS260989 TVM260906:TVO260989 UFI260906:UFK260989 UPE260906:UPG260989 UZA260906:UZC260989 VIW260906:VIY260989 VSS260906:VSU260989 WCO260906:WCQ260989 WMK260906:WMM260989 WWG260906:WWI260989 Y326442:AA326525 JU326442:JW326525 TQ326442:TS326525 ADM326442:ADO326525 ANI326442:ANK326525 AXE326442:AXG326525 BHA326442:BHC326525 BQW326442:BQY326525 CAS326442:CAU326525 CKO326442:CKQ326525 CUK326442:CUM326525 DEG326442:DEI326525 DOC326442:DOE326525 DXY326442:DYA326525 EHU326442:EHW326525 ERQ326442:ERS326525 FBM326442:FBO326525 FLI326442:FLK326525 FVE326442:FVG326525 GFA326442:GFC326525 GOW326442:GOY326525 GYS326442:GYU326525 HIO326442:HIQ326525 HSK326442:HSM326525 ICG326442:ICI326525 IMC326442:IME326525 IVY326442:IWA326525 JFU326442:JFW326525 JPQ326442:JPS326525 JZM326442:JZO326525 KJI326442:KJK326525 KTE326442:KTG326525 LDA326442:LDC326525 LMW326442:LMY326525 LWS326442:LWU326525 MGO326442:MGQ326525 MQK326442:MQM326525 NAG326442:NAI326525 NKC326442:NKE326525 NTY326442:NUA326525 ODU326442:ODW326525 ONQ326442:ONS326525 OXM326442:OXO326525 PHI326442:PHK326525 PRE326442:PRG326525 QBA326442:QBC326525 QKW326442:QKY326525 QUS326442:QUU326525 REO326442:REQ326525 ROK326442:ROM326525 RYG326442:RYI326525 SIC326442:SIE326525 SRY326442:SSA326525 TBU326442:TBW326525 TLQ326442:TLS326525 TVM326442:TVO326525 UFI326442:UFK326525 UPE326442:UPG326525 UZA326442:UZC326525 VIW326442:VIY326525 VSS326442:VSU326525 WCO326442:WCQ326525 WMK326442:WMM326525 WWG326442:WWI326525 Y391978:AA392061 JU391978:JW392061 TQ391978:TS392061 ADM391978:ADO392061 ANI391978:ANK392061 AXE391978:AXG392061 BHA391978:BHC392061 BQW391978:BQY392061 CAS391978:CAU392061 CKO391978:CKQ392061 CUK391978:CUM392061 DEG391978:DEI392061 DOC391978:DOE392061 DXY391978:DYA392061 EHU391978:EHW392061 ERQ391978:ERS392061 FBM391978:FBO392061 FLI391978:FLK392061 FVE391978:FVG392061 GFA391978:GFC392061 GOW391978:GOY392061 GYS391978:GYU392061 HIO391978:HIQ392061 HSK391978:HSM392061 ICG391978:ICI392061 IMC391978:IME392061 IVY391978:IWA392061 JFU391978:JFW392061 JPQ391978:JPS392061 JZM391978:JZO392061 KJI391978:KJK392061 KTE391978:KTG392061 LDA391978:LDC392061 LMW391978:LMY392061 LWS391978:LWU392061 MGO391978:MGQ392061 MQK391978:MQM392061 NAG391978:NAI392061 NKC391978:NKE392061 NTY391978:NUA392061 ODU391978:ODW392061 ONQ391978:ONS392061 OXM391978:OXO392061 PHI391978:PHK392061 PRE391978:PRG392061 QBA391978:QBC392061 QKW391978:QKY392061 QUS391978:QUU392061 REO391978:REQ392061 ROK391978:ROM392061 RYG391978:RYI392061 SIC391978:SIE392061 SRY391978:SSA392061 TBU391978:TBW392061 TLQ391978:TLS392061 TVM391978:TVO392061 UFI391978:UFK392061 UPE391978:UPG392061 UZA391978:UZC392061 VIW391978:VIY392061 VSS391978:VSU392061 WCO391978:WCQ392061 WMK391978:WMM392061 WWG391978:WWI392061 Y457514:AA457597 JU457514:JW457597 TQ457514:TS457597 ADM457514:ADO457597 ANI457514:ANK457597 AXE457514:AXG457597 BHA457514:BHC457597 BQW457514:BQY457597 CAS457514:CAU457597 CKO457514:CKQ457597 CUK457514:CUM457597 DEG457514:DEI457597 DOC457514:DOE457597 DXY457514:DYA457597 EHU457514:EHW457597 ERQ457514:ERS457597 FBM457514:FBO457597 FLI457514:FLK457597 FVE457514:FVG457597 GFA457514:GFC457597 GOW457514:GOY457597 GYS457514:GYU457597 HIO457514:HIQ457597 HSK457514:HSM457597 ICG457514:ICI457597 IMC457514:IME457597 IVY457514:IWA457597 JFU457514:JFW457597 JPQ457514:JPS457597 JZM457514:JZO457597 KJI457514:KJK457597 KTE457514:KTG457597 LDA457514:LDC457597 LMW457514:LMY457597 LWS457514:LWU457597 MGO457514:MGQ457597 MQK457514:MQM457597 NAG457514:NAI457597 NKC457514:NKE457597 NTY457514:NUA457597 ODU457514:ODW457597 ONQ457514:ONS457597 OXM457514:OXO457597 PHI457514:PHK457597 PRE457514:PRG457597 QBA457514:QBC457597 QKW457514:QKY457597 QUS457514:QUU457597 REO457514:REQ457597 ROK457514:ROM457597 RYG457514:RYI457597 SIC457514:SIE457597 SRY457514:SSA457597 TBU457514:TBW457597 TLQ457514:TLS457597 TVM457514:TVO457597 UFI457514:UFK457597 UPE457514:UPG457597 UZA457514:UZC457597 VIW457514:VIY457597 VSS457514:VSU457597 WCO457514:WCQ457597 WMK457514:WMM457597 WWG457514:WWI457597 Y523050:AA523133 JU523050:JW523133 TQ523050:TS523133 ADM523050:ADO523133 ANI523050:ANK523133 AXE523050:AXG523133 BHA523050:BHC523133 BQW523050:BQY523133 CAS523050:CAU523133 CKO523050:CKQ523133 CUK523050:CUM523133 DEG523050:DEI523133 DOC523050:DOE523133 DXY523050:DYA523133 EHU523050:EHW523133 ERQ523050:ERS523133 FBM523050:FBO523133 FLI523050:FLK523133 FVE523050:FVG523133 GFA523050:GFC523133 GOW523050:GOY523133 GYS523050:GYU523133 HIO523050:HIQ523133 HSK523050:HSM523133 ICG523050:ICI523133 IMC523050:IME523133 IVY523050:IWA523133 JFU523050:JFW523133 JPQ523050:JPS523133 JZM523050:JZO523133 KJI523050:KJK523133 KTE523050:KTG523133 LDA523050:LDC523133 LMW523050:LMY523133 LWS523050:LWU523133 MGO523050:MGQ523133 MQK523050:MQM523133 NAG523050:NAI523133 NKC523050:NKE523133 NTY523050:NUA523133 ODU523050:ODW523133 ONQ523050:ONS523133 OXM523050:OXO523133 PHI523050:PHK523133 PRE523050:PRG523133 QBA523050:QBC523133 QKW523050:QKY523133 QUS523050:QUU523133 REO523050:REQ523133 ROK523050:ROM523133 RYG523050:RYI523133 SIC523050:SIE523133 SRY523050:SSA523133 TBU523050:TBW523133 TLQ523050:TLS523133 TVM523050:TVO523133 UFI523050:UFK523133 UPE523050:UPG523133 UZA523050:UZC523133 VIW523050:VIY523133 VSS523050:VSU523133 WCO523050:WCQ523133 WMK523050:WMM523133 WWG523050:WWI523133 Y588586:AA588669 JU588586:JW588669 TQ588586:TS588669 ADM588586:ADO588669 ANI588586:ANK588669 AXE588586:AXG588669 BHA588586:BHC588669 BQW588586:BQY588669 CAS588586:CAU588669 CKO588586:CKQ588669 CUK588586:CUM588669 DEG588586:DEI588669 DOC588586:DOE588669 DXY588586:DYA588669 EHU588586:EHW588669 ERQ588586:ERS588669 FBM588586:FBO588669 FLI588586:FLK588669 FVE588586:FVG588669 GFA588586:GFC588669 GOW588586:GOY588669 GYS588586:GYU588669 HIO588586:HIQ588669 HSK588586:HSM588669 ICG588586:ICI588669 IMC588586:IME588669 IVY588586:IWA588669 JFU588586:JFW588669 JPQ588586:JPS588669 JZM588586:JZO588669 KJI588586:KJK588669 KTE588586:KTG588669 LDA588586:LDC588669 LMW588586:LMY588669 LWS588586:LWU588669 MGO588586:MGQ588669 MQK588586:MQM588669 NAG588586:NAI588669 NKC588586:NKE588669 NTY588586:NUA588669 ODU588586:ODW588669 ONQ588586:ONS588669 OXM588586:OXO588669 PHI588586:PHK588669 PRE588586:PRG588669 QBA588586:QBC588669 QKW588586:QKY588669 QUS588586:QUU588669 REO588586:REQ588669 ROK588586:ROM588669 RYG588586:RYI588669 SIC588586:SIE588669 SRY588586:SSA588669 TBU588586:TBW588669 TLQ588586:TLS588669 TVM588586:TVO588669 UFI588586:UFK588669 UPE588586:UPG588669 UZA588586:UZC588669 VIW588586:VIY588669 VSS588586:VSU588669 WCO588586:WCQ588669 WMK588586:WMM588669 WWG588586:WWI588669 Y654122:AA654205 JU654122:JW654205 TQ654122:TS654205 ADM654122:ADO654205 ANI654122:ANK654205 AXE654122:AXG654205 BHA654122:BHC654205 BQW654122:BQY654205 CAS654122:CAU654205 CKO654122:CKQ654205 CUK654122:CUM654205 DEG654122:DEI654205 DOC654122:DOE654205 DXY654122:DYA654205 EHU654122:EHW654205 ERQ654122:ERS654205 FBM654122:FBO654205 FLI654122:FLK654205 FVE654122:FVG654205 GFA654122:GFC654205 GOW654122:GOY654205 GYS654122:GYU654205 HIO654122:HIQ654205 HSK654122:HSM654205 ICG654122:ICI654205 IMC654122:IME654205 IVY654122:IWA654205 JFU654122:JFW654205 JPQ654122:JPS654205 JZM654122:JZO654205 KJI654122:KJK654205 KTE654122:KTG654205 LDA654122:LDC654205 LMW654122:LMY654205 LWS654122:LWU654205 MGO654122:MGQ654205 MQK654122:MQM654205 NAG654122:NAI654205 NKC654122:NKE654205 NTY654122:NUA654205 ODU654122:ODW654205 ONQ654122:ONS654205 OXM654122:OXO654205 PHI654122:PHK654205 PRE654122:PRG654205 QBA654122:QBC654205 QKW654122:QKY654205 QUS654122:QUU654205 REO654122:REQ654205 ROK654122:ROM654205 RYG654122:RYI654205 SIC654122:SIE654205 SRY654122:SSA654205 TBU654122:TBW654205 TLQ654122:TLS654205 TVM654122:TVO654205 UFI654122:UFK654205 UPE654122:UPG654205 UZA654122:UZC654205 VIW654122:VIY654205 VSS654122:VSU654205 WCO654122:WCQ654205 WMK654122:WMM654205 WWG654122:WWI654205 Y719658:AA719741 JU719658:JW719741 TQ719658:TS719741 ADM719658:ADO719741 ANI719658:ANK719741 AXE719658:AXG719741 BHA719658:BHC719741 BQW719658:BQY719741 CAS719658:CAU719741 CKO719658:CKQ719741 CUK719658:CUM719741 DEG719658:DEI719741 DOC719658:DOE719741 DXY719658:DYA719741 EHU719658:EHW719741 ERQ719658:ERS719741 FBM719658:FBO719741 FLI719658:FLK719741 FVE719658:FVG719741 GFA719658:GFC719741 GOW719658:GOY719741 GYS719658:GYU719741 HIO719658:HIQ719741 HSK719658:HSM719741 ICG719658:ICI719741 IMC719658:IME719741 IVY719658:IWA719741 JFU719658:JFW719741 JPQ719658:JPS719741 JZM719658:JZO719741 KJI719658:KJK719741 KTE719658:KTG719741 LDA719658:LDC719741 LMW719658:LMY719741 LWS719658:LWU719741 MGO719658:MGQ719741 MQK719658:MQM719741 NAG719658:NAI719741 NKC719658:NKE719741 NTY719658:NUA719741 ODU719658:ODW719741 ONQ719658:ONS719741 OXM719658:OXO719741 PHI719658:PHK719741 PRE719658:PRG719741 QBA719658:QBC719741 QKW719658:QKY719741 QUS719658:QUU719741 REO719658:REQ719741 ROK719658:ROM719741 RYG719658:RYI719741 SIC719658:SIE719741 SRY719658:SSA719741 TBU719658:TBW719741 TLQ719658:TLS719741 TVM719658:TVO719741 UFI719658:UFK719741 UPE719658:UPG719741 UZA719658:UZC719741 VIW719658:VIY719741 VSS719658:VSU719741 WCO719658:WCQ719741 WMK719658:WMM719741 WWG719658:WWI719741 Y785194:AA785277 JU785194:JW785277 TQ785194:TS785277 ADM785194:ADO785277 ANI785194:ANK785277 AXE785194:AXG785277 BHA785194:BHC785277 BQW785194:BQY785277 CAS785194:CAU785277 CKO785194:CKQ785277 CUK785194:CUM785277 DEG785194:DEI785277 DOC785194:DOE785277 DXY785194:DYA785277 EHU785194:EHW785277 ERQ785194:ERS785277 FBM785194:FBO785277 FLI785194:FLK785277 FVE785194:FVG785277 GFA785194:GFC785277 GOW785194:GOY785277 GYS785194:GYU785277 HIO785194:HIQ785277 HSK785194:HSM785277 ICG785194:ICI785277 IMC785194:IME785277 IVY785194:IWA785277 JFU785194:JFW785277 JPQ785194:JPS785277 JZM785194:JZO785277 KJI785194:KJK785277 KTE785194:KTG785277 LDA785194:LDC785277 LMW785194:LMY785277 LWS785194:LWU785277 MGO785194:MGQ785277 MQK785194:MQM785277 NAG785194:NAI785277 NKC785194:NKE785277 NTY785194:NUA785277 ODU785194:ODW785277 ONQ785194:ONS785277 OXM785194:OXO785277 PHI785194:PHK785277 PRE785194:PRG785277 QBA785194:QBC785277 QKW785194:QKY785277 QUS785194:QUU785277 REO785194:REQ785277 ROK785194:ROM785277 RYG785194:RYI785277 SIC785194:SIE785277 SRY785194:SSA785277 TBU785194:TBW785277 TLQ785194:TLS785277 TVM785194:TVO785277 UFI785194:UFK785277 UPE785194:UPG785277 UZA785194:UZC785277 VIW785194:VIY785277 VSS785194:VSU785277 WCO785194:WCQ785277 WMK785194:WMM785277 WWG785194:WWI785277 Y850730:AA850813 JU850730:JW850813 TQ850730:TS850813 ADM850730:ADO850813 ANI850730:ANK850813 AXE850730:AXG850813 BHA850730:BHC850813 BQW850730:BQY850813 CAS850730:CAU850813 CKO850730:CKQ850813 CUK850730:CUM850813 DEG850730:DEI850813 DOC850730:DOE850813 DXY850730:DYA850813 EHU850730:EHW850813 ERQ850730:ERS850813 FBM850730:FBO850813 FLI850730:FLK850813 FVE850730:FVG850813 GFA850730:GFC850813 GOW850730:GOY850813 GYS850730:GYU850813 HIO850730:HIQ850813 HSK850730:HSM850813 ICG850730:ICI850813 IMC850730:IME850813 IVY850730:IWA850813 JFU850730:JFW850813 JPQ850730:JPS850813 JZM850730:JZO850813 KJI850730:KJK850813 KTE850730:KTG850813 LDA850730:LDC850813 LMW850730:LMY850813 LWS850730:LWU850813 MGO850730:MGQ850813 MQK850730:MQM850813 NAG850730:NAI850813 NKC850730:NKE850813 NTY850730:NUA850813 ODU850730:ODW850813 ONQ850730:ONS850813 OXM850730:OXO850813 PHI850730:PHK850813 PRE850730:PRG850813 QBA850730:QBC850813 QKW850730:QKY850813 QUS850730:QUU850813 REO850730:REQ850813 ROK850730:ROM850813 RYG850730:RYI850813 SIC850730:SIE850813 SRY850730:SSA850813 TBU850730:TBW850813 TLQ850730:TLS850813 TVM850730:TVO850813 UFI850730:UFK850813 UPE850730:UPG850813 UZA850730:UZC850813 VIW850730:VIY850813 VSS850730:VSU850813 WCO850730:WCQ850813 WMK850730:WMM850813 WWG850730:WWI850813 Y916266:AA916349 JU916266:JW916349 TQ916266:TS916349 ADM916266:ADO916349 ANI916266:ANK916349 AXE916266:AXG916349 BHA916266:BHC916349 BQW916266:BQY916349 CAS916266:CAU916349 CKO916266:CKQ916349 CUK916266:CUM916349 DEG916266:DEI916349 DOC916266:DOE916349 DXY916266:DYA916349 EHU916266:EHW916349 ERQ916266:ERS916349 FBM916266:FBO916349 FLI916266:FLK916349 FVE916266:FVG916349 GFA916266:GFC916349 GOW916266:GOY916349 GYS916266:GYU916349 HIO916266:HIQ916349 HSK916266:HSM916349 ICG916266:ICI916349 IMC916266:IME916349 IVY916266:IWA916349 JFU916266:JFW916349 JPQ916266:JPS916349 JZM916266:JZO916349 KJI916266:KJK916349 KTE916266:KTG916349 LDA916266:LDC916349 LMW916266:LMY916349 LWS916266:LWU916349 MGO916266:MGQ916349 MQK916266:MQM916349 NAG916266:NAI916349 NKC916266:NKE916349 NTY916266:NUA916349 ODU916266:ODW916349 ONQ916266:ONS916349 OXM916266:OXO916349 PHI916266:PHK916349 PRE916266:PRG916349 QBA916266:QBC916349 QKW916266:QKY916349 QUS916266:QUU916349 REO916266:REQ916349 ROK916266:ROM916349 RYG916266:RYI916349 SIC916266:SIE916349 SRY916266:SSA916349 TBU916266:TBW916349 TLQ916266:TLS916349 TVM916266:TVO916349 UFI916266:UFK916349 UPE916266:UPG916349 UZA916266:UZC916349 VIW916266:VIY916349 VSS916266:VSU916349 WCO916266:WCQ916349 WMK916266:WMM916349 WWG916266:WWI916349 Y981802:AA981885 JU981802:JW981885 TQ981802:TS981885 ADM981802:ADO981885 ANI981802:ANK981885 AXE981802:AXG981885 BHA981802:BHC981885 BQW981802:BQY981885 CAS981802:CAU981885 CKO981802:CKQ981885 CUK981802:CUM981885 DEG981802:DEI981885 DOC981802:DOE981885 DXY981802:DYA981885 EHU981802:EHW981885 ERQ981802:ERS981885 FBM981802:FBO981885 FLI981802:FLK981885 FVE981802:FVG981885 GFA981802:GFC981885 GOW981802:GOY981885 GYS981802:GYU981885 HIO981802:HIQ981885 HSK981802:HSM981885 ICG981802:ICI981885 IMC981802:IME981885 IVY981802:IWA981885 JFU981802:JFW981885 JPQ981802:JPS981885 JZM981802:JZO981885 KJI981802:KJK981885 KTE981802:KTG981885 LDA981802:LDC981885 LMW981802:LMY981885 LWS981802:LWU981885 MGO981802:MGQ981885 MQK981802:MQM981885 NAG981802:NAI981885 NKC981802:NKE981885 NTY981802:NUA981885 ODU981802:ODW981885 ONQ981802:ONS981885 OXM981802:OXO981885 PHI981802:PHK981885 PRE981802:PRG981885 QBA981802:QBC981885 QKW981802:QKY981885 QUS981802:QUU981885 REO981802:REQ981885 ROK981802:ROM981885 RYG981802:RYI981885 SIC981802:SIE981885 SRY981802:SSA981885 TBU981802:TBW981885 TLQ981802:TLS981885 TVM981802:TVO981885 UFI981802:UFK981885 UPE981802:UPG981885 UZA981802:UZC981885 VIW981802:VIY981885 VSS981802:VSU981885 WCO981802:WCQ981885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TQ2:TS70 JU2:JW70">
      <formula1>$AV$2:$AV$22</formula1>
    </dataValidation>
    <dataValidation type="list" allowBlank="1" showInputMessage="1" showErrorMessage="1" sqref="K118:K497">
      <formula1>$AR$2:$AR$28</formula1>
    </dataValidation>
    <dataValidation type="list" allowBlank="1" showInputMessage="1" showErrorMessage="1" sqref="J93:J497 J2:J91">
      <formula1>$AP$2:$AP$30</formula1>
    </dataValidation>
    <dataValidation type="list" allowBlank="1" showInputMessage="1" showErrorMessage="1" sqref="F93:F497 F2:F91">
      <formula1>$AH$2:$AH$10</formula1>
    </dataValidation>
    <dataValidation type="list" allowBlank="1" showInputMessage="1" showErrorMessage="1" sqref="E93:E497 E2:E91">
      <formula1>$AG$2:$AG$11</formula1>
    </dataValidation>
    <dataValidation type="list" allowBlank="1" showInputMessage="1" showErrorMessage="1" sqref="A93:A497 A2:A91">
      <formula1>$AE$2:$AE$19</formula1>
    </dataValidation>
    <dataValidation type="list" allowBlank="1" showInputMessage="1" showErrorMessage="1" sqref="H93:H497 H2:H91">
      <formula1>$AL$2:$AL$8</formula1>
    </dataValidation>
    <dataValidation type="list" allowBlank="1" showInputMessage="1" showErrorMessage="1" sqref="Y93:AA497 Y2:AA91">
      <formula1>$AV$2:$AV$21</formula1>
    </dataValidation>
    <dataValidation type="decimal" allowBlank="1" showInputMessage="1" showErrorMessage="1" error="硬度を正しく入力して下さい。" sqref="O93:P497 N41:N69 O41:P91 O14:O25 N71:N75 N11:N13 P8:P40 N17:N19 N23:N25">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zoomScale="87" zoomScaleNormal="87" workbookViewId="0">
      <selection activeCell="G47" sqref="G47"/>
    </sheetView>
  </sheetViews>
  <sheetFormatPr defaultColWidth="8.875" defaultRowHeight="13.5" x14ac:dyDescent="0.15"/>
  <cols>
    <col min="1" max="3" width="8.875" style="206"/>
    <col min="4" max="4" width="13.5" style="206" bestFit="1" customWidth="1"/>
    <col min="5" max="5" width="9.625" style="206" bestFit="1" customWidth="1"/>
    <col min="6" max="16" width="8.875" style="206"/>
    <col min="17" max="17" width="8.875" style="215"/>
    <col min="18" max="19" width="8.875" style="206"/>
    <col min="20" max="20" width="8.875" style="215"/>
    <col min="21" max="21" width="8.875" style="206"/>
    <col min="22" max="22" width="8.875" style="215"/>
    <col min="23" max="32" width="8.875" style="206"/>
    <col min="33" max="33" width="19.625" style="206" bestFit="1" customWidth="1"/>
    <col min="34" max="259" width="8.875" style="206"/>
    <col min="260" max="260" width="10.5" style="206" bestFit="1" customWidth="1"/>
    <col min="261" max="261" width="9.625" style="206" bestFit="1" customWidth="1"/>
    <col min="262" max="515" width="8.875" style="206"/>
    <col min="516" max="516" width="10.5" style="206" bestFit="1" customWidth="1"/>
    <col min="517" max="517" width="9.625" style="206" bestFit="1" customWidth="1"/>
    <col min="518" max="771" width="8.875" style="206"/>
    <col min="772" max="772" width="10.5" style="206" bestFit="1" customWidth="1"/>
    <col min="773" max="773" width="9.625" style="206" bestFit="1" customWidth="1"/>
    <col min="774" max="1027" width="8.875" style="206"/>
    <col min="1028" max="1028" width="10.5" style="206" bestFit="1" customWidth="1"/>
    <col min="1029" max="1029" width="9.625" style="206" bestFit="1" customWidth="1"/>
    <col min="1030" max="1283" width="8.875" style="206"/>
    <col min="1284" max="1284" width="10.5" style="206" bestFit="1" customWidth="1"/>
    <col min="1285" max="1285" width="9.625" style="206" bestFit="1" customWidth="1"/>
    <col min="1286" max="1539" width="8.875" style="206"/>
    <col min="1540" max="1540" width="10.5" style="206" bestFit="1" customWidth="1"/>
    <col min="1541" max="1541" width="9.625" style="206" bestFit="1" customWidth="1"/>
    <col min="1542" max="1795" width="8.875" style="206"/>
    <col min="1796" max="1796" width="10.5" style="206" bestFit="1" customWidth="1"/>
    <col min="1797" max="1797" width="9.625" style="206" bestFit="1" customWidth="1"/>
    <col min="1798" max="2051" width="8.875" style="206"/>
    <col min="2052" max="2052" width="10.5" style="206" bestFit="1" customWidth="1"/>
    <col min="2053" max="2053" width="9.625" style="206" bestFit="1" customWidth="1"/>
    <col min="2054" max="2307" width="8.875" style="206"/>
    <col min="2308" max="2308" width="10.5" style="206" bestFit="1" customWidth="1"/>
    <col min="2309" max="2309" width="9.625" style="206" bestFit="1" customWidth="1"/>
    <col min="2310" max="2563" width="8.875" style="206"/>
    <col min="2564" max="2564" width="10.5" style="206" bestFit="1" customWidth="1"/>
    <col min="2565" max="2565" width="9.625" style="206" bestFit="1" customWidth="1"/>
    <col min="2566" max="2819" width="8.875" style="206"/>
    <col min="2820" max="2820" width="10.5" style="206" bestFit="1" customWidth="1"/>
    <col min="2821" max="2821" width="9.625" style="206" bestFit="1" customWidth="1"/>
    <col min="2822" max="3075" width="8.875" style="206"/>
    <col min="3076" max="3076" width="10.5" style="206" bestFit="1" customWidth="1"/>
    <col min="3077" max="3077" width="9.625" style="206" bestFit="1" customWidth="1"/>
    <col min="3078" max="3331" width="8.875" style="206"/>
    <col min="3332" max="3332" width="10.5" style="206" bestFit="1" customWidth="1"/>
    <col min="3333" max="3333" width="9.625" style="206" bestFit="1" customWidth="1"/>
    <col min="3334" max="3587" width="8.875" style="206"/>
    <col min="3588" max="3588" width="10.5" style="206" bestFit="1" customWidth="1"/>
    <col min="3589" max="3589" width="9.625" style="206" bestFit="1" customWidth="1"/>
    <col min="3590" max="3843" width="8.875" style="206"/>
    <col min="3844" max="3844" width="10.5" style="206" bestFit="1" customWidth="1"/>
    <col min="3845" max="3845" width="9.625" style="206" bestFit="1" customWidth="1"/>
    <col min="3846" max="4099" width="8.875" style="206"/>
    <col min="4100" max="4100" width="10.5" style="206" bestFit="1" customWidth="1"/>
    <col min="4101" max="4101" width="9.625" style="206" bestFit="1" customWidth="1"/>
    <col min="4102" max="4355" width="8.875" style="206"/>
    <col min="4356" max="4356" width="10.5" style="206" bestFit="1" customWidth="1"/>
    <col min="4357" max="4357" width="9.625" style="206" bestFit="1" customWidth="1"/>
    <col min="4358" max="4611" width="8.875" style="206"/>
    <col min="4612" max="4612" width="10.5" style="206" bestFit="1" customWidth="1"/>
    <col min="4613" max="4613" width="9.625" style="206" bestFit="1" customWidth="1"/>
    <col min="4614" max="4867" width="8.875" style="206"/>
    <col min="4868" max="4868" width="10.5" style="206" bestFit="1" customWidth="1"/>
    <col min="4869" max="4869" width="9.625" style="206" bestFit="1" customWidth="1"/>
    <col min="4870" max="5123" width="8.875" style="206"/>
    <col min="5124" max="5124" width="10.5" style="206" bestFit="1" customWidth="1"/>
    <col min="5125" max="5125" width="9.625" style="206" bestFit="1" customWidth="1"/>
    <col min="5126" max="5379" width="8.875" style="206"/>
    <col min="5380" max="5380" width="10.5" style="206" bestFit="1" customWidth="1"/>
    <col min="5381" max="5381" width="9.625" style="206" bestFit="1" customWidth="1"/>
    <col min="5382" max="5635" width="8.875" style="206"/>
    <col min="5636" max="5636" width="10.5" style="206" bestFit="1" customWidth="1"/>
    <col min="5637" max="5637" width="9.625" style="206" bestFit="1" customWidth="1"/>
    <col min="5638" max="5891" width="8.875" style="206"/>
    <col min="5892" max="5892" width="10.5" style="206" bestFit="1" customWidth="1"/>
    <col min="5893" max="5893" width="9.625" style="206" bestFit="1" customWidth="1"/>
    <col min="5894" max="6147" width="8.875" style="206"/>
    <col min="6148" max="6148" width="10.5" style="206" bestFit="1" customWidth="1"/>
    <col min="6149" max="6149" width="9.625" style="206" bestFit="1" customWidth="1"/>
    <col min="6150" max="6403" width="8.875" style="206"/>
    <col min="6404" max="6404" width="10.5" style="206" bestFit="1" customWidth="1"/>
    <col min="6405" max="6405" width="9.625" style="206" bestFit="1" customWidth="1"/>
    <col min="6406" max="6659" width="8.875" style="206"/>
    <col min="6660" max="6660" width="10.5" style="206" bestFit="1" customWidth="1"/>
    <col min="6661" max="6661" width="9.625" style="206" bestFit="1" customWidth="1"/>
    <col min="6662" max="6915" width="8.875" style="206"/>
    <col min="6916" max="6916" width="10.5" style="206" bestFit="1" customWidth="1"/>
    <col min="6917" max="6917" width="9.625" style="206" bestFit="1" customWidth="1"/>
    <col min="6918" max="7171" width="8.875" style="206"/>
    <col min="7172" max="7172" width="10.5" style="206" bestFit="1" customWidth="1"/>
    <col min="7173" max="7173" width="9.625" style="206" bestFit="1" customWidth="1"/>
    <col min="7174" max="7427" width="8.875" style="206"/>
    <col min="7428" max="7428" width="10.5" style="206" bestFit="1" customWidth="1"/>
    <col min="7429" max="7429" width="9.625" style="206" bestFit="1" customWidth="1"/>
    <col min="7430" max="7683" width="8.875" style="206"/>
    <col min="7684" max="7684" width="10.5" style="206" bestFit="1" customWidth="1"/>
    <col min="7685" max="7685" width="9.625" style="206" bestFit="1" customWidth="1"/>
    <col min="7686" max="7939" width="8.875" style="206"/>
    <col min="7940" max="7940" width="10.5" style="206" bestFit="1" customWidth="1"/>
    <col min="7941" max="7941" width="9.625" style="206" bestFit="1" customWidth="1"/>
    <col min="7942" max="8195" width="8.875" style="206"/>
    <col min="8196" max="8196" width="10.5" style="206" bestFit="1" customWidth="1"/>
    <col min="8197" max="8197" width="9.625" style="206" bestFit="1" customWidth="1"/>
    <col min="8198" max="8451" width="8.875" style="206"/>
    <col min="8452" max="8452" width="10.5" style="206" bestFit="1" customWidth="1"/>
    <col min="8453" max="8453" width="9.625" style="206" bestFit="1" customWidth="1"/>
    <col min="8454" max="8707" width="8.875" style="206"/>
    <col min="8708" max="8708" width="10.5" style="206" bestFit="1" customWidth="1"/>
    <col min="8709" max="8709" width="9.625" style="206" bestFit="1" customWidth="1"/>
    <col min="8710" max="8963" width="8.875" style="206"/>
    <col min="8964" max="8964" width="10.5" style="206" bestFit="1" customWidth="1"/>
    <col min="8965" max="8965" width="9.625" style="206" bestFit="1" customWidth="1"/>
    <col min="8966" max="9219" width="8.875" style="206"/>
    <col min="9220" max="9220" width="10.5" style="206" bestFit="1" customWidth="1"/>
    <col min="9221" max="9221" width="9.625" style="206" bestFit="1" customWidth="1"/>
    <col min="9222" max="9475" width="8.875" style="206"/>
    <col min="9476" max="9476" width="10.5" style="206" bestFit="1" customWidth="1"/>
    <col min="9477" max="9477" width="9.625" style="206" bestFit="1" customWidth="1"/>
    <col min="9478" max="9731" width="8.875" style="206"/>
    <col min="9732" max="9732" width="10.5" style="206" bestFit="1" customWidth="1"/>
    <col min="9733" max="9733" width="9.625" style="206" bestFit="1" customWidth="1"/>
    <col min="9734" max="9987" width="8.875" style="206"/>
    <col min="9988" max="9988" width="10.5" style="206" bestFit="1" customWidth="1"/>
    <col min="9989" max="9989" width="9.625" style="206" bestFit="1" customWidth="1"/>
    <col min="9990" max="10243" width="8.875" style="206"/>
    <col min="10244" max="10244" width="10.5" style="206" bestFit="1" customWidth="1"/>
    <col min="10245" max="10245" width="9.625" style="206" bestFit="1" customWidth="1"/>
    <col min="10246" max="10499" width="8.875" style="206"/>
    <col min="10500" max="10500" width="10.5" style="206" bestFit="1" customWidth="1"/>
    <col min="10501" max="10501" width="9.625" style="206" bestFit="1" customWidth="1"/>
    <col min="10502" max="10755" width="8.875" style="206"/>
    <col min="10756" max="10756" width="10.5" style="206" bestFit="1" customWidth="1"/>
    <col min="10757" max="10757" width="9.625" style="206" bestFit="1" customWidth="1"/>
    <col min="10758" max="11011" width="8.875" style="206"/>
    <col min="11012" max="11012" width="10.5" style="206" bestFit="1" customWidth="1"/>
    <col min="11013" max="11013" width="9.625" style="206" bestFit="1" customWidth="1"/>
    <col min="11014" max="11267" width="8.875" style="206"/>
    <col min="11268" max="11268" width="10.5" style="206" bestFit="1" customWidth="1"/>
    <col min="11269" max="11269" width="9.625" style="206" bestFit="1" customWidth="1"/>
    <col min="11270" max="11523" width="8.875" style="206"/>
    <col min="11524" max="11524" width="10.5" style="206" bestFit="1" customWidth="1"/>
    <col min="11525" max="11525" width="9.625" style="206" bestFit="1" customWidth="1"/>
    <col min="11526" max="11779" width="8.875" style="206"/>
    <col min="11780" max="11780" width="10.5" style="206" bestFit="1" customWidth="1"/>
    <col min="11781" max="11781" width="9.625" style="206" bestFit="1" customWidth="1"/>
    <col min="11782" max="12035" width="8.875" style="206"/>
    <col min="12036" max="12036" width="10.5" style="206" bestFit="1" customWidth="1"/>
    <col min="12037" max="12037" width="9.625" style="206" bestFit="1" customWidth="1"/>
    <col min="12038" max="12291" width="8.875" style="206"/>
    <col min="12292" max="12292" width="10.5" style="206" bestFit="1" customWidth="1"/>
    <col min="12293" max="12293" width="9.625" style="206" bestFit="1" customWidth="1"/>
    <col min="12294" max="12547" width="8.875" style="206"/>
    <col min="12548" max="12548" width="10.5" style="206" bestFit="1" customWidth="1"/>
    <col min="12549" max="12549" width="9.625" style="206" bestFit="1" customWidth="1"/>
    <col min="12550" max="12803" width="8.875" style="206"/>
    <col min="12804" max="12804" width="10.5" style="206" bestFit="1" customWidth="1"/>
    <col min="12805" max="12805" width="9.625" style="206" bestFit="1" customWidth="1"/>
    <col min="12806" max="13059" width="8.875" style="206"/>
    <col min="13060" max="13060" width="10.5" style="206" bestFit="1" customWidth="1"/>
    <col min="13061" max="13061" width="9.625" style="206" bestFit="1" customWidth="1"/>
    <col min="13062" max="13315" width="8.875" style="206"/>
    <col min="13316" max="13316" width="10.5" style="206" bestFit="1" customWidth="1"/>
    <col min="13317" max="13317" width="9.625" style="206" bestFit="1" customWidth="1"/>
    <col min="13318" max="13571" width="8.875" style="206"/>
    <col min="13572" max="13572" width="10.5" style="206" bestFit="1" customWidth="1"/>
    <col min="13573" max="13573" width="9.625" style="206" bestFit="1" customWidth="1"/>
    <col min="13574" max="13827" width="8.875" style="206"/>
    <col min="13828" max="13828" width="10.5" style="206" bestFit="1" customWidth="1"/>
    <col min="13829" max="13829" width="9.625" style="206" bestFit="1" customWidth="1"/>
    <col min="13830" max="14083" width="8.875" style="206"/>
    <col min="14084" max="14084" width="10.5" style="206" bestFit="1" customWidth="1"/>
    <col min="14085" max="14085" width="9.625" style="206" bestFit="1" customWidth="1"/>
    <col min="14086" max="14339" width="8.875" style="206"/>
    <col min="14340" max="14340" width="10.5" style="206" bestFit="1" customWidth="1"/>
    <col min="14341" max="14341" width="9.625" style="206" bestFit="1" customWidth="1"/>
    <col min="14342" max="14595" width="8.875" style="206"/>
    <col min="14596" max="14596" width="10.5" style="206" bestFit="1" customWidth="1"/>
    <col min="14597" max="14597" width="9.625" style="206" bestFit="1" customWidth="1"/>
    <col min="14598" max="14851" width="8.875" style="206"/>
    <col min="14852" max="14852" width="10.5" style="206" bestFit="1" customWidth="1"/>
    <col min="14853" max="14853" width="9.625" style="206" bestFit="1" customWidth="1"/>
    <col min="14854" max="15107" width="8.875" style="206"/>
    <col min="15108" max="15108" width="10.5" style="206" bestFit="1" customWidth="1"/>
    <col min="15109" max="15109" width="9.625" style="206" bestFit="1" customWidth="1"/>
    <col min="15110" max="15363" width="8.875" style="206"/>
    <col min="15364" max="15364" width="10.5" style="206" bestFit="1" customWidth="1"/>
    <col min="15365" max="15365" width="9.625" style="206" bestFit="1" customWidth="1"/>
    <col min="15366" max="15619" width="8.875" style="206"/>
    <col min="15620" max="15620" width="10.5" style="206" bestFit="1" customWidth="1"/>
    <col min="15621" max="15621" width="9.625" style="206" bestFit="1" customWidth="1"/>
    <col min="15622" max="15875" width="8.875" style="206"/>
    <col min="15876" max="15876" width="10.5" style="206" bestFit="1" customWidth="1"/>
    <col min="15877" max="15877" width="9.625" style="206" bestFit="1" customWidth="1"/>
    <col min="15878" max="16131" width="8.875" style="206"/>
    <col min="16132" max="16132" width="10.5" style="206" bestFit="1" customWidth="1"/>
    <col min="16133" max="16133" width="9.625" style="206" bestFit="1" customWidth="1"/>
    <col min="16134" max="16384" width="8.875" style="206"/>
  </cols>
  <sheetData>
    <row r="1" spans="1:53" ht="45" x14ac:dyDescent="0.15">
      <c r="A1" s="238" t="s">
        <v>0</v>
      </c>
      <c r="B1" s="200" t="s">
        <v>1</v>
      </c>
      <c r="C1" s="200" t="s">
        <v>452</v>
      </c>
      <c r="D1" s="201" t="s">
        <v>3</v>
      </c>
      <c r="E1" s="239" t="s">
        <v>4</v>
      </c>
      <c r="F1" s="239" t="s">
        <v>5</v>
      </c>
      <c r="G1" s="239" t="s">
        <v>6</v>
      </c>
      <c r="H1" s="239" t="s">
        <v>7</v>
      </c>
      <c r="I1" s="239" t="s">
        <v>8</v>
      </c>
      <c r="J1" s="239" t="s">
        <v>9</v>
      </c>
      <c r="K1" s="239" t="s">
        <v>10</v>
      </c>
      <c r="L1" s="201" t="s">
        <v>453</v>
      </c>
      <c r="M1" s="201" t="s">
        <v>12</v>
      </c>
      <c r="N1" s="201" t="s">
        <v>454</v>
      </c>
      <c r="O1" s="201" t="s">
        <v>455</v>
      </c>
      <c r="P1" s="201" t="s">
        <v>456</v>
      </c>
      <c r="Q1" s="202" t="s">
        <v>16</v>
      </c>
      <c r="R1" s="201" t="s">
        <v>457</v>
      </c>
      <c r="S1" s="201" t="s">
        <v>458</v>
      </c>
      <c r="T1" s="202" t="s">
        <v>19</v>
      </c>
      <c r="U1" s="203" t="s">
        <v>459</v>
      </c>
      <c r="V1" s="204" t="s">
        <v>20</v>
      </c>
      <c r="W1" s="201" t="s">
        <v>21</v>
      </c>
      <c r="X1" s="239" t="s">
        <v>22</v>
      </c>
      <c r="Y1" s="239" t="s">
        <v>23</v>
      </c>
      <c r="Z1" s="239" t="s">
        <v>24</v>
      </c>
      <c r="AA1" s="240" t="s">
        <v>25</v>
      </c>
      <c r="AB1" s="205" t="s">
        <v>460</v>
      </c>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461</v>
      </c>
      <c r="AY1" s="212" t="s">
        <v>462</v>
      </c>
      <c r="AZ1" s="212" t="s">
        <v>463</v>
      </c>
      <c r="BA1" s="213" t="s">
        <v>464</v>
      </c>
    </row>
    <row r="2" spans="1:53" x14ac:dyDescent="0.15">
      <c r="A2" s="206" t="s">
        <v>59</v>
      </c>
      <c r="B2" s="235" t="s">
        <v>465</v>
      </c>
      <c r="C2" s="152">
        <v>2018</v>
      </c>
      <c r="D2" s="153" t="s">
        <v>574</v>
      </c>
      <c r="E2" s="206" t="s">
        <v>466</v>
      </c>
      <c r="F2" s="206" t="s">
        <v>297</v>
      </c>
      <c r="G2" s="206" t="s">
        <v>36</v>
      </c>
      <c r="H2" s="206" t="s">
        <v>155</v>
      </c>
      <c r="I2" s="206" t="s">
        <v>153</v>
      </c>
      <c r="J2" s="206" t="s">
        <v>38</v>
      </c>
      <c r="K2" s="206" t="s">
        <v>154</v>
      </c>
      <c r="L2" s="206">
        <v>1</v>
      </c>
      <c r="N2" s="206">
        <v>1</v>
      </c>
      <c r="O2" s="206">
        <v>0.75</v>
      </c>
      <c r="P2" s="206">
        <v>0.79</v>
      </c>
      <c r="Q2" s="243">
        <f>IF(OR(O2="",P2=""),"",AVERAGE(O2,P2))</f>
        <v>0.77</v>
      </c>
      <c r="R2" s="206">
        <v>12.7</v>
      </c>
      <c r="S2" s="206">
        <v>133</v>
      </c>
      <c r="T2" s="215">
        <f t="shared" ref="T2:T58" si="0">IF(H2="","",IF(OR(H2="GREEN",H2="GK"),IF(S2&gt;=$AX$2,VLOOKUP(S2,$AX$2:$AY$12,2,1),""),IF(S2&gt;=$AZ$2,VLOOKUP(S2,$AZ$2:$BA$12,2,1),"")))</f>
        <v>30</v>
      </c>
      <c r="U2" s="206">
        <v>128</v>
      </c>
      <c r="V2" s="215">
        <f t="shared" ref="V2:V58" si="1">IF(J2="","",IF(OR(J2="GREEN",J2="GK"),IF(U2&gt;=$AX$2,VLOOKUP(U2,$AX$2:$AY$12,2,1),""),IF(U2&gt;=$AZ$2,VLOOKUP(U2,$AZ$2:$BA$12,2,1),"")))</f>
        <v>30</v>
      </c>
      <c r="W2" s="206">
        <v>1</v>
      </c>
      <c r="X2" s="206" t="s">
        <v>39</v>
      </c>
      <c r="Y2" s="206" t="s">
        <v>84</v>
      </c>
      <c r="Z2" s="206" t="s">
        <v>90</v>
      </c>
      <c r="AA2" s="206" t="s">
        <v>40</v>
      </c>
      <c r="AB2" s="235" t="s">
        <v>467</v>
      </c>
      <c r="AE2" s="216" t="s">
        <v>35</v>
      </c>
      <c r="AG2" s="154" t="s">
        <v>304</v>
      </c>
      <c r="AH2" s="155" t="s">
        <v>296</v>
      </c>
      <c r="AJ2" s="246" t="s">
        <v>36</v>
      </c>
      <c r="AL2" s="217" t="s">
        <v>127</v>
      </c>
      <c r="AN2" s="156" t="s">
        <v>468</v>
      </c>
      <c r="AP2" s="217" t="s">
        <v>38</v>
      </c>
      <c r="AR2" s="217" t="s">
        <v>469</v>
      </c>
      <c r="AT2" s="246" t="s">
        <v>39</v>
      </c>
      <c r="AV2" s="222" t="s">
        <v>55</v>
      </c>
      <c r="AX2" s="157">
        <v>1</v>
      </c>
      <c r="AY2" s="158">
        <v>50</v>
      </c>
      <c r="AZ2" s="158">
        <v>1</v>
      </c>
      <c r="BA2" s="159">
        <v>50</v>
      </c>
    </row>
    <row r="3" spans="1:53" x14ac:dyDescent="0.15">
      <c r="A3" s="206" t="s">
        <v>59</v>
      </c>
      <c r="B3" s="235" t="s">
        <v>470</v>
      </c>
      <c r="C3" s="152">
        <v>2018</v>
      </c>
      <c r="D3" s="153" t="s">
        <v>574</v>
      </c>
      <c r="E3" s="206" t="s">
        <v>471</v>
      </c>
      <c r="F3" s="206" t="s">
        <v>297</v>
      </c>
      <c r="G3" s="206" t="s">
        <v>36</v>
      </c>
      <c r="H3" s="206" t="s">
        <v>155</v>
      </c>
      <c r="I3" s="206" t="s">
        <v>153</v>
      </c>
      <c r="J3" s="206" t="s">
        <v>38</v>
      </c>
      <c r="K3" s="206" t="s">
        <v>154</v>
      </c>
      <c r="L3" s="206">
        <v>2</v>
      </c>
      <c r="N3" s="206">
        <v>1</v>
      </c>
      <c r="O3" s="206">
        <v>0.67</v>
      </c>
      <c r="P3" s="206">
        <v>0.62</v>
      </c>
      <c r="Q3" s="243">
        <f t="shared" ref="Q3:Q58" si="2">IF(OR(O3="",P3=""),"",AVERAGE(O3,P3))</f>
        <v>0.64500000000000002</v>
      </c>
      <c r="R3" s="206">
        <v>13.8</v>
      </c>
      <c r="S3" s="206">
        <v>130</v>
      </c>
      <c r="T3" s="215">
        <f t="shared" si="0"/>
        <v>30</v>
      </c>
      <c r="U3" s="206">
        <v>128</v>
      </c>
      <c r="V3" s="215">
        <f t="shared" si="1"/>
        <v>30</v>
      </c>
      <c r="W3" s="206">
        <v>1</v>
      </c>
      <c r="X3" s="206" t="s">
        <v>39</v>
      </c>
      <c r="Y3" s="206" t="s">
        <v>84</v>
      </c>
      <c r="Z3" s="206" t="s">
        <v>90</v>
      </c>
      <c r="AA3" s="206" t="s">
        <v>40</v>
      </c>
      <c r="AB3" s="235" t="s">
        <v>472</v>
      </c>
      <c r="AE3" s="221" t="s">
        <v>41</v>
      </c>
      <c r="AG3" s="154" t="s">
        <v>305</v>
      </c>
      <c r="AH3" s="155" t="s">
        <v>297</v>
      </c>
      <c r="AJ3" s="222" t="s">
        <v>42</v>
      </c>
      <c r="AL3" s="222" t="s">
        <v>128</v>
      </c>
      <c r="AN3" s="222" t="s">
        <v>43</v>
      </c>
      <c r="AP3" s="222" t="s">
        <v>44</v>
      </c>
      <c r="AR3" s="236" t="s">
        <v>45</v>
      </c>
      <c r="AT3" s="222" t="s">
        <v>46</v>
      </c>
      <c r="AV3" s="222" t="s">
        <v>473</v>
      </c>
      <c r="AX3" s="223">
        <v>72</v>
      </c>
      <c r="AY3" s="224">
        <v>46</v>
      </c>
      <c r="AZ3" s="224">
        <v>71</v>
      </c>
      <c r="BA3" s="225">
        <v>42</v>
      </c>
    </row>
    <row r="4" spans="1:53" x14ac:dyDescent="0.15">
      <c r="A4" s="206" t="s">
        <v>59</v>
      </c>
      <c r="B4" s="235" t="s">
        <v>470</v>
      </c>
      <c r="C4" s="152">
        <v>2018</v>
      </c>
      <c r="D4" s="153" t="s">
        <v>574</v>
      </c>
      <c r="E4" s="206" t="s">
        <v>471</v>
      </c>
      <c r="F4" s="206" t="s">
        <v>297</v>
      </c>
      <c r="G4" s="206" t="s">
        <v>36</v>
      </c>
      <c r="H4" s="206" t="s">
        <v>474</v>
      </c>
      <c r="I4" s="206" t="s">
        <v>475</v>
      </c>
      <c r="J4" s="206" t="s">
        <v>38</v>
      </c>
      <c r="K4" s="206" t="s">
        <v>154</v>
      </c>
      <c r="L4" s="206">
        <v>3</v>
      </c>
      <c r="N4" s="206">
        <v>1</v>
      </c>
      <c r="O4" s="206">
        <v>0.72</v>
      </c>
      <c r="P4" s="206">
        <v>0.77</v>
      </c>
      <c r="Q4" s="243">
        <f t="shared" si="2"/>
        <v>0.745</v>
      </c>
      <c r="R4" s="206">
        <v>13.5</v>
      </c>
      <c r="S4" s="206">
        <v>133</v>
      </c>
      <c r="T4" s="215">
        <f t="shared" si="0"/>
        <v>30</v>
      </c>
      <c r="U4" s="206">
        <v>128</v>
      </c>
      <c r="V4" s="215">
        <f t="shared" si="1"/>
        <v>30</v>
      </c>
      <c r="W4" s="206">
        <v>1</v>
      </c>
      <c r="X4" s="206" t="s">
        <v>39</v>
      </c>
      <c r="Y4" s="206" t="s">
        <v>84</v>
      </c>
      <c r="Z4" s="206" t="s">
        <v>90</v>
      </c>
      <c r="AA4" s="206" t="s">
        <v>40</v>
      </c>
      <c r="AB4" s="235" t="s">
        <v>472</v>
      </c>
      <c r="AE4" s="221" t="s">
        <v>34</v>
      </c>
      <c r="AG4" s="154" t="s">
        <v>306</v>
      </c>
      <c r="AH4" s="155" t="s">
        <v>298</v>
      </c>
      <c r="AJ4" s="226" t="s">
        <v>48</v>
      </c>
      <c r="AL4" s="226" t="s">
        <v>129</v>
      </c>
      <c r="AN4" s="227" t="s">
        <v>49</v>
      </c>
      <c r="AP4" s="222" t="s">
        <v>476</v>
      </c>
      <c r="AR4" s="236" t="s">
        <v>257</v>
      </c>
      <c r="AT4" s="227"/>
      <c r="AV4" s="222" t="s">
        <v>477</v>
      </c>
      <c r="AX4" s="223">
        <v>75</v>
      </c>
      <c r="AY4" s="224">
        <v>42</v>
      </c>
      <c r="AZ4" s="224">
        <v>76</v>
      </c>
      <c r="BA4" s="225">
        <v>39</v>
      </c>
    </row>
    <row r="5" spans="1:53" x14ac:dyDescent="0.15">
      <c r="A5" s="206" t="s">
        <v>59</v>
      </c>
      <c r="B5" s="235" t="s">
        <v>470</v>
      </c>
      <c r="C5" s="152">
        <v>2018</v>
      </c>
      <c r="D5" s="153" t="s">
        <v>574</v>
      </c>
      <c r="E5" s="206" t="s">
        <v>304</v>
      </c>
      <c r="F5" s="206" t="s">
        <v>296</v>
      </c>
      <c r="G5" s="206" t="s">
        <v>36</v>
      </c>
      <c r="H5" s="206" t="s">
        <v>205</v>
      </c>
      <c r="I5" s="206" t="s">
        <v>153</v>
      </c>
      <c r="J5" s="206" t="s">
        <v>38</v>
      </c>
      <c r="K5" s="206" t="s">
        <v>161</v>
      </c>
      <c r="L5" s="206">
        <v>1</v>
      </c>
      <c r="N5" s="206">
        <v>4</v>
      </c>
      <c r="O5" s="206">
        <v>0.42</v>
      </c>
      <c r="P5" s="206">
        <v>0.38</v>
      </c>
      <c r="Q5" s="243">
        <f t="shared" si="2"/>
        <v>0.4</v>
      </c>
      <c r="R5" s="206">
        <v>13.9</v>
      </c>
      <c r="S5" s="206">
        <v>95</v>
      </c>
      <c r="T5" s="215">
        <f t="shared" si="0"/>
        <v>39</v>
      </c>
      <c r="U5" s="206">
        <v>357</v>
      </c>
      <c r="V5" s="215">
        <f t="shared" si="1"/>
        <v>16</v>
      </c>
      <c r="W5" s="206">
        <v>2</v>
      </c>
      <c r="X5" s="206" t="s">
        <v>39</v>
      </c>
      <c r="Y5" s="206" t="s">
        <v>84</v>
      </c>
      <c r="Z5" s="206" t="s">
        <v>69</v>
      </c>
      <c r="AA5" s="206" t="s">
        <v>40</v>
      </c>
      <c r="AB5" s="235" t="s">
        <v>478</v>
      </c>
      <c r="AE5" s="221" t="s">
        <v>51</v>
      </c>
      <c r="AG5" s="154" t="s">
        <v>258</v>
      </c>
      <c r="AH5" s="155" t="s">
        <v>299</v>
      </c>
      <c r="AJ5" s="227"/>
      <c r="AL5" s="228" t="s">
        <v>479</v>
      </c>
      <c r="AN5" s="72" t="s">
        <v>480</v>
      </c>
      <c r="AP5" s="222" t="s">
        <v>481</v>
      </c>
      <c r="AR5" s="236" t="s">
        <v>54</v>
      </c>
      <c r="AV5" s="222" t="s">
        <v>482</v>
      </c>
      <c r="AX5" s="223">
        <v>84</v>
      </c>
      <c r="AY5" s="224">
        <v>39</v>
      </c>
      <c r="AZ5" s="224">
        <v>84</v>
      </c>
      <c r="BA5" s="225">
        <v>36</v>
      </c>
    </row>
    <row r="6" spans="1:53" x14ac:dyDescent="0.15">
      <c r="A6" s="206" t="s">
        <v>59</v>
      </c>
      <c r="B6" s="235" t="s">
        <v>386</v>
      </c>
      <c r="C6" s="152">
        <v>2018</v>
      </c>
      <c r="D6" s="153" t="s">
        <v>574</v>
      </c>
      <c r="E6" s="206" t="s">
        <v>304</v>
      </c>
      <c r="F6" s="206" t="s">
        <v>296</v>
      </c>
      <c r="G6" s="206" t="s">
        <v>36</v>
      </c>
      <c r="H6" s="206" t="s">
        <v>205</v>
      </c>
      <c r="I6" s="206" t="s">
        <v>153</v>
      </c>
      <c r="J6" s="206" t="s">
        <v>38</v>
      </c>
      <c r="K6" s="206" t="s">
        <v>161</v>
      </c>
      <c r="L6" s="206">
        <v>2</v>
      </c>
      <c r="N6" s="206">
        <v>4</v>
      </c>
      <c r="O6" s="206">
        <v>0.48</v>
      </c>
      <c r="P6" s="206">
        <v>0.44</v>
      </c>
      <c r="Q6" s="243">
        <f t="shared" si="2"/>
        <v>0.45999999999999996</v>
      </c>
      <c r="R6" s="206">
        <v>15.6</v>
      </c>
      <c r="S6" s="206">
        <v>97</v>
      </c>
      <c r="T6" s="215">
        <f t="shared" si="0"/>
        <v>36</v>
      </c>
      <c r="U6" s="206">
        <v>357</v>
      </c>
      <c r="V6" s="215">
        <f t="shared" si="1"/>
        <v>16</v>
      </c>
      <c r="W6" s="206">
        <v>2</v>
      </c>
      <c r="X6" s="206" t="s">
        <v>39</v>
      </c>
      <c r="Y6" s="206" t="s">
        <v>84</v>
      </c>
      <c r="Z6" s="206" t="s">
        <v>69</v>
      </c>
      <c r="AA6" s="206" t="s">
        <v>40</v>
      </c>
      <c r="AB6" s="235" t="s">
        <v>478</v>
      </c>
      <c r="AE6" s="221" t="s">
        <v>56</v>
      </c>
      <c r="AG6" s="154" t="s">
        <v>307</v>
      </c>
      <c r="AH6" s="155" t="s">
        <v>300</v>
      </c>
      <c r="AL6" s="228" t="s">
        <v>483</v>
      </c>
      <c r="AN6" s="228" t="s">
        <v>484</v>
      </c>
      <c r="AP6" s="222" t="s">
        <v>53</v>
      </c>
      <c r="AR6" s="236" t="s">
        <v>161</v>
      </c>
      <c r="AV6" s="222" t="s">
        <v>60</v>
      </c>
      <c r="AX6" s="223">
        <v>97</v>
      </c>
      <c r="AY6" s="224">
        <v>36</v>
      </c>
      <c r="AZ6" s="224">
        <v>99</v>
      </c>
      <c r="BA6" s="225">
        <v>33</v>
      </c>
    </row>
    <row r="7" spans="1:53" x14ac:dyDescent="0.15">
      <c r="A7" s="206" t="s">
        <v>59</v>
      </c>
      <c r="B7" s="235" t="s">
        <v>386</v>
      </c>
      <c r="C7" s="152">
        <v>2018</v>
      </c>
      <c r="D7" s="153" t="s">
        <v>574</v>
      </c>
      <c r="E7" s="206" t="s">
        <v>304</v>
      </c>
      <c r="F7" s="206" t="s">
        <v>296</v>
      </c>
      <c r="G7" s="206" t="s">
        <v>36</v>
      </c>
      <c r="H7" s="206" t="s">
        <v>205</v>
      </c>
      <c r="I7" s="206" t="s">
        <v>153</v>
      </c>
      <c r="J7" s="206" t="s">
        <v>38</v>
      </c>
      <c r="K7" s="206" t="s">
        <v>161</v>
      </c>
      <c r="L7" s="206">
        <v>3</v>
      </c>
      <c r="N7" s="206">
        <v>4</v>
      </c>
      <c r="O7" s="206">
        <v>0.39</v>
      </c>
      <c r="P7" s="206">
        <v>0.41</v>
      </c>
      <c r="Q7" s="243">
        <f t="shared" si="2"/>
        <v>0.4</v>
      </c>
      <c r="R7" s="206">
        <v>15.2</v>
      </c>
      <c r="S7" s="206">
        <v>89</v>
      </c>
      <c r="T7" s="215">
        <f t="shared" si="0"/>
        <v>39</v>
      </c>
      <c r="U7" s="206">
        <v>357</v>
      </c>
      <c r="V7" s="215">
        <f t="shared" si="1"/>
        <v>16</v>
      </c>
      <c r="W7" s="206">
        <v>2</v>
      </c>
      <c r="X7" s="206" t="s">
        <v>39</v>
      </c>
      <c r="Y7" s="206" t="s">
        <v>84</v>
      </c>
      <c r="Z7" s="206" t="s">
        <v>69</v>
      </c>
      <c r="AA7" s="206" t="s">
        <v>40</v>
      </c>
      <c r="AB7" s="235" t="s">
        <v>478</v>
      </c>
      <c r="AE7" s="221" t="s">
        <v>61</v>
      </c>
      <c r="AG7" s="154" t="s">
        <v>308</v>
      </c>
      <c r="AH7" s="155" t="s">
        <v>301</v>
      </c>
      <c r="AL7" s="233" t="s">
        <v>485</v>
      </c>
      <c r="AP7" s="222" t="s">
        <v>58</v>
      </c>
      <c r="AR7" s="229" t="s">
        <v>260</v>
      </c>
      <c r="AV7" s="222" t="s">
        <v>64</v>
      </c>
      <c r="AX7" s="223">
        <v>109</v>
      </c>
      <c r="AY7" s="224">
        <v>33</v>
      </c>
      <c r="AZ7" s="224">
        <v>113</v>
      </c>
      <c r="BA7" s="225">
        <v>30</v>
      </c>
    </row>
    <row r="8" spans="1:53" x14ac:dyDescent="0.15">
      <c r="A8" s="206" t="s">
        <v>59</v>
      </c>
      <c r="B8" s="235" t="s">
        <v>486</v>
      </c>
      <c r="C8" s="152">
        <v>2018</v>
      </c>
      <c r="D8" s="153" t="s">
        <v>574</v>
      </c>
      <c r="E8" s="206" t="s">
        <v>304</v>
      </c>
      <c r="F8" s="206" t="s">
        <v>296</v>
      </c>
      <c r="G8" s="206" t="s">
        <v>36</v>
      </c>
      <c r="H8" s="206" t="s">
        <v>155</v>
      </c>
      <c r="I8" s="206" t="s">
        <v>153</v>
      </c>
      <c r="J8" s="206" t="s">
        <v>38</v>
      </c>
      <c r="K8" s="206" t="s">
        <v>154</v>
      </c>
      <c r="L8" s="206">
        <v>1</v>
      </c>
      <c r="N8" s="206">
        <v>4</v>
      </c>
      <c r="O8" s="206">
        <v>0.4</v>
      </c>
      <c r="P8" s="206">
        <v>0.48</v>
      </c>
      <c r="Q8" s="243">
        <f t="shared" si="2"/>
        <v>0.44</v>
      </c>
      <c r="R8" s="206">
        <v>15.2</v>
      </c>
      <c r="S8" s="206">
        <v>97</v>
      </c>
      <c r="T8" s="215">
        <f t="shared" si="0"/>
        <v>36</v>
      </c>
      <c r="U8" s="206">
        <v>297</v>
      </c>
      <c r="V8" s="215">
        <f t="shared" si="1"/>
        <v>16</v>
      </c>
      <c r="W8" s="206">
        <v>2</v>
      </c>
      <c r="X8" s="206" t="s">
        <v>39</v>
      </c>
      <c r="Y8" s="206" t="s">
        <v>84</v>
      </c>
      <c r="Z8" s="206" t="s">
        <v>69</v>
      </c>
      <c r="AA8" s="206" t="s">
        <v>40</v>
      </c>
      <c r="AB8" s="235" t="s">
        <v>472</v>
      </c>
      <c r="AE8" s="221" t="s">
        <v>51</v>
      </c>
      <c r="AG8" s="154" t="s">
        <v>258</v>
      </c>
      <c r="AH8" s="155" t="s">
        <v>299</v>
      </c>
      <c r="AJ8" s="227"/>
      <c r="AL8" s="228" t="s">
        <v>487</v>
      </c>
      <c r="AN8" s="72" t="s">
        <v>488</v>
      </c>
      <c r="AP8" s="222" t="s">
        <v>489</v>
      </c>
      <c r="AR8" s="236" t="s">
        <v>54</v>
      </c>
      <c r="AV8" s="222" t="s">
        <v>490</v>
      </c>
      <c r="AX8" s="223">
        <v>84</v>
      </c>
      <c r="AY8" s="224">
        <v>39</v>
      </c>
      <c r="AZ8" s="224">
        <v>84</v>
      </c>
      <c r="BA8" s="225">
        <v>36</v>
      </c>
    </row>
    <row r="9" spans="1:53" x14ac:dyDescent="0.15">
      <c r="A9" s="206" t="s">
        <v>59</v>
      </c>
      <c r="B9" s="235" t="s">
        <v>470</v>
      </c>
      <c r="C9" s="152">
        <v>2018</v>
      </c>
      <c r="D9" s="153" t="s">
        <v>574</v>
      </c>
      <c r="E9" s="206" t="s">
        <v>304</v>
      </c>
      <c r="F9" s="206" t="s">
        <v>296</v>
      </c>
      <c r="G9" s="206" t="s">
        <v>36</v>
      </c>
      <c r="H9" s="206" t="s">
        <v>155</v>
      </c>
      <c r="I9" s="206" t="s">
        <v>153</v>
      </c>
      <c r="J9" s="206" t="s">
        <v>38</v>
      </c>
      <c r="K9" s="206" t="s">
        <v>154</v>
      </c>
      <c r="L9" s="206">
        <v>2</v>
      </c>
      <c r="N9" s="206">
        <v>4</v>
      </c>
      <c r="O9" s="206">
        <v>0.44</v>
      </c>
      <c r="P9" s="206">
        <v>0.42</v>
      </c>
      <c r="Q9" s="243">
        <f t="shared" si="2"/>
        <v>0.43</v>
      </c>
      <c r="R9" s="206">
        <v>15.1</v>
      </c>
      <c r="S9" s="206">
        <v>97</v>
      </c>
      <c r="T9" s="215">
        <f t="shared" si="0"/>
        <v>36</v>
      </c>
      <c r="U9" s="206">
        <v>297</v>
      </c>
      <c r="V9" s="215">
        <f t="shared" si="1"/>
        <v>16</v>
      </c>
      <c r="W9" s="206">
        <v>2</v>
      </c>
      <c r="X9" s="206" t="s">
        <v>39</v>
      </c>
      <c r="Y9" s="206" t="s">
        <v>84</v>
      </c>
      <c r="Z9" s="206" t="s">
        <v>69</v>
      </c>
      <c r="AA9" s="206" t="s">
        <v>40</v>
      </c>
      <c r="AB9" s="235" t="s">
        <v>472</v>
      </c>
      <c r="AE9" s="221" t="s">
        <v>56</v>
      </c>
      <c r="AG9" s="154" t="s">
        <v>307</v>
      </c>
      <c r="AH9" s="155" t="s">
        <v>300</v>
      </c>
      <c r="AL9" s="228" t="s">
        <v>491</v>
      </c>
      <c r="AN9" s="228" t="s">
        <v>492</v>
      </c>
      <c r="AP9" s="222" t="s">
        <v>53</v>
      </c>
      <c r="AR9" s="236" t="s">
        <v>161</v>
      </c>
      <c r="AV9" s="222" t="s">
        <v>60</v>
      </c>
      <c r="AX9" s="223">
        <v>97</v>
      </c>
      <c r="AY9" s="224">
        <v>36</v>
      </c>
      <c r="AZ9" s="224">
        <v>99</v>
      </c>
      <c r="BA9" s="225">
        <v>33</v>
      </c>
    </row>
    <row r="10" spans="1:53" x14ac:dyDescent="0.15">
      <c r="A10" s="206" t="s">
        <v>59</v>
      </c>
      <c r="B10" s="235" t="s">
        <v>386</v>
      </c>
      <c r="C10" s="152">
        <v>2018</v>
      </c>
      <c r="D10" s="153" t="s">
        <v>574</v>
      </c>
      <c r="E10" s="206" t="s">
        <v>304</v>
      </c>
      <c r="F10" s="206" t="s">
        <v>296</v>
      </c>
      <c r="G10" s="206" t="s">
        <v>36</v>
      </c>
      <c r="H10" s="206" t="s">
        <v>474</v>
      </c>
      <c r="I10" s="206" t="s">
        <v>153</v>
      </c>
      <c r="J10" s="206" t="s">
        <v>38</v>
      </c>
      <c r="K10" s="206" t="s">
        <v>154</v>
      </c>
      <c r="L10" s="206">
        <v>3</v>
      </c>
      <c r="N10" s="206">
        <v>4</v>
      </c>
      <c r="O10" s="206">
        <v>0.48</v>
      </c>
      <c r="P10" s="206">
        <v>0.42</v>
      </c>
      <c r="Q10" s="243">
        <f t="shared" si="2"/>
        <v>0.44999999999999996</v>
      </c>
      <c r="R10" s="206">
        <v>14.9</v>
      </c>
      <c r="S10" s="206">
        <v>95</v>
      </c>
      <c r="T10" s="215">
        <f t="shared" si="0"/>
        <v>36</v>
      </c>
      <c r="U10" s="206">
        <v>297</v>
      </c>
      <c r="V10" s="215">
        <f t="shared" si="1"/>
        <v>16</v>
      </c>
      <c r="W10" s="206">
        <v>2</v>
      </c>
      <c r="X10" s="206" t="s">
        <v>39</v>
      </c>
      <c r="Y10" s="206" t="s">
        <v>84</v>
      </c>
      <c r="Z10" s="206" t="s">
        <v>69</v>
      </c>
      <c r="AA10" s="206" t="s">
        <v>40</v>
      </c>
      <c r="AB10" s="235" t="s">
        <v>472</v>
      </c>
      <c r="AE10" s="221" t="s">
        <v>61</v>
      </c>
      <c r="AG10" s="154" t="s">
        <v>308</v>
      </c>
      <c r="AH10" s="155" t="s">
        <v>301</v>
      </c>
      <c r="AL10" s="233" t="s">
        <v>485</v>
      </c>
      <c r="AP10" s="222" t="s">
        <v>58</v>
      </c>
      <c r="AR10" s="229" t="s">
        <v>260</v>
      </c>
      <c r="AV10" s="222" t="s">
        <v>64</v>
      </c>
      <c r="AX10" s="223">
        <v>109</v>
      </c>
      <c r="AY10" s="224">
        <v>33</v>
      </c>
      <c r="AZ10" s="224">
        <v>113</v>
      </c>
      <c r="BA10" s="225">
        <v>30</v>
      </c>
    </row>
    <row r="11" spans="1:53" x14ac:dyDescent="0.15">
      <c r="A11" s="206" t="s">
        <v>59</v>
      </c>
      <c r="B11" s="235" t="s">
        <v>486</v>
      </c>
      <c r="C11" s="152">
        <v>2018</v>
      </c>
      <c r="D11" s="153" t="s">
        <v>573</v>
      </c>
      <c r="E11" s="206" t="s">
        <v>258</v>
      </c>
      <c r="F11" s="206" t="s">
        <v>299</v>
      </c>
      <c r="G11" s="206" t="s">
        <v>36</v>
      </c>
      <c r="H11" s="206" t="s">
        <v>155</v>
      </c>
      <c r="I11" s="206" t="s">
        <v>153</v>
      </c>
      <c r="J11" s="206" t="s">
        <v>38</v>
      </c>
      <c r="K11" s="206" t="s">
        <v>154</v>
      </c>
      <c r="L11" s="206">
        <v>1</v>
      </c>
      <c r="N11" s="206">
        <v>1</v>
      </c>
      <c r="O11" s="206">
        <v>0.49</v>
      </c>
      <c r="P11" s="206">
        <v>0.36</v>
      </c>
      <c r="Q11" s="243">
        <f t="shared" si="2"/>
        <v>0.42499999999999999</v>
      </c>
      <c r="R11" s="206">
        <v>13.6</v>
      </c>
      <c r="S11" s="206">
        <v>134</v>
      </c>
      <c r="T11" s="215">
        <f t="shared" si="0"/>
        <v>30</v>
      </c>
      <c r="U11" s="206">
        <v>129</v>
      </c>
      <c r="V11" s="215">
        <f t="shared" si="1"/>
        <v>30</v>
      </c>
      <c r="W11" s="206">
        <v>1</v>
      </c>
      <c r="X11" s="206" t="s">
        <v>39</v>
      </c>
      <c r="Y11" s="206" t="s">
        <v>90</v>
      </c>
      <c r="Z11" s="206" t="s">
        <v>84</v>
      </c>
      <c r="AA11" s="206" t="s">
        <v>69</v>
      </c>
      <c r="AB11" s="235" t="s">
        <v>493</v>
      </c>
      <c r="AE11" s="221" t="s">
        <v>65</v>
      </c>
      <c r="AG11" s="160" t="s">
        <v>312</v>
      </c>
      <c r="AH11" s="155" t="s">
        <v>303</v>
      </c>
      <c r="AL11" s="88"/>
      <c r="AP11" s="222" t="s">
        <v>261</v>
      </c>
      <c r="AR11" s="229" t="s">
        <v>262</v>
      </c>
      <c r="AV11" s="222" t="s">
        <v>494</v>
      </c>
      <c r="AX11" s="223">
        <v>151</v>
      </c>
      <c r="AY11" s="224">
        <v>22</v>
      </c>
      <c r="AZ11" s="224">
        <v>152</v>
      </c>
      <c r="BA11" s="225">
        <v>18</v>
      </c>
    </row>
    <row r="12" spans="1:53" x14ac:dyDescent="0.15">
      <c r="A12" s="206" t="s">
        <v>59</v>
      </c>
      <c r="B12" s="235" t="s">
        <v>495</v>
      </c>
      <c r="C12" s="152">
        <v>2018</v>
      </c>
      <c r="D12" s="153" t="s">
        <v>573</v>
      </c>
      <c r="E12" s="206" t="s">
        <v>258</v>
      </c>
      <c r="F12" s="206" t="s">
        <v>299</v>
      </c>
      <c r="G12" s="206" t="s">
        <v>36</v>
      </c>
      <c r="H12" s="206" t="s">
        <v>155</v>
      </c>
      <c r="I12" s="206" t="s">
        <v>153</v>
      </c>
      <c r="J12" s="206" t="s">
        <v>38</v>
      </c>
      <c r="K12" s="206" t="s">
        <v>154</v>
      </c>
      <c r="L12" s="206">
        <v>2</v>
      </c>
      <c r="N12" s="206">
        <v>1</v>
      </c>
      <c r="O12" s="206">
        <v>0.44</v>
      </c>
      <c r="P12" s="206">
        <v>0.51</v>
      </c>
      <c r="Q12" s="243">
        <f t="shared" si="2"/>
        <v>0.47499999999999998</v>
      </c>
      <c r="R12" s="206">
        <v>14.5</v>
      </c>
      <c r="S12" s="206">
        <v>135</v>
      </c>
      <c r="T12" s="215">
        <f t="shared" si="0"/>
        <v>30</v>
      </c>
      <c r="U12" s="206">
        <v>129</v>
      </c>
      <c r="V12" s="215">
        <f t="shared" si="1"/>
        <v>30</v>
      </c>
      <c r="W12" s="206">
        <v>1</v>
      </c>
      <c r="X12" s="206" t="s">
        <v>39</v>
      </c>
      <c r="Y12" s="206" t="s">
        <v>90</v>
      </c>
      <c r="Z12" s="206" t="s">
        <v>84</v>
      </c>
      <c r="AA12" s="206" t="s">
        <v>69</v>
      </c>
      <c r="AB12" s="235" t="s">
        <v>496</v>
      </c>
      <c r="AE12" s="221" t="s">
        <v>70</v>
      </c>
      <c r="AG12" s="229"/>
      <c r="AH12" s="161"/>
      <c r="AL12" s="88"/>
      <c r="AP12" s="222" t="s">
        <v>67</v>
      </c>
      <c r="AR12" s="229" t="s">
        <v>124</v>
      </c>
      <c r="AV12" s="222" t="s">
        <v>72</v>
      </c>
      <c r="AX12" s="230">
        <v>180</v>
      </c>
      <c r="AY12" s="231">
        <v>18</v>
      </c>
      <c r="AZ12" s="231">
        <v>181</v>
      </c>
      <c r="BA12" s="232">
        <v>16</v>
      </c>
    </row>
    <row r="13" spans="1:53" x14ac:dyDescent="0.15">
      <c r="A13" s="206" t="s">
        <v>59</v>
      </c>
      <c r="B13" s="235" t="s">
        <v>390</v>
      </c>
      <c r="C13" s="152">
        <v>2018</v>
      </c>
      <c r="D13" s="153" t="s">
        <v>573</v>
      </c>
      <c r="E13" s="206" t="s">
        <v>258</v>
      </c>
      <c r="F13" s="206" t="s">
        <v>299</v>
      </c>
      <c r="G13" s="206" t="s">
        <v>36</v>
      </c>
      <c r="H13" s="206" t="s">
        <v>497</v>
      </c>
      <c r="I13" s="206" t="s">
        <v>153</v>
      </c>
      <c r="J13" s="206" t="s">
        <v>38</v>
      </c>
      <c r="K13" s="206" t="s">
        <v>154</v>
      </c>
      <c r="L13" s="206">
        <v>3</v>
      </c>
      <c r="N13" s="206">
        <v>1</v>
      </c>
      <c r="O13" s="206">
        <v>0.43</v>
      </c>
      <c r="P13" s="206">
        <v>0.46</v>
      </c>
      <c r="Q13" s="243">
        <f t="shared" si="2"/>
        <v>0.44500000000000001</v>
      </c>
      <c r="R13" s="206">
        <v>13.8</v>
      </c>
      <c r="S13" s="206">
        <v>135</v>
      </c>
      <c r="T13" s="215">
        <f t="shared" si="0"/>
        <v>30</v>
      </c>
      <c r="U13" s="206">
        <v>129</v>
      </c>
      <c r="V13" s="215">
        <f t="shared" si="1"/>
        <v>30</v>
      </c>
      <c r="W13" s="206">
        <v>1</v>
      </c>
      <c r="X13" s="206" t="s">
        <v>39</v>
      </c>
      <c r="Y13" s="206" t="s">
        <v>90</v>
      </c>
      <c r="Z13" s="206" t="s">
        <v>84</v>
      </c>
      <c r="AA13" s="206" t="s">
        <v>69</v>
      </c>
      <c r="AB13" s="235" t="s">
        <v>498</v>
      </c>
      <c r="AE13" s="221" t="s">
        <v>73</v>
      </c>
      <c r="AG13" s="222"/>
      <c r="AH13" s="222"/>
      <c r="AP13" s="222" t="s">
        <v>71</v>
      </c>
      <c r="AR13" s="229" t="s">
        <v>103</v>
      </c>
      <c r="AV13" s="222" t="s">
        <v>75</v>
      </c>
    </row>
    <row r="14" spans="1:53" x14ac:dyDescent="0.15">
      <c r="A14" s="206" t="s">
        <v>59</v>
      </c>
      <c r="B14" s="235" t="s">
        <v>392</v>
      </c>
      <c r="C14" s="152">
        <v>2018</v>
      </c>
      <c r="D14" s="153" t="s">
        <v>573</v>
      </c>
      <c r="E14" s="206" t="s">
        <v>258</v>
      </c>
      <c r="F14" s="206" t="s">
        <v>299</v>
      </c>
      <c r="G14" s="206" t="s">
        <v>36</v>
      </c>
      <c r="H14" s="206" t="s">
        <v>127</v>
      </c>
      <c r="I14" s="206" t="s">
        <v>153</v>
      </c>
      <c r="J14" s="206" t="s">
        <v>38</v>
      </c>
      <c r="K14" s="206" t="s">
        <v>63</v>
      </c>
      <c r="L14" s="206">
        <v>1</v>
      </c>
      <c r="N14" s="206">
        <v>5</v>
      </c>
      <c r="O14" s="206">
        <v>0.35</v>
      </c>
      <c r="P14" s="206">
        <v>0.41</v>
      </c>
      <c r="Q14" s="243">
        <f t="shared" si="2"/>
        <v>0.38</v>
      </c>
      <c r="R14" s="206">
        <v>15.9</v>
      </c>
      <c r="S14" s="206">
        <v>72</v>
      </c>
      <c r="T14" s="215">
        <f t="shared" si="0"/>
        <v>42</v>
      </c>
      <c r="U14" s="206">
        <v>350</v>
      </c>
      <c r="V14" s="215">
        <f t="shared" si="1"/>
        <v>16</v>
      </c>
      <c r="W14" s="206">
        <v>3</v>
      </c>
      <c r="X14" s="206" t="s">
        <v>39</v>
      </c>
      <c r="Y14" s="206" t="s">
        <v>90</v>
      </c>
      <c r="Z14" s="206" t="s">
        <v>84</v>
      </c>
      <c r="AA14" s="206" t="s">
        <v>69</v>
      </c>
      <c r="AB14" s="235" t="s">
        <v>499</v>
      </c>
      <c r="AE14" s="221" t="s">
        <v>76</v>
      </c>
      <c r="AG14" s="222"/>
      <c r="AH14" s="222"/>
      <c r="AP14" s="222" t="s">
        <v>263</v>
      </c>
      <c r="AR14" s="229" t="s">
        <v>125</v>
      </c>
      <c r="AV14" s="222" t="s">
        <v>78</v>
      </c>
    </row>
    <row r="15" spans="1:53" x14ac:dyDescent="0.15">
      <c r="A15" s="206" t="s">
        <v>59</v>
      </c>
      <c r="B15" s="235" t="s">
        <v>392</v>
      </c>
      <c r="C15" s="152">
        <v>2018</v>
      </c>
      <c r="D15" s="153" t="s">
        <v>573</v>
      </c>
      <c r="E15" s="206" t="s">
        <v>258</v>
      </c>
      <c r="F15" s="206" t="s">
        <v>299</v>
      </c>
      <c r="G15" s="206" t="s">
        <v>36</v>
      </c>
      <c r="H15" s="206" t="s">
        <v>127</v>
      </c>
      <c r="I15" s="206" t="s">
        <v>153</v>
      </c>
      <c r="J15" s="206" t="s">
        <v>38</v>
      </c>
      <c r="K15" s="206" t="s">
        <v>63</v>
      </c>
      <c r="L15" s="206">
        <v>2</v>
      </c>
      <c r="N15" s="206">
        <v>5</v>
      </c>
      <c r="O15" s="206">
        <v>0.42</v>
      </c>
      <c r="P15" s="206">
        <v>0.45</v>
      </c>
      <c r="Q15" s="243">
        <f t="shared" si="2"/>
        <v>0.435</v>
      </c>
      <c r="R15" s="206">
        <v>17.5</v>
      </c>
      <c r="S15" s="206">
        <v>73</v>
      </c>
      <c r="T15" s="215">
        <f t="shared" si="0"/>
        <v>42</v>
      </c>
      <c r="U15" s="206">
        <v>350</v>
      </c>
      <c r="V15" s="215">
        <f t="shared" si="1"/>
        <v>16</v>
      </c>
      <c r="W15" s="206">
        <v>3</v>
      </c>
      <c r="X15" s="206" t="s">
        <v>39</v>
      </c>
      <c r="Y15" s="206" t="s">
        <v>90</v>
      </c>
      <c r="Z15" s="206" t="s">
        <v>84</v>
      </c>
      <c r="AA15" s="206" t="s">
        <v>69</v>
      </c>
      <c r="AB15" s="235" t="s">
        <v>499</v>
      </c>
      <c r="AE15" s="221" t="s">
        <v>79</v>
      </c>
      <c r="AG15" s="222"/>
      <c r="AH15" s="222"/>
      <c r="AP15" s="222" t="s">
        <v>264</v>
      </c>
      <c r="AR15" s="229" t="s">
        <v>94</v>
      </c>
      <c r="AV15" s="222" t="s">
        <v>107</v>
      </c>
    </row>
    <row r="16" spans="1:53" x14ac:dyDescent="0.15">
      <c r="A16" s="206" t="s">
        <v>59</v>
      </c>
      <c r="B16" s="235" t="s">
        <v>394</v>
      </c>
      <c r="C16" s="152">
        <v>2018</v>
      </c>
      <c r="D16" s="153" t="s">
        <v>573</v>
      </c>
      <c r="E16" s="206" t="s">
        <v>258</v>
      </c>
      <c r="F16" s="206" t="s">
        <v>299</v>
      </c>
      <c r="G16" s="206" t="s">
        <v>36</v>
      </c>
      <c r="H16" s="206" t="s">
        <v>127</v>
      </c>
      <c r="I16" s="206" t="s">
        <v>153</v>
      </c>
      <c r="J16" s="206" t="s">
        <v>38</v>
      </c>
      <c r="K16" s="206" t="s">
        <v>63</v>
      </c>
      <c r="L16" s="206">
        <v>3</v>
      </c>
      <c r="N16" s="206">
        <v>5</v>
      </c>
      <c r="O16" s="206">
        <v>0.48</v>
      </c>
      <c r="P16" s="206">
        <v>0.39</v>
      </c>
      <c r="Q16" s="243">
        <f t="shared" si="2"/>
        <v>0.435</v>
      </c>
      <c r="R16" s="206">
        <v>15.7</v>
      </c>
      <c r="S16" s="206">
        <v>76</v>
      </c>
      <c r="T16" s="215">
        <f t="shared" si="0"/>
        <v>39</v>
      </c>
      <c r="U16" s="206">
        <v>350</v>
      </c>
      <c r="V16" s="215">
        <f t="shared" si="1"/>
        <v>16</v>
      </c>
      <c r="W16" s="206">
        <v>3</v>
      </c>
      <c r="X16" s="206" t="s">
        <v>39</v>
      </c>
      <c r="Y16" s="206" t="s">
        <v>90</v>
      </c>
      <c r="Z16" s="206" t="s">
        <v>84</v>
      </c>
      <c r="AA16" s="206" t="s">
        <v>69</v>
      </c>
      <c r="AB16" s="235" t="s">
        <v>500</v>
      </c>
      <c r="AE16" s="221" t="s">
        <v>82</v>
      </c>
      <c r="AG16" s="227"/>
      <c r="AH16" s="227"/>
      <c r="AP16" s="222" t="s">
        <v>80</v>
      </c>
      <c r="AR16" s="236" t="s">
        <v>63</v>
      </c>
      <c r="AV16" s="222" t="s">
        <v>84</v>
      </c>
    </row>
    <row r="17" spans="1:48" x14ac:dyDescent="0.15">
      <c r="A17" s="206" t="s">
        <v>59</v>
      </c>
      <c r="B17" s="235" t="s">
        <v>394</v>
      </c>
      <c r="C17" s="152">
        <v>2018</v>
      </c>
      <c r="D17" s="153" t="s">
        <v>573</v>
      </c>
      <c r="E17" s="206" t="s">
        <v>311</v>
      </c>
      <c r="F17" s="206" t="s">
        <v>299</v>
      </c>
      <c r="G17" s="206" t="s">
        <v>36</v>
      </c>
      <c r="H17" s="206" t="s">
        <v>128</v>
      </c>
      <c r="I17" s="206" t="s">
        <v>153</v>
      </c>
      <c r="J17" s="206" t="s">
        <v>80</v>
      </c>
      <c r="K17" s="206" t="s">
        <v>260</v>
      </c>
      <c r="L17" s="206">
        <v>1</v>
      </c>
      <c r="N17" s="206">
        <v>4</v>
      </c>
      <c r="O17" s="206">
        <v>0.57999999999999996</v>
      </c>
      <c r="P17" s="206">
        <v>0.64</v>
      </c>
      <c r="Q17" s="243">
        <f t="shared" si="2"/>
        <v>0.61</v>
      </c>
      <c r="R17" s="206">
        <v>14.4</v>
      </c>
      <c r="S17" s="206">
        <v>104</v>
      </c>
      <c r="T17" s="215">
        <f t="shared" si="0"/>
        <v>33</v>
      </c>
      <c r="U17" s="206">
        <v>429</v>
      </c>
      <c r="V17" s="215">
        <f t="shared" si="1"/>
        <v>16</v>
      </c>
      <c r="W17" s="206">
        <v>1</v>
      </c>
      <c r="X17" s="206" t="s">
        <v>46</v>
      </c>
      <c r="Y17" s="206" t="s">
        <v>84</v>
      </c>
      <c r="Z17" s="206" t="s">
        <v>40</v>
      </c>
      <c r="AA17" s="206" t="s">
        <v>90</v>
      </c>
      <c r="AB17" s="235" t="s">
        <v>500</v>
      </c>
      <c r="AE17" s="221" t="s">
        <v>85</v>
      </c>
      <c r="AP17" s="237" t="s">
        <v>110</v>
      </c>
      <c r="AR17" s="236" t="s">
        <v>96</v>
      </c>
      <c r="AV17" s="222" t="s">
        <v>86</v>
      </c>
    </row>
    <row r="18" spans="1:48" x14ac:dyDescent="0.15">
      <c r="A18" s="206" t="s">
        <v>59</v>
      </c>
      <c r="B18" s="235" t="s">
        <v>394</v>
      </c>
      <c r="C18" s="152">
        <v>2018</v>
      </c>
      <c r="D18" s="153" t="s">
        <v>573</v>
      </c>
      <c r="E18" s="206" t="s">
        <v>311</v>
      </c>
      <c r="F18" s="206" t="s">
        <v>299</v>
      </c>
      <c r="G18" s="206" t="s">
        <v>36</v>
      </c>
      <c r="H18" s="206" t="s">
        <v>128</v>
      </c>
      <c r="I18" s="206" t="s">
        <v>153</v>
      </c>
      <c r="J18" s="206" t="s">
        <v>80</v>
      </c>
      <c r="K18" s="206" t="s">
        <v>260</v>
      </c>
      <c r="L18" s="206">
        <v>2</v>
      </c>
      <c r="N18" s="206">
        <v>4</v>
      </c>
      <c r="O18" s="206">
        <v>0.63</v>
      </c>
      <c r="P18" s="206">
        <v>0.53</v>
      </c>
      <c r="Q18" s="243">
        <f t="shared" si="2"/>
        <v>0.58000000000000007</v>
      </c>
      <c r="R18" s="206">
        <v>12.1</v>
      </c>
      <c r="S18" s="206">
        <v>112</v>
      </c>
      <c r="T18" s="215">
        <f t="shared" si="0"/>
        <v>33</v>
      </c>
      <c r="U18" s="206">
        <v>429</v>
      </c>
      <c r="V18" s="215">
        <f t="shared" si="1"/>
        <v>16</v>
      </c>
      <c r="W18" s="206">
        <v>1</v>
      </c>
      <c r="X18" s="206" t="s">
        <v>46</v>
      </c>
      <c r="Y18" s="206" t="s">
        <v>84</v>
      </c>
      <c r="Z18" s="206" t="s">
        <v>40</v>
      </c>
      <c r="AA18" s="206" t="s">
        <v>90</v>
      </c>
      <c r="AB18" s="235" t="s">
        <v>500</v>
      </c>
      <c r="AE18" s="221" t="s">
        <v>87</v>
      </c>
      <c r="AP18" s="237" t="s">
        <v>266</v>
      </c>
      <c r="AR18" s="236" t="s">
        <v>101</v>
      </c>
      <c r="AV18" s="222" t="s">
        <v>88</v>
      </c>
    </row>
    <row r="19" spans="1:48" x14ac:dyDescent="0.15">
      <c r="A19" s="206" t="s">
        <v>59</v>
      </c>
      <c r="B19" s="235" t="s">
        <v>386</v>
      </c>
      <c r="C19" s="152">
        <v>2018</v>
      </c>
      <c r="D19" s="153" t="s">
        <v>573</v>
      </c>
      <c r="E19" s="206" t="s">
        <v>311</v>
      </c>
      <c r="F19" s="206" t="s">
        <v>299</v>
      </c>
      <c r="G19" s="206" t="s">
        <v>36</v>
      </c>
      <c r="H19" s="206" t="s">
        <v>128</v>
      </c>
      <c r="I19" s="206" t="s">
        <v>153</v>
      </c>
      <c r="J19" s="206" t="s">
        <v>80</v>
      </c>
      <c r="K19" s="206" t="s">
        <v>260</v>
      </c>
      <c r="L19" s="206">
        <v>3</v>
      </c>
      <c r="N19" s="206">
        <v>4</v>
      </c>
      <c r="O19" s="206">
        <v>0.62</v>
      </c>
      <c r="P19" s="206">
        <v>0.61</v>
      </c>
      <c r="Q19" s="243">
        <f t="shared" si="2"/>
        <v>0.61499999999999999</v>
      </c>
      <c r="R19" s="206">
        <v>13.2</v>
      </c>
      <c r="S19" s="206">
        <v>112</v>
      </c>
      <c r="T19" s="215">
        <f t="shared" si="0"/>
        <v>33</v>
      </c>
      <c r="U19" s="206">
        <v>429</v>
      </c>
      <c r="V19" s="215">
        <f t="shared" si="1"/>
        <v>16</v>
      </c>
      <c r="W19" s="206">
        <v>1</v>
      </c>
      <c r="X19" s="206" t="s">
        <v>46</v>
      </c>
      <c r="Y19" s="206" t="s">
        <v>84</v>
      </c>
      <c r="Z19" s="206" t="s">
        <v>40</v>
      </c>
      <c r="AA19" s="206" t="s">
        <v>90</v>
      </c>
      <c r="AB19" s="235" t="s">
        <v>478</v>
      </c>
      <c r="AD19" s="235"/>
      <c r="AE19" s="234" t="s">
        <v>89</v>
      </c>
      <c r="AP19" s="237" t="s">
        <v>112</v>
      </c>
      <c r="AR19" s="229" t="s">
        <v>126</v>
      </c>
      <c r="AV19" s="222" t="s">
        <v>267</v>
      </c>
    </row>
    <row r="20" spans="1:48" x14ac:dyDescent="0.15">
      <c r="A20" s="206" t="s">
        <v>59</v>
      </c>
      <c r="B20" s="235" t="s">
        <v>501</v>
      </c>
      <c r="C20" s="152">
        <v>2018</v>
      </c>
      <c r="D20" s="153" t="s">
        <v>573</v>
      </c>
      <c r="E20" s="206" t="s">
        <v>310</v>
      </c>
      <c r="F20" s="206" t="s">
        <v>302</v>
      </c>
      <c r="G20" s="206" t="s">
        <v>36</v>
      </c>
      <c r="H20" s="206" t="s">
        <v>155</v>
      </c>
      <c r="I20" s="206" t="s">
        <v>153</v>
      </c>
      <c r="J20" s="206" t="s">
        <v>38</v>
      </c>
      <c r="K20" s="206" t="s">
        <v>154</v>
      </c>
      <c r="L20" s="206">
        <v>1</v>
      </c>
      <c r="N20" s="206">
        <v>1</v>
      </c>
      <c r="O20" s="206">
        <v>0.39</v>
      </c>
      <c r="P20" s="206">
        <v>0.3</v>
      </c>
      <c r="Q20" s="243">
        <f t="shared" si="2"/>
        <v>0.34499999999999997</v>
      </c>
      <c r="R20" s="206">
        <v>14.5</v>
      </c>
      <c r="S20" s="206">
        <v>150</v>
      </c>
      <c r="T20" s="215">
        <f t="shared" si="0"/>
        <v>30</v>
      </c>
      <c r="U20" s="206">
        <v>138</v>
      </c>
      <c r="V20" s="215">
        <f t="shared" si="1"/>
        <v>30</v>
      </c>
      <c r="W20" s="206">
        <v>2</v>
      </c>
      <c r="X20" s="206" t="s">
        <v>39</v>
      </c>
      <c r="Y20" s="206" t="s">
        <v>84</v>
      </c>
      <c r="Z20" s="206" t="s">
        <v>40</v>
      </c>
      <c r="AA20" s="206" t="s">
        <v>90</v>
      </c>
      <c r="AB20" s="235" t="s">
        <v>502</v>
      </c>
      <c r="AD20" s="235"/>
      <c r="AE20" s="234"/>
      <c r="AP20" s="237" t="s">
        <v>113</v>
      </c>
      <c r="AR20" s="236" t="s">
        <v>105</v>
      </c>
      <c r="AV20" s="226" t="s">
        <v>503</v>
      </c>
    </row>
    <row r="21" spans="1:48" x14ac:dyDescent="0.15">
      <c r="A21" s="206" t="s">
        <v>59</v>
      </c>
      <c r="B21" s="235" t="s">
        <v>501</v>
      </c>
      <c r="C21" s="152">
        <v>2018</v>
      </c>
      <c r="D21" s="153" t="s">
        <v>573</v>
      </c>
      <c r="E21" s="206" t="s">
        <v>310</v>
      </c>
      <c r="F21" s="206" t="s">
        <v>302</v>
      </c>
      <c r="G21" s="206" t="s">
        <v>36</v>
      </c>
      <c r="H21" s="206" t="s">
        <v>155</v>
      </c>
      <c r="I21" s="206" t="s">
        <v>153</v>
      </c>
      <c r="J21" s="206" t="s">
        <v>38</v>
      </c>
      <c r="K21" s="206" t="s">
        <v>154</v>
      </c>
      <c r="L21" s="206">
        <v>2</v>
      </c>
      <c r="N21" s="206">
        <v>1</v>
      </c>
      <c r="O21" s="206">
        <v>0.45</v>
      </c>
      <c r="P21" s="206">
        <v>0.4</v>
      </c>
      <c r="Q21" s="243">
        <f t="shared" si="2"/>
        <v>0.42500000000000004</v>
      </c>
      <c r="R21" s="206">
        <v>14.2</v>
      </c>
      <c r="S21" s="206">
        <v>150</v>
      </c>
      <c r="T21" s="215">
        <f t="shared" si="0"/>
        <v>30</v>
      </c>
      <c r="U21" s="206">
        <v>138</v>
      </c>
      <c r="V21" s="215">
        <f t="shared" si="1"/>
        <v>30</v>
      </c>
      <c r="W21" s="206">
        <v>2</v>
      </c>
      <c r="X21" s="206" t="s">
        <v>39</v>
      </c>
      <c r="Y21" s="206" t="s">
        <v>84</v>
      </c>
      <c r="Z21" s="206" t="s">
        <v>40</v>
      </c>
      <c r="AA21" s="206" t="s">
        <v>90</v>
      </c>
      <c r="AB21" s="235" t="s">
        <v>502</v>
      </c>
      <c r="AD21" s="235"/>
      <c r="AE21" s="227"/>
      <c r="AP21" s="237" t="s">
        <v>268</v>
      </c>
      <c r="AR21" s="236" t="s">
        <v>68</v>
      </c>
      <c r="AV21" s="226" t="s">
        <v>504</v>
      </c>
    </row>
    <row r="22" spans="1:48" x14ac:dyDescent="0.15">
      <c r="A22" s="206" t="s">
        <v>59</v>
      </c>
      <c r="B22" s="235" t="s">
        <v>501</v>
      </c>
      <c r="C22" s="152">
        <v>2018</v>
      </c>
      <c r="D22" s="153" t="s">
        <v>573</v>
      </c>
      <c r="E22" s="206" t="s">
        <v>310</v>
      </c>
      <c r="F22" s="206" t="s">
        <v>302</v>
      </c>
      <c r="G22" s="206" t="s">
        <v>36</v>
      </c>
      <c r="H22" s="206" t="s">
        <v>505</v>
      </c>
      <c r="I22" s="206" t="s">
        <v>153</v>
      </c>
      <c r="J22" s="206" t="s">
        <v>38</v>
      </c>
      <c r="K22" s="206" t="s">
        <v>154</v>
      </c>
      <c r="L22" s="206">
        <v>3</v>
      </c>
      <c r="N22" s="206">
        <v>1</v>
      </c>
      <c r="O22" s="206">
        <v>0.32</v>
      </c>
      <c r="P22" s="206">
        <v>0.35</v>
      </c>
      <c r="Q22" s="243">
        <f t="shared" si="2"/>
        <v>0.33499999999999996</v>
      </c>
      <c r="R22" s="206">
        <v>14.1</v>
      </c>
      <c r="S22" s="206">
        <v>142</v>
      </c>
      <c r="T22" s="215">
        <f t="shared" si="0"/>
        <v>30</v>
      </c>
      <c r="U22" s="206">
        <v>138</v>
      </c>
      <c r="V22" s="215">
        <f t="shared" si="1"/>
        <v>30</v>
      </c>
      <c r="W22" s="206">
        <v>2</v>
      </c>
      <c r="X22" s="206" t="s">
        <v>39</v>
      </c>
      <c r="Y22" s="206" t="s">
        <v>84</v>
      </c>
      <c r="Z22" s="206" t="s">
        <v>40</v>
      </c>
      <c r="AA22" s="206" t="s">
        <v>90</v>
      </c>
      <c r="AB22" s="235" t="s">
        <v>502</v>
      </c>
      <c r="AD22" s="235"/>
      <c r="AP22" s="237" t="s">
        <v>265</v>
      </c>
      <c r="AR22" s="236" t="s">
        <v>83</v>
      </c>
      <c r="AV22" s="226" t="s">
        <v>269</v>
      </c>
    </row>
    <row r="23" spans="1:48" x14ac:dyDescent="0.15">
      <c r="A23" s="206" t="s">
        <v>59</v>
      </c>
      <c r="B23" s="235" t="s">
        <v>501</v>
      </c>
      <c r="C23" s="152">
        <v>2018</v>
      </c>
      <c r="D23" s="153" t="s">
        <v>573</v>
      </c>
      <c r="E23" s="206" t="s">
        <v>309</v>
      </c>
      <c r="F23" s="206" t="s">
        <v>302</v>
      </c>
      <c r="G23" s="206" t="s">
        <v>36</v>
      </c>
      <c r="H23" s="206" t="s">
        <v>205</v>
      </c>
      <c r="I23" s="206" t="s">
        <v>153</v>
      </c>
      <c r="J23" s="206" t="s">
        <v>38</v>
      </c>
      <c r="K23" s="206" t="s">
        <v>161</v>
      </c>
      <c r="L23" s="206">
        <v>1</v>
      </c>
      <c r="N23" s="206">
        <v>4</v>
      </c>
      <c r="O23" s="206">
        <v>0.32</v>
      </c>
      <c r="P23" s="206">
        <v>0.31</v>
      </c>
      <c r="Q23" s="243">
        <f t="shared" si="2"/>
        <v>0.315</v>
      </c>
      <c r="R23" s="206">
        <v>15.7</v>
      </c>
      <c r="S23" s="206">
        <v>75</v>
      </c>
      <c r="T23" s="215">
        <f t="shared" si="0"/>
        <v>42</v>
      </c>
      <c r="U23" s="206">
        <v>537</v>
      </c>
      <c r="V23" s="215">
        <f t="shared" si="1"/>
        <v>16</v>
      </c>
      <c r="W23" s="206">
        <v>1</v>
      </c>
      <c r="X23" s="206" t="s">
        <v>46</v>
      </c>
      <c r="Y23" s="206" t="s">
        <v>40</v>
      </c>
      <c r="Z23" s="206" t="s">
        <v>69</v>
      </c>
      <c r="AA23" s="206" t="s">
        <v>84</v>
      </c>
      <c r="AB23" s="235" t="s">
        <v>478</v>
      </c>
      <c r="AP23" s="237" t="s">
        <v>398</v>
      </c>
      <c r="AR23" s="236" t="s">
        <v>61</v>
      </c>
      <c r="AV23" s="226" t="s">
        <v>506</v>
      </c>
    </row>
    <row r="24" spans="1:48" x14ac:dyDescent="0.15">
      <c r="A24" s="206" t="s">
        <v>59</v>
      </c>
      <c r="B24" s="235" t="s">
        <v>386</v>
      </c>
      <c r="C24" s="152">
        <v>2018</v>
      </c>
      <c r="D24" s="153" t="s">
        <v>573</v>
      </c>
      <c r="E24" s="206" t="s">
        <v>309</v>
      </c>
      <c r="F24" s="206" t="s">
        <v>302</v>
      </c>
      <c r="G24" s="206" t="s">
        <v>36</v>
      </c>
      <c r="H24" s="206" t="s">
        <v>205</v>
      </c>
      <c r="I24" s="206" t="s">
        <v>153</v>
      </c>
      <c r="J24" s="206" t="s">
        <v>38</v>
      </c>
      <c r="K24" s="206" t="s">
        <v>161</v>
      </c>
      <c r="L24" s="206">
        <v>2</v>
      </c>
      <c r="N24" s="206">
        <v>4</v>
      </c>
      <c r="O24" s="206">
        <v>0.53</v>
      </c>
      <c r="P24" s="206">
        <v>0.38</v>
      </c>
      <c r="Q24" s="243">
        <f t="shared" si="2"/>
        <v>0.45500000000000002</v>
      </c>
      <c r="R24" s="206">
        <v>15.3</v>
      </c>
      <c r="S24" s="206">
        <v>83</v>
      </c>
      <c r="T24" s="215">
        <f t="shared" si="0"/>
        <v>42</v>
      </c>
      <c r="U24" s="206">
        <v>537</v>
      </c>
      <c r="V24" s="215">
        <f t="shared" si="1"/>
        <v>16</v>
      </c>
      <c r="W24" s="206">
        <v>1</v>
      </c>
      <c r="X24" s="206" t="s">
        <v>46</v>
      </c>
      <c r="Y24" s="206" t="s">
        <v>40</v>
      </c>
      <c r="Z24" s="206" t="s">
        <v>69</v>
      </c>
      <c r="AA24" s="206" t="s">
        <v>84</v>
      </c>
      <c r="AB24" s="235" t="s">
        <v>478</v>
      </c>
      <c r="AP24" s="237" t="s">
        <v>399</v>
      </c>
      <c r="AR24" s="236" t="s">
        <v>91</v>
      </c>
      <c r="AV24" s="226" t="s">
        <v>507</v>
      </c>
    </row>
    <row r="25" spans="1:48" x14ac:dyDescent="0.15">
      <c r="A25" s="206" t="s">
        <v>59</v>
      </c>
      <c r="B25" s="235" t="s">
        <v>386</v>
      </c>
      <c r="C25" s="152">
        <v>2018</v>
      </c>
      <c r="D25" s="153" t="s">
        <v>573</v>
      </c>
      <c r="E25" s="206" t="s">
        <v>309</v>
      </c>
      <c r="F25" s="206" t="s">
        <v>302</v>
      </c>
      <c r="G25" s="206" t="s">
        <v>36</v>
      </c>
      <c r="H25" s="206" t="s">
        <v>205</v>
      </c>
      <c r="I25" s="206" t="s">
        <v>153</v>
      </c>
      <c r="J25" s="206" t="s">
        <v>38</v>
      </c>
      <c r="K25" s="206" t="s">
        <v>161</v>
      </c>
      <c r="L25" s="206">
        <v>3</v>
      </c>
      <c r="N25" s="206">
        <v>4</v>
      </c>
      <c r="O25" s="206">
        <v>0.39</v>
      </c>
      <c r="P25" s="206">
        <v>0.33</v>
      </c>
      <c r="Q25" s="243">
        <f t="shared" si="2"/>
        <v>0.36</v>
      </c>
      <c r="R25" s="206">
        <v>15.4</v>
      </c>
      <c r="S25" s="206">
        <v>79</v>
      </c>
      <c r="T25" s="215">
        <f t="shared" si="0"/>
        <v>42</v>
      </c>
      <c r="U25" s="206">
        <v>537</v>
      </c>
      <c r="V25" s="215">
        <f t="shared" si="1"/>
        <v>16</v>
      </c>
      <c r="W25" s="206">
        <v>1</v>
      </c>
      <c r="X25" s="206" t="s">
        <v>46</v>
      </c>
      <c r="Y25" s="206" t="s">
        <v>40</v>
      </c>
      <c r="Z25" s="206" t="s">
        <v>69</v>
      </c>
      <c r="AA25" s="206" t="s">
        <v>84</v>
      </c>
      <c r="AB25" s="235" t="s">
        <v>478</v>
      </c>
      <c r="AP25" s="237" t="s">
        <v>398</v>
      </c>
      <c r="AR25" s="236" t="s">
        <v>61</v>
      </c>
      <c r="AV25" s="226" t="s">
        <v>506</v>
      </c>
    </row>
    <row r="26" spans="1:48" x14ac:dyDescent="0.15">
      <c r="A26" s="206" t="s">
        <v>59</v>
      </c>
      <c r="B26" s="235" t="s">
        <v>386</v>
      </c>
      <c r="C26" s="152">
        <v>2018</v>
      </c>
      <c r="D26" s="153" t="s">
        <v>573</v>
      </c>
      <c r="E26" s="206" t="s">
        <v>309</v>
      </c>
      <c r="F26" s="206" t="s">
        <v>302</v>
      </c>
      <c r="G26" s="206" t="s">
        <v>36</v>
      </c>
      <c r="H26" s="206" t="s">
        <v>155</v>
      </c>
      <c r="I26" s="206" t="s">
        <v>153</v>
      </c>
      <c r="J26" s="206" t="s">
        <v>38</v>
      </c>
      <c r="K26" s="206" t="s">
        <v>154</v>
      </c>
      <c r="L26" s="206">
        <v>1</v>
      </c>
      <c r="N26" s="206">
        <v>1</v>
      </c>
      <c r="O26" s="206">
        <v>0.9</v>
      </c>
      <c r="P26" s="206">
        <v>0.77</v>
      </c>
      <c r="Q26" s="243">
        <f t="shared" si="2"/>
        <v>0.83499999999999996</v>
      </c>
      <c r="R26" s="206">
        <v>14.3</v>
      </c>
      <c r="S26" s="206">
        <v>135</v>
      </c>
      <c r="T26" s="215">
        <f t="shared" si="0"/>
        <v>30</v>
      </c>
      <c r="U26" s="206">
        <v>105</v>
      </c>
      <c r="V26" s="215">
        <f t="shared" si="1"/>
        <v>33</v>
      </c>
      <c r="W26" s="206">
        <v>3</v>
      </c>
      <c r="X26" s="206" t="s">
        <v>46</v>
      </c>
      <c r="Y26" s="206" t="s">
        <v>40</v>
      </c>
      <c r="Z26" s="206" t="s">
        <v>69</v>
      </c>
      <c r="AA26" s="206" t="s">
        <v>84</v>
      </c>
      <c r="AB26" s="235" t="s">
        <v>478</v>
      </c>
      <c r="AP26" s="237" t="s">
        <v>399</v>
      </c>
      <c r="AR26" s="236" t="s">
        <v>91</v>
      </c>
      <c r="AV26" s="226" t="s">
        <v>507</v>
      </c>
    </row>
    <row r="27" spans="1:48" x14ac:dyDescent="0.15">
      <c r="A27" s="206" t="s">
        <v>59</v>
      </c>
      <c r="B27" s="235" t="s">
        <v>386</v>
      </c>
      <c r="C27" s="152">
        <v>2018</v>
      </c>
      <c r="D27" s="153" t="s">
        <v>573</v>
      </c>
      <c r="E27" s="206" t="s">
        <v>309</v>
      </c>
      <c r="F27" s="206" t="s">
        <v>302</v>
      </c>
      <c r="G27" s="206" t="s">
        <v>36</v>
      </c>
      <c r="H27" s="206" t="s">
        <v>155</v>
      </c>
      <c r="I27" s="206" t="s">
        <v>153</v>
      </c>
      <c r="J27" s="206" t="s">
        <v>38</v>
      </c>
      <c r="K27" s="206" t="s">
        <v>154</v>
      </c>
      <c r="L27" s="206">
        <v>2</v>
      </c>
      <c r="N27" s="206">
        <v>1</v>
      </c>
      <c r="O27" s="206">
        <v>0.65</v>
      </c>
      <c r="P27" s="206">
        <v>0.79</v>
      </c>
      <c r="Q27" s="243">
        <f t="shared" si="2"/>
        <v>0.72</v>
      </c>
      <c r="R27" s="206">
        <v>13.6</v>
      </c>
      <c r="S27" s="206">
        <v>129</v>
      </c>
      <c r="T27" s="215">
        <f t="shared" si="0"/>
        <v>30</v>
      </c>
      <c r="U27" s="206">
        <v>105</v>
      </c>
      <c r="V27" s="215">
        <f t="shared" si="1"/>
        <v>33</v>
      </c>
      <c r="W27" s="206">
        <v>3</v>
      </c>
      <c r="X27" s="206" t="s">
        <v>46</v>
      </c>
      <c r="Y27" s="206" t="s">
        <v>40</v>
      </c>
      <c r="Z27" s="206" t="s">
        <v>69</v>
      </c>
      <c r="AA27" s="206" t="s">
        <v>84</v>
      </c>
      <c r="AB27" s="235" t="s">
        <v>478</v>
      </c>
      <c r="AD27" s="235"/>
      <c r="AP27" s="237" t="s">
        <v>116</v>
      </c>
      <c r="AR27" s="42" t="s">
        <v>92</v>
      </c>
      <c r="AV27" s="226" t="s">
        <v>508</v>
      </c>
    </row>
    <row r="28" spans="1:48" x14ac:dyDescent="0.15">
      <c r="A28" s="206" t="s">
        <v>59</v>
      </c>
      <c r="B28" s="235" t="s">
        <v>386</v>
      </c>
      <c r="C28" s="152">
        <v>2018</v>
      </c>
      <c r="D28" s="153" t="s">
        <v>573</v>
      </c>
      <c r="E28" s="206" t="s">
        <v>309</v>
      </c>
      <c r="F28" s="206" t="s">
        <v>302</v>
      </c>
      <c r="G28" s="206" t="s">
        <v>36</v>
      </c>
      <c r="H28" s="206" t="s">
        <v>509</v>
      </c>
      <c r="I28" s="206" t="s">
        <v>153</v>
      </c>
      <c r="J28" s="206" t="s">
        <v>38</v>
      </c>
      <c r="K28" s="206" t="s">
        <v>154</v>
      </c>
      <c r="L28" s="206">
        <v>3</v>
      </c>
      <c r="N28" s="206">
        <v>1</v>
      </c>
      <c r="O28" s="206">
        <v>0.8</v>
      </c>
      <c r="P28" s="206">
        <v>0.77</v>
      </c>
      <c r="Q28" s="243">
        <f t="shared" si="2"/>
        <v>0.78500000000000003</v>
      </c>
      <c r="R28" s="206">
        <v>13.8</v>
      </c>
      <c r="S28" s="206">
        <v>136</v>
      </c>
      <c r="T28" s="215">
        <f t="shared" si="0"/>
        <v>30</v>
      </c>
      <c r="U28" s="206">
        <v>105</v>
      </c>
      <c r="V28" s="215">
        <f t="shared" si="1"/>
        <v>33</v>
      </c>
      <c r="W28" s="206">
        <v>3</v>
      </c>
      <c r="X28" s="206" t="s">
        <v>46</v>
      </c>
      <c r="Y28" s="206" t="s">
        <v>40</v>
      </c>
      <c r="Z28" s="206" t="s">
        <v>69</v>
      </c>
      <c r="AA28" s="206" t="s">
        <v>84</v>
      </c>
      <c r="AB28" s="235" t="s">
        <v>478</v>
      </c>
      <c r="AD28" s="235"/>
      <c r="AV28" s="226"/>
    </row>
    <row r="29" spans="1:48" x14ac:dyDescent="0.15">
      <c r="A29" s="206" t="s">
        <v>59</v>
      </c>
      <c r="B29" s="235" t="s">
        <v>386</v>
      </c>
      <c r="C29" s="152">
        <v>2018</v>
      </c>
      <c r="D29" s="153" t="s">
        <v>573</v>
      </c>
      <c r="E29" s="206" t="s">
        <v>308</v>
      </c>
      <c r="F29" s="206" t="s">
        <v>301</v>
      </c>
      <c r="G29" s="206" t="s">
        <v>36</v>
      </c>
      <c r="H29" s="206" t="s">
        <v>155</v>
      </c>
      <c r="I29" s="206" t="s">
        <v>153</v>
      </c>
      <c r="J29" s="206" t="s">
        <v>38</v>
      </c>
      <c r="K29" s="206" t="s">
        <v>154</v>
      </c>
      <c r="L29" s="206">
        <v>1</v>
      </c>
      <c r="N29" s="206">
        <v>3</v>
      </c>
      <c r="O29" s="206">
        <v>0.55000000000000004</v>
      </c>
      <c r="P29" s="206">
        <v>0.42</v>
      </c>
      <c r="Q29" s="243">
        <f t="shared" si="2"/>
        <v>0.48499999999999999</v>
      </c>
      <c r="R29" s="206">
        <v>13.5</v>
      </c>
      <c r="S29" s="206">
        <v>131</v>
      </c>
      <c r="T29" s="215">
        <f t="shared" si="0"/>
        <v>30</v>
      </c>
      <c r="U29" s="206">
        <v>350</v>
      </c>
      <c r="V29" s="215">
        <f t="shared" si="1"/>
        <v>16</v>
      </c>
      <c r="W29" s="206">
        <v>3</v>
      </c>
      <c r="X29" s="206" t="s">
        <v>39</v>
      </c>
      <c r="Y29" s="206" t="s">
        <v>40</v>
      </c>
      <c r="Z29" s="206" t="s">
        <v>90</v>
      </c>
      <c r="AA29" s="206" t="s">
        <v>69</v>
      </c>
      <c r="AB29" s="235" t="s">
        <v>493</v>
      </c>
      <c r="AV29" s="226"/>
    </row>
    <row r="30" spans="1:48" x14ac:dyDescent="0.15">
      <c r="A30" s="206" t="s">
        <v>59</v>
      </c>
      <c r="B30" s="235" t="s">
        <v>486</v>
      </c>
      <c r="C30" s="152">
        <v>2018</v>
      </c>
      <c r="D30" s="153" t="s">
        <v>573</v>
      </c>
      <c r="E30" s="206" t="s">
        <v>308</v>
      </c>
      <c r="F30" s="206" t="s">
        <v>301</v>
      </c>
      <c r="G30" s="206" t="s">
        <v>36</v>
      </c>
      <c r="H30" s="206" t="s">
        <v>155</v>
      </c>
      <c r="I30" s="206" t="s">
        <v>153</v>
      </c>
      <c r="J30" s="206" t="s">
        <v>38</v>
      </c>
      <c r="K30" s="206" t="s">
        <v>154</v>
      </c>
      <c r="L30" s="206">
        <v>2</v>
      </c>
      <c r="N30" s="206">
        <v>3</v>
      </c>
      <c r="O30" s="206">
        <v>0.73</v>
      </c>
      <c r="P30" s="206">
        <v>0.6</v>
      </c>
      <c r="Q30" s="243">
        <f t="shared" si="2"/>
        <v>0.66500000000000004</v>
      </c>
      <c r="R30" s="206">
        <v>13.2</v>
      </c>
      <c r="S30" s="206">
        <v>135</v>
      </c>
      <c r="T30" s="215">
        <f t="shared" si="0"/>
        <v>30</v>
      </c>
      <c r="U30" s="206">
        <v>350</v>
      </c>
      <c r="V30" s="215">
        <f t="shared" si="1"/>
        <v>16</v>
      </c>
      <c r="W30" s="206">
        <v>3</v>
      </c>
      <c r="X30" s="206" t="s">
        <v>39</v>
      </c>
      <c r="Y30" s="206" t="s">
        <v>40</v>
      </c>
      <c r="Z30" s="206" t="s">
        <v>90</v>
      </c>
      <c r="AA30" s="206" t="s">
        <v>69</v>
      </c>
      <c r="AB30" s="235" t="s">
        <v>493</v>
      </c>
      <c r="AV30" s="226"/>
    </row>
    <row r="31" spans="1:48" x14ac:dyDescent="0.15">
      <c r="A31" s="206" t="s">
        <v>59</v>
      </c>
      <c r="B31" s="235" t="s">
        <v>486</v>
      </c>
      <c r="C31" s="152">
        <v>2018</v>
      </c>
      <c r="D31" s="153" t="s">
        <v>573</v>
      </c>
      <c r="E31" s="206" t="s">
        <v>308</v>
      </c>
      <c r="F31" s="206" t="s">
        <v>301</v>
      </c>
      <c r="G31" s="206" t="s">
        <v>36</v>
      </c>
      <c r="H31" s="206" t="s">
        <v>155</v>
      </c>
      <c r="I31" s="206" t="s">
        <v>153</v>
      </c>
      <c r="J31" s="206" t="s">
        <v>38</v>
      </c>
      <c r="K31" s="206" t="s">
        <v>154</v>
      </c>
      <c r="L31" s="206">
        <v>3</v>
      </c>
      <c r="N31" s="206">
        <v>3</v>
      </c>
      <c r="O31" s="206">
        <v>0.59</v>
      </c>
      <c r="P31" s="206">
        <v>0.64</v>
      </c>
      <c r="Q31" s="243">
        <f t="shared" si="2"/>
        <v>0.61499999999999999</v>
      </c>
      <c r="R31" s="206">
        <v>14.3</v>
      </c>
      <c r="S31" s="206">
        <v>130</v>
      </c>
      <c r="T31" s="215">
        <f t="shared" si="0"/>
        <v>30</v>
      </c>
      <c r="U31" s="206">
        <v>350</v>
      </c>
      <c r="V31" s="215">
        <f t="shared" si="1"/>
        <v>16</v>
      </c>
      <c r="W31" s="206">
        <v>3</v>
      </c>
      <c r="X31" s="206" t="s">
        <v>39</v>
      </c>
      <c r="Y31" s="206" t="s">
        <v>40</v>
      </c>
      <c r="Z31" s="206" t="s">
        <v>90</v>
      </c>
      <c r="AA31" s="206" t="s">
        <v>69</v>
      </c>
      <c r="AB31" s="235" t="s">
        <v>493</v>
      </c>
      <c r="AV31" s="226"/>
    </row>
    <row r="32" spans="1:48" x14ac:dyDescent="0.15">
      <c r="A32" s="206" t="s">
        <v>59</v>
      </c>
      <c r="B32" s="235" t="s">
        <v>486</v>
      </c>
      <c r="C32" s="152">
        <v>2018</v>
      </c>
      <c r="D32" s="153" t="s">
        <v>573</v>
      </c>
      <c r="E32" s="206" t="s">
        <v>306</v>
      </c>
      <c r="F32" s="206" t="s">
        <v>298</v>
      </c>
      <c r="G32" s="206" t="s">
        <v>36</v>
      </c>
      <c r="H32" s="206" t="s">
        <v>155</v>
      </c>
      <c r="I32" s="206" t="s">
        <v>153</v>
      </c>
      <c r="J32" s="206" t="s">
        <v>38</v>
      </c>
      <c r="K32" s="206" t="s">
        <v>154</v>
      </c>
      <c r="L32" s="206">
        <v>1</v>
      </c>
      <c r="N32" s="206">
        <v>3</v>
      </c>
      <c r="O32" s="206">
        <v>0.55000000000000004</v>
      </c>
      <c r="P32" s="206">
        <v>0.42</v>
      </c>
      <c r="Q32" s="243">
        <f t="shared" si="2"/>
        <v>0.48499999999999999</v>
      </c>
      <c r="R32" s="206">
        <v>15.1</v>
      </c>
      <c r="S32" s="206">
        <v>116</v>
      </c>
      <c r="T32" s="215">
        <f t="shared" si="0"/>
        <v>30</v>
      </c>
      <c r="U32" s="206">
        <v>170</v>
      </c>
      <c r="V32" s="215">
        <f t="shared" si="1"/>
        <v>18</v>
      </c>
      <c r="W32" s="206">
        <v>3</v>
      </c>
      <c r="X32" s="206" t="s">
        <v>39</v>
      </c>
      <c r="Y32" s="206" t="s">
        <v>90</v>
      </c>
      <c r="Z32" s="206" t="s">
        <v>84</v>
      </c>
      <c r="AA32" s="206" t="s">
        <v>40</v>
      </c>
      <c r="AB32" s="235" t="s">
        <v>493</v>
      </c>
      <c r="AV32" s="226"/>
    </row>
    <row r="33" spans="1:48" x14ac:dyDescent="0.15">
      <c r="A33" s="206" t="s">
        <v>59</v>
      </c>
      <c r="B33" s="235" t="s">
        <v>486</v>
      </c>
      <c r="C33" s="152">
        <v>2018</v>
      </c>
      <c r="D33" s="153" t="s">
        <v>573</v>
      </c>
      <c r="E33" s="206" t="s">
        <v>306</v>
      </c>
      <c r="F33" s="206" t="s">
        <v>298</v>
      </c>
      <c r="G33" s="206" t="s">
        <v>36</v>
      </c>
      <c r="H33" s="206" t="s">
        <v>155</v>
      </c>
      <c r="I33" s="206" t="s">
        <v>153</v>
      </c>
      <c r="J33" s="206" t="s">
        <v>38</v>
      </c>
      <c r="K33" s="206" t="s">
        <v>154</v>
      </c>
      <c r="L33" s="206">
        <v>2</v>
      </c>
      <c r="N33" s="206">
        <v>3</v>
      </c>
      <c r="O33" s="206">
        <v>0.43</v>
      </c>
      <c r="P33" s="206">
        <v>0.49</v>
      </c>
      <c r="Q33" s="243">
        <f t="shared" si="2"/>
        <v>0.45999999999999996</v>
      </c>
      <c r="R33" s="206">
        <v>14.5</v>
      </c>
      <c r="S33" s="206">
        <v>125</v>
      </c>
      <c r="T33" s="215">
        <f t="shared" si="0"/>
        <v>30</v>
      </c>
      <c r="U33" s="206">
        <v>170</v>
      </c>
      <c r="V33" s="215">
        <f t="shared" si="1"/>
        <v>18</v>
      </c>
      <c r="W33" s="206">
        <v>3</v>
      </c>
      <c r="X33" s="206" t="s">
        <v>39</v>
      </c>
      <c r="Y33" s="206" t="s">
        <v>90</v>
      </c>
      <c r="Z33" s="206" t="s">
        <v>84</v>
      </c>
      <c r="AA33" s="206" t="s">
        <v>40</v>
      </c>
      <c r="AB33" s="235" t="s">
        <v>493</v>
      </c>
      <c r="AV33" s="226"/>
    </row>
    <row r="34" spans="1:48" x14ac:dyDescent="0.15">
      <c r="A34" s="206" t="s">
        <v>59</v>
      </c>
      <c r="B34" s="235" t="s">
        <v>486</v>
      </c>
      <c r="C34" s="152">
        <v>2018</v>
      </c>
      <c r="D34" s="153" t="s">
        <v>573</v>
      </c>
      <c r="E34" s="206" t="s">
        <v>306</v>
      </c>
      <c r="F34" s="206" t="s">
        <v>298</v>
      </c>
      <c r="G34" s="206" t="s">
        <v>36</v>
      </c>
      <c r="H34" s="206" t="s">
        <v>155</v>
      </c>
      <c r="I34" s="206" t="s">
        <v>153</v>
      </c>
      <c r="J34" s="206" t="s">
        <v>38</v>
      </c>
      <c r="K34" s="206" t="s">
        <v>154</v>
      </c>
      <c r="L34" s="206">
        <v>3</v>
      </c>
      <c r="N34" s="206">
        <v>3</v>
      </c>
      <c r="O34" s="206">
        <v>0.54</v>
      </c>
      <c r="P34" s="206">
        <v>0.5</v>
      </c>
      <c r="Q34" s="243">
        <f t="shared" si="2"/>
        <v>0.52</v>
      </c>
      <c r="R34" s="206">
        <v>14.8</v>
      </c>
      <c r="S34" s="206">
        <v>127</v>
      </c>
      <c r="T34" s="215">
        <f t="shared" si="0"/>
        <v>30</v>
      </c>
      <c r="U34" s="206">
        <v>170</v>
      </c>
      <c r="V34" s="215">
        <f t="shared" si="1"/>
        <v>18</v>
      </c>
      <c r="W34" s="206">
        <v>3</v>
      </c>
      <c r="X34" s="206" t="s">
        <v>39</v>
      </c>
      <c r="Y34" s="206" t="s">
        <v>90</v>
      </c>
      <c r="Z34" s="206" t="s">
        <v>84</v>
      </c>
      <c r="AA34" s="206" t="s">
        <v>40</v>
      </c>
      <c r="AB34" s="235" t="s">
        <v>493</v>
      </c>
      <c r="AV34" s="226"/>
    </row>
    <row r="35" spans="1:48" x14ac:dyDescent="0.15">
      <c r="A35" s="206" t="s">
        <v>59</v>
      </c>
      <c r="B35" s="235" t="s">
        <v>486</v>
      </c>
      <c r="C35" s="152">
        <v>2018</v>
      </c>
      <c r="D35" s="153" t="s">
        <v>573</v>
      </c>
      <c r="E35" s="206" t="s">
        <v>312</v>
      </c>
      <c r="F35" s="206" t="s">
        <v>303</v>
      </c>
      <c r="G35" s="206" t="s">
        <v>36</v>
      </c>
      <c r="H35" s="206" t="s">
        <v>205</v>
      </c>
      <c r="I35" s="206" t="s">
        <v>153</v>
      </c>
      <c r="J35" s="206" t="s">
        <v>38</v>
      </c>
      <c r="K35" s="206" t="s">
        <v>161</v>
      </c>
      <c r="L35" s="206">
        <v>1</v>
      </c>
      <c r="N35" s="206">
        <v>4</v>
      </c>
      <c r="O35" s="206">
        <v>0.4</v>
      </c>
      <c r="P35" s="206">
        <v>0.31</v>
      </c>
      <c r="Q35" s="243">
        <f t="shared" si="2"/>
        <v>0.35499999999999998</v>
      </c>
      <c r="R35" s="206">
        <v>15.5</v>
      </c>
      <c r="S35" s="206">
        <v>94</v>
      </c>
      <c r="T35" s="215">
        <f t="shared" si="0"/>
        <v>39</v>
      </c>
      <c r="U35" s="206">
        <v>458</v>
      </c>
      <c r="V35" s="215">
        <f t="shared" si="1"/>
        <v>16</v>
      </c>
      <c r="W35" s="206">
        <v>1</v>
      </c>
      <c r="X35" s="206" t="s">
        <v>39</v>
      </c>
      <c r="Y35" s="206" t="s">
        <v>90</v>
      </c>
      <c r="Z35" s="206" t="s">
        <v>84</v>
      </c>
      <c r="AA35" s="206" t="s">
        <v>40</v>
      </c>
      <c r="AB35" s="235" t="s">
        <v>478</v>
      </c>
      <c r="AV35" s="226"/>
    </row>
    <row r="36" spans="1:48" x14ac:dyDescent="0.15">
      <c r="A36" s="206" t="s">
        <v>59</v>
      </c>
      <c r="B36" s="235" t="s">
        <v>386</v>
      </c>
      <c r="C36" s="152">
        <v>2018</v>
      </c>
      <c r="D36" s="153" t="s">
        <v>573</v>
      </c>
      <c r="E36" s="206" t="s">
        <v>312</v>
      </c>
      <c r="F36" s="206" t="s">
        <v>303</v>
      </c>
      <c r="G36" s="206" t="s">
        <v>36</v>
      </c>
      <c r="H36" s="206" t="s">
        <v>205</v>
      </c>
      <c r="I36" s="206" t="s">
        <v>153</v>
      </c>
      <c r="J36" s="206" t="s">
        <v>38</v>
      </c>
      <c r="K36" s="206" t="s">
        <v>161</v>
      </c>
      <c r="L36" s="206">
        <v>2</v>
      </c>
      <c r="N36" s="206">
        <v>4</v>
      </c>
      <c r="O36" s="206">
        <v>0.34</v>
      </c>
      <c r="P36" s="206">
        <v>0.31</v>
      </c>
      <c r="Q36" s="243">
        <f t="shared" si="2"/>
        <v>0.32500000000000001</v>
      </c>
      <c r="R36" s="206">
        <v>14.6</v>
      </c>
      <c r="S36" s="206">
        <v>94</v>
      </c>
      <c r="T36" s="215">
        <f t="shared" si="0"/>
        <v>39</v>
      </c>
      <c r="U36" s="206">
        <v>458</v>
      </c>
      <c r="V36" s="215">
        <f t="shared" si="1"/>
        <v>16</v>
      </c>
      <c r="W36" s="206">
        <v>1</v>
      </c>
      <c r="X36" s="206" t="s">
        <v>39</v>
      </c>
      <c r="Y36" s="206" t="s">
        <v>90</v>
      </c>
      <c r="Z36" s="206" t="s">
        <v>84</v>
      </c>
      <c r="AA36" s="206" t="s">
        <v>40</v>
      </c>
      <c r="AB36" s="235" t="s">
        <v>478</v>
      </c>
      <c r="AV36" s="226"/>
    </row>
    <row r="37" spans="1:48" x14ac:dyDescent="0.15">
      <c r="A37" s="206" t="s">
        <v>59</v>
      </c>
      <c r="B37" s="235" t="s">
        <v>386</v>
      </c>
      <c r="C37" s="152">
        <v>2018</v>
      </c>
      <c r="D37" s="153" t="s">
        <v>573</v>
      </c>
      <c r="E37" s="206" t="s">
        <v>312</v>
      </c>
      <c r="F37" s="206" t="s">
        <v>303</v>
      </c>
      <c r="G37" s="206" t="s">
        <v>36</v>
      </c>
      <c r="H37" s="206" t="s">
        <v>205</v>
      </c>
      <c r="I37" s="206" t="s">
        <v>153</v>
      </c>
      <c r="J37" s="206" t="s">
        <v>38</v>
      </c>
      <c r="K37" s="206" t="s">
        <v>161</v>
      </c>
      <c r="L37" s="206">
        <v>3</v>
      </c>
      <c r="N37" s="206">
        <v>4</v>
      </c>
      <c r="O37" s="206">
        <v>0.35</v>
      </c>
      <c r="P37" s="206">
        <v>0.37</v>
      </c>
      <c r="Q37" s="243">
        <f t="shared" si="2"/>
        <v>0.36</v>
      </c>
      <c r="R37" s="206">
        <v>15.6</v>
      </c>
      <c r="S37" s="206">
        <v>93</v>
      </c>
      <c r="T37" s="215">
        <f t="shared" si="0"/>
        <v>39</v>
      </c>
      <c r="U37" s="206">
        <v>458</v>
      </c>
      <c r="V37" s="215">
        <f t="shared" si="1"/>
        <v>16</v>
      </c>
      <c r="W37" s="206">
        <v>1</v>
      </c>
      <c r="X37" s="206" t="s">
        <v>39</v>
      </c>
      <c r="Y37" s="206" t="s">
        <v>90</v>
      </c>
      <c r="Z37" s="206" t="s">
        <v>84</v>
      </c>
      <c r="AA37" s="206" t="s">
        <v>40</v>
      </c>
      <c r="AB37" s="235" t="s">
        <v>478</v>
      </c>
      <c r="AV37" s="226"/>
    </row>
    <row r="38" spans="1:48" x14ac:dyDescent="0.15">
      <c r="A38" s="206" t="s">
        <v>59</v>
      </c>
      <c r="B38" s="235" t="s">
        <v>386</v>
      </c>
      <c r="C38" s="152">
        <v>2018</v>
      </c>
      <c r="D38" s="153" t="s">
        <v>573</v>
      </c>
      <c r="E38" s="206" t="s">
        <v>312</v>
      </c>
      <c r="F38" s="206" t="s">
        <v>303</v>
      </c>
      <c r="G38" s="206" t="s">
        <v>36</v>
      </c>
      <c r="H38" s="206" t="s">
        <v>155</v>
      </c>
      <c r="I38" s="206" t="s">
        <v>153</v>
      </c>
      <c r="J38" s="206" t="s">
        <v>38</v>
      </c>
      <c r="K38" s="206" t="s">
        <v>154</v>
      </c>
      <c r="L38" s="206">
        <v>1</v>
      </c>
      <c r="N38" s="206">
        <v>1</v>
      </c>
      <c r="O38" s="206">
        <v>0.6</v>
      </c>
      <c r="P38" s="206">
        <v>0.66</v>
      </c>
      <c r="Q38" s="243">
        <f t="shared" si="2"/>
        <v>0.63</v>
      </c>
      <c r="R38" s="206">
        <v>13.1</v>
      </c>
      <c r="S38" s="206">
        <v>130</v>
      </c>
      <c r="T38" s="215">
        <f t="shared" si="0"/>
        <v>30</v>
      </c>
      <c r="U38" s="206">
        <v>128</v>
      </c>
      <c r="V38" s="215">
        <f t="shared" si="1"/>
        <v>30</v>
      </c>
      <c r="W38" s="206">
        <v>1</v>
      </c>
      <c r="X38" s="206" t="s">
        <v>39</v>
      </c>
      <c r="Y38" s="206" t="s">
        <v>90</v>
      </c>
      <c r="Z38" s="206" t="s">
        <v>84</v>
      </c>
      <c r="AA38" s="206" t="s">
        <v>40</v>
      </c>
      <c r="AB38" s="235" t="s">
        <v>478</v>
      </c>
      <c r="AV38" s="226"/>
    </row>
    <row r="39" spans="1:48" x14ac:dyDescent="0.15">
      <c r="A39" s="206" t="s">
        <v>59</v>
      </c>
      <c r="B39" s="235" t="s">
        <v>386</v>
      </c>
      <c r="C39" s="152">
        <v>2018</v>
      </c>
      <c r="D39" s="153" t="s">
        <v>573</v>
      </c>
      <c r="E39" s="206" t="s">
        <v>312</v>
      </c>
      <c r="F39" s="206" t="s">
        <v>303</v>
      </c>
      <c r="G39" s="206" t="s">
        <v>36</v>
      </c>
      <c r="H39" s="206" t="s">
        <v>155</v>
      </c>
      <c r="I39" s="206" t="s">
        <v>153</v>
      </c>
      <c r="J39" s="206" t="s">
        <v>38</v>
      </c>
      <c r="K39" s="206" t="s">
        <v>154</v>
      </c>
      <c r="L39" s="206">
        <v>2</v>
      </c>
      <c r="N39" s="206">
        <v>1</v>
      </c>
      <c r="O39" s="206">
        <v>0.35</v>
      </c>
      <c r="P39" s="206">
        <v>0.32</v>
      </c>
      <c r="Q39" s="243">
        <f t="shared" si="2"/>
        <v>0.33499999999999996</v>
      </c>
      <c r="R39" s="206">
        <v>13.4</v>
      </c>
      <c r="S39" s="206">
        <v>136</v>
      </c>
      <c r="T39" s="215">
        <f t="shared" si="0"/>
        <v>30</v>
      </c>
      <c r="U39" s="206">
        <v>128</v>
      </c>
      <c r="V39" s="215">
        <f t="shared" si="1"/>
        <v>30</v>
      </c>
      <c r="W39" s="206">
        <v>1</v>
      </c>
      <c r="X39" s="206" t="s">
        <v>39</v>
      </c>
      <c r="Y39" s="206" t="s">
        <v>90</v>
      </c>
      <c r="Z39" s="206" t="s">
        <v>84</v>
      </c>
      <c r="AA39" s="206" t="s">
        <v>40</v>
      </c>
      <c r="AB39" s="235" t="s">
        <v>478</v>
      </c>
      <c r="AV39" s="226"/>
    </row>
    <row r="40" spans="1:48" x14ac:dyDescent="0.15">
      <c r="A40" s="206" t="s">
        <v>59</v>
      </c>
      <c r="B40" s="235" t="s">
        <v>386</v>
      </c>
      <c r="C40" s="152">
        <v>2018</v>
      </c>
      <c r="D40" s="153" t="s">
        <v>573</v>
      </c>
      <c r="E40" s="206" t="s">
        <v>312</v>
      </c>
      <c r="F40" s="206" t="s">
        <v>303</v>
      </c>
      <c r="G40" s="206" t="s">
        <v>36</v>
      </c>
      <c r="H40" s="206" t="s">
        <v>155</v>
      </c>
      <c r="I40" s="206" t="s">
        <v>153</v>
      </c>
      <c r="J40" s="206" t="s">
        <v>38</v>
      </c>
      <c r="K40" s="206" t="s">
        <v>154</v>
      </c>
      <c r="L40" s="206">
        <v>3</v>
      </c>
      <c r="N40" s="206">
        <v>1</v>
      </c>
      <c r="O40" s="206">
        <v>0.5</v>
      </c>
      <c r="P40" s="206">
        <v>0.59</v>
      </c>
      <c r="Q40" s="243">
        <f t="shared" si="2"/>
        <v>0.54499999999999993</v>
      </c>
      <c r="R40" s="206">
        <v>13.3</v>
      </c>
      <c r="S40" s="206">
        <v>135</v>
      </c>
      <c r="T40" s="215">
        <f t="shared" si="0"/>
        <v>30</v>
      </c>
      <c r="U40" s="206">
        <v>128</v>
      </c>
      <c r="V40" s="215">
        <f t="shared" si="1"/>
        <v>30</v>
      </c>
      <c r="W40" s="206">
        <v>1</v>
      </c>
      <c r="X40" s="206" t="s">
        <v>39</v>
      </c>
      <c r="Y40" s="206" t="s">
        <v>90</v>
      </c>
      <c r="Z40" s="206" t="s">
        <v>84</v>
      </c>
      <c r="AA40" s="206" t="s">
        <v>40</v>
      </c>
      <c r="AB40" s="235" t="s">
        <v>478</v>
      </c>
    </row>
    <row r="41" spans="1:48" x14ac:dyDescent="0.15">
      <c r="A41" s="206" t="s">
        <v>59</v>
      </c>
      <c r="B41" s="235" t="s">
        <v>386</v>
      </c>
      <c r="C41" s="152">
        <v>2018</v>
      </c>
      <c r="D41" s="153" t="s">
        <v>573</v>
      </c>
      <c r="E41" s="206" t="s">
        <v>307</v>
      </c>
      <c r="F41" s="206" t="s">
        <v>300</v>
      </c>
      <c r="G41" s="206" t="s">
        <v>36</v>
      </c>
      <c r="H41" s="206" t="s">
        <v>155</v>
      </c>
      <c r="I41" s="206" t="s">
        <v>153</v>
      </c>
      <c r="J41" s="206" t="s">
        <v>38</v>
      </c>
      <c r="K41" s="206" t="s">
        <v>154</v>
      </c>
      <c r="L41" s="206">
        <v>1</v>
      </c>
      <c r="N41" s="206">
        <v>1</v>
      </c>
      <c r="O41" s="206">
        <v>0.4</v>
      </c>
      <c r="P41" s="206">
        <v>0.43</v>
      </c>
      <c r="Q41" s="243">
        <f t="shared" si="2"/>
        <v>0.41500000000000004</v>
      </c>
      <c r="R41" s="206">
        <v>14</v>
      </c>
      <c r="S41" s="206">
        <v>128</v>
      </c>
      <c r="T41" s="215">
        <f t="shared" si="0"/>
        <v>30</v>
      </c>
      <c r="U41" s="206">
        <v>138</v>
      </c>
      <c r="V41" s="215">
        <f t="shared" si="1"/>
        <v>30</v>
      </c>
      <c r="W41" s="206">
        <v>2</v>
      </c>
      <c r="X41" s="206" t="s">
        <v>46</v>
      </c>
      <c r="Y41" s="206" t="s">
        <v>84</v>
      </c>
      <c r="Z41" s="206" t="s">
        <v>90</v>
      </c>
      <c r="AA41" s="206" t="s">
        <v>40</v>
      </c>
      <c r="AB41" s="235" t="s">
        <v>478</v>
      </c>
    </row>
    <row r="42" spans="1:48" x14ac:dyDescent="0.15">
      <c r="A42" s="206" t="s">
        <v>59</v>
      </c>
      <c r="B42" s="235" t="s">
        <v>386</v>
      </c>
      <c r="C42" s="152">
        <v>2018</v>
      </c>
      <c r="D42" s="153" t="s">
        <v>573</v>
      </c>
      <c r="E42" s="206" t="s">
        <v>307</v>
      </c>
      <c r="F42" s="206" t="s">
        <v>300</v>
      </c>
      <c r="G42" s="206" t="s">
        <v>36</v>
      </c>
      <c r="H42" s="206" t="s">
        <v>155</v>
      </c>
      <c r="I42" s="206" t="s">
        <v>153</v>
      </c>
      <c r="J42" s="206" t="s">
        <v>38</v>
      </c>
      <c r="K42" s="206" t="s">
        <v>154</v>
      </c>
      <c r="L42" s="206">
        <v>2</v>
      </c>
      <c r="N42" s="206">
        <v>1</v>
      </c>
      <c r="O42" s="206">
        <v>0.56999999999999995</v>
      </c>
      <c r="P42" s="206">
        <v>0.6</v>
      </c>
      <c r="Q42" s="243">
        <f t="shared" si="2"/>
        <v>0.58499999999999996</v>
      </c>
      <c r="R42" s="206">
        <v>14.6</v>
      </c>
      <c r="S42" s="206">
        <v>120</v>
      </c>
      <c r="T42" s="215">
        <f t="shared" si="0"/>
        <v>30</v>
      </c>
      <c r="U42" s="206">
        <v>138</v>
      </c>
      <c r="V42" s="215">
        <f t="shared" si="1"/>
        <v>30</v>
      </c>
      <c r="W42" s="206">
        <v>2</v>
      </c>
      <c r="X42" s="206" t="s">
        <v>46</v>
      </c>
      <c r="Y42" s="206" t="s">
        <v>84</v>
      </c>
      <c r="Z42" s="206" t="s">
        <v>90</v>
      </c>
      <c r="AA42" s="206" t="s">
        <v>40</v>
      </c>
      <c r="AB42" s="235" t="s">
        <v>478</v>
      </c>
    </row>
    <row r="43" spans="1:48" x14ac:dyDescent="0.15">
      <c r="A43" s="206" t="s">
        <v>59</v>
      </c>
      <c r="B43" s="235" t="s">
        <v>386</v>
      </c>
      <c r="C43" s="152">
        <v>2018</v>
      </c>
      <c r="D43" s="153" t="s">
        <v>573</v>
      </c>
      <c r="E43" s="206" t="s">
        <v>307</v>
      </c>
      <c r="F43" s="206" t="s">
        <v>300</v>
      </c>
      <c r="G43" s="206" t="s">
        <v>36</v>
      </c>
      <c r="H43" s="206" t="s">
        <v>155</v>
      </c>
      <c r="I43" s="206" t="s">
        <v>153</v>
      </c>
      <c r="J43" s="206" t="s">
        <v>38</v>
      </c>
      <c r="K43" s="206" t="s">
        <v>154</v>
      </c>
      <c r="L43" s="206">
        <v>3</v>
      </c>
      <c r="N43" s="206">
        <v>1</v>
      </c>
      <c r="O43" s="206">
        <v>0.53</v>
      </c>
      <c r="P43" s="206">
        <v>0.57999999999999996</v>
      </c>
      <c r="Q43" s="243">
        <f t="shared" si="2"/>
        <v>0.55499999999999994</v>
      </c>
      <c r="R43" s="206">
        <v>15.2</v>
      </c>
      <c r="S43" s="206">
        <v>126</v>
      </c>
      <c r="T43" s="215">
        <f t="shared" si="0"/>
        <v>30</v>
      </c>
      <c r="U43" s="206">
        <v>138</v>
      </c>
      <c r="V43" s="215">
        <f t="shared" si="1"/>
        <v>30</v>
      </c>
      <c r="W43" s="206">
        <v>2</v>
      </c>
      <c r="X43" s="206" t="s">
        <v>46</v>
      </c>
      <c r="Y43" s="206" t="s">
        <v>84</v>
      </c>
      <c r="Z43" s="206" t="s">
        <v>90</v>
      </c>
      <c r="AA43" s="206" t="s">
        <v>40</v>
      </c>
      <c r="AB43" s="235" t="s">
        <v>478</v>
      </c>
    </row>
    <row r="44" spans="1:48" x14ac:dyDescent="0.15">
      <c r="B44" s="235"/>
      <c r="C44" s="152"/>
      <c r="D44" s="153"/>
      <c r="Q44" s="243" t="str">
        <f t="shared" si="2"/>
        <v/>
      </c>
      <c r="T44" s="215" t="str">
        <f t="shared" si="0"/>
        <v/>
      </c>
      <c r="V44" s="215" t="str">
        <f t="shared" si="1"/>
        <v/>
      </c>
      <c r="AB44" s="235"/>
    </row>
    <row r="45" spans="1:48" x14ac:dyDescent="0.15">
      <c r="B45" s="235"/>
      <c r="C45" s="152"/>
      <c r="D45" s="153"/>
      <c r="Q45" s="243" t="str">
        <f t="shared" si="2"/>
        <v/>
      </c>
      <c r="T45" s="215" t="str">
        <f t="shared" si="0"/>
        <v/>
      </c>
      <c r="V45" s="215" t="str">
        <f t="shared" si="1"/>
        <v/>
      </c>
      <c r="AB45" s="235"/>
    </row>
    <row r="46" spans="1:48" x14ac:dyDescent="0.15">
      <c r="B46" s="235"/>
      <c r="C46" s="152"/>
      <c r="D46" s="153"/>
      <c r="Q46" s="243" t="str">
        <f t="shared" si="2"/>
        <v/>
      </c>
      <c r="T46" s="215" t="str">
        <f t="shared" si="0"/>
        <v/>
      </c>
      <c r="V46" s="215" t="str">
        <f t="shared" si="1"/>
        <v/>
      </c>
      <c r="AB46" s="235"/>
    </row>
    <row r="47" spans="1:48" x14ac:dyDescent="0.15">
      <c r="B47" s="235"/>
      <c r="C47" s="152"/>
      <c r="D47" s="153"/>
      <c r="Q47" s="243" t="str">
        <f t="shared" si="2"/>
        <v/>
      </c>
      <c r="T47" s="215" t="str">
        <f t="shared" si="0"/>
        <v/>
      </c>
      <c r="V47" s="215" t="str">
        <f t="shared" si="1"/>
        <v/>
      </c>
      <c r="AB47" s="235"/>
    </row>
    <row r="48" spans="1:48" x14ac:dyDescent="0.15">
      <c r="B48" s="235"/>
      <c r="C48" s="152"/>
      <c r="D48" s="153"/>
      <c r="Q48" s="243" t="str">
        <f t="shared" si="2"/>
        <v/>
      </c>
      <c r="T48" s="215" t="str">
        <f t="shared" si="0"/>
        <v/>
      </c>
      <c r="V48" s="215" t="str">
        <f t="shared" si="1"/>
        <v/>
      </c>
      <c r="AB48" s="235"/>
    </row>
    <row r="49" spans="2:28" x14ac:dyDescent="0.15">
      <c r="B49" s="235"/>
      <c r="C49" s="152"/>
      <c r="D49" s="153"/>
      <c r="Q49" s="243" t="str">
        <f t="shared" si="2"/>
        <v/>
      </c>
      <c r="T49" s="215" t="str">
        <f t="shared" si="0"/>
        <v/>
      </c>
      <c r="V49" s="215" t="str">
        <f t="shared" si="1"/>
        <v/>
      </c>
      <c r="AB49" s="235"/>
    </row>
    <row r="50" spans="2:28" x14ac:dyDescent="0.15">
      <c r="B50" s="235"/>
      <c r="C50" s="152"/>
      <c r="D50" s="153"/>
      <c r="Q50" s="243" t="str">
        <f t="shared" si="2"/>
        <v/>
      </c>
      <c r="T50" s="215" t="str">
        <f t="shared" si="0"/>
        <v/>
      </c>
      <c r="V50" s="215" t="str">
        <f t="shared" si="1"/>
        <v/>
      </c>
      <c r="AB50" s="235"/>
    </row>
    <row r="51" spans="2:28" x14ac:dyDescent="0.15">
      <c r="B51" s="235"/>
      <c r="C51" s="152"/>
      <c r="D51" s="153"/>
      <c r="Q51" s="243" t="str">
        <f t="shared" si="2"/>
        <v/>
      </c>
      <c r="T51" s="215" t="str">
        <f t="shared" si="0"/>
        <v/>
      </c>
      <c r="V51" s="215" t="str">
        <f t="shared" si="1"/>
        <v/>
      </c>
      <c r="AB51" s="235"/>
    </row>
    <row r="52" spans="2:28" x14ac:dyDescent="0.15">
      <c r="B52" s="235"/>
      <c r="C52" s="152"/>
      <c r="D52" s="153"/>
      <c r="Q52" s="243" t="str">
        <f t="shared" si="2"/>
        <v/>
      </c>
      <c r="T52" s="215" t="str">
        <f t="shared" si="0"/>
        <v/>
      </c>
      <c r="V52" s="215" t="str">
        <f t="shared" si="1"/>
        <v/>
      </c>
      <c r="AB52" s="235"/>
    </row>
    <row r="53" spans="2:28" x14ac:dyDescent="0.15">
      <c r="B53" s="235"/>
      <c r="C53" s="152"/>
      <c r="D53" s="153"/>
      <c r="Q53" s="243" t="str">
        <f t="shared" si="2"/>
        <v/>
      </c>
      <c r="T53" s="215" t="str">
        <f t="shared" si="0"/>
        <v/>
      </c>
      <c r="V53" s="215" t="str">
        <f t="shared" si="1"/>
        <v/>
      </c>
      <c r="AB53" s="235"/>
    </row>
    <row r="54" spans="2:28" x14ac:dyDescent="0.15">
      <c r="B54" s="235"/>
      <c r="C54" s="152"/>
      <c r="D54" s="153"/>
      <c r="Q54" s="243" t="str">
        <f t="shared" si="2"/>
        <v/>
      </c>
      <c r="T54" s="215" t="str">
        <f t="shared" si="0"/>
        <v/>
      </c>
      <c r="V54" s="215" t="str">
        <f t="shared" si="1"/>
        <v/>
      </c>
      <c r="AB54" s="235"/>
    </row>
    <row r="55" spans="2:28" x14ac:dyDescent="0.15">
      <c r="B55" s="235"/>
      <c r="C55" s="152"/>
      <c r="D55" s="153"/>
      <c r="Q55" s="243" t="str">
        <f t="shared" si="2"/>
        <v/>
      </c>
      <c r="T55" s="215" t="str">
        <f t="shared" si="0"/>
        <v/>
      </c>
      <c r="V55" s="215" t="str">
        <f t="shared" si="1"/>
        <v/>
      </c>
      <c r="AB55" s="235"/>
    </row>
    <row r="56" spans="2:28" x14ac:dyDescent="0.15">
      <c r="B56" s="235"/>
      <c r="C56" s="152"/>
      <c r="D56" s="153"/>
      <c r="Q56" s="243" t="str">
        <f t="shared" si="2"/>
        <v/>
      </c>
      <c r="T56" s="215" t="str">
        <f t="shared" si="0"/>
        <v/>
      </c>
      <c r="V56" s="215" t="str">
        <f t="shared" si="1"/>
        <v/>
      </c>
      <c r="AB56" s="235"/>
    </row>
    <row r="57" spans="2:28" x14ac:dyDescent="0.15">
      <c r="B57" s="235"/>
      <c r="C57" s="152"/>
      <c r="D57" s="153"/>
      <c r="Q57" s="243" t="str">
        <f t="shared" si="2"/>
        <v/>
      </c>
      <c r="T57" s="215" t="str">
        <f t="shared" si="0"/>
        <v/>
      </c>
      <c r="V57" s="215" t="str">
        <f t="shared" si="1"/>
        <v/>
      </c>
      <c r="AB57" s="235"/>
    </row>
    <row r="58" spans="2:28" x14ac:dyDescent="0.15">
      <c r="B58" s="235"/>
      <c r="C58" s="152"/>
      <c r="D58" s="153"/>
      <c r="Q58" s="243" t="str">
        <f t="shared" si="2"/>
        <v/>
      </c>
      <c r="T58" s="215" t="str">
        <f t="shared" si="0"/>
        <v/>
      </c>
      <c r="V58" s="215" t="str">
        <f t="shared" si="1"/>
        <v/>
      </c>
      <c r="AB58" s="235"/>
    </row>
    <row r="59" spans="2:28" x14ac:dyDescent="0.15">
      <c r="B59" s="235"/>
      <c r="C59" s="152"/>
      <c r="D59" s="153"/>
      <c r="Q59" s="243"/>
      <c r="AB59" s="235"/>
    </row>
    <row r="60" spans="2:28" x14ac:dyDescent="0.15">
      <c r="B60" s="235"/>
      <c r="C60" s="152"/>
      <c r="D60" s="153"/>
      <c r="Q60" s="243"/>
      <c r="AB60" s="235"/>
    </row>
    <row r="61" spans="2:28" x14ac:dyDescent="0.15">
      <c r="B61" s="235"/>
      <c r="C61" s="152"/>
      <c r="D61" s="153"/>
      <c r="Q61" s="243"/>
      <c r="AB61" s="235"/>
    </row>
    <row r="62" spans="2:28" x14ac:dyDescent="0.15">
      <c r="B62" s="235"/>
      <c r="C62" s="152"/>
      <c r="D62" s="153"/>
      <c r="Q62" s="243"/>
      <c r="AB62" s="235"/>
    </row>
    <row r="63" spans="2:28" x14ac:dyDescent="0.15">
      <c r="B63" s="235"/>
      <c r="C63" s="152"/>
      <c r="D63" s="153"/>
      <c r="Q63" s="243"/>
      <c r="AB63" s="235"/>
    </row>
    <row r="64" spans="2:28" x14ac:dyDescent="0.15">
      <c r="B64" s="235"/>
      <c r="C64" s="152"/>
      <c r="D64" s="153"/>
      <c r="Q64" s="243"/>
      <c r="AB64" s="235"/>
    </row>
    <row r="65" spans="2:28" x14ac:dyDescent="0.15">
      <c r="B65" s="235"/>
      <c r="C65" s="152"/>
      <c r="D65" s="153"/>
      <c r="Q65" s="243"/>
      <c r="AB65" s="235"/>
    </row>
    <row r="66" spans="2:28" x14ac:dyDescent="0.15">
      <c r="B66" s="235"/>
      <c r="C66" s="152"/>
      <c r="D66" s="153"/>
      <c r="Q66" s="243"/>
      <c r="AB66" s="235"/>
    </row>
    <row r="67" spans="2:28" x14ac:dyDescent="0.15">
      <c r="B67" s="235"/>
      <c r="C67" s="152"/>
      <c r="D67" s="153"/>
      <c r="Q67" s="243"/>
      <c r="AB67" s="235"/>
    </row>
    <row r="68" spans="2:28" x14ac:dyDescent="0.15">
      <c r="B68" s="235"/>
      <c r="C68" s="152"/>
      <c r="D68" s="153"/>
      <c r="Q68" s="243"/>
      <c r="AB68" s="235"/>
    </row>
    <row r="69" spans="2:28" x14ac:dyDescent="0.15">
      <c r="B69" s="235"/>
      <c r="C69" s="152"/>
      <c r="D69" s="153"/>
      <c r="Q69" s="243"/>
      <c r="AB69" s="235"/>
    </row>
    <row r="70" spans="2:28" x14ac:dyDescent="0.15">
      <c r="B70" s="235"/>
      <c r="C70" s="152"/>
      <c r="D70" s="153"/>
      <c r="Q70" s="243"/>
      <c r="AB70" s="235"/>
    </row>
    <row r="71" spans="2:28" x14ac:dyDescent="0.15">
      <c r="B71" s="235"/>
      <c r="C71" s="152"/>
      <c r="D71" s="153"/>
      <c r="Q71" s="243"/>
      <c r="AB71" s="235"/>
    </row>
    <row r="72" spans="2:28" x14ac:dyDescent="0.15">
      <c r="B72" s="235"/>
      <c r="C72" s="152"/>
      <c r="D72" s="153"/>
      <c r="Q72" s="243"/>
      <c r="AB72" s="235"/>
    </row>
    <row r="73" spans="2:28" x14ac:dyDescent="0.15">
      <c r="B73" s="235"/>
      <c r="C73" s="152"/>
      <c r="D73" s="153"/>
      <c r="Q73" s="243"/>
      <c r="AB73" s="235"/>
    </row>
    <row r="74" spans="2:28" x14ac:dyDescent="0.15">
      <c r="B74" s="235"/>
      <c r="C74" s="152"/>
      <c r="D74" s="153"/>
      <c r="Q74" s="243"/>
      <c r="AB74" s="235"/>
    </row>
    <row r="75" spans="2:28" x14ac:dyDescent="0.15">
      <c r="B75" s="235"/>
      <c r="C75" s="152"/>
      <c r="D75" s="153"/>
      <c r="Q75" s="243"/>
      <c r="AB75" s="235"/>
    </row>
    <row r="76" spans="2:28" x14ac:dyDescent="0.15">
      <c r="B76" s="235"/>
      <c r="C76" s="152"/>
      <c r="D76" s="153"/>
      <c r="Q76" s="243"/>
      <c r="AB76" s="235"/>
    </row>
    <row r="77" spans="2:28" x14ac:dyDescent="0.15">
      <c r="B77" s="235"/>
      <c r="C77" s="152"/>
      <c r="Q77" s="243"/>
      <c r="AB77" s="235"/>
    </row>
    <row r="78" spans="2:28" x14ac:dyDescent="0.15">
      <c r="B78" s="235"/>
      <c r="C78" s="152"/>
      <c r="Q78" s="243"/>
      <c r="AB78" s="235"/>
    </row>
    <row r="79" spans="2:28" x14ac:dyDescent="0.15">
      <c r="B79" s="235"/>
      <c r="C79" s="152"/>
      <c r="Q79" s="243"/>
      <c r="AB79" s="235"/>
    </row>
    <row r="80" spans="2:28" x14ac:dyDescent="0.15">
      <c r="B80" s="235"/>
      <c r="C80" s="152"/>
      <c r="Q80" s="243"/>
      <c r="AB80" s="235"/>
    </row>
    <row r="81" spans="2:28" x14ac:dyDescent="0.15">
      <c r="B81" s="235"/>
      <c r="C81" s="152"/>
      <c r="Q81" s="243"/>
      <c r="AB81" s="235"/>
    </row>
    <row r="82" spans="2:28" x14ac:dyDescent="0.15">
      <c r="B82" s="235"/>
      <c r="C82" s="152"/>
      <c r="Q82" s="243"/>
      <c r="AB82" s="235"/>
    </row>
    <row r="83" spans="2:28" x14ac:dyDescent="0.15">
      <c r="B83" s="235"/>
      <c r="C83" s="152"/>
      <c r="Q83" s="243"/>
      <c r="AB83" s="235"/>
    </row>
    <row r="84" spans="2:28" x14ac:dyDescent="0.15">
      <c r="B84" s="235"/>
      <c r="C84" s="152"/>
      <c r="Q84" s="243"/>
      <c r="AB84" s="235"/>
    </row>
    <row r="85" spans="2:28" x14ac:dyDescent="0.15">
      <c r="B85" s="235"/>
      <c r="C85" s="152"/>
      <c r="Q85" s="243"/>
      <c r="AB85" s="235"/>
    </row>
    <row r="86" spans="2:28" x14ac:dyDescent="0.15">
      <c r="B86" s="235"/>
      <c r="C86" s="152"/>
      <c r="Q86" s="243"/>
      <c r="AB86" s="235"/>
    </row>
    <row r="87" spans="2:28" x14ac:dyDescent="0.15">
      <c r="B87" s="235"/>
      <c r="C87" s="152"/>
      <c r="Q87" s="243"/>
      <c r="AB87" s="235"/>
    </row>
    <row r="88" spans="2:28" x14ac:dyDescent="0.15">
      <c r="B88" s="235"/>
      <c r="C88" s="152"/>
      <c r="Q88" s="243"/>
      <c r="AB88" s="235"/>
    </row>
    <row r="89" spans="2:28" x14ac:dyDescent="0.15">
      <c r="B89" s="235"/>
      <c r="C89" s="152"/>
      <c r="Q89" s="243"/>
      <c r="AB89" s="235"/>
    </row>
    <row r="90" spans="2:28" x14ac:dyDescent="0.15">
      <c r="B90" s="235"/>
      <c r="C90" s="152"/>
      <c r="Q90" s="243"/>
      <c r="AB90" s="235"/>
    </row>
    <row r="91" spans="2:28" x14ac:dyDescent="0.15">
      <c r="B91" s="235"/>
      <c r="C91" s="152"/>
      <c r="Q91" s="243"/>
      <c r="AB91" s="235"/>
    </row>
    <row r="92" spans="2:28" x14ac:dyDescent="0.15">
      <c r="B92" s="235"/>
      <c r="C92" s="152"/>
      <c r="Q92" s="243"/>
      <c r="AB92" s="235"/>
    </row>
    <row r="93" spans="2:28" x14ac:dyDescent="0.15">
      <c r="B93" s="235"/>
      <c r="C93" s="152"/>
      <c r="AB93" s="235"/>
    </row>
    <row r="94" spans="2:28" x14ac:dyDescent="0.15">
      <c r="B94" s="235"/>
      <c r="C94" s="152"/>
      <c r="AB94" s="235"/>
    </row>
    <row r="95" spans="2:28" x14ac:dyDescent="0.15">
      <c r="Q95" s="215" t="str">
        <f t="shared" ref="Q95:Q146" si="3">IF(OR(O95="",P95=""),"",AVERAGE(O95,P95))</f>
        <v/>
      </c>
      <c r="T95" s="215" t="str">
        <f t="shared" ref="T95:T146" si="4">IF(H95="","",IF(OR(H95="GREEN",H95="GK"),IF(S95&gt;=$AX$2,VLOOKUP(S95,$AX$2:$AY$12,2,1),""),IF(S95&gt;=$AZ$2,VLOOKUP(S95,$AZ$2:$BA$12,2,1),"")))</f>
        <v/>
      </c>
      <c r="V95" s="215" t="str">
        <f t="shared" ref="V95:V146" si="5">IF(J95="","",IF(OR(J95="GREEN",J95="GK"),IF(U95&gt;=$AX$2,VLOOKUP(U95,$AX$2:$AY$12,2,1),""),IF(U95&gt;=$AZ$2,VLOOKUP(U95,$AZ$2:$BA$12,2,1),"")))</f>
        <v/>
      </c>
      <c r="AB95" s="235"/>
    </row>
    <row r="96" spans="2:28" x14ac:dyDescent="0.15">
      <c r="Q96" s="215" t="str">
        <f t="shared" si="3"/>
        <v/>
      </c>
      <c r="T96" s="215" t="str">
        <f t="shared" si="4"/>
        <v/>
      </c>
      <c r="V96" s="215" t="str">
        <f t="shared" si="5"/>
        <v/>
      </c>
    </row>
    <row r="97" spans="17:22" x14ac:dyDescent="0.15">
      <c r="Q97" s="215" t="str">
        <f t="shared" si="3"/>
        <v/>
      </c>
      <c r="T97" s="215" t="str">
        <f t="shared" si="4"/>
        <v/>
      </c>
      <c r="V97" s="215" t="str">
        <f t="shared" si="5"/>
        <v/>
      </c>
    </row>
    <row r="98" spans="17:22" x14ac:dyDescent="0.15">
      <c r="Q98" s="215" t="str">
        <f t="shared" si="3"/>
        <v/>
      </c>
      <c r="T98" s="215" t="str">
        <f t="shared" si="4"/>
        <v/>
      </c>
      <c r="V98" s="215" t="str">
        <f t="shared" si="5"/>
        <v/>
      </c>
    </row>
    <row r="99" spans="17:22" x14ac:dyDescent="0.15">
      <c r="Q99" s="215" t="str">
        <f t="shared" si="3"/>
        <v/>
      </c>
      <c r="T99" s="215" t="str">
        <f t="shared" si="4"/>
        <v/>
      </c>
      <c r="V99" s="215" t="str">
        <f t="shared" si="5"/>
        <v/>
      </c>
    </row>
    <row r="100" spans="17:22" x14ac:dyDescent="0.15">
      <c r="Q100" s="215" t="str">
        <f t="shared" si="3"/>
        <v/>
      </c>
      <c r="T100" s="215" t="str">
        <f t="shared" si="4"/>
        <v/>
      </c>
      <c r="V100" s="215" t="str">
        <f t="shared" si="5"/>
        <v/>
      </c>
    </row>
    <row r="101" spans="17:22" x14ac:dyDescent="0.15">
      <c r="Q101" s="215" t="str">
        <f t="shared" si="3"/>
        <v/>
      </c>
      <c r="T101" s="215" t="str">
        <f t="shared" si="4"/>
        <v/>
      </c>
      <c r="V101" s="215" t="str">
        <f t="shared" si="5"/>
        <v/>
      </c>
    </row>
    <row r="102" spans="17:22" x14ac:dyDescent="0.15">
      <c r="Q102" s="215" t="str">
        <f t="shared" si="3"/>
        <v/>
      </c>
      <c r="T102" s="215" t="str">
        <f t="shared" si="4"/>
        <v/>
      </c>
      <c r="V102" s="215" t="str">
        <f t="shared" si="5"/>
        <v/>
      </c>
    </row>
    <row r="103" spans="17:22" x14ac:dyDescent="0.15">
      <c r="Q103" s="215" t="str">
        <f t="shared" si="3"/>
        <v/>
      </c>
      <c r="T103" s="215" t="str">
        <f t="shared" si="4"/>
        <v/>
      </c>
      <c r="V103" s="215" t="str">
        <f t="shared" si="5"/>
        <v/>
      </c>
    </row>
    <row r="104" spans="17:22" x14ac:dyDescent="0.15">
      <c r="Q104" s="215" t="str">
        <f t="shared" si="3"/>
        <v/>
      </c>
      <c r="T104" s="215" t="str">
        <f t="shared" si="4"/>
        <v/>
      </c>
      <c r="V104" s="215" t="str">
        <f t="shared" si="5"/>
        <v/>
      </c>
    </row>
    <row r="105" spans="17:22" x14ac:dyDescent="0.15">
      <c r="Q105" s="215" t="str">
        <f t="shared" si="3"/>
        <v/>
      </c>
      <c r="T105" s="215" t="str">
        <f t="shared" si="4"/>
        <v/>
      </c>
      <c r="V105" s="215" t="str">
        <f t="shared" si="5"/>
        <v/>
      </c>
    </row>
    <row r="106" spans="17:22" x14ac:dyDescent="0.15">
      <c r="Q106" s="215" t="str">
        <f t="shared" si="3"/>
        <v/>
      </c>
      <c r="T106" s="215" t="str">
        <f t="shared" si="4"/>
        <v/>
      </c>
      <c r="V106" s="215" t="str">
        <f t="shared" si="5"/>
        <v/>
      </c>
    </row>
    <row r="107" spans="17:22" x14ac:dyDescent="0.15">
      <c r="Q107" s="215" t="str">
        <f t="shared" si="3"/>
        <v/>
      </c>
      <c r="T107" s="215" t="str">
        <f t="shared" si="4"/>
        <v/>
      </c>
      <c r="V107" s="215" t="str">
        <f t="shared" si="5"/>
        <v/>
      </c>
    </row>
    <row r="108" spans="17:22" x14ac:dyDescent="0.15">
      <c r="Q108" s="215" t="str">
        <f t="shared" si="3"/>
        <v/>
      </c>
      <c r="T108" s="215" t="str">
        <f t="shared" si="4"/>
        <v/>
      </c>
      <c r="V108" s="215" t="str">
        <f t="shared" si="5"/>
        <v/>
      </c>
    </row>
    <row r="109" spans="17:22" x14ac:dyDescent="0.15">
      <c r="Q109" s="215" t="str">
        <f t="shared" si="3"/>
        <v/>
      </c>
      <c r="T109" s="215" t="str">
        <f t="shared" si="4"/>
        <v/>
      </c>
      <c r="V109" s="215" t="str">
        <f t="shared" si="5"/>
        <v/>
      </c>
    </row>
    <row r="110" spans="17:22" x14ac:dyDescent="0.15">
      <c r="Q110" s="215" t="str">
        <f t="shared" si="3"/>
        <v/>
      </c>
      <c r="T110" s="215" t="str">
        <f t="shared" si="4"/>
        <v/>
      </c>
      <c r="V110" s="215" t="str">
        <f t="shared" si="5"/>
        <v/>
      </c>
    </row>
    <row r="111" spans="17:22" x14ac:dyDescent="0.15">
      <c r="Q111" s="215" t="str">
        <f t="shared" si="3"/>
        <v/>
      </c>
      <c r="T111" s="215" t="str">
        <f t="shared" si="4"/>
        <v/>
      </c>
      <c r="V111" s="215" t="str">
        <f t="shared" si="5"/>
        <v/>
      </c>
    </row>
    <row r="112" spans="17:22" x14ac:dyDescent="0.15">
      <c r="Q112" s="215" t="str">
        <f t="shared" si="3"/>
        <v/>
      </c>
      <c r="T112" s="215" t="str">
        <f t="shared" si="4"/>
        <v/>
      </c>
      <c r="V112" s="215" t="str">
        <f t="shared" si="5"/>
        <v/>
      </c>
    </row>
    <row r="113" spans="17:22" x14ac:dyDescent="0.15">
      <c r="Q113" s="215" t="str">
        <f t="shared" si="3"/>
        <v/>
      </c>
      <c r="T113" s="215" t="str">
        <f t="shared" si="4"/>
        <v/>
      </c>
      <c r="V113" s="215" t="str">
        <f t="shared" si="5"/>
        <v/>
      </c>
    </row>
    <row r="114" spans="17:22" x14ac:dyDescent="0.15">
      <c r="Q114" s="215" t="str">
        <f t="shared" si="3"/>
        <v/>
      </c>
      <c r="T114" s="215" t="str">
        <f t="shared" si="4"/>
        <v/>
      </c>
      <c r="V114" s="215" t="str">
        <f t="shared" si="5"/>
        <v/>
      </c>
    </row>
    <row r="115" spans="17:22" x14ac:dyDescent="0.15">
      <c r="Q115" s="215" t="str">
        <f t="shared" si="3"/>
        <v/>
      </c>
      <c r="T115" s="215" t="str">
        <f t="shared" si="4"/>
        <v/>
      </c>
      <c r="V115" s="215" t="str">
        <f t="shared" si="5"/>
        <v/>
      </c>
    </row>
    <row r="116" spans="17:22" x14ac:dyDescent="0.15">
      <c r="Q116" s="215" t="str">
        <f t="shared" si="3"/>
        <v/>
      </c>
      <c r="T116" s="215" t="str">
        <f t="shared" si="4"/>
        <v/>
      </c>
      <c r="V116" s="215" t="str">
        <f t="shared" si="5"/>
        <v/>
      </c>
    </row>
    <row r="117" spans="17:22" x14ac:dyDescent="0.15">
      <c r="Q117" s="215" t="str">
        <f t="shared" si="3"/>
        <v/>
      </c>
      <c r="T117" s="215" t="str">
        <f t="shared" si="4"/>
        <v/>
      </c>
      <c r="V117" s="215" t="str">
        <f t="shared" si="5"/>
        <v/>
      </c>
    </row>
    <row r="118" spans="17:22" x14ac:dyDescent="0.15">
      <c r="Q118" s="215" t="str">
        <f t="shared" si="3"/>
        <v/>
      </c>
      <c r="T118" s="215" t="str">
        <f t="shared" si="4"/>
        <v/>
      </c>
      <c r="V118" s="215" t="str">
        <f t="shared" si="5"/>
        <v/>
      </c>
    </row>
    <row r="119" spans="17:22" x14ac:dyDescent="0.15">
      <c r="Q119" s="215" t="str">
        <f t="shared" si="3"/>
        <v/>
      </c>
      <c r="T119" s="215" t="str">
        <f t="shared" si="4"/>
        <v/>
      </c>
      <c r="V119" s="215" t="str">
        <f t="shared" si="5"/>
        <v/>
      </c>
    </row>
    <row r="120" spans="17:22" x14ac:dyDescent="0.15">
      <c r="Q120" s="215" t="str">
        <f t="shared" si="3"/>
        <v/>
      </c>
      <c r="T120" s="215" t="str">
        <f t="shared" si="4"/>
        <v/>
      </c>
      <c r="V120" s="215" t="str">
        <f t="shared" si="5"/>
        <v/>
      </c>
    </row>
    <row r="121" spans="17:22" x14ac:dyDescent="0.15">
      <c r="Q121" s="215" t="str">
        <f t="shared" si="3"/>
        <v/>
      </c>
      <c r="T121" s="215" t="str">
        <f t="shared" si="4"/>
        <v/>
      </c>
      <c r="V121" s="215" t="str">
        <f t="shared" si="5"/>
        <v/>
      </c>
    </row>
    <row r="122" spans="17:22" x14ac:dyDescent="0.15">
      <c r="Q122" s="215" t="str">
        <f t="shared" si="3"/>
        <v/>
      </c>
      <c r="T122" s="215" t="str">
        <f t="shared" si="4"/>
        <v/>
      </c>
      <c r="V122" s="215" t="str">
        <f t="shared" si="5"/>
        <v/>
      </c>
    </row>
    <row r="123" spans="17:22" x14ac:dyDescent="0.15">
      <c r="Q123" s="215" t="str">
        <f t="shared" si="3"/>
        <v/>
      </c>
      <c r="T123" s="215" t="str">
        <f t="shared" si="4"/>
        <v/>
      </c>
      <c r="V123" s="215" t="str">
        <f t="shared" si="5"/>
        <v/>
      </c>
    </row>
    <row r="124" spans="17:22" x14ac:dyDescent="0.15">
      <c r="Q124" s="215" t="str">
        <f t="shared" si="3"/>
        <v/>
      </c>
      <c r="T124" s="215" t="str">
        <f t="shared" si="4"/>
        <v/>
      </c>
      <c r="V124" s="215" t="str">
        <f t="shared" si="5"/>
        <v/>
      </c>
    </row>
    <row r="125" spans="17:22" x14ac:dyDescent="0.15">
      <c r="Q125" s="215" t="str">
        <f t="shared" si="3"/>
        <v/>
      </c>
      <c r="T125" s="215" t="str">
        <f t="shared" si="4"/>
        <v/>
      </c>
      <c r="V125" s="215" t="str">
        <f t="shared" si="5"/>
        <v/>
      </c>
    </row>
    <row r="126" spans="17:22" x14ac:dyDescent="0.15">
      <c r="Q126" s="215" t="str">
        <f t="shared" si="3"/>
        <v/>
      </c>
      <c r="T126" s="215" t="str">
        <f t="shared" si="4"/>
        <v/>
      </c>
      <c r="V126" s="215" t="str">
        <f t="shared" si="5"/>
        <v/>
      </c>
    </row>
    <row r="127" spans="17:22" x14ac:dyDescent="0.15">
      <c r="Q127" s="215" t="str">
        <f t="shared" si="3"/>
        <v/>
      </c>
      <c r="T127" s="215" t="str">
        <f t="shared" si="4"/>
        <v/>
      </c>
      <c r="V127" s="215" t="str">
        <f t="shared" si="5"/>
        <v/>
      </c>
    </row>
    <row r="128" spans="17:22" x14ac:dyDescent="0.15">
      <c r="Q128" s="215" t="str">
        <f t="shared" si="3"/>
        <v/>
      </c>
      <c r="T128" s="215" t="str">
        <f t="shared" si="4"/>
        <v/>
      </c>
      <c r="V128" s="215" t="str">
        <f t="shared" si="5"/>
        <v/>
      </c>
    </row>
    <row r="129" spans="17:22" x14ac:dyDescent="0.15">
      <c r="Q129" s="215" t="str">
        <f t="shared" si="3"/>
        <v/>
      </c>
      <c r="T129" s="215" t="str">
        <f t="shared" si="4"/>
        <v/>
      </c>
      <c r="V129" s="215" t="str">
        <f t="shared" si="5"/>
        <v/>
      </c>
    </row>
    <row r="130" spans="17:22" x14ac:dyDescent="0.15">
      <c r="Q130" s="215" t="str">
        <f t="shared" si="3"/>
        <v/>
      </c>
      <c r="T130" s="215" t="str">
        <f t="shared" si="4"/>
        <v/>
      </c>
      <c r="V130" s="215" t="str">
        <f t="shared" si="5"/>
        <v/>
      </c>
    </row>
    <row r="131" spans="17:22" x14ac:dyDescent="0.15">
      <c r="Q131" s="215" t="str">
        <f t="shared" si="3"/>
        <v/>
      </c>
      <c r="T131" s="215" t="str">
        <f t="shared" si="4"/>
        <v/>
      </c>
      <c r="V131" s="215" t="str">
        <f t="shared" si="5"/>
        <v/>
      </c>
    </row>
    <row r="132" spans="17:22" x14ac:dyDescent="0.15">
      <c r="Q132" s="215" t="str">
        <f t="shared" si="3"/>
        <v/>
      </c>
      <c r="T132" s="215" t="str">
        <f t="shared" si="4"/>
        <v/>
      </c>
      <c r="V132" s="215" t="str">
        <f t="shared" si="5"/>
        <v/>
      </c>
    </row>
    <row r="133" spans="17:22" x14ac:dyDescent="0.15">
      <c r="Q133" s="215" t="str">
        <f t="shared" si="3"/>
        <v/>
      </c>
      <c r="T133" s="215" t="str">
        <f t="shared" si="4"/>
        <v/>
      </c>
      <c r="V133" s="215" t="str">
        <f t="shared" si="5"/>
        <v/>
      </c>
    </row>
    <row r="134" spans="17:22" x14ac:dyDescent="0.15">
      <c r="Q134" s="215" t="str">
        <f t="shared" si="3"/>
        <v/>
      </c>
      <c r="T134" s="215" t="str">
        <f t="shared" si="4"/>
        <v/>
      </c>
      <c r="V134" s="215" t="str">
        <f t="shared" si="5"/>
        <v/>
      </c>
    </row>
    <row r="135" spans="17:22" x14ac:dyDescent="0.15">
      <c r="Q135" s="215" t="str">
        <f t="shared" si="3"/>
        <v/>
      </c>
      <c r="T135" s="215" t="str">
        <f t="shared" si="4"/>
        <v/>
      </c>
      <c r="V135" s="215" t="str">
        <f t="shared" si="5"/>
        <v/>
      </c>
    </row>
    <row r="136" spans="17:22" x14ac:dyDescent="0.15">
      <c r="Q136" s="215" t="str">
        <f t="shared" si="3"/>
        <v/>
      </c>
      <c r="T136" s="215" t="str">
        <f t="shared" si="4"/>
        <v/>
      </c>
      <c r="V136" s="215" t="str">
        <f t="shared" si="5"/>
        <v/>
      </c>
    </row>
    <row r="137" spans="17:22" x14ac:dyDescent="0.15">
      <c r="Q137" s="215" t="str">
        <f t="shared" si="3"/>
        <v/>
      </c>
      <c r="T137" s="215" t="str">
        <f t="shared" si="4"/>
        <v/>
      </c>
      <c r="V137" s="215" t="str">
        <f t="shared" si="5"/>
        <v/>
      </c>
    </row>
    <row r="138" spans="17:22" x14ac:dyDescent="0.15">
      <c r="Q138" s="215" t="str">
        <f t="shared" si="3"/>
        <v/>
      </c>
      <c r="T138" s="215" t="str">
        <f t="shared" si="4"/>
        <v/>
      </c>
      <c r="V138" s="215" t="str">
        <f t="shared" si="5"/>
        <v/>
      </c>
    </row>
    <row r="139" spans="17:22" x14ac:dyDescent="0.15">
      <c r="Q139" s="215" t="str">
        <f t="shared" si="3"/>
        <v/>
      </c>
      <c r="T139" s="215" t="str">
        <f t="shared" si="4"/>
        <v/>
      </c>
      <c r="V139" s="215" t="str">
        <f t="shared" si="5"/>
        <v/>
      </c>
    </row>
    <row r="140" spans="17:22" x14ac:dyDescent="0.15">
      <c r="Q140" s="215" t="str">
        <f t="shared" si="3"/>
        <v/>
      </c>
      <c r="T140" s="215" t="str">
        <f t="shared" si="4"/>
        <v/>
      </c>
      <c r="V140" s="215" t="str">
        <f t="shared" si="5"/>
        <v/>
      </c>
    </row>
    <row r="141" spans="17:22" x14ac:dyDescent="0.15">
      <c r="Q141" s="215" t="str">
        <f t="shared" si="3"/>
        <v/>
      </c>
      <c r="T141" s="215" t="str">
        <f t="shared" si="4"/>
        <v/>
      </c>
      <c r="V141" s="215" t="str">
        <f t="shared" si="5"/>
        <v/>
      </c>
    </row>
    <row r="142" spans="17:22" x14ac:dyDescent="0.15">
      <c r="Q142" s="215" t="str">
        <f t="shared" si="3"/>
        <v/>
      </c>
      <c r="T142" s="215" t="str">
        <f t="shared" si="4"/>
        <v/>
      </c>
      <c r="V142" s="215" t="str">
        <f t="shared" si="5"/>
        <v/>
      </c>
    </row>
    <row r="143" spans="17:22" x14ac:dyDescent="0.15">
      <c r="Q143" s="215" t="str">
        <f t="shared" si="3"/>
        <v/>
      </c>
      <c r="T143" s="215" t="str">
        <f t="shared" si="4"/>
        <v/>
      </c>
      <c r="V143" s="215" t="str">
        <f t="shared" si="5"/>
        <v/>
      </c>
    </row>
    <row r="144" spans="17:22" x14ac:dyDescent="0.15">
      <c r="Q144" s="215" t="str">
        <f t="shared" si="3"/>
        <v/>
      </c>
      <c r="T144" s="215" t="str">
        <f t="shared" si="4"/>
        <v/>
      </c>
      <c r="V144" s="215" t="str">
        <f t="shared" si="5"/>
        <v/>
      </c>
    </row>
    <row r="145" spans="17:22" x14ac:dyDescent="0.15">
      <c r="Q145" s="215" t="str">
        <f t="shared" si="3"/>
        <v/>
      </c>
      <c r="T145" s="215" t="str">
        <f t="shared" si="4"/>
        <v/>
      </c>
      <c r="V145" s="215" t="str">
        <f t="shared" si="5"/>
        <v/>
      </c>
    </row>
    <row r="146" spans="17:22" x14ac:dyDescent="0.15">
      <c r="Q146" s="215" t="str">
        <f t="shared" si="3"/>
        <v/>
      </c>
      <c r="T146" s="215" t="str">
        <f t="shared" si="4"/>
        <v/>
      </c>
      <c r="V146" s="215"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52">
      <formula1>$AP$2:$AP$38</formula1>
    </dataValidation>
    <dataValidation type="list" allowBlank="1" showInputMessage="1" showErrorMessage="1" sqref="WVS983028:WVS983093 K429:K486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formula1>$AR$2:$AR$25</formula1>
    </dataValidation>
    <dataValidation type="list" allowBlank="1" showInputMessage="1" showErrorMessage="1" sqref="WVR983028:WVR983093 J65524:J65589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J53:J486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AWP2:AWP70">
      <formula1>$AP$2:$AP$27</formula1>
    </dataValidation>
    <dataValidation type="list" allowBlank="1" showInputMessage="1" showErrorMessage="1" sqref="WVP983028:WVP983093 H65524:H65589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formula1>$AL$4:$AL$12</formula1>
    </dataValidation>
    <dataValidation type="list" allowBlank="1" showInputMessage="1" showErrorMessage="1" sqref="A64349:A64414 IW64349:IW64414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formula1>$AE$2:$AE$19</formula1>
    </dataValidation>
    <dataValidation type="list" allowBlank="1" showInputMessage="1" showErrorMessage="1" sqref="X64349:X64414 JT64349:JT64414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X2:X486">
      <formula1>$AT$2:$AT$3</formula1>
    </dataValidation>
    <dataValidation type="list" allowBlank="1" showInputMessage="1" showErrorMessage="1" sqref="G64349:G64416 JC64349:JC64416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formula1>$AJ$2:$AJ$4</formula1>
    </dataValidation>
    <dataValidation type="list" allowBlank="1" showInputMessage="1" showErrorMessage="1" sqref="I64349:I64414 JE64349:JE64414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64349:JW64414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WVM983028:WVN983099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98"/>
  <sheetViews>
    <sheetView zoomScale="85" zoomScaleNormal="85" zoomScaleSheetLayoutView="100" workbookViewId="0">
      <selection activeCell="H46" sqref="H46"/>
    </sheetView>
  </sheetViews>
  <sheetFormatPr defaultRowHeight="13.5" x14ac:dyDescent="0.15"/>
  <cols>
    <col min="1" max="3" width="9" style="206"/>
    <col min="4" max="4" width="10.25" style="206" bestFit="1" customWidth="1"/>
    <col min="5" max="16" width="9" style="206"/>
    <col min="17" max="17" width="9" style="215"/>
    <col min="18" max="19" width="9" style="206"/>
    <col min="20" max="20" width="9" style="215"/>
    <col min="21" max="21" width="9" style="206"/>
    <col min="22" max="22" width="9" style="215"/>
    <col min="23" max="32" width="9" style="206"/>
    <col min="33" max="33" width="16.875" style="206" bestFit="1" customWidth="1"/>
    <col min="34" max="34" width="15.625" style="206" customWidth="1"/>
    <col min="35" max="39" width="9" style="143"/>
    <col min="40" max="16384" width="9" style="206"/>
  </cols>
  <sheetData>
    <row r="1" spans="1:53" ht="45" x14ac:dyDescent="0.15">
      <c r="A1" s="238" t="s">
        <v>0</v>
      </c>
      <c r="B1" s="200" t="s">
        <v>1</v>
      </c>
      <c r="C1" s="200" t="s">
        <v>510</v>
      </c>
      <c r="D1" s="201" t="s">
        <v>3</v>
      </c>
      <c r="E1" s="239" t="s">
        <v>4</v>
      </c>
      <c r="F1" s="239" t="s">
        <v>5</v>
      </c>
      <c r="G1" s="239" t="s">
        <v>6</v>
      </c>
      <c r="H1" s="239" t="s">
        <v>7</v>
      </c>
      <c r="I1" s="239" t="s">
        <v>8</v>
      </c>
      <c r="J1" s="239" t="s">
        <v>9</v>
      </c>
      <c r="K1" s="199" t="s">
        <v>10</v>
      </c>
      <c r="L1" s="201" t="s">
        <v>511</v>
      </c>
      <c r="M1" s="201" t="s">
        <v>12</v>
      </c>
      <c r="N1" s="201" t="s">
        <v>13</v>
      </c>
      <c r="O1" s="201" t="s">
        <v>512</v>
      </c>
      <c r="P1" s="201" t="s">
        <v>513</v>
      </c>
      <c r="Q1" s="202" t="s">
        <v>16</v>
      </c>
      <c r="R1" s="201" t="s">
        <v>514</v>
      </c>
      <c r="S1" s="201" t="s">
        <v>515</v>
      </c>
      <c r="T1" s="202" t="s">
        <v>19</v>
      </c>
      <c r="U1" s="203" t="s">
        <v>108</v>
      </c>
      <c r="V1" s="204" t="s">
        <v>20</v>
      </c>
      <c r="W1" s="201" t="s">
        <v>21</v>
      </c>
      <c r="X1" s="239" t="s">
        <v>22</v>
      </c>
      <c r="Y1" s="239" t="s">
        <v>23</v>
      </c>
      <c r="Z1" s="239" t="s">
        <v>24</v>
      </c>
      <c r="AA1" s="240" t="s">
        <v>25</v>
      </c>
      <c r="AB1" s="205" t="s">
        <v>516</v>
      </c>
      <c r="AE1" s="207" t="s">
        <v>0</v>
      </c>
      <c r="AF1" s="208"/>
      <c r="AG1" s="207" t="s">
        <v>4</v>
      </c>
      <c r="AH1" s="207" t="s">
        <v>5</v>
      </c>
      <c r="AI1" s="162"/>
      <c r="AJ1" s="163" t="s">
        <v>6</v>
      </c>
      <c r="AK1" s="162"/>
      <c r="AL1" s="164" t="s">
        <v>7</v>
      </c>
      <c r="AM1" s="162"/>
      <c r="AN1" s="209" t="s">
        <v>8</v>
      </c>
      <c r="AO1" s="208"/>
      <c r="AP1" s="209" t="s">
        <v>27</v>
      </c>
      <c r="AQ1" s="208"/>
      <c r="AR1" s="209" t="s">
        <v>10</v>
      </c>
      <c r="AS1" s="208"/>
      <c r="AT1" s="210" t="s">
        <v>28</v>
      </c>
      <c r="AU1" s="208"/>
      <c r="AV1" s="209" t="s">
        <v>29</v>
      </c>
      <c r="AX1" s="211" t="s">
        <v>517</v>
      </c>
      <c r="AY1" s="212" t="s">
        <v>518</v>
      </c>
      <c r="AZ1" s="212" t="s">
        <v>519</v>
      </c>
      <c r="BA1" s="213" t="s">
        <v>520</v>
      </c>
    </row>
    <row r="2" spans="1:53" x14ac:dyDescent="0.15">
      <c r="A2" s="165" t="s">
        <v>34</v>
      </c>
      <c r="B2" s="165" t="s">
        <v>521</v>
      </c>
      <c r="C2" s="165">
        <v>2018</v>
      </c>
      <c r="D2" s="166" t="s">
        <v>522</v>
      </c>
      <c r="E2" s="165" t="s">
        <v>523</v>
      </c>
      <c r="F2" s="165" t="s">
        <v>271</v>
      </c>
      <c r="G2" s="167" t="s">
        <v>36</v>
      </c>
      <c r="H2" s="168" t="s">
        <v>155</v>
      </c>
      <c r="I2" s="137" t="s">
        <v>153</v>
      </c>
      <c r="J2" s="198" t="s">
        <v>38</v>
      </c>
      <c r="K2" s="137" t="s">
        <v>154</v>
      </c>
      <c r="L2" s="169">
        <v>1</v>
      </c>
      <c r="M2" s="170"/>
      <c r="N2" s="170">
        <v>1</v>
      </c>
      <c r="O2" s="170">
        <v>0.95</v>
      </c>
      <c r="P2" s="170">
        <v>1</v>
      </c>
      <c r="Q2" s="171">
        <f t="shared" ref="Q2:Q34" si="0">IF(OR(O2="",P2=""),"",AVERAGE(O2,P2))</f>
        <v>0.97499999999999998</v>
      </c>
      <c r="R2" s="172">
        <v>10.3</v>
      </c>
      <c r="S2" s="168">
        <v>119</v>
      </c>
      <c r="T2" s="173">
        <f t="shared" ref="T2:T34" si="1">IF(H2="","",IF(OR(H2="GREEN",H2="GK"),IF(S2&gt;=$AX$2,VLOOKUP(S2,$AX$2:$AY$7,2,1),""),IF(S2&gt;=$AZ$2,VLOOKUP(S2,$AZ$2:$BA$7,2,1),"")))</f>
        <v>30</v>
      </c>
      <c r="U2" s="137">
        <v>128</v>
      </c>
      <c r="V2" s="184">
        <f t="shared" ref="V2:V34" si="2">IF(OR(N2="",U2="",T2=""),"",U2/N2*T2)</f>
        <v>3840</v>
      </c>
      <c r="W2" s="174">
        <v>4</v>
      </c>
      <c r="X2" s="175" t="s">
        <v>46</v>
      </c>
      <c r="Y2" s="175" t="s">
        <v>84</v>
      </c>
      <c r="Z2" s="175" t="s">
        <v>90</v>
      </c>
      <c r="AA2" s="176" t="s">
        <v>40</v>
      </c>
      <c r="AB2" s="55" t="s">
        <v>524</v>
      </c>
      <c r="AE2" s="216" t="s">
        <v>35</v>
      </c>
      <c r="AG2" s="241" t="s">
        <v>525</v>
      </c>
      <c r="AH2" s="241" t="s">
        <v>272</v>
      </c>
      <c r="AJ2" s="144" t="s">
        <v>36</v>
      </c>
      <c r="AL2" s="217" t="s">
        <v>127</v>
      </c>
      <c r="AN2" s="217" t="s">
        <v>37</v>
      </c>
      <c r="AO2" s="214"/>
      <c r="AP2" s="217" t="s">
        <v>38</v>
      </c>
      <c r="AQ2" s="214"/>
      <c r="AR2" s="217" t="s">
        <v>526</v>
      </c>
      <c r="AS2" s="214"/>
      <c r="AT2" s="217" t="s">
        <v>39</v>
      </c>
      <c r="AU2" s="214"/>
      <c r="AV2" s="246" t="s">
        <v>40</v>
      </c>
      <c r="AW2" s="214"/>
      <c r="AX2" s="218">
        <v>1</v>
      </c>
      <c r="AY2" s="219">
        <v>50</v>
      </c>
      <c r="AZ2" s="219">
        <v>1</v>
      </c>
      <c r="BA2" s="220">
        <v>50</v>
      </c>
    </row>
    <row r="3" spans="1:53" x14ac:dyDescent="0.15">
      <c r="A3" s="177" t="s">
        <v>34</v>
      </c>
      <c r="B3" s="177" t="s">
        <v>331</v>
      </c>
      <c r="C3" s="178">
        <v>2018</v>
      </c>
      <c r="D3" s="254" t="s">
        <v>337</v>
      </c>
      <c r="E3" s="177" t="s">
        <v>523</v>
      </c>
      <c r="F3" s="177" t="s">
        <v>271</v>
      </c>
      <c r="G3" s="180" t="s">
        <v>36</v>
      </c>
      <c r="H3" s="137" t="s">
        <v>155</v>
      </c>
      <c r="I3" s="137" t="s">
        <v>153</v>
      </c>
      <c r="J3" s="137" t="s">
        <v>38</v>
      </c>
      <c r="K3" s="137" t="s">
        <v>154</v>
      </c>
      <c r="L3" s="206">
        <v>2</v>
      </c>
      <c r="N3" s="206">
        <v>1</v>
      </c>
      <c r="O3" s="206">
        <v>1</v>
      </c>
      <c r="P3" s="233">
        <v>0.85</v>
      </c>
      <c r="Q3" s="181">
        <f t="shared" si="0"/>
        <v>0.92500000000000004</v>
      </c>
      <c r="R3" s="182">
        <v>11</v>
      </c>
      <c r="S3" s="182">
        <v>120</v>
      </c>
      <c r="T3" s="215">
        <f t="shared" si="1"/>
        <v>30</v>
      </c>
      <c r="U3" s="183">
        <v>128</v>
      </c>
      <c r="V3" s="184">
        <f t="shared" si="2"/>
        <v>3840</v>
      </c>
      <c r="W3" s="185">
        <v>4</v>
      </c>
      <c r="X3" s="186" t="s">
        <v>46</v>
      </c>
      <c r="Y3" s="186" t="s">
        <v>84</v>
      </c>
      <c r="Z3" s="186" t="s">
        <v>90</v>
      </c>
      <c r="AA3" s="176" t="s">
        <v>40</v>
      </c>
      <c r="AB3" s="55" t="s">
        <v>333</v>
      </c>
      <c r="AE3" s="221" t="s">
        <v>41</v>
      </c>
      <c r="AG3" s="241" t="s">
        <v>273</v>
      </c>
      <c r="AH3" s="241" t="s">
        <v>274</v>
      </c>
      <c r="AJ3" s="187" t="s">
        <v>42</v>
      </c>
      <c r="AL3" s="222" t="s">
        <v>128</v>
      </c>
      <c r="AN3" s="222" t="s">
        <v>43</v>
      </c>
      <c r="AP3" s="222" t="s">
        <v>44</v>
      </c>
      <c r="AR3" s="236" t="s">
        <v>45</v>
      </c>
      <c r="AT3" s="222" t="s">
        <v>46</v>
      </c>
      <c r="AV3" s="222" t="s">
        <v>47</v>
      </c>
      <c r="AX3" s="223">
        <v>72</v>
      </c>
      <c r="AY3" s="224">
        <v>46</v>
      </c>
      <c r="AZ3" s="224">
        <v>71</v>
      </c>
      <c r="BA3" s="225">
        <v>42</v>
      </c>
    </row>
    <row r="4" spans="1:53" x14ac:dyDescent="0.15">
      <c r="A4" s="177" t="s">
        <v>34</v>
      </c>
      <c r="B4" s="177" t="s">
        <v>331</v>
      </c>
      <c r="C4" s="177">
        <v>2018</v>
      </c>
      <c r="D4" s="179" t="s">
        <v>337</v>
      </c>
      <c r="E4" s="177" t="s">
        <v>523</v>
      </c>
      <c r="F4" s="177" t="s">
        <v>271</v>
      </c>
      <c r="G4" s="180" t="s">
        <v>36</v>
      </c>
      <c r="H4" s="137" t="s">
        <v>155</v>
      </c>
      <c r="I4" s="137" t="s">
        <v>153</v>
      </c>
      <c r="J4" s="137" t="s">
        <v>38</v>
      </c>
      <c r="K4" s="137" t="s">
        <v>154</v>
      </c>
      <c r="L4" s="206">
        <v>3</v>
      </c>
      <c r="N4" s="206">
        <v>1</v>
      </c>
      <c r="O4" s="206">
        <v>0.85</v>
      </c>
      <c r="P4" s="233">
        <v>0.9</v>
      </c>
      <c r="Q4" s="243">
        <f t="shared" si="0"/>
        <v>0.875</v>
      </c>
      <c r="R4" s="188">
        <v>10.8</v>
      </c>
      <c r="S4" s="188">
        <v>116</v>
      </c>
      <c r="T4" s="215">
        <f t="shared" si="1"/>
        <v>30</v>
      </c>
      <c r="U4" s="189">
        <v>128</v>
      </c>
      <c r="V4" s="184">
        <f t="shared" si="2"/>
        <v>3840</v>
      </c>
      <c r="W4" s="190">
        <v>4</v>
      </c>
      <c r="X4" s="186" t="s">
        <v>46</v>
      </c>
      <c r="Y4" s="186" t="s">
        <v>84</v>
      </c>
      <c r="Z4" s="186" t="s">
        <v>90</v>
      </c>
      <c r="AA4" s="176" t="s">
        <v>40</v>
      </c>
      <c r="AB4" s="55" t="s">
        <v>333</v>
      </c>
      <c r="AE4" s="221" t="s">
        <v>34</v>
      </c>
      <c r="AG4" s="241" t="s">
        <v>527</v>
      </c>
      <c r="AH4" s="241" t="s">
        <v>275</v>
      </c>
      <c r="AJ4" s="191" t="s">
        <v>48</v>
      </c>
      <c r="AL4" s="226" t="s">
        <v>129</v>
      </c>
      <c r="AN4" s="227" t="s">
        <v>49</v>
      </c>
      <c r="AP4" s="222" t="s">
        <v>528</v>
      </c>
      <c r="AR4" s="236" t="s">
        <v>529</v>
      </c>
      <c r="AT4" s="227"/>
      <c r="AV4" s="222" t="s">
        <v>50</v>
      </c>
      <c r="AX4" s="223">
        <v>75</v>
      </c>
      <c r="AY4" s="224">
        <v>42</v>
      </c>
      <c r="AZ4" s="224">
        <v>76</v>
      </c>
      <c r="BA4" s="225">
        <v>39</v>
      </c>
    </row>
    <row r="5" spans="1:53" x14ac:dyDescent="0.15">
      <c r="A5" s="177" t="s">
        <v>34</v>
      </c>
      <c r="B5" s="177" t="s">
        <v>331</v>
      </c>
      <c r="C5" s="178">
        <v>2018</v>
      </c>
      <c r="D5" s="179" t="s">
        <v>337</v>
      </c>
      <c r="E5" s="177" t="s">
        <v>276</v>
      </c>
      <c r="F5" s="177" t="s">
        <v>277</v>
      </c>
      <c r="G5" s="180" t="s">
        <v>36</v>
      </c>
      <c r="H5" s="137" t="s">
        <v>155</v>
      </c>
      <c r="I5" s="137" t="s">
        <v>153</v>
      </c>
      <c r="J5" s="137" t="s">
        <v>38</v>
      </c>
      <c r="K5" s="137" t="s">
        <v>154</v>
      </c>
      <c r="L5" s="206">
        <v>1</v>
      </c>
      <c r="N5" s="206">
        <v>1</v>
      </c>
      <c r="O5" s="206">
        <v>0.7</v>
      </c>
      <c r="P5" s="235">
        <v>0.65</v>
      </c>
      <c r="Q5" s="243">
        <f t="shared" si="0"/>
        <v>0.67500000000000004</v>
      </c>
      <c r="R5" s="188">
        <v>14.3</v>
      </c>
      <c r="S5" s="188">
        <v>120</v>
      </c>
      <c r="T5" s="215">
        <f t="shared" si="1"/>
        <v>30</v>
      </c>
      <c r="U5" s="189">
        <v>98</v>
      </c>
      <c r="V5" s="184">
        <f t="shared" si="2"/>
        <v>2940</v>
      </c>
      <c r="W5" s="190">
        <v>2</v>
      </c>
      <c r="X5" s="186" t="s">
        <v>46</v>
      </c>
      <c r="Y5" s="186" t="s">
        <v>84</v>
      </c>
      <c r="Z5" s="186" t="s">
        <v>40</v>
      </c>
      <c r="AA5" s="176" t="s">
        <v>69</v>
      </c>
      <c r="AB5" s="55" t="s">
        <v>333</v>
      </c>
      <c r="AE5" s="221" t="s">
        <v>51</v>
      </c>
      <c r="AG5" s="241" t="s">
        <v>530</v>
      </c>
      <c r="AH5" s="241" t="s">
        <v>278</v>
      </c>
      <c r="AJ5" s="192"/>
      <c r="AL5" s="228" t="s">
        <v>531</v>
      </c>
      <c r="AN5" s="228" t="s">
        <v>532</v>
      </c>
      <c r="AP5" s="222" t="s">
        <v>533</v>
      </c>
      <c r="AR5" s="236" t="s">
        <v>54</v>
      </c>
      <c r="AT5" s="245"/>
      <c r="AV5" s="222" t="s">
        <v>55</v>
      </c>
      <c r="AX5" s="223">
        <v>84</v>
      </c>
      <c r="AY5" s="224">
        <v>39</v>
      </c>
      <c r="AZ5" s="224">
        <v>84</v>
      </c>
      <c r="BA5" s="225">
        <v>36</v>
      </c>
    </row>
    <row r="6" spans="1:53" x14ac:dyDescent="0.15">
      <c r="A6" s="177" t="s">
        <v>34</v>
      </c>
      <c r="B6" s="177" t="s">
        <v>331</v>
      </c>
      <c r="C6" s="177">
        <v>2018</v>
      </c>
      <c r="D6" s="179" t="s">
        <v>337</v>
      </c>
      <c r="E6" s="177" t="s">
        <v>276</v>
      </c>
      <c r="F6" s="177" t="s">
        <v>277</v>
      </c>
      <c r="G6" s="180" t="s">
        <v>36</v>
      </c>
      <c r="H6" s="137" t="s">
        <v>155</v>
      </c>
      <c r="I6" s="137" t="s">
        <v>153</v>
      </c>
      <c r="J6" s="137" t="s">
        <v>38</v>
      </c>
      <c r="K6" s="137" t="s">
        <v>154</v>
      </c>
      <c r="L6" s="206">
        <v>2</v>
      </c>
      <c r="N6" s="206">
        <v>1</v>
      </c>
      <c r="O6" s="206">
        <v>0.65</v>
      </c>
      <c r="P6" s="235">
        <v>0.6</v>
      </c>
      <c r="Q6" s="243">
        <f t="shared" si="0"/>
        <v>0.625</v>
      </c>
      <c r="R6" s="188">
        <v>15.1</v>
      </c>
      <c r="S6" s="188">
        <v>124</v>
      </c>
      <c r="T6" s="215">
        <f t="shared" si="1"/>
        <v>30</v>
      </c>
      <c r="U6" s="189">
        <v>98</v>
      </c>
      <c r="V6" s="184">
        <f t="shared" si="2"/>
        <v>2940</v>
      </c>
      <c r="W6" s="190">
        <v>2</v>
      </c>
      <c r="X6" s="186" t="s">
        <v>46</v>
      </c>
      <c r="Y6" s="186" t="s">
        <v>84</v>
      </c>
      <c r="Z6" s="186" t="s">
        <v>40</v>
      </c>
      <c r="AA6" s="176" t="s">
        <v>69</v>
      </c>
      <c r="AB6" s="55" t="s">
        <v>333</v>
      </c>
      <c r="AE6" s="221" t="s">
        <v>56</v>
      </c>
      <c r="AG6" s="241" t="s">
        <v>534</v>
      </c>
      <c r="AH6" s="241" t="s">
        <v>277</v>
      </c>
      <c r="AL6" s="228" t="s">
        <v>535</v>
      </c>
      <c r="AN6" s="228" t="s">
        <v>536</v>
      </c>
      <c r="AP6" s="222" t="s">
        <v>53</v>
      </c>
      <c r="AR6" s="236" t="s">
        <v>59</v>
      </c>
      <c r="AV6" s="222" t="s">
        <v>60</v>
      </c>
      <c r="AX6" s="223">
        <v>97</v>
      </c>
      <c r="AY6" s="224">
        <v>36</v>
      </c>
      <c r="AZ6" s="224">
        <v>99</v>
      </c>
      <c r="BA6" s="225">
        <v>33</v>
      </c>
    </row>
    <row r="7" spans="1:53" x14ac:dyDescent="0.15">
      <c r="A7" s="177" t="s">
        <v>34</v>
      </c>
      <c r="B7" s="177" t="s">
        <v>331</v>
      </c>
      <c r="C7" s="178">
        <v>2018</v>
      </c>
      <c r="D7" s="179" t="s">
        <v>337</v>
      </c>
      <c r="E7" s="177" t="s">
        <v>276</v>
      </c>
      <c r="F7" s="177" t="s">
        <v>277</v>
      </c>
      <c r="G7" s="180" t="s">
        <v>36</v>
      </c>
      <c r="H7" s="137" t="s">
        <v>155</v>
      </c>
      <c r="I7" s="137" t="s">
        <v>153</v>
      </c>
      <c r="J7" s="137" t="s">
        <v>38</v>
      </c>
      <c r="K7" s="137" t="s">
        <v>154</v>
      </c>
      <c r="L7" s="206">
        <v>3</v>
      </c>
      <c r="N7" s="206">
        <v>1</v>
      </c>
      <c r="O7" s="206">
        <v>0.7</v>
      </c>
      <c r="P7" s="235">
        <v>0.65</v>
      </c>
      <c r="Q7" s="243">
        <f t="shared" si="0"/>
        <v>0.67500000000000004</v>
      </c>
      <c r="R7" s="188">
        <v>14.6</v>
      </c>
      <c r="S7" s="188">
        <v>121</v>
      </c>
      <c r="T7" s="215">
        <f t="shared" si="1"/>
        <v>30</v>
      </c>
      <c r="U7" s="189">
        <v>98</v>
      </c>
      <c r="V7" s="184">
        <f t="shared" si="2"/>
        <v>2940</v>
      </c>
      <c r="W7" s="190">
        <v>2</v>
      </c>
      <c r="X7" s="186" t="s">
        <v>46</v>
      </c>
      <c r="Y7" s="186" t="s">
        <v>84</v>
      </c>
      <c r="Z7" s="186" t="s">
        <v>40</v>
      </c>
      <c r="AA7" s="176" t="s">
        <v>69</v>
      </c>
      <c r="AB7" s="55" t="s">
        <v>333</v>
      </c>
      <c r="AE7" s="221" t="s">
        <v>61</v>
      </c>
      <c r="AG7" s="241" t="s">
        <v>276</v>
      </c>
      <c r="AH7" s="241" t="s">
        <v>271</v>
      </c>
      <c r="AL7" s="233" t="s">
        <v>537</v>
      </c>
      <c r="AP7" s="222" t="s">
        <v>58</v>
      </c>
      <c r="AR7" s="229" t="s">
        <v>122</v>
      </c>
      <c r="AV7" s="222" t="s">
        <v>64</v>
      </c>
      <c r="AX7" s="223">
        <v>109</v>
      </c>
      <c r="AY7" s="224">
        <v>33</v>
      </c>
      <c r="AZ7" s="224">
        <v>113</v>
      </c>
      <c r="BA7" s="225">
        <v>30</v>
      </c>
    </row>
    <row r="8" spans="1:53" x14ac:dyDescent="0.15">
      <c r="A8" s="177" t="s">
        <v>34</v>
      </c>
      <c r="B8" s="177" t="s">
        <v>331</v>
      </c>
      <c r="C8" s="177">
        <v>2018</v>
      </c>
      <c r="D8" s="179" t="s">
        <v>337</v>
      </c>
      <c r="E8" s="178" t="s">
        <v>276</v>
      </c>
      <c r="F8" s="177" t="s">
        <v>277</v>
      </c>
      <c r="G8" s="180" t="s">
        <v>36</v>
      </c>
      <c r="H8" s="137" t="s">
        <v>205</v>
      </c>
      <c r="I8" s="137" t="s">
        <v>153</v>
      </c>
      <c r="J8" s="137" t="s">
        <v>38</v>
      </c>
      <c r="K8" s="137" t="s">
        <v>54</v>
      </c>
      <c r="L8" s="206">
        <v>1</v>
      </c>
      <c r="N8" s="206">
        <v>1</v>
      </c>
      <c r="O8" s="206">
        <v>0.55000000000000004</v>
      </c>
      <c r="P8" s="206">
        <v>0.5</v>
      </c>
      <c r="Q8" s="243">
        <f t="shared" si="0"/>
        <v>0.52500000000000002</v>
      </c>
      <c r="R8" s="188">
        <v>16.3</v>
      </c>
      <c r="S8" s="188">
        <v>123</v>
      </c>
      <c r="T8" s="215">
        <f t="shared" si="1"/>
        <v>33</v>
      </c>
      <c r="U8" s="193">
        <v>158</v>
      </c>
      <c r="V8" s="184">
        <f t="shared" si="2"/>
        <v>5214</v>
      </c>
      <c r="W8" s="190">
        <v>2</v>
      </c>
      <c r="X8" s="186" t="s">
        <v>46</v>
      </c>
      <c r="Y8" s="194" t="s">
        <v>84</v>
      </c>
      <c r="Z8" s="186" t="s">
        <v>40</v>
      </c>
      <c r="AA8" s="176" t="s">
        <v>69</v>
      </c>
      <c r="AB8" s="55" t="s">
        <v>333</v>
      </c>
      <c r="AE8" s="221" t="s">
        <v>59</v>
      </c>
      <c r="AG8" s="241" t="s">
        <v>538</v>
      </c>
      <c r="AH8" s="241" t="s">
        <v>280</v>
      </c>
      <c r="AL8" s="233" t="s">
        <v>350</v>
      </c>
      <c r="AP8" s="222" t="s">
        <v>62</v>
      </c>
      <c r="AR8" s="236" t="s">
        <v>81</v>
      </c>
      <c r="AV8" s="222" t="s">
        <v>97</v>
      </c>
      <c r="AX8" s="223">
        <v>151</v>
      </c>
      <c r="AY8" s="224">
        <v>22</v>
      </c>
      <c r="AZ8" s="224">
        <v>152</v>
      </c>
      <c r="BA8" s="225">
        <v>18</v>
      </c>
    </row>
    <row r="9" spans="1:53" x14ac:dyDescent="0.15">
      <c r="A9" s="177" t="s">
        <v>34</v>
      </c>
      <c r="B9" s="177" t="s">
        <v>331</v>
      </c>
      <c r="C9" s="178">
        <v>2018</v>
      </c>
      <c r="D9" s="179" t="s">
        <v>337</v>
      </c>
      <c r="E9" s="178" t="s">
        <v>276</v>
      </c>
      <c r="F9" s="177" t="s">
        <v>277</v>
      </c>
      <c r="G9" s="180" t="s">
        <v>36</v>
      </c>
      <c r="H9" s="137" t="s">
        <v>205</v>
      </c>
      <c r="I9" s="137" t="s">
        <v>153</v>
      </c>
      <c r="J9" s="137" t="s">
        <v>38</v>
      </c>
      <c r="K9" s="137" t="s">
        <v>54</v>
      </c>
      <c r="L9" s="206">
        <v>2</v>
      </c>
      <c r="N9" s="206">
        <v>1</v>
      </c>
      <c r="O9" s="206">
        <v>0.6</v>
      </c>
      <c r="P9" s="206">
        <v>0.6</v>
      </c>
      <c r="Q9" s="243">
        <f t="shared" si="0"/>
        <v>0.6</v>
      </c>
      <c r="R9" s="188">
        <v>16.100000000000001</v>
      </c>
      <c r="S9" s="188">
        <v>115</v>
      </c>
      <c r="T9" s="215">
        <f t="shared" si="1"/>
        <v>33</v>
      </c>
      <c r="U9" s="193">
        <v>158</v>
      </c>
      <c r="V9" s="184">
        <f t="shared" si="2"/>
        <v>5214</v>
      </c>
      <c r="W9" s="190">
        <v>2</v>
      </c>
      <c r="X9" s="186" t="s">
        <v>46</v>
      </c>
      <c r="Y9" s="194" t="s">
        <v>84</v>
      </c>
      <c r="Z9" s="186" t="s">
        <v>40</v>
      </c>
      <c r="AA9" s="176" t="s">
        <v>69</v>
      </c>
      <c r="AB9" s="55" t="s">
        <v>333</v>
      </c>
      <c r="AE9" s="221" t="s">
        <v>98</v>
      </c>
      <c r="AG9" s="241" t="s">
        <v>539</v>
      </c>
      <c r="AH9" s="241" t="s">
        <v>281</v>
      </c>
      <c r="AL9" s="228"/>
      <c r="AP9" s="222" t="s">
        <v>95</v>
      </c>
      <c r="AR9" s="229" t="s">
        <v>89</v>
      </c>
      <c r="AV9" s="222" t="s">
        <v>102</v>
      </c>
      <c r="AX9" s="230">
        <v>180</v>
      </c>
      <c r="AY9" s="231">
        <v>18</v>
      </c>
      <c r="AZ9" s="231">
        <v>181</v>
      </c>
      <c r="BA9" s="232">
        <v>16</v>
      </c>
    </row>
    <row r="10" spans="1:53" x14ac:dyDescent="0.15">
      <c r="A10" s="177" t="s">
        <v>34</v>
      </c>
      <c r="B10" s="177" t="s">
        <v>331</v>
      </c>
      <c r="C10" s="177">
        <v>2018</v>
      </c>
      <c r="D10" s="179" t="s">
        <v>337</v>
      </c>
      <c r="E10" s="178" t="s">
        <v>276</v>
      </c>
      <c r="F10" s="177" t="s">
        <v>277</v>
      </c>
      <c r="G10" s="180" t="s">
        <v>36</v>
      </c>
      <c r="H10" s="137" t="s">
        <v>205</v>
      </c>
      <c r="I10" s="137" t="s">
        <v>153</v>
      </c>
      <c r="J10" s="137" t="s">
        <v>38</v>
      </c>
      <c r="K10" s="137" t="s">
        <v>54</v>
      </c>
      <c r="L10" s="206">
        <v>3</v>
      </c>
      <c r="N10" s="206">
        <v>1</v>
      </c>
      <c r="O10" s="206">
        <v>0.6</v>
      </c>
      <c r="P10" s="206">
        <v>0.65</v>
      </c>
      <c r="Q10" s="243">
        <f t="shared" si="0"/>
        <v>0.625</v>
      </c>
      <c r="R10" s="188">
        <v>15.8</v>
      </c>
      <c r="S10" s="188">
        <v>123</v>
      </c>
      <c r="T10" s="215">
        <f t="shared" si="1"/>
        <v>33</v>
      </c>
      <c r="U10" s="193">
        <v>158</v>
      </c>
      <c r="V10" s="184">
        <f t="shared" si="2"/>
        <v>5214</v>
      </c>
      <c r="W10" s="190">
        <v>2</v>
      </c>
      <c r="X10" s="186" t="s">
        <v>46</v>
      </c>
      <c r="Y10" s="194" t="s">
        <v>84</v>
      </c>
      <c r="Z10" s="186" t="s">
        <v>40</v>
      </c>
      <c r="AA10" s="176" t="s">
        <v>69</v>
      </c>
      <c r="AB10" s="55" t="s">
        <v>333</v>
      </c>
      <c r="AE10" s="221" t="s">
        <v>103</v>
      </c>
      <c r="AG10" s="241" t="s">
        <v>540</v>
      </c>
      <c r="AH10" s="241" t="s">
        <v>541</v>
      </c>
      <c r="AL10" s="233"/>
      <c r="AP10" s="222" t="s">
        <v>100</v>
      </c>
      <c r="AR10" s="229" t="s">
        <v>123</v>
      </c>
      <c r="AV10" s="222" t="s">
        <v>106</v>
      </c>
    </row>
    <row r="11" spans="1:53" x14ac:dyDescent="0.15">
      <c r="A11" s="177" t="s">
        <v>34</v>
      </c>
      <c r="B11" s="177" t="s">
        <v>379</v>
      </c>
      <c r="C11" s="178">
        <v>2018</v>
      </c>
      <c r="D11" s="179" t="s">
        <v>337</v>
      </c>
      <c r="E11" s="178" t="s">
        <v>279</v>
      </c>
      <c r="F11" s="177" t="s">
        <v>277</v>
      </c>
      <c r="G11" s="180" t="s">
        <v>36</v>
      </c>
      <c r="H11" s="137" t="s">
        <v>155</v>
      </c>
      <c r="I11" s="137" t="s">
        <v>153</v>
      </c>
      <c r="J11" s="137" t="s">
        <v>38</v>
      </c>
      <c r="K11" s="137" t="s">
        <v>154</v>
      </c>
      <c r="L11" s="206">
        <v>1</v>
      </c>
      <c r="N11" s="206">
        <v>1</v>
      </c>
      <c r="O11" s="206">
        <v>1</v>
      </c>
      <c r="P11" s="206">
        <v>0.85</v>
      </c>
      <c r="Q11" s="243">
        <f t="shared" si="0"/>
        <v>0.92500000000000004</v>
      </c>
      <c r="R11" s="188">
        <v>12.4</v>
      </c>
      <c r="S11" s="188">
        <v>120</v>
      </c>
      <c r="T11" s="215">
        <f t="shared" si="1"/>
        <v>30</v>
      </c>
      <c r="U11" s="193">
        <v>98</v>
      </c>
      <c r="V11" s="184">
        <f t="shared" si="2"/>
        <v>2940</v>
      </c>
      <c r="W11" s="190">
        <v>1</v>
      </c>
      <c r="X11" s="186" t="s">
        <v>46</v>
      </c>
      <c r="Y11" s="194" t="s">
        <v>84</v>
      </c>
      <c r="Z11" s="186" t="s">
        <v>78</v>
      </c>
      <c r="AA11" s="195" t="s">
        <v>40</v>
      </c>
      <c r="AB11" s="55" t="s">
        <v>333</v>
      </c>
      <c r="AE11" s="221" t="s">
        <v>65</v>
      </c>
      <c r="AG11" s="236"/>
      <c r="AH11" s="236"/>
      <c r="AL11" s="233"/>
      <c r="AP11" s="222" t="s">
        <v>104</v>
      </c>
      <c r="AR11" s="229" t="s">
        <v>87</v>
      </c>
      <c r="AV11" s="222" t="s">
        <v>69</v>
      </c>
    </row>
    <row r="12" spans="1:53" x14ac:dyDescent="0.15">
      <c r="A12" s="177" t="s">
        <v>34</v>
      </c>
      <c r="B12" s="177" t="s">
        <v>331</v>
      </c>
      <c r="C12" s="177">
        <v>2018</v>
      </c>
      <c r="D12" s="179" t="s">
        <v>337</v>
      </c>
      <c r="E12" s="178" t="s">
        <v>279</v>
      </c>
      <c r="F12" s="177" t="s">
        <v>277</v>
      </c>
      <c r="G12" s="180" t="s">
        <v>36</v>
      </c>
      <c r="H12" s="137" t="s">
        <v>155</v>
      </c>
      <c r="I12" s="137" t="s">
        <v>153</v>
      </c>
      <c r="J12" s="137" t="s">
        <v>38</v>
      </c>
      <c r="K12" s="137" t="s">
        <v>154</v>
      </c>
      <c r="L12" s="206">
        <v>2</v>
      </c>
      <c r="N12" s="206">
        <v>1</v>
      </c>
      <c r="O12" s="206">
        <v>0.85</v>
      </c>
      <c r="P12" s="206">
        <v>0.9</v>
      </c>
      <c r="Q12" s="243">
        <f t="shared" si="0"/>
        <v>0.875</v>
      </c>
      <c r="R12" s="188">
        <v>13.3</v>
      </c>
      <c r="S12" s="188">
        <v>122</v>
      </c>
      <c r="T12" s="215">
        <f t="shared" si="1"/>
        <v>30</v>
      </c>
      <c r="U12" s="193">
        <v>98</v>
      </c>
      <c r="V12" s="184">
        <f t="shared" si="2"/>
        <v>2940</v>
      </c>
      <c r="W12" s="190">
        <v>1</v>
      </c>
      <c r="X12" s="186" t="s">
        <v>46</v>
      </c>
      <c r="Y12" s="194" t="s">
        <v>84</v>
      </c>
      <c r="Z12" s="186" t="s">
        <v>78</v>
      </c>
      <c r="AA12" s="195" t="s">
        <v>40</v>
      </c>
      <c r="AB12" s="55" t="s">
        <v>333</v>
      </c>
      <c r="AE12" s="221" t="s">
        <v>70</v>
      </c>
      <c r="AG12" s="236"/>
      <c r="AH12" s="236"/>
      <c r="AL12" s="233"/>
      <c r="AP12" s="222" t="s">
        <v>67</v>
      </c>
      <c r="AR12" s="229" t="s">
        <v>124</v>
      </c>
      <c r="AV12" s="222" t="s">
        <v>72</v>
      </c>
    </row>
    <row r="13" spans="1:53" x14ac:dyDescent="0.15">
      <c r="A13" s="177" t="s">
        <v>34</v>
      </c>
      <c r="B13" s="177" t="s">
        <v>331</v>
      </c>
      <c r="C13" s="178">
        <v>2018</v>
      </c>
      <c r="D13" s="179" t="s">
        <v>337</v>
      </c>
      <c r="E13" s="178" t="s">
        <v>279</v>
      </c>
      <c r="F13" s="177" t="s">
        <v>277</v>
      </c>
      <c r="G13" s="180" t="s">
        <v>36</v>
      </c>
      <c r="H13" s="137" t="s">
        <v>155</v>
      </c>
      <c r="I13" s="137" t="s">
        <v>153</v>
      </c>
      <c r="J13" s="137" t="s">
        <v>38</v>
      </c>
      <c r="K13" s="137" t="s">
        <v>154</v>
      </c>
      <c r="L13" s="206">
        <v>3</v>
      </c>
      <c r="N13" s="206">
        <v>1</v>
      </c>
      <c r="O13" s="206">
        <v>0.9</v>
      </c>
      <c r="P13" s="206">
        <v>0.9</v>
      </c>
      <c r="Q13" s="243">
        <f t="shared" si="0"/>
        <v>0.9</v>
      </c>
      <c r="R13" s="188">
        <v>13.1</v>
      </c>
      <c r="S13" s="188">
        <v>125</v>
      </c>
      <c r="T13" s="215">
        <f t="shared" si="1"/>
        <v>30</v>
      </c>
      <c r="U13" s="193">
        <v>98</v>
      </c>
      <c r="V13" s="184">
        <f t="shared" si="2"/>
        <v>2940</v>
      </c>
      <c r="W13" s="190">
        <v>1</v>
      </c>
      <c r="X13" s="186" t="s">
        <v>46</v>
      </c>
      <c r="Y13" s="194" t="s">
        <v>84</v>
      </c>
      <c r="Z13" s="186" t="s">
        <v>78</v>
      </c>
      <c r="AA13" s="195" t="s">
        <v>40</v>
      </c>
      <c r="AB13" s="55" t="s">
        <v>333</v>
      </c>
      <c r="AE13" s="221" t="s">
        <v>73</v>
      </c>
      <c r="AG13" s="196"/>
      <c r="AH13" s="196"/>
      <c r="AP13" s="222" t="s">
        <v>71</v>
      </c>
      <c r="AR13" s="229" t="s">
        <v>103</v>
      </c>
      <c r="AV13" s="222" t="s">
        <v>75</v>
      </c>
    </row>
    <row r="14" spans="1:53" x14ac:dyDescent="0.15">
      <c r="A14" s="177" t="s">
        <v>34</v>
      </c>
      <c r="B14" s="177" t="s">
        <v>331</v>
      </c>
      <c r="C14" s="177">
        <v>2018</v>
      </c>
      <c r="D14" s="179" t="s">
        <v>337</v>
      </c>
      <c r="E14" s="178" t="s">
        <v>523</v>
      </c>
      <c r="F14" s="177" t="s">
        <v>542</v>
      </c>
      <c r="G14" s="180" t="s">
        <v>36</v>
      </c>
      <c r="H14" s="137" t="s">
        <v>155</v>
      </c>
      <c r="I14" s="137" t="s">
        <v>153</v>
      </c>
      <c r="J14" s="137" t="s">
        <v>38</v>
      </c>
      <c r="K14" s="137" t="s">
        <v>154</v>
      </c>
      <c r="L14" s="206">
        <v>1</v>
      </c>
      <c r="N14" s="206">
        <v>1</v>
      </c>
      <c r="O14" s="206">
        <v>1</v>
      </c>
      <c r="P14" s="206">
        <v>0.95</v>
      </c>
      <c r="Q14" s="243">
        <f t="shared" si="0"/>
        <v>0.97499999999999998</v>
      </c>
      <c r="R14" s="188">
        <v>10.9</v>
      </c>
      <c r="S14" s="188">
        <v>117</v>
      </c>
      <c r="T14" s="215">
        <f t="shared" si="1"/>
        <v>30</v>
      </c>
      <c r="U14" s="193">
        <v>128</v>
      </c>
      <c r="V14" s="184">
        <f t="shared" si="2"/>
        <v>3840</v>
      </c>
      <c r="W14" s="190">
        <v>2</v>
      </c>
      <c r="X14" s="186" t="s">
        <v>46</v>
      </c>
      <c r="Y14" s="194" t="s">
        <v>84</v>
      </c>
      <c r="Z14" s="194" t="s">
        <v>90</v>
      </c>
      <c r="AA14" s="195" t="s">
        <v>40</v>
      </c>
      <c r="AB14" s="55" t="s">
        <v>333</v>
      </c>
      <c r="AC14" s="233"/>
      <c r="AE14" s="221" t="s">
        <v>76</v>
      </c>
      <c r="AG14" s="245"/>
      <c r="AH14" s="245"/>
      <c r="AP14" s="222" t="s">
        <v>74</v>
      </c>
      <c r="AR14" s="229" t="s">
        <v>125</v>
      </c>
      <c r="AV14" s="222" t="s">
        <v>78</v>
      </c>
    </row>
    <row r="15" spans="1:53" x14ac:dyDescent="0.15">
      <c r="A15" s="177" t="s">
        <v>34</v>
      </c>
      <c r="B15" s="177" t="s">
        <v>331</v>
      </c>
      <c r="C15" s="178">
        <v>2018</v>
      </c>
      <c r="D15" s="179" t="s">
        <v>337</v>
      </c>
      <c r="E15" s="178" t="s">
        <v>523</v>
      </c>
      <c r="F15" s="177" t="s">
        <v>542</v>
      </c>
      <c r="G15" s="180" t="s">
        <v>36</v>
      </c>
      <c r="H15" s="137" t="s">
        <v>155</v>
      </c>
      <c r="I15" s="137" t="s">
        <v>153</v>
      </c>
      <c r="J15" s="137" t="s">
        <v>38</v>
      </c>
      <c r="K15" s="137" t="s">
        <v>154</v>
      </c>
      <c r="L15" s="206">
        <v>2</v>
      </c>
      <c r="N15" s="206">
        <v>1</v>
      </c>
      <c r="O15" s="206">
        <v>1.1000000000000001</v>
      </c>
      <c r="P15" s="206">
        <v>1</v>
      </c>
      <c r="Q15" s="243">
        <f t="shared" si="0"/>
        <v>1.05</v>
      </c>
      <c r="R15" s="188">
        <v>10.199999999999999</v>
      </c>
      <c r="S15" s="188">
        <v>116</v>
      </c>
      <c r="T15" s="215">
        <f t="shared" si="1"/>
        <v>30</v>
      </c>
      <c r="U15" s="193">
        <v>128</v>
      </c>
      <c r="V15" s="184">
        <f t="shared" si="2"/>
        <v>3840</v>
      </c>
      <c r="W15" s="190">
        <v>2</v>
      </c>
      <c r="X15" s="186" t="s">
        <v>46</v>
      </c>
      <c r="Y15" s="194" t="s">
        <v>84</v>
      </c>
      <c r="Z15" s="194" t="s">
        <v>90</v>
      </c>
      <c r="AA15" s="195" t="s">
        <v>40</v>
      </c>
      <c r="AB15" s="55" t="s">
        <v>333</v>
      </c>
      <c r="AC15" s="233"/>
      <c r="AE15" s="221" t="s">
        <v>79</v>
      </c>
      <c r="AP15" s="222" t="s">
        <v>77</v>
      </c>
      <c r="AR15" s="229" t="s">
        <v>94</v>
      </c>
      <c r="AV15" s="222" t="s">
        <v>107</v>
      </c>
    </row>
    <row r="16" spans="1:53" x14ac:dyDescent="0.15">
      <c r="A16" s="177" t="s">
        <v>34</v>
      </c>
      <c r="B16" s="177" t="s">
        <v>331</v>
      </c>
      <c r="C16" s="177">
        <v>2018</v>
      </c>
      <c r="D16" s="179" t="s">
        <v>337</v>
      </c>
      <c r="E16" s="178" t="s">
        <v>523</v>
      </c>
      <c r="F16" s="177" t="s">
        <v>542</v>
      </c>
      <c r="G16" s="180" t="s">
        <v>36</v>
      </c>
      <c r="H16" s="137" t="s">
        <v>155</v>
      </c>
      <c r="I16" s="137" t="s">
        <v>153</v>
      </c>
      <c r="J16" s="137" t="s">
        <v>38</v>
      </c>
      <c r="K16" s="137" t="s">
        <v>154</v>
      </c>
      <c r="L16" s="206">
        <v>3</v>
      </c>
      <c r="N16" s="206">
        <v>1</v>
      </c>
      <c r="O16" s="206">
        <v>0.8</v>
      </c>
      <c r="P16" s="206">
        <v>0.9</v>
      </c>
      <c r="Q16" s="243">
        <f t="shared" si="0"/>
        <v>0.85000000000000009</v>
      </c>
      <c r="R16" s="188">
        <v>11.3</v>
      </c>
      <c r="S16" s="188">
        <v>117</v>
      </c>
      <c r="T16" s="215">
        <f t="shared" si="1"/>
        <v>30</v>
      </c>
      <c r="U16" s="193">
        <v>128</v>
      </c>
      <c r="V16" s="184">
        <f t="shared" si="2"/>
        <v>3840</v>
      </c>
      <c r="W16" s="190">
        <v>2</v>
      </c>
      <c r="X16" s="186" t="s">
        <v>46</v>
      </c>
      <c r="Y16" s="194" t="s">
        <v>84</v>
      </c>
      <c r="Z16" s="194" t="s">
        <v>90</v>
      </c>
      <c r="AA16" s="195" t="s">
        <v>40</v>
      </c>
      <c r="AB16" s="55" t="s">
        <v>333</v>
      </c>
      <c r="AC16" s="233"/>
      <c r="AE16" s="221" t="s">
        <v>82</v>
      </c>
      <c r="AP16" s="222" t="s">
        <v>80</v>
      </c>
      <c r="AR16" s="236" t="s">
        <v>63</v>
      </c>
      <c r="AV16" s="222" t="s">
        <v>84</v>
      </c>
    </row>
    <row r="17" spans="1:48" x14ac:dyDescent="0.15">
      <c r="A17" s="177" t="s">
        <v>34</v>
      </c>
      <c r="B17" s="177" t="s">
        <v>331</v>
      </c>
      <c r="C17" s="178">
        <v>2018</v>
      </c>
      <c r="D17" s="179" t="s">
        <v>337</v>
      </c>
      <c r="E17" s="178" t="s">
        <v>273</v>
      </c>
      <c r="F17" s="177" t="s">
        <v>274</v>
      </c>
      <c r="G17" s="180" t="s">
        <v>42</v>
      </c>
      <c r="H17" s="137" t="s">
        <v>155</v>
      </c>
      <c r="I17" s="137" t="s">
        <v>153</v>
      </c>
      <c r="J17" s="137" t="s">
        <v>38</v>
      </c>
      <c r="K17" s="137" t="s">
        <v>154</v>
      </c>
      <c r="L17" s="206">
        <v>1</v>
      </c>
      <c r="N17" s="206">
        <v>1</v>
      </c>
      <c r="O17" s="206">
        <v>0.75</v>
      </c>
      <c r="P17" s="206">
        <v>0.7</v>
      </c>
      <c r="Q17" s="243">
        <f t="shared" si="0"/>
        <v>0.72499999999999998</v>
      </c>
      <c r="R17" s="188">
        <v>14.4</v>
      </c>
      <c r="S17" s="188">
        <v>143</v>
      </c>
      <c r="T17" s="215">
        <f t="shared" si="1"/>
        <v>30</v>
      </c>
      <c r="U17" s="193">
        <v>87</v>
      </c>
      <c r="V17" s="184">
        <f t="shared" si="2"/>
        <v>2610</v>
      </c>
      <c r="W17" s="190">
        <v>6</v>
      </c>
      <c r="X17" s="186" t="s">
        <v>46</v>
      </c>
      <c r="Y17" s="194" t="s">
        <v>84</v>
      </c>
      <c r="Z17" s="194" t="s">
        <v>40</v>
      </c>
      <c r="AA17" s="195" t="s">
        <v>90</v>
      </c>
      <c r="AB17" s="55" t="s">
        <v>333</v>
      </c>
      <c r="AC17" s="233"/>
      <c r="AE17" s="221" t="s">
        <v>85</v>
      </c>
      <c r="AP17" s="237" t="s">
        <v>110</v>
      </c>
      <c r="AR17" s="236" t="s">
        <v>96</v>
      </c>
      <c r="AV17" s="222" t="s">
        <v>86</v>
      </c>
    </row>
    <row r="18" spans="1:48" x14ac:dyDescent="0.15">
      <c r="A18" s="177" t="s">
        <v>34</v>
      </c>
      <c r="B18" s="177" t="s">
        <v>331</v>
      </c>
      <c r="C18" s="177">
        <v>2018</v>
      </c>
      <c r="D18" s="179" t="s">
        <v>337</v>
      </c>
      <c r="E18" s="178" t="s">
        <v>273</v>
      </c>
      <c r="F18" s="177" t="s">
        <v>274</v>
      </c>
      <c r="G18" s="180" t="s">
        <v>42</v>
      </c>
      <c r="H18" s="137" t="s">
        <v>155</v>
      </c>
      <c r="I18" s="137" t="s">
        <v>153</v>
      </c>
      <c r="J18" s="137" t="s">
        <v>38</v>
      </c>
      <c r="K18" s="137" t="s">
        <v>154</v>
      </c>
      <c r="L18" s="206">
        <v>2</v>
      </c>
      <c r="N18" s="206">
        <v>1</v>
      </c>
      <c r="O18" s="206">
        <v>0.7</v>
      </c>
      <c r="P18" s="206">
        <v>0.6</v>
      </c>
      <c r="Q18" s="243">
        <f t="shared" si="0"/>
        <v>0.64999999999999991</v>
      </c>
      <c r="R18" s="188">
        <v>14.3</v>
      </c>
      <c r="S18" s="188">
        <v>139</v>
      </c>
      <c r="T18" s="215">
        <f t="shared" si="1"/>
        <v>30</v>
      </c>
      <c r="U18" s="193">
        <v>87</v>
      </c>
      <c r="V18" s="184">
        <f t="shared" si="2"/>
        <v>2610</v>
      </c>
      <c r="W18" s="190">
        <v>6</v>
      </c>
      <c r="X18" s="186" t="s">
        <v>46</v>
      </c>
      <c r="Y18" s="194" t="s">
        <v>84</v>
      </c>
      <c r="Z18" s="194" t="s">
        <v>40</v>
      </c>
      <c r="AA18" s="195" t="s">
        <v>90</v>
      </c>
      <c r="AB18" s="55" t="s">
        <v>333</v>
      </c>
      <c r="AC18" s="233"/>
      <c r="AE18" s="221" t="s">
        <v>87</v>
      </c>
      <c r="AP18" s="237" t="s">
        <v>111</v>
      </c>
      <c r="AR18" s="236" t="s">
        <v>101</v>
      </c>
      <c r="AV18" s="222" t="s">
        <v>88</v>
      </c>
    </row>
    <row r="19" spans="1:48" x14ac:dyDescent="0.15">
      <c r="A19" s="177" t="s">
        <v>34</v>
      </c>
      <c r="B19" s="177" t="s">
        <v>331</v>
      </c>
      <c r="C19" s="178">
        <v>2018</v>
      </c>
      <c r="D19" s="179" t="s">
        <v>337</v>
      </c>
      <c r="E19" s="178" t="s">
        <v>273</v>
      </c>
      <c r="F19" s="177" t="s">
        <v>274</v>
      </c>
      <c r="G19" s="180" t="s">
        <v>42</v>
      </c>
      <c r="H19" s="137" t="s">
        <v>155</v>
      </c>
      <c r="I19" s="137" t="s">
        <v>153</v>
      </c>
      <c r="J19" s="137" t="s">
        <v>38</v>
      </c>
      <c r="K19" s="137" t="s">
        <v>154</v>
      </c>
      <c r="L19" s="206">
        <v>3</v>
      </c>
      <c r="N19" s="206">
        <v>1</v>
      </c>
      <c r="O19" s="206">
        <v>0.8</v>
      </c>
      <c r="P19" s="206">
        <v>0.65</v>
      </c>
      <c r="Q19" s="243">
        <f t="shared" si="0"/>
        <v>0.72500000000000009</v>
      </c>
      <c r="R19" s="188">
        <v>14.7</v>
      </c>
      <c r="S19" s="188">
        <v>136</v>
      </c>
      <c r="T19" s="215">
        <f t="shared" si="1"/>
        <v>30</v>
      </c>
      <c r="U19" s="193">
        <v>87</v>
      </c>
      <c r="V19" s="184">
        <f t="shared" si="2"/>
        <v>2610</v>
      </c>
      <c r="W19" s="190">
        <v>6</v>
      </c>
      <c r="X19" s="186" t="s">
        <v>46</v>
      </c>
      <c r="Y19" s="194" t="s">
        <v>84</v>
      </c>
      <c r="Z19" s="194" t="s">
        <v>40</v>
      </c>
      <c r="AA19" s="195" t="s">
        <v>90</v>
      </c>
      <c r="AB19" s="55" t="s">
        <v>333</v>
      </c>
      <c r="AC19" s="233"/>
      <c r="AE19" s="234" t="s">
        <v>89</v>
      </c>
      <c r="AP19" s="237" t="s">
        <v>112</v>
      </c>
      <c r="AR19" s="229" t="s">
        <v>126</v>
      </c>
      <c r="AV19" s="222" t="s">
        <v>90</v>
      </c>
    </row>
    <row r="20" spans="1:48" x14ac:dyDescent="0.15">
      <c r="A20" s="177" t="s">
        <v>34</v>
      </c>
      <c r="B20" s="177" t="s">
        <v>331</v>
      </c>
      <c r="C20" s="177">
        <v>2018</v>
      </c>
      <c r="D20" s="179" t="s">
        <v>337</v>
      </c>
      <c r="E20" s="178" t="s">
        <v>273</v>
      </c>
      <c r="F20" s="177" t="s">
        <v>274</v>
      </c>
      <c r="G20" s="180" t="s">
        <v>42</v>
      </c>
      <c r="H20" s="137" t="s">
        <v>205</v>
      </c>
      <c r="I20" s="137" t="s">
        <v>153</v>
      </c>
      <c r="J20" s="137" t="s">
        <v>38</v>
      </c>
      <c r="K20" s="137" t="s">
        <v>54</v>
      </c>
      <c r="L20" s="206">
        <v>1</v>
      </c>
      <c r="N20" s="206">
        <v>1</v>
      </c>
      <c r="O20" s="206">
        <v>0.55000000000000004</v>
      </c>
      <c r="P20" s="206">
        <v>0.5</v>
      </c>
      <c r="Q20" s="243">
        <f t="shared" si="0"/>
        <v>0.52500000000000002</v>
      </c>
      <c r="R20" s="188">
        <v>12</v>
      </c>
      <c r="S20" s="197">
        <v>106</v>
      </c>
      <c r="T20" s="215">
        <f t="shared" si="1"/>
        <v>36</v>
      </c>
      <c r="U20" s="193">
        <v>127</v>
      </c>
      <c r="V20" s="184">
        <f t="shared" si="2"/>
        <v>4572</v>
      </c>
      <c r="W20" s="190">
        <v>6</v>
      </c>
      <c r="X20" s="186" t="s">
        <v>46</v>
      </c>
      <c r="Y20" s="194" t="s">
        <v>84</v>
      </c>
      <c r="Z20" s="194" t="s">
        <v>40</v>
      </c>
      <c r="AA20" s="195" t="s">
        <v>90</v>
      </c>
      <c r="AB20" s="55" t="s">
        <v>333</v>
      </c>
      <c r="AE20" s="234"/>
      <c r="AP20" s="237" t="s">
        <v>113</v>
      </c>
      <c r="AR20" s="236" t="s">
        <v>105</v>
      </c>
      <c r="AV20" s="226" t="s">
        <v>351</v>
      </c>
    </row>
    <row r="21" spans="1:48" x14ac:dyDescent="0.15">
      <c r="A21" s="177" t="s">
        <v>34</v>
      </c>
      <c r="B21" s="177" t="s">
        <v>331</v>
      </c>
      <c r="C21" s="178">
        <v>2018</v>
      </c>
      <c r="D21" s="179" t="s">
        <v>337</v>
      </c>
      <c r="E21" s="178" t="s">
        <v>273</v>
      </c>
      <c r="F21" s="177" t="s">
        <v>274</v>
      </c>
      <c r="G21" s="180" t="s">
        <v>42</v>
      </c>
      <c r="H21" s="137" t="s">
        <v>205</v>
      </c>
      <c r="I21" s="137" t="s">
        <v>153</v>
      </c>
      <c r="J21" s="137" t="s">
        <v>38</v>
      </c>
      <c r="K21" s="137" t="s">
        <v>54</v>
      </c>
      <c r="L21" s="206">
        <v>2</v>
      </c>
      <c r="N21" s="206">
        <v>1</v>
      </c>
      <c r="O21" s="206">
        <v>0.45</v>
      </c>
      <c r="P21" s="206">
        <v>0.5</v>
      </c>
      <c r="Q21" s="243">
        <f t="shared" si="0"/>
        <v>0.47499999999999998</v>
      </c>
      <c r="R21" s="197">
        <v>14.5</v>
      </c>
      <c r="S21" s="188">
        <v>106</v>
      </c>
      <c r="T21" s="215">
        <f t="shared" si="1"/>
        <v>36</v>
      </c>
      <c r="U21" s="193">
        <v>127</v>
      </c>
      <c r="V21" s="184">
        <f t="shared" si="2"/>
        <v>4572</v>
      </c>
      <c r="W21" s="190">
        <v>6</v>
      </c>
      <c r="X21" s="186" t="s">
        <v>46</v>
      </c>
      <c r="Y21" s="194" t="s">
        <v>84</v>
      </c>
      <c r="Z21" s="194" t="s">
        <v>40</v>
      </c>
      <c r="AA21" s="195" t="s">
        <v>90</v>
      </c>
      <c r="AB21" s="55" t="s">
        <v>333</v>
      </c>
      <c r="AE21" s="227"/>
      <c r="AP21" s="237" t="s">
        <v>114</v>
      </c>
      <c r="AR21" s="236" t="s">
        <v>68</v>
      </c>
      <c r="AV21" s="226" t="s">
        <v>352</v>
      </c>
    </row>
    <row r="22" spans="1:48" x14ac:dyDescent="0.15">
      <c r="A22" s="177" t="s">
        <v>34</v>
      </c>
      <c r="B22" s="177" t="s">
        <v>331</v>
      </c>
      <c r="C22" s="177">
        <v>2018</v>
      </c>
      <c r="D22" s="179" t="s">
        <v>337</v>
      </c>
      <c r="E22" s="178" t="s">
        <v>273</v>
      </c>
      <c r="F22" s="177" t="s">
        <v>274</v>
      </c>
      <c r="G22" s="180" t="s">
        <v>42</v>
      </c>
      <c r="H22" s="137" t="s">
        <v>205</v>
      </c>
      <c r="I22" s="137" t="s">
        <v>153</v>
      </c>
      <c r="J22" s="137" t="s">
        <v>38</v>
      </c>
      <c r="K22" s="137" t="s">
        <v>54</v>
      </c>
      <c r="L22" s="206">
        <v>3</v>
      </c>
      <c r="N22" s="206">
        <v>1</v>
      </c>
      <c r="O22" s="206">
        <v>0.5</v>
      </c>
      <c r="P22" s="233">
        <v>0.5</v>
      </c>
      <c r="Q22" s="243">
        <f t="shared" si="0"/>
        <v>0.5</v>
      </c>
      <c r="R22" s="188">
        <v>14.2</v>
      </c>
      <c r="S22" s="188">
        <v>95</v>
      </c>
      <c r="T22" s="215">
        <f t="shared" si="1"/>
        <v>39</v>
      </c>
      <c r="U22" s="193">
        <v>127</v>
      </c>
      <c r="V22" s="184">
        <f t="shared" si="2"/>
        <v>4953</v>
      </c>
      <c r="W22" s="190">
        <v>6</v>
      </c>
      <c r="X22" s="186" t="s">
        <v>46</v>
      </c>
      <c r="Y22" s="194" t="s">
        <v>84</v>
      </c>
      <c r="Z22" s="194" t="s">
        <v>40</v>
      </c>
      <c r="AA22" s="195" t="s">
        <v>90</v>
      </c>
      <c r="AB22" s="55" t="s">
        <v>333</v>
      </c>
      <c r="AP22" s="237" t="s">
        <v>115</v>
      </c>
      <c r="AR22" s="236" t="s">
        <v>83</v>
      </c>
      <c r="AV22" s="222"/>
    </row>
    <row r="23" spans="1:48" x14ac:dyDescent="0.15">
      <c r="A23" s="177" t="s">
        <v>34</v>
      </c>
      <c r="B23" s="177" t="s">
        <v>331</v>
      </c>
      <c r="C23" s="178">
        <v>2018</v>
      </c>
      <c r="D23" s="179" t="s">
        <v>337</v>
      </c>
      <c r="E23" s="178" t="s">
        <v>543</v>
      </c>
      <c r="F23" s="177" t="s">
        <v>274</v>
      </c>
      <c r="G23" s="180" t="s">
        <v>42</v>
      </c>
      <c r="H23" s="137" t="s">
        <v>155</v>
      </c>
      <c r="I23" s="137" t="s">
        <v>153</v>
      </c>
      <c r="J23" s="137" t="s">
        <v>38</v>
      </c>
      <c r="K23" s="137" t="s">
        <v>154</v>
      </c>
      <c r="L23" s="206">
        <v>1</v>
      </c>
      <c r="N23" s="206">
        <v>1</v>
      </c>
      <c r="O23" s="206">
        <v>0.85</v>
      </c>
      <c r="P23" s="233">
        <v>0.9</v>
      </c>
      <c r="Q23" s="243">
        <f t="shared" si="0"/>
        <v>0.875</v>
      </c>
      <c r="R23" s="188">
        <v>14.3</v>
      </c>
      <c r="S23" s="188">
        <v>113</v>
      </c>
      <c r="T23" s="215">
        <f t="shared" si="1"/>
        <v>30</v>
      </c>
      <c r="U23" s="193">
        <v>139</v>
      </c>
      <c r="V23" s="184">
        <f t="shared" si="2"/>
        <v>4170</v>
      </c>
      <c r="W23" s="190">
        <v>2</v>
      </c>
      <c r="X23" s="186" t="s">
        <v>46</v>
      </c>
      <c r="Y23" s="194" t="s">
        <v>84</v>
      </c>
      <c r="Z23" s="194" t="s">
        <v>78</v>
      </c>
      <c r="AA23" s="195" t="s">
        <v>60</v>
      </c>
      <c r="AB23" s="55" t="s">
        <v>333</v>
      </c>
      <c r="AP23" s="237" t="s">
        <v>398</v>
      </c>
      <c r="AR23" s="236" t="s">
        <v>61</v>
      </c>
      <c r="AV23" s="222"/>
    </row>
    <row r="24" spans="1:48" x14ac:dyDescent="0.15">
      <c r="A24" s="177" t="s">
        <v>34</v>
      </c>
      <c r="B24" s="177" t="s">
        <v>331</v>
      </c>
      <c r="C24" s="177">
        <v>2018</v>
      </c>
      <c r="D24" s="179" t="s">
        <v>337</v>
      </c>
      <c r="E24" s="178" t="s">
        <v>543</v>
      </c>
      <c r="F24" s="177" t="s">
        <v>274</v>
      </c>
      <c r="G24" s="180" t="s">
        <v>42</v>
      </c>
      <c r="H24" s="137" t="s">
        <v>155</v>
      </c>
      <c r="I24" s="137" t="s">
        <v>153</v>
      </c>
      <c r="J24" s="137" t="s">
        <v>38</v>
      </c>
      <c r="K24" s="137" t="s">
        <v>154</v>
      </c>
      <c r="L24" s="206">
        <v>2</v>
      </c>
      <c r="N24" s="206">
        <v>1</v>
      </c>
      <c r="O24" s="206">
        <v>1</v>
      </c>
      <c r="P24" s="233">
        <v>1.1499999999999999</v>
      </c>
      <c r="Q24" s="243">
        <f t="shared" si="0"/>
        <v>1.075</v>
      </c>
      <c r="R24" s="188">
        <v>12.5</v>
      </c>
      <c r="S24" s="188">
        <v>122</v>
      </c>
      <c r="T24" s="215">
        <f t="shared" si="1"/>
        <v>30</v>
      </c>
      <c r="U24" s="193">
        <v>139</v>
      </c>
      <c r="V24" s="184">
        <f t="shared" si="2"/>
        <v>4170</v>
      </c>
      <c r="W24" s="190">
        <v>2</v>
      </c>
      <c r="X24" s="186" t="s">
        <v>46</v>
      </c>
      <c r="Y24" s="194" t="s">
        <v>84</v>
      </c>
      <c r="Z24" s="194" t="s">
        <v>78</v>
      </c>
      <c r="AA24" s="195" t="s">
        <v>60</v>
      </c>
      <c r="AB24" s="55" t="s">
        <v>333</v>
      </c>
      <c r="AP24" s="237" t="s">
        <v>399</v>
      </c>
      <c r="AR24" s="236" t="s">
        <v>91</v>
      </c>
      <c r="AV24" s="222"/>
    </row>
    <row r="25" spans="1:48" x14ac:dyDescent="0.15">
      <c r="A25" s="177" t="s">
        <v>34</v>
      </c>
      <c r="B25" s="177" t="s">
        <v>331</v>
      </c>
      <c r="C25" s="178">
        <v>2018</v>
      </c>
      <c r="D25" s="179" t="s">
        <v>337</v>
      </c>
      <c r="E25" s="178" t="s">
        <v>543</v>
      </c>
      <c r="F25" s="177" t="s">
        <v>274</v>
      </c>
      <c r="G25" s="180" t="s">
        <v>42</v>
      </c>
      <c r="H25" s="137" t="s">
        <v>155</v>
      </c>
      <c r="I25" s="137" t="s">
        <v>153</v>
      </c>
      <c r="J25" s="137" t="s">
        <v>38</v>
      </c>
      <c r="K25" s="137" t="s">
        <v>154</v>
      </c>
      <c r="L25" s="206">
        <v>3</v>
      </c>
      <c r="N25" s="206">
        <v>1</v>
      </c>
      <c r="O25" s="206">
        <v>0.8</v>
      </c>
      <c r="P25" s="233">
        <v>0.9</v>
      </c>
      <c r="Q25" s="243">
        <f t="shared" si="0"/>
        <v>0.85000000000000009</v>
      </c>
      <c r="R25" s="188">
        <v>14.4</v>
      </c>
      <c r="S25" s="188">
        <v>119</v>
      </c>
      <c r="T25" s="215">
        <f t="shared" si="1"/>
        <v>30</v>
      </c>
      <c r="U25" s="193">
        <v>139</v>
      </c>
      <c r="V25" s="184">
        <f t="shared" si="2"/>
        <v>4170</v>
      </c>
      <c r="W25" s="190">
        <v>2</v>
      </c>
      <c r="X25" s="186" t="s">
        <v>46</v>
      </c>
      <c r="Y25" s="194" t="s">
        <v>84</v>
      </c>
      <c r="Z25" s="194" t="s">
        <v>78</v>
      </c>
      <c r="AA25" s="195" t="s">
        <v>60</v>
      </c>
      <c r="AB25" s="55" t="s">
        <v>333</v>
      </c>
      <c r="AP25" s="237" t="s">
        <v>116</v>
      </c>
      <c r="AR25" s="42" t="s">
        <v>92</v>
      </c>
      <c r="AV25" s="222"/>
    </row>
    <row r="26" spans="1:48" x14ac:dyDescent="0.15">
      <c r="A26" s="177" t="s">
        <v>34</v>
      </c>
      <c r="B26" s="177" t="s">
        <v>331</v>
      </c>
      <c r="C26" s="177">
        <v>2018</v>
      </c>
      <c r="D26" s="179" t="s">
        <v>337</v>
      </c>
      <c r="E26" s="178" t="s">
        <v>543</v>
      </c>
      <c r="F26" s="177" t="s">
        <v>274</v>
      </c>
      <c r="G26" s="180" t="s">
        <v>42</v>
      </c>
      <c r="H26" s="137" t="s">
        <v>205</v>
      </c>
      <c r="I26" s="137" t="s">
        <v>153</v>
      </c>
      <c r="J26" s="137" t="s">
        <v>38</v>
      </c>
      <c r="K26" s="137" t="s">
        <v>54</v>
      </c>
      <c r="L26" s="206">
        <v>1</v>
      </c>
      <c r="N26" s="206">
        <v>5</v>
      </c>
      <c r="O26" s="206">
        <v>0.6</v>
      </c>
      <c r="P26" s="235">
        <v>0.55000000000000004</v>
      </c>
      <c r="Q26" s="243">
        <f t="shared" si="0"/>
        <v>0.57499999999999996</v>
      </c>
      <c r="R26" s="188">
        <v>13.8</v>
      </c>
      <c r="S26" s="188">
        <v>75</v>
      </c>
      <c r="T26" s="215">
        <f t="shared" si="1"/>
        <v>42</v>
      </c>
      <c r="U26" s="193">
        <v>139</v>
      </c>
      <c r="V26" s="184">
        <f t="shared" si="2"/>
        <v>1167.6000000000001</v>
      </c>
      <c r="W26" s="190">
        <v>2</v>
      </c>
      <c r="X26" s="186" t="s">
        <v>46</v>
      </c>
      <c r="Y26" s="195" t="s">
        <v>84</v>
      </c>
      <c r="Z26" s="194" t="s">
        <v>78</v>
      </c>
      <c r="AA26" s="195" t="s">
        <v>60</v>
      </c>
      <c r="AB26" s="55" t="s">
        <v>333</v>
      </c>
      <c r="AP26" s="237" t="s">
        <v>117</v>
      </c>
      <c r="AR26" s="222" t="s">
        <v>283</v>
      </c>
      <c r="AV26" s="226"/>
    </row>
    <row r="27" spans="1:48" x14ac:dyDescent="0.15">
      <c r="A27" s="177" t="s">
        <v>34</v>
      </c>
      <c r="B27" s="177" t="s">
        <v>331</v>
      </c>
      <c r="C27" s="178">
        <v>2018</v>
      </c>
      <c r="D27" s="179" t="s">
        <v>337</v>
      </c>
      <c r="E27" s="178" t="s">
        <v>543</v>
      </c>
      <c r="F27" s="177" t="s">
        <v>274</v>
      </c>
      <c r="G27" s="180" t="s">
        <v>42</v>
      </c>
      <c r="H27" s="137" t="s">
        <v>205</v>
      </c>
      <c r="I27" s="137" t="s">
        <v>153</v>
      </c>
      <c r="J27" s="137" t="s">
        <v>38</v>
      </c>
      <c r="K27" s="137" t="s">
        <v>54</v>
      </c>
      <c r="L27" s="206">
        <v>2</v>
      </c>
      <c r="N27" s="206">
        <v>5</v>
      </c>
      <c r="O27" s="233">
        <v>0.7</v>
      </c>
      <c r="P27" s="235">
        <v>0.65</v>
      </c>
      <c r="Q27" s="243">
        <f t="shared" si="0"/>
        <v>0.67500000000000004</v>
      </c>
      <c r="R27" s="188">
        <v>14.8</v>
      </c>
      <c r="S27" s="188">
        <v>83</v>
      </c>
      <c r="T27" s="215">
        <f t="shared" si="1"/>
        <v>42</v>
      </c>
      <c r="U27" s="193">
        <v>139</v>
      </c>
      <c r="V27" s="184">
        <f t="shared" si="2"/>
        <v>1167.6000000000001</v>
      </c>
      <c r="W27" s="190">
        <v>2</v>
      </c>
      <c r="X27" s="186" t="s">
        <v>46</v>
      </c>
      <c r="Y27" s="195" t="s">
        <v>84</v>
      </c>
      <c r="Z27" s="194" t="s">
        <v>78</v>
      </c>
      <c r="AA27" s="195" t="s">
        <v>60</v>
      </c>
      <c r="AB27" s="55" t="s">
        <v>333</v>
      </c>
      <c r="AP27" s="237" t="s">
        <v>118</v>
      </c>
      <c r="AR27" s="222"/>
    </row>
    <row r="28" spans="1:48" x14ac:dyDescent="0.15">
      <c r="A28" s="177" t="s">
        <v>34</v>
      </c>
      <c r="B28" s="177" t="s">
        <v>331</v>
      </c>
      <c r="C28" s="177">
        <v>2018</v>
      </c>
      <c r="D28" s="179" t="s">
        <v>337</v>
      </c>
      <c r="E28" s="178" t="s">
        <v>543</v>
      </c>
      <c r="F28" s="177" t="s">
        <v>274</v>
      </c>
      <c r="G28" s="180" t="s">
        <v>42</v>
      </c>
      <c r="H28" s="137" t="s">
        <v>205</v>
      </c>
      <c r="I28" s="137" t="s">
        <v>153</v>
      </c>
      <c r="J28" s="137" t="s">
        <v>38</v>
      </c>
      <c r="K28" s="137" t="s">
        <v>54</v>
      </c>
      <c r="L28" s="206">
        <v>3</v>
      </c>
      <c r="N28" s="206">
        <v>5</v>
      </c>
      <c r="O28" s="233">
        <v>0.55000000000000004</v>
      </c>
      <c r="P28" s="206">
        <v>0.6</v>
      </c>
      <c r="Q28" s="243">
        <f t="shared" si="0"/>
        <v>0.57499999999999996</v>
      </c>
      <c r="R28" s="188">
        <v>15.5</v>
      </c>
      <c r="S28" s="188">
        <v>79</v>
      </c>
      <c r="T28" s="215">
        <f t="shared" si="1"/>
        <v>42</v>
      </c>
      <c r="U28" s="193">
        <v>139</v>
      </c>
      <c r="V28" s="184">
        <f t="shared" si="2"/>
        <v>1167.6000000000001</v>
      </c>
      <c r="W28" s="190">
        <v>2</v>
      </c>
      <c r="X28" s="186" t="s">
        <v>46</v>
      </c>
      <c r="Y28" s="195" t="s">
        <v>84</v>
      </c>
      <c r="Z28" s="194" t="s">
        <v>78</v>
      </c>
      <c r="AA28" s="195" t="s">
        <v>60</v>
      </c>
      <c r="AB28" s="55" t="s">
        <v>333</v>
      </c>
      <c r="AR28" s="222"/>
    </row>
    <row r="29" spans="1:48" x14ac:dyDescent="0.15">
      <c r="A29" s="177" t="s">
        <v>34</v>
      </c>
      <c r="B29" s="177" t="s">
        <v>331</v>
      </c>
      <c r="C29" s="177">
        <v>2018</v>
      </c>
      <c r="D29" s="179" t="s">
        <v>337</v>
      </c>
      <c r="E29" s="178" t="s">
        <v>139</v>
      </c>
      <c r="F29" s="177" t="s">
        <v>281</v>
      </c>
      <c r="G29" s="180" t="s">
        <v>36</v>
      </c>
      <c r="H29" s="137" t="s">
        <v>155</v>
      </c>
      <c r="I29" s="137" t="s">
        <v>153</v>
      </c>
      <c r="J29" s="137" t="s">
        <v>38</v>
      </c>
      <c r="K29" s="137" t="s">
        <v>154</v>
      </c>
      <c r="L29" s="206">
        <v>1</v>
      </c>
      <c r="N29" s="206">
        <v>1</v>
      </c>
      <c r="O29" s="206">
        <v>0.6</v>
      </c>
      <c r="P29" s="206">
        <v>0.55000000000000004</v>
      </c>
      <c r="Q29" s="243">
        <f t="shared" si="0"/>
        <v>0.57499999999999996</v>
      </c>
      <c r="R29" s="188">
        <v>10.3</v>
      </c>
      <c r="S29" s="188">
        <v>123</v>
      </c>
      <c r="T29" s="215">
        <f t="shared" si="1"/>
        <v>30</v>
      </c>
      <c r="U29" s="193">
        <v>129</v>
      </c>
      <c r="V29" s="184">
        <f t="shared" si="2"/>
        <v>3870</v>
      </c>
      <c r="W29" s="190">
        <v>6</v>
      </c>
      <c r="X29" s="186" t="s">
        <v>46</v>
      </c>
      <c r="Y29" s="195" t="s">
        <v>84</v>
      </c>
      <c r="Z29" s="194" t="s">
        <v>40</v>
      </c>
      <c r="AA29" s="195" t="s">
        <v>90</v>
      </c>
      <c r="AB29" s="55" t="s">
        <v>333</v>
      </c>
      <c r="AR29" s="227"/>
    </row>
    <row r="30" spans="1:48" x14ac:dyDescent="0.15">
      <c r="A30" s="177" t="s">
        <v>34</v>
      </c>
      <c r="B30" s="177" t="s">
        <v>331</v>
      </c>
      <c r="C30" s="178">
        <v>2018</v>
      </c>
      <c r="D30" s="179" t="s">
        <v>337</v>
      </c>
      <c r="E30" s="178" t="s">
        <v>139</v>
      </c>
      <c r="F30" s="177" t="s">
        <v>281</v>
      </c>
      <c r="G30" s="180" t="s">
        <v>36</v>
      </c>
      <c r="H30" s="137" t="s">
        <v>155</v>
      </c>
      <c r="I30" s="137" t="s">
        <v>153</v>
      </c>
      <c r="J30" s="137" t="s">
        <v>38</v>
      </c>
      <c r="K30" s="137" t="s">
        <v>154</v>
      </c>
      <c r="L30" s="206">
        <v>1</v>
      </c>
      <c r="N30" s="206">
        <v>1</v>
      </c>
      <c r="O30" s="206">
        <v>0.7</v>
      </c>
      <c r="P30" s="206">
        <v>0.7</v>
      </c>
      <c r="Q30" s="243">
        <f t="shared" si="0"/>
        <v>0.7</v>
      </c>
      <c r="R30" s="188">
        <v>13.3</v>
      </c>
      <c r="S30" s="188">
        <v>107</v>
      </c>
      <c r="T30" s="215">
        <f t="shared" si="1"/>
        <v>33</v>
      </c>
      <c r="U30" s="193">
        <v>129</v>
      </c>
      <c r="V30" s="184">
        <f t="shared" si="2"/>
        <v>4257</v>
      </c>
      <c r="W30" s="190">
        <v>6</v>
      </c>
      <c r="X30" s="186" t="s">
        <v>46</v>
      </c>
      <c r="Y30" s="195" t="s">
        <v>84</v>
      </c>
      <c r="Z30" s="194" t="s">
        <v>40</v>
      </c>
      <c r="AA30" s="195" t="s">
        <v>90</v>
      </c>
      <c r="AB30" s="55" t="s">
        <v>333</v>
      </c>
    </row>
    <row r="31" spans="1:48" x14ac:dyDescent="0.15">
      <c r="A31" s="177" t="s">
        <v>34</v>
      </c>
      <c r="B31" s="177" t="s">
        <v>331</v>
      </c>
      <c r="C31" s="177">
        <v>2018</v>
      </c>
      <c r="D31" s="179" t="s">
        <v>337</v>
      </c>
      <c r="E31" s="178" t="s">
        <v>139</v>
      </c>
      <c r="F31" s="177" t="s">
        <v>281</v>
      </c>
      <c r="G31" s="180" t="s">
        <v>36</v>
      </c>
      <c r="H31" s="137" t="s">
        <v>155</v>
      </c>
      <c r="I31" s="137" t="s">
        <v>153</v>
      </c>
      <c r="J31" s="137" t="s">
        <v>38</v>
      </c>
      <c r="K31" s="137" t="s">
        <v>154</v>
      </c>
      <c r="L31" s="206">
        <v>1</v>
      </c>
      <c r="N31" s="206">
        <v>1</v>
      </c>
      <c r="O31" s="206">
        <v>0.7</v>
      </c>
      <c r="P31" s="206">
        <v>0.6</v>
      </c>
      <c r="Q31" s="243">
        <f t="shared" si="0"/>
        <v>0.64999999999999991</v>
      </c>
      <c r="R31" s="188">
        <v>13.4</v>
      </c>
      <c r="S31" s="188">
        <v>113</v>
      </c>
      <c r="T31" s="215">
        <f t="shared" si="1"/>
        <v>30</v>
      </c>
      <c r="U31" s="193">
        <v>129</v>
      </c>
      <c r="V31" s="184">
        <f t="shared" si="2"/>
        <v>3870</v>
      </c>
      <c r="W31" s="190">
        <v>6</v>
      </c>
      <c r="X31" s="186" t="s">
        <v>46</v>
      </c>
      <c r="Y31" s="195" t="s">
        <v>84</v>
      </c>
      <c r="Z31" s="194" t="s">
        <v>40</v>
      </c>
      <c r="AA31" s="195" t="s">
        <v>90</v>
      </c>
      <c r="AB31" s="55" t="s">
        <v>333</v>
      </c>
    </row>
    <row r="32" spans="1:48" ht="14.25" customHeight="1" x14ac:dyDescent="0.15">
      <c r="A32" s="177" t="s">
        <v>34</v>
      </c>
      <c r="B32" s="177" t="s">
        <v>331</v>
      </c>
      <c r="C32" s="178">
        <v>2018</v>
      </c>
      <c r="D32" s="179" t="s">
        <v>337</v>
      </c>
      <c r="E32" s="178" t="s">
        <v>133</v>
      </c>
      <c r="F32" s="177" t="s">
        <v>275</v>
      </c>
      <c r="G32" s="180" t="s">
        <v>36</v>
      </c>
      <c r="H32" s="137" t="s">
        <v>155</v>
      </c>
      <c r="I32" s="137" t="s">
        <v>153</v>
      </c>
      <c r="J32" s="137" t="s">
        <v>38</v>
      </c>
      <c r="K32" s="137" t="s">
        <v>154</v>
      </c>
      <c r="L32" s="206">
        <v>1</v>
      </c>
      <c r="N32" s="206">
        <v>1</v>
      </c>
      <c r="O32" s="206">
        <v>0.8</v>
      </c>
      <c r="P32" s="206">
        <v>0.65</v>
      </c>
      <c r="Q32" s="243">
        <f t="shared" si="0"/>
        <v>0.72500000000000009</v>
      </c>
      <c r="R32" s="188">
        <v>12.5</v>
      </c>
      <c r="S32" s="188">
        <v>113</v>
      </c>
      <c r="T32" s="215">
        <f t="shared" si="1"/>
        <v>30</v>
      </c>
      <c r="U32" s="193">
        <v>84</v>
      </c>
      <c r="V32" s="184">
        <f t="shared" si="2"/>
        <v>2520</v>
      </c>
      <c r="W32" s="190">
        <v>6</v>
      </c>
      <c r="X32" s="186" t="s">
        <v>46</v>
      </c>
      <c r="Y32" s="195" t="s">
        <v>84</v>
      </c>
      <c r="Z32" s="194" t="s">
        <v>90</v>
      </c>
      <c r="AA32" s="194" t="s">
        <v>60</v>
      </c>
      <c r="AB32" s="55" t="s">
        <v>333</v>
      </c>
    </row>
    <row r="33" spans="1:28" x14ac:dyDescent="0.15">
      <c r="A33" s="177" t="s">
        <v>34</v>
      </c>
      <c r="B33" s="177" t="s">
        <v>331</v>
      </c>
      <c r="C33" s="177">
        <v>2018</v>
      </c>
      <c r="D33" s="179" t="s">
        <v>337</v>
      </c>
      <c r="E33" s="178" t="s">
        <v>133</v>
      </c>
      <c r="F33" s="177" t="s">
        <v>275</v>
      </c>
      <c r="G33" s="180" t="s">
        <v>36</v>
      </c>
      <c r="H33" s="137" t="s">
        <v>155</v>
      </c>
      <c r="I33" s="137" t="s">
        <v>153</v>
      </c>
      <c r="J33" s="137" t="s">
        <v>38</v>
      </c>
      <c r="K33" s="137" t="s">
        <v>154</v>
      </c>
      <c r="L33" s="206">
        <v>1</v>
      </c>
      <c r="N33" s="206">
        <v>1</v>
      </c>
      <c r="O33" s="206">
        <v>0.9</v>
      </c>
      <c r="P33" s="206">
        <v>0.8</v>
      </c>
      <c r="Q33" s="243">
        <f t="shared" si="0"/>
        <v>0.85000000000000009</v>
      </c>
      <c r="R33" s="188">
        <v>13.6</v>
      </c>
      <c r="S33" s="188">
        <v>107</v>
      </c>
      <c r="T33" s="215">
        <f t="shared" si="1"/>
        <v>33</v>
      </c>
      <c r="U33" s="193">
        <v>84</v>
      </c>
      <c r="V33" s="184">
        <f t="shared" si="2"/>
        <v>2772</v>
      </c>
      <c r="W33" s="190">
        <v>6</v>
      </c>
      <c r="X33" s="186" t="s">
        <v>46</v>
      </c>
      <c r="Y33" s="195" t="s">
        <v>84</v>
      </c>
      <c r="Z33" s="194" t="s">
        <v>90</v>
      </c>
      <c r="AA33" s="194" t="s">
        <v>60</v>
      </c>
      <c r="AB33" s="55" t="s">
        <v>333</v>
      </c>
    </row>
    <row r="34" spans="1:28" x14ac:dyDescent="0.15">
      <c r="A34" s="177" t="s">
        <v>34</v>
      </c>
      <c r="B34" s="177" t="s">
        <v>331</v>
      </c>
      <c r="C34" s="178">
        <v>2018</v>
      </c>
      <c r="D34" s="179" t="s">
        <v>337</v>
      </c>
      <c r="E34" s="178" t="s">
        <v>133</v>
      </c>
      <c r="F34" s="177" t="s">
        <v>275</v>
      </c>
      <c r="G34" s="180" t="s">
        <v>36</v>
      </c>
      <c r="H34" s="137" t="s">
        <v>155</v>
      </c>
      <c r="I34" s="137" t="s">
        <v>153</v>
      </c>
      <c r="J34" s="137" t="s">
        <v>38</v>
      </c>
      <c r="K34" s="137" t="s">
        <v>154</v>
      </c>
      <c r="L34" s="206">
        <v>1</v>
      </c>
      <c r="N34" s="206">
        <v>1</v>
      </c>
      <c r="O34" s="206">
        <v>0.95</v>
      </c>
      <c r="P34" s="233">
        <v>1</v>
      </c>
      <c r="Q34" s="243">
        <f t="shared" si="0"/>
        <v>0.97499999999999998</v>
      </c>
      <c r="R34" s="188">
        <v>13.4</v>
      </c>
      <c r="S34" s="188">
        <v>113</v>
      </c>
      <c r="T34" s="215">
        <f t="shared" si="1"/>
        <v>30</v>
      </c>
      <c r="U34" s="193">
        <v>84</v>
      </c>
      <c r="V34" s="184">
        <f t="shared" si="2"/>
        <v>2520</v>
      </c>
      <c r="W34" s="190">
        <v>6</v>
      </c>
      <c r="X34" s="186" t="s">
        <v>46</v>
      </c>
      <c r="Y34" s="195" t="s">
        <v>84</v>
      </c>
      <c r="Z34" s="194" t="s">
        <v>90</v>
      </c>
      <c r="AA34" s="194" t="s">
        <v>60</v>
      </c>
      <c r="AB34" s="55" t="s">
        <v>333</v>
      </c>
    </row>
    <row r="35" spans="1:28" x14ac:dyDescent="0.15">
      <c r="A35" s="177"/>
      <c r="B35" s="177"/>
      <c r="C35" s="178"/>
      <c r="D35" s="179"/>
      <c r="E35" s="178"/>
      <c r="F35" s="177"/>
      <c r="G35" s="180"/>
      <c r="H35" s="137"/>
      <c r="I35" s="137"/>
      <c r="J35" s="137"/>
      <c r="K35" s="137"/>
      <c r="Q35" s="243"/>
      <c r="R35" s="188"/>
      <c r="S35" s="188"/>
      <c r="U35" s="193"/>
      <c r="V35" s="184"/>
      <c r="W35" s="190"/>
      <c r="X35" s="186"/>
      <c r="Y35" s="194"/>
      <c r="Z35" s="194"/>
      <c r="AA35" s="194"/>
      <c r="AB35" s="55"/>
    </row>
    <row r="36" spans="1:28" x14ac:dyDescent="0.15">
      <c r="H36" s="245"/>
      <c r="I36" s="245"/>
      <c r="J36" s="245"/>
      <c r="K36" s="137"/>
      <c r="Q36" s="243" t="str">
        <f t="shared" ref="Q36:Q46" si="3">IF(OR(O36="",P36=""),"",AVERAGE(O36,P36))</f>
        <v/>
      </c>
      <c r="T36" s="215" t="str">
        <f t="shared" ref="T36:T46" si="4">IF(H36="","",IF(OR(H36="GREEN",H36="GK"),IF(S36&gt;=$AX$2,VLOOKUP(S36,$AX$2:$AY$7,2,1),""),IF(S36&gt;=$AZ$2,VLOOKUP(S36,$AZ$2:$BA$7,2,1),"")))</f>
        <v/>
      </c>
      <c r="V36" s="215" t="str">
        <f t="shared" ref="V36:V46" si="5">IF(OR(N36="",U36="",T36=""),"",U36/N36*T36)</f>
        <v/>
      </c>
    </row>
    <row r="37" spans="1:28" x14ac:dyDescent="0.15">
      <c r="H37" s="245"/>
      <c r="I37" s="245"/>
      <c r="J37" s="245"/>
      <c r="K37" s="137"/>
      <c r="Q37" s="243" t="str">
        <f t="shared" si="3"/>
        <v/>
      </c>
      <c r="T37" s="215" t="str">
        <f t="shared" si="4"/>
        <v/>
      </c>
      <c r="V37" s="215" t="str">
        <f t="shared" si="5"/>
        <v/>
      </c>
    </row>
    <row r="38" spans="1:28" x14ac:dyDescent="0.15">
      <c r="H38" s="245"/>
      <c r="I38" s="245"/>
      <c r="J38" s="245"/>
      <c r="K38" s="137"/>
      <c r="Q38" s="243" t="str">
        <f t="shared" si="3"/>
        <v/>
      </c>
      <c r="T38" s="215" t="str">
        <f t="shared" si="4"/>
        <v/>
      </c>
      <c r="V38" s="215" t="str">
        <f t="shared" si="5"/>
        <v/>
      </c>
    </row>
    <row r="39" spans="1:28" x14ac:dyDescent="0.15">
      <c r="H39" s="245"/>
      <c r="I39" s="245"/>
      <c r="J39" s="245"/>
      <c r="K39" s="137"/>
      <c r="Q39" s="243" t="str">
        <f t="shared" si="3"/>
        <v/>
      </c>
      <c r="T39" s="215" t="str">
        <f t="shared" si="4"/>
        <v/>
      </c>
      <c r="V39" s="215" t="str">
        <f t="shared" si="5"/>
        <v/>
      </c>
    </row>
    <row r="40" spans="1:28" x14ac:dyDescent="0.15">
      <c r="H40" s="245"/>
      <c r="I40" s="245"/>
      <c r="J40" s="245"/>
      <c r="K40" s="137"/>
      <c r="Q40" s="243" t="str">
        <f t="shared" si="3"/>
        <v/>
      </c>
      <c r="T40" s="215" t="str">
        <f t="shared" si="4"/>
        <v/>
      </c>
      <c r="V40" s="215" t="str">
        <f t="shared" si="5"/>
        <v/>
      </c>
    </row>
    <row r="41" spans="1:28" x14ac:dyDescent="0.15">
      <c r="H41" s="245"/>
      <c r="I41" s="245"/>
      <c r="J41" s="245"/>
      <c r="K41" s="137"/>
      <c r="Q41" s="243" t="str">
        <f t="shared" si="3"/>
        <v/>
      </c>
      <c r="T41" s="215" t="str">
        <f t="shared" si="4"/>
        <v/>
      </c>
      <c r="V41" s="215" t="str">
        <f t="shared" si="5"/>
        <v/>
      </c>
    </row>
    <row r="42" spans="1:28" x14ac:dyDescent="0.15">
      <c r="H42" s="245"/>
      <c r="I42" s="245"/>
      <c r="J42" s="245"/>
      <c r="K42" s="137"/>
      <c r="Q42" s="243" t="str">
        <f t="shared" si="3"/>
        <v/>
      </c>
      <c r="T42" s="215" t="str">
        <f t="shared" si="4"/>
        <v/>
      </c>
      <c r="V42" s="215" t="str">
        <f t="shared" si="5"/>
        <v/>
      </c>
    </row>
    <row r="43" spans="1:28" x14ac:dyDescent="0.15">
      <c r="H43" s="245"/>
      <c r="I43" s="245"/>
      <c r="J43" s="245"/>
      <c r="K43" s="137"/>
      <c r="Q43" s="243" t="str">
        <f t="shared" si="3"/>
        <v/>
      </c>
      <c r="T43" s="215" t="str">
        <f t="shared" si="4"/>
        <v/>
      </c>
      <c r="V43" s="215" t="str">
        <f t="shared" si="5"/>
        <v/>
      </c>
    </row>
    <row r="44" spans="1:28" x14ac:dyDescent="0.15">
      <c r="H44" s="245"/>
      <c r="I44" s="245"/>
      <c r="J44" s="245"/>
      <c r="K44" s="137"/>
      <c r="Q44" s="243" t="str">
        <f t="shared" si="3"/>
        <v/>
      </c>
      <c r="T44" s="215" t="str">
        <f t="shared" si="4"/>
        <v/>
      </c>
      <c r="V44" s="215" t="str">
        <f t="shared" si="5"/>
        <v/>
      </c>
    </row>
    <row r="45" spans="1:28" x14ac:dyDescent="0.15">
      <c r="H45" s="245"/>
      <c r="I45" s="245"/>
      <c r="J45" s="245"/>
      <c r="K45" s="137"/>
      <c r="Q45" s="243" t="str">
        <f t="shared" si="3"/>
        <v/>
      </c>
      <c r="T45" s="215" t="str">
        <f t="shared" si="4"/>
        <v/>
      </c>
      <c r="V45" s="215" t="str">
        <f t="shared" si="5"/>
        <v/>
      </c>
    </row>
    <row r="46" spans="1:28" x14ac:dyDescent="0.15">
      <c r="H46" s="245"/>
      <c r="I46" s="245"/>
      <c r="J46" s="245"/>
      <c r="K46" s="137"/>
      <c r="Q46" s="243" t="str">
        <f t="shared" si="3"/>
        <v/>
      </c>
      <c r="T46" s="215" t="str">
        <f t="shared" si="4"/>
        <v/>
      </c>
      <c r="V46" s="215" t="str">
        <f t="shared" si="5"/>
        <v/>
      </c>
    </row>
    <row r="47" spans="1:28" x14ac:dyDescent="0.15">
      <c r="H47" s="245"/>
      <c r="I47" s="245"/>
      <c r="J47" s="245"/>
      <c r="K47" s="137"/>
      <c r="Q47" s="243"/>
    </row>
    <row r="48" spans="1:28" x14ac:dyDescent="0.15">
      <c r="H48" s="245"/>
      <c r="I48" s="245"/>
      <c r="J48" s="245"/>
      <c r="K48" s="137"/>
      <c r="Q48" s="243"/>
    </row>
    <row r="49" spans="8:17" x14ac:dyDescent="0.15">
      <c r="H49" s="245"/>
      <c r="I49" s="245"/>
      <c r="J49" s="245"/>
      <c r="K49" s="137"/>
      <c r="Q49" s="243"/>
    </row>
    <row r="50" spans="8:17" x14ac:dyDescent="0.15">
      <c r="H50" s="245"/>
      <c r="I50" s="245"/>
      <c r="J50" s="245"/>
      <c r="K50" s="137"/>
      <c r="Q50" s="243"/>
    </row>
    <row r="51" spans="8:17" x14ac:dyDescent="0.15">
      <c r="H51" s="245"/>
      <c r="I51" s="245"/>
      <c r="J51" s="245"/>
      <c r="K51" s="137"/>
      <c r="Q51" s="243"/>
    </row>
    <row r="52" spans="8:17" x14ac:dyDescent="0.15">
      <c r="H52" s="245"/>
      <c r="I52" s="245"/>
      <c r="J52" s="245"/>
      <c r="K52" s="137"/>
      <c r="Q52" s="243"/>
    </row>
    <row r="53" spans="8:17" x14ac:dyDescent="0.15">
      <c r="H53" s="245"/>
      <c r="I53" s="245"/>
      <c r="J53" s="245"/>
      <c r="K53" s="137"/>
      <c r="Q53" s="243"/>
    </row>
    <row r="54" spans="8:17" x14ac:dyDescent="0.15">
      <c r="H54" s="245"/>
      <c r="I54" s="245"/>
      <c r="J54" s="245"/>
      <c r="K54" s="137"/>
      <c r="Q54" s="243"/>
    </row>
    <row r="55" spans="8:17" x14ac:dyDescent="0.15">
      <c r="H55" s="245"/>
      <c r="I55" s="245"/>
      <c r="J55" s="245"/>
      <c r="K55" s="137"/>
      <c r="Q55" s="243"/>
    </row>
    <row r="56" spans="8:17" x14ac:dyDescent="0.15">
      <c r="H56" s="245"/>
      <c r="I56" s="245"/>
      <c r="J56" s="245"/>
      <c r="K56" s="137"/>
      <c r="Q56" s="243"/>
    </row>
    <row r="57" spans="8:17" x14ac:dyDescent="0.15">
      <c r="H57" s="245"/>
      <c r="I57" s="245"/>
      <c r="J57" s="245"/>
      <c r="K57" s="137"/>
      <c r="Q57" s="243"/>
    </row>
    <row r="58" spans="8:17" x14ac:dyDescent="0.15">
      <c r="H58" s="245"/>
      <c r="I58" s="245"/>
      <c r="J58" s="245"/>
      <c r="K58" s="137"/>
      <c r="Q58" s="243"/>
    </row>
    <row r="59" spans="8:17" x14ac:dyDescent="0.15">
      <c r="H59" s="245"/>
      <c r="I59" s="245"/>
      <c r="J59" s="245"/>
      <c r="K59" s="137"/>
      <c r="Q59" s="243"/>
    </row>
    <row r="60" spans="8:17" x14ac:dyDescent="0.15">
      <c r="H60" s="245"/>
      <c r="I60" s="245"/>
      <c r="J60" s="245"/>
      <c r="K60" s="137"/>
      <c r="Q60" s="243"/>
    </row>
    <row r="61" spans="8:17" x14ac:dyDescent="0.15">
      <c r="H61" s="245"/>
      <c r="I61" s="245"/>
      <c r="J61" s="245"/>
      <c r="K61" s="137"/>
      <c r="Q61" s="243"/>
    </row>
    <row r="62" spans="8:17" x14ac:dyDescent="0.15">
      <c r="H62" s="245"/>
      <c r="I62" s="245"/>
      <c r="J62" s="245"/>
      <c r="K62" s="137"/>
      <c r="Q62" s="243"/>
    </row>
    <row r="63" spans="8:17" x14ac:dyDescent="0.15">
      <c r="H63" s="245"/>
      <c r="I63" s="245"/>
      <c r="J63" s="245"/>
      <c r="K63" s="137"/>
      <c r="Q63" s="243"/>
    </row>
    <row r="64" spans="8:17" x14ac:dyDescent="0.15">
      <c r="H64" s="245"/>
      <c r="I64" s="245"/>
      <c r="J64" s="245"/>
      <c r="K64" s="137"/>
      <c r="Q64" s="243"/>
    </row>
    <row r="65" spans="8:17" x14ac:dyDescent="0.15">
      <c r="H65" s="245"/>
      <c r="I65" s="245"/>
      <c r="J65" s="245"/>
      <c r="K65" s="137"/>
      <c r="Q65" s="243"/>
    </row>
    <row r="66" spans="8:17" x14ac:dyDescent="0.15">
      <c r="H66" s="245"/>
      <c r="I66" s="245"/>
      <c r="J66" s="245"/>
      <c r="K66" s="137"/>
      <c r="Q66" s="243"/>
    </row>
    <row r="67" spans="8:17" x14ac:dyDescent="0.15">
      <c r="H67" s="245"/>
      <c r="I67" s="245"/>
      <c r="J67" s="245"/>
      <c r="K67" s="137"/>
      <c r="Q67" s="243"/>
    </row>
    <row r="68" spans="8:17" x14ac:dyDescent="0.15">
      <c r="H68" s="245"/>
      <c r="I68" s="245"/>
      <c r="J68" s="245"/>
      <c r="K68" s="137"/>
      <c r="Q68" s="243"/>
    </row>
    <row r="69" spans="8:17" x14ac:dyDescent="0.15">
      <c r="H69" s="245"/>
      <c r="I69" s="245"/>
      <c r="J69" s="245"/>
      <c r="K69" s="137"/>
      <c r="Q69" s="243"/>
    </row>
    <row r="70" spans="8:17" x14ac:dyDescent="0.15">
      <c r="H70" s="245"/>
      <c r="I70" s="245"/>
      <c r="J70" s="245"/>
      <c r="K70" s="137"/>
      <c r="Q70" s="243"/>
    </row>
    <row r="71" spans="8:17" x14ac:dyDescent="0.15">
      <c r="H71" s="245"/>
      <c r="I71" s="245"/>
      <c r="J71" s="245"/>
      <c r="K71" s="137"/>
      <c r="Q71" s="243"/>
    </row>
    <row r="72" spans="8:17" x14ac:dyDescent="0.15">
      <c r="H72" s="245"/>
      <c r="I72" s="245"/>
      <c r="J72" s="245"/>
      <c r="K72" s="137"/>
      <c r="Q72" s="243"/>
    </row>
    <row r="73" spans="8:17" x14ac:dyDescent="0.15">
      <c r="H73" s="245"/>
      <c r="I73" s="245"/>
      <c r="J73" s="245"/>
      <c r="K73" s="137"/>
      <c r="Q73" s="243"/>
    </row>
    <row r="74" spans="8:17" x14ac:dyDescent="0.15">
      <c r="H74" s="245"/>
      <c r="I74" s="245"/>
      <c r="J74" s="245"/>
      <c r="K74" s="137"/>
      <c r="Q74" s="243"/>
    </row>
    <row r="75" spans="8:17" x14ac:dyDescent="0.15">
      <c r="H75" s="245"/>
      <c r="I75" s="245"/>
      <c r="J75" s="245"/>
      <c r="K75" s="137"/>
      <c r="Q75" s="243"/>
    </row>
    <row r="76" spans="8:17" x14ac:dyDescent="0.15">
      <c r="H76" s="245"/>
      <c r="I76" s="245"/>
      <c r="J76" s="245"/>
      <c r="K76" s="137"/>
      <c r="Q76" s="243"/>
    </row>
    <row r="77" spans="8:17" x14ac:dyDescent="0.15">
      <c r="H77" s="245"/>
      <c r="I77" s="245"/>
      <c r="J77" s="245"/>
      <c r="K77" s="137"/>
      <c r="Q77" s="243"/>
    </row>
    <row r="78" spans="8:17" x14ac:dyDescent="0.15">
      <c r="H78" s="245"/>
      <c r="I78" s="245"/>
      <c r="J78" s="245"/>
      <c r="K78" s="137"/>
      <c r="Q78" s="243"/>
    </row>
    <row r="79" spans="8:17" x14ac:dyDescent="0.15">
      <c r="H79" s="245"/>
      <c r="I79" s="245"/>
      <c r="J79" s="245"/>
      <c r="K79" s="137"/>
      <c r="Q79" s="243"/>
    </row>
    <row r="80" spans="8:17" x14ac:dyDescent="0.15">
      <c r="H80" s="245"/>
      <c r="I80" s="245"/>
      <c r="J80" s="245"/>
      <c r="K80" s="137"/>
      <c r="Q80" s="243"/>
    </row>
    <row r="81" spans="8:17" x14ac:dyDescent="0.15">
      <c r="H81" s="245"/>
      <c r="I81" s="245"/>
      <c r="J81" s="245"/>
      <c r="K81" s="137"/>
      <c r="Q81" s="243"/>
    </row>
    <row r="82" spans="8:17" x14ac:dyDescent="0.15">
      <c r="H82" s="245"/>
      <c r="I82" s="245"/>
      <c r="J82" s="245"/>
      <c r="K82" s="137"/>
      <c r="Q82" s="243"/>
    </row>
    <row r="83" spans="8:17" x14ac:dyDescent="0.15">
      <c r="H83" s="245"/>
      <c r="I83" s="245"/>
      <c r="J83" s="245"/>
      <c r="K83" s="137"/>
      <c r="Q83" s="243"/>
    </row>
    <row r="84" spans="8:17" x14ac:dyDescent="0.15">
      <c r="H84" s="245"/>
      <c r="I84" s="245"/>
      <c r="J84" s="245"/>
      <c r="K84" s="137"/>
      <c r="Q84" s="243"/>
    </row>
    <row r="85" spans="8:17" x14ac:dyDescent="0.15">
      <c r="H85" s="245"/>
      <c r="I85" s="245"/>
      <c r="J85" s="245"/>
      <c r="K85" s="137"/>
      <c r="Q85" s="243"/>
    </row>
    <row r="86" spans="8:17" x14ac:dyDescent="0.15">
      <c r="H86" s="245"/>
      <c r="I86" s="245"/>
      <c r="J86" s="245"/>
      <c r="K86" s="137"/>
      <c r="Q86" s="243"/>
    </row>
    <row r="87" spans="8:17" x14ac:dyDescent="0.15">
      <c r="H87" s="245"/>
      <c r="I87" s="245"/>
      <c r="J87" s="245"/>
      <c r="K87" s="137"/>
      <c r="Q87" s="243"/>
    </row>
    <row r="88" spans="8:17" x14ac:dyDescent="0.15">
      <c r="H88" s="245"/>
      <c r="I88" s="245"/>
      <c r="J88" s="245"/>
      <c r="K88" s="137"/>
      <c r="Q88" s="243"/>
    </row>
    <row r="89" spans="8:17" x14ac:dyDescent="0.15">
      <c r="H89" s="245"/>
      <c r="I89" s="245"/>
      <c r="J89" s="245"/>
      <c r="K89" s="137"/>
      <c r="Q89" s="243"/>
    </row>
    <row r="90" spans="8:17" x14ac:dyDescent="0.15">
      <c r="H90" s="245"/>
      <c r="I90" s="245"/>
      <c r="J90" s="245"/>
      <c r="K90" s="137"/>
      <c r="Q90" s="243"/>
    </row>
    <row r="91" spans="8:17" x14ac:dyDescent="0.15">
      <c r="H91" s="245"/>
      <c r="I91" s="245"/>
      <c r="J91" s="245"/>
      <c r="K91" s="137"/>
      <c r="Q91" s="243"/>
    </row>
    <row r="92" spans="8:17" x14ac:dyDescent="0.15">
      <c r="H92" s="245"/>
      <c r="I92" s="245"/>
      <c r="J92" s="245"/>
      <c r="K92" s="137"/>
      <c r="Q92" s="243"/>
    </row>
    <row r="93" spans="8:17" x14ac:dyDescent="0.15">
      <c r="H93" s="245"/>
      <c r="I93" s="245"/>
      <c r="J93" s="245"/>
      <c r="K93" s="137"/>
      <c r="Q93" s="243"/>
    </row>
    <row r="94" spans="8:17" x14ac:dyDescent="0.15">
      <c r="H94" s="245"/>
      <c r="I94" s="245"/>
      <c r="J94" s="245"/>
      <c r="K94" s="137"/>
      <c r="Q94" s="243"/>
    </row>
    <row r="95" spans="8:17" x14ac:dyDescent="0.15">
      <c r="H95" s="245"/>
      <c r="I95" s="245"/>
      <c r="J95" s="245"/>
      <c r="K95" s="137"/>
      <c r="Q95" s="243"/>
    </row>
    <row r="96" spans="8:17" x14ac:dyDescent="0.15">
      <c r="H96" s="245"/>
      <c r="I96" s="245"/>
      <c r="J96" s="245"/>
      <c r="K96" s="137"/>
      <c r="Q96" s="243"/>
    </row>
    <row r="97" spans="11:17" x14ac:dyDescent="0.15">
      <c r="K97" s="137"/>
      <c r="Q97" s="243"/>
    </row>
    <row r="98" spans="11:17" x14ac:dyDescent="0.15">
      <c r="K98" s="137"/>
      <c r="Q98" s="243"/>
    </row>
    <row r="99" spans="11:17" x14ac:dyDescent="0.15">
      <c r="K99" s="137"/>
      <c r="Q99" s="243"/>
    </row>
    <row r="100" spans="11:17" x14ac:dyDescent="0.15">
      <c r="K100" s="137"/>
      <c r="Q100" s="243"/>
    </row>
    <row r="101" spans="11:17" x14ac:dyDescent="0.15">
      <c r="K101" s="137"/>
      <c r="Q101" s="243"/>
    </row>
    <row r="102" spans="11:17" x14ac:dyDescent="0.15">
      <c r="K102" s="137"/>
      <c r="Q102" s="243"/>
    </row>
    <row r="103" spans="11:17" x14ac:dyDescent="0.15">
      <c r="K103" s="137"/>
      <c r="Q103" s="243"/>
    </row>
    <row r="104" spans="11:17" x14ac:dyDescent="0.15">
      <c r="K104" s="137"/>
      <c r="Q104" s="243"/>
    </row>
    <row r="105" spans="11:17" x14ac:dyDescent="0.15">
      <c r="K105" s="137"/>
      <c r="Q105" s="243"/>
    </row>
    <row r="106" spans="11:17" x14ac:dyDescent="0.15">
      <c r="K106" s="137"/>
      <c r="Q106" s="243"/>
    </row>
    <row r="107" spans="11:17" x14ac:dyDescent="0.15">
      <c r="K107" s="137"/>
      <c r="Q107" s="243"/>
    </row>
    <row r="108" spans="11:17" x14ac:dyDescent="0.15">
      <c r="K108" s="137"/>
      <c r="Q108" s="243"/>
    </row>
    <row r="109" spans="11:17" x14ac:dyDescent="0.15">
      <c r="K109" s="137"/>
      <c r="Q109" s="243"/>
    </row>
    <row r="110" spans="11:17" x14ac:dyDescent="0.15">
      <c r="K110" s="137"/>
      <c r="Q110" s="243"/>
    </row>
    <row r="111" spans="11:17" x14ac:dyDescent="0.15">
      <c r="K111" s="137"/>
      <c r="Q111" s="243"/>
    </row>
    <row r="112" spans="11:17" x14ac:dyDescent="0.15">
      <c r="K112" s="137"/>
      <c r="Q112" s="243"/>
    </row>
    <row r="113" spans="11:17" x14ac:dyDescent="0.15">
      <c r="K113" s="137"/>
      <c r="Q113" s="243"/>
    </row>
    <row r="114" spans="11:17" x14ac:dyDescent="0.15">
      <c r="K114" s="137"/>
      <c r="Q114" s="243"/>
    </row>
    <row r="115" spans="11:17" x14ac:dyDescent="0.15">
      <c r="K115" s="137"/>
      <c r="Q115" s="243"/>
    </row>
    <row r="116" spans="11:17" x14ac:dyDescent="0.15">
      <c r="K116" s="137"/>
      <c r="Q116" s="243"/>
    </row>
    <row r="117" spans="11:17" x14ac:dyDescent="0.15">
      <c r="K117" s="137"/>
      <c r="Q117" s="243"/>
    </row>
    <row r="118" spans="11:17" x14ac:dyDescent="0.15">
      <c r="K118" s="137"/>
      <c r="Q118" s="243"/>
    </row>
    <row r="119" spans="11:17" x14ac:dyDescent="0.15">
      <c r="K119" s="137"/>
      <c r="Q119" s="243"/>
    </row>
    <row r="120" spans="11:17" x14ac:dyDescent="0.15">
      <c r="K120" s="137"/>
      <c r="Q120" s="243"/>
    </row>
    <row r="121" spans="11:17" x14ac:dyDescent="0.15">
      <c r="K121" s="137"/>
      <c r="Q121" s="243"/>
    </row>
    <row r="122" spans="11:17" x14ac:dyDescent="0.15">
      <c r="K122" s="137"/>
      <c r="Q122" s="243"/>
    </row>
    <row r="123" spans="11:17" x14ac:dyDescent="0.15">
      <c r="K123" s="137"/>
      <c r="Q123" s="243"/>
    </row>
    <row r="124" spans="11:17" x14ac:dyDescent="0.15">
      <c r="K124" s="137"/>
      <c r="Q124" s="243"/>
    </row>
    <row r="125" spans="11:17" x14ac:dyDescent="0.15">
      <c r="K125" s="137"/>
      <c r="Q125" s="243"/>
    </row>
    <row r="126" spans="11:17" x14ac:dyDescent="0.15">
      <c r="K126" s="137"/>
      <c r="Q126" s="243"/>
    </row>
    <row r="127" spans="11:17" x14ac:dyDescent="0.15">
      <c r="K127" s="137"/>
      <c r="Q127" s="243"/>
    </row>
    <row r="128" spans="11:17" x14ac:dyDescent="0.15">
      <c r="K128" s="137"/>
      <c r="Q128" s="243"/>
    </row>
    <row r="129" spans="11:17" x14ac:dyDescent="0.15">
      <c r="K129" s="137"/>
      <c r="Q129" s="243"/>
    </row>
    <row r="130" spans="11:17" x14ac:dyDescent="0.15">
      <c r="K130" s="137"/>
      <c r="Q130" s="243"/>
    </row>
    <row r="131" spans="11:17" x14ac:dyDescent="0.15">
      <c r="K131" s="137"/>
      <c r="Q131" s="243"/>
    </row>
    <row r="132" spans="11:17" x14ac:dyDescent="0.15">
      <c r="K132" s="137"/>
      <c r="Q132" s="243"/>
    </row>
    <row r="133" spans="11:17" x14ac:dyDescent="0.15">
      <c r="K133" s="137"/>
      <c r="Q133" s="243"/>
    </row>
    <row r="134" spans="11:17" x14ac:dyDescent="0.15">
      <c r="K134" s="137"/>
      <c r="Q134" s="243"/>
    </row>
    <row r="135" spans="11:17" x14ac:dyDescent="0.15">
      <c r="K135" s="137"/>
      <c r="Q135" s="243"/>
    </row>
    <row r="136" spans="11:17" x14ac:dyDescent="0.15">
      <c r="K136" s="137"/>
      <c r="Q136" s="243"/>
    </row>
    <row r="137" spans="11:17" x14ac:dyDescent="0.15">
      <c r="K137" s="137"/>
      <c r="Q137" s="243"/>
    </row>
    <row r="138" spans="11:17" x14ac:dyDescent="0.15">
      <c r="K138" s="137"/>
      <c r="Q138" s="243"/>
    </row>
    <row r="139" spans="11:17" x14ac:dyDescent="0.15">
      <c r="K139" s="137"/>
      <c r="Q139" s="243"/>
    </row>
    <row r="140" spans="11:17" x14ac:dyDescent="0.15">
      <c r="K140" s="137"/>
      <c r="Q140" s="243"/>
    </row>
    <row r="141" spans="11:17" x14ac:dyDescent="0.15">
      <c r="K141" s="137"/>
      <c r="Q141" s="243"/>
    </row>
    <row r="142" spans="11:17" x14ac:dyDescent="0.15">
      <c r="K142" s="137"/>
      <c r="Q142" s="243"/>
    </row>
    <row r="143" spans="11:17" x14ac:dyDescent="0.15">
      <c r="K143" s="137"/>
      <c r="Q143" s="243"/>
    </row>
    <row r="144" spans="11:17" x14ac:dyDescent="0.15">
      <c r="K144" s="137"/>
      <c r="Q144" s="243"/>
    </row>
    <row r="145" spans="11:17" x14ac:dyDescent="0.15">
      <c r="K145" s="137"/>
      <c r="Q145" s="243"/>
    </row>
    <row r="146" spans="11:17" x14ac:dyDescent="0.15">
      <c r="K146" s="137"/>
      <c r="Q146" s="243"/>
    </row>
    <row r="147" spans="11:17" x14ac:dyDescent="0.15">
      <c r="K147" s="137"/>
      <c r="Q147" s="243"/>
    </row>
    <row r="148" spans="11:17" x14ac:dyDescent="0.15">
      <c r="K148" s="137"/>
      <c r="Q148" s="243"/>
    </row>
    <row r="149" spans="11:17" x14ac:dyDescent="0.15">
      <c r="K149" s="137"/>
      <c r="Q149" s="243"/>
    </row>
    <row r="150" spans="11:17" x14ac:dyDescent="0.15">
      <c r="K150" s="137"/>
      <c r="Q150" s="243"/>
    </row>
    <row r="151" spans="11:17" x14ac:dyDescent="0.15">
      <c r="K151" s="137"/>
      <c r="Q151" s="243"/>
    </row>
    <row r="152" spans="11:17" x14ac:dyDescent="0.15">
      <c r="K152" s="137"/>
      <c r="Q152" s="243"/>
    </row>
    <row r="153" spans="11:17" x14ac:dyDescent="0.15">
      <c r="K153" s="137"/>
      <c r="Q153" s="243"/>
    </row>
    <row r="154" spans="11:17" x14ac:dyDescent="0.15">
      <c r="K154" s="137"/>
      <c r="Q154" s="243"/>
    </row>
    <row r="155" spans="11:17" x14ac:dyDescent="0.15">
      <c r="K155" s="137"/>
      <c r="Q155" s="243"/>
    </row>
    <row r="156" spans="11:17" x14ac:dyDescent="0.15">
      <c r="K156" s="137"/>
      <c r="Q156" s="243"/>
    </row>
    <row r="157" spans="11:17" x14ac:dyDescent="0.15">
      <c r="K157" s="137"/>
      <c r="Q157" s="243"/>
    </row>
    <row r="158" spans="11:17" x14ac:dyDescent="0.15">
      <c r="K158" s="137"/>
      <c r="Q158" s="243"/>
    </row>
    <row r="159" spans="11:17" x14ac:dyDescent="0.15">
      <c r="K159" s="137"/>
      <c r="Q159" s="243"/>
    </row>
    <row r="160" spans="11:17" x14ac:dyDescent="0.15">
      <c r="K160" s="137"/>
      <c r="Q160" s="243"/>
    </row>
    <row r="161" spans="11:17" x14ac:dyDescent="0.15">
      <c r="K161" s="137"/>
      <c r="Q161" s="243"/>
    </row>
    <row r="162" spans="11:17" x14ac:dyDescent="0.15">
      <c r="K162" s="137"/>
      <c r="Q162" s="243"/>
    </row>
    <row r="163" spans="11:17" x14ac:dyDescent="0.15">
      <c r="K163" s="137"/>
      <c r="Q163" s="243"/>
    </row>
    <row r="164" spans="11:17" x14ac:dyDescent="0.15">
      <c r="K164" s="137"/>
      <c r="Q164" s="243"/>
    </row>
    <row r="165" spans="11:17" x14ac:dyDescent="0.15">
      <c r="K165" s="137"/>
      <c r="Q165" s="243"/>
    </row>
    <row r="166" spans="11:17" x14ac:dyDescent="0.15">
      <c r="K166" s="137"/>
      <c r="Q166" s="243"/>
    </row>
    <row r="167" spans="11:17" x14ac:dyDescent="0.15">
      <c r="K167" s="137"/>
      <c r="Q167" s="243"/>
    </row>
    <row r="168" spans="11:17" x14ac:dyDescent="0.15">
      <c r="K168" s="137"/>
      <c r="Q168" s="243"/>
    </row>
    <row r="169" spans="11:17" x14ac:dyDescent="0.15">
      <c r="K169" s="137"/>
      <c r="Q169" s="243"/>
    </row>
    <row r="170" spans="11:17" x14ac:dyDescent="0.15">
      <c r="K170" s="137"/>
      <c r="Q170" s="243"/>
    </row>
    <row r="171" spans="11:17" x14ac:dyDescent="0.15">
      <c r="K171" s="137"/>
      <c r="Q171" s="243"/>
    </row>
    <row r="172" spans="11:17" x14ac:dyDescent="0.15">
      <c r="K172" s="137"/>
      <c r="Q172" s="243"/>
    </row>
    <row r="173" spans="11:17" x14ac:dyDescent="0.15">
      <c r="K173" s="137"/>
      <c r="Q173" s="243"/>
    </row>
    <row r="174" spans="11:17" x14ac:dyDescent="0.15">
      <c r="K174" s="137"/>
      <c r="Q174" s="243"/>
    </row>
    <row r="175" spans="11:17" x14ac:dyDescent="0.15">
      <c r="K175" s="137"/>
      <c r="Q175" s="243"/>
    </row>
    <row r="176" spans="11:17" x14ac:dyDescent="0.15">
      <c r="K176" s="137"/>
      <c r="Q176" s="243"/>
    </row>
    <row r="177" spans="11:17" x14ac:dyDescent="0.15">
      <c r="K177" s="137"/>
      <c r="Q177" s="243"/>
    </row>
    <row r="178" spans="11:17" x14ac:dyDescent="0.15">
      <c r="K178" s="137"/>
      <c r="Q178" s="243"/>
    </row>
    <row r="179" spans="11:17" x14ac:dyDescent="0.15">
      <c r="K179" s="137"/>
      <c r="Q179" s="243"/>
    </row>
    <row r="180" spans="11:17" x14ac:dyDescent="0.15">
      <c r="K180" s="137"/>
      <c r="Q180" s="243"/>
    </row>
    <row r="181" spans="11:17" x14ac:dyDescent="0.15">
      <c r="K181" s="137"/>
      <c r="Q181" s="243"/>
    </row>
    <row r="182" spans="11:17" x14ac:dyDescent="0.15">
      <c r="K182" s="137"/>
      <c r="Q182" s="243"/>
    </row>
    <row r="183" spans="11:17" x14ac:dyDescent="0.15">
      <c r="K183" s="137"/>
      <c r="Q183" s="243"/>
    </row>
    <row r="184" spans="11:17" x14ac:dyDescent="0.15">
      <c r="K184" s="137"/>
      <c r="Q184" s="243"/>
    </row>
    <row r="185" spans="11:17" x14ac:dyDescent="0.15">
      <c r="K185" s="137"/>
      <c r="Q185" s="243"/>
    </row>
    <row r="186" spans="11:17" x14ac:dyDescent="0.15">
      <c r="K186" s="137"/>
      <c r="Q186" s="243"/>
    </row>
    <row r="187" spans="11:17" x14ac:dyDescent="0.15">
      <c r="K187" s="137"/>
      <c r="Q187" s="243"/>
    </row>
    <row r="188" spans="11:17" x14ac:dyDescent="0.15">
      <c r="K188" s="137"/>
      <c r="Q188" s="243"/>
    </row>
    <row r="189" spans="11:17" x14ac:dyDescent="0.15">
      <c r="K189" s="137"/>
      <c r="Q189" s="243"/>
    </row>
    <row r="190" spans="11:17" x14ac:dyDescent="0.15">
      <c r="K190" s="137"/>
      <c r="Q190" s="243"/>
    </row>
    <row r="191" spans="11:17" x14ac:dyDescent="0.15">
      <c r="K191" s="137"/>
      <c r="Q191" s="243"/>
    </row>
    <row r="192" spans="11:17" x14ac:dyDescent="0.15">
      <c r="K192" s="137"/>
      <c r="Q192" s="243"/>
    </row>
    <row r="193" spans="11:17" x14ac:dyDescent="0.15">
      <c r="K193" s="137"/>
      <c r="Q193" s="243"/>
    </row>
    <row r="194" spans="11:17" x14ac:dyDescent="0.15">
      <c r="K194" s="137"/>
      <c r="Q194" s="243"/>
    </row>
    <row r="195" spans="11:17" x14ac:dyDescent="0.15">
      <c r="K195" s="137"/>
      <c r="Q195" s="243"/>
    </row>
    <row r="196" spans="11:17" x14ac:dyDescent="0.15">
      <c r="K196" s="137"/>
      <c r="Q196" s="243"/>
    </row>
    <row r="197" spans="11:17" x14ac:dyDescent="0.15">
      <c r="K197" s="137"/>
      <c r="Q197" s="243"/>
    </row>
    <row r="198" spans="11:17" x14ac:dyDescent="0.15">
      <c r="K198" s="137"/>
      <c r="Q198" s="243"/>
    </row>
    <row r="199" spans="11:17" x14ac:dyDescent="0.15">
      <c r="K199" s="137"/>
      <c r="Q199" s="243"/>
    </row>
    <row r="200" spans="11:17" x14ac:dyDescent="0.15">
      <c r="K200" s="137"/>
      <c r="Q200" s="243"/>
    </row>
    <row r="201" spans="11:17" x14ac:dyDescent="0.15">
      <c r="K201" s="137"/>
      <c r="Q201" s="243"/>
    </row>
    <row r="202" spans="11:17" x14ac:dyDescent="0.15">
      <c r="K202" s="137"/>
      <c r="Q202" s="243"/>
    </row>
    <row r="203" spans="11:17" x14ac:dyDescent="0.15">
      <c r="K203" s="137"/>
      <c r="Q203" s="243"/>
    </row>
    <row r="204" spans="11:17" x14ac:dyDescent="0.15">
      <c r="K204" s="137"/>
      <c r="Q204" s="243"/>
    </row>
    <row r="205" spans="11:17" x14ac:dyDescent="0.15">
      <c r="K205" s="137"/>
      <c r="Q205" s="243"/>
    </row>
    <row r="206" spans="11:17" x14ac:dyDescent="0.15">
      <c r="K206" s="137"/>
      <c r="Q206" s="243"/>
    </row>
    <row r="207" spans="11:17" x14ac:dyDescent="0.15">
      <c r="K207" s="137"/>
      <c r="Q207" s="243"/>
    </row>
    <row r="208" spans="11:17" x14ac:dyDescent="0.15">
      <c r="K208" s="137"/>
      <c r="Q208" s="243"/>
    </row>
    <row r="209" spans="11:17" x14ac:dyDescent="0.15">
      <c r="K209" s="137"/>
      <c r="Q209" s="243"/>
    </row>
    <row r="210" spans="11:17" x14ac:dyDescent="0.15">
      <c r="K210" s="137"/>
      <c r="Q210" s="243"/>
    </row>
    <row r="211" spans="11:17" x14ac:dyDescent="0.15">
      <c r="K211" s="137"/>
      <c r="Q211" s="243"/>
    </row>
    <row r="212" spans="11:17" x14ac:dyDescent="0.15">
      <c r="K212" s="137"/>
      <c r="Q212" s="243"/>
    </row>
    <row r="213" spans="11:17" x14ac:dyDescent="0.15">
      <c r="K213" s="137"/>
      <c r="Q213" s="243"/>
    </row>
    <row r="214" spans="11:17" x14ac:dyDescent="0.15">
      <c r="K214" s="137"/>
      <c r="Q214" s="243"/>
    </row>
    <row r="215" spans="11:17" x14ac:dyDescent="0.15">
      <c r="K215" s="137"/>
      <c r="Q215" s="243"/>
    </row>
    <row r="216" spans="11:17" x14ac:dyDescent="0.15">
      <c r="K216" s="137"/>
      <c r="Q216" s="243"/>
    </row>
    <row r="217" spans="11:17" x14ac:dyDescent="0.15">
      <c r="K217" s="137"/>
      <c r="Q217" s="243"/>
    </row>
    <row r="218" spans="11:17" x14ac:dyDescent="0.15">
      <c r="K218" s="137"/>
      <c r="Q218" s="243"/>
    </row>
    <row r="219" spans="11:17" x14ac:dyDescent="0.15">
      <c r="K219" s="137"/>
      <c r="Q219" s="243"/>
    </row>
    <row r="220" spans="11:17" x14ac:dyDescent="0.15">
      <c r="K220" s="137"/>
      <c r="Q220" s="243"/>
    </row>
    <row r="221" spans="11:17" x14ac:dyDescent="0.15">
      <c r="K221" s="137"/>
      <c r="Q221" s="243"/>
    </row>
    <row r="222" spans="11:17" x14ac:dyDescent="0.15">
      <c r="K222" s="137"/>
      <c r="Q222" s="243"/>
    </row>
    <row r="223" spans="11:17" x14ac:dyDescent="0.15">
      <c r="K223" s="137"/>
      <c r="Q223" s="243"/>
    </row>
    <row r="224" spans="11:17" x14ac:dyDescent="0.15">
      <c r="K224" s="137"/>
      <c r="Q224" s="243"/>
    </row>
    <row r="225" spans="11:17" x14ac:dyDescent="0.15">
      <c r="K225" s="137"/>
      <c r="Q225" s="243"/>
    </row>
    <row r="226" spans="11:17" x14ac:dyDescent="0.15">
      <c r="K226" s="137"/>
      <c r="Q226" s="243"/>
    </row>
    <row r="227" spans="11:17" x14ac:dyDescent="0.15">
      <c r="K227" s="137"/>
      <c r="Q227" s="243"/>
    </row>
    <row r="228" spans="11:17" x14ac:dyDescent="0.15">
      <c r="K228" s="137"/>
      <c r="Q228" s="243"/>
    </row>
    <row r="229" spans="11:17" x14ac:dyDescent="0.15">
      <c r="K229" s="137"/>
      <c r="Q229" s="243"/>
    </row>
    <row r="230" spans="11:17" x14ac:dyDescent="0.15">
      <c r="K230" s="137"/>
      <c r="Q230" s="243"/>
    </row>
    <row r="231" spans="11:17" x14ac:dyDescent="0.15">
      <c r="K231" s="137"/>
      <c r="Q231" s="243"/>
    </row>
    <row r="232" spans="11:17" x14ac:dyDescent="0.15">
      <c r="K232" s="137"/>
      <c r="Q232" s="243"/>
    </row>
    <row r="233" spans="11:17" x14ac:dyDescent="0.15">
      <c r="K233" s="137"/>
      <c r="Q233" s="243"/>
    </row>
    <row r="234" spans="11:17" x14ac:dyDescent="0.15">
      <c r="K234" s="137"/>
      <c r="Q234" s="243"/>
    </row>
    <row r="235" spans="11:17" x14ac:dyDescent="0.15">
      <c r="K235" s="137"/>
      <c r="Q235" s="243"/>
    </row>
    <row r="236" spans="11:17" x14ac:dyDescent="0.15">
      <c r="K236" s="137"/>
      <c r="Q236" s="243"/>
    </row>
    <row r="237" spans="11:17" x14ac:dyDescent="0.15">
      <c r="K237" s="137"/>
      <c r="Q237" s="243"/>
    </row>
    <row r="238" spans="11:17" x14ac:dyDescent="0.15">
      <c r="K238" s="137"/>
      <c r="Q238" s="243"/>
    </row>
    <row r="239" spans="11:17" x14ac:dyDescent="0.15">
      <c r="K239" s="137"/>
      <c r="Q239" s="243"/>
    </row>
    <row r="240" spans="11:17" x14ac:dyDescent="0.15">
      <c r="K240" s="137"/>
      <c r="Q240" s="243"/>
    </row>
    <row r="241" spans="11:17" x14ac:dyDescent="0.15">
      <c r="K241" s="137"/>
      <c r="Q241" s="243"/>
    </row>
    <row r="242" spans="11:17" x14ac:dyDescent="0.15">
      <c r="K242" s="137"/>
      <c r="Q242" s="243"/>
    </row>
    <row r="243" spans="11:17" x14ac:dyDescent="0.15">
      <c r="K243" s="137"/>
      <c r="Q243" s="243"/>
    </row>
    <row r="244" spans="11:17" x14ac:dyDescent="0.15">
      <c r="K244" s="137"/>
      <c r="Q244" s="243"/>
    </row>
    <row r="245" spans="11:17" x14ac:dyDescent="0.15">
      <c r="K245" s="137"/>
      <c r="Q245" s="243"/>
    </row>
    <row r="246" spans="11:17" x14ac:dyDescent="0.15">
      <c r="K246" s="137"/>
      <c r="Q246" s="243"/>
    </row>
    <row r="247" spans="11:17" x14ac:dyDescent="0.15">
      <c r="K247" s="137"/>
    </row>
    <row r="248" spans="11:17" x14ac:dyDescent="0.15">
      <c r="K248" s="137"/>
    </row>
    <row r="249" spans="11:17" x14ac:dyDescent="0.15">
      <c r="K249" s="137"/>
    </row>
    <row r="250" spans="11:17" x14ac:dyDescent="0.15">
      <c r="K250" s="137"/>
    </row>
    <row r="251" spans="11:17" x14ac:dyDescent="0.15">
      <c r="K251" s="137"/>
    </row>
    <row r="252" spans="11:17" x14ac:dyDescent="0.15">
      <c r="K252" s="137"/>
    </row>
    <row r="253" spans="11:17" x14ac:dyDescent="0.15">
      <c r="K253" s="137"/>
    </row>
    <row r="254" spans="11:17" x14ac:dyDescent="0.15">
      <c r="K254" s="137"/>
    </row>
    <row r="255" spans="11:17" x14ac:dyDescent="0.15">
      <c r="K255" s="137"/>
    </row>
    <row r="256" spans="11:17" x14ac:dyDescent="0.15">
      <c r="K256" s="137"/>
    </row>
    <row r="257" spans="11:11" x14ac:dyDescent="0.15">
      <c r="K257" s="137"/>
    </row>
    <row r="258" spans="11:11" x14ac:dyDescent="0.15">
      <c r="K258" s="137"/>
    </row>
    <row r="259" spans="11:11" x14ac:dyDescent="0.15">
      <c r="K259" s="137"/>
    </row>
    <row r="260" spans="11:11" x14ac:dyDescent="0.15">
      <c r="K260" s="137"/>
    </row>
    <row r="261" spans="11:11" x14ac:dyDescent="0.15">
      <c r="K261" s="137"/>
    </row>
    <row r="262" spans="11:11" x14ac:dyDescent="0.15">
      <c r="K262" s="137"/>
    </row>
    <row r="263" spans="11:11" x14ac:dyDescent="0.15">
      <c r="K263" s="137"/>
    </row>
    <row r="264" spans="11:11" x14ac:dyDescent="0.15">
      <c r="K264" s="137"/>
    </row>
    <row r="265" spans="11:11" x14ac:dyDescent="0.15">
      <c r="K265" s="137"/>
    </row>
    <row r="266" spans="11:11" x14ac:dyDescent="0.15">
      <c r="K266" s="137"/>
    </row>
    <row r="267" spans="11:11" x14ac:dyDescent="0.15">
      <c r="K267" s="137"/>
    </row>
    <row r="268" spans="11:11" x14ac:dyDescent="0.15">
      <c r="K268" s="137"/>
    </row>
    <row r="269" spans="11:11" x14ac:dyDescent="0.15">
      <c r="K269" s="137"/>
    </row>
    <row r="270" spans="11:11" x14ac:dyDescent="0.15">
      <c r="K270" s="137"/>
    </row>
    <row r="271" spans="11:11" x14ac:dyDescent="0.15">
      <c r="K271" s="137"/>
    </row>
    <row r="272" spans="11:11" x14ac:dyDescent="0.15">
      <c r="K272" s="137"/>
    </row>
    <row r="273" spans="11:11" x14ac:dyDescent="0.15">
      <c r="K273" s="137"/>
    </row>
    <row r="274" spans="11:11" x14ac:dyDescent="0.15">
      <c r="K274" s="137"/>
    </row>
    <row r="275" spans="11:11" x14ac:dyDescent="0.15">
      <c r="K275" s="137"/>
    </row>
    <row r="276" spans="11:11" x14ac:dyDescent="0.15">
      <c r="K276" s="137"/>
    </row>
    <row r="277" spans="11:11" x14ac:dyDescent="0.15">
      <c r="K277" s="137"/>
    </row>
    <row r="278" spans="11:11" x14ac:dyDescent="0.15">
      <c r="K278" s="137"/>
    </row>
    <row r="279" spans="11:11" x14ac:dyDescent="0.15">
      <c r="K279" s="137"/>
    </row>
    <row r="280" spans="11:11" x14ac:dyDescent="0.15">
      <c r="K280" s="137"/>
    </row>
    <row r="281" spans="11:11" x14ac:dyDescent="0.15">
      <c r="K281" s="137"/>
    </row>
    <row r="282" spans="11:11" x14ac:dyDescent="0.15">
      <c r="K282" s="137"/>
    </row>
    <row r="283" spans="11:11" x14ac:dyDescent="0.15">
      <c r="K283" s="137"/>
    </row>
    <row r="284" spans="11:11" x14ac:dyDescent="0.15">
      <c r="K284" s="137"/>
    </row>
    <row r="285" spans="11:11" x14ac:dyDescent="0.15">
      <c r="K285" s="137"/>
    </row>
    <row r="286" spans="11:11" x14ac:dyDescent="0.15">
      <c r="K286" s="137"/>
    </row>
    <row r="287" spans="11:11" x14ac:dyDescent="0.15">
      <c r="K287" s="137"/>
    </row>
    <row r="288" spans="11:11" x14ac:dyDescent="0.15">
      <c r="K288" s="137"/>
    </row>
    <row r="289" spans="11:11" x14ac:dyDescent="0.15">
      <c r="K289" s="137"/>
    </row>
    <row r="290" spans="11:11" x14ac:dyDescent="0.15">
      <c r="K290" s="137"/>
    </row>
    <row r="291" spans="11:11" x14ac:dyDescent="0.15">
      <c r="K291" s="137"/>
    </row>
    <row r="292" spans="11:11" x14ac:dyDescent="0.15">
      <c r="K292" s="137"/>
    </row>
    <row r="293" spans="11:11" x14ac:dyDescent="0.15">
      <c r="K293" s="137"/>
    </row>
    <row r="294" spans="11:11" x14ac:dyDescent="0.15">
      <c r="K294" s="137"/>
    </row>
    <row r="295" spans="11:11" x14ac:dyDescent="0.15">
      <c r="K295" s="137"/>
    </row>
    <row r="296" spans="11:11" x14ac:dyDescent="0.15">
      <c r="K296" s="137"/>
    </row>
    <row r="297" spans="11:11" x14ac:dyDescent="0.15">
      <c r="K297" s="137"/>
    </row>
    <row r="298" spans="11:11" x14ac:dyDescent="0.15">
      <c r="K298" s="137"/>
    </row>
    <row r="299" spans="11:11" x14ac:dyDescent="0.15">
      <c r="K299" s="137"/>
    </row>
    <row r="300" spans="11:11" x14ac:dyDescent="0.15">
      <c r="K300" s="137"/>
    </row>
    <row r="301" spans="11:11" x14ac:dyDescent="0.15">
      <c r="K301" s="137"/>
    </row>
    <row r="302" spans="11:11" x14ac:dyDescent="0.15">
      <c r="K302" s="137"/>
    </row>
    <row r="303" spans="11:11" x14ac:dyDescent="0.15">
      <c r="K303" s="137"/>
    </row>
    <row r="304" spans="11:11"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sheetData>
  <autoFilter ref="A1:BA1"/>
  <phoneticPr fontId="3"/>
  <dataValidations count="20">
    <dataValidation type="list" allowBlank="1" showInputMessage="1" showErrorMessage="1" sqref="J447:J64197">
      <formula1>$AP$2:$AP$16</formula1>
    </dataValidation>
    <dataValidation type="list" allowBlank="1" showInputMessage="1" showErrorMessage="1" sqref="I447:I64197">
      <formula1>$AN$2:$AN$6</formula1>
    </dataValidation>
    <dataValidation type="list" allowBlank="1" showInputMessage="1" showErrorMessage="1" sqref="Y447:AA64197">
      <formula1>$AV$2:$AV$26</formula1>
    </dataValidation>
    <dataValidation type="list" allowBlank="1" showInputMessage="1" showErrorMessage="1" sqref="K447:K64197">
      <formula1>$AR$2:$AR$28</formula1>
    </dataValidation>
    <dataValidation type="list" allowBlank="1" showInputMessage="1" showErrorMessage="1" sqref="H447:H64197">
      <formula1>$AL$2:$AL$10</formula1>
    </dataValidation>
    <dataValidation type="list" allowBlank="1" showInputMessage="1" showErrorMessage="1" sqref="E447:E64197">
      <formula1>$AG$2:$AG$9</formula1>
    </dataValidation>
    <dataValidation type="list" allowBlank="1" showInputMessage="1" showErrorMessage="1" sqref="F447:F64197">
      <formula1>$AH$2:$AH$8</formula1>
    </dataValidation>
    <dataValidation type="list" allowBlank="1" showInputMessage="1" showErrorMessage="1" sqref="K399:K446">
      <formula1>$AR$2:$AR$25</formula1>
    </dataValidation>
    <dataValidation operator="equal" allowBlank="1" showInputMessage="1" showErrorMessage="1" sqref="B2:B35"/>
    <dataValidation type="list" allowBlank="1" showInputMessage="1" showErrorMessage="1" sqref="K2:K398">
      <formula1>$AR$2:$AR$26</formula1>
    </dataValidation>
    <dataValidation type="list" allowBlank="1" showInputMessage="1" showErrorMessage="1" sqref="J2:J446">
      <formula1>$AP$2:$AP$27</formula1>
    </dataValidation>
    <dataValidation type="list" allowBlank="1" showInputMessage="1" showErrorMessage="1" sqref="G2:G446">
      <formula1>$AJ$2:$AJ$4</formula1>
    </dataValidation>
    <dataValidation type="list" allowBlank="1" showInputMessage="1" showErrorMessage="1" sqref="X2:X446">
      <formula1>$AT$2:$AT$3</formula1>
    </dataValidation>
    <dataValidation type="list" allowBlank="1" showInputMessage="1" showErrorMessage="1" sqref="A2:A446">
      <formula1>$AE$2:$AE$19</formula1>
    </dataValidation>
    <dataValidation type="list" allowBlank="1" showInputMessage="1" showErrorMessage="1" sqref="H2:H446">
      <formula1>$AL$2:$AL$8</formula1>
    </dataValidation>
    <dataValidation type="list" allowBlank="1" showInputMessage="1" showErrorMessage="1" sqref="I2:I446">
      <formula1>$AN$5:$AN$6</formula1>
    </dataValidation>
    <dataValidation type="list" allowBlank="1" showInputMessage="1" showErrorMessage="1" sqref="Y2:AA446">
      <formula1>$AV$2:$AV$21</formula1>
    </dataValidation>
    <dataValidation type="decimal" allowBlank="1" showInputMessage="1" showErrorMessage="1" error="硬度を正しく入力して下さい。" sqref="O2:P446">
      <formula1>0</formula1>
      <formula2>7</formula2>
    </dataValidation>
    <dataValidation type="list" allowBlank="1" showInputMessage="1" showErrorMessage="1" sqref="E2:E446">
      <formula1>$AG$2:$AG$10</formula1>
    </dataValidation>
    <dataValidation type="list" allowBlank="1" showInputMessage="1" showErrorMessage="1" sqref="F2:F446">
      <formula1>$AH$2:$AH$10</formula1>
    </dataValidation>
  </dataValidations>
  <pageMargins left="0.7" right="0.7" top="0.75" bottom="0.75" header="0.3" footer="0.3"/>
  <pageSetup paperSize="8" scale="77" orientation="landscape" r:id="rId1"/>
  <headerFooter alignWithMargins="0"/>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7"/>
  <sheetViews>
    <sheetView topLeftCell="A16" zoomScale="70" zoomScaleNormal="70" workbookViewId="0">
      <selection activeCell="F78" sqref="F78"/>
    </sheetView>
  </sheetViews>
  <sheetFormatPr defaultRowHeight="13.5" x14ac:dyDescent="0.15"/>
  <cols>
    <col min="1" max="3" width="9" style="206"/>
    <col min="4" max="4" width="10.5" style="206" bestFit="1" customWidth="1"/>
    <col min="5" max="5" width="10.875" style="206" bestFit="1" customWidth="1"/>
    <col min="6" max="6" width="18.875" style="206" bestFit="1" customWidth="1"/>
    <col min="7" max="9" width="9" style="206"/>
    <col min="10" max="10" width="9.25" style="206" customWidth="1"/>
    <col min="11" max="16" width="9" style="206"/>
    <col min="17" max="17" width="9" style="215"/>
    <col min="18" max="19" width="9" style="206"/>
    <col min="20" max="20" width="9" style="215"/>
    <col min="21" max="21" width="9" style="206"/>
    <col min="22" max="22" width="14.25" style="215" customWidth="1"/>
    <col min="23" max="23" width="9" style="206"/>
    <col min="24" max="24" width="9.625" style="206" customWidth="1"/>
    <col min="25" max="26" width="9" style="206"/>
    <col min="27" max="27" width="12.125" style="206" customWidth="1"/>
    <col min="28" max="32" width="9" style="206"/>
    <col min="33" max="33" width="15.125" style="206" bestFit="1" customWidth="1"/>
    <col min="34" max="34" width="19.625" style="206" bestFit="1" customWidth="1"/>
    <col min="35" max="16384" width="9" style="206"/>
  </cols>
  <sheetData>
    <row r="1" spans="1:53" ht="45" x14ac:dyDescent="0.15">
      <c r="A1" s="238" t="s">
        <v>0</v>
      </c>
      <c r="B1" s="200" t="s">
        <v>1</v>
      </c>
      <c r="C1" s="200" t="s">
        <v>544</v>
      </c>
      <c r="D1" s="201" t="s">
        <v>3</v>
      </c>
      <c r="E1" s="239" t="s">
        <v>4</v>
      </c>
      <c r="F1" s="239" t="s">
        <v>5</v>
      </c>
      <c r="G1" s="239" t="s">
        <v>6</v>
      </c>
      <c r="H1" s="239" t="s">
        <v>7</v>
      </c>
      <c r="I1" s="239" t="s">
        <v>8</v>
      </c>
      <c r="J1" s="239" t="s">
        <v>9</v>
      </c>
      <c r="K1" s="239" t="s">
        <v>10</v>
      </c>
      <c r="L1" s="201" t="s">
        <v>545</v>
      </c>
      <c r="M1" s="201" t="s">
        <v>12</v>
      </c>
      <c r="N1" s="201" t="s">
        <v>13</v>
      </c>
      <c r="O1" s="201" t="s">
        <v>546</v>
      </c>
      <c r="P1" s="201" t="s">
        <v>547</v>
      </c>
      <c r="Q1" s="202" t="s">
        <v>16</v>
      </c>
      <c r="R1" s="201" t="s">
        <v>548</v>
      </c>
      <c r="S1" s="201" t="s">
        <v>549</v>
      </c>
      <c r="T1" s="202" t="s">
        <v>19</v>
      </c>
      <c r="U1" s="203" t="s">
        <v>550</v>
      </c>
      <c r="V1" s="204" t="s">
        <v>20</v>
      </c>
      <c r="W1" s="201" t="s">
        <v>21</v>
      </c>
      <c r="X1" s="239" t="s">
        <v>22</v>
      </c>
      <c r="Y1" s="239" t="s">
        <v>23</v>
      </c>
      <c r="Z1" s="239" t="s">
        <v>551</v>
      </c>
      <c r="AA1" s="240" t="s">
        <v>25</v>
      </c>
      <c r="AB1" s="205" t="s">
        <v>552</v>
      </c>
      <c r="AE1" s="207" t="s">
        <v>0</v>
      </c>
      <c r="AF1" s="208"/>
      <c r="AG1" s="24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553</v>
      </c>
      <c r="AY1" s="212" t="s">
        <v>554</v>
      </c>
      <c r="AZ1" s="212" t="s">
        <v>555</v>
      </c>
      <c r="BA1" s="213" t="s">
        <v>556</v>
      </c>
    </row>
    <row r="2" spans="1:53" s="214" customFormat="1" x14ac:dyDescent="0.15">
      <c r="A2" s="214" t="s">
        <v>34</v>
      </c>
      <c r="B2" s="206" t="s">
        <v>331</v>
      </c>
      <c r="C2" s="206">
        <v>2018</v>
      </c>
      <c r="D2" s="248" t="s">
        <v>557</v>
      </c>
      <c r="E2" s="235" t="s">
        <v>201</v>
      </c>
      <c r="F2" s="235" t="s">
        <v>323</v>
      </c>
      <c r="G2" s="214" t="s">
        <v>36</v>
      </c>
      <c r="H2" s="206" t="s">
        <v>155</v>
      </c>
      <c r="I2" s="214" t="s">
        <v>153</v>
      </c>
      <c r="J2" s="214" t="s">
        <v>38</v>
      </c>
      <c r="K2" s="214" t="s">
        <v>154</v>
      </c>
      <c r="L2" s="214">
        <v>1</v>
      </c>
      <c r="N2" s="214">
        <v>1</v>
      </c>
      <c r="O2" s="214">
        <v>0.95</v>
      </c>
      <c r="P2" s="214">
        <v>0.9</v>
      </c>
      <c r="Q2" s="243">
        <f t="shared" ref="Q2:Q73" si="0">IF(OR(O2="",P2=""),"",AVERAGE(O2,P2))</f>
        <v>0.92500000000000004</v>
      </c>
      <c r="R2" s="214">
        <v>12.6</v>
      </c>
      <c r="S2" s="214">
        <v>122</v>
      </c>
      <c r="T2" s="215">
        <f t="shared" ref="T2:T73" si="1">IF(H2="","",IF(OR(H2="GREEN",H2="GK"),IF(S2&gt;=$AX$2,VLOOKUP(S2,$AX$2:$AY$9,2,1),""),IF(S2&gt;=$AZ$2,VLOOKUP(S2,$AZ$2:$BA$9,2,1),"")))</f>
        <v>30</v>
      </c>
      <c r="U2" s="214">
        <v>105</v>
      </c>
      <c r="V2" s="215">
        <f t="shared" ref="V2:V73" si="2">IF(OR(N2="",U2="",T2=""),"",U2/N2*T2)</f>
        <v>3150</v>
      </c>
      <c r="W2" s="214">
        <v>2</v>
      </c>
      <c r="X2" s="214" t="s">
        <v>39</v>
      </c>
      <c r="Y2" s="214" t="s">
        <v>84</v>
      </c>
      <c r="Z2" s="214" t="s">
        <v>40</v>
      </c>
      <c r="AA2" s="214" t="s">
        <v>69</v>
      </c>
      <c r="AB2" s="214" t="s">
        <v>333</v>
      </c>
      <c r="AE2" s="216" t="s">
        <v>35</v>
      </c>
      <c r="AG2" s="249" t="s">
        <v>279</v>
      </c>
      <c r="AH2" s="241" t="s">
        <v>313</v>
      </c>
      <c r="AJ2" s="217" t="s">
        <v>36</v>
      </c>
      <c r="AL2" s="217" t="s">
        <v>127</v>
      </c>
      <c r="AN2" s="217" t="s">
        <v>37</v>
      </c>
      <c r="AP2" s="217" t="s">
        <v>38</v>
      </c>
      <c r="AR2" s="217" t="s">
        <v>558</v>
      </c>
      <c r="AT2" s="217" t="s">
        <v>39</v>
      </c>
      <c r="AV2" s="246" t="s">
        <v>40</v>
      </c>
      <c r="AX2" s="218">
        <v>1</v>
      </c>
      <c r="AY2" s="219">
        <v>50</v>
      </c>
      <c r="AZ2" s="219">
        <v>1</v>
      </c>
      <c r="BA2" s="220">
        <v>50</v>
      </c>
    </row>
    <row r="3" spans="1:53" x14ac:dyDescent="0.15">
      <c r="A3" s="214" t="s">
        <v>34</v>
      </c>
      <c r="B3" s="206" t="s">
        <v>331</v>
      </c>
      <c r="C3" s="206">
        <v>2018</v>
      </c>
      <c r="D3" s="248" t="s">
        <v>557</v>
      </c>
      <c r="E3" s="235" t="s">
        <v>201</v>
      </c>
      <c r="F3" s="235" t="s">
        <v>323</v>
      </c>
      <c r="G3" s="214" t="s">
        <v>36</v>
      </c>
      <c r="H3" s="206" t="s">
        <v>155</v>
      </c>
      <c r="I3" s="214" t="s">
        <v>153</v>
      </c>
      <c r="J3" s="214" t="s">
        <v>38</v>
      </c>
      <c r="K3" s="214" t="s">
        <v>154</v>
      </c>
      <c r="L3" s="206">
        <v>2</v>
      </c>
      <c r="N3" s="206">
        <v>1</v>
      </c>
      <c r="O3" s="206">
        <v>0.9</v>
      </c>
      <c r="P3" s="206">
        <v>0.85</v>
      </c>
      <c r="Q3" s="243">
        <f t="shared" si="0"/>
        <v>0.875</v>
      </c>
      <c r="R3" s="206">
        <v>12.9</v>
      </c>
      <c r="S3" s="206">
        <v>111</v>
      </c>
      <c r="T3" s="215">
        <f t="shared" si="1"/>
        <v>33</v>
      </c>
      <c r="U3" s="206">
        <v>105</v>
      </c>
      <c r="V3" s="215">
        <f t="shared" si="2"/>
        <v>3465</v>
      </c>
      <c r="W3" s="214">
        <v>2</v>
      </c>
      <c r="X3" s="214" t="s">
        <v>39</v>
      </c>
      <c r="Y3" s="214" t="s">
        <v>84</v>
      </c>
      <c r="Z3" s="214" t="s">
        <v>40</v>
      </c>
      <c r="AA3" s="214" t="s">
        <v>69</v>
      </c>
      <c r="AB3" s="214" t="s">
        <v>333</v>
      </c>
      <c r="AC3" s="214"/>
      <c r="AE3" s="221" t="s">
        <v>41</v>
      </c>
      <c r="AG3" s="250" t="s">
        <v>314</v>
      </c>
      <c r="AH3" s="241" t="s">
        <v>315</v>
      </c>
      <c r="AJ3" s="222" t="s">
        <v>42</v>
      </c>
      <c r="AL3" s="222" t="s">
        <v>128</v>
      </c>
      <c r="AN3" s="222" t="s">
        <v>43</v>
      </c>
      <c r="AP3" s="222" t="s">
        <v>44</v>
      </c>
      <c r="AR3" s="236" t="s">
        <v>45</v>
      </c>
      <c r="AT3" s="222" t="s">
        <v>46</v>
      </c>
      <c r="AV3" s="222" t="s">
        <v>47</v>
      </c>
      <c r="AX3" s="223">
        <v>72</v>
      </c>
      <c r="AY3" s="224">
        <v>46</v>
      </c>
      <c r="AZ3" s="224">
        <v>71</v>
      </c>
      <c r="BA3" s="225">
        <v>42</v>
      </c>
    </row>
    <row r="4" spans="1:53" x14ac:dyDescent="0.15">
      <c r="A4" s="214" t="s">
        <v>34</v>
      </c>
      <c r="B4" s="206" t="s">
        <v>331</v>
      </c>
      <c r="C4" s="206">
        <v>2018</v>
      </c>
      <c r="D4" s="248" t="s">
        <v>557</v>
      </c>
      <c r="E4" s="235" t="s">
        <v>201</v>
      </c>
      <c r="F4" s="235" t="s">
        <v>323</v>
      </c>
      <c r="G4" s="214" t="s">
        <v>36</v>
      </c>
      <c r="H4" s="206" t="s">
        <v>155</v>
      </c>
      <c r="I4" s="214" t="s">
        <v>153</v>
      </c>
      <c r="J4" s="214" t="s">
        <v>38</v>
      </c>
      <c r="K4" s="214" t="s">
        <v>154</v>
      </c>
      <c r="L4" s="206">
        <v>3</v>
      </c>
      <c r="N4" s="206">
        <v>1</v>
      </c>
      <c r="O4" s="206">
        <v>0.7</v>
      </c>
      <c r="P4" s="206">
        <v>0.65</v>
      </c>
      <c r="Q4" s="243">
        <f t="shared" si="0"/>
        <v>0.67500000000000004</v>
      </c>
      <c r="R4" s="206">
        <v>14.3</v>
      </c>
      <c r="S4" s="206">
        <v>123</v>
      </c>
      <c r="T4" s="215">
        <f t="shared" si="1"/>
        <v>30</v>
      </c>
      <c r="U4" s="206">
        <v>105</v>
      </c>
      <c r="V4" s="215">
        <f t="shared" si="2"/>
        <v>3150</v>
      </c>
      <c r="W4" s="206">
        <v>2</v>
      </c>
      <c r="X4" s="214" t="s">
        <v>39</v>
      </c>
      <c r="Y4" s="214" t="s">
        <v>84</v>
      </c>
      <c r="Z4" s="214" t="s">
        <v>40</v>
      </c>
      <c r="AA4" s="214" t="s">
        <v>69</v>
      </c>
      <c r="AB4" s="214" t="s">
        <v>333</v>
      </c>
      <c r="AC4" s="214"/>
      <c r="AE4" s="221" t="s">
        <v>34</v>
      </c>
      <c r="AG4" s="250" t="s">
        <v>316</v>
      </c>
      <c r="AH4" s="241" t="s">
        <v>317</v>
      </c>
      <c r="AJ4" s="226" t="s">
        <v>48</v>
      </c>
      <c r="AL4" s="226" t="s">
        <v>129</v>
      </c>
      <c r="AN4" s="227" t="s">
        <v>49</v>
      </c>
      <c r="AP4" s="222" t="s">
        <v>559</v>
      </c>
      <c r="AR4" s="236" t="s">
        <v>560</v>
      </c>
      <c r="AT4" s="227"/>
      <c r="AV4" s="222" t="s">
        <v>50</v>
      </c>
      <c r="AX4" s="223">
        <v>75</v>
      </c>
      <c r="AY4" s="224">
        <v>42</v>
      </c>
      <c r="AZ4" s="224">
        <v>76</v>
      </c>
      <c r="BA4" s="225">
        <v>39</v>
      </c>
    </row>
    <row r="5" spans="1:53" x14ac:dyDescent="0.15">
      <c r="A5" s="214" t="s">
        <v>34</v>
      </c>
      <c r="B5" s="206" t="s">
        <v>331</v>
      </c>
      <c r="C5" s="206">
        <v>2018</v>
      </c>
      <c r="D5" s="248" t="s">
        <v>557</v>
      </c>
      <c r="E5" s="235" t="s">
        <v>201</v>
      </c>
      <c r="F5" s="235" t="s">
        <v>323</v>
      </c>
      <c r="G5" s="214" t="s">
        <v>36</v>
      </c>
      <c r="H5" s="206" t="s">
        <v>155</v>
      </c>
      <c r="I5" s="214" t="s">
        <v>153</v>
      </c>
      <c r="J5" s="214" t="s">
        <v>38</v>
      </c>
      <c r="K5" s="214" t="s">
        <v>154</v>
      </c>
      <c r="L5" s="214">
        <v>1</v>
      </c>
      <c r="N5" s="206">
        <v>5</v>
      </c>
      <c r="O5" s="206">
        <v>0.55000000000000004</v>
      </c>
      <c r="P5" s="206">
        <v>0.9</v>
      </c>
      <c r="Q5" s="243">
        <f t="shared" si="0"/>
        <v>0.72500000000000009</v>
      </c>
      <c r="R5" s="206">
        <v>14.1</v>
      </c>
      <c r="S5" s="206">
        <v>82</v>
      </c>
      <c r="T5" s="215">
        <f t="shared" si="1"/>
        <v>39</v>
      </c>
      <c r="U5" s="206">
        <v>429</v>
      </c>
      <c r="V5" s="215">
        <f t="shared" si="2"/>
        <v>3346.2</v>
      </c>
      <c r="W5" s="206">
        <v>2</v>
      </c>
      <c r="X5" s="214" t="s">
        <v>39</v>
      </c>
      <c r="Y5" s="214" t="s">
        <v>84</v>
      </c>
      <c r="Z5" s="214" t="s">
        <v>40</v>
      </c>
      <c r="AA5" s="214" t="s">
        <v>69</v>
      </c>
      <c r="AB5" s="214" t="s">
        <v>333</v>
      </c>
      <c r="AE5" s="221" t="s">
        <v>51</v>
      </c>
      <c r="AG5" s="250" t="s">
        <v>318</v>
      </c>
      <c r="AH5" s="241" t="s">
        <v>319</v>
      </c>
      <c r="AJ5" s="227"/>
      <c r="AL5" s="228" t="s">
        <v>561</v>
      </c>
      <c r="AN5" s="228" t="s">
        <v>562</v>
      </c>
      <c r="AP5" s="222" t="s">
        <v>563</v>
      </c>
      <c r="AR5" s="236" t="s">
        <v>54</v>
      </c>
      <c r="AV5" s="222" t="s">
        <v>55</v>
      </c>
      <c r="AX5" s="223">
        <v>84</v>
      </c>
      <c r="AY5" s="224">
        <v>39</v>
      </c>
      <c r="AZ5" s="224">
        <v>84</v>
      </c>
      <c r="BA5" s="225">
        <v>36</v>
      </c>
    </row>
    <row r="6" spans="1:53" x14ac:dyDescent="0.15">
      <c r="A6" s="214" t="s">
        <v>34</v>
      </c>
      <c r="B6" s="206" t="s">
        <v>331</v>
      </c>
      <c r="C6" s="206">
        <v>2018</v>
      </c>
      <c r="D6" s="248" t="s">
        <v>557</v>
      </c>
      <c r="E6" s="235" t="s">
        <v>201</v>
      </c>
      <c r="F6" s="235" t="s">
        <v>323</v>
      </c>
      <c r="G6" s="214" t="s">
        <v>36</v>
      </c>
      <c r="H6" s="206" t="s">
        <v>155</v>
      </c>
      <c r="I6" s="214" t="s">
        <v>153</v>
      </c>
      <c r="J6" s="214" t="s">
        <v>38</v>
      </c>
      <c r="K6" s="214" t="s">
        <v>154</v>
      </c>
      <c r="L6" s="206">
        <v>2</v>
      </c>
      <c r="N6" s="206">
        <v>5</v>
      </c>
      <c r="O6" s="206">
        <v>0.9</v>
      </c>
      <c r="P6" s="206">
        <v>1</v>
      </c>
      <c r="Q6" s="243">
        <f t="shared" si="0"/>
        <v>0.95</v>
      </c>
      <c r="R6" s="206">
        <v>13.7</v>
      </c>
      <c r="S6" s="206">
        <v>79</v>
      </c>
      <c r="T6" s="215">
        <f t="shared" si="1"/>
        <v>39</v>
      </c>
      <c r="U6" s="206">
        <v>429</v>
      </c>
      <c r="V6" s="215">
        <f t="shared" si="2"/>
        <v>3346.2</v>
      </c>
      <c r="W6" s="206">
        <v>2</v>
      </c>
      <c r="X6" s="214" t="s">
        <v>39</v>
      </c>
      <c r="Y6" s="214" t="s">
        <v>84</v>
      </c>
      <c r="Z6" s="214" t="s">
        <v>40</v>
      </c>
      <c r="AA6" s="214" t="s">
        <v>69</v>
      </c>
      <c r="AB6" s="214" t="s">
        <v>333</v>
      </c>
      <c r="AE6" s="221" t="s">
        <v>56</v>
      </c>
      <c r="AG6" s="250" t="s">
        <v>321</v>
      </c>
      <c r="AH6" s="241" t="s">
        <v>322</v>
      </c>
      <c r="AL6" s="228" t="s">
        <v>564</v>
      </c>
      <c r="AN6" s="228" t="s">
        <v>565</v>
      </c>
      <c r="AP6" s="222" t="s">
        <v>53</v>
      </c>
      <c r="AR6" s="236" t="s">
        <v>59</v>
      </c>
      <c r="AV6" s="222" t="s">
        <v>60</v>
      </c>
      <c r="AX6" s="223">
        <v>97</v>
      </c>
      <c r="AY6" s="224">
        <v>36</v>
      </c>
      <c r="AZ6" s="224">
        <v>99</v>
      </c>
      <c r="BA6" s="225">
        <v>33</v>
      </c>
    </row>
    <row r="7" spans="1:53" x14ac:dyDescent="0.15">
      <c r="A7" s="214" t="s">
        <v>34</v>
      </c>
      <c r="B7" s="206" t="s">
        <v>331</v>
      </c>
      <c r="C7" s="206">
        <v>2018</v>
      </c>
      <c r="D7" s="248" t="s">
        <v>557</v>
      </c>
      <c r="E7" s="235" t="s">
        <v>201</v>
      </c>
      <c r="F7" s="235" t="s">
        <v>323</v>
      </c>
      <c r="G7" s="214" t="s">
        <v>36</v>
      </c>
      <c r="H7" s="206" t="s">
        <v>155</v>
      </c>
      <c r="I7" s="214" t="s">
        <v>153</v>
      </c>
      <c r="J7" s="214" t="s">
        <v>38</v>
      </c>
      <c r="K7" s="214" t="s">
        <v>154</v>
      </c>
      <c r="L7" s="206">
        <v>3</v>
      </c>
      <c r="N7" s="206">
        <v>5</v>
      </c>
      <c r="O7" s="206">
        <v>0.85</v>
      </c>
      <c r="P7" s="206">
        <v>0.7</v>
      </c>
      <c r="Q7" s="243">
        <f t="shared" si="0"/>
        <v>0.77499999999999991</v>
      </c>
      <c r="R7" s="206">
        <v>13.7</v>
      </c>
      <c r="S7" s="206">
        <v>77</v>
      </c>
      <c r="T7" s="215">
        <f t="shared" si="1"/>
        <v>39</v>
      </c>
      <c r="U7" s="206">
        <v>429</v>
      </c>
      <c r="V7" s="215">
        <f t="shared" si="2"/>
        <v>3346.2</v>
      </c>
      <c r="W7" s="206">
        <v>2</v>
      </c>
      <c r="X7" s="214" t="s">
        <v>39</v>
      </c>
      <c r="Y7" s="214" t="s">
        <v>84</v>
      </c>
      <c r="Z7" s="214" t="s">
        <v>40</v>
      </c>
      <c r="AA7" s="214" t="s">
        <v>69</v>
      </c>
      <c r="AB7" s="214" t="s">
        <v>333</v>
      </c>
      <c r="AE7" s="221" t="s">
        <v>61</v>
      </c>
      <c r="AG7" s="250" t="s">
        <v>201</v>
      </c>
      <c r="AH7" s="241" t="s">
        <v>323</v>
      </c>
      <c r="AL7" s="233" t="s">
        <v>566</v>
      </c>
      <c r="AP7" s="222" t="s">
        <v>58</v>
      </c>
      <c r="AR7" s="229" t="s">
        <v>122</v>
      </c>
      <c r="AV7" s="222" t="s">
        <v>64</v>
      </c>
      <c r="AX7" s="223">
        <v>109</v>
      </c>
      <c r="AY7" s="224">
        <v>33</v>
      </c>
      <c r="AZ7" s="224">
        <v>113</v>
      </c>
      <c r="BA7" s="225">
        <v>30</v>
      </c>
    </row>
    <row r="8" spans="1:53" x14ac:dyDescent="0.15">
      <c r="A8" s="214" t="s">
        <v>34</v>
      </c>
      <c r="B8" s="206" t="s">
        <v>331</v>
      </c>
      <c r="C8" s="206">
        <v>2018</v>
      </c>
      <c r="D8" s="248" t="s">
        <v>567</v>
      </c>
      <c r="E8" s="235" t="s">
        <v>201</v>
      </c>
      <c r="F8" s="235" t="s">
        <v>323</v>
      </c>
      <c r="G8" s="214" t="s">
        <v>36</v>
      </c>
      <c r="H8" s="206" t="s">
        <v>128</v>
      </c>
      <c r="I8" s="214" t="s">
        <v>153</v>
      </c>
      <c r="J8" s="214" t="s">
        <v>80</v>
      </c>
      <c r="K8" s="214" t="s">
        <v>63</v>
      </c>
      <c r="L8" s="214">
        <v>1</v>
      </c>
      <c r="N8" s="206">
        <v>5</v>
      </c>
      <c r="O8" s="206">
        <v>0.65</v>
      </c>
      <c r="P8" s="206">
        <v>0.6</v>
      </c>
      <c r="Q8" s="243">
        <f t="shared" si="0"/>
        <v>0.625</v>
      </c>
      <c r="R8" s="206">
        <v>13.5</v>
      </c>
      <c r="S8" s="206">
        <v>69</v>
      </c>
      <c r="T8" s="215">
        <f t="shared" si="1"/>
        <v>50</v>
      </c>
      <c r="U8" s="206">
        <v>429</v>
      </c>
      <c r="V8" s="215">
        <f t="shared" si="2"/>
        <v>4290</v>
      </c>
      <c r="W8" s="206">
        <v>1</v>
      </c>
      <c r="X8" s="214" t="s">
        <v>39</v>
      </c>
      <c r="Y8" s="214" t="s">
        <v>84</v>
      </c>
      <c r="Z8" s="214" t="s">
        <v>40</v>
      </c>
      <c r="AA8" s="214" t="s">
        <v>69</v>
      </c>
      <c r="AB8" s="214" t="s">
        <v>333</v>
      </c>
      <c r="AE8" s="221" t="s">
        <v>59</v>
      </c>
      <c r="AG8" s="250" t="s">
        <v>324</v>
      </c>
      <c r="AH8" s="241" t="s">
        <v>325</v>
      </c>
      <c r="AL8" s="233" t="s">
        <v>350</v>
      </c>
      <c r="AP8" s="222" t="s">
        <v>62</v>
      </c>
      <c r="AR8" s="236" t="s">
        <v>81</v>
      </c>
      <c r="AV8" s="222" t="s">
        <v>97</v>
      </c>
      <c r="AX8" s="223">
        <v>151</v>
      </c>
      <c r="AY8" s="224">
        <v>22</v>
      </c>
      <c r="AZ8" s="224">
        <v>152</v>
      </c>
      <c r="BA8" s="225">
        <v>18</v>
      </c>
    </row>
    <row r="9" spans="1:53" x14ac:dyDescent="0.15">
      <c r="A9" s="214" t="s">
        <v>34</v>
      </c>
      <c r="B9" s="206" t="s">
        <v>331</v>
      </c>
      <c r="C9" s="206">
        <v>2018</v>
      </c>
      <c r="D9" s="248" t="s">
        <v>567</v>
      </c>
      <c r="E9" s="235" t="s">
        <v>201</v>
      </c>
      <c r="F9" s="235" t="s">
        <v>323</v>
      </c>
      <c r="G9" s="214" t="s">
        <v>36</v>
      </c>
      <c r="H9" s="206" t="s">
        <v>128</v>
      </c>
      <c r="I9" s="214" t="s">
        <v>153</v>
      </c>
      <c r="J9" s="214" t="s">
        <v>80</v>
      </c>
      <c r="K9" s="214" t="s">
        <v>63</v>
      </c>
      <c r="L9" s="206">
        <v>2</v>
      </c>
      <c r="N9" s="206">
        <v>5</v>
      </c>
      <c r="O9" s="206">
        <v>0.45</v>
      </c>
      <c r="P9" s="206">
        <v>0.2</v>
      </c>
      <c r="Q9" s="243">
        <f t="shared" si="0"/>
        <v>0.32500000000000001</v>
      </c>
      <c r="R9" s="206">
        <v>14.4</v>
      </c>
      <c r="S9" s="206">
        <v>70</v>
      </c>
      <c r="T9" s="215">
        <f t="shared" si="1"/>
        <v>50</v>
      </c>
      <c r="U9" s="206">
        <v>429</v>
      </c>
      <c r="V9" s="215">
        <f t="shared" si="2"/>
        <v>4290</v>
      </c>
      <c r="W9" s="206">
        <v>1</v>
      </c>
      <c r="X9" s="214" t="s">
        <v>39</v>
      </c>
      <c r="Y9" s="214" t="s">
        <v>84</v>
      </c>
      <c r="Z9" s="214" t="s">
        <v>40</v>
      </c>
      <c r="AA9" s="214" t="s">
        <v>69</v>
      </c>
      <c r="AB9" s="214" t="s">
        <v>333</v>
      </c>
      <c r="AE9" s="221" t="s">
        <v>98</v>
      </c>
      <c r="AG9" s="250" t="s">
        <v>282</v>
      </c>
      <c r="AH9" s="241" t="s">
        <v>326</v>
      </c>
      <c r="AL9" s="228"/>
      <c r="AP9" s="222" t="s">
        <v>95</v>
      </c>
      <c r="AR9" s="229" t="s">
        <v>89</v>
      </c>
      <c r="AV9" s="222" t="s">
        <v>102</v>
      </c>
      <c r="AX9" s="230">
        <v>180</v>
      </c>
      <c r="AY9" s="231">
        <v>18</v>
      </c>
      <c r="AZ9" s="231">
        <v>181</v>
      </c>
      <c r="BA9" s="232">
        <v>16</v>
      </c>
    </row>
    <row r="10" spans="1:53" x14ac:dyDescent="0.15">
      <c r="A10" s="214" t="s">
        <v>34</v>
      </c>
      <c r="B10" s="206" t="s">
        <v>331</v>
      </c>
      <c r="C10" s="206">
        <v>2018</v>
      </c>
      <c r="D10" s="248" t="s">
        <v>568</v>
      </c>
      <c r="E10" s="235" t="s">
        <v>201</v>
      </c>
      <c r="F10" s="235" t="s">
        <v>323</v>
      </c>
      <c r="G10" s="214" t="s">
        <v>36</v>
      </c>
      <c r="H10" s="206" t="s">
        <v>128</v>
      </c>
      <c r="I10" s="214" t="s">
        <v>153</v>
      </c>
      <c r="J10" s="214" t="s">
        <v>80</v>
      </c>
      <c r="K10" s="214" t="s">
        <v>63</v>
      </c>
      <c r="L10" s="206">
        <v>3</v>
      </c>
      <c r="N10" s="206">
        <v>5</v>
      </c>
      <c r="O10" s="206">
        <v>0.2</v>
      </c>
      <c r="P10" s="206">
        <v>0.2</v>
      </c>
      <c r="Q10" s="243">
        <f t="shared" si="0"/>
        <v>0.2</v>
      </c>
      <c r="R10" s="206">
        <v>15.1</v>
      </c>
      <c r="S10" s="206">
        <v>71</v>
      </c>
      <c r="T10" s="215">
        <f t="shared" si="1"/>
        <v>42</v>
      </c>
      <c r="U10" s="206">
        <v>429</v>
      </c>
      <c r="V10" s="215">
        <f t="shared" si="2"/>
        <v>3603.6</v>
      </c>
      <c r="W10" s="206">
        <v>1</v>
      </c>
      <c r="X10" s="214" t="s">
        <v>39</v>
      </c>
      <c r="Y10" s="214" t="s">
        <v>84</v>
      </c>
      <c r="Z10" s="214" t="s">
        <v>40</v>
      </c>
      <c r="AA10" s="214" t="s">
        <v>69</v>
      </c>
      <c r="AB10" s="214" t="s">
        <v>333</v>
      </c>
      <c r="AE10" s="221" t="s">
        <v>103</v>
      </c>
      <c r="AG10" s="250" t="s">
        <v>327</v>
      </c>
      <c r="AH10" s="241" t="s">
        <v>328</v>
      </c>
      <c r="AL10" s="233"/>
      <c r="AP10" s="222" t="s">
        <v>100</v>
      </c>
      <c r="AR10" s="229" t="s">
        <v>123</v>
      </c>
      <c r="AV10" s="222" t="s">
        <v>106</v>
      </c>
    </row>
    <row r="11" spans="1:53" x14ac:dyDescent="0.15">
      <c r="A11" s="214" t="s">
        <v>34</v>
      </c>
      <c r="B11" s="206" t="s">
        <v>331</v>
      </c>
      <c r="C11" s="206">
        <v>2018</v>
      </c>
      <c r="D11" s="248" t="s">
        <v>568</v>
      </c>
      <c r="E11" s="235" t="s">
        <v>282</v>
      </c>
      <c r="F11" s="235" t="s">
        <v>326</v>
      </c>
      <c r="G11" s="214" t="s">
        <v>36</v>
      </c>
      <c r="H11" s="206" t="s">
        <v>155</v>
      </c>
      <c r="I11" s="214" t="s">
        <v>153</v>
      </c>
      <c r="J11" s="214" t="s">
        <v>38</v>
      </c>
      <c r="K11" s="214" t="s">
        <v>154</v>
      </c>
      <c r="L11" s="214">
        <v>1</v>
      </c>
      <c r="N11" s="206">
        <v>1</v>
      </c>
      <c r="O11" s="206">
        <v>0.85</v>
      </c>
      <c r="P11" s="206">
        <v>0.75</v>
      </c>
      <c r="Q11" s="243">
        <f t="shared" si="0"/>
        <v>0.8</v>
      </c>
      <c r="R11" s="206">
        <v>9.9</v>
      </c>
      <c r="S11" s="206">
        <v>114</v>
      </c>
      <c r="T11" s="215">
        <f t="shared" si="1"/>
        <v>30</v>
      </c>
      <c r="U11" s="206">
        <v>138</v>
      </c>
      <c r="V11" s="215">
        <f t="shared" si="2"/>
        <v>4140</v>
      </c>
      <c r="W11" s="206">
        <v>5</v>
      </c>
      <c r="X11" s="214" t="s">
        <v>46</v>
      </c>
      <c r="Y11" s="214" t="s">
        <v>84</v>
      </c>
      <c r="Z11" s="214" t="s">
        <v>40</v>
      </c>
      <c r="AA11" s="214" t="s">
        <v>69</v>
      </c>
      <c r="AB11" s="214" t="s">
        <v>333</v>
      </c>
      <c r="AE11" s="221" t="s">
        <v>65</v>
      </c>
      <c r="AG11" s="250" t="s">
        <v>163</v>
      </c>
      <c r="AH11" s="241" t="s">
        <v>329</v>
      </c>
      <c r="AL11" s="233"/>
      <c r="AP11" s="222" t="s">
        <v>104</v>
      </c>
      <c r="AR11" s="229" t="s">
        <v>87</v>
      </c>
      <c r="AV11" s="222" t="s">
        <v>69</v>
      </c>
    </row>
    <row r="12" spans="1:53" x14ac:dyDescent="0.15">
      <c r="A12" s="214" t="s">
        <v>34</v>
      </c>
      <c r="B12" s="206" t="s">
        <v>331</v>
      </c>
      <c r="C12" s="206">
        <v>2018</v>
      </c>
      <c r="D12" s="248" t="s">
        <v>569</v>
      </c>
      <c r="E12" s="235" t="s">
        <v>282</v>
      </c>
      <c r="F12" s="235" t="s">
        <v>326</v>
      </c>
      <c r="G12" s="214" t="s">
        <v>36</v>
      </c>
      <c r="H12" s="206" t="s">
        <v>155</v>
      </c>
      <c r="I12" s="214" t="s">
        <v>153</v>
      </c>
      <c r="J12" s="214" t="s">
        <v>38</v>
      </c>
      <c r="K12" s="214" t="s">
        <v>154</v>
      </c>
      <c r="L12" s="206">
        <v>2</v>
      </c>
      <c r="N12" s="206">
        <v>1</v>
      </c>
      <c r="O12" s="206">
        <v>0.85</v>
      </c>
      <c r="P12" s="206">
        <v>1</v>
      </c>
      <c r="Q12" s="243">
        <f t="shared" si="0"/>
        <v>0.92500000000000004</v>
      </c>
      <c r="R12" s="206">
        <v>12.3</v>
      </c>
      <c r="S12" s="206">
        <v>114</v>
      </c>
      <c r="T12" s="215">
        <f t="shared" si="1"/>
        <v>30</v>
      </c>
      <c r="U12" s="206">
        <v>138</v>
      </c>
      <c r="V12" s="215">
        <f t="shared" si="2"/>
        <v>4140</v>
      </c>
      <c r="W12" s="206">
        <v>5</v>
      </c>
      <c r="X12" s="214" t="s">
        <v>46</v>
      </c>
      <c r="Y12" s="214" t="s">
        <v>84</v>
      </c>
      <c r="Z12" s="214" t="s">
        <v>40</v>
      </c>
      <c r="AA12" s="214" t="s">
        <v>69</v>
      </c>
      <c r="AB12" s="214" t="s">
        <v>333</v>
      </c>
      <c r="AE12" s="221" t="s">
        <v>70</v>
      </c>
      <c r="AG12" s="242"/>
      <c r="AH12" s="222"/>
      <c r="AL12" s="233"/>
      <c r="AP12" s="222" t="s">
        <v>67</v>
      </c>
      <c r="AR12" s="229" t="s">
        <v>124</v>
      </c>
      <c r="AV12" s="222" t="s">
        <v>72</v>
      </c>
    </row>
    <row r="13" spans="1:53" x14ac:dyDescent="0.15">
      <c r="A13" s="214" t="s">
        <v>34</v>
      </c>
      <c r="B13" s="206" t="s">
        <v>331</v>
      </c>
      <c r="C13" s="206">
        <v>2018</v>
      </c>
      <c r="D13" s="248" t="s">
        <v>570</v>
      </c>
      <c r="E13" s="235" t="s">
        <v>282</v>
      </c>
      <c r="F13" s="235" t="s">
        <v>326</v>
      </c>
      <c r="G13" s="214" t="s">
        <v>36</v>
      </c>
      <c r="H13" s="206" t="s">
        <v>155</v>
      </c>
      <c r="I13" s="214" t="s">
        <v>153</v>
      </c>
      <c r="J13" s="214" t="s">
        <v>38</v>
      </c>
      <c r="K13" s="214" t="s">
        <v>154</v>
      </c>
      <c r="L13" s="206">
        <v>3</v>
      </c>
      <c r="N13" s="206">
        <v>1</v>
      </c>
      <c r="O13" s="206">
        <v>0.6</v>
      </c>
      <c r="P13" s="206">
        <v>0.6</v>
      </c>
      <c r="Q13" s="243">
        <f t="shared" si="0"/>
        <v>0.6</v>
      </c>
      <c r="R13" s="206">
        <v>10.6</v>
      </c>
      <c r="S13" s="206">
        <v>116</v>
      </c>
      <c r="T13" s="215">
        <f t="shared" si="1"/>
        <v>30</v>
      </c>
      <c r="U13" s="206">
        <v>138</v>
      </c>
      <c r="V13" s="215">
        <f t="shared" si="2"/>
        <v>4140</v>
      </c>
      <c r="W13" s="206">
        <v>5</v>
      </c>
      <c r="X13" s="214" t="s">
        <v>46</v>
      </c>
      <c r="Y13" s="214" t="s">
        <v>84</v>
      </c>
      <c r="Z13" s="214" t="s">
        <v>40</v>
      </c>
      <c r="AA13" s="214" t="s">
        <v>69</v>
      </c>
      <c r="AB13" s="214" t="s">
        <v>333</v>
      </c>
      <c r="AE13" s="221" t="s">
        <v>73</v>
      </c>
      <c r="AG13" s="251"/>
      <c r="AH13" s="227"/>
      <c r="AP13" s="222" t="s">
        <v>71</v>
      </c>
      <c r="AR13" s="229" t="s">
        <v>103</v>
      </c>
      <c r="AV13" s="222" t="s">
        <v>75</v>
      </c>
    </row>
    <row r="14" spans="1:53" x14ac:dyDescent="0.15">
      <c r="A14" s="214" t="s">
        <v>34</v>
      </c>
      <c r="B14" s="206" t="s">
        <v>331</v>
      </c>
      <c r="C14" s="206">
        <v>2018</v>
      </c>
      <c r="D14" s="248" t="s">
        <v>571</v>
      </c>
      <c r="E14" s="235" t="s">
        <v>282</v>
      </c>
      <c r="F14" s="235" t="s">
        <v>326</v>
      </c>
      <c r="G14" s="214" t="s">
        <v>36</v>
      </c>
      <c r="H14" s="206" t="s">
        <v>155</v>
      </c>
      <c r="I14" s="214" t="s">
        <v>153</v>
      </c>
      <c r="J14" s="214" t="s">
        <v>38</v>
      </c>
      <c r="K14" s="214" t="s">
        <v>154</v>
      </c>
      <c r="L14" s="214">
        <v>1</v>
      </c>
      <c r="N14" s="206">
        <v>4</v>
      </c>
      <c r="O14" s="206">
        <v>0.55000000000000004</v>
      </c>
      <c r="P14" s="206">
        <v>0.55000000000000004</v>
      </c>
      <c r="Q14" s="243">
        <f t="shared" si="0"/>
        <v>0.55000000000000004</v>
      </c>
      <c r="R14" s="206">
        <v>14.1</v>
      </c>
      <c r="S14" s="206">
        <v>105</v>
      </c>
      <c r="T14" s="215">
        <f t="shared" si="1"/>
        <v>33</v>
      </c>
      <c r="U14" s="206">
        <v>386</v>
      </c>
      <c r="V14" s="215">
        <f t="shared" si="2"/>
        <v>3184.5</v>
      </c>
      <c r="W14" s="206">
        <v>5</v>
      </c>
      <c r="X14" s="214" t="s">
        <v>46</v>
      </c>
      <c r="Y14" s="214" t="s">
        <v>84</v>
      </c>
      <c r="Z14" s="214" t="s">
        <v>40</v>
      </c>
      <c r="AA14" s="214" t="s">
        <v>69</v>
      </c>
      <c r="AB14" s="214" t="s">
        <v>333</v>
      </c>
      <c r="AE14" s="221" t="s">
        <v>76</v>
      </c>
      <c r="AG14" s="252"/>
      <c r="AL14" s="245"/>
      <c r="AP14" s="222" t="s">
        <v>74</v>
      </c>
      <c r="AR14" s="229" t="s">
        <v>125</v>
      </c>
      <c r="AV14" s="222" t="s">
        <v>78</v>
      </c>
    </row>
    <row r="15" spans="1:53" x14ac:dyDescent="0.15">
      <c r="A15" s="214" t="s">
        <v>34</v>
      </c>
      <c r="B15" s="206" t="s">
        <v>331</v>
      </c>
      <c r="C15" s="206">
        <v>2018</v>
      </c>
      <c r="D15" s="248" t="s">
        <v>571</v>
      </c>
      <c r="E15" s="235" t="s">
        <v>282</v>
      </c>
      <c r="F15" s="235" t="s">
        <v>326</v>
      </c>
      <c r="G15" s="214" t="s">
        <v>36</v>
      </c>
      <c r="H15" s="206" t="s">
        <v>155</v>
      </c>
      <c r="I15" s="214" t="s">
        <v>153</v>
      </c>
      <c r="J15" s="214" t="s">
        <v>38</v>
      </c>
      <c r="K15" s="214" t="s">
        <v>154</v>
      </c>
      <c r="L15" s="206">
        <v>2</v>
      </c>
      <c r="N15" s="206">
        <v>4</v>
      </c>
      <c r="O15" s="206">
        <v>0.6</v>
      </c>
      <c r="P15" s="206">
        <v>0.55000000000000004</v>
      </c>
      <c r="Q15" s="243">
        <f t="shared" si="0"/>
        <v>0.57499999999999996</v>
      </c>
      <c r="R15" s="206">
        <v>14</v>
      </c>
      <c r="S15" s="206">
        <v>110</v>
      </c>
      <c r="T15" s="215">
        <f t="shared" si="1"/>
        <v>33</v>
      </c>
      <c r="U15" s="206">
        <v>386</v>
      </c>
      <c r="V15" s="215">
        <f t="shared" si="2"/>
        <v>3184.5</v>
      </c>
      <c r="W15" s="206">
        <v>5</v>
      </c>
      <c r="X15" s="214" t="s">
        <v>46</v>
      </c>
      <c r="Y15" s="214" t="s">
        <v>84</v>
      </c>
      <c r="Z15" s="214" t="s">
        <v>40</v>
      </c>
      <c r="AA15" s="214" t="s">
        <v>69</v>
      </c>
      <c r="AB15" s="214" t="s">
        <v>333</v>
      </c>
      <c r="AE15" s="221" t="s">
        <v>79</v>
      </c>
      <c r="AL15" s="253"/>
      <c r="AP15" s="222" t="s">
        <v>77</v>
      </c>
      <c r="AR15" s="229" t="s">
        <v>94</v>
      </c>
      <c r="AV15" s="222" t="s">
        <v>107</v>
      </c>
    </row>
    <row r="16" spans="1:53" x14ac:dyDescent="0.15">
      <c r="A16" s="214" t="s">
        <v>34</v>
      </c>
      <c r="B16" s="206" t="s">
        <v>331</v>
      </c>
      <c r="C16" s="206">
        <v>2018</v>
      </c>
      <c r="D16" s="248" t="s">
        <v>572</v>
      </c>
      <c r="E16" s="235" t="s">
        <v>282</v>
      </c>
      <c r="F16" s="235" t="s">
        <v>326</v>
      </c>
      <c r="G16" s="214" t="s">
        <v>36</v>
      </c>
      <c r="H16" s="206" t="s">
        <v>155</v>
      </c>
      <c r="I16" s="214" t="s">
        <v>153</v>
      </c>
      <c r="J16" s="214" t="s">
        <v>38</v>
      </c>
      <c r="K16" s="214" t="s">
        <v>154</v>
      </c>
      <c r="L16" s="206">
        <v>3</v>
      </c>
      <c r="N16" s="206">
        <v>4</v>
      </c>
      <c r="O16" s="206">
        <v>0.75</v>
      </c>
      <c r="P16" s="206">
        <v>0.45</v>
      </c>
      <c r="Q16" s="243">
        <f t="shared" si="0"/>
        <v>0.6</v>
      </c>
      <c r="R16" s="206">
        <v>12.8</v>
      </c>
      <c r="S16" s="206">
        <v>106</v>
      </c>
      <c r="T16" s="215">
        <f t="shared" si="1"/>
        <v>33</v>
      </c>
      <c r="U16" s="206">
        <v>386</v>
      </c>
      <c r="V16" s="215">
        <f t="shared" si="2"/>
        <v>3184.5</v>
      </c>
      <c r="W16" s="206">
        <v>5</v>
      </c>
      <c r="X16" s="214" t="s">
        <v>46</v>
      </c>
      <c r="Y16" s="214" t="s">
        <v>84</v>
      </c>
      <c r="Z16" s="214" t="s">
        <v>40</v>
      </c>
      <c r="AA16" s="214" t="s">
        <v>69</v>
      </c>
      <c r="AB16" s="214" t="s">
        <v>333</v>
      </c>
      <c r="AE16" s="221" t="s">
        <v>82</v>
      </c>
      <c r="AL16" s="253"/>
      <c r="AP16" s="222" t="s">
        <v>80</v>
      </c>
      <c r="AR16" s="236" t="s">
        <v>63</v>
      </c>
      <c r="AV16" s="222" t="s">
        <v>84</v>
      </c>
    </row>
    <row r="17" spans="1:48" x14ac:dyDescent="0.15">
      <c r="A17" s="214" t="s">
        <v>34</v>
      </c>
      <c r="B17" s="206" t="s">
        <v>331</v>
      </c>
      <c r="C17" s="206">
        <v>2018</v>
      </c>
      <c r="D17" s="248" t="s">
        <v>572</v>
      </c>
      <c r="E17" s="235" t="s">
        <v>327</v>
      </c>
      <c r="F17" s="235" t="s">
        <v>328</v>
      </c>
      <c r="G17" s="214" t="s">
        <v>36</v>
      </c>
      <c r="H17" s="206" t="s">
        <v>155</v>
      </c>
      <c r="I17" s="214" t="s">
        <v>153</v>
      </c>
      <c r="J17" s="214" t="s">
        <v>38</v>
      </c>
      <c r="K17" s="214" t="s">
        <v>154</v>
      </c>
      <c r="L17" s="214">
        <v>1</v>
      </c>
      <c r="N17" s="206">
        <v>1</v>
      </c>
      <c r="O17" s="206">
        <v>0.5</v>
      </c>
      <c r="P17" s="206">
        <v>0.55000000000000004</v>
      </c>
      <c r="Q17" s="243">
        <f t="shared" si="0"/>
        <v>0.52500000000000002</v>
      </c>
      <c r="R17" s="206">
        <v>12.4</v>
      </c>
      <c r="S17" s="206">
        <v>114</v>
      </c>
      <c r="T17" s="215">
        <f t="shared" si="1"/>
        <v>30</v>
      </c>
      <c r="U17" s="206">
        <v>78</v>
      </c>
      <c r="V17" s="215">
        <f t="shared" si="2"/>
        <v>2340</v>
      </c>
      <c r="W17" s="206">
        <v>3</v>
      </c>
      <c r="X17" s="214" t="s">
        <v>46</v>
      </c>
      <c r="Y17" s="214" t="s">
        <v>84</v>
      </c>
      <c r="Z17" s="214" t="s">
        <v>90</v>
      </c>
      <c r="AA17" s="214" t="s">
        <v>69</v>
      </c>
      <c r="AB17" s="214" t="s">
        <v>333</v>
      </c>
      <c r="AE17" s="221" t="s">
        <v>85</v>
      </c>
      <c r="AL17" s="253"/>
      <c r="AP17" s="237" t="s">
        <v>110</v>
      </c>
      <c r="AR17" s="236" t="s">
        <v>96</v>
      </c>
      <c r="AV17" s="222" t="s">
        <v>86</v>
      </c>
    </row>
    <row r="18" spans="1:48" x14ac:dyDescent="0.15">
      <c r="A18" s="214" t="s">
        <v>34</v>
      </c>
      <c r="B18" s="206" t="s">
        <v>331</v>
      </c>
      <c r="C18" s="206">
        <v>2018</v>
      </c>
      <c r="D18" s="248" t="s">
        <v>572</v>
      </c>
      <c r="E18" s="235" t="s">
        <v>327</v>
      </c>
      <c r="F18" s="235" t="s">
        <v>328</v>
      </c>
      <c r="G18" s="214" t="s">
        <v>36</v>
      </c>
      <c r="H18" s="206" t="s">
        <v>155</v>
      </c>
      <c r="I18" s="214" t="s">
        <v>153</v>
      </c>
      <c r="J18" s="214" t="s">
        <v>38</v>
      </c>
      <c r="K18" s="214" t="s">
        <v>154</v>
      </c>
      <c r="L18" s="206">
        <v>2</v>
      </c>
      <c r="N18" s="206">
        <v>1</v>
      </c>
      <c r="O18" s="206">
        <v>0.75</v>
      </c>
      <c r="P18" s="206">
        <v>0.7</v>
      </c>
      <c r="Q18" s="243">
        <f t="shared" si="0"/>
        <v>0.72499999999999998</v>
      </c>
      <c r="R18" s="206">
        <v>13.5</v>
      </c>
      <c r="S18" s="206">
        <v>115</v>
      </c>
      <c r="T18" s="215">
        <f t="shared" si="1"/>
        <v>30</v>
      </c>
      <c r="U18" s="206">
        <v>78</v>
      </c>
      <c r="V18" s="215">
        <f t="shared" si="2"/>
        <v>2340</v>
      </c>
      <c r="W18" s="206">
        <v>3</v>
      </c>
      <c r="X18" s="214" t="s">
        <v>46</v>
      </c>
      <c r="Y18" s="214" t="s">
        <v>84</v>
      </c>
      <c r="Z18" s="214" t="s">
        <v>90</v>
      </c>
      <c r="AA18" s="214" t="s">
        <v>69</v>
      </c>
      <c r="AB18" s="214" t="s">
        <v>333</v>
      </c>
      <c r="AE18" s="221" t="s">
        <v>87</v>
      </c>
      <c r="AL18" s="214"/>
      <c r="AP18" s="237" t="s">
        <v>111</v>
      </c>
      <c r="AR18" s="236" t="s">
        <v>101</v>
      </c>
      <c r="AV18" s="222" t="s">
        <v>88</v>
      </c>
    </row>
    <row r="19" spans="1:48" x14ac:dyDescent="0.15">
      <c r="A19" s="214" t="s">
        <v>34</v>
      </c>
      <c r="B19" s="206" t="s">
        <v>331</v>
      </c>
      <c r="C19" s="206">
        <v>2018</v>
      </c>
      <c r="D19" s="248" t="s">
        <v>569</v>
      </c>
      <c r="E19" s="235" t="s">
        <v>327</v>
      </c>
      <c r="F19" s="235" t="s">
        <v>328</v>
      </c>
      <c r="G19" s="214" t="s">
        <v>36</v>
      </c>
      <c r="H19" s="206" t="s">
        <v>155</v>
      </c>
      <c r="I19" s="214" t="s">
        <v>153</v>
      </c>
      <c r="J19" s="214" t="s">
        <v>38</v>
      </c>
      <c r="K19" s="214" t="s">
        <v>154</v>
      </c>
      <c r="L19" s="206">
        <v>3</v>
      </c>
      <c r="N19" s="206">
        <v>1</v>
      </c>
      <c r="O19" s="206">
        <v>0.65</v>
      </c>
      <c r="P19" s="206">
        <v>0.55000000000000004</v>
      </c>
      <c r="Q19" s="243">
        <f t="shared" si="0"/>
        <v>0.60000000000000009</v>
      </c>
      <c r="R19" s="206">
        <v>9.4</v>
      </c>
      <c r="S19" s="206">
        <v>120</v>
      </c>
      <c r="T19" s="215">
        <f t="shared" si="1"/>
        <v>30</v>
      </c>
      <c r="U19" s="206">
        <v>78</v>
      </c>
      <c r="V19" s="215">
        <f t="shared" si="2"/>
        <v>2340</v>
      </c>
      <c r="W19" s="206">
        <v>3</v>
      </c>
      <c r="X19" s="214" t="s">
        <v>46</v>
      </c>
      <c r="Y19" s="214" t="s">
        <v>84</v>
      </c>
      <c r="Z19" s="214" t="s">
        <v>90</v>
      </c>
      <c r="AA19" s="214" t="s">
        <v>69</v>
      </c>
      <c r="AB19" s="214" t="s">
        <v>333</v>
      </c>
      <c r="AE19" s="234" t="s">
        <v>89</v>
      </c>
      <c r="AP19" s="237" t="s">
        <v>112</v>
      </c>
      <c r="AR19" s="229" t="s">
        <v>126</v>
      </c>
      <c r="AV19" s="222" t="s">
        <v>90</v>
      </c>
    </row>
    <row r="20" spans="1:48" x14ac:dyDescent="0.15">
      <c r="A20" s="214" t="s">
        <v>34</v>
      </c>
      <c r="B20" s="206" t="s">
        <v>331</v>
      </c>
      <c r="C20" s="206">
        <v>2018</v>
      </c>
      <c r="D20" s="248" t="s">
        <v>569</v>
      </c>
      <c r="E20" s="235" t="s">
        <v>327</v>
      </c>
      <c r="F20" s="235" t="s">
        <v>328</v>
      </c>
      <c r="G20" s="214" t="s">
        <v>36</v>
      </c>
      <c r="H20" s="206" t="s">
        <v>155</v>
      </c>
      <c r="I20" s="214" t="s">
        <v>153</v>
      </c>
      <c r="J20" s="214" t="s">
        <v>38</v>
      </c>
      <c r="K20" s="214" t="s">
        <v>154</v>
      </c>
      <c r="L20" s="214">
        <v>1</v>
      </c>
      <c r="N20" s="206">
        <v>5</v>
      </c>
      <c r="O20" s="206">
        <v>0.65</v>
      </c>
      <c r="P20" s="206">
        <v>0.7</v>
      </c>
      <c r="Q20" s="243">
        <f t="shared" si="0"/>
        <v>0.67500000000000004</v>
      </c>
      <c r="R20" s="206">
        <v>13.7</v>
      </c>
      <c r="S20" s="206">
        <v>84</v>
      </c>
      <c r="T20" s="215">
        <f t="shared" si="1"/>
        <v>36</v>
      </c>
      <c r="U20" s="206">
        <v>373</v>
      </c>
      <c r="V20" s="215">
        <f t="shared" si="2"/>
        <v>2685.6</v>
      </c>
      <c r="W20" s="206">
        <v>3</v>
      </c>
      <c r="X20" s="214" t="s">
        <v>46</v>
      </c>
      <c r="Y20" s="214" t="s">
        <v>84</v>
      </c>
      <c r="Z20" s="214" t="s">
        <v>90</v>
      </c>
      <c r="AA20" s="214" t="s">
        <v>69</v>
      </c>
      <c r="AB20" s="214" t="s">
        <v>333</v>
      </c>
      <c r="AP20" s="237" t="s">
        <v>113</v>
      </c>
      <c r="AR20" s="236" t="s">
        <v>105</v>
      </c>
      <c r="AV20" s="226" t="s">
        <v>351</v>
      </c>
    </row>
    <row r="21" spans="1:48" x14ac:dyDescent="0.15">
      <c r="A21" s="214" t="s">
        <v>34</v>
      </c>
      <c r="B21" s="206" t="s">
        <v>331</v>
      </c>
      <c r="C21" s="206">
        <v>2018</v>
      </c>
      <c r="D21" s="248" t="s">
        <v>569</v>
      </c>
      <c r="E21" s="235" t="s">
        <v>327</v>
      </c>
      <c r="F21" s="235" t="s">
        <v>328</v>
      </c>
      <c r="G21" s="214" t="s">
        <v>36</v>
      </c>
      <c r="H21" s="206" t="s">
        <v>155</v>
      </c>
      <c r="I21" s="214" t="s">
        <v>153</v>
      </c>
      <c r="J21" s="214" t="s">
        <v>38</v>
      </c>
      <c r="K21" s="214" t="s">
        <v>154</v>
      </c>
      <c r="L21" s="206">
        <v>2</v>
      </c>
      <c r="N21" s="206">
        <v>5</v>
      </c>
      <c r="O21" s="206">
        <v>0.65</v>
      </c>
      <c r="P21" s="206">
        <v>0.55000000000000004</v>
      </c>
      <c r="Q21" s="243">
        <f t="shared" si="0"/>
        <v>0.60000000000000009</v>
      </c>
      <c r="R21" s="206">
        <v>14</v>
      </c>
      <c r="S21" s="206">
        <v>83</v>
      </c>
      <c r="T21" s="215">
        <f t="shared" si="1"/>
        <v>39</v>
      </c>
      <c r="U21" s="206">
        <v>373</v>
      </c>
      <c r="V21" s="215">
        <f t="shared" si="2"/>
        <v>2909.3999999999996</v>
      </c>
      <c r="W21" s="206">
        <v>3</v>
      </c>
      <c r="X21" s="214" t="s">
        <v>46</v>
      </c>
      <c r="Y21" s="214" t="s">
        <v>84</v>
      </c>
      <c r="Z21" s="214" t="s">
        <v>90</v>
      </c>
      <c r="AA21" s="214" t="s">
        <v>69</v>
      </c>
      <c r="AB21" s="214" t="s">
        <v>333</v>
      </c>
      <c r="AP21" s="237" t="s">
        <v>114</v>
      </c>
      <c r="AR21" s="236" t="s">
        <v>68</v>
      </c>
      <c r="AV21" s="226" t="s">
        <v>352</v>
      </c>
    </row>
    <row r="22" spans="1:48" x14ac:dyDescent="0.15">
      <c r="A22" s="214" t="s">
        <v>34</v>
      </c>
      <c r="B22" s="206" t="s">
        <v>331</v>
      </c>
      <c r="C22" s="206">
        <v>2018</v>
      </c>
      <c r="D22" s="248" t="s">
        <v>569</v>
      </c>
      <c r="E22" s="235" t="s">
        <v>327</v>
      </c>
      <c r="F22" s="235" t="s">
        <v>328</v>
      </c>
      <c r="G22" s="214" t="s">
        <v>36</v>
      </c>
      <c r="H22" s="206" t="s">
        <v>155</v>
      </c>
      <c r="I22" s="214" t="s">
        <v>153</v>
      </c>
      <c r="J22" s="214" t="s">
        <v>38</v>
      </c>
      <c r="K22" s="214" t="s">
        <v>154</v>
      </c>
      <c r="L22" s="206">
        <v>3</v>
      </c>
      <c r="N22" s="206">
        <v>5</v>
      </c>
      <c r="O22" s="206">
        <v>0.65</v>
      </c>
      <c r="P22" s="206">
        <v>0.55000000000000004</v>
      </c>
      <c r="Q22" s="243">
        <f t="shared" si="0"/>
        <v>0.60000000000000009</v>
      </c>
      <c r="R22" s="206">
        <v>13.5</v>
      </c>
      <c r="S22" s="206">
        <v>86</v>
      </c>
      <c r="T22" s="215">
        <f t="shared" si="1"/>
        <v>36</v>
      </c>
      <c r="U22" s="206">
        <v>373</v>
      </c>
      <c r="V22" s="215">
        <f t="shared" si="2"/>
        <v>2685.6</v>
      </c>
      <c r="W22" s="206">
        <v>3</v>
      </c>
      <c r="X22" s="214" t="s">
        <v>46</v>
      </c>
      <c r="Y22" s="214" t="s">
        <v>84</v>
      </c>
      <c r="Z22" s="214" t="s">
        <v>90</v>
      </c>
      <c r="AA22" s="214" t="s">
        <v>69</v>
      </c>
      <c r="AB22" s="214" t="s">
        <v>333</v>
      </c>
      <c r="AP22" s="237" t="s">
        <v>115</v>
      </c>
      <c r="AR22" s="236" t="s">
        <v>83</v>
      </c>
      <c r="AV22" s="226"/>
    </row>
    <row r="23" spans="1:48" x14ac:dyDescent="0.15">
      <c r="A23" s="214" t="s">
        <v>34</v>
      </c>
      <c r="B23" s="206" t="s">
        <v>331</v>
      </c>
      <c r="C23" s="206">
        <v>2018</v>
      </c>
      <c r="D23" s="248" t="s">
        <v>569</v>
      </c>
      <c r="E23" s="235" t="s">
        <v>324</v>
      </c>
      <c r="F23" s="235" t="s">
        <v>325</v>
      </c>
      <c r="G23" s="214" t="s">
        <v>36</v>
      </c>
      <c r="H23" s="206" t="s">
        <v>155</v>
      </c>
      <c r="I23" s="214" t="s">
        <v>153</v>
      </c>
      <c r="J23" s="214" t="s">
        <v>38</v>
      </c>
      <c r="K23" s="214" t="s">
        <v>154</v>
      </c>
      <c r="L23" s="214">
        <v>1</v>
      </c>
      <c r="N23" s="206">
        <v>8</v>
      </c>
      <c r="O23" s="206">
        <v>0.7</v>
      </c>
      <c r="P23" s="206">
        <v>0.55000000000000004</v>
      </c>
      <c r="Q23" s="243">
        <f t="shared" si="0"/>
        <v>0.625</v>
      </c>
      <c r="R23" s="206">
        <v>13.3</v>
      </c>
      <c r="S23" s="206">
        <v>98</v>
      </c>
      <c r="T23" s="215">
        <f t="shared" si="1"/>
        <v>36</v>
      </c>
      <c r="U23" s="206">
        <v>321</v>
      </c>
      <c r="V23" s="215">
        <f t="shared" si="2"/>
        <v>1444.5</v>
      </c>
      <c r="W23" s="206">
        <v>1</v>
      </c>
      <c r="X23" s="214" t="s">
        <v>46</v>
      </c>
      <c r="Y23" s="214" t="s">
        <v>40</v>
      </c>
      <c r="Z23" s="214" t="s">
        <v>84</v>
      </c>
      <c r="AA23" s="214" t="s">
        <v>69</v>
      </c>
      <c r="AB23" s="214" t="s">
        <v>333</v>
      </c>
      <c r="AP23" s="237" t="s">
        <v>117</v>
      </c>
      <c r="AR23" s="236" t="s">
        <v>283</v>
      </c>
    </row>
    <row r="24" spans="1:48" x14ac:dyDescent="0.15">
      <c r="A24" s="214" t="s">
        <v>34</v>
      </c>
      <c r="B24" s="206" t="s">
        <v>331</v>
      </c>
      <c r="C24" s="206">
        <v>2018</v>
      </c>
      <c r="D24" s="248" t="s">
        <v>569</v>
      </c>
      <c r="E24" s="235" t="s">
        <v>324</v>
      </c>
      <c r="F24" s="235" t="s">
        <v>325</v>
      </c>
      <c r="G24" s="214" t="s">
        <v>36</v>
      </c>
      <c r="H24" s="206" t="s">
        <v>155</v>
      </c>
      <c r="I24" s="214" t="s">
        <v>153</v>
      </c>
      <c r="J24" s="214" t="s">
        <v>38</v>
      </c>
      <c r="K24" s="214" t="s">
        <v>154</v>
      </c>
      <c r="L24" s="206">
        <v>2</v>
      </c>
      <c r="N24" s="206">
        <v>8</v>
      </c>
      <c r="O24" s="206">
        <v>0.2</v>
      </c>
      <c r="P24" s="206">
        <v>0.2</v>
      </c>
      <c r="Q24" s="243">
        <f t="shared" si="0"/>
        <v>0.2</v>
      </c>
      <c r="R24" s="206">
        <v>13.4</v>
      </c>
      <c r="S24" s="206">
        <v>102</v>
      </c>
      <c r="T24" s="215">
        <f t="shared" si="1"/>
        <v>33</v>
      </c>
      <c r="U24" s="206">
        <v>321</v>
      </c>
      <c r="V24" s="215">
        <f t="shared" si="2"/>
        <v>1324.125</v>
      </c>
      <c r="W24" s="206">
        <v>1</v>
      </c>
      <c r="X24" s="214" t="s">
        <v>46</v>
      </c>
      <c r="Y24" s="214" t="s">
        <v>40</v>
      </c>
      <c r="Z24" s="214" t="s">
        <v>84</v>
      </c>
      <c r="AA24" s="214" t="s">
        <v>69</v>
      </c>
      <c r="AB24" s="214" t="s">
        <v>333</v>
      </c>
      <c r="AP24" s="237" t="s">
        <v>118</v>
      </c>
    </row>
    <row r="25" spans="1:48" x14ac:dyDescent="0.15">
      <c r="A25" s="214" t="s">
        <v>34</v>
      </c>
      <c r="B25" s="206" t="s">
        <v>331</v>
      </c>
      <c r="C25" s="206">
        <v>2018</v>
      </c>
      <c r="D25" s="248" t="s">
        <v>569</v>
      </c>
      <c r="E25" s="235" t="s">
        <v>324</v>
      </c>
      <c r="F25" s="235" t="s">
        <v>325</v>
      </c>
      <c r="G25" s="214" t="s">
        <v>36</v>
      </c>
      <c r="H25" s="206" t="s">
        <v>155</v>
      </c>
      <c r="I25" s="214" t="s">
        <v>153</v>
      </c>
      <c r="J25" s="214" t="s">
        <v>38</v>
      </c>
      <c r="K25" s="214" t="s">
        <v>154</v>
      </c>
      <c r="L25" s="206">
        <v>3</v>
      </c>
      <c r="N25" s="206">
        <v>8</v>
      </c>
      <c r="O25" s="206">
        <v>0.55000000000000004</v>
      </c>
      <c r="P25" s="206">
        <v>0.45</v>
      </c>
      <c r="Q25" s="243">
        <f t="shared" si="0"/>
        <v>0.5</v>
      </c>
      <c r="R25" s="206">
        <v>12.7</v>
      </c>
      <c r="S25" s="206">
        <v>93</v>
      </c>
      <c r="T25" s="215">
        <f t="shared" si="1"/>
        <v>36</v>
      </c>
      <c r="U25" s="206">
        <v>321</v>
      </c>
      <c r="V25" s="215">
        <f t="shared" si="2"/>
        <v>1444.5</v>
      </c>
      <c r="W25" s="206">
        <v>1</v>
      </c>
      <c r="X25" s="214" t="s">
        <v>46</v>
      </c>
      <c r="Y25" s="214" t="s">
        <v>40</v>
      </c>
      <c r="Z25" s="214" t="s">
        <v>84</v>
      </c>
      <c r="AA25" s="214" t="s">
        <v>69</v>
      </c>
      <c r="AB25" s="214" t="s">
        <v>333</v>
      </c>
    </row>
    <row r="26" spans="1:48" x14ac:dyDescent="0.15">
      <c r="A26" s="214" t="s">
        <v>34</v>
      </c>
      <c r="B26" s="206" t="s">
        <v>331</v>
      </c>
      <c r="C26" s="206">
        <v>2018</v>
      </c>
      <c r="D26" s="248" t="s">
        <v>569</v>
      </c>
      <c r="E26" s="235" t="s">
        <v>163</v>
      </c>
      <c r="F26" s="235" t="s">
        <v>329</v>
      </c>
      <c r="G26" s="214" t="s">
        <v>36</v>
      </c>
      <c r="H26" s="206" t="s">
        <v>155</v>
      </c>
      <c r="I26" s="214" t="s">
        <v>153</v>
      </c>
      <c r="J26" s="214" t="s">
        <v>38</v>
      </c>
      <c r="K26" s="214" t="s">
        <v>154</v>
      </c>
      <c r="L26" s="214">
        <v>1</v>
      </c>
      <c r="N26" s="206">
        <v>1</v>
      </c>
      <c r="O26" s="206">
        <v>0.7</v>
      </c>
      <c r="P26" s="206">
        <v>0.75</v>
      </c>
      <c r="Q26" s="243">
        <f t="shared" si="0"/>
        <v>0.72499999999999998</v>
      </c>
      <c r="R26" s="206">
        <v>11.8</v>
      </c>
      <c r="S26" s="206">
        <v>117</v>
      </c>
      <c r="T26" s="215">
        <f t="shared" si="1"/>
        <v>30</v>
      </c>
      <c r="U26" s="206">
        <v>93</v>
      </c>
      <c r="V26" s="215">
        <f t="shared" si="2"/>
        <v>2790</v>
      </c>
      <c r="W26" s="206">
        <v>3</v>
      </c>
      <c r="X26" s="214" t="s">
        <v>46</v>
      </c>
      <c r="Y26" s="214" t="s">
        <v>84</v>
      </c>
      <c r="Z26" s="214" t="s">
        <v>69</v>
      </c>
      <c r="AA26" s="214" t="s">
        <v>40</v>
      </c>
      <c r="AB26" s="214" t="s">
        <v>333</v>
      </c>
    </row>
    <row r="27" spans="1:48" x14ac:dyDescent="0.15">
      <c r="A27" s="214" t="s">
        <v>34</v>
      </c>
      <c r="B27" s="206" t="s">
        <v>331</v>
      </c>
      <c r="C27" s="206">
        <v>2018</v>
      </c>
      <c r="D27" s="248" t="s">
        <v>569</v>
      </c>
      <c r="E27" s="235" t="s">
        <v>163</v>
      </c>
      <c r="F27" s="235" t="s">
        <v>329</v>
      </c>
      <c r="G27" s="214" t="s">
        <v>36</v>
      </c>
      <c r="H27" s="206" t="s">
        <v>155</v>
      </c>
      <c r="I27" s="214" t="s">
        <v>153</v>
      </c>
      <c r="J27" s="214" t="s">
        <v>38</v>
      </c>
      <c r="K27" s="214" t="s">
        <v>154</v>
      </c>
      <c r="L27" s="206">
        <v>2</v>
      </c>
      <c r="N27" s="206">
        <v>1</v>
      </c>
      <c r="O27" s="206">
        <v>0.85</v>
      </c>
      <c r="P27" s="206">
        <v>0.7</v>
      </c>
      <c r="Q27" s="243">
        <f t="shared" si="0"/>
        <v>0.77499999999999991</v>
      </c>
      <c r="R27" s="206">
        <v>14.4</v>
      </c>
      <c r="S27" s="206">
        <v>121</v>
      </c>
      <c r="T27" s="215">
        <f t="shared" si="1"/>
        <v>30</v>
      </c>
      <c r="U27" s="206">
        <v>93</v>
      </c>
      <c r="V27" s="215">
        <f t="shared" si="2"/>
        <v>2790</v>
      </c>
      <c r="W27" s="206">
        <v>3</v>
      </c>
      <c r="X27" s="214" t="s">
        <v>46</v>
      </c>
      <c r="Y27" s="214" t="s">
        <v>84</v>
      </c>
      <c r="Z27" s="214" t="s">
        <v>69</v>
      </c>
      <c r="AA27" s="214" t="s">
        <v>40</v>
      </c>
      <c r="AB27" s="214" t="s">
        <v>333</v>
      </c>
    </row>
    <row r="28" spans="1:48" x14ac:dyDescent="0.15">
      <c r="A28" s="214" t="s">
        <v>34</v>
      </c>
      <c r="B28" s="206" t="s">
        <v>331</v>
      </c>
      <c r="C28" s="206">
        <v>2018</v>
      </c>
      <c r="D28" s="248" t="s">
        <v>569</v>
      </c>
      <c r="E28" s="235" t="s">
        <v>163</v>
      </c>
      <c r="F28" s="235" t="s">
        <v>329</v>
      </c>
      <c r="G28" s="214" t="s">
        <v>36</v>
      </c>
      <c r="H28" s="206" t="s">
        <v>155</v>
      </c>
      <c r="I28" s="214" t="s">
        <v>153</v>
      </c>
      <c r="J28" s="214" t="s">
        <v>38</v>
      </c>
      <c r="K28" s="214" t="s">
        <v>154</v>
      </c>
      <c r="L28" s="206">
        <v>3</v>
      </c>
      <c r="N28" s="206">
        <v>1</v>
      </c>
      <c r="O28" s="206">
        <v>0.9</v>
      </c>
      <c r="P28" s="206">
        <v>0.8</v>
      </c>
      <c r="Q28" s="243">
        <f t="shared" si="0"/>
        <v>0.85000000000000009</v>
      </c>
      <c r="R28" s="206">
        <v>12.3</v>
      </c>
      <c r="S28" s="206">
        <v>127</v>
      </c>
      <c r="T28" s="215">
        <f t="shared" si="1"/>
        <v>30</v>
      </c>
      <c r="U28" s="206">
        <v>93</v>
      </c>
      <c r="V28" s="215">
        <f t="shared" si="2"/>
        <v>2790</v>
      </c>
      <c r="W28" s="206">
        <v>3</v>
      </c>
      <c r="X28" s="214" t="s">
        <v>46</v>
      </c>
      <c r="Y28" s="214" t="s">
        <v>84</v>
      </c>
      <c r="Z28" s="214" t="s">
        <v>69</v>
      </c>
      <c r="AA28" s="214" t="s">
        <v>40</v>
      </c>
      <c r="AB28" s="214" t="s">
        <v>333</v>
      </c>
    </row>
    <row r="29" spans="1:48" x14ac:dyDescent="0.15">
      <c r="A29" s="214" t="s">
        <v>34</v>
      </c>
      <c r="B29" s="206" t="s">
        <v>331</v>
      </c>
      <c r="C29" s="206">
        <v>2018</v>
      </c>
      <c r="D29" s="248" t="s">
        <v>569</v>
      </c>
      <c r="E29" s="235" t="s">
        <v>163</v>
      </c>
      <c r="F29" s="235" t="s">
        <v>329</v>
      </c>
      <c r="G29" s="214" t="s">
        <v>36</v>
      </c>
      <c r="H29" s="206" t="s">
        <v>155</v>
      </c>
      <c r="I29" s="214" t="s">
        <v>153</v>
      </c>
      <c r="J29" s="214" t="s">
        <v>38</v>
      </c>
      <c r="K29" s="214" t="s">
        <v>154</v>
      </c>
      <c r="L29" s="214">
        <v>1</v>
      </c>
      <c r="N29" s="206">
        <v>4</v>
      </c>
      <c r="O29" s="206">
        <v>0.85</v>
      </c>
      <c r="P29" s="206">
        <v>0.8</v>
      </c>
      <c r="Q29" s="243">
        <f t="shared" si="0"/>
        <v>0.82499999999999996</v>
      </c>
      <c r="R29" s="206">
        <v>13.3</v>
      </c>
      <c r="S29" s="206">
        <v>137</v>
      </c>
      <c r="T29" s="215">
        <f t="shared" si="1"/>
        <v>30</v>
      </c>
      <c r="U29" s="206">
        <v>428</v>
      </c>
      <c r="V29" s="215">
        <f t="shared" si="2"/>
        <v>3210</v>
      </c>
      <c r="W29" s="206">
        <v>3</v>
      </c>
      <c r="X29" s="214" t="s">
        <v>46</v>
      </c>
      <c r="Y29" s="214" t="s">
        <v>84</v>
      </c>
      <c r="Z29" s="214" t="s">
        <v>69</v>
      </c>
      <c r="AA29" s="214" t="s">
        <v>40</v>
      </c>
      <c r="AB29" s="214" t="s">
        <v>333</v>
      </c>
    </row>
    <row r="30" spans="1:48" x14ac:dyDescent="0.15">
      <c r="A30" s="214" t="s">
        <v>34</v>
      </c>
      <c r="B30" s="206" t="s">
        <v>331</v>
      </c>
      <c r="C30" s="206">
        <v>2018</v>
      </c>
      <c r="D30" s="248" t="s">
        <v>569</v>
      </c>
      <c r="E30" s="235" t="s">
        <v>163</v>
      </c>
      <c r="F30" s="235" t="s">
        <v>329</v>
      </c>
      <c r="G30" s="214" t="s">
        <v>36</v>
      </c>
      <c r="H30" s="206" t="s">
        <v>155</v>
      </c>
      <c r="I30" s="214" t="s">
        <v>153</v>
      </c>
      <c r="J30" s="214" t="s">
        <v>38</v>
      </c>
      <c r="K30" s="214" t="s">
        <v>154</v>
      </c>
      <c r="L30" s="206">
        <v>2</v>
      </c>
      <c r="N30" s="206">
        <v>4</v>
      </c>
      <c r="O30" s="206">
        <v>0.6</v>
      </c>
      <c r="P30" s="206">
        <v>0.65</v>
      </c>
      <c r="Q30" s="243">
        <f t="shared" si="0"/>
        <v>0.625</v>
      </c>
      <c r="R30" s="206">
        <v>10.9</v>
      </c>
      <c r="S30" s="206">
        <v>144</v>
      </c>
      <c r="T30" s="215">
        <f t="shared" si="1"/>
        <v>30</v>
      </c>
      <c r="U30" s="206">
        <v>428</v>
      </c>
      <c r="V30" s="215">
        <f t="shared" si="2"/>
        <v>3210</v>
      </c>
      <c r="W30" s="206">
        <v>3</v>
      </c>
      <c r="X30" s="214" t="s">
        <v>46</v>
      </c>
      <c r="Y30" s="214" t="s">
        <v>84</v>
      </c>
      <c r="Z30" s="214" t="s">
        <v>69</v>
      </c>
      <c r="AA30" s="214" t="s">
        <v>40</v>
      </c>
      <c r="AB30" s="214" t="s">
        <v>333</v>
      </c>
    </row>
    <row r="31" spans="1:48" x14ac:dyDescent="0.15">
      <c r="A31" s="214" t="s">
        <v>34</v>
      </c>
      <c r="B31" s="206" t="s">
        <v>331</v>
      </c>
      <c r="C31" s="206">
        <v>2018</v>
      </c>
      <c r="D31" s="248" t="s">
        <v>569</v>
      </c>
      <c r="E31" s="235" t="s">
        <v>163</v>
      </c>
      <c r="F31" s="235" t="s">
        <v>329</v>
      </c>
      <c r="G31" s="214" t="s">
        <v>36</v>
      </c>
      <c r="H31" s="206" t="s">
        <v>155</v>
      </c>
      <c r="I31" s="214" t="s">
        <v>153</v>
      </c>
      <c r="J31" s="214" t="s">
        <v>38</v>
      </c>
      <c r="K31" s="214" t="s">
        <v>154</v>
      </c>
      <c r="L31" s="206">
        <v>3</v>
      </c>
      <c r="N31" s="206">
        <v>4</v>
      </c>
      <c r="O31" s="206">
        <v>0.9</v>
      </c>
      <c r="P31" s="206">
        <v>0.75</v>
      </c>
      <c r="Q31" s="243">
        <f t="shared" si="0"/>
        <v>0.82499999999999996</v>
      </c>
      <c r="R31" s="206">
        <v>13.4</v>
      </c>
      <c r="S31" s="206">
        <v>143</v>
      </c>
      <c r="T31" s="215">
        <f t="shared" si="1"/>
        <v>30</v>
      </c>
      <c r="U31" s="206">
        <v>428</v>
      </c>
      <c r="V31" s="215">
        <f t="shared" si="2"/>
        <v>3210</v>
      </c>
      <c r="W31" s="206">
        <v>3</v>
      </c>
      <c r="X31" s="214" t="s">
        <v>46</v>
      </c>
      <c r="Y31" s="214" t="s">
        <v>84</v>
      </c>
      <c r="Z31" s="214" t="s">
        <v>69</v>
      </c>
      <c r="AA31" s="214" t="s">
        <v>40</v>
      </c>
      <c r="AB31" s="214" t="s">
        <v>333</v>
      </c>
    </row>
    <row r="32" spans="1:48" x14ac:dyDescent="0.15">
      <c r="A32" s="214" t="s">
        <v>34</v>
      </c>
      <c r="B32" s="206" t="s">
        <v>331</v>
      </c>
      <c r="C32" s="206">
        <v>2018</v>
      </c>
      <c r="D32" s="248" t="s">
        <v>569</v>
      </c>
      <c r="E32" s="235" t="s">
        <v>163</v>
      </c>
      <c r="F32" s="235" t="s">
        <v>329</v>
      </c>
      <c r="G32" s="214" t="s">
        <v>36</v>
      </c>
      <c r="H32" s="206" t="s">
        <v>205</v>
      </c>
      <c r="I32" s="214" t="s">
        <v>153</v>
      </c>
      <c r="J32" s="214" t="s">
        <v>38</v>
      </c>
      <c r="K32" s="214" t="s">
        <v>54</v>
      </c>
      <c r="L32" s="214">
        <v>1</v>
      </c>
      <c r="N32" s="206">
        <v>1</v>
      </c>
      <c r="O32" s="206">
        <v>0.7</v>
      </c>
      <c r="P32" s="206">
        <v>0.7</v>
      </c>
      <c r="Q32" s="243">
        <f t="shared" si="0"/>
        <v>0.7</v>
      </c>
      <c r="R32" s="206">
        <v>15.1</v>
      </c>
      <c r="S32" s="206">
        <v>96</v>
      </c>
      <c r="T32" s="215">
        <f t="shared" si="1"/>
        <v>39</v>
      </c>
      <c r="U32" s="206">
        <v>137</v>
      </c>
      <c r="V32" s="215">
        <f t="shared" si="2"/>
        <v>5343</v>
      </c>
      <c r="W32" s="206">
        <v>2</v>
      </c>
      <c r="X32" s="214" t="s">
        <v>46</v>
      </c>
      <c r="Y32" s="214" t="s">
        <v>84</v>
      </c>
      <c r="Z32" s="214" t="s">
        <v>69</v>
      </c>
      <c r="AA32" s="214" t="s">
        <v>40</v>
      </c>
      <c r="AB32" s="214" t="s">
        <v>333</v>
      </c>
    </row>
    <row r="33" spans="1:28" x14ac:dyDescent="0.15">
      <c r="A33" s="214" t="s">
        <v>34</v>
      </c>
      <c r="B33" s="206" t="s">
        <v>331</v>
      </c>
      <c r="C33" s="206">
        <v>2018</v>
      </c>
      <c r="D33" s="248" t="s">
        <v>569</v>
      </c>
      <c r="E33" s="235" t="s">
        <v>163</v>
      </c>
      <c r="F33" s="235" t="s">
        <v>329</v>
      </c>
      <c r="G33" s="214" t="s">
        <v>36</v>
      </c>
      <c r="H33" s="206" t="s">
        <v>205</v>
      </c>
      <c r="I33" s="214" t="s">
        <v>153</v>
      </c>
      <c r="J33" s="214" t="s">
        <v>38</v>
      </c>
      <c r="K33" s="214" t="s">
        <v>54</v>
      </c>
      <c r="L33" s="206">
        <v>2</v>
      </c>
      <c r="N33" s="206">
        <v>1</v>
      </c>
      <c r="O33" s="206">
        <v>0.55000000000000004</v>
      </c>
      <c r="P33" s="206">
        <v>0.55000000000000004</v>
      </c>
      <c r="Q33" s="243">
        <f t="shared" si="0"/>
        <v>0.55000000000000004</v>
      </c>
      <c r="R33" s="206">
        <v>14.4</v>
      </c>
      <c r="S33" s="206">
        <v>96</v>
      </c>
      <c r="T33" s="215">
        <f t="shared" si="1"/>
        <v>39</v>
      </c>
      <c r="U33" s="206">
        <v>137</v>
      </c>
      <c r="V33" s="215">
        <f t="shared" si="2"/>
        <v>5343</v>
      </c>
      <c r="W33" s="206">
        <v>2</v>
      </c>
      <c r="X33" s="214" t="s">
        <v>46</v>
      </c>
      <c r="Y33" s="214" t="s">
        <v>84</v>
      </c>
      <c r="Z33" s="214" t="s">
        <v>69</v>
      </c>
      <c r="AA33" s="214" t="s">
        <v>40</v>
      </c>
      <c r="AB33" s="214" t="s">
        <v>333</v>
      </c>
    </row>
    <row r="34" spans="1:28" x14ac:dyDescent="0.15">
      <c r="A34" s="214" t="s">
        <v>34</v>
      </c>
      <c r="B34" s="206" t="s">
        <v>331</v>
      </c>
      <c r="C34" s="206">
        <v>2018</v>
      </c>
      <c r="D34" s="248" t="s">
        <v>569</v>
      </c>
      <c r="E34" s="235" t="s">
        <v>163</v>
      </c>
      <c r="F34" s="235" t="s">
        <v>329</v>
      </c>
      <c r="G34" s="214" t="s">
        <v>36</v>
      </c>
      <c r="H34" s="206" t="s">
        <v>205</v>
      </c>
      <c r="I34" s="214" t="s">
        <v>153</v>
      </c>
      <c r="J34" s="214" t="s">
        <v>38</v>
      </c>
      <c r="K34" s="214" t="s">
        <v>54</v>
      </c>
      <c r="L34" s="206">
        <v>3</v>
      </c>
      <c r="N34" s="206">
        <v>1</v>
      </c>
      <c r="O34" s="206">
        <v>0.6</v>
      </c>
      <c r="P34" s="206">
        <v>0.6</v>
      </c>
      <c r="Q34" s="243">
        <f>IF(OR(O34="",P34=""),"",AVERAGE(O34,P34))</f>
        <v>0.6</v>
      </c>
      <c r="R34" s="206">
        <v>17</v>
      </c>
      <c r="S34" s="206">
        <v>93</v>
      </c>
      <c r="T34" s="215">
        <f t="shared" si="1"/>
        <v>39</v>
      </c>
      <c r="U34" s="206">
        <v>137</v>
      </c>
      <c r="V34" s="215">
        <f t="shared" si="2"/>
        <v>5343</v>
      </c>
      <c r="W34" s="206">
        <v>2</v>
      </c>
      <c r="X34" s="214" t="s">
        <v>46</v>
      </c>
      <c r="Y34" s="214" t="s">
        <v>84</v>
      </c>
      <c r="Z34" s="214" t="s">
        <v>69</v>
      </c>
      <c r="AA34" s="214" t="s">
        <v>40</v>
      </c>
      <c r="AB34" s="214" t="s">
        <v>333</v>
      </c>
    </row>
    <row r="35" spans="1:28" x14ac:dyDescent="0.15">
      <c r="A35" s="214" t="s">
        <v>34</v>
      </c>
      <c r="B35" s="206" t="s">
        <v>331</v>
      </c>
      <c r="C35" s="206">
        <v>2018</v>
      </c>
      <c r="D35" s="248" t="s">
        <v>569</v>
      </c>
      <c r="E35" s="235" t="s">
        <v>163</v>
      </c>
      <c r="F35" s="235" t="s">
        <v>329</v>
      </c>
      <c r="G35" s="214" t="s">
        <v>36</v>
      </c>
      <c r="H35" s="206" t="s">
        <v>205</v>
      </c>
      <c r="I35" s="214" t="s">
        <v>153</v>
      </c>
      <c r="J35" s="214" t="s">
        <v>38</v>
      </c>
      <c r="K35" s="214" t="s">
        <v>54</v>
      </c>
      <c r="L35" s="214">
        <v>1</v>
      </c>
      <c r="N35" s="206">
        <v>4</v>
      </c>
      <c r="O35" s="206">
        <v>0.45</v>
      </c>
      <c r="P35" s="206">
        <v>0.45</v>
      </c>
      <c r="Q35" s="243">
        <f t="shared" ref="Q35:Q36" si="3">IF(OR(O35="",P35=""),"",AVERAGE(O35,P35))</f>
        <v>0.45</v>
      </c>
      <c r="R35" s="206">
        <v>14</v>
      </c>
      <c r="S35" s="206">
        <v>72</v>
      </c>
      <c r="T35" s="215">
        <f t="shared" si="1"/>
        <v>46</v>
      </c>
      <c r="U35" s="206">
        <v>536</v>
      </c>
      <c r="V35" s="215">
        <f t="shared" si="2"/>
        <v>6164</v>
      </c>
      <c r="W35" s="206">
        <v>2</v>
      </c>
      <c r="X35" s="214" t="s">
        <v>46</v>
      </c>
      <c r="Y35" s="214" t="s">
        <v>84</v>
      </c>
      <c r="Z35" s="214" t="s">
        <v>69</v>
      </c>
      <c r="AA35" s="214" t="s">
        <v>40</v>
      </c>
      <c r="AB35" s="214" t="s">
        <v>333</v>
      </c>
    </row>
    <row r="36" spans="1:28" x14ac:dyDescent="0.15">
      <c r="A36" s="214" t="s">
        <v>34</v>
      </c>
      <c r="B36" s="206" t="s">
        <v>331</v>
      </c>
      <c r="C36" s="206">
        <v>2018</v>
      </c>
      <c r="D36" s="248" t="s">
        <v>569</v>
      </c>
      <c r="E36" s="235" t="s">
        <v>163</v>
      </c>
      <c r="F36" s="235" t="s">
        <v>329</v>
      </c>
      <c r="G36" s="214" t="s">
        <v>36</v>
      </c>
      <c r="H36" s="206" t="s">
        <v>205</v>
      </c>
      <c r="I36" s="214" t="s">
        <v>153</v>
      </c>
      <c r="J36" s="214" t="s">
        <v>38</v>
      </c>
      <c r="K36" s="214" t="s">
        <v>54</v>
      </c>
      <c r="L36" s="206">
        <v>2</v>
      </c>
      <c r="N36" s="206">
        <v>4</v>
      </c>
      <c r="O36" s="206">
        <v>0.2</v>
      </c>
      <c r="P36" s="206">
        <v>0.2</v>
      </c>
      <c r="Q36" s="243">
        <f t="shared" si="3"/>
        <v>0.2</v>
      </c>
      <c r="R36" s="206">
        <v>17.100000000000001</v>
      </c>
      <c r="S36" s="206">
        <v>83</v>
      </c>
      <c r="T36" s="215">
        <f t="shared" si="1"/>
        <v>42</v>
      </c>
      <c r="U36" s="206">
        <v>536</v>
      </c>
      <c r="V36" s="215">
        <f t="shared" si="2"/>
        <v>5628</v>
      </c>
      <c r="W36" s="206">
        <v>2</v>
      </c>
      <c r="X36" s="214" t="s">
        <v>46</v>
      </c>
      <c r="Y36" s="214" t="s">
        <v>84</v>
      </c>
      <c r="Z36" s="214" t="s">
        <v>69</v>
      </c>
      <c r="AA36" s="214" t="s">
        <v>40</v>
      </c>
      <c r="AB36" s="214" t="s">
        <v>333</v>
      </c>
    </row>
    <row r="37" spans="1:28" x14ac:dyDescent="0.15">
      <c r="A37" s="214" t="s">
        <v>34</v>
      </c>
      <c r="B37" s="206" t="s">
        <v>331</v>
      </c>
      <c r="C37" s="206">
        <v>2018</v>
      </c>
      <c r="D37" s="248" t="s">
        <v>569</v>
      </c>
      <c r="E37" s="235" t="s">
        <v>163</v>
      </c>
      <c r="F37" s="235" t="s">
        <v>329</v>
      </c>
      <c r="G37" s="214" t="s">
        <v>36</v>
      </c>
      <c r="H37" s="206" t="s">
        <v>205</v>
      </c>
      <c r="I37" s="214" t="s">
        <v>153</v>
      </c>
      <c r="J37" s="214" t="s">
        <v>38</v>
      </c>
      <c r="K37" s="214" t="s">
        <v>54</v>
      </c>
      <c r="L37" s="206">
        <v>3</v>
      </c>
      <c r="N37" s="206">
        <v>4</v>
      </c>
      <c r="O37" s="206">
        <v>0.65</v>
      </c>
      <c r="P37" s="206">
        <v>0.65</v>
      </c>
      <c r="Q37" s="243">
        <f>IF(OR(O37="",P37=""),"",AVERAGE(O37,P37))</f>
        <v>0.65</v>
      </c>
      <c r="R37" s="206">
        <v>16.600000000000001</v>
      </c>
      <c r="S37" s="206">
        <v>74</v>
      </c>
      <c r="T37" s="215">
        <f t="shared" si="1"/>
        <v>46</v>
      </c>
      <c r="U37" s="206">
        <v>536</v>
      </c>
      <c r="V37" s="215">
        <f t="shared" si="2"/>
        <v>6164</v>
      </c>
      <c r="W37" s="206">
        <v>2</v>
      </c>
      <c r="X37" s="214" t="s">
        <v>46</v>
      </c>
      <c r="Y37" s="214" t="s">
        <v>84</v>
      </c>
      <c r="Z37" s="214" t="s">
        <v>69</v>
      </c>
      <c r="AA37" s="214" t="s">
        <v>40</v>
      </c>
      <c r="AB37" s="214" t="s">
        <v>333</v>
      </c>
    </row>
    <row r="38" spans="1:28" x14ac:dyDescent="0.15">
      <c r="A38" s="214" t="s">
        <v>34</v>
      </c>
      <c r="B38" s="206" t="s">
        <v>331</v>
      </c>
      <c r="C38" s="206">
        <v>2018</v>
      </c>
      <c r="D38" s="248" t="s">
        <v>569</v>
      </c>
      <c r="E38" s="235" t="s">
        <v>279</v>
      </c>
      <c r="F38" s="235" t="s">
        <v>313</v>
      </c>
      <c r="G38" s="214" t="s">
        <v>36</v>
      </c>
      <c r="H38" s="206" t="s">
        <v>155</v>
      </c>
      <c r="I38" s="214" t="s">
        <v>153</v>
      </c>
      <c r="J38" s="214" t="s">
        <v>38</v>
      </c>
      <c r="K38" s="214" t="s">
        <v>154</v>
      </c>
      <c r="L38" s="214">
        <v>1</v>
      </c>
      <c r="N38" s="206">
        <v>1</v>
      </c>
      <c r="O38" s="206">
        <v>0.85</v>
      </c>
      <c r="P38" s="206">
        <v>0.95</v>
      </c>
      <c r="Q38" s="243">
        <f t="shared" ref="Q38:Q39" si="4">IF(OR(O38="",P38=""),"",AVERAGE(O38,P38))</f>
        <v>0.89999999999999991</v>
      </c>
      <c r="R38" s="206">
        <v>14.5</v>
      </c>
      <c r="S38" s="206">
        <v>150</v>
      </c>
      <c r="T38" s="215">
        <f t="shared" si="1"/>
        <v>30</v>
      </c>
      <c r="U38" s="206">
        <v>138</v>
      </c>
      <c r="V38" s="215">
        <f t="shared" si="2"/>
        <v>4140</v>
      </c>
      <c r="W38" s="206">
        <v>4</v>
      </c>
      <c r="X38" s="214" t="s">
        <v>46</v>
      </c>
      <c r="Y38" s="214" t="s">
        <v>84</v>
      </c>
      <c r="Z38" s="214" t="s">
        <v>40</v>
      </c>
      <c r="AA38" s="214" t="s">
        <v>69</v>
      </c>
      <c r="AB38" s="214" t="s">
        <v>333</v>
      </c>
    </row>
    <row r="39" spans="1:28" x14ac:dyDescent="0.15">
      <c r="A39" s="214" t="s">
        <v>34</v>
      </c>
      <c r="B39" s="206" t="s">
        <v>331</v>
      </c>
      <c r="C39" s="206">
        <v>2018</v>
      </c>
      <c r="D39" s="248" t="s">
        <v>569</v>
      </c>
      <c r="E39" s="235" t="s">
        <v>279</v>
      </c>
      <c r="F39" s="235" t="s">
        <v>313</v>
      </c>
      <c r="G39" s="214" t="s">
        <v>36</v>
      </c>
      <c r="H39" s="206" t="s">
        <v>155</v>
      </c>
      <c r="I39" s="214" t="s">
        <v>153</v>
      </c>
      <c r="J39" s="214" t="s">
        <v>38</v>
      </c>
      <c r="K39" s="214" t="s">
        <v>154</v>
      </c>
      <c r="L39" s="206">
        <v>2</v>
      </c>
      <c r="N39" s="206">
        <v>1</v>
      </c>
      <c r="O39" s="206">
        <v>0.65</v>
      </c>
      <c r="P39" s="206">
        <v>0.55000000000000004</v>
      </c>
      <c r="Q39" s="243">
        <f t="shared" si="4"/>
        <v>0.60000000000000009</v>
      </c>
      <c r="R39" s="206">
        <v>13.7</v>
      </c>
      <c r="S39" s="206">
        <v>150</v>
      </c>
      <c r="T39" s="215">
        <f t="shared" si="1"/>
        <v>30</v>
      </c>
      <c r="U39" s="206">
        <v>138</v>
      </c>
      <c r="V39" s="215">
        <f t="shared" si="2"/>
        <v>4140</v>
      </c>
      <c r="W39" s="206">
        <v>4</v>
      </c>
      <c r="X39" s="214" t="s">
        <v>46</v>
      </c>
      <c r="Y39" s="214" t="s">
        <v>84</v>
      </c>
      <c r="Z39" s="214" t="s">
        <v>40</v>
      </c>
      <c r="AA39" s="214" t="s">
        <v>69</v>
      </c>
      <c r="AB39" s="214" t="s">
        <v>333</v>
      </c>
    </row>
    <row r="40" spans="1:28" x14ac:dyDescent="0.15">
      <c r="A40" s="214" t="s">
        <v>34</v>
      </c>
      <c r="B40" s="206" t="s">
        <v>331</v>
      </c>
      <c r="C40" s="206">
        <v>2018</v>
      </c>
      <c r="D40" s="248" t="s">
        <v>569</v>
      </c>
      <c r="E40" s="235" t="s">
        <v>279</v>
      </c>
      <c r="F40" s="235" t="s">
        <v>313</v>
      </c>
      <c r="G40" s="214" t="s">
        <v>36</v>
      </c>
      <c r="H40" s="206" t="s">
        <v>155</v>
      </c>
      <c r="I40" s="214" t="s">
        <v>153</v>
      </c>
      <c r="J40" s="214" t="s">
        <v>38</v>
      </c>
      <c r="K40" s="214" t="s">
        <v>154</v>
      </c>
      <c r="L40" s="206">
        <v>3</v>
      </c>
      <c r="N40" s="206">
        <v>1</v>
      </c>
      <c r="O40" s="206">
        <v>0.6</v>
      </c>
      <c r="P40" s="206">
        <v>0.7</v>
      </c>
      <c r="Q40" s="243">
        <f>IF(OR(O40="",P40=""),"",AVERAGE(O40,P40))</f>
        <v>0.64999999999999991</v>
      </c>
      <c r="R40" s="206">
        <v>14.3</v>
      </c>
      <c r="S40" s="206">
        <v>155</v>
      </c>
      <c r="T40" s="215">
        <f t="shared" si="1"/>
        <v>18</v>
      </c>
      <c r="U40" s="206">
        <v>138</v>
      </c>
      <c r="V40" s="215">
        <f t="shared" si="2"/>
        <v>2484</v>
      </c>
      <c r="W40" s="206">
        <v>4</v>
      </c>
      <c r="X40" s="214" t="s">
        <v>46</v>
      </c>
      <c r="Y40" s="214" t="s">
        <v>84</v>
      </c>
      <c r="Z40" s="214" t="s">
        <v>40</v>
      </c>
      <c r="AA40" s="214" t="s">
        <v>69</v>
      </c>
      <c r="AB40" s="214" t="s">
        <v>333</v>
      </c>
    </row>
    <row r="41" spans="1:28" x14ac:dyDescent="0.15">
      <c r="A41" s="214" t="s">
        <v>34</v>
      </c>
      <c r="B41" s="206" t="s">
        <v>331</v>
      </c>
      <c r="C41" s="206">
        <v>2018</v>
      </c>
      <c r="D41" s="248" t="s">
        <v>569</v>
      </c>
      <c r="E41" s="235" t="s">
        <v>279</v>
      </c>
      <c r="F41" s="235" t="s">
        <v>313</v>
      </c>
      <c r="G41" s="214" t="s">
        <v>36</v>
      </c>
      <c r="H41" s="206" t="s">
        <v>127</v>
      </c>
      <c r="I41" s="214" t="s">
        <v>153</v>
      </c>
      <c r="J41" s="214" t="s">
        <v>80</v>
      </c>
      <c r="K41" s="214" t="s">
        <v>45</v>
      </c>
      <c r="L41" s="214">
        <v>1</v>
      </c>
      <c r="N41" s="206">
        <v>5</v>
      </c>
      <c r="O41" s="206">
        <v>0.6</v>
      </c>
      <c r="P41" s="206">
        <v>0.7</v>
      </c>
      <c r="Q41" s="243">
        <f t="shared" si="0"/>
        <v>0.64999999999999991</v>
      </c>
      <c r="R41" s="206">
        <v>14</v>
      </c>
      <c r="S41" s="206">
        <v>91</v>
      </c>
      <c r="T41" s="215">
        <f t="shared" si="1"/>
        <v>36</v>
      </c>
      <c r="U41" s="206">
        <v>321</v>
      </c>
      <c r="V41" s="215">
        <f t="shared" si="2"/>
        <v>2311.2000000000003</v>
      </c>
      <c r="W41" s="206">
        <v>1</v>
      </c>
      <c r="X41" s="214" t="s">
        <v>39</v>
      </c>
      <c r="Y41" s="214" t="s">
        <v>84</v>
      </c>
      <c r="Z41" s="214" t="s">
        <v>40</v>
      </c>
      <c r="AA41" s="214" t="s">
        <v>69</v>
      </c>
      <c r="AB41" s="214" t="s">
        <v>333</v>
      </c>
    </row>
    <row r="42" spans="1:28" x14ac:dyDescent="0.15">
      <c r="A42" s="214" t="s">
        <v>34</v>
      </c>
      <c r="B42" s="206" t="s">
        <v>331</v>
      </c>
      <c r="C42" s="206">
        <v>2018</v>
      </c>
      <c r="D42" s="248" t="s">
        <v>569</v>
      </c>
      <c r="E42" s="235" t="s">
        <v>279</v>
      </c>
      <c r="F42" s="235" t="s">
        <v>313</v>
      </c>
      <c r="G42" s="214" t="s">
        <v>36</v>
      </c>
      <c r="H42" s="206" t="s">
        <v>127</v>
      </c>
      <c r="I42" s="214" t="s">
        <v>153</v>
      </c>
      <c r="J42" s="214" t="s">
        <v>80</v>
      </c>
      <c r="K42" s="214" t="s">
        <v>45</v>
      </c>
      <c r="L42" s="206">
        <v>2</v>
      </c>
      <c r="N42" s="206">
        <v>5</v>
      </c>
      <c r="O42" s="206">
        <v>0.5</v>
      </c>
      <c r="P42" s="206">
        <v>0.7</v>
      </c>
      <c r="Q42" s="243">
        <f t="shared" si="0"/>
        <v>0.6</v>
      </c>
      <c r="R42" s="206">
        <v>13.7</v>
      </c>
      <c r="S42" s="206">
        <v>92</v>
      </c>
      <c r="T42" s="215">
        <f t="shared" si="1"/>
        <v>36</v>
      </c>
      <c r="U42" s="206">
        <v>321</v>
      </c>
      <c r="V42" s="215">
        <f t="shared" si="2"/>
        <v>2311.2000000000003</v>
      </c>
      <c r="W42" s="206">
        <v>1</v>
      </c>
      <c r="X42" s="214" t="s">
        <v>39</v>
      </c>
      <c r="Y42" s="214" t="s">
        <v>84</v>
      </c>
      <c r="Z42" s="214" t="s">
        <v>40</v>
      </c>
      <c r="AA42" s="214" t="s">
        <v>69</v>
      </c>
      <c r="AB42" s="214" t="s">
        <v>333</v>
      </c>
    </row>
    <row r="43" spans="1:28" x14ac:dyDescent="0.15">
      <c r="A43" s="214" t="s">
        <v>34</v>
      </c>
      <c r="B43" s="206" t="s">
        <v>331</v>
      </c>
      <c r="C43" s="206">
        <v>2018</v>
      </c>
      <c r="D43" s="248" t="s">
        <v>569</v>
      </c>
      <c r="E43" s="235" t="s">
        <v>279</v>
      </c>
      <c r="F43" s="235" t="s">
        <v>313</v>
      </c>
      <c r="G43" s="214" t="s">
        <v>36</v>
      </c>
      <c r="H43" s="206" t="s">
        <v>127</v>
      </c>
      <c r="I43" s="214" t="s">
        <v>153</v>
      </c>
      <c r="J43" s="214" t="s">
        <v>80</v>
      </c>
      <c r="K43" s="214" t="s">
        <v>45</v>
      </c>
      <c r="L43" s="206">
        <v>3</v>
      </c>
      <c r="N43" s="206">
        <v>5</v>
      </c>
      <c r="O43" s="206">
        <v>0.45</v>
      </c>
      <c r="P43" s="206">
        <v>0.5</v>
      </c>
      <c r="Q43" s="243">
        <f t="shared" si="0"/>
        <v>0.47499999999999998</v>
      </c>
      <c r="R43" s="206">
        <v>11.6</v>
      </c>
      <c r="S43" s="206">
        <v>93</v>
      </c>
      <c r="T43" s="215">
        <f t="shared" si="1"/>
        <v>36</v>
      </c>
      <c r="U43" s="206">
        <v>321</v>
      </c>
      <c r="V43" s="215">
        <f t="shared" si="2"/>
        <v>2311.2000000000003</v>
      </c>
      <c r="W43" s="206">
        <v>1</v>
      </c>
      <c r="X43" s="214" t="s">
        <v>39</v>
      </c>
      <c r="Y43" s="214" t="s">
        <v>84</v>
      </c>
      <c r="Z43" s="214" t="s">
        <v>40</v>
      </c>
      <c r="AA43" s="214" t="s">
        <v>69</v>
      </c>
      <c r="AB43" s="214" t="s">
        <v>333</v>
      </c>
    </row>
    <row r="44" spans="1:28" x14ac:dyDescent="0.15">
      <c r="A44" s="214" t="s">
        <v>34</v>
      </c>
      <c r="B44" s="206" t="s">
        <v>331</v>
      </c>
      <c r="C44" s="206">
        <v>2018</v>
      </c>
      <c r="D44" s="248" t="s">
        <v>569</v>
      </c>
      <c r="E44" s="235" t="s">
        <v>314</v>
      </c>
      <c r="F44" s="235" t="s">
        <v>315</v>
      </c>
      <c r="G44" s="214" t="s">
        <v>36</v>
      </c>
      <c r="H44" s="206" t="s">
        <v>155</v>
      </c>
      <c r="I44" s="214" t="s">
        <v>153</v>
      </c>
      <c r="J44" s="214" t="s">
        <v>38</v>
      </c>
      <c r="K44" s="214" t="s">
        <v>154</v>
      </c>
      <c r="L44" s="214">
        <v>1</v>
      </c>
      <c r="N44" s="206">
        <v>1</v>
      </c>
      <c r="O44" s="206">
        <v>0.2</v>
      </c>
      <c r="P44" s="206">
        <v>0.65</v>
      </c>
      <c r="Q44" s="243">
        <f t="shared" si="0"/>
        <v>0.42500000000000004</v>
      </c>
      <c r="R44" s="206">
        <v>13.3</v>
      </c>
      <c r="S44" s="206">
        <v>123</v>
      </c>
      <c r="T44" s="215">
        <f t="shared" si="1"/>
        <v>30</v>
      </c>
      <c r="U44" s="206">
        <v>138</v>
      </c>
      <c r="V44" s="215">
        <f t="shared" si="2"/>
        <v>4140</v>
      </c>
      <c r="W44" s="206">
        <v>3</v>
      </c>
      <c r="X44" s="214" t="s">
        <v>46</v>
      </c>
      <c r="Y44" s="214" t="s">
        <v>84</v>
      </c>
      <c r="Z44" s="214" t="s">
        <v>69</v>
      </c>
      <c r="AA44" s="214" t="s">
        <v>90</v>
      </c>
      <c r="AB44" s="214" t="s">
        <v>333</v>
      </c>
    </row>
    <row r="45" spans="1:28" x14ac:dyDescent="0.15">
      <c r="A45" s="214" t="s">
        <v>34</v>
      </c>
      <c r="B45" s="206" t="s">
        <v>331</v>
      </c>
      <c r="C45" s="206">
        <v>2018</v>
      </c>
      <c r="D45" s="248" t="s">
        <v>569</v>
      </c>
      <c r="E45" s="235" t="s">
        <v>314</v>
      </c>
      <c r="F45" s="235" t="s">
        <v>315</v>
      </c>
      <c r="G45" s="214" t="s">
        <v>36</v>
      </c>
      <c r="H45" s="206" t="s">
        <v>155</v>
      </c>
      <c r="I45" s="214" t="s">
        <v>153</v>
      </c>
      <c r="J45" s="214" t="s">
        <v>38</v>
      </c>
      <c r="K45" s="214" t="s">
        <v>154</v>
      </c>
      <c r="L45" s="206">
        <v>2</v>
      </c>
      <c r="N45" s="206">
        <v>1</v>
      </c>
      <c r="O45" s="206">
        <v>0.65</v>
      </c>
      <c r="P45" s="206">
        <v>0.5</v>
      </c>
      <c r="Q45" s="243">
        <f t="shared" si="0"/>
        <v>0.57499999999999996</v>
      </c>
      <c r="R45" s="206">
        <v>14.4</v>
      </c>
      <c r="S45" s="206">
        <v>116</v>
      </c>
      <c r="T45" s="215">
        <f t="shared" si="1"/>
        <v>30</v>
      </c>
      <c r="U45" s="206">
        <v>138</v>
      </c>
      <c r="V45" s="215">
        <f t="shared" si="2"/>
        <v>4140</v>
      </c>
      <c r="W45" s="206">
        <v>3</v>
      </c>
      <c r="X45" s="214" t="s">
        <v>46</v>
      </c>
      <c r="Y45" s="214" t="s">
        <v>84</v>
      </c>
      <c r="Z45" s="214" t="s">
        <v>69</v>
      </c>
      <c r="AA45" s="214" t="s">
        <v>90</v>
      </c>
      <c r="AB45" s="214" t="s">
        <v>333</v>
      </c>
    </row>
    <row r="46" spans="1:28" x14ac:dyDescent="0.15">
      <c r="A46" s="214" t="s">
        <v>34</v>
      </c>
      <c r="B46" s="206" t="s">
        <v>331</v>
      </c>
      <c r="C46" s="206">
        <v>2018</v>
      </c>
      <c r="D46" s="248" t="s">
        <v>569</v>
      </c>
      <c r="E46" s="235" t="s">
        <v>314</v>
      </c>
      <c r="F46" s="235" t="s">
        <v>315</v>
      </c>
      <c r="G46" s="214" t="s">
        <v>36</v>
      </c>
      <c r="H46" s="206" t="s">
        <v>155</v>
      </c>
      <c r="I46" s="214" t="s">
        <v>153</v>
      </c>
      <c r="J46" s="214" t="s">
        <v>38</v>
      </c>
      <c r="K46" s="214" t="s">
        <v>154</v>
      </c>
      <c r="L46" s="206">
        <v>3</v>
      </c>
      <c r="N46" s="206">
        <v>1</v>
      </c>
      <c r="O46" s="206">
        <v>0.45</v>
      </c>
      <c r="P46" s="206">
        <v>0.2</v>
      </c>
      <c r="Q46" s="243">
        <f t="shared" si="0"/>
        <v>0.32500000000000001</v>
      </c>
      <c r="R46" s="206">
        <v>13.3</v>
      </c>
      <c r="S46" s="206">
        <v>116</v>
      </c>
      <c r="T46" s="215">
        <f t="shared" si="1"/>
        <v>30</v>
      </c>
      <c r="U46" s="206">
        <v>138</v>
      </c>
      <c r="V46" s="215">
        <f t="shared" si="2"/>
        <v>4140</v>
      </c>
      <c r="W46" s="206">
        <v>3</v>
      </c>
      <c r="X46" s="214" t="s">
        <v>46</v>
      </c>
      <c r="Y46" s="214" t="s">
        <v>84</v>
      </c>
      <c r="Z46" s="214" t="s">
        <v>69</v>
      </c>
      <c r="AA46" s="214" t="s">
        <v>90</v>
      </c>
      <c r="AB46" s="214" t="s">
        <v>333</v>
      </c>
    </row>
    <row r="47" spans="1:28" x14ac:dyDescent="0.15">
      <c r="A47" s="214" t="s">
        <v>34</v>
      </c>
      <c r="B47" s="206" t="s">
        <v>331</v>
      </c>
      <c r="C47" s="206">
        <v>2018</v>
      </c>
      <c r="D47" s="248" t="s">
        <v>569</v>
      </c>
      <c r="E47" s="235" t="s">
        <v>314</v>
      </c>
      <c r="F47" s="235" t="s">
        <v>315</v>
      </c>
      <c r="G47" s="214" t="s">
        <v>36</v>
      </c>
      <c r="H47" s="206" t="s">
        <v>155</v>
      </c>
      <c r="I47" s="214" t="s">
        <v>153</v>
      </c>
      <c r="J47" s="214" t="s">
        <v>38</v>
      </c>
      <c r="K47" s="214" t="s">
        <v>154</v>
      </c>
      <c r="L47" s="214">
        <v>1</v>
      </c>
      <c r="N47" s="206">
        <v>8</v>
      </c>
      <c r="O47" s="206">
        <v>0.2</v>
      </c>
      <c r="P47" s="206">
        <v>0.2</v>
      </c>
      <c r="Q47" s="243">
        <f t="shared" si="0"/>
        <v>0.2</v>
      </c>
      <c r="R47" s="206">
        <v>13.6</v>
      </c>
      <c r="S47" s="206">
        <v>80</v>
      </c>
      <c r="T47" s="215">
        <f t="shared" si="1"/>
        <v>39</v>
      </c>
      <c r="U47" s="206">
        <v>430</v>
      </c>
      <c r="V47" s="215">
        <f t="shared" si="2"/>
        <v>2096.25</v>
      </c>
      <c r="W47" s="206">
        <v>3</v>
      </c>
      <c r="X47" s="214" t="s">
        <v>46</v>
      </c>
      <c r="Y47" s="214" t="s">
        <v>84</v>
      </c>
      <c r="Z47" s="214" t="s">
        <v>69</v>
      </c>
      <c r="AA47" s="214" t="s">
        <v>90</v>
      </c>
      <c r="AB47" s="214" t="s">
        <v>333</v>
      </c>
    </row>
    <row r="48" spans="1:28" x14ac:dyDescent="0.15">
      <c r="A48" s="214" t="s">
        <v>34</v>
      </c>
      <c r="B48" s="206" t="s">
        <v>331</v>
      </c>
      <c r="C48" s="206">
        <v>2018</v>
      </c>
      <c r="D48" s="248" t="s">
        <v>569</v>
      </c>
      <c r="E48" s="235" t="s">
        <v>314</v>
      </c>
      <c r="F48" s="235" t="s">
        <v>315</v>
      </c>
      <c r="G48" s="214" t="s">
        <v>36</v>
      </c>
      <c r="H48" s="206" t="s">
        <v>155</v>
      </c>
      <c r="I48" s="214" t="s">
        <v>153</v>
      </c>
      <c r="J48" s="214" t="s">
        <v>38</v>
      </c>
      <c r="K48" s="214" t="s">
        <v>154</v>
      </c>
      <c r="L48" s="206">
        <v>2</v>
      </c>
      <c r="N48" s="206">
        <v>8</v>
      </c>
      <c r="O48" s="206">
        <v>0.45</v>
      </c>
      <c r="P48" s="206">
        <v>0.2</v>
      </c>
      <c r="Q48" s="243">
        <f t="shared" si="0"/>
        <v>0.32500000000000001</v>
      </c>
      <c r="R48" s="206">
        <v>12.5</v>
      </c>
      <c r="S48" s="206">
        <v>89</v>
      </c>
      <c r="T48" s="215">
        <f t="shared" si="1"/>
        <v>36</v>
      </c>
      <c r="U48" s="206">
        <v>430</v>
      </c>
      <c r="V48" s="215">
        <f t="shared" si="2"/>
        <v>1935</v>
      </c>
      <c r="W48" s="206">
        <v>3</v>
      </c>
      <c r="X48" s="214" t="s">
        <v>46</v>
      </c>
      <c r="Y48" s="214" t="s">
        <v>84</v>
      </c>
      <c r="Z48" s="214" t="s">
        <v>69</v>
      </c>
      <c r="AA48" s="214" t="s">
        <v>90</v>
      </c>
      <c r="AB48" s="214" t="s">
        <v>333</v>
      </c>
    </row>
    <row r="49" spans="1:28" x14ac:dyDescent="0.15">
      <c r="A49" s="214" t="s">
        <v>34</v>
      </c>
      <c r="B49" s="206" t="s">
        <v>331</v>
      </c>
      <c r="C49" s="206">
        <v>2018</v>
      </c>
      <c r="D49" s="248" t="s">
        <v>569</v>
      </c>
      <c r="E49" s="235" t="s">
        <v>314</v>
      </c>
      <c r="F49" s="235" t="s">
        <v>315</v>
      </c>
      <c r="G49" s="214" t="s">
        <v>36</v>
      </c>
      <c r="H49" s="206" t="s">
        <v>155</v>
      </c>
      <c r="I49" s="214" t="s">
        <v>153</v>
      </c>
      <c r="J49" s="214" t="s">
        <v>38</v>
      </c>
      <c r="K49" s="214" t="s">
        <v>154</v>
      </c>
      <c r="L49" s="206">
        <v>3</v>
      </c>
      <c r="N49" s="206">
        <v>8</v>
      </c>
      <c r="O49" s="206">
        <v>0.55000000000000004</v>
      </c>
      <c r="P49" s="206">
        <v>0.2</v>
      </c>
      <c r="Q49" s="243">
        <f t="shared" si="0"/>
        <v>0.375</v>
      </c>
      <c r="R49" s="206">
        <v>12.1</v>
      </c>
      <c r="S49" s="206">
        <v>73</v>
      </c>
      <c r="T49" s="215">
        <f t="shared" si="1"/>
        <v>42</v>
      </c>
      <c r="U49" s="206">
        <v>430</v>
      </c>
      <c r="V49" s="215">
        <f t="shared" si="2"/>
        <v>2257.5</v>
      </c>
      <c r="W49" s="206">
        <v>3</v>
      </c>
      <c r="X49" s="214" t="s">
        <v>46</v>
      </c>
      <c r="Y49" s="214" t="s">
        <v>84</v>
      </c>
      <c r="Z49" s="214" t="s">
        <v>69</v>
      </c>
      <c r="AA49" s="214" t="s">
        <v>90</v>
      </c>
      <c r="AB49" s="214" t="s">
        <v>333</v>
      </c>
    </row>
    <row r="50" spans="1:28" x14ac:dyDescent="0.15">
      <c r="A50" s="214" t="s">
        <v>34</v>
      </c>
      <c r="B50" s="206" t="s">
        <v>331</v>
      </c>
      <c r="C50" s="206">
        <v>2018</v>
      </c>
      <c r="D50" s="248" t="s">
        <v>569</v>
      </c>
      <c r="E50" s="235" t="s">
        <v>314</v>
      </c>
      <c r="F50" s="235" t="s">
        <v>315</v>
      </c>
      <c r="G50" s="214" t="s">
        <v>36</v>
      </c>
      <c r="H50" s="206" t="s">
        <v>128</v>
      </c>
      <c r="I50" s="214" t="s">
        <v>153</v>
      </c>
      <c r="J50" s="214" t="s">
        <v>80</v>
      </c>
      <c r="K50" s="214" t="s">
        <v>63</v>
      </c>
      <c r="L50" s="214">
        <v>1</v>
      </c>
      <c r="N50" s="206">
        <v>4</v>
      </c>
      <c r="O50" s="206">
        <v>0.2</v>
      </c>
      <c r="P50" s="206">
        <v>0.2</v>
      </c>
      <c r="Q50" s="243">
        <f t="shared" si="0"/>
        <v>0.2</v>
      </c>
      <c r="R50" s="206">
        <v>15.5</v>
      </c>
      <c r="S50" s="206">
        <v>80</v>
      </c>
      <c r="T50" s="215">
        <f t="shared" si="1"/>
        <v>39</v>
      </c>
      <c r="U50" s="206">
        <v>538</v>
      </c>
      <c r="V50" s="215">
        <f t="shared" si="2"/>
        <v>5245.5</v>
      </c>
      <c r="W50" s="206">
        <v>1</v>
      </c>
      <c r="X50" s="214" t="s">
        <v>46</v>
      </c>
      <c r="Y50" s="214" t="s">
        <v>84</v>
      </c>
      <c r="Z50" s="214" t="s">
        <v>69</v>
      </c>
      <c r="AA50" s="214" t="s">
        <v>90</v>
      </c>
      <c r="AB50" s="214" t="s">
        <v>333</v>
      </c>
    </row>
    <row r="51" spans="1:28" x14ac:dyDescent="0.15">
      <c r="A51" s="214" t="s">
        <v>34</v>
      </c>
      <c r="B51" s="206" t="s">
        <v>331</v>
      </c>
      <c r="C51" s="206">
        <v>2018</v>
      </c>
      <c r="D51" s="248" t="s">
        <v>569</v>
      </c>
      <c r="E51" s="235" t="s">
        <v>314</v>
      </c>
      <c r="F51" s="235" t="s">
        <v>315</v>
      </c>
      <c r="G51" s="214" t="s">
        <v>36</v>
      </c>
      <c r="H51" s="206" t="s">
        <v>128</v>
      </c>
      <c r="I51" s="214" t="s">
        <v>153</v>
      </c>
      <c r="J51" s="214" t="s">
        <v>80</v>
      </c>
      <c r="K51" s="214" t="s">
        <v>63</v>
      </c>
      <c r="L51" s="206">
        <v>2</v>
      </c>
      <c r="N51" s="206">
        <v>4</v>
      </c>
      <c r="O51" s="206">
        <v>0.2</v>
      </c>
      <c r="P51" s="206">
        <v>0.2</v>
      </c>
      <c r="Q51" s="243">
        <f t="shared" si="0"/>
        <v>0.2</v>
      </c>
      <c r="R51" s="206">
        <v>15.1</v>
      </c>
      <c r="S51" s="206">
        <v>83</v>
      </c>
      <c r="T51" s="215">
        <f t="shared" si="1"/>
        <v>39</v>
      </c>
      <c r="U51" s="206">
        <v>538</v>
      </c>
      <c r="V51" s="215">
        <f t="shared" si="2"/>
        <v>5245.5</v>
      </c>
      <c r="W51" s="206">
        <v>1</v>
      </c>
      <c r="X51" s="214" t="s">
        <v>46</v>
      </c>
      <c r="Y51" s="214" t="s">
        <v>84</v>
      </c>
      <c r="Z51" s="214" t="s">
        <v>69</v>
      </c>
      <c r="AA51" s="214" t="s">
        <v>90</v>
      </c>
      <c r="AB51" s="214" t="s">
        <v>333</v>
      </c>
    </row>
    <row r="52" spans="1:28" x14ac:dyDescent="0.15">
      <c r="A52" s="214" t="s">
        <v>34</v>
      </c>
      <c r="B52" s="206" t="s">
        <v>331</v>
      </c>
      <c r="C52" s="206">
        <v>2018</v>
      </c>
      <c r="D52" s="248" t="s">
        <v>569</v>
      </c>
      <c r="E52" s="235" t="s">
        <v>314</v>
      </c>
      <c r="F52" s="235" t="s">
        <v>315</v>
      </c>
      <c r="G52" s="214" t="s">
        <v>36</v>
      </c>
      <c r="H52" s="206" t="s">
        <v>128</v>
      </c>
      <c r="I52" s="214" t="s">
        <v>153</v>
      </c>
      <c r="J52" s="214" t="s">
        <v>80</v>
      </c>
      <c r="K52" s="214" t="s">
        <v>63</v>
      </c>
      <c r="L52" s="206">
        <v>3</v>
      </c>
      <c r="N52" s="206">
        <v>4</v>
      </c>
      <c r="O52" s="206">
        <v>0.2</v>
      </c>
      <c r="P52" s="206">
        <v>0.85</v>
      </c>
      <c r="Q52" s="243">
        <f t="shared" si="0"/>
        <v>0.52500000000000002</v>
      </c>
      <c r="R52" s="206">
        <v>14.1</v>
      </c>
      <c r="S52" s="206">
        <v>82</v>
      </c>
      <c r="T52" s="215">
        <f t="shared" si="1"/>
        <v>39</v>
      </c>
      <c r="U52" s="206">
        <v>538</v>
      </c>
      <c r="V52" s="215">
        <f t="shared" si="2"/>
        <v>5245.5</v>
      </c>
      <c r="W52" s="206">
        <v>1</v>
      </c>
      <c r="X52" s="214" t="s">
        <v>46</v>
      </c>
      <c r="Y52" s="214" t="s">
        <v>84</v>
      </c>
      <c r="Z52" s="214" t="s">
        <v>69</v>
      </c>
      <c r="AA52" s="214" t="s">
        <v>90</v>
      </c>
      <c r="AB52" s="214" t="s">
        <v>333</v>
      </c>
    </row>
    <row r="53" spans="1:28" x14ac:dyDescent="0.15">
      <c r="A53" s="214" t="s">
        <v>34</v>
      </c>
      <c r="B53" s="206" t="s">
        <v>331</v>
      </c>
      <c r="C53" s="206">
        <v>2018</v>
      </c>
      <c r="D53" s="248" t="s">
        <v>569</v>
      </c>
      <c r="E53" s="235" t="s">
        <v>316</v>
      </c>
      <c r="F53" s="235" t="s">
        <v>317</v>
      </c>
      <c r="G53" s="214" t="s">
        <v>36</v>
      </c>
      <c r="H53" s="206" t="s">
        <v>127</v>
      </c>
      <c r="I53" s="214" t="s">
        <v>153</v>
      </c>
      <c r="J53" s="214" t="s">
        <v>53</v>
      </c>
      <c r="K53" s="214" t="s">
        <v>54</v>
      </c>
      <c r="L53" s="214">
        <v>1</v>
      </c>
      <c r="N53" s="206">
        <v>1</v>
      </c>
      <c r="O53" s="206">
        <v>0.9</v>
      </c>
      <c r="P53" s="206">
        <v>0.85</v>
      </c>
      <c r="Q53" s="243">
        <f t="shared" si="0"/>
        <v>0.875</v>
      </c>
      <c r="R53" s="206">
        <v>14.1</v>
      </c>
      <c r="S53" s="206">
        <v>137</v>
      </c>
      <c r="T53" s="215">
        <f t="shared" si="1"/>
        <v>30</v>
      </c>
      <c r="U53" s="206">
        <v>108</v>
      </c>
      <c r="V53" s="215">
        <f t="shared" si="2"/>
        <v>3240</v>
      </c>
      <c r="W53" s="206">
        <v>1</v>
      </c>
      <c r="X53" s="214" t="s">
        <v>46</v>
      </c>
      <c r="Y53" s="214" t="s">
        <v>84</v>
      </c>
      <c r="Z53" s="214" t="s">
        <v>40</v>
      </c>
      <c r="AA53" s="214" t="s">
        <v>90</v>
      </c>
      <c r="AB53" s="214" t="s">
        <v>333</v>
      </c>
    </row>
    <row r="54" spans="1:28" x14ac:dyDescent="0.15">
      <c r="A54" s="214" t="s">
        <v>34</v>
      </c>
      <c r="B54" s="206" t="s">
        <v>331</v>
      </c>
      <c r="C54" s="206">
        <v>2018</v>
      </c>
      <c r="D54" s="248" t="s">
        <v>569</v>
      </c>
      <c r="E54" s="235" t="s">
        <v>316</v>
      </c>
      <c r="F54" s="235" t="s">
        <v>317</v>
      </c>
      <c r="G54" s="214" t="s">
        <v>36</v>
      </c>
      <c r="H54" s="206" t="s">
        <v>127</v>
      </c>
      <c r="I54" s="214" t="s">
        <v>153</v>
      </c>
      <c r="J54" s="214" t="s">
        <v>53</v>
      </c>
      <c r="K54" s="214" t="s">
        <v>54</v>
      </c>
      <c r="L54" s="206">
        <v>2</v>
      </c>
      <c r="N54" s="206">
        <v>1</v>
      </c>
      <c r="O54" s="206">
        <v>1</v>
      </c>
      <c r="P54" s="206">
        <v>0.85</v>
      </c>
      <c r="Q54" s="243">
        <f t="shared" si="0"/>
        <v>0.92500000000000004</v>
      </c>
      <c r="R54" s="206">
        <v>14.1</v>
      </c>
      <c r="S54" s="206">
        <v>132</v>
      </c>
      <c r="T54" s="215">
        <f t="shared" si="1"/>
        <v>30</v>
      </c>
      <c r="U54" s="206">
        <v>108</v>
      </c>
      <c r="V54" s="215">
        <f t="shared" si="2"/>
        <v>3240</v>
      </c>
      <c r="W54" s="206">
        <v>1</v>
      </c>
      <c r="X54" s="214" t="s">
        <v>46</v>
      </c>
      <c r="Y54" s="214" t="s">
        <v>84</v>
      </c>
      <c r="Z54" s="214" t="s">
        <v>40</v>
      </c>
      <c r="AA54" s="214" t="s">
        <v>90</v>
      </c>
      <c r="AB54" s="214" t="s">
        <v>333</v>
      </c>
    </row>
    <row r="55" spans="1:28" x14ac:dyDescent="0.15">
      <c r="A55" s="214" t="s">
        <v>34</v>
      </c>
      <c r="B55" s="206" t="s">
        <v>331</v>
      </c>
      <c r="C55" s="206">
        <v>2018</v>
      </c>
      <c r="D55" s="248" t="s">
        <v>569</v>
      </c>
      <c r="E55" s="235" t="s">
        <v>316</v>
      </c>
      <c r="F55" s="235" t="s">
        <v>317</v>
      </c>
      <c r="G55" s="214" t="s">
        <v>36</v>
      </c>
      <c r="H55" s="206" t="s">
        <v>127</v>
      </c>
      <c r="I55" s="214" t="s">
        <v>153</v>
      </c>
      <c r="J55" s="214" t="s">
        <v>53</v>
      </c>
      <c r="K55" s="214" t="s">
        <v>54</v>
      </c>
      <c r="L55" s="206">
        <v>3</v>
      </c>
      <c r="N55" s="206">
        <v>1</v>
      </c>
      <c r="O55" s="206">
        <v>0.45</v>
      </c>
      <c r="P55" s="206">
        <v>0.5</v>
      </c>
      <c r="Q55" s="243">
        <f t="shared" si="0"/>
        <v>0.47499999999999998</v>
      </c>
      <c r="R55" s="206">
        <v>13.9</v>
      </c>
      <c r="S55" s="206">
        <v>128</v>
      </c>
      <c r="T55" s="215">
        <f t="shared" si="1"/>
        <v>30</v>
      </c>
      <c r="U55" s="206">
        <v>108</v>
      </c>
      <c r="V55" s="215">
        <f t="shared" si="2"/>
        <v>3240</v>
      </c>
      <c r="W55" s="206">
        <v>1</v>
      </c>
      <c r="X55" s="214" t="s">
        <v>46</v>
      </c>
      <c r="Y55" s="214" t="s">
        <v>84</v>
      </c>
      <c r="Z55" s="214" t="s">
        <v>40</v>
      </c>
      <c r="AA55" s="214" t="s">
        <v>90</v>
      </c>
      <c r="AB55" s="214" t="s">
        <v>333</v>
      </c>
    </row>
    <row r="56" spans="1:28" x14ac:dyDescent="0.15">
      <c r="A56" s="214" t="s">
        <v>34</v>
      </c>
      <c r="B56" s="206" t="s">
        <v>331</v>
      </c>
      <c r="C56" s="206">
        <v>2018</v>
      </c>
      <c r="D56" s="248" t="s">
        <v>569</v>
      </c>
      <c r="E56" s="235" t="s">
        <v>318</v>
      </c>
      <c r="F56" s="235" t="s">
        <v>319</v>
      </c>
      <c r="G56" s="214" t="s">
        <v>36</v>
      </c>
      <c r="H56" s="206" t="s">
        <v>155</v>
      </c>
      <c r="I56" s="214" t="s">
        <v>153</v>
      </c>
      <c r="J56" s="214" t="s">
        <v>38</v>
      </c>
      <c r="K56" s="214" t="s">
        <v>154</v>
      </c>
      <c r="L56" s="214">
        <v>1</v>
      </c>
      <c r="N56" s="206">
        <v>1</v>
      </c>
      <c r="O56" s="206">
        <v>0.45</v>
      </c>
      <c r="P56" s="206">
        <v>0.45</v>
      </c>
      <c r="Q56" s="243">
        <f t="shared" si="0"/>
        <v>0.45</v>
      </c>
      <c r="R56" s="206">
        <v>13.1</v>
      </c>
      <c r="S56" s="206">
        <v>116</v>
      </c>
      <c r="T56" s="215">
        <f t="shared" si="1"/>
        <v>30</v>
      </c>
      <c r="U56" s="206">
        <v>108</v>
      </c>
      <c r="V56" s="215">
        <f t="shared" si="2"/>
        <v>3240</v>
      </c>
      <c r="W56" s="206">
        <v>6</v>
      </c>
      <c r="X56" s="214" t="s">
        <v>46</v>
      </c>
      <c r="Y56" s="214" t="s">
        <v>84</v>
      </c>
      <c r="Z56" s="214" t="s">
        <v>40</v>
      </c>
      <c r="AA56" s="214" t="s">
        <v>69</v>
      </c>
      <c r="AB56" s="214" t="s">
        <v>333</v>
      </c>
    </row>
    <row r="57" spans="1:28" x14ac:dyDescent="0.15">
      <c r="A57" s="214" t="s">
        <v>34</v>
      </c>
      <c r="B57" s="206" t="s">
        <v>331</v>
      </c>
      <c r="C57" s="206">
        <v>2018</v>
      </c>
      <c r="D57" s="248" t="s">
        <v>569</v>
      </c>
      <c r="E57" s="235" t="s">
        <v>318</v>
      </c>
      <c r="F57" s="235" t="s">
        <v>319</v>
      </c>
      <c r="G57" s="214" t="s">
        <v>36</v>
      </c>
      <c r="H57" s="206" t="s">
        <v>155</v>
      </c>
      <c r="I57" s="214" t="s">
        <v>153</v>
      </c>
      <c r="J57" s="214" t="s">
        <v>38</v>
      </c>
      <c r="K57" s="214" t="s">
        <v>154</v>
      </c>
      <c r="L57" s="206">
        <v>2</v>
      </c>
      <c r="N57" s="206">
        <v>1</v>
      </c>
      <c r="O57" s="206">
        <v>0.55000000000000004</v>
      </c>
      <c r="P57" s="206">
        <v>0.85</v>
      </c>
      <c r="Q57" s="243">
        <f t="shared" si="0"/>
        <v>0.7</v>
      </c>
      <c r="R57" s="206">
        <v>13.5</v>
      </c>
      <c r="S57" s="206">
        <v>119</v>
      </c>
      <c r="T57" s="215">
        <f t="shared" si="1"/>
        <v>30</v>
      </c>
      <c r="U57" s="206">
        <v>108</v>
      </c>
      <c r="V57" s="215">
        <f t="shared" si="2"/>
        <v>3240</v>
      </c>
      <c r="W57" s="206">
        <v>6</v>
      </c>
      <c r="X57" s="214" t="s">
        <v>46</v>
      </c>
      <c r="Y57" s="214" t="s">
        <v>84</v>
      </c>
      <c r="Z57" s="214" t="s">
        <v>40</v>
      </c>
      <c r="AA57" s="214" t="s">
        <v>69</v>
      </c>
      <c r="AB57" s="214" t="s">
        <v>333</v>
      </c>
    </row>
    <row r="58" spans="1:28" x14ac:dyDescent="0.15">
      <c r="A58" s="214" t="s">
        <v>34</v>
      </c>
      <c r="B58" s="206" t="s">
        <v>331</v>
      </c>
      <c r="C58" s="206">
        <v>2018</v>
      </c>
      <c r="D58" s="248" t="s">
        <v>569</v>
      </c>
      <c r="E58" s="235" t="s">
        <v>318</v>
      </c>
      <c r="F58" s="235" t="s">
        <v>319</v>
      </c>
      <c r="G58" s="214" t="s">
        <v>36</v>
      </c>
      <c r="H58" s="206" t="s">
        <v>155</v>
      </c>
      <c r="I58" s="214" t="s">
        <v>153</v>
      </c>
      <c r="J58" s="214" t="s">
        <v>38</v>
      </c>
      <c r="K58" s="214" t="s">
        <v>154</v>
      </c>
      <c r="L58" s="206">
        <v>3</v>
      </c>
      <c r="N58" s="206">
        <v>1</v>
      </c>
      <c r="O58" s="206">
        <v>0.95</v>
      </c>
      <c r="P58" s="206">
        <v>0.9</v>
      </c>
      <c r="Q58" s="243">
        <f t="shared" si="0"/>
        <v>0.92500000000000004</v>
      </c>
      <c r="R58" s="206">
        <v>13.8</v>
      </c>
      <c r="S58" s="206">
        <v>115</v>
      </c>
      <c r="T58" s="215">
        <f t="shared" si="1"/>
        <v>30</v>
      </c>
      <c r="U58" s="206">
        <v>108</v>
      </c>
      <c r="V58" s="215">
        <f t="shared" si="2"/>
        <v>3240</v>
      </c>
      <c r="W58" s="206">
        <v>6</v>
      </c>
      <c r="X58" s="214" t="s">
        <v>46</v>
      </c>
      <c r="Y58" s="214" t="s">
        <v>84</v>
      </c>
      <c r="Z58" s="214" t="s">
        <v>40</v>
      </c>
      <c r="AA58" s="214" t="s">
        <v>69</v>
      </c>
      <c r="AB58" s="214" t="s">
        <v>333</v>
      </c>
    </row>
    <row r="59" spans="1:28" x14ac:dyDescent="0.15">
      <c r="A59" s="214" t="s">
        <v>34</v>
      </c>
      <c r="B59" s="206" t="s">
        <v>331</v>
      </c>
      <c r="C59" s="206">
        <v>2018</v>
      </c>
      <c r="D59" s="248" t="s">
        <v>569</v>
      </c>
      <c r="E59" s="235" t="s">
        <v>318</v>
      </c>
      <c r="F59" s="235" t="s">
        <v>319</v>
      </c>
      <c r="G59" s="214" t="s">
        <v>36</v>
      </c>
      <c r="H59" s="206" t="s">
        <v>155</v>
      </c>
      <c r="I59" s="214" t="s">
        <v>153</v>
      </c>
      <c r="J59" s="214" t="s">
        <v>38</v>
      </c>
      <c r="K59" s="214" t="s">
        <v>154</v>
      </c>
      <c r="L59" s="214">
        <v>1</v>
      </c>
      <c r="N59" s="206">
        <v>8</v>
      </c>
      <c r="O59" s="206">
        <v>0.9</v>
      </c>
      <c r="P59" s="206">
        <v>0.9</v>
      </c>
      <c r="Q59" s="243">
        <f t="shared" si="0"/>
        <v>0.9</v>
      </c>
      <c r="R59" s="206">
        <v>13.7</v>
      </c>
      <c r="S59" s="206">
        <v>103</v>
      </c>
      <c r="T59" s="215">
        <f t="shared" si="1"/>
        <v>33</v>
      </c>
      <c r="U59" s="206">
        <v>538</v>
      </c>
      <c r="V59" s="215">
        <f t="shared" si="2"/>
        <v>2219.25</v>
      </c>
      <c r="W59" s="206">
        <v>6</v>
      </c>
      <c r="X59" s="214" t="s">
        <v>46</v>
      </c>
      <c r="Y59" s="214" t="s">
        <v>84</v>
      </c>
      <c r="Z59" s="214" t="s">
        <v>40</v>
      </c>
      <c r="AA59" s="214" t="s">
        <v>69</v>
      </c>
      <c r="AB59" s="214" t="s">
        <v>333</v>
      </c>
    </row>
    <row r="60" spans="1:28" x14ac:dyDescent="0.15">
      <c r="A60" s="214" t="s">
        <v>34</v>
      </c>
      <c r="B60" s="206" t="s">
        <v>331</v>
      </c>
      <c r="C60" s="206">
        <v>2018</v>
      </c>
      <c r="D60" s="248" t="s">
        <v>569</v>
      </c>
      <c r="E60" s="235" t="s">
        <v>318</v>
      </c>
      <c r="F60" s="235" t="s">
        <v>319</v>
      </c>
      <c r="G60" s="214" t="s">
        <v>36</v>
      </c>
      <c r="H60" s="206" t="s">
        <v>155</v>
      </c>
      <c r="I60" s="214" t="s">
        <v>153</v>
      </c>
      <c r="J60" s="214" t="s">
        <v>38</v>
      </c>
      <c r="K60" s="214" t="s">
        <v>154</v>
      </c>
      <c r="L60" s="206">
        <v>2</v>
      </c>
      <c r="N60" s="206">
        <v>8</v>
      </c>
      <c r="O60" s="206">
        <v>0.55000000000000004</v>
      </c>
      <c r="P60" s="206">
        <v>0.6</v>
      </c>
      <c r="Q60" s="243">
        <f t="shared" si="0"/>
        <v>0.57499999999999996</v>
      </c>
      <c r="R60" s="206">
        <v>14.3</v>
      </c>
      <c r="S60" s="206">
        <v>101</v>
      </c>
      <c r="T60" s="215">
        <f t="shared" si="1"/>
        <v>33</v>
      </c>
      <c r="U60" s="206">
        <v>538</v>
      </c>
      <c r="V60" s="215">
        <f t="shared" si="2"/>
        <v>2219.25</v>
      </c>
      <c r="W60" s="206">
        <v>6</v>
      </c>
      <c r="X60" s="214" t="s">
        <v>46</v>
      </c>
      <c r="Y60" s="214" t="s">
        <v>84</v>
      </c>
      <c r="Z60" s="214" t="s">
        <v>40</v>
      </c>
      <c r="AA60" s="214" t="s">
        <v>69</v>
      </c>
      <c r="AB60" s="214" t="s">
        <v>333</v>
      </c>
    </row>
    <row r="61" spans="1:28" x14ac:dyDescent="0.15">
      <c r="A61" s="214" t="s">
        <v>34</v>
      </c>
      <c r="B61" s="206" t="s">
        <v>331</v>
      </c>
      <c r="C61" s="206">
        <v>2018</v>
      </c>
      <c r="D61" s="248" t="s">
        <v>569</v>
      </c>
      <c r="E61" s="235" t="s">
        <v>318</v>
      </c>
      <c r="F61" s="235" t="s">
        <v>319</v>
      </c>
      <c r="G61" s="214" t="s">
        <v>36</v>
      </c>
      <c r="H61" s="206" t="s">
        <v>155</v>
      </c>
      <c r="I61" s="214" t="s">
        <v>153</v>
      </c>
      <c r="J61" s="214" t="s">
        <v>38</v>
      </c>
      <c r="K61" s="214" t="s">
        <v>154</v>
      </c>
      <c r="L61" s="206">
        <v>3</v>
      </c>
      <c r="N61" s="206">
        <v>8</v>
      </c>
      <c r="O61" s="206">
        <v>0.75</v>
      </c>
      <c r="P61" s="206">
        <v>0.85</v>
      </c>
      <c r="Q61" s="243">
        <f t="shared" si="0"/>
        <v>0.8</v>
      </c>
      <c r="R61" s="206">
        <v>11.4</v>
      </c>
      <c r="S61" s="206">
        <v>103</v>
      </c>
      <c r="T61" s="215">
        <f t="shared" si="1"/>
        <v>33</v>
      </c>
      <c r="U61" s="206">
        <v>538</v>
      </c>
      <c r="V61" s="215">
        <f t="shared" si="2"/>
        <v>2219.25</v>
      </c>
      <c r="W61" s="206">
        <v>6</v>
      </c>
      <c r="X61" s="214" t="s">
        <v>46</v>
      </c>
      <c r="Y61" s="214" t="s">
        <v>84</v>
      </c>
      <c r="Z61" s="214" t="s">
        <v>40</v>
      </c>
      <c r="AA61" s="214" t="s">
        <v>69</v>
      </c>
      <c r="AB61" s="214" t="s">
        <v>333</v>
      </c>
    </row>
    <row r="62" spans="1:28" x14ac:dyDescent="0.15">
      <c r="A62" s="214" t="s">
        <v>34</v>
      </c>
      <c r="B62" s="206" t="s">
        <v>331</v>
      </c>
      <c r="C62" s="206">
        <v>2018</v>
      </c>
      <c r="D62" s="248" t="s">
        <v>569</v>
      </c>
      <c r="E62" s="235" t="s">
        <v>321</v>
      </c>
      <c r="F62" s="235" t="s">
        <v>322</v>
      </c>
      <c r="G62" s="214" t="s">
        <v>36</v>
      </c>
      <c r="H62" s="206" t="s">
        <v>155</v>
      </c>
      <c r="I62" s="214" t="s">
        <v>153</v>
      </c>
      <c r="J62" s="214" t="s">
        <v>38</v>
      </c>
      <c r="K62" s="214" t="s">
        <v>154</v>
      </c>
      <c r="L62" s="214">
        <v>1</v>
      </c>
      <c r="N62" s="206">
        <v>1</v>
      </c>
      <c r="O62" s="206">
        <v>0.45</v>
      </c>
      <c r="P62" s="206">
        <v>0.6</v>
      </c>
      <c r="Q62" s="243">
        <f t="shared" si="0"/>
        <v>0.52500000000000002</v>
      </c>
      <c r="R62" s="206">
        <v>13.7</v>
      </c>
      <c r="S62" s="206">
        <v>109</v>
      </c>
      <c r="T62" s="215">
        <f t="shared" si="1"/>
        <v>33</v>
      </c>
      <c r="U62" s="206">
        <v>149</v>
      </c>
      <c r="V62" s="215">
        <f t="shared" si="2"/>
        <v>4917</v>
      </c>
      <c r="W62" s="206">
        <v>3</v>
      </c>
      <c r="X62" s="214" t="s">
        <v>46</v>
      </c>
      <c r="Y62" s="214" t="s">
        <v>84</v>
      </c>
      <c r="Z62" s="214" t="s">
        <v>40</v>
      </c>
      <c r="AA62" s="214" t="s">
        <v>90</v>
      </c>
      <c r="AB62" s="214" t="s">
        <v>333</v>
      </c>
    </row>
    <row r="63" spans="1:28" x14ac:dyDescent="0.15">
      <c r="A63" s="214" t="s">
        <v>34</v>
      </c>
      <c r="B63" s="206" t="s">
        <v>331</v>
      </c>
      <c r="C63" s="206">
        <v>2018</v>
      </c>
      <c r="D63" s="248" t="s">
        <v>569</v>
      </c>
      <c r="E63" s="235" t="s">
        <v>321</v>
      </c>
      <c r="F63" s="235" t="s">
        <v>322</v>
      </c>
      <c r="G63" s="214" t="s">
        <v>36</v>
      </c>
      <c r="H63" s="206" t="s">
        <v>155</v>
      </c>
      <c r="I63" s="214" t="s">
        <v>153</v>
      </c>
      <c r="J63" s="214" t="s">
        <v>38</v>
      </c>
      <c r="K63" s="214" t="s">
        <v>154</v>
      </c>
      <c r="L63" s="206">
        <v>2</v>
      </c>
      <c r="N63" s="206">
        <v>1</v>
      </c>
      <c r="O63" s="206">
        <v>0.55000000000000004</v>
      </c>
      <c r="P63" s="206">
        <v>0.45</v>
      </c>
      <c r="Q63" s="243">
        <f t="shared" si="0"/>
        <v>0.5</v>
      </c>
      <c r="R63" s="206">
        <v>14.3</v>
      </c>
      <c r="S63" s="206">
        <v>112</v>
      </c>
      <c r="T63" s="215">
        <f t="shared" si="1"/>
        <v>33</v>
      </c>
      <c r="U63" s="206">
        <v>149</v>
      </c>
      <c r="V63" s="215">
        <f t="shared" si="2"/>
        <v>4917</v>
      </c>
      <c r="W63" s="206">
        <v>3</v>
      </c>
      <c r="X63" s="214" t="s">
        <v>46</v>
      </c>
      <c r="Y63" s="214" t="s">
        <v>84</v>
      </c>
      <c r="Z63" s="214" t="s">
        <v>40</v>
      </c>
      <c r="AA63" s="214" t="s">
        <v>90</v>
      </c>
      <c r="AB63" s="214" t="s">
        <v>333</v>
      </c>
    </row>
    <row r="64" spans="1:28" x14ac:dyDescent="0.15">
      <c r="A64" s="214" t="s">
        <v>34</v>
      </c>
      <c r="B64" s="206" t="s">
        <v>331</v>
      </c>
      <c r="C64" s="206">
        <v>2018</v>
      </c>
      <c r="D64" s="248" t="s">
        <v>569</v>
      </c>
      <c r="E64" s="235" t="s">
        <v>321</v>
      </c>
      <c r="F64" s="235" t="s">
        <v>322</v>
      </c>
      <c r="G64" s="214" t="s">
        <v>36</v>
      </c>
      <c r="H64" s="206" t="s">
        <v>155</v>
      </c>
      <c r="I64" s="214" t="s">
        <v>153</v>
      </c>
      <c r="J64" s="214" t="s">
        <v>38</v>
      </c>
      <c r="K64" s="214" t="s">
        <v>154</v>
      </c>
      <c r="L64" s="206">
        <v>3</v>
      </c>
      <c r="N64" s="206">
        <v>1</v>
      </c>
      <c r="O64" s="206">
        <v>0.75</v>
      </c>
      <c r="P64" s="206">
        <v>0.8</v>
      </c>
      <c r="Q64" s="243">
        <f t="shared" si="0"/>
        <v>0.77500000000000002</v>
      </c>
      <c r="R64" s="206">
        <v>13.6</v>
      </c>
      <c r="S64" s="206">
        <v>105</v>
      </c>
      <c r="T64" s="215">
        <f t="shared" si="1"/>
        <v>33</v>
      </c>
      <c r="U64" s="206">
        <v>149</v>
      </c>
      <c r="V64" s="215">
        <f t="shared" si="2"/>
        <v>4917</v>
      </c>
      <c r="W64" s="206">
        <v>3</v>
      </c>
      <c r="X64" s="214" t="s">
        <v>46</v>
      </c>
      <c r="Y64" s="214" t="s">
        <v>84</v>
      </c>
      <c r="Z64" s="214" t="s">
        <v>40</v>
      </c>
      <c r="AA64" s="214" t="s">
        <v>90</v>
      </c>
      <c r="AB64" s="214" t="s">
        <v>333</v>
      </c>
    </row>
    <row r="65" spans="1:28" x14ac:dyDescent="0.15">
      <c r="A65" s="214" t="s">
        <v>34</v>
      </c>
      <c r="B65" s="206" t="s">
        <v>331</v>
      </c>
      <c r="C65" s="206">
        <v>2018</v>
      </c>
      <c r="D65" s="248" t="s">
        <v>569</v>
      </c>
      <c r="E65" s="235" t="s">
        <v>321</v>
      </c>
      <c r="F65" s="235" t="s">
        <v>322</v>
      </c>
      <c r="G65" s="214" t="s">
        <v>36</v>
      </c>
      <c r="H65" s="206" t="s">
        <v>155</v>
      </c>
      <c r="I65" s="214" t="s">
        <v>153</v>
      </c>
      <c r="J65" s="214" t="s">
        <v>38</v>
      </c>
      <c r="K65" s="214" t="s">
        <v>154</v>
      </c>
      <c r="L65" s="214">
        <v>1</v>
      </c>
      <c r="N65" s="206">
        <v>3</v>
      </c>
      <c r="O65" s="206">
        <v>0.75</v>
      </c>
      <c r="P65" s="206">
        <v>0.9</v>
      </c>
      <c r="Q65" s="243">
        <f t="shared" si="0"/>
        <v>0.82499999999999996</v>
      </c>
      <c r="R65" s="206">
        <v>13.7</v>
      </c>
      <c r="S65" s="206">
        <v>112</v>
      </c>
      <c r="T65" s="215">
        <f t="shared" si="1"/>
        <v>33</v>
      </c>
      <c r="U65" s="206">
        <v>429</v>
      </c>
      <c r="V65" s="215">
        <f t="shared" si="2"/>
        <v>4719</v>
      </c>
      <c r="W65" s="206">
        <v>3</v>
      </c>
      <c r="X65" s="214" t="s">
        <v>46</v>
      </c>
      <c r="Y65" s="214" t="s">
        <v>84</v>
      </c>
      <c r="Z65" s="214" t="s">
        <v>40</v>
      </c>
      <c r="AA65" s="214" t="s">
        <v>90</v>
      </c>
      <c r="AB65" s="214" t="s">
        <v>333</v>
      </c>
    </row>
    <row r="66" spans="1:28" x14ac:dyDescent="0.15">
      <c r="A66" s="214" t="s">
        <v>34</v>
      </c>
      <c r="B66" s="206" t="s">
        <v>331</v>
      </c>
      <c r="C66" s="206">
        <v>2018</v>
      </c>
      <c r="D66" s="248" t="s">
        <v>569</v>
      </c>
      <c r="E66" s="235" t="s">
        <v>321</v>
      </c>
      <c r="F66" s="235" t="s">
        <v>322</v>
      </c>
      <c r="G66" s="214" t="s">
        <v>36</v>
      </c>
      <c r="H66" s="206" t="s">
        <v>155</v>
      </c>
      <c r="I66" s="214" t="s">
        <v>153</v>
      </c>
      <c r="J66" s="214" t="s">
        <v>38</v>
      </c>
      <c r="K66" s="214" t="s">
        <v>154</v>
      </c>
      <c r="L66" s="206">
        <v>2</v>
      </c>
      <c r="N66" s="206">
        <v>3</v>
      </c>
      <c r="O66" s="206">
        <v>0.8</v>
      </c>
      <c r="P66" s="206">
        <v>1</v>
      </c>
      <c r="Q66" s="243">
        <f t="shared" si="0"/>
        <v>0.9</v>
      </c>
      <c r="R66" s="206">
        <v>12.1</v>
      </c>
      <c r="S66" s="206">
        <v>114</v>
      </c>
      <c r="T66" s="215">
        <f t="shared" si="1"/>
        <v>30</v>
      </c>
      <c r="U66" s="206">
        <v>429</v>
      </c>
      <c r="V66" s="215">
        <f t="shared" si="2"/>
        <v>4290</v>
      </c>
      <c r="W66" s="206">
        <v>3</v>
      </c>
      <c r="X66" s="214" t="s">
        <v>46</v>
      </c>
      <c r="Y66" s="214" t="s">
        <v>84</v>
      </c>
      <c r="Z66" s="214" t="s">
        <v>40</v>
      </c>
      <c r="AA66" s="214" t="s">
        <v>90</v>
      </c>
      <c r="AB66" s="214" t="s">
        <v>333</v>
      </c>
    </row>
    <row r="67" spans="1:28" x14ac:dyDescent="0.15">
      <c r="A67" s="214" t="s">
        <v>34</v>
      </c>
      <c r="B67" s="206" t="s">
        <v>331</v>
      </c>
      <c r="C67" s="206">
        <v>2018</v>
      </c>
      <c r="D67" s="248" t="s">
        <v>569</v>
      </c>
      <c r="E67" s="235" t="s">
        <v>321</v>
      </c>
      <c r="F67" s="235" t="s">
        <v>322</v>
      </c>
      <c r="G67" s="214" t="s">
        <v>36</v>
      </c>
      <c r="H67" s="206" t="s">
        <v>155</v>
      </c>
      <c r="I67" s="214" t="s">
        <v>153</v>
      </c>
      <c r="J67" s="214" t="s">
        <v>38</v>
      </c>
      <c r="K67" s="214" t="s">
        <v>154</v>
      </c>
      <c r="L67" s="206">
        <v>3</v>
      </c>
      <c r="N67" s="206">
        <v>3</v>
      </c>
      <c r="O67" s="206">
        <v>0.6</v>
      </c>
      <c r="P67" s="206">
        <v>0.55000000000000004</v>
      </c>
      <c r="Q67" s="243">
        <f t="shared" si="0"/>
        <v>0.57499999999999996</v>
      </c>
      <c r="R67" s="206">
        <v>13.3</v>
      </c>
      <c r="S67" s="206">
        <v>109</v>
      </c>
      <c r="T67" s="215">
        <f t="shared" si="1"/>
        <v>33</v>
      </c>
      <c r="U67" s="206">
        <v>429</v>
      </c>
      <c r="V67" s="215">
        <f t="shared" si="2"/>
        <v>4719</v>
      </c>
      <c r="W67" s="206">
        <v>3</v>
      </c>
      <c r="X67" s="214" t="s">
        <v>46</v>
      </c>
      <c r="Y67" s="214" t="s">
        <v>84</v>
      </c>
      <c r="Z67" s="214" t="s">
        <v>40</v>
      </c>
      <c r="AA67" s="214" t="s">
        <v>90</v>
      </c>
      <c r="AB67" s="214" t="s">
        <v>333</v>
      </c>
    </row>
    <row r="68" spans="1:28" x14ac:dyDescent="0.15">
      <c r="A68" s="214" t="s">
        <v>34</v>
      </c>
      <c r="B68" s="206" t="s">
        <v>331</v>
      </c>
      <c r="C68" s="206">
        <v>2018</v>
      </c>
      <c r="D68" s="248" t="s">
        <v>569</v>
      </c>
      <c r="E68" s="235" t="s">
        <v>321</v>
      </c>
      <c r="F68" s="235" t="s">
        <v>322</v>
      </c>
      <c r="G68" s="214" t="s">
        <v>36</v>
      </c>
      <c r="H68" s="206" t="s">
        <v>205</v>
      </c>
      <c r="I68" s="214" t="s">
        <v>153</v>
      </c>
      <c r="J68" s="214" t="s">
        <v>38</v>
      </c>
      <c r="K68" s="214" t="s">
        <v>54</v>
      </c>
      <c r="L68" s="214">
        <v>1</v>
      </c>
      <c r="N68" s="206">
        <v>1</v>
      </c>
      <c r="O68" s="206">
        <v>0.45</v>
      </c>
      <c r="P68" s="206">
        <v>0.2</v>
      </c>
      <c r="Q68" s="243">
        <f t="shared" si="0"/>
        <v>0.32500000000000001</v>
      </c>
      <c r="R68" s="206">
        <v>15.3</v>
      </c>
      <c r="S68" s="206">
        <v>103</v>
      </c>
      <c r="T68" s="215">
        <f t="shared" si="1"/>
        <v>36</v>
      </c>
      <c r="U68" s="206">
        <v>170</v>
      </c>
      <c r="V68" s="215">
        <f t="shared" si="2"/>
        <v>6120</v>
      </c>
      <c r="W68" s="206">
        <v>1</v>
      </c>
      <c r="X68" s="214" t="s">
        <v>46</v>
      </c>
      <c r="Y68" s="214" t="s">
        <v>84</v>
      </c>
      <c r="Z68" s="214" t="s">
        <v>40</v>
      </c>
      <c r="AA68" s="214" t="s">
        <v>90</v>
      </c>
      <c r="AB68" s="214" t="s">
        <v>333</v>
      </c>
    </row>
    <row r="69" spans="1:28" x14ac:dyDescent="0.15">
      <c r="A69" s="214" t="s">
        <v>34</v>
      </c>
      <c r="B69" s="206" t="s">
        <v>331</v>
      </c>
      <c r="C69" s="206">
        <v>2018</v>
      </c>
      <c r="D69" s="248" t="s">
        <v>569</v>
      </c>
      <c r="E69" s="235" t="s">
        <v>321</v>
      </c>
      <c r="F69" s="235" t="s">
        <v>322</v>
      </c>
      <c r="G69" s="214" t="s">
        <v>36</v>
      </c>
      <c r="H69" s="206" t="s">
        <v>205</v>
      </c>
      <c r="I69" s="214" t="s">
        <v>153</v>
      </c>
      <c r="J69" s="214" t="s">
        <v>38</v>
      </c>
      <c r="K69" s="214" t="s">
        <v>54</v>
      </c>
      <c r="L69" s="206">
        <v>2</v>
      </c>
      <c r="N69" s="206">
        <v>1</v>
      </c>
      <c r="O69" s="206">
        <v>0.6</v>
      </c>
      <c r="P69" s="206">
        <v>0.75</v>
      </c>
      <c r="Q69" s="243">
        <f t="shared" si="0"/>
        <v>0.67500000000000004</v>
      </c>
      <c r="R69" s="206">
        <v>16.8</v>
      </c>
      <c r="S69" s="206">
        <v>96</v>
      </c>
      <c r="T69" s="215">
        <f t="shared" si="1"/>
        <v>39</v>
      </c>
      <c r="U69" s="206">
        <v>170</v>
      </c>
      <c r="V69" s="215">
        <f t="shared" si="2"/>
        <v>6630</v>
      </c>
      <c r="W69" s="206">
        <v>1</v>
      </c>
      <c r="X69" s="214" t="s">
        <v>46</v>
      </c>
      <c r="Y69" s="214" t="s">
        <v>84</v>
      </c>
      <c r="Z69" s="214" t="s">
        <v>40</v>
      </c>
      <c r="AA69" s="214" t="s">
        <v>90</v>
      </c>
      <c r="AB69" s="214" t="s">
        <v>333</v>
      </c>
    </row>
    <row r="70" spans="1:28" x14ac:dyDescent="0.15">
      <c r="A70" s="214" t="s">
        <v>34</v>
      </c>
      <c r="B70" s="206" t="s">
        <v>331</v>
      </c>
      <c r="C70" s="206">
        <v>2018</v>
      </c>
      <c r="D70" s="248" t="s">
        <v>569</v>
      </c>
      <c r="E70" s="235" t="s">
        <v>321</v>
      </c>
      <c r="F70" s="235" t="s">
        <v>322</v>
      </c>
      <c r="G70" s="214" t="s">
        <v>36</v>
      </c>
      <c r="H70" s="206" t="s">
        <v>205</v>
      </c>
      <c r="I70" s="214" t="s">
        <v>153</v>
      </c>
      <c r="J70" s="214" t="s">
        <v>38</v>
      </c>
      <c r="K70" s="214" t="s">
        <v>54</v>
      </c>
      <c r="L70" s="206">
        <v>3</v>
      </c>
      <c r="N70" s="206">
        <v>1</v>
      </c>
      <c r="O70" s="206">
        <v>0.55000000000000004</v>
      </c>
      <c r="P70" s="206">
        <v>0.45</v>
      </c>
      <c r="Q70" s="243">
        <f t="shared" si="0"/>
        <v>0.5</v>
      </c>
      <c r="R70" s="206">
        <v>13.8</v>
      </c>
      <c r="S70" s="206">
        <v>95</v>
      </c>
      <c r="T70" s="215">
        <f t="shared" si="1"/>
        <v>39</v>
      </c>
      <c r="U70" s="206">
        <v>170</v>
      </c>
      <c r="V70" s="215">
        <f t="shared" si="2"/>
        <v>6630</v>
      </c>
      <c r="W70" s="206">
        <v>1</v>
      </c>
      <c r="X70" s="214" t="s">
        <v>46</v>
      </c>
      <c r="Y70" s="214" t="s">
        <v>84</v>
      </c>
      <c r="Z70" s="214" t="s">
        <v>40</v>
      </c>
      <c r="AA70" s="214" t="s">
        <v>90</v>
      </c>
      <c r="AB70" s="214" t="s">
        <v>333</v>
      </c>
    </row>
    <row r="71" spans="1:28" x14ac:dyDescent="0.15">
      <c r="A71" s="214" t="s">
        <v>34</v>
      </c>
      <c r="B71" s="206" t="s">
        <v>331</v>
      </c>
      <c r="C71" s="206">
        <v>2018</v>
      </c>
      <c r="D71" s="248" t="s">
        <v>569</v>
      </c>
      <c r="E71" s="235" t="s">
        <v>321</v>
      </c>
      <c r="F71" s="235" t="s">
        <v>322</v>
      </c>
      <c r="G71" s="214" t="s">
        <v>36</v>
      </c>
      <c r="H71" s="206" t="s">
        <v>127</v>
      </c>
      <c r="I71" s="214" t="s">
        <v>153</v>
      </c>
      <c r="J71" s="214" t="s">
        <v>112</v>
      </c>
      <c r="K71" s="214" t="s">
        <v>105</v>
      </c>
      <c r="L71" s="214">
        <v>1</v>
      </c>
      <c r="N71" s="206">
        <v>2</v>
      </c>
      <c r="O71" s="206">
        <v>0.65</v>
      </c>
      <c r="P71" s="206">
        <v>0.65</v>
      </c>
      <c r="Q71" s="243">
        <f t="shared" si="0"/>
        <v>0.65</v>
      </c>
      <c r="R71" s="206">
        <v>17</v>
      </c>
      <c r="S71" s="206">
        <v>114</v>
      </c>
      <c r="T71" s="215">
        <f t="shared" si="1"/>
        <v>30</v>
      </c>
      <c r="U71" s="206">
        <v>429</v>
      </c>
      <c r="V71" s="215">
        <f t="shared" si="2"/>
        <v>6435</v>
      </c>
      <c r="W71" s="206">
        <v>1</v>
      </c>
      <c r="X71" s="214" t="s">
        <v>46</v>
      </c>
      <c r="Y71" s="214" t="s">
        <v>84</v>
      </c>
      <c r="Z71" s="214" t="s">
        <v>40</v>
      </c>
      <c r="AA71" s="214" t="s">
        <v>90</v>
      </c>
      <c r="AB71" s="214" t="s">
        <v>333</v>
      </c>
    </row>
    <row r="72" spans="1:28" x14ac:dyDescent="0.15">
      <c r="A72" s="214" t="s">
        <v>34</v>
      </c>
      <c r="B72" s="206" t="s">
        <v>331</v>
      </c>
      <c r="C72" s="206">
        <v>2018</v>
      </c>
      <c r="D72" s="248" t="s">
        <v>569</v>
      </c>
      <c r="E72" s="235" t="s">
        <v>321</v>
      </c>
      <c r="F72" s="235" t="s">
        <v>322</v>
      </c>
      <c r="G72" s="214" t="s">
        <v>36</v>
      </c>
      <c r="H72" s="206" t="s">
        <v>127</v>
      </c>
      <c r="I72" s="214" t="s">
        <v>153</v>
      </c>
      <c r="J72" s="214" t="s">
        <v>112</v>
      </c>
      <c r="K72" s="214" t="s">
        <v>105</v>
      </c>
      <c r="L72" s="206">
        <v>2</v>
      </c>
      <c r="N72" s="206">
        <v>2</v>
      </c>
      <c r="O72" s="206">
        <v>0.55000000000000004</v>
      </c>
      <c r="P72" s="206">
        <v>0.75</v>
      </c>
      <c r="Q72" s="243">
        <f t="shared" si="0"/>
        <v>0.65</v>
      </c>
      <c r="R72" s="206">
        <v>14.7</v>
      </c>
      <c r="S72" s="206">
        <v>119</v>
      </c>
      <c r="T72" s="215">
        <f t="shared" si="1"/>
        <v>30</v>
      </c>
      <c r="U72" s="206">
        <v>429</v>
      </c>
      <c r="V72" s="215">
        <f t="shared" si="2"/>
        <v>6435</v>
      </c>
      <c r="W72" s="206">
        <v>1</v>
      </c>
      <c r="X72" s="214" t="s">
        <v>46</v>
      </c>
      <c r="Y72" s="214" t="s">
        <v>84</v>
      </c>
      <c r="Z72" s="214" t="s">
        <v>40</v>
      </c>
      <c r="AA72" s="214" t="s">
        <v>90</v>
      </c>
      <c r="AB72" s="214" t="s">
        <v>333</v>
      </c>
    </row>
    <row r="73" spans="1:28" x14ac:dyDescent="0.15">
      <c r="A73" s="214" t="s">
        <v>34</v>
      </c>
      <c r="B73" s="206" t="s">
        <v>331</v>
      </c>
      <c r="C73" s="206">
        <v>2018</v>
      </c>
      <c r="D73" s="248" t="s">
        <v>569</v>
      </c>
      <c r="E73" s="235" t="s">
        <v>321</v>
      </c>
      <c r="F73" s="235" t="s">
        <v>322</v>
      </c>
      <c r="G73" s="214" t="s">
        <v>36</v>
      </c>
      <c r="H73" s="206" t="s">
        <v>127</v>
      </c>
      <c r="I73" s="214" t="s">
        <v>153</v>
      </c>
      <c r="J73" s="214" t="s">
        <v>112</v>
      </c>
      <c r="K73" s="214" t="s">
        <v>105</v>
      </c>
      <c r="L73" s="206">
        <v>3</v>
      </c>
      <c r="N73" s="206">
        <v>2</v>
      </c>
      <c r="O73" s="206">
        <v>0.65</v>
      </c>
      <c r="P73" s="206">
        <v>0.65</v>
      </c>
      <c r="Q73" s="243">
        <f t="shared" si="0"/>
        <v>0.65</v>
      </c>
      <c r="R73" s="206">
        <v>15.4</v>
      </c>
      <c r="S73" s="206">
        <v>117</v>
      </c>
      <c r="T73" s="215">
        <f t="shared" si="1"/>
        <v>30</v>
      </c>
      <c r="U73" s="206">
        <v>429</v>
      </c>
      <c r="V73" s="215">
        <f t="shared" si="2"/>
        <v>6435</v>
      </c>
      <c r="W73" s="206">
        <v>1</v>
      </c>
      <c r="X73" s="214" t="s">
        <v>46</v>
      </c>
      <c r="Y73" s="214" t="s">
        <v>84</v>
      </c>
      <c r="Z73" s="214" t="s">
        <v>40</v>
      </c>
      <c r="AA73" s="214" t="s">
        <v>90</v>
      </c>
      <c r="AB73" s="214" t="s">
        <v>333</v>
      </c>
    </row>
    <row r="74" spans="1:28" x14ac:dyDescent="0.15">
      <c r="K74" s="214"/>
    </row>
    <row r="75" spans="1:28" x14ac:dyDescent="0.15">
      <c r="K75" s="214"/>
    </row>
    <row r="76" spans="1:28" x14ac:dyDescent="0.15">
      <c r="K76" s="214"/>
    </row>
    <row r="77" spans="1:28" x14ac:dyDescent="0.15">
      <c r="K77" s="214"/>
    </row>
    <row r="78" spans="1:28" x14ac:dyDescent="0.15">
      <c r="K78" s="214"/>
    </row>
    <row r="79" spans="1:28" x14ac:dyDescent="0.15">
      <c r="K79" s="214"/>
    </row>
    <row r="80" spans="1:28" x14ac:dyDescent="0.15">
      <c r="K80" s="214"/>
    </row>
    <row r="81" spans="11:11" x14ac:dyDescent="0.15">
      <c r="K81" s="214"/>
    </row>
    <row r="82" spans="11:11" x14ac:dyDescent="0.15">
      <c r="K82" s="214"/>
    </row>
    <row r="83" spans="11:11" x14ac:dyDescent="0.15">
      <c r="K83" s="214"/>
    </row>
    <row r="84" spans="11:11" x14ac:dyDescent="0.15">
      <c r="K84" s="214"/>
    </row>
    <row r="85" spans="11:11" x14ac:dyDescent="0.15">
      <c r="K85" s="214"/>
    </row>
    <row r="86" spans="11:11" x14ac:dyDescent="0.15">
      <c r="K86" s="214"/>
    </row>
    <row r="87" spans="11:11" x14ac:dyDescent="0.15">
      <c r="K87" s="214"/>
    </row>
    <row r="88" spans="11:11" x14ac:dyDescent="0.15">
      <c r="K88" s="214"/>
    </row>
    <row r="89" spans="11:11" x14ac:dyDescent="0.15">
      <c r="K89" s="214"/>
    </row>
    <row r="90" spans="11:11" x14ac:dyDescent="0.15">
      <c r="K90" s="214"/>
    </row>
    <row r="91" spans="11:11" x14ac:dyDescent="0.15">
      <c r="K91" s="214"/>
    </row>
    <row r="92" spans="11:11" x14ac:dyDescent="0.15">
      <c r="K92" s="214"/>
    </row>
    <row r="93" spans="11:11" x14ac:dyDescent="0.15">
      <c r="K93" s="214"/>
    </row>
    <row r="94" spans="11:11" x14ac:dyDescent="0.15">
      <c r="K94" s="214"/>
    </row>
    <row r="95" spans="11:11" x14ac:dyDescent="0.15">
      <c r="K95" s="214"/>
    </row>
    <row r="96" spans="11:11" x14ac:dyDescent="0.15">
      <c r="K96" s="214"/>
    </row>
    <row r="97" spans="11:11" x14ac:dyDescent="0.15">
      <c r="K97" s="214"/>
    </row>
    <row r="98" spans="11:11" x14ac:dyDescent="0.15">
      <c r="K98" s="214"/>
    </row>
    <row r="99" spans="11:11" x14ac:dyDescent="0.15">
      <c r="K99" s="214"/>
    </row>
    <row r="100" spans="11:11" x14ac:dyDescent="0.15">
      <c r="K100" s="214"/>
    </row>
    <row r="101" spans="11:11" x14ac:dyDescent="0.15">
      <c r="K101" s="214"/>
    </row>
    <row r="102" spans="11:11" x14ac:dyDescent="0.15">
      <c r="K102" s="214"/>
    </row>
    <row r="103" spans="11:11" x14ac:dyDescent="0.15">
      <c r="K103" s="214"/>
    </row>
    <row r="104" spans="11:11" x14ac:dyDescent="0.15">
      <c r="K104" s="214"/>
    </row>
    <row r="105" spans="11:11" x14ac:dyDescent="0.15">
      <c r="K105" s="214"/>
    </row>
    <row r="106" spans="11:11" x14ac:dyDescent="0.15">
      <c r="K106" s="214"/>
    </row>
    <row r="107" spans="11:11" x14ac:dyDescent="0.15">
      <c r="K107" s="214"/>
    </row>
    <row r="108" spans="11:11" x14ac:dyDescent="0.15">
      <c r="K108" s="214"/>
    </row>
    <row r="109" spans="11:11" x14ac:dyDescent="0.15">
      <c r="K109" s="214"/>
    </row>
    <row r="110" spans="11:11" x14ac:dyDescent="0.15">
      <c r="K110" s="214"/>
    </row>
    <row r="111" spans="11:11" x14ac:dyDescent="0.15">
      <c r="K111" s="214"/>
    </row>
    <row r="112" spans="11:11" x14ac:dyDescent="0.15">
      <c r="K112" s="214"/>
    </row>
    <row r="113" spans="11:11" x14ac:dyDescent="0.15">
      <c r="K113" s="214"/>
    </row>
    <row r="114" spans="11:11" x14ac:dyDescent="0.15">
      <c r="K114" s="214"/>
    </row>
    <row r="115" spans="11:11" x14ac:dyDescent="0.15">
      <c r="K115" s="214"/>
    </row>
    <row r="116" spans="11:11" x14ac:dyDescent="0.15">
      <c r="K116" s="214"/>
    </row>
    <row r="117" spans="11:11" x14ac:dyDescent="0.15">
      <c r="K117" s="214"/>
    </row>
    <row r="118" spans="11:11" x14ac:dyDescent="0.15">
      <c r="K118" s="214"/>
    </row>
    <row r="119" spans="11:11" x14ac:dyDescent="0.15">
      <c r="K119" s="214"/>
    </row>
    <row r="120" spans="11:11" x14ac:dyDescent="0.15">
      <c r="K120" s="214"/>
    </row>
    <row r="121" spans="11:11" x14ac:dyDescent="0.15">
      <c r="K121" s="214"/>
    </row>
    <row r="122" spans="11:11" x14ac:dyDescent="0.15">
      <c r="K122" s="214"/>
    </row>
    <row r="123" spans="11:11" x14ac:dyDescent="0.15">
      <c r="K123" s="214"/>
    </row>
    <row r="124" spans="11:11" x14ac:dyDescent="0.15">
      <c r="K124" s="214"/>
    </row>
    <row r="125" spans="11:11" x14ac:dyDescent="0.15">
      <c r="K125" s="214"/>
    </row>
    <row r="126" spans="11:11" x14ac:dyDescent="0.15">
      <c r="K126" s="214"/>
    </row>
    <row r="127" spans="11:11" x14ac:dyDescent="0.15">
      <c r="K127" s="214"/>
    </row>
    <row r="128" spans="11:11" x14ac:dyDescent="0.15">
      <c r="K128" s="214"/>
    </row>
    <row r="129" spans="11:11" x14ac:dyDescent="0.15">
      <c r="K129" s="214"/>
    </row>
    <row r="130" spans="11:11" x14ac:dyDescent="0.15">
      <c r="K130" s="214"/>
    </row>
    <row r="131" spans="11:11" x14ac:dyDescent="0.15">
      <c r="K131" s="214"/>
    </row>
    <row r="132" spans="11:11" x14ac:dyDescent="0.15">
      <c r="K132" s="214"/>
    </row>
    <row r="133" spans="11:11" x14ac:dyDescent="0.15">
      <c r="K133" s="214"/>
    </row>
    <row r="134" spans="11:11" x14ac:dyDescent="0.15">
      <c r="K134" s="214"/>
    </row>
    <row r="135" spans="11:11" x14ac:dyDescent="0.15">
      <c r="K135" s="214"/>
    </row>
    <row r="136" spans="11:11" x14ac:dyDescent="0.15">
      <c r="K136" s="214"/>
    </row>
    <row r="137" spans="11:11" x14ac:dyDescent="0.15">
      <c r="K137" s="214"/>
    </row>
    <row r="138" spans="11:11" x14ac:dyDescent="0.15">
      <c r="K138" s="214"/>
    </row>
    <row r="139" spans="11:11" x14ac:dyDescent="0.15">
      <c r="K139" s="214"/>
    </row>
    <row r="140" spans="11:11" x14ac:dyDescent="0.15">
      <c r="K140" s="214"/>
    </row>
    <row r="141" spans="11:11" x14ac:dyDescent="0.15">
      <c r="K141" s="214"/>
    </row>
    <row r="142" spans="11:11" x14ac:dyDescent="0.15">
      <c r="K142" s="214"/>
    </row>
    <row r="143" spans="11:11" x14ac:dyDescent="0.15">
      <c r="K143" s="214"/>
    </row>
    <row r="144" spans="11:11" x14ac:dyDescent="0.15">
      <c r="K144" s="214"/>
    </row>
    <row r="145" spans="11:11" x14ac:dyDescent="0.15">
      <c r="K145" s="214"/>
    </row>
    <row r="146" spans="11:11" x14ac:dyDescent="0.15">
      <c r="K146" s="214"/>
    </row>
    <row r="147" spans="11:11" x14ac:dyDescent="0.15">
      <c r="K147" s="214"/>
    </row>
    <row r="148" spans="11:11" x14ac:dyDescent="0.15">
      <c r="K148" s="214"/>
    </row>
    <row r="149" spans="11:11" x14ac:dyDescent="0.15">
      <c r="K149" s="214"/>
    </row>
    <row r="150" spans="11:11" x14ac:dyDescent="0.15">
      <c r="K150" s="214"/>
    </row>
    <row r="151" spans="11:11" x14ac:dyDescent="0.15">
      <c r="K151" s="214"/>
    </row>
    <row r="152" spans="11:11" x14ac:dyDescent="0.15">
      <c r="K152" s="214"/>
    </row>
    <row r="153" spans="11:11" x14ac:dyDescent="0.15">
      <c r="K153" s="214"/>
    </row>
    <row r="154" spans="11:11" x14ac:dyDescent="0.15">
      <c r="K154" s="214"/>
    </row>
    <row r="155" spans="11:11" x14ac:dyDescent="0.15">
      <c r="K155" s="214"/>
    </row>
    <row r="156" spans="11:11" x14ac:dyDescent="0.15">
      <c r="K156" s="214"/>
    </row>
    <row r="157" spans="11:11" x14ac:dyDescent="0.15">
      <c r="K157" s="214"/>
    </row>
    <row r="158" spans="11:11" x14ac:dyDescent="0.15">
      <c r="K158" s="214"/>
    </row>
    <row r="159" spans="11:11" x14ac:dyDescent="0.15">
      <c r="K159" s="214"/>
    </row>
    <row r="160" spans="11:11" x14ac:dyDescent="0.15">
      <c r="K160" s="214"/>
    </row>
    <row r="161" spans="11:11" x14ac:dyDescent="0.15">
      <c r="K161" s="214"/>
    </row>
    <row r="162" spans="11:11" x14ac:dyDescent="0.15">
      <c r="K162" s="214"/>
    </row>
    <row r="163" spans="11:11" x14ac:dyDescent="0.15">
      <c r="K163" s="214"/>
    </row>
    <row r="164" spans="11:11" x14ac:dyDescent="0.15">
      <c r="K164" s="214"/>
    </row>
    <row r="165" spans="11:11" x14ac:dyDescent="0.15">
      <c r="K165" s="214"/>
    </row>
    <row r="166" spans="11:11" x14ac:dyDescent="0.15">
      <c r="K166" s="214"/>
    </row>
    <row r="167" spans="11:11" x14ac:dyDescent="0.15">
      <c r="K167" s="214"/>
    </row>
    <row r="168" spans="11:11" x14ac:dyDescent="0.15">
      <c r="K168" s="214"/>
    </row>
    <row r="169" spans="11:11" x14ac:dyDescent="0.15">
      <c r="K169" s="214"/>
    </row>
    <row r="170" spans="11:11" x14ac:dyDescent="0.15">
      <c r="K170" s="214"/>
    </row>
    <row r="171" spans="11:11" x14ac:dyDescent="0.15">
      <c r="K171" s="214"/>
    </row>
    <row r="172" spans="11:11" x14ac:dyDescent="0.15">
      <c r="K172" s="214"/>
    </row>
    <row r="173" spans="11:11" x14ac:dyDescent="0.15">
      <c r="K173" s="214"/>
    </row>
    <row r="174" spans="11:11" x14ac:dyDescent="0.15">
      <c r="K174" s="214"/>
    </row>
    <row r="175" spans="11:11" x14ac:dyDescent="0.15">
      <c r="K175" s="214"/>
    </row>
    <row r="176" spans="11:11" x14ac:dyDescent="0.15">
      <c r="K176" s="214"/>
    </row>
    <row r="177" spans="11:11" x14ac:dyDescent="0.15">
      <c r="K177" s="214"/>
    </row>
    <row r="178" spans="11:11" x14ac:dyDescent="0.15">
      <c r="K178" s="214"/>
    </row>
    <row r="179" spans="11:11" x14ac:dyDescent="0.15">
      <c r="K179" s="214"/>
    </row>
    <row r="180" spans="11:11" x14ac:dyDescent="0.15">
      <c r="K180" s="214"/>
    </row>
    <row r="181" spans="11:11" x14ac:dyDescent="0.15">
      <c r="K181" s="214"/>
    </row>
    <row r="182" spans="11:11" x14ac:dyDescent="0.15">
      <c r="K182" s="214"/>
    </row>
    <row r="183" spans="11:11" x14ac:dyDescent="0.15">
      <c r="K183" s="214"/>
    </row>
    <row r="184" spans="11:11" x14ac:dyDescent="0.15">
      <c r="K184" s="214"/>
    </row>
    <row r="185" spans="11:11" x14ac:dyDescent="0.15">
      <c r="K185" s="214"/>
    </row>
    <row r="186" spans="11:11" x14ac:dyDescent="0.15">
      <c r="K186" s="214"/>
    </row>
    <row r="187" spans="11:11" x14ac:dyDescent="0.15">
      <c r="K187" s="214"/>
    </row>
    <row r="188" spans="11:11" x14ac:dyDescent="0.15">
      <c r="K188" s="214"/>
    </row>
    <row r="189" spans="11:11" x14ac:dyDescent="0.15">
      <c r="K189" s="214"/>
    </row>
    <row r="190" spans="11:11" x14ac:dyDescent="0.15">
      <c r="K190" s="214"/>
    </row>
    <row r="191" spans="11:11" x14ac:dyDescent="0.15">
      <c r="K191" s="214"/>
    </row>
    <row r="192" spans="11:11" x14ac:dyDescent="0.15">
      <c r="K192" s="214"/>
    </row>
    <row r="193" spans="11:11" x14ac:dyDescent="0.15">
      <c r="K193" s="214"/>
    </row>
    <row r="194" spans="11:11" x14ac:dyDescent="0.15">
      <c r="K194" s="214"/>
    </row>
    <row r="195" spans="11:11" x14ac:dyDescent="0.15">
      <c r="K195" s="214"/>
    </row>
    <row r="196" spans="11:11" x14ac:dyDescent="0.15">
      <c r="K196" s="214"/>
    </row>
    <row r="197" spans="11:11" x14ac:dyDescent="0.15">
      <c r="K197" s="214"/>
    </row>
    <row r="198" spans="11:11" x14ac:dyDescent="0.15">
      <c r="K198" s="214"/>
    </row>
    <row r="199" spans="11:11" x14ac:dyDescent="0.15">
      <c r="K199" s="214"/>
    </row>
    <row r="200" spans="11:11" x14ac:dyDescent="0.15">
      <c r="K200" s="214"/>
    </row>
    <row r="201" spans="11:11" x14ac:dyDescent="0.15">
      <c r="K201" s="214"/>
    </row>
    <row r="202" spans="11:11" x14ac:dyDescent="0.15">
      <c r="K202" s="214"/>
    </row>
    <row r="203" spans="11:11" x14ac:dyDescent="0.15">
      <c r="K203" s="214"/>
    </row>
    <row r="204" spans="11:11" x14ac:dyDescent="0.15">
      <c r="K204" s="214"/>
    </row>
    <row r="205" spans="11:11" x14ac:dyDescent="0.15">
      <c r="K205" s="214"/>
    </row>
    <row r="206" spans="11:11" x14ac:dyDescent="0.15">
      <c r="K206" s="214"/>
    </row>
    <row r="207" spans="11:11" x14ac:dyDescent="0.15">
      <c r="K207" s="214"/>
    </row>
    <row r="208" spans="11:11" x14ac:dyDescent="0.15">
      <c r="K208" s="214"/>
    </row>
    <row r="209" spans="11:11" x14ac:dyDescent="0.15">
      <c r="K209" s="214"/>
    </row>
    <row r="210" spans="11:11" x14ac:dyDescent="0.15">
      <c r="K210" s="214"/>
    </row>
    <row r="211" spans="11:11" x14ac:dyDescent="0.15">
      <c r="K211" s="214"/>
    </row>
    <row r="212" spans="11:11" x14ac:dyDescent="0.15">
      <c r="K212" s="214"/>
    </row>
    <row r="213" spans="11:11" x14ac:dyDescent="0.15">
      <c r="K213" s="214"/>
    </row>
    <row r="214" spans="11:11" x14ac:dyDescent="0.15">
      <c r="K214" s="214"/>
    </row>
    <row r="215" spans="11:11" x14ac:dyDescent="0.15">
      <c r="K215" s="214"/>
    </row>
    <row r="216" spans="11:11" x14ac:dyDescent="0.15">
      <c r="K216" s="214"/>
    </row>
    <row r="217" spans="11:11" x14ac:dyDescent="0.15">
      <c r="K217" s="214"/>
    </row>
    <row r="218" spans="11:11" x14ac:dyDescent="0.15">
      <c r="K218" s="214"/>
    </row>
    <row r="219" spans="11:11" x14ac:dyDescent="0.15">
      <c r="K219" s="214"/>
    </row>
    <row r="220" spans="11:11" x14ac:dyDescent="0.15">
      <c r="K220" s="214"/>
    </row>
    <row r="221" spans="11:11" x14ac:dyDescent="0.15">
      <c r="K221" s="214"/>
    </row>
    <row r="222" spans="11:11" x14ac:dyDescent="0.15">
      <c r="K222" s="214"/>
    </row>
    <row r="223" spans="11:11" x14ac:dyDescent="0.15">
      <c r="K223" s="214"/>
    </row>
    <row r="224" spans="11:11" x14ac:dyDescent="0.15">
      <c r="K224" s="214"/>
    </row>
    <row r="225" spans="11:11" x14ac:dyDescent="0.15">
      <c r="K225" s="214"/>
    </row>
    <row r="226" spans="11:11" x14ac:dyDescent="0.15">
      <c r="K226" s="214"/>
    </row>
    <row r="227" spans="11:11" x14ac:dyDescent="0.15">
      <c r="K227" s="214"/>
    </row>
    <row r="228" spans="11:11" x14ac:dyDescent="0.15">
      <c r="K228" s="214"/>
    </row>
    <row r="229" spans="11:11" x14ac:dyDescent="0.15">
      <c r="K229" s="214"/>
    </row>
    <row r="230" spans="11:11" x14ac:dyDescent="0.15">
      <c r="K230" s="214"/>
    </row>
    <row r="231" spans="11:11" x14ac:dyDescent="0.15">
      <c r="K231" s="214"/>
    </row>
    <row r="232" spans="11:11" x14ac:dyDescent="0.15">
      <c r="K232" s="214"/>
    </row>
    <row r="233" spans="11:11" x14ac:dyDescent="0.15">
      <c r="K233" s="214"/>
    </row>
    <row r="234" spans="11:11" x14ac:dyDescent="0.15">
      <c r="K234" s="214"/>
    </row>
    <row r="235" spans="11:11" x14ac:dyDescent="0.15">
      <c r="K235" s="214"/>
    </row>
    <row r="236" spans="11:11" x14ac:dyDescent="0.15">
      <c r="K236" s="214"/>
    </row>
    <row r="237" spans="11:11" x14ac:dyDescent="0.15">
      <c r="K237" s="214"/>
    </row>
    <row r="238" spans="11:11" x14ac:dyDescent="0.15">
      <c r="K238" s="214"/>
    </row>
    <row r="239" spans="11:11" x14ac:dyDescent="0.15">
      <c r="K239" s="214"/>
    </row>
    <row r="240" spans="11:11" x14ac:dyDescent="0.15">
      <c r="K240" s="214"/>
    </row>
    <row r="241" spans="11:11" x14ac:dyDescent="0.15">
      <c r="K241" s="214"/>
    </row>
    <row r="242" spans="11:11" x14ac:dyDescent="0.15">
      <c r="K242" s="214"/>
    </row>
    <row r="243" spans="11:11" x14ac:dyDescent="0.15">
      <c r="K243" s="214"/>
    </row>
    <row r="244" spans="11:11" x14ac:dyDescent="0.15">
      <c r="K244" s="214"/>
    </row>
    <row r="245" spans="11:11" x14ac:dyDescent="0.15">
      <c r="K245" s="214"/>
    </row>
    <row r="246" spans="11:11" x14ac:dyDescent="0.15">
      <c r="K246" s="214"/>
    </row>
    <row r="247" spans="11:11" x14ac:dyDescent="0.15">
      <c r="K247" s="214"/>
    </row>
    <row r="248" spans="11:11" x14ac:dyDescent="0.15">
      <c r="K248" s="214"/>
    </row>
    <row r="249" spans="11:11" x14ac:dyDescent="0.15">
      <c r="K249" s="214"/>
    </row>
    <row r="250" spans="11:11" x14ac:dyDescent="0.15">
      <c r="K250" s="214"/>
    </row>
    <row r="251" spans="11:11" x14ac:dyDescent="0.15">
      <c r="K251" s="214"/>
    </row>
    <row r="252" spans="11:11" x14ac:dyDescent="0.15">
      <c r="K252" s="214"/>
    </row>
    <row r="253" spans="11:11" x14ac:dyDescent="0.15">
      <c r="K253" s="214"/>
    </row>
    <row r="254" spans="11:11" x14ac:dyDescent="0.15">
      <c r="K254" s="214"/>
    </row>
    <row r="255" spans="11:11" x14ac:dyDescent="0.15">
      <c r="K255" s="214"/>
    </row>
    <row r="256" spans="11:11" x14ac:dyDescent="0.15">
      <c r="K256" s="214"/>
    </row>
    <row r="257" spans="11:11" x14ac:dyDescent="0.15">
      <c r="K257" s="214"/>
    </row>
    <row r="258" spans="11:11" x14ac:dyDescent="0.15">
      <c r="K258" s="214"/>
    </row>
    <row r="259" spans="11:11" x14ac:dyDescent="0.15">
      <c r="K259" s="214"/>
    </row>
    <row r="260" spans="11:11" x14ac:dyDescent="0.15">
      <c r="K260" s="214"/>
    </row>
    <row r="261" spans="11:11" x14ac:dyDescent="0.15">
      <c r="K261" s="214"/>
    </row>
    <row r="262" spans="11:11" x14ac:dyDescent="0.15">
      <c r="K262" s="214"/>
    </row>
    <row r="263" spans="11:11" x14ac:dyDescent="0.15">
      <c r="K263" s="214"/>
    </row>
    <row r="264" spans="11:11" x14ac:dyDescent="0.15">
      <c r="K264" s="214"/>
    </row>
    <row r="265" spans="11:11" x14ac:dyDescent="0.15">
      <c r="K265" s="214"/>
    </row>
    <row r="266" spans="11:11" x14ac:dyDescent="0.15">
      <c r="K266" s="214"/>
    </row>
    <row r="267" spans="11:11" x14ac:dyDescent="0.15">
      <c r="K267" s="214"/>
    </row>
    <row r="268" spans="11:11" x14ac:dyDescent="0.15">
      <c r="K268" s="214"/>
    </row>
    <row r="269" spans="11:11" x14ac:dyDescent="0.15">
      <c r="K269" s="214"/>
    </row>
    <row r="270" spans="11:11" x14ac:dyDescent="0.15">
      <c r="K270" s="214"/>
    </row>
    <row r="271" spans="11:11" x14ac:dyDescent="0.15">
      <c r="K271" s="214"/>
    </row>
    <row r="272" spans="11:11" x14ac:dyDescent="0.15">
      <c r="K272" s="214"/>
    </row>
    <row r="273" spans="11:11" x14ac:dyDescent="0.15">
      <c r="K273" s="214"/>
    </row>
    <row r="274" spans="11:11" x14ac:dyDescent="0.15">
      <c r="K274" s="214"/>
    </row>
    <row r="275" spans="11:11" x14ac:dyDescent="0.15">
      <c r="K275" s="214"/>
    </row>
    <row r="276" spans="11:11" x14ac:dyDescent="0.15">
      <c r="K276" s="214"/>
    </row>
    <row r="277" spans="11:11" x14ac:dyDescent="0.15">
      <c r="K277" s="214"/>
    </row>
    <row r="278" spans="11:11" x14ac:dyDescent="0.15">
      <c r="K278" s="214"/>
    </row>
    <row r="279" spans="11:11" x14ac:dyDescent="0.15">
      <c r="K279" s="214"/>
    </row>
    <row r="280" spans="11:11" x14ac:dyDescent="0.15">
      <c r="K280" s="214"/>
    </row>
    <row r="281" spans="11:11" x14ac:dyDescent="0.15">
      <c r="K281" s="214"/>
    </row>
    <row r="282" spans="11:11" x14ac:dyDescent="0.15">
      <c r="K282" s="214"/>
    </row>
    <row r="283" spans="11:11" x14ac:dyDescent="0.15">
      <c r="K283" s="214"/>
    </row>
    <row r="284" spans="11:11" x14ac:dyDescent="0.15">
      <c r="K284" s="214"/>
    </row>
    <row r="285" spans="11:11" x14ac:dyDescent="0.15">
      <c r="K285" s="214"/>
    </row>
    <row r="286" spans="11:11" x14ac:dyDescent="0.15">
      <c r="K286" s="214"/>
    </row>
    <row r="287" spans="11:11" x14ac:dyDescent="0.15">
      <c r="K287" s="214"/>
    </row>
    <row r="288" spans="11:11" x14ac:dyDescent="0.15">
      <c r="K288" s="214"/>
    </row>
    <row r="289" spans="11:11" x14ac:dyDescent="0.15">
      <c r="K289" s="214"/>
    </row>
    <row r="290" spans="11:11" x14ac:dyDescent="0.15">
      <c r="K290" s="214"/>
    </row>
    <row r="291" spans="11:11" x14ac:dyDescent="0.15">
      <c r="K291" s="214"/>
    </row>
    <row r="292" spans="11:11" x14ac:dyDescent="0.15">
      <c r="K292" s="214"/>
    </row>
    <row r="293" spans="11:11" x14ac:dyDescent="0.15">
      <c r="K293" s="214"/>
    </row>
    <row r="294" spans="11:11" x14ac:dyDescent="0.15">
      <c r="K294" s="214"/>
    </row>
    <row r="295" spans="11:11" x14ac:dyDescent="0.15">
      <c r="K295" s="214"/>
    </row>
    <row r="296" spans="11:11" x14ac:dyDescent="0.15">
      <c r="K296" s="214"/>
    </row>
    <row r="297" spans="11:11" x14ac:dyDescent="0.15">
      <c r="K297" s="214"/>
    </row>
    <row r="298" spans="11:11" x14ac:dyDescent="0.15">
      <c r="K298" s="214"/>
    </row>
    <row r="299" spans="11:11" x14ac:dyDescent="0.15">
      <c r="K299" s="214"/>
    </row>
    <row r="300" spans="11:11" x14ac:dyDescent="0.15">
      <c r="K300" s="214"/>
    </row>
    <row r="301" spans="11:11" x14ac:dyDescent="0.15">
      <c r="K301" s="214"/>
    </row>
    <row r="302" spans="11:11" x14ac:dyDescent="0.15">
      <c r="K302" s="214"/>
    </row>
    <row r="303" spans="11:11" x14ac:dyDescent="0.15">
      <c r="K303" s="214"/>
    </row>
    <row r="304" spans="11:11" x14ac:dyDescent="0.15">
      <c r="K304" s="214"/>
    </row>
    <row r="305" spans="11:11" x14ac:dyDescent="0.15">
      <c r="K305" s="214"/>
    </row>
    <row r="306" spans="11:11" x14ac:dyDescent="0.15">
      <c r="K306" s="214"/>
    </row>
    <row r="307" spans="11:11" x14ac:dyDescent="0.15">
      <c r="K307" s="214"/>
    </row>
    <row r="308" spans="11:11" x14ac:dyDescent="0.15">
      <c r="K308" s="214"/>
    </row>
    <row r="309" spans="11:11" x14ac:dyDescent="0.15">
      <c r="K309" s="214"/>
    </row>
    <row r="310" spans="11:11" x14ac:dyDescent="0.15">
      <c r="K310" s="214"/>
    </row>
    <row r="311" spans="11:11" x14ac:dyDescent="0.15">
      <c r="K311" s="214"/>
    </row>
    <row r="312" spans="11:11" x14ac:dyDescent="0.15">
      <c r="K312" s="214"/>
    </row>
    <row r="313" spans="11:11" x14ac:dyDescent="0.15">
      <c r="K313" s="214"/>
    </row>
    <row r="314" spans="11:11" x14ac:dyDescent="0.15">
      <c r="K314" s="214"/>
    </row>
    <row r="315" spans="11:11" x14ac:dyDescent="0.15">
      <c r="K315" s="214"/>
    </row>
    <row r="316" spans="11:11" x14ac:dyDescent="0.15">
      <c r="K316" s="214"/>
    </row>
    <row r="317" spans="11:11" x14ac:dyDescent="0.15">
      <c r="K317" s="214"/>
    </row>
    <row r="318" spans="11:11" x14ac:dyDescent="0.15">
      <c r="K318" s="214"/>
    </row>
    <row r="319" spans="11:11" x14ac:dyDescent="0.15">
      <c r="K319" s="214"/>
    </row>
    <row r="320" spans="11:11" x14ac:dyDescent="0.15">
      <c r="K320" s="214"/>
    </row>
    <row r="321" spans="11:11" x14ac:dyDescent="0.15">
      <c r="K321" s="214"/>
    </row>
    <row r="322" spans="11:11" x14ac:dyDescent="0.15">
      <c r="K322" s="214"/>
    </row>
    <row r="323" spans="11:11" x14ac:dyDescent="0.15">
      <c r="K323" s="214"/>
    </row>
    <row r="324" spans="11:11" x14ac:dyDescent="0.15">
      <c r="K324" s="214"/>
    </row>
    <row r="325" spans="11:11" x14ac:dyDescent="0.15">
      <c r="K325" s="214"/>
    </row>
    <row r="326" spans="11:11" x14ac:dyDescent="0.15">
      <c r="K326" s="214"/>
    </row>
    <row r="327" spans="11:11" x14ac:dyDescent="0.15">
      <c r="K327" s="214"/>
    </row>
    <row r="328" spans="11:11" x14ac:dyDescent="0.15">
      <c r="K328" s="214"/>
    </row>
    <row r="329" spans="11:11" x14ac:dyDescent="0.15">
      <c r="K329" s="214"/>
    </row>
    <row r="330" spans="11:11" x14ac:dyDescent="0.15">
      <c r="K330" s="214"/>
    </row>
    <row r="331" spans="11:11" x14ac:dyDescent="0.15">
      <c r="K331" s="214"/>
    </row>
    <row r="332" spans="11:11" x14ac:dyDescent="0.15">
      <c r="K332" s="214"/>
    </row>
    <row r="333" spans="11:11" x14ac:dyDescent="0.15">
      <c r="K333" s="214"/>
    </row>
    <row r="334" spans="11:11" x14ac:dyDescent="0.15">
      <c r="K334" s="214"/>
    </row>
    <row r="335" spans="11:11" x14ac:dyDescent="0.15">
      <c r="K335" s="214"/>
    </row>
    <row r="336" spans="11:11" x14ac:dyDescent="0.15">
      <c r="K336" s="214"/>
    </row>
    <row r="337" spans="11:11" x14ac:dyDescent="0.15">
      <c r="K337" s="214"/>
    </row>
    <row r="338" spans="11:11" x14ac:dyDescent="0.15">
      <c r="K338" s="214"/>
    </row>
    <row r="339" spans="11:11" x14ac:dyDescent="0.15">
      <c r="K339" s="214"/>
    </row>
    <row r="340" spans="11:11" x14ac:dyDescent="0.15">
      <c r="K340" s="214"/>
    </row>
    <row r="341" spans="11:11" x14ac:dyDescent="0.15">
      <c r="K341" s="214"/>
    </row>
    <row r="342" spans="11:11" x14ac:dyDescent="0.15">
      <c r="K342" s="214"/>
    </row>
    <row r="343" spans="11:11" x14ac:dyDescent="0.15">
      <c r="K343" s="214"/>
    </row>
    <row r="344" spans="11:11" x14ac:dyDescent="0.15">
      <c r="K344" s="214"/>
    </row>
    <row r="345" spans="11:11" x14ac:dyDescent="0.15">
      <c r="K345" s="214"/>
    </row>
    <row r="346" spans="11:11" x14ac:dyDescent="0.15">
      <c r="K346" s="214"/>
    </row>
    <row r="347" spans="11:11" x14ac:dyDescent="0.15">
      <c r="K347" s="214"/>
    </row>
    <row r="348" spans="11:11" x14ac:dyDescent="0.15">
      <c r="K348" s="214"/>
    </row>
    <row r="349" spans="11:11" x14ac:dyDescent="0.15">
      <c r="K349" s="214"/>
    </row>
    <row r="350" spans="11:11" x14ac:dyDescent="0.15">
      <c r="K350" s="214"/>
    </row>
    <row r="351" spans="11:11" x14ac:dyDescent="0.15">
      <c r="K351" s="214"/>
    </row>
    <row r="352" spans="11:11" x14ac:dyDescent="0.15">
      <c r="K352" s="214"/>
    </row>
    <row r="353" spans="11:11" x14ac:dyDescent="0.15">
      <c r="K353" s="214"/>
    </row>
    <row r="354" spans="11:11" x14ac:dyDescent="0.15">
      <c r="K354" s="214"/>
    </row>
    <row r="355" spans="11:11" x14ac:dyDescent="0.15">
      <c r="K355" s="214"/>
    </row>
    <row r="356" spans="11:11" x14ac:dyDescent="0.15">
      <c r="K356" s="214"/>
    </row>
    <row r="357" spans="11:11" x14ac:dyDescent="0.15">
      <c r="K357" s="214"/>
    </row>
    <row r="358" spans="11:11" x14ac:dyDescent="0.15">
      <c r="K358" s="214"/>
    </row>
    <row r="359" spans="11:11" x14ac:dyDescent="0.15">
      <c r="K359" s="214"/>
    </row>
    <row r="360" spans="11:11" x14ac:dyDescent="0.15">
      <c r="K360" s="214"/>
    </row>
    <row r="361" spans="11:11" x14ac:dyDescent="0.15">
      <c r="K361" s="214"/>
    </row>
    <row r="362" spans="11:11" x14ac:dyDescent="0.15">
      <c r="K362" s="214"/>
    </row>
    <row r="363" spans="11:11" x14ac:dyDescent="0.15">
      <c r="K363" s="214"/>
    </row>
    <row r="364" spans="11:11" x14ac:dyDescent="0.15">
      <c r="K364" s="214"/>
    </row>
    <row r="365" spans="11:11" x14ac:dyDescent="0.15">
      <c r="K365" s="214"/>
    </row>
    <row r="366" spans="11:11" x14ac:dyDescent="0.15">
      <c r="K366" s="214"/>
    </row>
    <row r="367" spans="11:11" x14ac:dyDescent="0.15">
      <c r="K367" s="214"/>
    </row>
    <row r="368" spans="11:11" x14ac:dyDescent="0.15">
      <c r="K368" s="214"/>
    </row>
    <row r="369" spans="11:11" x14ac:dyDescent="0.15">
      <c r="K369" s="214"/>
    </row>
    <row r="370" spans="11:11" x14ac:dyDescent="0.15">
      <c r="K370" s="214"/>
    </row>
    <row r="371" spans="11:11" x14ac:dyDescent="0.15">
      <c r="K371" s="214"/>
    </row>
    <row r="372" spans="11:11" x14ac:dyDescent="0.15">
      <c r="K372" s="214"/>
    </row>
    <row r="373" spans="11:11" x14ac:dyDescent="0.15">
      <c r="K373" s="214"/>
    </row>
    <row r="374" spans="11:11" x14ac:dyDescent="0.15">
      <c r="K374" s="214"/>
    </row>
    <row r="375" spans="11:11" x14ac:dyDescent="0.15">
      <c r="K375" s="214"/>
    </row>
    <row r="376" spans="11:11" x14ac:dyDescent="0.15">
      <c r="K376" s="214"/>
    </row>
    <row r="377" spans="11:11" x14ac:dyDescent="0.15">
      <c r="K377" s="214"/>
    </row>
    <row r="378" spans="11:11" x14ac:dyDescent="0.15">
      <c r="K378" s="214"/>
    </row>
    <row r="379" spans="11:11" x14ac:dyDescent="0.15">
      <c r="K379" s="214"/>
    </row>
    <row r="380" spans="11:11" x14ac:dyDescent="0.15">
      <c r="K380" s="214"/>
    </row>
    <row r="381" spans="11:11" x14ac:dyDescent="0.15">
      <c r="K381" s="214"/>
    </row>
    <row r="382" spans="11:11" x14ac:dyDescent="0.15">
      <c r="K382" s="214"/>
    </row>
    <row r="383" spans="11:11" x14ac:dyDescent="0.15">
      <c r="K383" s="214"/>
    </row>
    <row r="384" spans="11:11" x14ac:dyDescent="0.15">
      <c r="K384" s="214"/>
    </row>
    <row r="385" spans="11:11" x14ac:dyDescent="0.15">
      <c r="K385" s="214"/>
    </row>
    <row r="386" spans="11:11" x14ac:dyDescent="0.15">
      <c r="K386" s="214"/>
    </row>
    <row r="387" spans="11:11" x14ac:dyDescent="0.15">
      <c r="K387" s="214"/>
    </row>
    <row r="388" spans="11:11" x14ac:dyDescent="0.15">
      <c r="K388" s="214"/>
    </row>
    <row r="389" spans="11:11" x14ac:dyDescent="0.15">
      <c r="K389" s="214"/>
    </row>
    <row r="390" spans="11:11" x14ac:dyDescent="0.15">
      <c r="K390" s="214"/>
    </row>
    <row r="391" spans="11:11" x14ac:dyDescent="0.15">
      <c r="K391" s="214"/>
    </row>
    <row r="392" spans="11:11" x14ac:dyDescent="0.15">
      <c r="K392" s="214"/>
    </row>
    <row r="393" spans="11:11" x14ac:dyDescent="0.15">
      <c r="K393" s="214"/>
    </row>
    <row r="394" spans="11:11" x14ac:dyDescent="0.15">
      <c r="K394" s="214"/>
    </row>
    <row r="395" spans="11:11" x14ac:dyDescent="0.15">
      <c r="K395" s="214"/>
    </row>
    <row r="396" spans="11:11" x14ac:dyDescent="0.15">
      <c r="K396" s="214"/>
    </row>
    <row r="397" spans="11:11" x14ac:dyDescent="0.15">
      <c r="K397" s="214"/>
    </row>
    <row r="398" spans="11:11" x14ac:dyDescent="0.15">
      <c r="K398" s="214"/>
    </row>
    <row r="399" spans="11:11" x14ac:dyDescent="0.15">
      <c r="K399" s="214"/>
    </row>
    <row r="400" spans="11:11" x14ac:dyDescent="0.15">
      <c r="K400" s="214"/>
    </row>
    <row r="401" spans="11:11" x14ac:dyDescent="0.15">
      <c r="K401" s="214"/>
    </row>
    <row r="402" spans="11:11" x14ac:dyDescent="0.15">
      <c r="K402" s="214"/>
    </row>
    <row r="403" spans="11:11" x14ac:dyDescent="0.15">
      <c r="K403" s="214"/>
    </row>
    <row r="404" spans="11:11" x14ac:dyDescent="0.15">
      <c r="K404" s="214"/>
    </row>
    <row r="405" spans="11:11" x14ac:dyDescent="0.15">
      <c r="K405" s="214"/>
    </row>
    <row r="406" spans="11:11" x14ac:dyDescent="0.15">
      <c r="K406" s="214"/>
    </row>
    <row r="407" spans="11:11" x14ac:dyDescent="0.15">
      <c r="K407" s="214"/>
    </row>
    <row r="408" spans="11:11" x14ac:dyDescent="0.15">
      <c r="K408" s="214"/>
    </row>
    <row r="409" spans="11:11" x14ac:dyDescent="0.15">
      <c r="K409" s="214"/>
    </row>
    <row r="410" spans="11:11" x14ac:dyDescent="0.15">
      <c r="K410" s="214"/>
    </row>
    <row r="411" spans="11:11" x14ac:dyDescent="0.15">
      <c r="K411" s="214"/>
    </row>
    <row r="412" spans="11:11" x14ac:dyDescent="0.15">
      <c r="K412" s="214"/>
    </row>
    <row r="413" spans="11:11" x14ac:dyDescent="0.15">
      <c r="K413" s="214"/>
    </row>
    <row r="414" spans="11:11" x14ac:dyDescent="0.15">
      <c r="K414" s="214"/>
    </row>
    <row r="415" spans="11:11" x14ac:dyDescent="0.15">
      <c r="K415" s="214"/>
    </row>
    <row r="416" spans="11:11" x14ac:dyDescent="0.15">
      <c r="K416" s="214"/>
    </row>
    <row r="417" spans="11:11" x14ac:dyDescent="0.15">
      <c r="K417" s="214"/>
    </row>
    <row r="418" spans="11:11" x14ac:dyDescent="0.15">
      <c r="K418" s="214"/>
    </row>
    <row r="419" spans="11:11" x14ac:dyDescent="0.15">
      <c r="K419" s="214"/>
    </row>
    <row r="420" spans="11:11" x14ac:dyDescent="0.15">
      <c r="K420" s="214"/>
    </row>
    <row r="421" spans="11:11" x14ac:dyDescent="0.15">
      <c r="K421" s="214"/>
    </row>
    <row r="422" spans="11:11" x14ac:dyDescent="0.15">
      <c r="K422" s="214"/>
    </row>
    <row r="423" spans="11:11" x14ac:dyDescent="0.15">
      <c r="K423" s="214"/>
    </row>
    <row r="424" spans="11:11" x14ac:dyDescent="0.15">
      <c r="K424" s="214"/>
    </row>
    <row r="425" spans="11:11" x14ac:dyDescent="0.15">
      <c r="K425" s="214"/>
    </row>
    <row r="426" spans="11:11" x14ac:dyDescent="0.15">
      <c r="K426" s="214"/>
    </row>
    <row r="427" spans="11:11" x14ac:dyDescent="0.15">
      <c r="K427" s="214"/>
    </row>
    <row r="428" spans="11:11" x14ac:dyDescent="0.15">
      <c r="K428" s="214"/>
    </row>
    <row r="429" spans="11:11" x14ac:dyDescent="0.15">
      <c r="K429" s="214"/>
    </row>
    <row r="430" spans="11:11" x14ac:dyDescent="0.15">
      <c r="K430" s="214"/>
    </row>
    <row r="431" spans="11:11" x14ac:dyDescent="0.15">
      <c r="K431" s="214"/>
    </row>
    <row r="432" spans="11:11" x14ac:dyDescent="0.15">
      <c r="K432" s="214"/>
    </row>
    <row r="433" spans="11:11" x14ac:dyDescent="0.15">
      <c r="K433" s="214"/>
    </row>
    <row r="434" spans="11:11" x14ac:dyDescent="0.15">
      <c r="K434" s="214"/>
    </row>
    <row r="435" spans="11:11" x14ac:dyDescent="0.15">
      <c r="K435" s="214"/>
    </row>
    <row r="436" spans="11:11" x14ac:dyDescent="0.15">
      <c r="K436" s="214"/>
    </row>
    <row r="437" spans="11:11" x14ac:dyDescent="0.15">
      <c r="K437" s="214"/>
    </row>
    <row r="438" spans="11:11" x14ac:dyDescent="0.15">
      <c r="K438" s="214"/>
    </row>
    <row r="439" spans="11:11" x14ac:dyDescent="0.15">
      <c r="K439" s="214"/>
    </row>
    <row r="440" spans="11:11" x14ac:dyDescent="0.15">
      <c r="K440" s="214"/>
    </row>
    <row r="441" spans="11:11" x14ac:dyDescent="0.15">
      <c r="K441" s="214"/>
    </row>
    <row r="442" spans="11:11" x14ac:dyDescent="0.15">
      <c r="K442" s="214"/>
    </row>
    <row r="443" spans="11:11" x14ac:dyDescent="0.15">
      <c r="K443" s="214"/>
    </row>
    <row r="444" spans="11:11" x14ac:dyDescent="0.15">
      <c r="K444" s="214"/>
    </row>
    <row r="445" spans="11:11" x14ac:dyDescent="0.15">
      <c r="K445" s="214"/>
    </row>
    <row r="446" spans="11:11" x14ac:dyDescent="0.15">
      <c r="K446" s="214"/>
    </row>
    <row r="447" spans="11:11" x14ac:dyDescent="0.15">
      <c r="K447" s="214"/>
    </row>
    <row r="448" spans="11:11" x14ac:dyDescent="0.15">
      <c r="K448" s="214"/>
    </row>
    <row r="449" spans="11:11" x14ac:dyDescent="0.15">
      <c r="K449" s="214"/>
    </row>
    <row r="450" spans="11:11" x14ac:dyDescent="0.15">
      <c r="K450" s="214"/>
    </row>
    <row r="451" spans="11:11" x14ac:dyDescent="0.15">
      <c r="K451" s="214"/>
    </row>
    <row r="452" spans="11:11" x14ac:dyDescent="0.15">
      <c r="K452" s="214"/>
    </row>
    <row r="453" spans="11:11" x14ac:dyDescent="0.15">
      <c r="K453" s="214"/>
    </row>
    <row r="454" spans="11:11" x14ac:dyDescent="0.15">
      <c r="K454" s="214"/>
    </row>
    <row r="455" spans="11:11" x14ac:dyDescent="0.15">
      <c r="K455" s="214"/>
    </row>
    <row r="456" spans="11:11" x14ac:dyDescent="0.15">
      <c r="K456" s="214"/>
    </row>
    <row r="457" spans="11:11" x14ac:dyDescent="0.15">
      <c r="K457" s="214"/>
    </row>
    <row r="458" spans="11:11" x14ac:dyDescent="0.15">
      <c r="K458" s="214"/>
    </row>
    <row r="459" spans="11:11" x14ac:dyDescent="0.15">
      <c r="K459" s="214"/>
    </row>
    <row r="460" spans="11:11" x14ac:dyDescent="0.15">
      <c r="K460" s="214"/>
    </row>
    <row r="461" spans="11:11" x14ac:dyDescent="0.15">
      <c r="K461" s="214"/>
    </row>
    <row r="462" spans="11:11" x14ac:dyDescent="0.15">
      <c r="K462" s="214"/>
    </row>
    <row r="463" spans="11:11" x14ac:dyDescent="0.15">
      <c r="K463" s="214"/>
    </row>
    <row r="464" spans="11:11" x14ac:dyDescent="0.15">
      <c r="K464" s="214"/>
    </row>
    <row r="465" spans="11:11" x14ac:dyDescent="0.15">
      <c r="K465" s="214"/>
    </row>
    <row r="466" spans="11:11" x14ac:dyDescent="0.15">
      <c r="K466" s="214"/>
    </row>
    <row r="467" spans="11:11" x14ac:dyDescent="0.15">
      <c r="K467" s="214"/>
    </row>
    <row r="468" spans="11:11" x14ac:dyDescent="0.15">
      <c r="K468" s="214"/>
    </row>
    <row r="469" spans="11:11" x14ac:dyDescent="0.15">
      <c r="K469" s="214"/>
    </row>
    <row r="470" spans="11:11" x14ac:dyDescent="0.15">
      <c r="K470" s="214"/>
    </row>
    <row r="471" spans="11:11" x14ac:dyDescent="0.15">
      <c r="K471" s="214"/>
    </row>
    <row r="472" spans="11:11" x14ac:dyDescent="0.15">
      <c r="K472" s="214"/>
    </row>
    <row r="473" spans="11:11" x14ac:dyDescent="0.15">
      <c r="K473" s="214"/>
    </row>
    <row r="474" spans="11:11" x14ac:dyDescent="0.15">
      <c r="K474" s="214"/>
    </row>
    <row r="475" spans="11:11" x14ac:dyDescent="0.15">
      <c r="K475" s="214"/>
    </row>
    <row r="476" spans="11:11" x14ac:dyDescent="0.15">
      <c r="K476" s="214"/>
    </row>
    <row r="477" spans="11:11" x14ac:dyDescent="0.15">
      <c r="K477" s="214"/>
    </row>
    <row r="478" spans="11:11" x14ac:dyDescent="0.15">
      <c r="K478" s="214"/>
    </row>
    <row r="479" spans="11:11" x14ac:dyDescent="0.15">
      <c r="K479" s="214"/>
    </row>
    <row r="480" spans="11:11" x14ac:dyDescent="0.15">
      <c r="K480" s="214"/>
    </row>
    <row r="481" spans="11:11" x14ac:dyDescent="0.15">
      <c r="K481" s="214"/>
    </row>
    <row r="482" spans="11:11" x14ac:dyDescent="0.15">
      <c r="K482" s="214"/>
    </row>
    <row r="483" spans="11:11" x14ac:dyDescent="0.15">
      <c r="K483" s="214"/>
    </row>
    <row r="484" spans="11:11" x14ac:dyDescent="0.15">
      <c r="K484" s="214"/>
    </row>
    <row r="485" spans="11:11" x14ac:dyDescent="0.15">
      <c r="K485" s="214"/>
    </row>
    <row r="486" spans="11:11" x14ac:dyDescent="0.15">
      <c r="K486" s="214"/>
    </row>
    <row r="487" spans="11:11" x14ac:dyDescent="0.15">
      <c r="K487" s="214"/>
    </row>
    <row r="488" spans="11:11" x14ac:dyDescent="0.15">
      <c r="K488" s="214"/>
    </row>
    <row r="489" spans="11:11" x14ac:dyDescent="0.15">
      <c r="K489" s="214"/>
    </row>
    <row r="490" spans="11:11" x14ac:dyDescent="0.15">
      <c r="K490" s="214"/>
    </row>
    <row r="491" spans="11:11" x14ac:dyDescent="0.15">
      <c r="K491" s="214"/>
    </row>
    <row r="492" spans="11:11" x14ac:dyDescent="0.15">
      <c r="K492" s="214"/>
    </row>
    <row r="493" spans="11:11" x14ac:dyDescent="0.15">
      <c r="K493" s="214"/>
    </row>
    <row r="494" spans="11:11" x14ac:dyDescent="0.15">
      <c r="K494" s="214"/>
    </row>
    <row r="495" spans="11:11" x14ac:dyDescent="0.15">
      <c r="K495" s="214"/>
    </row>
    <row r="496" spans="11:11" x14ac:dyDescent="0.15">
      <c r="K496" s="214"/>
    </row>
    <row r="497" spans="11:11" x14ac:dyDescent="0.15">
      <c r="K497" s="214"/>
    </row>
    <row r="498" spans="11:11" x14ac:dyDescent="0.15">
      <c r="K498" s="214"/>
    </row>
    <row r="499" spans="11:11" x14ac:dyDescent="0.15">
      <c r="K499" s="214"/>
    </row>
    <row r="500" spans="11:11" x14ac:dyDescent="0.15">
      <c r="K500" s="214"/>
    </row>
    <row r="501" spans="11:11" x14ac:dyDescent="0.15">
      <c r="K501" s="214"/>
    </row>
    <row r="502" spans="11:11" x14ac:dyDescent="0.15">
      <c r="K502" s="214"/>
    </row>
    <row r="503" spans="11:11" x14ac:dyDescent="0.15">
      <c r="K503" s="214"/>
    </row>
    <row r="504" spans="11:11" x14ac:dyDescent="0.15">
      <c r="K504" s="214"/>
    </row>
    <row r="505" spans="11:11" x14ac:dyDescent="0.15">
      <c r="K505" s="214"/>
    </row>
    <row r="506" spans="11:11" x14ac:dyDescent="0.15">
      <c r="K506" s="214"/>
    </row>
    <row r="507" spans="11:11" x14ac:dyDescent="0.15">
      <c r="K507" s="214"/>
    </row>
    <row r="508" spans="11:11" x14ac:dyDescent="0.15">
      <c r="K508" s="214"/>
    </row>
    <row r="509" spans="11:11" x14ac:dyDescent="0.15">
      <c r="K509" s="214"/>
    </row>
    <row r="510" spans="11:11" x14ac:dyDescent="0.15">
      <c r="K510" s="214"/>
    </row>
    <row r="511" spans="11:11" x14ac:dyDescent="0.15">
      <c r="K511" s="214"/>
    </row>
    <row r="512" spans="11:11" x14ac:dyDescent="0.15">
      <c r="K512" s="214"/>
    </row>
    <row r="513" spans="11:11" x14ac:dyDescent="0.15">
      <c r="K513" s="214"/>
    </row>
    <row r="514" spans="11:11" x14ac:dyDescent="0.15">
      <c r="K514" s="214"/>
    </row>
    <row r="515" spans="11:11" x14ac:dyDescent="0.15">
      <c r="K515" s="214"/>
    </row>
    <row r="516" spans="11:11" x14ac:dyDescent="0.15">
      <c r="K516" s="214"/>
    </row>
    <row r="517" spans="11:11" x14ac:dyDescent="0.15">
      <c r="K517" s="214"/>
    </row>
    <row r="518" spans="11:11" x14ac:dyDescent="0.15">
      <c r="K518" s="214"/>
    </row>
    <row r="519" spans="11:11" x14ac:dyDescent="0.15">
      <c r="K519" s="214"/>
    </row>
    <row r="520" spans="11:11" x14ac:dyDescent="0.15">
      <c r="K520" s="214"/>
    </row>
    <row r="521" spans="11:11" x14ac:dyDescent="0.15">
      <c r="K521" s="214"/>
    </row>
    <row r="522" spans="11:11" x14ac:dyDescent="0.15">
      <c r="K522" s="214"/>
    </row>
    <row r="523" spans="11:11" x14ac:dyDescent="0.15">
      <c r="K523" s="214"/>
    </row>
    <row r="524" spans="11:11" x14ac:dyDescent="0.15">
      <c r="K524" s="214"/>
    </row>
    <row r="525" spans="11:11" x14ac:dyDescent="0.15">
      <c r="K525" s="214"/>
    </row>
    <row r="526" spans="11:11" x14ac:dyDescent="0.15">
      <c r="K526" s="214"/>
    </row>
    <row r="527" spans="11:11" x14ac:dyDescent="0.15">
      <c r="K527" s="214"/>
    </row>
    <row r="528" spans="11:11" x14ac:dyDescent="0.15">
      <c r="K528" s="214"/>
    </row>
    <row r="529" spans="11:11" x14ac:dyDescent="0.15">
      <c r="K529" s="214"/>
    </row>
    <row r="530" spans="11:11" x14ac:dyDescent="0.15">
      <c r="K530" s="214"/>
    </row>
    <row r="531" spans="11:11" x14ac:dyDescent="0.15">
      <c r="K531" s="214"/>
    </row>
    <row r="532" spans="11:11" x14ac:dyDescent="0.15">
      <c r="K532" s="214"/>
    </row>
    <row r="533" spans="11:11" x14ac:dyDescent="0.15">
      <c r="K533" s="214"/>
    </row>
    <row r="534" spans="11:11" x14ac:dyDescent="0.15">
      <c r="K534" s="214"/>
    </row>
    <row r="535" spans="11:11" x14ac:dyDescent="0.15">
      <c r="K535" s="214"/>
    </row>
    <row r="536" spans="11:11" x14ac:dyDescent="0.15">
      <c r="K536" s="214"/>
    </row>
    <row r="537" spans="11:11" x14ac:dyDescent="0.15">
      <c r="K537" s="214"/>
    </row>
    <row r="538" spans="11:11" x14ac:dyDescent="0.15">
      <c r="K538" s="214"/>
    </row>
    <row r="539" spans="11:11" x14ac:dyDescent="0.15">
      <c r="K539" s="214"/>
    </row>
    <row r="540" spans="11:11" x14ac:dyDescent="0.15">
      <c r="K540" s="214"/>
    </row>
    <row r="541" spans="11:11" x14ac:dyDescent="0.15">
      <c r="K541" s="214"/>
    </row>
    <row r="542" spans="11:11" x14ac:dyDescent="0.15">
      <c r="K542" s="214"/>
    </row>
    <row r="543" spans="11:11" x14ac:dyDescent="0.15">
      <c r="K543" s="214"/>
    </row>
    <row r="544" spans="11:11" x14ac:dyDescent="0.15">
      <c r="K544" s="214"/>
    </row>
    <row r="545" spans="11:11" x14ac:dyDescent="0.15">
      <c r="K545" s="214"/>
    </row>
    <row r="546" spans="11:11" x14ac:dyDescent="0.15">
      <c r="K546" s="214"/>
    </row>
    <row r="547" spans="11:11" x14ac:dyDescent="0.15">
      <c r="K547" s="214"/>
    </row>
    <row r="548" spans="11:11" x14ac:dyDescent="0.15">
      <c r="K548" s="214"/>
    </row>
    <row r="549" spans="11:11" x14ac:dyDescent="0.15">
      <c r="K549" s="214"/>
    </row>
    <row r="550" spans="11:11" x14ac:dyDescent="0.15">
      <c r="K550" s="214"/>
    </row>
    <row r="551" spans="11:11" x14ac:dyDescent="0.15">
      <c r="K551" s="214"/>
    </row>
    <row r="552" spans="11:11" x14ac:dyDescent="0.15">
      <c r="K552" s="214"/>
    </row>
    <row r="553" spans="11:11" x14ac:dyDescent="0.15">
      <c r="K553" s="214"/>
    </row>
    <row r="554" spans="11:11" x14ac:dyDescent="0.15">
      <c r="K554" s="214"/>
    </row>
    <row r="555" spans="11:11" x14ac:dyDescent="0.15">
      <c r="K555" s="214"/>
    </row>
    <row r="556" spans="11:11" x14ac:dyDescent="0.15">
      <c r="K556" s="214"/>
    </row>
    <row r="557" spans="11:11" x14ac:dyDescent="0.15">
      <c r="K557" s="214"/>
    </row>
    <row r="558" spans="11:11" x14ac:dyDescent="0.15">
      <c r="K558" s="214"/>
    </row>
    <row r="559" spans="11:11" x14ac:dyDescent="0.15">
      <c r="K559" s="214"/>
    </row>
    <row r="560" spans="11:11" x14ac:dyDescent="0.15">
      <c r="K560" s="214"/>
    </row>
    <row r="561" spans="11:11" x14ac:dyDescent="0.15">
      <c r="K561" s="214"/>
    </row>
    <row r="562" spans="11:11" x14ac:dyDescent="0.15">
      <c r="K562" s="214"/>
    </row>
    <row r="563" spans="11:11" x14ac:dyDescent="0.15">
      <c r="K563" s="214"/>
    </row>
    <row r="564" spans="11:11" x14ac:dyDescent="0.15">
      <c r="K564" s="214"/>
    </row>
    <row r="565" spans="11:11" x14ac:dyDescent="0.15">
      <c r="K565" s="214"/>
    </row>
    <row r="566" spans="11:11" x14ac:dyDescent="0.15">
      <c r="K566" s="214"/>
    </row>
    <row r="567" spans="11:11" x14ac:dyDescent="0.15">
      <c r="K567" s="214"/>
    </row>
    <row r="568" spans="11:11" x14ac:dyDescent="0.15">
      <c r="K568" s="214"/>
    </row>
    <row r="569" spans="11:11" x14ac:dyDescent="0.15">
      <c r="K569" s="214"/>
    </row>
    <row r="570" spans="11:11" x14ac:dyDescent="0.15">
      <c r="K570" s="214"/>
    </row>
    <row r="571" spans="11:11" x14ac:dyDescent="0.15">
      <c r="K571" s="214"/>
    </row>
    <row r="572" spans="11:11" x14ac:dyDescent="0.15">
      <c r="K572" s="214"/>
    </row>
    <row r="573" spans="11:11" x14ac:dyDescent="0.15">
      <c r="K573" s="214"/>
    </row>
    <row r="574" spans="11:11" x14ac:dyDescent="0.15">
      <c r="K574" s="214"/>
    </row>
    <row r="575" spans="11:11" x14ac:dyDescent="0.15">
      <c r="K575" s="214"/>
    </row>
    <row r="576" spans="11:11" x14ac:dyDescent="0.15">
      <c r="K576" s="214"/>
    </row>
    <row r="577" spans="11:11" x14ac:dyDescent="0.15">
      <c r="K577" s="214"/>
    </row>
    <row r="578" spans="11:11" x14ac:dyDescent="0.15">
      <c r="K578" s="214"/>
    </row>
    <row r="579" spans="11:11" x14ac:dyDescent="0.15">
      <c r="K579" s="214"/>
    </row>
    <row r="580" spans="11:11" x14ac:dyDescent="0.15">
      <c r="K580" s="214"/>
    </row>
    <row r="581" spans="11:11" x14ac:dyDescent="0.15">
      <c r="K581" s="214"/>
    </row>
    <row r="582" spans="11:11" x14ac:dyDescent="0.15">
      <c r="K582" s="214"/>
    </row>
    <row r="583" spans="11:11" x14ac:dyDescent="0.15">
      <c r="K583" s="214"/>
    </row>
    <row r="584" spans="11:11" x14ac:dyDescent="0.15">
      <c r="K584" s="214"/>
    </row>
    <row r="585" spans="11:11" x14ac:dyDescent="0.15">
      <c r="K585" s="214"/>
    </row>
    <row r="586" spans="11:11" x14ac:dyDescent="0.15">
      <c r="K586" s="214"/>
    </row>
    <row r="587" spans="11:11" x14ac:dyDescent="0.15">
      <c r="K587" s="214"/>
    </row>
    <row r="588" spans="11:11" x14ac:dyDescent="0.15">
      <c r="K588" s="214"/>
    </row>
    <row r="589" spans="11:11" x14ac:dyDescent="0.15">
      <c r="K589" s="214"/>
    </row>
    <row r="590" spans="11:11" x14ac:dyDescent="0.15">
      <c r="K590" s="214"/>
    </row>
    <row r="591" spans="11:11" x14ac:dyDescent="0.15">
      <c r="K591" s="214"/>
    </row>
    <row r="592" spans="11:11" x14ac:dyDescent="0.15">
      <c r="K592" s="214"/>
    </row>
    <row r="593" spans="11:11" x14ac:dyDescent="0.15">
      <c r="K593" s="214"/>
    </row>
    <row r="594" spans="11:11" x14ac:dyDescent="0.15">
      <c r="K594" s="214"/>
    </row>
    <row r="595" spans="11:11" x14ac:dyDescent="0.15">
      <c r="K595" s="214"/>
    </row>
    <row r="596" spans="11:11" x14ac:dyDescent="0.15">
      <c r="K596" s="214"/>
    </row>
    <row r="597" spans="11:11" x14ac:dyDescent="0.15">
      <c r="K597" s="214"/>
    </row>
    <row r="598" spans="11:11" x14ac:dyDescent="0.15">
      <c r="K598" s="214"/>
    </row>
    <row r="599" spans="11:11" x14ac:dyDescent="0.15">
      <c r="K599" s="214"/>
    </row>
    <row r="600" spans="11:11" x14ac:dyDescent="0.15">
      <c r="K600" s="214"/>
    </row>
    <row r="601" spans="11:11" x14ac:dyDescent="0.15">
      <c r="K601" s="214"/>
    </row>
    <row r="602" spans="11:11" x14ac:dyDescent="0.15">
      <c r="K602" s="214"/>
    </row>
    <row r="603" spans="11:11" x14ac:dyDescent="0.15">
      <c r="K603" s="214"/>
    </row>
    <row r="604" spans="11:11" x14ac:dyDescent="0.15">
      <c r="K604" s="214"/>
    </row>
    <row r="605" spans="11:11" x14ac:dyDescent="0.15">
      <c r="K605" s="214"/>
    </row>
    <row r="606" spans="11:11" x14ac:dyDescent="0.15">
      <c r="K606" s="214"/>
    </row>
    <row r="607" spans="11:11" x14ac:dyDescent="0.15">
      <c r="K607" s="214"/>
    </row>
    <row r="608" spans="11:11" x14ac:dyDescent="0.15">
      <c r="K608" s="214"/>
    </row>
    <row r="609" spans="11:11" x14ac:dyDescent="0.15">
      <c r="K609" s="214"/>
    </row>
    <row r="610" spans="11:11" x14ac:dyDescent="0.15">
      <c r="K610" s="214"/>
    </row>
    <row r="611" spans="11:11" x14ac:dyDescent="0.15">
      <c r="K611" s="214"/>
    </row>
    <row r="612" spans="11:11" x14ac:dyDescent="0.15">
      <c r="K612" s="214"/>
    </row>
    <row r="613" spans="11:11" x14ac:dyDescent="0.15">
      <c r="K613" s="214"/>
    </row>
    <row r="614" spans="11:11" x14ac:dyDescent="0.15">
      <c r="K614" s="214"/>
    </row>
    <row r="615" spans="11:11" x14ac:dyDescent="0.15">
      <c r="K615" s="214"/>
    </row>
    <row r="616" spans="11:11" x14ac:dyDescent="0.15">
      <c r="K616" s="214"/>
    </row>
    <row r="617" spans="11:11" x14ac:dyDescent="0.15">
      <c r="K617" s="214"/>
    </row>
    <row r="618" spans="11:11" x14ac:dyDescent="0.15">
      <c r="K618" s="214"/>
    </row>
    <row r="619" spans="11:11" x14ac:dyDescent="0.15">
      <c r="K619" s="214"/>
    </row>
    <row r="620" spans="11:11" x14ac:dyDescent="0.15">
      <c r="K620" s="214"/>
    </row>
    <row r="621" spans="11:11" x14ac:dyDescent="0.15">
      <c r="K621" s="214"/>
    </row>
    <row r="622" spans="11:11" x14ac:dyDescent="0.15">
      <c r="K622" s="214"/>
    </row>
    <row r="623" spans="11:11" x14ac:dyDescent="0.15">
      <c r="K623" s="214"/>
    </row>
    <row r="624" spans="11:11" x14ac:dyDescent="0.15">
      <c r="K624" s="214"/>
    </row>
    <row r="625" spans="11:11" x14ac:dyDescent="0.15">
      <c r="K625" s="214"/>
    </row>
    <row r="626" spans="11:11" x14ac:dyDescent="0.15">
      <c r="K626" s="214"/>
    </row>
    <row r="627" spans="11:11" x14ac:dyDescent="0.15">
      <c r="K627" s="214"/>
    </row>
    <row r="628" spans="11:11" x14ac:dyDescent="0.15">
      <c r="K628" s="214"/>
    </row>
    <row r="629" spans="11:11" x14ac:dyDescent="0.15">
      <c r="K629" s="214"/>
    </row>
    <row r="630" spans="11:11" x14ac:dyDescent="0.15">
      <c r="K630" s="214"/>
    </row>
    <row r="631" spans="11:11" x14ac:dyDescent="0.15">
      <c r="K631" s="214"/>
    </row>
    <row r="632" spans="11:11" x14ac:dyDescent="0.15">
      <c r="K632" s="214"/>
    </row>
    <row r="633" spans="11:11" x14ac:dyDescent="0.15">
      <c r="K633" s="214"/>
    </row>
    <row r="634" spans="11:11" x14ac:dyDescent="0.15">
      <c r="K634" s="214"/>
    </row>
    <row r="635" spans="11:11" x14ac:dyDescent="0.15">
      <c r="K635" s="214"/>
    </row>
    <row r="636" spans="11:11" x14ac:dyDescent="0.15">
      <c r="K636" s="214"/>
    </row>
    <row r="637" spans="11:11" x14ac:dyDescent="0.15">
      <c r="K637" s="214"/>
    </row>
    <row r="638" spans="11:11" x14ac:dyDescent="0.15">
      <c r="K638" s="214"/>
    </row>
    <row r="639" spans="11:11" x14ac:dyDescent="0.15">
      <c r="K639" s="214"/>
    </row>
    <row r="640" spans="11:11" x14ac:dyDescent="0.15">
      <c r="K640" s="214"/>
    </row>
    <row r="641" spans="11:11" x14ac:dyDescent="0.15">
      <c r="K641" s="214"/>
    </row>
    <row r="642" spans="11:11" x14ac:dyDescent="0.15">
      <c r="K642" s="214"/>
    </row>
    <row r="643" spans="11:11" x14ac:dyDescent="0.15">
      <c r="K643" s="214"/>
    </row>
    <row r="644" spans="11:11" x14ac:dyDescent="0.15">
      <c r="K644" s="214"/>
    </row>
    <row r="645" spans="11:11" x14ac:dyDescent="0.15">
      <c r="K645" s="214"/>
    </row>
    <row r="646" spans="11:11" x14ac:dyDescent="0.15">
      <c r="K646" s="214"/>
    </row>
    <row r="647" spans="11:11" x14ac:dyDescent="0.15">
      <c r="K647" s="214"/>
    </row>
    <row r="648" spans="11:11" x14ac:dyDescent="0.15">
      <c r="K648" s="214"/>
    </row>
    <row r="649" spans="11:11" x14ac:dyDescent="0.15">
      <c r="K649" s="214"/>
    </row>
    <row r="650" spans="11:11" x14ac:dyDescent="0.15">
      <c r="K650" s="214"/>
    </row>
    <row r="651" spans="11:11" x14ac:dyDescent="0.15">
      <c r="K651" s="214"/>
    </row>
    <row r="652" spans="11:11" x14ac:dyDescent="0.15">
      <c r="K652" s="214"/>
    </row>
    <row r="653" spans="11:11" x14ac:dyDescent="0.15">
      <c r="K653" s="214"/>
    </row>
    <row r="654" spans="11:11" x14ac:dyDescent="0.15">
      <c r="K654" s="214"/>
    </row>
    <row r="655" spans="11:11" x14ac:dyDescent="0.15">
      <c r="K655" s="214"/>
    </row>
    <row r="656" spans="11:11" x14ac:dyDescent="0.15">
      <c r="K656" s="214"/>
    </row>
    <row r="657" spans="11:11" x14ac:dyDescent="0.15">
      <c r="K657" s="214"/>
    </row>
    <row r="658" spans="11:11" x14ac:dyDescent="0.15">
      <c r="K658" s="214"/>
    </row>
    <row r="659" spans="11:11" x14ac:dyDescent="0.15">
      <c r="K659" s="214"/>
    </row>
    <row r="660" spans="11:11" x14ac:dyDescent="0.15">
      <c r="K660" s="214"/>
    </row>
    <row r="661" spans="11:11" x14ac:dyDescent="0.15">
      <c r="K661" s="214"/>
    </row>
    <row r="662" spans="11:11" x14ac:dyDescent="0.15">
      <c r="K662" s="214"/>
    </row>
    <row r="663" spans="11:11" x14ac:dyDescent="0.15">
      <c r="K663" s="214"/>
    </row>
    <row r="664" spans="11:11" x14ac:dyDescent="0.15">
      <c r="K664" s="214"/>
    </row>
    <row r="665" spans="11:11" x14ac:dyDescent="0.15">
      <c r="K665" s="214"/>
    </row>
    <row r="666" spans="11:11" x14ac:dyDescent="0.15">
      <c r="K666" s="214"/>
    </row>
    <row r="667" spans="11:11" x14ac:dyDescent="0.15">
      <c r="K667" s="214"/>
    </row>
    <row r="668" spans="11:11" x14ac:dyDescent="0.15">
      <c r="K668" s="214"/>
    </row>
    <row r="669" spans="11:11" x14ac:dyDescent="0.15">
      <c r="K669" s="214"/>
    </row>
    <row r="670" spans="11:11" x14ac:dyDescent="0.15">
      <c r="K670" s="214"/>
    </row>
    <row r="671" spans="11:11" x14ac:dyDescent="0.15">
      <c r="K671" s="214"/>
    </row>
    <row r="672" spans="11:11" x14ac:dyDescent="0.15">
      <c r="K672" s="214"/>
    </row>
    <row r="673" spans="11:11" x14ac:dyDescent="0.15">
      <c r="K673" s="214"/>
    </row>
    <row r="674" spans="11:11" x14ac:dyDescent="0.15">
      <c r="K674" s="214"/>
    </row>
    <row r="675" spans="11:11" x14ac:dyDescent="0.15">
      <c r="K675" s="214"/>
    </row>
    <row r="676" spans="11:11" x14ac:dyDescent="0.15">
      <c r="K676" s="214"/>
    </row>
    <row r="677" spans="11:11" x14ac:dyDescent="0.15">
      <c r="K677" s="214"/>
    </row>
    <row r="678" spans="11:11" x14ac:dyDescent="0.15">
      <c r="K678" s="214"/>
    </row>
    <row r="679" spans="11:11" x14ac:dyDescent="0.15">
      <c r="K679" s="214"/>
    </row>
    <row r="680" spans="11:11" x14ac:dyDescent="0.15">
      <c r="K680" s="214"/>
    </row>
    <row r="681" spans="11:11" x14ac:dyDescent="0.15">
      <c r="K681" s="214"/>
    </row>
    <row r="682" spans="11:11" x14ac:dyDescent="0.15">
      <c r="K682" s="214"/>
    </row>
    <row r="683" spans="11:11" x14ac:dyDescent="0.15">
      <c r="K683" s="214"/>
    </row>
    <row r="684" spans="11:11" x14ac:dyDescent="0.15">
      <c r="K684" s="214"/>
    </row>
    <row r="685" spans="11:11" x14ac:dyDescent="0.15">
      <c r="K685" s="214"/>
    </row>
    <row r="686" spans="11:11" x14ac:dyDescent="0.15">
      <c r="K686" s="214"/>
    </row>
    <row r="687" spans="11:11" x14ac:dyDescent="0.15">
      <c r="K687" s="214"/>
    </row>
    <row r="688" spans="11:11" x14ac:dyDescent="0.15">
      <c r="K688" s="214"/>
    </row>
    <row r="689" spans="11:11" x14ac:dyDescent="0.15">
      <c r="K689" s="214"/>
    </row>
    <row r="690" spans="11:11" x14ac:dyDescent="0.15">
      <c r="K690" s="214"/>
    </row>
    <row r="691" spans="11:11" x14ac:dyDescent="0.15">
      <c r="K691" s="214"/>
    </row>
    <row r="692" spans="11:11" x14ac:dyDescent="0.15">
      <c r="K692" s="214"/>
    </row>
    <row r="693" spans="11:11" x14ac:dyDescent="0.15">
      <c r="K693" s="214"/>
    </row>
    <row r="694" spans="11:11" x14ac:dyDescent="0.15">
      <c r="K694" s="214"/>
    </row>
    <row r="695" spans="11:11" x14ac:dyDescent="0.15">
      <c r="K695" s="214"/>
    </row>
    <row r="696" spans="11:11" x14ac:dyDescent="0.15">
      <c r="K696" s="214"/>
    </row>
    <row r="697" spans="11:11" x14ac:dyDescent="0.15">
      <c r="K697" s="214"/>
    </row>
    <row r="698" spans="11:11" x14ac:dyDescent="0.15">
      <c r="K698" s="214"/>
    </row>
    <row r="699" spans="11:11" x14ac:dyDescent="0.15">
      <c r="K699" s="214"/>
    </row>
    <row r="700" spans="11:11" x14ac:dyDescent="0.15">
      <c r="K700" s="214"/>
    </row>
    <row r="701" spans="11:11" x14ac:dyDescent="0.15">
      <c r="K701" s="214"/>
    </row>
    <row r="702" spans="11:11" x14ac:dyDescent="0.15">
      <c r="K702" s="214"/>
    </row>
    <row r="703" spans="11:11" x14ac:dyDescent="0.15">
      <c r="K703" s="214"/>
    </row>
    <row r="704" spans="11:11" x14ac:dyDescent="0.15">
      <c r="K704" s="214"/>
    </row>
    <row r="705" spans="11:11" x14ac:dyDescent="0.15">
      <c r="K705" s="214"/>
    </row>
    <row r="706" spans="11:11" x14ac:dyDescent="0.15">
      <c r="K706" s="214"/>
    </row>
    <row r="707" spans="11:11" x14ac:dyDescent="0.15">
      <c r="K707" s="214"/>
    </row>
    <row r="708" spans="11:11" x14ac:dyDescent="0.15">
      <c r="K708" s="214"/>
    </row>
    <row r="709" spans="11:11" x14ac:dyDescent="0.15">
      <c r="K709" s="214"/>
    </row>
    <row r="710" spans="11:11" x14ac:dyDescent="0.15">
      <c r="K710" s="214"/>
    </row>
    <row r="711" spans="11:11" x14ac:dyDescent="0.15">
      <c r="K711" s="214"/>
    </row>
    <row r="712" spans="11:11" x14ac:dyDescent="0.15">
      <c r="K712" s="214"/>
    </row>
    <row r="713" spans="11:11" x14ac:dyDescent="0.15">
      <c r="K713" s="214"/>
    </row>
    <row r="714" spans="11:11" x14ac:dyDescent="0.15">
      <c r="K714" s="214"/>
    </row>
    <row r="715" spans="11:11" x14ac:dyDescent="0.15">
      <c r="K715" s="214"/>
    </row>
    <row r="716" spans="11:11" x14ac:dyDescent="0.15">
      <c r="K716" s="214"/>
    </row>
    <row r="717" spans="11:11" x14ac:dyDescent="0.15">
      <c r="K717" s="214"/>
    </row>
    <row r="718" spans="11:11" x14ac:dyDescent="0.15">
      <c r="K718" s="214"/>
    </row>
    <row r="719" spans="11:11" x14ac:dyDescent="0.15">
      <c r="K719" s="214"/>
    </row>
    <row r="720" spans="11:11" x14ac:dyDescent="0.15">
      <c r="K720" s="214"/>
    </row>
    <row r="721" spans="11:11" x14ac:dyDescent="0.15">
      <c r="K721" s="214"/>
    </row>
    <row r="722" spans="11:11" x14ac:dyDescent="0.15">
      <c r="K722" s="214"/>
    </row>
    <row r="723" spans="11:11" x14ac:dyDescent="0.15">
      <c r="K723" s="214"/>
    </row>
    <row r="724" spans="11:11" x14ac:dyDescent="0.15">
      <c r="K724" s="214"/>
    </row>
    <row r="725" spans="11:11" x14ac:dyDescent="0.15">
      <c r="K725" s="214"/>
    </row>
    <row r="726" spans="11:11" x14ac:dyDescent="0.15">
      <c r="K726" s="214"/>
    </row>
    <row r="727" spans="11:11" x14ac:dyDescent="0.15">
      <c r="K727" s="214"/>
    </row>
  </sheetData>
  <autoFilter ref="A1:BA73"/>
  <phoneticPr fontId="3"/>
  <dataValidations count="12">
    <dataValidation type="list" allowBlank="1" showInputMessage="1" showErrorMessage="1" sqref="K2:K727">
      <formula1>$AR$2:$AR$23</formula1>
    </dataValidation>
    <dataValidation type="list" allowBlank="1" showInputMessage="1" showErrorMessage="1" sqref="A2:A414">
      <formula1>$AE$2:$AE$19</formula1>
    </dataValidation>
    <dataValidation type="list" allowBlank="1" showInputMessage="1" showErrorMessage="1" sqref="Y2:AA415">
      <formula1>$AV$2:$AV$21</formula1>
    </dataValidation>
    <dataValidation type="list" allowBlank="1" showInputMessage="1" showErrorMessage="1" sqref="H2:H415">
      <formula1>$AL$2:$AL$8</formula1>
    </dataValidation>
    <dataValidation type="list" allowBlank="1" showInputMessage="1" showErrorMessage="1" sqref="X2:X415">
      <formula1>$AT$2:$AT$3</formula1>
    </dataValidation>
    <dataValidation type="list" allowBlank="1" showInputMessage="1" showErrorMessage="1" sqref="G2:G415">
      <formula1>$AJ$2:$AJ$4</formula1>
    </dataValidation>
    <dataValidation type="list" allowBlank="1" showInputMessage="1" showErrorMessage="1" sqref="I2:I415">
      <formula1>$AN$5:$AN$6</formula1>
    </dataValidation>
    <dataValidation type="list" allowBlank="1" showInputMessage="1" showErrorMessage="1" sqref="J2:J415">
      <formula1>$AP$2:$AP$24</formula1>
    </dataValidation>
    <dataValidation type="list" allowBlank="1" showInputMessage="1" showErrorMessage="1" sqref="F2:F415">
      <formula1>$AH$2:$AH$11</formula1>
    </dataValidation>
    <dataValidation type="list" allowBlank="1" showInputMessage="1" showErrorMessage="1" sqref="E2:E415">
      <formula1>$AG$2:$AG$11</formula1>
    </dataValidation>
    <dataValidation type="decimal" allowBlank="1" showInputMessage="1" showErrorMessage="1" error="硬度を正しく入力して下さい。" sqref="O2:P49 O59:P415">
      <formula1>0</formula1>
      <formula2>7</formula2>
    </dataValidation>
    <dataValidation operator="equal" allowBlank="1" showInputMessage="1" showErrorMessage="1" sqref="B2:B73"/>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43186C-3158-4262-9E17-ABD9AE3D5DC9}"/>
</file>

<file path=customXml/itemProps2.xml><?xml version="1.0" encoding="utf-8"?>
<ds:datastoreItem xmlns:ds="http://schemas.openxmlformats.org/officeDocument/2006/customXml" ds:itemID="{2F960D56-B374-4AE6-B762-BA4676200DAB}"/>
</file>

<file path=customXml/itemProps3.xml><?xml version="1.0" encoding="utf-8"?>
<ds:datastoreItem xmlns:ds="http://schemas.openxmlformats.org/officeDocument/2006/customXml" ds:itemID="{4838B43C-E142-4AA4-B550-201596B8CE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2019-01-11T04:24:21Z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