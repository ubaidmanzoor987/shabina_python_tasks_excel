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miyagi!$A$1:$BA$94</definedName>
    <definedName name="_xlnm._FilterDatabase" localSheetId="2" hidden="1">nagoya!$A$1:$BA$52</definedName>
    <definedName name="_xlnm._FilterDatabase" localSheetId="3" hidden="1">osaka!$A$1:$BA$76</definedName>
    <definedName name="_xlnm._FilterDatabase" localSheetId="0" hidden="1">sapporo!$A$1:$BA$120</definedName>
    <definedName name="_xlnm._FilterDatabase" localSheetId="6" hidden="1">'tokyo-east(ota)'!$A$1:$BA$1</definedName>
    <definedName name="_xlnm._FilterDatabase" localSheetId="7" hidden="1">'tokyo-west(kato)'!$A$1:$BA$79</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79" i="32" l="1"/>
  <c r="V79" i="32" s="1"/>
  <c r="Q79" i="32"/>
  <c r="V78" i="32"/>
  <c r="T78" i="32"/>
  <c r="Q78" i="32"/>
  <c r="T77" i="32"/>
  <c r="V77" i="32" s="1"/>
  <c r="Q77" i="32"/>
  <c r="T76" i="32"/>
  <c r="V76" i="32" s="1"/>
  <c r="Q76" i="32"/>
  <c r="T75" i="32"/>
  <c r="V75" i="32" s="1"/>
  <c r="Q75" i="32"/>
  <c r="V74" i="32"/>
  <c r="T74" i="32"/>
  <c r="Q74" i="32"/>
  <c r="T73" i="32"/>
  <c r="V73" i="32" s="1"/>
  <c r="Q73" i="32"/>
  <c r="T72" i="32"/>
  <c r="V72" i="32" s="1"/>
  <c r="Q72" i="32"/>
  <c r="T71" i="32"/>
  <c r="V71" i="32" s="1"/>
  <c r="Q71" i="32"/>
  <c r="V70" i="32"/>
  <c r="T70" i="32"/>
  <c r="Q70" i="32"/>
  <c r="T69" i="32"/>
  <c r="V69" i="32" s="1"/>
  <c r="Q69" i="32"/>
  <c r="T68" i="32"/>
  <c r="V68" i="32" s="1"/>
  <c r="Q68" i="32"/>
  <c r="T67" i="32"/>
  <c r="V67" i="32" s="1"/>
  <c r="Q67" i="32"/>
  <c r="V66" i="32"/>
  <c r="T66" i="32"/>
  <c r="Q66" i="32"/>
  <c r="T65" i="32"/>
  <c r="V65" i="32" s="1"/>
  <c r="Q65" i="32"/>
  <c r="T64" i="32"/>
  <c r="V64" i="32" s="1"/>
  <c r="Q64" i="32"/>
  <c r="T63" i="32"/>
  <c r="V63" i="32" s="1"/>
  <c r="Q63" i="32"/>
  <c r="V62" i="32"/>
  <c r="T62" i="32"/>
  <c r="Q62" i="32"/>
  <c r="T61" i="32"/>
  <c r="V61" i="32" s="1"/>
  <c r="Q61" i="32"/>
  <c r="T60" i="32"/>
  <c r="V60" i="32" s="1"/>
  <c r="Q60" i="32"/>
  <c r="T59" i="32"/>
  <c r="V59" i="32" s="1"/>
  <c r="Q59" i="32"/>
  <c r="V58" i="32"/>
  <c r="T58" i="32"/>
  <c r="Q58" i="32"/>
  <c r="T57" i="32"/>
  <c r="V57" i="32" s="1"/>
  <c r="Q57" i="32"/>
  <c r="T56" i="32"/>
  <c r="V56" i="32" s="1"/>
  <c r="Q56" i="32"/>
  <c r="T55" i="32"/>
  <c r="V55" i="32" s="1"/>
  <c r="Q55" i="32"/>
  <c r="V54" i="32"/>
  <c r="T54" i="32"/>
  <c r="Q54" i="32"/>
  <c r="T53" i="32"/>
  <c r="V53" i="32" s="1"/>
  <c r="Q53" i="32"/>
  <c r="T52" i="32"/>
  <c r="V52" i="32" s="1"/>
  <c r="Q52" i="32"/>
  <c r="T51" i="32"/>
  <c r="V51" i="32" s="1"/>
  <c r="Q51" i="32"/>
  <c r="V50" i="32"/>
  <c r="T50" i="32"/>
  <c r="Q50" i="32"/>
  <c r="T49" i="32"/>
  <c r="V49" i="32" s="1"/>
  <c r="Q49" i="32"/>
  <c r="T48" i="32"/>
  <c r="V48" i="32" s="1"/>
  <c r="Q48" i="32"/>
  <c r="T47" i="32"/>
  <c r="V47" i="32" s="1"/>
  <c r="Q47" i="32"/>
  <c r="V46" i="32"/>
  <c r="T46" i="32"/>
  <c r="Q46" i="32"/>
  <c r="T45" i="32"/>
  <c r="V45" i="32" s="1"/>
  <c r="Q45" i="32"/>
  <c r="T44" i="32"/>
  <c r="V44" i="32" s="1"/>
  <c r="Q44" i="32"/>
  <c r="T43" i="32"/>
  <c r="V43" i="32" s="1"/>
  <c r="Q43" i="32"/>
  <c r="V42" i="32"/>
  <c r="T42" i="32"/>
  <c r="Q42" i="32"/>
  <c r="T41" i="32"/>
  <c r="V41" i="32" s="1"/>
  <c r="Q41" i="32"/>
  <c r="T40" i="32"/>
  <c r="V40" i="32" s="1"/>
  <c r="Q40" i="32"/>
  <c r="T39" i="32"/>
  <c r="V39" i="32" s="1"/>
  <c r="Q39" i="32"/>
  <c r="V38" i="32"/>
  <c r="T38" i="32"/>
  <c r="Q38" i="32"/>
  <c r="T37" i="32"/>
  <c r="V37" i="32" s="1"/>
  <c r="Q37" i="32"/>
  <c r="T36" i="32"/>
  <c r="V36" i="32" s="1"/>
  <c r="Q36" i="32"/>
  <c r="T35" i="32"/>
  <c r="V35" i="32" s="1"/>
  <c r="Q35" i="32"/>
  <c r="V34" i="32"/>
  <c r="T34" i="32"/>
  <c r="Q34" i="32"/>
  <c r="T33" i="32"/>
  <c r="V33" i="32" s="1"/>
  <c r="Q33" i="32"/>
  <c r="T32" i="32"/>
  <c r="V32" i="32" s="1"/>
  <c r="Q32" i="32"/>
  <c r="T31" i="32"/>
  <c r="V31" i="32" s="1"/>
  <c r="Q31" i="32"/>
  <c r="V30" i="32"/>
  <c r="T30" i="32"/>
  <c r="Q30" i="32"/>
  <c r="T29" i="32"/>
  <c r="V29" i="32" s="1"/>
  <c r="Q29" i="32"/>
  <c r="T28" i="32"/>
  <c r="V28" i="32" s="1"/>
  <c r="Q28" i="32"/>
  <c r="T27" i="32"/>
  <c r="V27" i="32" s="1"/>
  <c r="Q27" i="32"/>
  <c r="V26" i="32"/>
  <c r="T26" i="32"/>
  <c r="Q26" i="32"/>
  <c r="T25" i="32"/>
  <c r="V25" i="32" s="1"/>
  <c r="Q25" i="32"/>
  <c r="T24" i="32"/>
  <c r="V24" i="32" s="1"/>
  <c r="Q24" i="32"/>
  <c r="T23" i="32"/>
  <c r="V23" i="32" s="1"/>
  <c r="Q23" i="32"/>
  <c r="V22" i="32"/>
  <c r="T22" i="32"/>
  <c r="Q22" i="32"/>
  <c r="T21" i="32"/>
  <c r="V21" i="32" s="1"/>
  <c r="Q21" i="32"/>
  <c r="T20" i="32"/>
  <c r="V20" i="32" s="1"/>
  <c r="Q20" i="32"/>
  <c r="T19" i="32"/>
  <c r="V19" i="32" s="1"/>
  <c r="Q19" i="32"/>
  <c r="V18" i="32"/>
  <c r="T18" i="32"/>
  <c r="Q18" i="32"/>
  <c r="T17" i="32"/>
  <c r="V17" i="32" s="1"/>
  <c r="Q17" i="32"/>
  <c r="T16" i="32"/>
  <c r="V16" i="32" s="1"/>
  <c r="Q16" i="32"/>
  <c r="T15" i="32"/>
  <c r="V15" i="32" s="1"/>
  <c r="Q15" i="32"/>
  <c r="V14" i="32"/>
  <c r="T14" i="32"/>
  <c r="Q14" i="32"/>
  <c r="T13" i="32"/>
  <c r="V13" i="32" s="1"/>
  <c r="Q13" i="32"/>
  <c r="T12" i="32"/>
  <c r="V12" i="32" s="1"/>
  <c r="Q12" i="32"/>
  <c r="T11" i="32"/>
  <c r="V11" i="32" s="1"/>
  <c r="Q11" i="32"/>
  <c r="V10" i="32"/>
  <c r="T10" i="32"/>
  <c r="Q10" i="32"/>
  <c r="T9" i="32"/>
  <c r="V9" i="32" s="1"/>
  <c r="Q9" i="32"/>
  <c r="T8" i="32"/>
  <c r="V8" i="32" s="1"/>
  <c r="Q8" i="32"/>
  <c r="T7" i="32"/>
  <c r="V7" i="32" s="1"/>
  <c r="Q7" i="32"/>
  <c r="V6" i="32"/>
  <c r="T6" i="32"/>
  <c r="Q6" i="32"/>
  <c r="T5" i="32"/>
  <c r="V5" i="32" s="1"/>
  <c r="Q5" i="32"/>
  <c r="T4" i="32"/>
  <c r="V4" i="32" s="1"/>
  <c r="Q4" i="32"/>
  <c r="T3" i="32"/>
  <c r="V3" i="32" s="1"/>
  <c r="Q3" i="32"/>
  <c r="V2" i="32"/>
  <c r="T2" i="32"/>
  <c r="Q2" i="32"/>
  <c r="T84" i="31" l="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V64" i="31"/>
  <c r="T64" i="31"/>
  <c r="Q64" i="31"/>
  <c r="V63" i="31"/>
  <c r="T63" i="31"/>
  <c r="Q63" i="31"/>
  <c r="T62" i="31"/>
  <c r="V62" i="31" s="1"/>
  <c r="Q62" i="31"/>
  <c r="T61" i="31"/>
  <c r="V61" i="31" s="1"/>
  <c r="Q61" i="31"/>
  <c r="T60" i="31"/>
  <c r="V60" i="31" s="1"/>
  <c r="Q60" i="31"/>
  <c r="T59" i="31"/>
  <c r="V59" i="31" s="1"/>
  <c r="Q59" i="31"/>
  <c r="T58" i="31"/>
  <c r="V58" i="31" s="1"/>
  <c r="Q58" i="31"/>
  <c r="T57" i="31"/>
  <c r="V57" i="31" s="1"/>
  <c r="Q57" i="31"/>
  <c r="T56" i="31"/>
  <c r="V56" i="31" s="1"/>
  <c r="Q56" i="31"/>
  <c r="V55" i="31"/>
  <c r="T55" i="31"/>
  <c r="Q55"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V30" i="31"/>
  <c r="T30" i="3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V21" i="31"/>
  <c r="T21" i="31"/>
  <c r="Q21" i="31"/>
  <c r="T20" i="31"/>
  <c r="V20" i="31" s="1"/>
  <c r="Q20" i="31"/>
  <c r="T19" i="31"/>
  <c r="V19" i="31" s="1"/>
  <c r="Q19" i="31"/>
  <c r="T18" i="31"/>
  <c r="V18" i="31" s="1"/>
  <c r="Q18" i="31"/>
  <c r="T17" i="31"/>
  <c r="V17" i="31" s="1"/>
  <c r="Q17" i="31"/>
  <c r="T16" i="31"/>
  <c r="V16" i="31" s="1"/>
  <c r="Q16" i="31"/>
  <c r="T15" i="31"/>
  <c r="V15" i="31" s="1"/>
  <c r="Q15" i="31"/>
  <c r="T14" i="31"/>
  <c r="Q14" i="31"/>
  <c r="T13" i="31"/>
  <c r="V13" i="31" s="1"/>
  <c r="Q13" i="31"/>
  <c r="T12" i="31"/>
  <c r="V12" i="31" s="1"/>
  <c r="Q12" i="31"/>
  <c r="T11" i="31"/>
  <c r="V11" i="31" s="1"/>
  <c r="Q11" i="31"/>
  <c r="V10" i="31"/>
  <c r="T10" i="31"/>
  <c r="Q10" i="31"/>
  <c r="T9" i="31"/>
  <c r="V9" i="31" s="1"/>
  <c r="Q9" i="31"/>
  <c r="T8" i="31"/>
  <c r="V8" i="31" s="1"/>
  <c r="Q8" i="31"/>
  <c r="T7" i="31"/>
  <c r="V7" i="31" s="1"/>
  <c r="Q7" i="31"/>
  <c r="T6" i="31"/>
  <c r="V6" i="31" s="1"/>
  <c r="Q6" i="31"/>
  <c r="T5" i="31"/>
  <c r="V5" i="31" s="1"/>
  <c r="Q5" i="31"/>
  <c r="T4" i="31"/>
  <c r="V4" i="31" s="1"/>
  <c r="Q4" i="31"/>
  <c r="V3" i="31"/>
  <c r="T3" i="3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T62" i="30"/>
  <c r="Q62" i="30"/>
  <c r="T61" i="30"/>
  <c r="T60" i="30"/>
  <c r="T59" i="30"/>
  <c r="T58" i="30"/>
  <c r="T57" i="30"/>
  <c r="T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T84" i="29"/>
  <c r="V84" i="29" s="1"/>
  <c r="Q84" i="29"/>
  <c r="V83" i="29"/>
  <c r="T83" i="29"/>
  <c r="Q83" i="29"/>
  <c r="T82" i="29"/>
  <c r="V82" i="29" s="1"/>
  <c r="Q82" i="29"/>
  <c r="T81" i="29"/>
  <c r="V81" i="29" s="1"/>
  <c r="Q81" i="29"/>
  <c r="T80" i="29"/>
  <c r="V80" i="29" s="1"/>
  <c r="Q80" i="29"/>
  <c r="T70" i="29"/>
  <c r="V70" i="29" s="1"/>
  <c r="Q70" i="29"/>
  <c r="T69" i="29"/>
  <c r="V69" i="29" s="1"/>
  <c r="Q69" i="29"/>
  <c r="T68" i="29"/>
  <c r="V68" i="29" s="1"/>
  <c r="Q68" i="29"/>
  <c r="T67" i="29"/>
  <c r="V67" i="29" s="1"/>
  <c r="Q67" i="29"/>
  <c r="V66" i="29"/>
  <c r="T66" i="29"/>
  <c r="Q66" i="29"/>
  <c r="T65" i="29"/>
  <c r="V65" i="29" s="1"/>
  <c r="Q65" i="29"/>
  <c r="T64" i="29"/>
  <c r="V64" i="29" s="1"/>
  <c r="Q64" i="29"/>
  <c r="T63" i="29"/>
  <c r="V63" i="29" s="1"/>
  <c r="Q63" i="29"/>
  <c r="T62" i="29"/>
  <c r="V62" i="29" s="1"/>
  <c r="Q62" i="29"/>
  <c r="T61" i="29"/>
  <c r="V61" i="29" s="1"/>
  <c r="Q61" i="29"/>
  <c r="T60" i="29"/>
  <c r="V60" i="29" s="1"/>
  <c r="Q60" i="29"/>
  <c r="T59" i="29"/>
  <c r="V59" i="29" s="1"/>
  <c r="Q59" i="29"/>
  <c r="V58" i="29"/>
  <c r="T58" i="29"/>
  <c r="Q58" i="29"/>
  <c r="T57" i="29"/>
  <c r="V57" i="29" s="1"/>
  <c r="Q57" i="29"/>
  <c r="T56" i="29"/>
  <c r="V56" i="29" s="1"/>
  <c r="Q56" i="29"/>
  <c r="T55" i="29"/>
  <c r="V55" i="29" s="1"/>
  <c r="Q55" i="29"/>
  <c r="T54" i="29"/>
  <c r="V54" i="29" s="1"/>
  <c r="Q54" i="29"/>
  <c r="T53" i="29"/>
  <c r="V53" i="29" s="1"/>
  <c r="Q53" i="29"/>
  <c r="T52" i="29"/>
  <c r="V52" i="29" s="1"/>
  <c r="Q52" i="29"/>
  <c r="T51" i="29"/>
  <c r="V51" i="29" s="1"/>
  <c r="Q51" i="29"/>
  <c r="V50" i="29"/>
  <c r="T50" i="29"/>
  <c r="Q50" i="29"/>
  <c r="T49" i="29"/>
  <c r="V49" i="29" s="1"/>
  <c r="Q49" i="29"/>
  <c r="T48" i="29"/>
  <c r="V48" i="29" s="1"/>
  <c r="Q48" i="29"/>
  <c r="T47" i="29"/>
  <c r="V47" i="29" s="1"/>
  <c r="Q47" i="29"/>
  <c r="T46" i="29"/>
  <c r="V46" i="29" s="1"/>
  <c r="Q46" i="29"/>
  <c r="T45" i="29"/>
  <c r="V45" i="29" s="1"/>
  <c r="Q45" i="29"/>
  <c r="T44" i="29"/>
  <c r="V44" i="29" s="1"/>
  <c r="Q44" i="29"/>
  <c r="T43" i="29"/>
  <c r="V43" i="29" s="1"/>
  <c r="Q43" i="29"/>
  <c r="V42" i="29"/>
  <c r="T42" i="29"/>
  <c r="Q42" i="29"/>
  <c r="T41" i="29"/>
  <c r="V41" i="29" s="1"/>
  <c r="Q41" i="29"/>
  <c r="T40" i="29"/>
  <c r="V40" i="29" s="1"/>
  <c r="Q40" i="29"/>
  <c r="T39" i="29"/>
  <c r="V39" i="29" s="1"/>
  <c r="Q39" i="29"/>
  <c r="T38" i="29"/>
  <c r="V38" i="29" s="1"/>
  <c r="Q38" i="29"/>
  <c r="T37" i="29"/>
  <c r="V37" i="29" s="1"/>
  <c r="Q37" i="29"/>
  <c r="T36" i="29"/>
  <c r="V36" i="29" s="1"/>
  <c r="Q36" i="29"/>
  <c r="T35" i="29"/>
  <c r="V35" i="29" s="1"/>
  <c r="Q35" i="29"/>
  <c r="V34" i="29"/>
  <c r="T34" i="29"/>
  <c r="Q34" i="29"/>
  <c r="T33" i="29"/>
  <c r="V33" i="29" s="1"/>
  <c r="Q33" i="29"/>
  <c r="T32" i="29"/>
  <c r="V32" i="29" s="1"/>
  <c r="Q32" i="29"/>
  <c r="T31" i="29"/>
  <c r="V31" i="29" s="1"/>
  <c r="Q31" i="29"/>
  <c r="T30" i="29"/>
  <c r="V30" i="29" s="1"/>
  <c r="Q30" i="29"/>
  <c r="T29" i="29"/>
  <c r="V29" i="29" s="1"/>
  <c r="Q29" i="29"/>
  <c r="T28" i="29"/>
  <c r="V28" i="29" s="1"/>
  <c r="Q28" i="29"/>
  <c r="T27" i="29"/>
  <c r="V27" i="29" s="1"/>
  <c r="Q27" i="29"/>
  <c r="V26" i="29"/>
  <c r="T26" i="29"/>
  <c r="Q26" i="29"/>
  <c r="T25" i="29"/>
  <c r="V25" i="29" s="1"/>
  <c r="Q25" i="29"/>
  <c r="T24" i="29"/>
  <c r="V24" i="29" s="1"/>
  <c r="Q24" i="29"/>
  <c r="T23" i="29"/>
  <c r="V23" i="29" s="1"/>
  <c r="Q23" i="29"/>
  <c r="T22" i="29"/>
  <c r="V22" i="29" s="1"/>
  <c r="Q22" i="29"/>
  <c r="T21" i="29"/>
  <c r="V21" i="29" s="1"/>
  <c r="Q21" i="29"/>
  <c r="T20" i="29"/>
  <c r="V20" i="29" s="1"/>
  <c r="Q20" i="29"/>
  <c r="T19" i="29"/>
  <c r="V19" i="29" s="1"/>
  <c r="Q19" i="29"/>
  <c r="V18" i="29"/>
  <c r="T18" i="29"/>
  <c r="Q18" i="29"/>
  <c r="T17" i="29"/>
  <c r="V17" i="29" s="1"/>
  <c r="Q17" i="29"/>
  <c r="T16" i="29"/>
  <c r="V16" i="29" s="1"/>
  <c r="Q16" i="29"/>
  <c r="T15" i="29"/>
  <c r="V15" i="29" s="1"/>
  <c r="Q15" i="29"/>
  <c r="T14" i="29"/>
  <c r="V14" i="29" s="1"/>
  <c r="Q14" i="29"/>
  <c r="T13" i="29"/>
  <c r="V13" i="29" s="1"/>
  <c r="Q13" i="29"/>
  <c r="T12" i="29"/>
  <c r="V12" i="29" s="1"/>
  <c r="Q12" i="29"/>
  <c r="T11" i="29"/>
  <c r="V11" i="29" s="1"/>
  <c r="Q11" i="29"/>
  <c r="V10" i="29"/>
  <c r="T10" i="29"/>
  <c r="Q10" i="29"/>
  <c r="T9" i="29"/>
  <c r="V9" i="29" s="1"/>
  <c r="Q9" i="29"/>
  <c r="T8" i="29"/>
  <c r="V8" i="29" s="1"/>
  <c r="Q8" i="29"/>
  <c r="T7" i="29"/>
  <c r="V7" i="29" s="1"/>
  <c r="Q7" i="29"/>
  <c r="T6" i="29"/>
  <c r="V6" i="29" s="1"/>
  <c r="Q6" i="29"/>
  <c r="T5" i="29"/>
  <c r="V5" i="29" s="1"/>
  <c r="Q5" i="29"/>
  <c r="T4" i="29"/>
  <c r="V4" i="29" s="1"/>
  <c r="Q4" i="29"/>
  <c r="T3" i="29"/>
  <c r="V3" i="29" s="1"/>
  <c r="Q3" i="29"/>
  <c r="V2" i="29"/>
  <c r="T2" i="29"/>
  <c r="Q2" i="29"/>
  <c r="T76" i="28" l="1"/>
  <c r="V76" i="28" s="1"/>
  <c r="Q76" i="28"/>
  <c r="T75" i="28"/>
  <c r="V75" i="28" s="1"/>
  <c r="Q75" i="28"/>
  <c r="V74" i="28"/>
  <c r="T74" i="28"/>
  <c r="Q74" i="28"/>
  <c r="T73" i="28"/>
  <c r="V73" i="28" s="1"/>
  <c r="Q73" i="28"/>
  <c r="T72" i="28"/>
  <c r="V72" i="28" s="1"/>
  <c r="Q72" i="28"/>
  <c r="T71" i="28"/>
  <c r="V71" i="28" s="1"/>
  <c r="Q71" i="28"/>
  <c r="T70" i="28"/>
  <c r="V70" i="28" s="1"/>
  <c r="Q70" i="28"/>
  <c r="T69" i="28"/>
  <c r="V69" i="28" s="1"/>
  <c r="Q69" i="28"/>
  <c r="T68" i="28"/>
  <c r="V68" i="28" s="1"/>
  <c r="Q68" i="28"/>
  <c r="T67" i="28"/>
  <c r="V67" i="28" s="1"/>
  <c r="Q67" i="28"/>
  <c r="V66" i="28"/>
  <c r="T66" i="28"/>
  <c r="Q66" i="28"/>
  <c r="T65" i="28"/>
  <c r="V65" i="28" s="1"/>
  <c r="Q65" i="28"/>
  <c r="T64" i="28"/>
  <c r="V64" i="28" s="1"/>
  <c r="Q64" i="28"/>
  <c r="T63" i="28"/>
  <c r="V63" i="28" s="1"/>
  <c r="Q63" i="28"/>
  <c r="T62" i="28"/>
  <c r="V62" i="28" s="1"/>
  <c r="Q62" i="28"/>
  <c r="T61" i="28"/>
  <c r="V61" i="28" s="1"/>
  <c r="Q61" i="28"/>
  <c r="T60" i="28"/>
  <c r="V60" i="28" s="1"/>
  <c r="Q60" i="28"/>
  <c r="T59" i="28"/>
  <c r="V59" i="28" s="1"/>
  <c r="Q59" i="28"/>
  <c r="V58" i="28"/>
  <c r="T58" i="28"/>
  <c r="Q58" i="28"/>
  <c r="T57" i="28"/>
  <c r="V57" i="28" s="1"/>
  <c r="Q57" i="28"/>
  <c r="T56" i="28"/>
  <c r="V56" i="28" s="1"/>
  <c r="Q56" i="28"/>
  <c r="T55" i="28"/>
  <c r="V55" i="28" s="1"/>
  <c r="Q55" i="28"/>
  <c r="T54" i="28"/>
  <c r="V54" i="28" s="1"/>
  <c r="Q54" i="28"/>
  <c r="T53" i="28"/>
  <c r="V53" i="28" s="1"/>
  <c r="Q53" i="28"/>
  <c r="T52" i="28"/>
  <c r="V52" i="28" s="1"/>
  <c r="Q52" i="28"/>
  <c r="T51" i="28"/>
  <c r="V51" i="28" s="1"/>
  <c r="Q51" i="28"/>
  <c r="V50" i="28"/>
  <c r="T50" i="28"/>
  <c r="Q50" i="28"/>
  <c r="T49" i="28"/>
  <c r="V49" i="28" s="1"/>
  <c r="Q49" i="28"/>
  <c r="T48" i="28"/>
  <c r="V48" i="28" s="1"/>
  <c r="Q48" i="28"/>
  <c r="T47" i="28"/>
  <c r="V47" i="28" s="1"/>
  <c r="Q47" i="28"/>
  <c r="T46" i="28"/>
  <c r="V46" i="28" s="1"/>
  <c r="Q46" i="28"/>
  <c r="T45" i="28"/>
  <c r="V45" i="28" s="1"/>
  <c r="Q45" i="28"/>
  <c r="T44" i="28"/>
  <c r="V44" i="28" s="1"/>
  <c r="Q44" i="28"/>
  <c r="T43" i="28"/>
  <c r="V43" i="28" s="1"/>
  <c r="Q43" i="28"/>
  <c r="V42" i="28"/>
  <c r="T42" i="28"/>
  <c r="Q42" i="28"/>
  <c r="T41" i="28"/>
  <c r="V41" i="28" s="1"/>
  <c r="Q41" i="28"/>
  <c r="T40" i="28"/>
  <c r="V40" i="28" s="1"/>
  <c r="Q40" i="28"/>
  <c r="T39" i="28"/>
  <c r="V39" i="28" s="1"/>
  <c r="Q39" i="28"/>
  <c r="T38" i="28"/>
  <c r="V38" i="28" s="1"/>
  <c r="Q38" i="28"/>
  <c r="T37" i="28"/>
  <c r="V37" i="28" s="1"/>
  <c r="Q37" i="28"/>
  <c r="T36" i="28"/>
  <c r="V36" i="28" s="1"/>
  <c r="Q36" i="28"/>
  <c r="T35" i="28"/>
  <c r="V35" i="28" s="1"/>
  <c r="Q35" i="28"/>
  <c r="V34" i="28"/>
  <c r="T34" i="28"/>
  <c r="Q34" i="28"/>
  <c r="T33" i="28"/>
  <c r="V33" i="28" s="1"/>
  <c r="Q33" i="28"/>
  <c r="T32" i="28"/>
  <c r="V32" i="28" s="1"/>
  <c r="Q32" i="28"/>
  <c r="T31" i="28"/>
  <c r="V31" i="28" s="1"/>
  <c r="Q31" i="28"/>
  <c r="T30" i="28"/>
  <c r="V30" i="28" s="1"/>
  <c r="Q30" i="28"/>
  <c r="T29" i="28"/>
  <c r="V29" i="28" s="1"/>
  <c r="Q29" i="28"/>
  <c r="T28" i="28"/>
  <c r="V28" i="28" s="1"/>
  <c r="Q28" i="28"/>
  <c r="T27" i="28"/>
  <c r="V27" i="28" s="1"/>
  <c r="Q27" i="28"/>
  <c r="V26" i="28"/>
  <c r="T26" i="28"/>
  <c r="Q26" i="28"/>
  <c r="T25" i="28"/>
  <c r="V25" i="28" s="1"/>
  <c r="Q25" i="28"/>
  <c r="T24" i="28"/>
  <c r="V24" i="28" s="1"/>
  <c r="Q24" i="28"/>
  <c r="T23" i="28"/>
  <c r="V23" i="28" s="1"/>
  <c r="Q23" i="28"/>
  <c r="T22" i="28"/>
  <c r="V22" i="28" s="1"/>
  <c r="Q22" i="28"/>
  <c r="T21" i="28"/>
  <c r="V21" i="28" s="1"/>
  <c r="Q21" i="28"/>
  <c r="T20" i="28"/>
  <c r="V20" i="28" s="1"/>
  <c r="Q20" i="28"/>
  <c r="T19" i="28"/>
  <c r="V19" i="28" s="1"/>
  <c r="Q19" i="28"/>
  <c r="V18" i="28"/>
  <c r="T18" i="28"/>
  <c r="Q18" i="28"/>
  <c r="T17" i="28"/>
  <c r="V17" i="28" s="1"/>
  <c r="Q17" i="28"/>
  <c r="T16" i="28"/>
  <c r="V16" i="28" s="1"/>
  <c r="Q16" i="28"/>
  <c r="T15" i="28"/>
  <c r="V15" i="28" s="1"/>
  <c r="Q15" i="28"/>
  <c r="T14" i="28"/>
  <c r="V14" i="28" s="1"/>
  <c r="Q14" i="28"/>
  <c r="T13" i="28"/>
  <c r="V13" i="28" s="1"/>
  <c r="Q13" i="28"/>
  <c r="T12" i="28"/>
  <c r="V12" i="28" s="1"/>
  <c r="Q12" i="28"/>
  <c r="T11" i="28"/>
  <c r="V11" i="28" s="1"/>
  <c r="Q11" i="28"/>
  <c r="V10" i="28"/>
  <c r="T10" i="28"/>
  <c r="Q10" i="28"/>
  <c r="T9" i="28"/>
  <c r="V9" i="28" s="1"/>
  <c r="Q9" i="28"/>
  <c r="T8" i="28"/>
  <c r="V8" i="28" s="1"/>
  <c r="Q8" i="28"/>
  <c r="T7" i="28"/>
  <c r="V7" i="28" s="1"/>
  <c r="Q7" i="28"/>
  <c r="T6" i="28"/>
  <c r="V6" i="28" s="1"/>
  <c r="Q6" i="28"/>
  <c r="T5" i="28"/>
  <c r="V5" i="28" s="1"/>
  <c r="Q5" i="28"/>
  <c r="T4" i="28"/>
  <c r="V4" i="28" s="1"/>
  <c r="Q4" i="28"/>
  <c r="T3" i="28"/>
  <c r="V3" i="28" s="1"/>
  <c r="Q3" i="28"/>
  <c r="V2" i="28"/>
  <c r="T2" i="28"/>
  <c r="Q2" i="28"/>
  <c r="T55" i="27"/>
  <c r="V55" i="27" s="1"/>
  <c r="Q55" i="27"/>
  <c r="T54" i="27"/>
  <c r="V54" i="27" s="1"/>
  <c r="Q54" i="27"/>
  <c r="V53" i="27"/>
  <c r="T53" i="27"/>
  <c r="Q53" i="27"/>
  <c r="T52" i="27"/>
  <c r="V52" i="27" s="1"/>
  <c r="Q52" i="27"/>
  <c r="T51" i="27"/>
  <c r="V51" i="27" s="1"/>
  <c r="Q51" i="27"/>
  <c r="T50" i="27"/>
  <c r="V50" i="27" s="1"/>
  <c r="Q50" i="27"/>
  <c r="T49" i="27"/>
  <c r="V49" i="27" s="1"/>
  <c r="Q49" i="27"/>
  <c r="T48" i="27"/>
  <c r="V48" i="27" s="1"/>
  <c r="Q48" i="27"/>
  <c r="T47" i="27"/>
  <c r="V47" i="27" s="1"/>
  <c r="Q47" i="27"/>
  <c r="T46" i="27"/>
  <c r="V46" i="27" s="1"/>
  <c r="Q46" i="27"/>
  <c r="V45" i="27"/>
  <c r="T45" i="27"/>
  <c r="Q45" i="27"/>
  <c r="T44" i="27"/>
  <c r="V44" i="27" s="1"/>
  <c r="Q44" i="27"/>
  <c r="T43" i="27"/>
  <c r="V43" i="27" s="1"/>
  <c r="Q43" i="27"/>
  <c r="T42" i="27"/>
  <c r="V42" i="27" s="1"/>
  <c r="Q42" i="27"/>
  <c r="T41" i="27"/>
  <c r="V41" i="27" s="1"/>
  <c r="Q41" i="27"/>
  <c r="T40" i="27"/>
  <c r="V40" i="27" s="1"/>
  <c r="Q40" i="27"/>
  <c r="T39" i="27"/>
  <c r="V39" i="27" s="1"/>
  <c r="Q39" i="27"/>
  <c r="T38" i="27"/>
  <c r="V38" i="27" s="1"/>
  <c r="Q38" i="27"/>
  <c r="V37" i="27"/>
  <c r="T37" i="27"/>
  <c r="Q37" i="27"/>
  <c r="T36" i="27"/>
  <c r="V36" i="27" s="1"/>
  <c r="Q36" i="27"/>
  <c r="T35" i="27"/>
  <c r="V35" i="27" s="1"/>
  <c r="Q35" i="27"/>
  <c r="T34" i="27"/>
  <c r="V34" i="27" s="1"/>
  <c r="Q34" i="27"/>
  <c r="T33" i="27"/>
  <c r="V33" i="27" s="1"/>
  <c r="Q33" i="27"/>
  <c r="T32" i="27"/>
  <c r="V32" i="27" s="1"/>
  <c r="Q32" i="27"/>
  <c r="T31" i="27"/>
  <c r="V31" i="27" s="1"/>
  <c r="Q31" i="27"/>
  <c r="T30" i="27"/>
  <c r="V30" i="27" s="1"/>
  <c r="Q30" i="27"/>
  <c r="V29" i="27"/>
  <c r="T29" i="27"/>
  <c r="Q29" i="27"/>
  <c r="T28" i="27"/>
  <c r="V28" i="27" s="1"/>
  <c r="Q28" i="27"/>
  <c r="T27" i="27"/>
  <c r="V27" i="27" s="1"/>
  <c r="Q27" i="27"/>
  <c r="T26" i="27"/>
  <c r="V26" i="27" s="1"/>
  <c r="Q26" i="27"/>
  <c r="T25" i="27"/>
  <c r="V25" i="27" s="1"/>
  <c r="Q25" i="27"/>
  <c r="T24" i="27"/>
  <c r="V24" i="27" s="1"/>
  <c r="Q24" i="27"/>
  <c r="T23" i="27"/>
  <c r="V23" i="27" s="1"/>
  <c r="Q23" i="27"/>
  <c r="T22" i="27"/>
  <c r="V22" i="27" s="1"/>
  <c r="Q22" i="27"/>
  <c r="V21" i="27"/>
  <c r="T21" i="27"/>
  <c r="Q21" i="27"/>
  <c r="T20" i="27"/>
  <c r="V20" i="27" s="1"/>
  <c r="Q20" i="27"/>
  <c r="T19" i="27"/>
  <c r="V19" i="27" s="1"/>
  <c r="Q19" i="27"/>
  <c r="T18" i="27"/>
  <c r="V18" i="27" s="1"/>
  <c r="Q18" i="27"/>
  <c r="T17" i="27"/>
  <c r="V17" i="27" s="1"/>
  <c r="Q17" i="27"/>
  <c r="T16" i="27"/>
  <c r="V16" i="27" s="1"/>
  <c r="Q16" i="27"/>
  <c r="T15" i="27"/>
  <c r="V15" i="27" s="1"/>
  <c r="Q15" i="27"/>
  <c r="T14" i="27"/>
  <c r="V14" i="27" s="1"/>
  <c r="Q14" i="27"/>
  <c r="V13" i="27"/>
  <c r="T13" i="27"/>
  <c r="Q13" i="27"/>
  <c r="T12" i="27"/>
  <c r="V12" i="27" s="1"/>
  <c r="Q12" i="27"/>
  <c r="T11" i="27"/>
  <c r="V11" i="27" s="1"/>
  <c r="Q11" i="27"/>
  <c r="T10" i="27"/>
  <c r="V10" i="27" s="1"/>
  <c r="Q10" i="27"/>
  <c r="T9" i="27"/>
  <c r="V9" i="27" s="1"/>
  <c r="Q9" i="27"/>
  <c r="T8" i="27"/>
  <c r="V8" i="27" s="1"/>
  <c r="Q8" i="27"/>
  <c r="T7" i="27"/>
  <c r="V7" i="27" s="1"/>
  <c r="Q7" i="27"/>
  <c r="T6" i="27"/>
  <c r="V6" i="27" s="1"/>
  <c r="Q6" i="27"/>
  <c r="V5" i="27"/>
  <c r="T5" i="27"/>
  <c r="Q5" i="27"/>
  <c r="T4" i="27"/>
  <c r="V4" i="27" s="1"/>
  <c r="Q4" i="27"/>
  <c r="T3" i="27"/>
  <c r="V3" i="27" s="1"/>
  <c r="Q3" i="27"/>
  <c r="T2" i="27"/>
  <c r="V2" i="27" s="1"/>
  <c r="Q2" i="27"/>
  <c r="T91" i="26" l="1"/>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V73" i="26"/>
  <c r="T73" i="26"/>
  <c r="Q73" i="26"/>
  <c r="T72" i="26"/>
  <c r="V72" i="26" s="1"/>
  <c r="Q72" i="26"/>
  <c r="T71" i="26"/>
  <c r="V71" i="26" s="1"/>
  <c r="Q71" i="26"/>
  <c r="T70" i="26"/>
  <c r="V70" i="26" s="1"/>
  <c r="Q70" i="26"/>
  <c r="T69" i="26"/>
  <c r="V69" i="26" s="1"/>
  <c r="Q69" i="26"/>
  <c r="T68" i="26"/>
  <c r="V68" i="26" s="1"/>
  <c r="Q68" i="26"/>
  <c r="T67" i="26"/>
  <c r="V67" i="26" s="1"/>
  <c r="Q67" i="26"/>
  <c r="T66" i="26"/>
  <c r="V66" i="26" s="1"/>
  <c r="Q66" i="26"/>
  <c r="V65" i="26"/>
  <c r="T65" i="26"/>
  <c r="Q65" i="26"/>
  <c r="T64" i="26"/>
  <c r="V64" i="26" s="1"/>
  <c r="Q64" i="26"/>
  <c r="T63" i="26"/>
  <c r="V63" i="26" s="1"/>
  <c r="Q63" i="26"/>
  <c r="T62" i="26"/>
  <c r="V62" i="26" s="1"/>
  <c r="Q62" i="26"/>
  <c r="T61" i="26"/>
  <c r="V61" i="26" s="1"/>
  <c r="Q61" i="26"/>
  <c r="T60" i="26"/>
  <c r="V60" i="26" s="1"/>
  <c r="Q60" i="26"/>
  <c r="T59" i="26"/>
  <c r="V59" i="26" s="1"/>
  <c r="Q59" i="26"/>
  <c r="V58" i="26"/>
  <c r="T58" i="26"/>
  <c r="Q58" i="26"/>
  <c r="T57" i="26"/>
  <c r="V57" i="26" s="1"/>
  <c r="Q57" i="26"/>
  <c r="T56" i="26"/>
  <c r="V56" i="26" s="1"/>
  <c r="Q56" i="26"/>
  <c r="T55" i="26"/>
  <c r="V55" i="26" s="1"/>
  <c r="Q55" i="26"/>
  <c r="T54" i="26"/>
  <c r="V54" i="26" s="1"/>
  <c r="Q54" i="26"/>
  <c r="T53" i="26"/>
  <c r="V53" i="26" s="1"/>
  <c r="Q53" i="26"/>
  <c r="T52" i="26"/>
  <c r="V52" i="26" s="1"/>
  <c r="Q52" i="26"/>
  <c r="T51" i="26"/>
  <c r="V51" i="26" s="1"/>
  <c r="Q51" i="26"/>
  <c r="V50" i="26"/>
  <c r="T50" i="26"/>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V26" i="26"/>
  <c r="T26" i="26"/>
  <c r="Q26" i="26"/>
  <c r="T25" i="26"/>
  <c r="V25" i="26" s="1"/>
  <c r="Q25" i="26"/>
  <c r="T24" i="26"/>
  <c r="V24" i="26" s="1"/>
  <c r="Q24" i="26"/>
  <c r="T23" i="26"/>
  <c r="V23" i="26" s="1"/>
  <c r="Q23" i="26"/>
  <c r="T22" i="26"/>
  <c r="V22" i="26" s="1"/>
  <c r="Q22" i="26"/>
  <c r="T21" i="26"/>
  <c r="V21" i="26" s="1"/>
  <c r="Q21" i="26"/>
  <c r="T20" i="26"/>
  <c r="V20" i="26" s="1"/>
  <c r="Q20" i="26"/>
  <c r="T19" i="26"/>
  <c r="V19" i="26" s="1"/>
  <c r="Q19" i="26"/>
  <c r="V18" i="26"/>
  <c r="T18" i="26"/>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<sst xmlns="http://schemas.openxmlformats.org/spreadsheetml/2006/main" count="8737" uniqueCount="538">
  <si>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</si>
  <si>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</si>
  <si>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</si>
  <si>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</si>
  <si>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</si>
  <si>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</si>
  <si>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</si>
  <si>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</si>
  <si>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</si>
  <si>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</si>
  <si>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</si>
  <si>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</si>
  <si>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</si>
  <si>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</si>
  <si>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</si>
  <si>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</si>
  <si>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</si>
  <si>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</si>
  <si>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</si>
  <si>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</si>
  <si>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</si>
  <si>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</si>
  <si>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</si>
  <si>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</si>
  <si>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</si>
  <si>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</si>
  <si>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</si>
  <si>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</si>
  <si>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</si>
  <si>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</si>
  <si>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</si>
  <si>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</si>
  <si>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</si>
  <si>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</si>
  <si>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</si>
  <si>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</si>
  <si>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</si>
  <si>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</si>
  <si>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</si>
  <si>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</si>
  <si>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</si>
  <si>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</si>
  <si>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</si>
  <si>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</si>
  <si>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</si>
  <si>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</si>
  <si>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</si>
  <si>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</si>
  <si>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</si>
  <si>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</si>
  <si>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</si>
  <si>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</si>
  <si>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</si>
  <si>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</si>
  <si>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</si>
  <si>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</si>
  <si>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</si>
  <si>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</si>
  <si>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</si>
  <si>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</si>
  <si>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</si>
  <si>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</si>
  <si>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</si>
  <si>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</si>
  <si>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</si>
  <si>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</si>
  <si>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</si>
  <si>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</si>
  <si>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</si>
  <si>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</si>
  <si>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</si>
  <si>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</si>
  <si>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</si>
  <si>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</si>
  <si>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</si>
  <si>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</si>
  <si>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</si>
  <si>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</si>
  <si>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</si>
  <si>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</si>
  <si>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</si>
  <si>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</si>
  <si>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</si>
  <si>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</si>
  <si>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</si>
  <si>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</si>
  <si>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</si>
  <si>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</si>
  <si>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</si>
  <si>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</si>
  <si>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</si>
  <si>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</si>
  <si>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</si>
  <si>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</si>
  <si>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</si>
  <si>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</si>
  <si>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</si>
  <si>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</si>
  <si>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</si>
  <si>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</si>
  <si>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</si>
  <si>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</si>
  <si>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</si>
  <si>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</si>
  <si>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</si>
  <si>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</si>
  <si>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</si>
  <si>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</si>
  <si>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</si>
  <si>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</si>
  <si>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</si>
  <si>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</si>
  <si>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</si>
  <si>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</si>
  <si>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</si>
  <si>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</si>
  <si>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</si>
  <si>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</si>
  <si>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</si>
  <si>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</si>
  <si>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</si>
  <si>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</si>
  <si>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</si>
  <si>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</si>
  <si>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</si>
  <si>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</si>
  <si>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</si>
  <si>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</si>
  <si>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</si>
  <si>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</si>
  <si>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</si>
  <si>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</si>
  <si>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</si>
  <si>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</si>
  <si>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</si>
  <si>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</si>
  <si>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</si>
  <si>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</si>
  <si>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</si>
  <si>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</si>
  <si>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</si>
  <si>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</si>
  <si>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</si>
  <si>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</si>
  <si>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</si>
  <si>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</si>
  <si>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</si>
  <si>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</si>
  <si>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</si>
  <si>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</si>
  <si>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</si>
  <si>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</si>
  <si>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</si>
  <si>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</si>
  <si>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</si>
  <si>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</si>
  <si>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</si>
  <si>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</si>
  <si>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</si>
  <si>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検体
番号</t>
    <phoneticPr fontId="4"/>
  </si>
  <si>
    <t>糖度</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</si>
  <si>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</si>
  <si>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</si>
  <si>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</si>
  <si>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</si>
  <si>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</si>
  <si>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</si>
  <si>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</si>
  <si>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GA</t>
  </si>
  <si>
    <t>HW</t>
    <phoneticPr fontId="4"/>
  </si>
  <si>
    <t>CK</t>
    <phoneticPr fontId="4"/>
  </si>
  <si>
    <t>Del Monte</t>
    <phoneticPr fontId="3"/>
  </si>
  <si>
    <t>HE</t>
    <phoneticPr fontId="4"/>
  </si>
  <si>
    <t>佐賀</t>
    <rPh sb="0" eb="2">
      <t>サガ</t>
    </rPh>
    <phoneticPr fontId="3"/>
  </si>
  <si>
    <t>ラフランス</t>
  </si>
  <si>
    <t>西友</t>
  </si>
  <si>
    <t>Green
Other
SIZE</t>
    <phoneticPr fontId="4"/>
  </si>
  <si>
    <r>
      <t xml:space="preserve">Gold
</t>
    </r>
    <r>
      <rPr>
        <b/>
        <sz val="8"/>
        <rFont val="ＭＳ Ｐゴシック"/>
        <family val="3"/>
        <charset val="128"/>
      </rPr>
      <t>最低重量</t>
    </r>
    <phoneticPr fontId="4"/>
  </si>
  <si>
    <t>日進岩藤店</t>
    <rPh sb="0" eb="2">
      <t>ニッシン</t>
    </rPh>
    <phoneticPr fontId="4"/>
  </si>
  <si>
    <t>日進店</t>
    <rPh sb="0" eb="2">
      <t>ニッシン</t>
    </rPh>
    <rPh sb="2" eb="3">
      <t>ミセ</t>
    </rPh>
    <phoneticPr fontId="4"/>
  </si>
  <si>
    <t>その他レッド</t>
    <rPh sb="2" eb="3">
      <t>タ</t>
    </rPh>
    <phoneticPr fontId="4"/>
  </si>
  <si>
    <t>D'lish</t>
    <phoneticPr fontId="4"/>
  </si>
  <si>
    <t>長久手店</t>
    <phoneticPr fontId="4"/>
  </si>
  <si>
    <t>OB</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</si>
  <si>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</si>
  <si>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</si>
  <si>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</si>
  <si>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</si>
  <si>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</si>
  <si>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</si>
  <si>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</si>
  <si>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</si>
  <si>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</si>
  <si>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</si>
  <si>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</si>
  <si>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</si>
  <si>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</si>
  <si>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</si>
  <si>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</si>
  <si>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</si>
  <si>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</si>
  <si>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</si>
  <si>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</si>
  <si>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</si>
  <si>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</si>
  <si>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</si>
  <si>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</si>
  <si>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</si>
  <si>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</si>
  <si>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</si>
  <si>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</si>
  <si>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</si>
  <si>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</si>
  <si>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</si>
  <si>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</si>
  <si>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</si>
  <si>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</si>
  <si>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キンショー</t>
  </si>
  <si>
    <t>東湊店</t>
  </si>
  <si>
    <t>万代</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</si>
  <si>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</si>
  <si>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</si>
  <si>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</si>
  <si>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</si>
  <si>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</si>
  <si>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</si>
  <si>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</si>
  <si>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</si>
  <si>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</si>
  <si>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</si>
  <si>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</si>
  <si>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</si>
  <si>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</si>
  <si>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</si>
  <si>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</si>
  <si>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</si>
  <si>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</si>
  <si>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</si>
  <si>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</si>
  <si>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</si>
  <si>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</si>
  <si>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</si>
  <si>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</si>
  <si>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</si>
  <si>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</si>
  <si>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</si>
  <si>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県名</t>
    <phoneticPr fontId="3"/>
  </si>
  <si>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</si>
  <si>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</si>
  <si>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</si>
  <si>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</si>
  <si>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</si>
  <si>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</si>
  <si>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</si>
  <si>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</si>
  <si>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</si>
  <si>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</si>
  <si>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</si>
  <si>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</si>
  <si>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GK</t>
    <phoneticPr fontId="4"/>
  </si>
  <si>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</si>
  <si>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</si>
  <si>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</si>
  <si>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</si>
  <si>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</si>
  <si>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</si>
  <si>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</si>
  <si>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</si>
  <si>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シーズン</t>
    <phoneticPr fontId="4"/>
  </si>
  <si>
    <t>硬度
１</t>
    <phoneticPr fontId="4"/>
  </si>
  <si>
    <t>Weight</t>
    <phoneticPr fontId="4"/>
  </si>
  <si>
    <t>U/P JPY</t>
    <phoneticPr fontId="4"/>
  </si>
  <si>
    <t>Currency</t>
    <phoneticPr fontId="4"/>
  </si>
  <si>
    <t>福岡</t>
    <rPh sb="0" eb="2">
      <t>フクオカ</t>
    </rPh>
    <phoneticPr fontId="4"/>
  </si>
  <si>
    <t>西鉄ストア</t>
    <rPh sb="0" eb="2">
      <t>ニシテツ</t>
    </rPh>
    <phoneticPr fontId="3"/>
  </si>
  <si>
    <t>Del Monte</t>
    <phoneticPr fontId="4"/>
  </si>
  <si>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</si>
  <si>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</si>
  <si>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</si>
  <si>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</si>
  <si>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</si>
  <si>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</si>
  <si>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</si>
  <si>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</si>
  <si>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</si>
  <si>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</si>
  <si>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</si>
  <si>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</si>
  <si>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</si>
  <si>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</si>
  <si>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</si>
  <si>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</si>
  <si>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</si>
  <si>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</si>
  <si>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</si>
  <si>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</si>
  <si>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</si>
  <si>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</si>
  <si>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</si>
  <si>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</si>
  <si>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</si>
  <si>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</si>
  <si>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</si>
  <si>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</si>
  <si>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</si>
  <si>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</si>
  <si>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</si>
  <si>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</si>
  <si>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</si>
  <si>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</si>
  <si>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</si>
  <si>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</si>
  <si>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</si>
  <si>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</si>
  <si>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</si>
  <si>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</si>
  <si>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</si>
  <si>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</si>
  <si>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</si>
  <si>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</si>
  <si>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</si>
  <si>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</si>
  <si>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</si>
  <si>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</si>
  <si>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</si>
  <si>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</si>
  <si>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</si>
  <si>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</si>
  <si>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</si>
  <si>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</si>
  <si>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</si>
  <si>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</si>
  <si>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</si>
  <si>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</si>
  <si>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</si>
  <si>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</si>
  <si>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</si>
  <si>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</si>
  <si>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</si>
  <si>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</si>
  <si>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</si>
  <si>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</si>
  <si>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</si>
  <si>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</si>
  <si>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</si>
  <si>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</si>
  <si>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</si>
  <si>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</si>
  <si>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</si>
  <si>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</si>
  <si>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</si>
  <si>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</si>
  <si>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14.08.2018</t>
  </si>
  <si>
    <t>14.08.2018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</si>
  <si>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</si>
  <si>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</si>
  <si>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</si>
  <si>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</si>
  <si>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</si>
  <si>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</si>
  <si>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</si>
  <si>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</si>
  <si>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Gold
SIZE</t>
    <phoneticPr fontId="4"/>
  </si>
  <si>
    <t>13.08.2018</t>
    <phoneticPr fontId="3"/>
  </si>
  <si>
    <t>ﾆｭｰｼﾞｰﾗﾝﾄﾞ</t>
    <phoneticPr fontId="4"/>
  </si>
  <si>
    <t>13.08.2018</t>
  </si>
  <si>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</si>
  <si>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</si>
  <si>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</si>
  <si>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</si>
  <si>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</si>
  <si>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</si>
  <si>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</si>
  <si>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</si>
  <si>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</si>
  <si>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</si>
  <si>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</si>
  <si>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</si>
  <si>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16.08.2018</t>
    <phoneticPr fontId="3"/>
  </si>
  <si>
    <t>アオキスーパー</t>
  </si>
  <si>
    <t>アオキスーパー</t>
    <phoneticPr fontId="4"/>
  </si>
  <si>
    <t>ピアゴ</t>
    <phoneticPr fontId="4"/>
  </si>
  <si>
    <t>長久手南店</t>
    <phoneticPr fontId="4"/>
  </si>
  <si>
    <t>カネスエ</t>
    <phoneticPr fontId="4"/>
  </si>
  <si>
    <t>アピタ</t>
    <phoneticPr fontId="4"/>
  </si>
  <si>
    <t>JP</t>
    <phoneticPr fontId="3"/>
  </si>
  <si>
    <t>16.08.2018</t>
    <phoneticPr fontId="3"/>
  </si>
  <si>
    <t>カネトク</t>
    <phoneticPr fontId="4"/>
  </si>
  <si>
    <t>JP</t>
    <phoneticPr fontId="3"/>
  </si>
  <si>
    <t>16.08.2018</t>
    <phoneticPr fontId="3"/>
  </si>
  <si>
    <t>マックスバリュ</t>
    <phoneticPr fontId="4"/>
  </si>
  <si>
    <t>長久手店</t>
    <phoneticPr fontId="4"/>
  </si>
  <si>
    <t>アピタ</t>
    <phoneticPr fontId="4"/>
  </si>
  <si>
    <t>JP</t>
    <phoneticPr fontId="3"/>
  </si>
  <si>
    <t>16.08.2018</t>
    <phoneticPr fontId="3"/>
  </si>
  <si>
    <t>アオキスーパー</t>
    <phoneticPr fontId="4"/>
  </si>
  <si>
    <t>長久手店</t>
    <phoneticPr fontId="4"/>
  </si>
  <si>
    <t>JP</t>
    <phoneticPr fontId="3"/>
  </si>
  <si>
    <t>16.08.2018</t>
    <phoneticPr fontId="3"/>
  </si>
  <si>
    <t>JP</t>
    <phoneticPr fontId="3"/>
  </si>
  <si>
    <t>16.08.2018</t>
    <phoneticPr fontId="3"/>
  </si>
  <si>
    <t>ピアゴ</t>
  </si>
  <si>
    <t>長久手南店</t>
  </si>
  <si>
    <t>JP</t>
    <phoneticPr fontId="3"/>
  </si>
  <si>
    <t>16.08.2018</t>
    <phoneticPr fontId="3"/>
  </si>
  <si>
    <t>カネスエ</t>
  </si>
  <si>
    <t>長久手店</t>
  </si>
  <si>
    <t>ラフランス</t>
    <phoneticPr fontId="4"/>
  </si>
  <si>
    <t>キラキラ</t>
    <phoneticPr fontId="4"/>
  </si>
  <si>
    <t>グリーンアイ</t>
    <phoneticPr fontId="4"/>
  </si>
  <si>
    <t>カネトク</t>
  </si>
  <si>
    <t>アピタ</t>
  </si>
  <si>
    <t>JPY</t>
    <phoneticPr fontId="3"/>
  </si>
  <si>
    <t>17.08.2018</t>
  </si>
  <si>
    <t>津久野店</t>
  </si>
  <si>
    <t>18.08.2018</t>
    <phoneticPr fontId="3"/>
  </si>
  <si>
    <t>18.08.2018</t>
    <phoneticPr fontId="3"/>
  </si>
  <si>
    <t>JPY</t>
    <phoneticPr fontId="3"/>
  </si>
  <si>
    <t>18.08.2018</t>
    <phoneticPr fontId="3"/>
  </si>
  <si>
    <t>JPY</t>
    <phoneticPr fontId="3"/>
  </si>
  <si>
    <t>広島</t>
    <phoneticPr fontId="3"/>
  </si>
  <si>
    <t>バナナ</t>
    <phoneticPr fontId="4"/>
  </si>
  <si>
    <t>18.08.2018</t>
    <phoneticPr fontId="3"/>
  </si>
  <si>
    <t>JPY</t>
    <phoneticPr fontId="3"/>
  </si>
  <si>
    <t>パパイヤ</t>
    <phoneticPr fontId="4"/>
  </si>
  <si>
    <t>18.08.2018</t>
    <phoneticPr fontId="3"/>
  </si>
  <si>
    <t>JPY</t>
    <phoneticPr fontId="3"/>
  </si>
  <si>
    <t>びわ</t>
    <phoneticPr fontId="4"/>
  </si>
  <si>
    <t>18.08.2018</t>
    <phoneticPr fontId="3"/>
  </si>
  <si>
    <t>JPY</t>
    <phoneticPr fontId="3"/>
  </si>
  <si>
    <t>メロン</t>
    <phoneticPr fontId="4"/>
  </si>
  <si>
    <t>桃</t>
    <phoneticPr fontId="4"/>
  </si>
  <si>
    <t>18.08.2018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</si>
  <si>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</si>
  <si>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</si>
  <si>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</si>
  <si>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</si>
  <si>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</si>
  <si>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</si>
  <si>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</si>
  <si>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</si>
  <si>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</si>
  <si>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</si>
  <si>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</si>
  <si>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</si>
  <si>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</si>
  <si>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</si>
  <si>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15.08.2018</t>
    <phoneticPr fontId="3"/>
  </si>
  <si>
    <t>15.08.2018</t>
    <phoneticPr fontId="3"/>
  </si>
  <si>
    <t>マルショク</t>
    <phoneticPr fontId="3"/>
  </si>
  <si>
    <t>JPY</t>
    <phoneticPr fontId="4"/>
  </si>
  <si>
    <t>一般栽培</t>
    <phoneticPr fontId="4"/>
  </si>
  <si>
    <t>ﾆｭｰｼﾞｰﾗﾝﾄﾞ</t>
    <phoneticPr fontId="4"/>
  </si>
  <si>
    <t>JP</t>
    <phoneticPr fontId="3"/>
  </si>
  <si>
    <t>15.08.2018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</si>
  <si>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</si>
  <si>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</si>
  <si>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</si>
  <si>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</si>
  <si>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</si>
  <si>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</si>
  <si>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</si>
  <si>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</si>
  <si>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</si>
  <si>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</si>
  <si>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</si>
  <si>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</si>
  <si>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15.08.2018</t>
    <phoneticPr fontId="3"/>
  </si>
  <si>
    <t>HE</t>
    <phoneticPr fontId="4"/>
  </si>
  <si>
    <t>JP</t>
    <phoneticPr fontId="3"/>
  </si>
  <si>
    <t>15.08.2018</t>
    <phoneticPr fontId="3"/>
  </si>
  <si>
    <t>GA</t>
    <phoneticPr fontId="4"/>
  </si>
  <si>
    <t>15.08.2018</t>
    <phoneticPr fontId="3"/>
  </si>
  <si>
    <t>オレンジ</t>
    <phoneticPr fontId="3"/>
  </si>
  <si>
    <t>JP</t>
    <phoneticPr fontId="3"/>
  </si>
  <si>
    <t>15.08.2018</t>
    <phoneticPr fontId="3"/>
  </si>
  <si>
    <t>JPY</t>
    <phoneticPr fontId="4"/>
  </si>
  <si>
    <t>15.08.2018</t>
    <phoneticPr fontId="3"/>
  </si>
  <si>
    <t>JPY</t>
    <phoneticPr fontId="4"/>
  </si>
  <si>
    <t>15.08.2018</t>
    <phoneticPr fontId="3"/>
  </si>
  <si>
    <t>JPY</t>
    <phoneticPr fontId="4"/>
  </si>
  <si>
    <t>15.08.2018</t>
    <phoneticPr fontId="3"/>
  </si>
  <si>
    <t>JPY</t>
    <phoneticPr fontId="4"/>
  </si>
  <si>
    <t>JPY</t>
    <phoneticPr fontId="4"/>
  </si>
  <si>
    <t>JP</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</si>
  <si>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</si>
  <si>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</si>
  <si>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</si>
  <si>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</si>
  <si>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</si>
  <si>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</si>
  <si>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</si>
  <si>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</si>
  <si>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</si>
  <si>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</si>
  <si>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</si>
  <si>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</si>
  <si>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</si>
  <si>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</si>
  <si>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</si>
  <si>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</si>
  <si>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</si>
  <si>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</si>
  <si>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</si>
  <si>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</si>
  <si>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</si>
  <si>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16.08.2018</t>
    <phoneticPr fontId="3"/>
  </si>
  <si>
    <t>サミット</t>
  </si>
  <si>
    <t>JPY</t>
    <phoneticPr fontId="3"/>
  </si>
  <si>
    <t>カドヤ</t>
    <phoneticPr fontId="4"/>
  </si>
  <si>
    <t>ﾆｭｰｼﾞｰﾗﾝﾄﾞ</t>
    <phoneticPr fontId="4"/>
  </si>
  <si>
    <t>16.08.2018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</si>
  <si>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</si>
  <si>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</si>
  <si>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</si>
  <si>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</si>
  <si>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</si>
  <si>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</si>
  <si>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</si>
  <si>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</si>
  <si>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</si>
  <si>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</si>
  <si>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</si>
  <si>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</si>
  <si>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</si>
  <si>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</si>
  <si>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</si>
  <si>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</si>
  <si>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</si>
  <si>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17.08.2018</t>
    <phoneticPr fontId="3"/>
  </si>
  <si>
    <t>17.08.2018</t>
    <phoneticPr fontId="3"/>
  </si>
  <si>
    <t>17.08.2018</t>
    <phoneticPr fontId="3"/>
  </si>
  <si>
    <t>17.08.2018</t>
    <phoneticPr fontId="3"/>
  </si>
  <si>
    <t>17.08.2018</t>
    <phoneticPr fontId="3"/>
  </si>
  <si>
    <t>17.08.2018</t>
    <phoneticPr fontId="3"/>
  </si>
  <si>
    <t>17.08.2018</t>
    <phoneticPr fontId="3"/>
  </si>
  <si>
    <t>ビッグ・エー</t>
    <phoneticPr fontId="3"/>
  </si>
  <si>
    <t>ヤマイチ</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</si>
</sst>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 #,##0.00_ ;_ * \-#,##0.00_ ;_ * &quot;-&quot;??_ ;_ @_ "/>
    <numFmt numFmtId="176" formatCode="_-&quot;¥&quot;* #,##0.00_-\ ;\-&quot;¥&quot;* #,##0.00_-\ ;_-&quot;¥&quot;* &quot;-&quot;??_-\ ;_-@_-"/>
    <numFmt numFmtId="177" formatCode="0.00_);[Red]\(0.00\)"/>
    <numFmt numFmtId="178" formatCode="0.00_ "/>
    <numFmt numFmtId="179" formatCode="0_ "/>
    <numFmt numFmtId="181" formatCode="0_);[Red]\(0\)"/>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78" fontId="1" fillId="3" borderId="0" xfId="1" applyNumberFormat="1" applyFont="1" applyFill="1"/>
    <xf numFmtId="0" fontId="10" fillId="0" borderId="0" xfId="1" applyFont="1" applyBorder="1"/>
    <xf numFmtId="0" fontId="1" fillId="0" borderId="0" xfId="1" applyFont="1" applyFill="1" applyBorder="1"/>
    <xf numFmtId="0" fontId="14" fillId="0" borderId="0" xfId="1" applyFont="1" applyFill="1"/>
    <xf numFmtId="14" fontId="0" fillId="4" borderId="45" xfId="1" applyNumberFormat="1" applyFont="1" applyFill="1" applyBorder="1"/>
    <xf numFmtId="181" fontId="0" fillId="4" borderId="36" xfId="1" applyNumberFormat="1" applyFont="1" applyFill="1" applyBorder="1"/>
    <xf numFmtId="181" fontId="0" fillId="4" borderId="45"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3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D15" sqref="AD15"/>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347</v>
      </c>
      <c r="B2" s="15" t="s">
        <v>349</v>
      </c>
      <c r="C2" s="15">
        <v>2018</v>
      </c>
      <c r="D2" s="50" t="s">
        <v>353</v>
      </c>
      <c r="E2" s="15" t="s">
        <v>142</v>
      </c>
      <c r="F2" s="15" t="s">
        <v>151</v>
      </c>
      <c r="G2" s="15" t="s">
        <v>36</v>
      </c>
      <c r="H2" s="15" t="s">
        <v>157</v>
      </c>
      <c r="I2" s="15" t="s">
        <v>155</v>
      </c>
      <c r="J2" s="15" t="s">
        <v>38</v>
      </c>
      <c r="K2" s="7" t="s">
        <v>156</v>
      </c>
      <c r="L2" s="7">
        <v>1</v>
      </c>
      <c r="N2" s="47">
        <v>1</v>
      </c>
      <c r="O2" s="15">
        <v>0.5</v>
      </c>
      <c r="P2" s="15">
        <v>0.5</v>
      </c>
      <c r="Q2" s="51">
        <f t="shared" ref="Q2:Q65" si="0">IF(OR(O2="",P2=""),"",AVERAGE(O2,P2))</f>
        <v>0.5</v>
      </c>
      <c r="R2" s="15">
        <v>13.3</v>
      </c>
      <c r="S2" s="15">
        <v>115</v>
      </c>
      <c r="T2" s="38">
        <f t="shared" ref="T2:T59" si="1">IF(H2="","",IF(OR(H2="GREEN",H2="GK"),IF(S2&gt;=$AX$2,VLOOKUP(S2,$AX$2:$AY$12,2,1),""),IF(S2&gt;=$AZ$2,VLOOKUP(S2,$AZ$2:$BA$12,2,1),"")))</f>
        <v>30</v>
      </c>
      <c r="U2" s="15">
        <v>105</v>
      </c>
      <c r="V2" s="38">
        <f t="shared" ref="V2:V65" si="2">IF(OR(N2="",U2="",T2=""),"",U2/N2*T2)</f>
        <v>3150</v>
      </c>
      <c r="W2" s="15">
        <v>4</v>
      </c>
      <c r="X2" s="15" t="s">
        <v>46</v>
      </c>
      <c r="Y2" s="15" t="s">
        <v>88</v>
      </c>
      <c r="Z2" s="15" t="s">
        <v>78</v>
      </c>
      <c r="AA2" s="15" t="s">
        <v>86</v>
      </c>
      <c r="AB2" s="39" t="s">
        <v>351</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347</v>
      </c>
      <c r="B3" s="15" t="s">
        <v>348</v>
      </c>
      <c r="C3" s="15">
        <v>2018</v>
      </c>
      <c r="D3" s="37" t="s">
        <v>352</v>
      </c>
      <c r="E3" s="15" t="s">
        <v>142</v>
      </c>
      <c r="F3" s="7" t="s">
        <v>151</v>
      </c>
      <c r="G3" s="7" t="s">
        <v>36</v>
      </c>
      <c r="H3" s="15" t="s">
        <v>157</v>
      </c>
      <c r="I3" s="7" t="s">
        <v>155</v>
      </c>
      <c r="J3" s="15" t="s">
        <v>38</v>
      </c>
      <c r="K3" s="7" t="s">
        <v>156</v>
      </c>
      <c r="L3" s="7">
        <v>2</v>
      </c>
      <c r="N3" s="7">
        <v>1</v>
      </c>
      <c r="O3" s="34">
        <v>0.55000000000000004</v>
      </c>
      <c r="P3" s="7">
        <v>0.5</v>
      </c>
      <c r="Q3" s="52">
        <f t="shared" si="0"/>
        <v>0.52500000000000002</v>
      </c>
      <c r="R3" s="7">
        <v>14.7</v>
      </c>
      <c r="S3" s="7">
        <v>119</v>
      </c>
      <c r="T3" s="16">
        <f t="shared" si="1"/>
        <v>30</v>
      </c>
      <c r="U3" s="15">
        <v>105</v>
      </c>
      <c r="V3" s="16">
        <f t="shared" si="2"/>
        <v>3150</v>
      </c>
      <c r="W3" s="15">
        <v>4</v>
      </c>
      <c r="X3" s="15" t="s">
        <v>46</v>
      </c>
      <c r="Y3" s="216" t="s">
        <v>88</v>
      </c>
      <c r="Z3" s="216" t="s">
        <v>78</v>
      </c>
      <c r="AA3" s="216" t="s">
        <v>86</v>
      </c>
      <c r="AB3" s="39" t="s">
        <v>350</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347</v>
      </c>
      <c r="B4" s="15" t="s">
        <v>348</v>
      </c>
      <c r="C4" s="15">
        <v>2018</v>
      </c>
      <c r="D4" s="37" t="s">
        <v>352</v>
      </c>
      <c r="E4" s="15" t="s">
        <v>142</v>
      </c>
      <c r="F4" s="7" t="s">
        <v>151</v>
      </c>
      <c r="G4" s="7" t="s">
        <v>36</v>
      </c>
      <c r="H4" s="15" t="s">
        <v>157</v>
      </c>
      <c r="I4" s="208" t="s">
        <v>155</v>
      </c>
      <c r="J4" s="15" t="s">
        <v>38</v>
      </c>
      <c r="K4" s="7" t="s">
        <v>156</v>
      </c>
      <c r="L4" s="7">
        <v>3</v>
      </c>
      <c r="N4" s="7">
        <v>1</v>
      </c>
      <c r="O4" s="7">
        <v>0.8</v>
      </c>
      <c r="P4" s="7">
        <v>0.95</v>
      </c>
      <c r="Q4" s="52">
        <f t="shared" si="0"/>
        <v>0.875</v>
      </c>
      <c r="R4" s="7">
        <v>14</v>
      </c>
      <c r="S4" s="7">
        <v>114</v>
      </c>
      <c r="T4" s="16">
        <f t="shared" si="1"/>
        <v>30</v>
      </c>
      <c r="U4" s="15">
        <v>105</v>
      </c>
      <c r="V4" s="16">
        <f t="shared" si="2"/>
        <v>3150</v>
      </c>
      <c r="W4" s="15">
        <v>4</v>
      </c>
      <c r="X4" s="15" t="s">
        <v>46</v>
      </c>
      <c r="Y4" s="216" t="s">
        <v>88</v>
      </c>
      <c r="Z4" s="216" t="s">
        <v>78</v>
      </c>
      <c r="AA4" s="216" t="s">
        <v>86</v>
      </c>
      <c r="AB4" s="39" t="s">
        <v>350</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347</v>
      </c>
      <c r="B5" s="15" t="s">
        <v>348</v>
      </c>
      <c r="C5" s="15">
        <v>2018</v>
      </c>
      <c r="D5" s="37" t="s">
        <v>352</v>
      </c>
      <c r="E5" s="15" t="s">
        <v>142</v>
      </c>
      <c r="F5" s="15" t="s">
        <v>151</v>
      </c>
      <c r="G5" s="7" t="s">
        <v>36</v>
      </c>
      <c r="H5" s="15" t="s">
        <v>168</v>
      </c>
      <c r="I5" s="208" t="s">
        <v>155</v>
      </c>
      <c r="J5" s="15" t="s">
        <v>38</v>
      </c>
      <c r="K5" s="7" t="s">
        <v>156</v>
      </c>
      <c r="L5" s="7">
        <v>1</v>
      </c>
      <c r="N5" s="7">
        <v>1</v>
      </c>
      <c r="O5" s="7">
        <v>0.5</v>
      </c>
      <c r="P5" s="7">
        <v>0.5</v>
      </c>
      <c r="Q5" s="52">
        <f t="shared" si="0"/>
        <v>0.5</v>
      </c>
      <c r="R5" s="7">
        <v>20.6</v>
      </c>
      <c r="S5" s="7">
        <v>126</v>
      </c>
      <c r="T5" s="16">
        <f t="shared" si="1"/>
        <v>27</v>
      </c>
      <c r="U5" s="15">
        <v>145</v>
      </c>
      <c r="V5" s="16">
        <f t="shared" si="2"/>
        <v>3915</v>
      </c>
      <c r="W5" s="15">
        <v>4</v>
      </c>
      <c r="X5" s="15" t="s">
        <v>46</v>
      </c>
      <c r="Y5" s="216" t="s">
        <v>88</v>
      </c>
      <c r="Z5" s="216" t="s">
        <v>78</v>
      </c>
      <c r="AA5" s="216" t="s">
        <v>86</v>
      </c>
      <c r="AB5" s="39" t="s">
        <v>350</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347</v>
      </c>
      <c r="B6" s="15" t="s">
        <v>348</v>
      </c>
      <c r="C6" s="15">
        <v>2018</v>
      </c>
      <c r="D6" s="37" t="s">
        <v>352</v>
      </c>
      <c r="E6" s="15" t="s">
        <v>142</v>
      </c>
      <c r="F6" s="7" t="s">
        <v>151</v>
      </c>
      <c r="G6" s="7" t="s">
        <v>36</v>
      </c>
      <c r="H6" s="216" t="s">
        <v>168</v>
      </c>
      <c r="I6" s="208" t="s">
        <v>155</v>
      </c>
      <c r="J6" s="216" t="s">
        <v>38</v>
      </c>
      <c r="K6" s="208" t="s">
        <v>156</v>
      </c>
      <c r="L6" s="7">
        <v>2</v>
      </c>
      <c r="N6" s="7">
        <v>1</v>
      </c>
      <c r="O6" s="7">
        <v>0.5</v>
      </c>
      <c r="P6" s="7">
        <v>0.5</v>
      </c>
      <c r="Q6" s="52">
        <f t="shared" si="0"/>
        <v>0.5</v>
      </c>
      <c r="R6" s="7">
        <v>15.2</v>
      </c>
      <c r="S6" s="7">
        <v>127</v>
      </c>
      <c r="T6" s="16">
        <f t="shared" si="1"/>
        <v>27</v>
      </c>
      <c r="U6" s="216">
        <v>145</v>
      </c>
      <c r="V6" s="16">
        <f t="shared" si="2"/>
        <v>3915</v>
      </c>
      <c r="W6" s="15">
        <v>4</v>
      </c>
      <c r="X6" s="15" t="s">
        <v>46</v>
      </c>
      <c r="Y6" s="216" t="s">
        <v>88</v>
      </c>
      <c r="Z6" s="216" t="s">
        <v>78</v>
      </c>
      <c r="AA6" s="216" t="s">
        <v>86</v>
      </c>
      <c r="AB6" s="39" t="s">
        <v>350</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347</v>
      </c>
      <c r="B7" s="15" t="s">
        <v>348</v>
      </c>
      <c r="C7" s="15">
        <v>2018</v>
      </c>
      <c r="D7" s="37" t="s">
        <v>352</v>
      </c>
      <c r="E7" s="15" t="s">
        <v>142</v>
      </c>
      <c r="F7" s="7" t="s">
        <v>151</v>
      </c>
      <c r="G7" s="7" t="s">
        <v>36</v>
      </c>
      <c r="H7" s="216" t="s">
        <v>168</v>
      </c>
      <c r="I7" s="208" t="s">
        <v>155</v>
      </c>
      <c r="J7" s="216" t="s">
        <v>38</v>
      </c>
      <c r="K7" s="208" t="s">
        <v>156</v>
      </c>
      <c r="L7" s="7">
        <v>3</v>
      </c>
      <c r="N7" s="7">
        <v>1</v>
      </c>
      <c r="O7" s="7">
        <v>0.75</v>
      </c>
      <c r="P7" s="7">
        <v>0.65</v>
      </c>
      <c r="Q7" s="52">
        <f t="shared" si="0"/>
        <v>0.7</v>
      </c>
      <c r="R7" s="34">
        <v>17</v>
      </c>
      <c r="S7" s="7">
        <v>123</v>
      </c>
      <c r="T7" s="16">
        <f t="shared" si="1"/>
        <v>27</v>
      </c>
      <c r="U7" s="216">
        <v>145</v>
      </c>
      <c r="V7" s="16">
        <f t="shared" si="2"/>
        <v>3915</v>
      </c>
      <c r="W7" s="15">
        <v>4</v>
      </c>
      <c r="X7" s="15" t="s">
        <v>46</v>
      </c>
      <c r="Y7" s="216" t="s">
        <v>88</v>
      </c>
      <c r="Z7" s="216" t="s">
        <v>78</v>
      </c>
      <c r="AA7" s="216" t="s">
        <v>86</v>
      </c>
      <c r="AB7" s="39" t="s">
        <v>377</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347</v>
      </c>
      <c r="B8" s="15" t="s">
        <v>348</v>
      </c>
      <c r="C8" s="15">
        <v>2018</v>
      </c>
      <c r="D8" s="37" t="s">
        <v>352</v>
      </c>
      <c r="E8" s="15" t="s">
        <v>133</v>
      </c>
      <c r="F8" s="7" t="s">
        <v>152</v>
      </c>
      <c r="G8" s="7" t="s">
        <v>36</v>
      </c>
      <c r="H8" s="15" t="s">
        <v>157</v>
      </c>
      <c r="I8" s="208" t="s">
        <v>155</v>
      </c>
      <c r="J8" s="15" t="s">
        <v>38</v>
      </c>
      <c r="K8" s="7" t="s">
        <v>156</v>
      </c>
      <c r="L8" s="7">
        <v>1</v>
      </c>
      <c r="N8" s="7">
        <v>4</v>
      </c>
      <c r="O8" s="7">
        <v>0.9</v>
      </c>
      <c r="P8" s="7">
        <v>0.8</v>
      </c>
      <c r="Q8" s="52">
        <f t="shared" si="0"/>
        <v>0.85000000000000009</v>
      </c>
      <c r="R8" s="34">
        <v>13</v>
      </c>
      <c r="S8" s="7">
        <v>85</v>
      </c>
      <c r="T8" s="16">
        <f t="shared" si="1"/>
        <v>36</v>
      </c>
      <c r="U8" s="15">
        <v>429</v>
      </c>
      <c r="V8" s="16">
        <f t="shared" si="2"/>
        <v>3861</v>
      </c>
      <c r="W8" s="15">
        <v>3</v>
      </c>
      <c r="X8" s="15" t="s">
        <v>46</v>
      </c>
      <c r="Y8" s="216" t="s">
        <v>86</v>
      </c>
      <c r="Z8" s="216" t="s">
        <v>88</v>
      </c>
      <c r="AA8" s="216" t="s">
        <v>69</v>
      </c>
      <c r="AB8" s="39" t="s">
        <v>350</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347</v>
      </c>
      <c r="B9" s="15" t="s">
        <v>348</v>
      </c>
      <c r="C9" s="15">
        <v>2018</v>
      </c>
      <c r="D9" s="37" t="s">
        <v>352</v>
      </c>
      <c r="E9" s="15" t="s">
        <v>133</v>
      </c>
      <c r="F9" s="7" t="s">
        <v>152</v>
      </c>
      <c r="G9" s="7" t="s">
        <v>36</v>
      </c>
      <c r="H9" s="216" t="s">
        <v>157</v>
      </c>
      <c r="I9" s="208" t="s">
        <v>155</v>
      </c>
      <c r="J9" s="216" t="s">
        <v>38</v>
      </c>
      <c r="K9" s="208" t="s">
        <v>156</v>
      </c>
      <c r="L9" s="7">
        <v>2</v>
      </c>
      <c r="N9" s="7">
        <v>4</v>
      </c>
      <c r="O9" s="7">
        <v>0.5</v>
      </c>
      <c r="P9" s="7">
        <v>0.6</v>
      </c>
      <c r="Q9" s="52">
        <f t="shared" si="0"/>
        <v>0.55000000000000004</v>
      </c>
      <c r="R9" s="7">
        <v>14.8</v>
      </c>
      <c r="S9" s="7">
        <v>82</v>
      </c>
      <c r="T9" s="16">
        <f t="shared" si="1"/>
        <v>39</v>
      </c>
      <c r="U9" s="216">
        <v>429</v>
      </c>
      <c r="V9" s="16">
        <f t="shared" si="2"/>
        <v>4182.75</v>
      </c>
      <c r="W9" s="15">
        <v>3</v>
      </c>
      <c r="X9" s="15" t="s">
        <v>46</v>
      </c>
      <c r="Y9" s="216" t="s">
        <v>86</v>
      </c>
      <c r="Z9" s="216" t="s">
        <v>88</v>
      </c>
      <c r="AA9" s="216" t="s">
        <v>69</v>
      </c>
      <c r="AB9" s="39" t="s">
        <v>350</v>
      </c>
      <c r="AE9" s="22" t="s">
        <v>98</v>
      </c>
      <c r="AG9" s="49" t="s">
        <v>133</v>
      </c>
      <c r="AH9" s="49" t="s">
        <v>152</v>
      </c>
      <c r="AL9" s="34"/>
      <c r="AP9" s="23" t="s">
        <v>95</v>
      </c>
      <c r="AR9" s="30" t="s">
        <v>89</v>
      </c>
      <c r="AV9" s="23" t="s">
        <v>102</v>
      </c>
      <c r="AX9" s="24">
        <v>128</v>
      </c>
      <c r="AY9" s="25">
        <v>27</v>
      </c>
      <c r="AZ9" s="25">
        <v>129</v>
      </c>
      <c r="BA9" s="26">
        <v>25</v>
      </c>
    </row>
    <row r="10" spans="1:53" x14ac:dyDescent="0.15">
      <c r="A10" s="15" t="s">
        <v>347</v>
      </c>
      <c r="B10" s="15" t="s">
        <v>348</v>
      </c>
      <c r="C10" s="15">
        <v>2018</v>
      </c>
      <c r="D10" s="37" t="s">
        <v>352</v>
      </c>
      <c r="E10" s="15" t="s">
        <v>133</v>
      </c>
      <c r="F10" s="7" t="s">
        <v>152</v>
      </c>
      <c r="G10" s="7" t="s">
        <v>36</v>
      </c>
      <c r="H10" s="216" t="s">
        <v>157</v>
      </c>
      <c r="I10" s="208" t="s">
        <v>155</v>
      </c>
      <c r="J10" s="216" t="s">
        <v>38</v>
      </c>
      <c r="K10" s="208" t="s">
        <v>156</v>
      </c>
      <c r="L10" s="7">
        <v>3</v>
      </c>
      <c r="N10" s="7">
        <v>4</v>
      </c>
      <c r="O10" s="7">
        <v>0.65</v>
      </c>
      <c r="P10" s="7">
        <v>0.65</v>
      </c>
      <c r="Q10" s="52">
        <f t="shared" si="0"/>
        <v>0.65</v>
      </c>
      <c r="R10" s="7">
        <v>13.7</v>
      </c>
      <c r="S10" s="7">
        <v>87</v>
      </c>
      <c r="T10" s="16">
        <f t="shared" si="1"/>
        <v>36</v>
      </c>
      <c r="U10" s="216">
        <v>429</v>
      </c>
      <c r="V10" s="16">
        <f t="shared" si="2"/>
        <v>3861</v>
      </c>
      <c r="W10" s="15">
        <v>3</v>
      </c>
      <c r="X10" s="15" t="s">
        <v>46</v>
      </c>
      <c r="Y10" s="216" t="s">
        <v>86</v>
      </c>
      <c r="Z10" s="216" t="s">
        <v>88</v>
      </c>
      <c r="AA10" s="216" t="s">
        <v>69</v>
      </c>
      <c r="AB10" s="39" t="s">
        <v>350</v>
      </c>
      <c r="AE10" s="22" t="s">
        <v>103</v>
      </c>
      <c r="AG10" s="49" t="s">
        <v>143</v>
      </c>
      <c r="AH10" s="49" t="s">
        <v>153</v>
      </c>
      <c r="AP10" s="23" t="s">
        <v>100</v>
      </c>
      <c r="AR10" s="30" t="s">
        <v>123</v>
      </c>
      <c r="AV10" s="23" t="s">
        <v>106</v>
      </c>
      <c r="AX10" s="24">
        <v>138</v>
      </c>
      <c r="AY10" s="25">
        <v>25</v>
      </c>
      <c r="AZ10" s="25">
        <v>138</v>
      </c>
      <c r="BA10" s="26">
        <v>22</v>
      </c>
    </row>
    <row r="11" spans="1:53" x14ac:dyDescent="0.15">
      <c r="A11" s="15" t="s">
        <v>347</v>
      </c>
      <c r="B11" s="15" t="s">
        <v>348</v>
      </c>
      <c r="C11" s="15">
        <v>2018</v>
      </c>
      <c r="D11" s="37" t="s">
        <v>352</v>
      </c>
      <c r="E11" s="15" t="s">
        <v>133</v>
      </c>
      <c r="F11" s="7" t="s">
        <v>152</v>
      </c>
      <c r="G11" s="7" t="s">
        <v>36</v>
      </c>
      <c r="H11" s="216" t="s">
        <v>168</v>
      </c>
      <c r="I11" s="7" t="s">
        <v>155</v>
      </c>
      <c r="J11" s="15" t="s">
        <v>38</v>
      </c>
      <c r="K11" s="7" t="s">
        <v>156</v>
      </c>
      <c r="L11" s="7">
        <v>1</v>
      </c>
      <c r="N11" s="7">
        <v>1</v>
      </c>
      <c r="O11" s="7">
        <v>0.55000000000000004</v>
      </c>
      <c r="P11" s="7">
        <v>0.65</v>
      </c>
      <c r="Q11" s="52">
        <f t="shared" si="0"/>
        <v>0.60000000000000009</v>
      </c>
      <c r="R11" s="7">
        <v>17.899999999999999</v>
      </c>
      <c r="S11" s="7">
        <v>126</v>
      </c>
      <c r="T11" s="16">
        <f t="shared" si="1"/>
        <v>27</v>
      </c>
      <c r="U11" s="7">
        <v>105</v>
      </c>
      <c r="V11" s="16">
        <f t="shared" si="2"/>
        <v>2835</v>
      </c>
      <c r="W11" s="7">
        <v>5</v>
      </c>
      <c r="X11" s="15" t="s">
        <v>46</v>
      </c>
      <c r="Y11" s="216" t="s">
        <v>86</v>
      </c>
      <c r="Z11" s="216" t="s">
        <v>88</v>
      </c>
      <c r="AA11" s="216" t="s">
        <v>69</v>
      </c>
      <c r="AB11" s="39" t="s">
        <v>350</v>
      </c>
      <c r="AE11" s="22" t="s">
        <v>65</v>
      </c>
      <c r="AG11" s="49" t="s">
        <v>144</v>
      </c>
      <c r="AH11" s="49" t="s">
        <v>154</v>
      </c>
      <c r="AP11" s="23" t="s">
        <v>104</v>
      </c>
      <c r="AR11" s="30" t="s">
        <v>87</v>
      </c>
      <c r="AV11" s="23" t="s">
        <v>69</v>
      </c>
      <c r="AX11" s="24">
        <v>151</v>
      </c>
      <c r="AY11" s="25">
        <v>22</v>
      </c>
      <c r="AZ11" s="25">
        <v>152</v>
      </c>
      <c r="BA11" s="26">
        <v>18</v>
      </c>
    </row>
    <row r="12" spans="1:53" x14ac:dyDescent="0.15">
      <c r="A12" s="15" t="s">
        <v>347</v>
      </c>
      <c r="B12" s="15" t="s">
        <v>348</v>
      </c>
      <c r="C12" s="15">
        <v>2018</v>
      </c>
      <c r="D12" s="37" t="s">
        <v>352</v>
      </c>
      <c r="E12" s="15" t="s">
        <v>133</v>
      </c>
      <c r="F12" s="7" t="s">
        <v>152</v>
      </c>
      <c r="G12" s="7" t="s">
        <v>36</v>
      </c>
      <c r="H12" s="216" t="s">
        <v>168</v>
      </c>
      <c r="I12" s="208" t="s">
        <v>155</v>
      </c>
      <c r="J12" s="216" t="s">
        <v>38</v>
      </c>
      <c r="K12" s="208" t="s">
        <v>156</v>
      </c>
      <c r="L12" s="7">
        <v>2</v>
      </c>
      <c r="N12" s="7">
        <v>1</v>
      </c>
      <c r="O12" s="7">
        <v>0.85</v>
      </c>
      <c r="P12" s="7">
        <v>1</v>
      </c>
      <c r="Q12" s="52">
        <f t="shared" si="0"/>
        <v>0.92500000000000004</v>
      </c>
      <c r="R12" s="34">
        <v>14.2</v>
      </c>
      <c r="S12" s="7">
        <v>127</v>
      </c>
      <c r="T12" s="16">
        <f t="shared" si="1"/>
        <v>27</v>
      </c>
      <c r="U12" s="208">
        <v>105</v>
      </c>
      <c r="V12" s="16">
        <f t="shared" si="2"/>
        <v>2835</v>
      </c>
      <c r="W12" s="7">
        <v>5</v>
      </c>
      <c r="X12" s="15" t="s">
        <v>46</v>
      </c>
      <c r="Y12" s="216" t="s">
        <v>86</v>
      </c>
      <c r="Z12" s="216" t="s">
        <v>88</v>
      </c>
      <c r="AA12" s="216" t="s">
        <v>69</v>
      </c>
      <c r="AB12" s="39" t="s">
        <v>350</v>
      </c>
      <c r="AE12" s="22" t="s">
        <v>70</v>
      </c>
      <c r="AG12" s="40"/>
      <c r="AH12" s="40"/>
      <c r="AP12" s="23" t="s">
        <v>67</v>
      </c>
      <c r="AR12" s="30" t="s">
        <v>124</v>
      </c>
      <c r="AV12" s="23" t="s">
        <v>72</v>
      </c>
      <c r="AX12" s="31">
        <v>180</v>
      </c>
      <c r="AY12" s="32">
        <v>18</v>
      </c>
      <c r="AZ12" s="32">
        <v>181</v>
      </c>
      <c r="BA12" s="33">
        <v>16</v>
      </c>
    </row>
    <row r="13" spans="1:53" x14ac:dyDescent="0.15">
      <c r="A13" s="15" t="s">
        <v>347</v>
      </c>
      <c r="B13" s="15" t="s">
        <v>348</v>
      </c>
      <c r="C13" s="15">
        <v>2018</v>
      </c>
      <c r="D13" s="37" t="s">
        <v>352</v>
      </c>
      <c r="E13" s="15" t="s">
        <v>133</v>
      </c>
      <c r="F13" s="7" t="s">
        <v>152</v>
      </c>
      <c r="G13" s="7" t="s">
        <v>36</v>
      </c>
      <c r="H13" s="216" t="s">
        <v>168</v>
      </c>
      <c r="I13" s="208" t="s">
        <v>155</v>
      </c>
      <c r="J13" s="216" t="s">
        <v>38</v>
      </c>
      <c r="K13" s="208" t="s">
        <v>156</v>
      </c>
      <c r="L13" s="7">
        <v>3</v>
      </c>
      <c r="N13" s="7">
        <v>1</v>
      </c>
      <c r="O13" s="7">
        <v>0.7</v>
      </c>
      <c r="P13" s="7">
        <v>0.85</v>
      </c>
      <c r="Q13" s="52">
        <f t="shared" si="0"/>
        <v>0.77499999999999991</v>
      </c>
      <c r="R13" s="7">
        <v>14.9</v>
      </c>
      <c r="S13" s="7">
        <v>124</v>
      </c>
      <c r="T13" s="16">
        <f t="shared" si="1"/>
        <v>27</v>
      </c>
      <c r="U13" s="208">
        <v>105</v>
      </c>
      <c r="V13" s="16">
        <f t="shared" si="2"/>
        <v>2835</v>
      </c>
      <c r="W13" s="7">
        <v>5</v>
      </c>
      <c r="X13" s="15" t="s">
        <v>46</v>
      </c>
      <c r="Y13" s="216" t="s">
        <v>86</v>
      </c>
      <c r="Z13" s="216" t="s">
        <v>88</v>
      </c>
      <c r="AA13" s="216" t="s">
        <v>69</v>
      </c>
      <c r="AB13" s="39" t="s">
        <v>350</v>
      </c>
      <c r="AE13" s="22" t="s">
        <v>73</v>
      </c>
      <c r="AG13" s="23"/>
      <c r="AH13" s="23"/>
      <c r="AP13" s="23" t="s">
        <v>71</v>
      </c>
      <c r="AR13" s="30" t="s">
        <v>103</v>
      </c>
      <c r="AV13" s="23" t="s">
        <v>75</v>
      </c>
    </row>
    <row r="14" spans="1:53" x14ac:dyDescent="0.15">
      <c r="A14" s="15" t="s">
        <v>347</v>
      </c>
      <c r="B14" s="15" t="s">
        <v>348</v>
      </c>
      <c r="C14" s="15">
        <v>2018</v>
      </c>
      <c r="D14" s="37" t="s">
        <v>352</v>
      </c>
      <c r="E14" s="15" t="s">
        <v>143</v>
      </c>
      <c r="F14" s="7" t="s">
        <v>153</v>
      </c>
      <c r="G14" s="7" t="s">
        <v>36</v>
      </c>
      <c r="H14" s="15" t="s">
        <v>157</v>
      </c>
      <c r="I14" s="7" t="s">
        <v>155</v>
      </c>
      <c r="J14" s="15" t="s">
        <v>38</v>
      </c>
      <c r="K14" s="7" t="s">
        <v>156</v>
      </c>
      <c r="L14" s="7">
        <v>1</v>
      </c>
      <c r="N14" s="7">
        <v>1</v>
      </c>
      <c r="O14" s="7">
        <v>0.6</v>
      </c>
      <c r="P14" s="7">
        <v>0.7</v>
      </c>
      <c r="Q14" s="52">
        <f t="shared" si="0"/>
        <v>0.64999999999999991</v>
      </c>
      <c r="R14" s="7">
        <v>14.5</v>
      </c>
      <c r="S14" s="7">
        <v>163</v>
      </c>
      <c r="T14" s="16">
        <f t="shared" si="1"/>
        <v>18</v>
      </c>
      <c r="U14" s="7">
        <v>149</v>
      </c>
      <c r="V14" s="16">
        <f t="shared" si="2"/>
        <v>2682</v>
      </c>
      <c r="W14" s="7">
        <v>4</v>
      </c>
      <c r="X14" s="15" t="s">
        <v>39</v>
      </c>
      <c r="Y14" s="216" t="s">
        <v>88</v>
      </c>
      <c r="Z14" s="216" t="s">
        <v>86</v>
      </c>
      <c r="AA14" s="216" t="s">
        <v>78</v>
      </c>
      <c r="AB14" s="39" t="s">
        <v>350</v>
      </c>
      <c r="AE14" s="22" t="s">
        <v>76</v>
      </c>
      <c r="AG14" s="23"/>
      <c r="AH14" s="23"/>
      <c r="AP14" s="23" t="s">
        <v>74</v>
      </c>
      <c r="AR14" s="30" t="s">
        <v>125</v>
      </c>
      <c r="AV14" s="23" t="s">
        <v>78</v>
      </c>
    </row>
    <row r="15" spans="1:53" x14ac:dyDescent="0.15">
      <c r="A15" s="15" t="s">
        <v>347</v>
      </c>
      <c r="B15" s="15" t="s">
        <v>348</v>
      </c>
      <c r="C15" s="15">
        <v>2018</v>
      </c>
      <c r="D15" s="37" t="s">
        <v>352</v>
      </c>
      <c r="E15" s="15" t="s">
        <v>143</v>
      </c>
      <c r="F15" s="7" t="s">
        <v>153</v>
      </c>
      <c r="G15" s="7" t="s">
        <v>36</v>
      </c>
      <c r="H15" s="216" t="s">
        <v>157</v>
      </c>
      <c r="I15" s="208" t="s">
        <v>155</v>
      </c>
      <c r="J15" s="216" t="s">
        <v>38</v>
      </c>
      <c r="K15" s="208" t="s">
        <v>156</v>
      </c>
      <c r="L15" s="7">
        <v>2</v>
      </c>
      <c r="N15" s="7">
        <v>1</v>
      </c>
      <c r="O15" s="7">
        <v>0.8</v>
      </c>
      <c r="P15" s="7">
        <v>0.9</v>
      </c>
      <c r="Q15" s="52">
        <f t="shared" si="0"/>
        <v>0.85000000000000009</v>
      </c>
      <c r="R15" s="7">
        <v>13.8</v>
      </c>
      <c r="S15" s="7">
        <v>156</v>
      </c>
      <c r="T15" s="16">
        <f t="shared" si="1"/>
        <v>18</v>
      </c>
      <c r="U15" s="208">
        <v>149</v>
      </c>
      <c r="V15" s="16">
        <f t="shared" si="2"/>
        <v>2682</v>
      </c>
      <c r="W15" s="7">
        <v>4</v>
      </c>
      <c r="X15" s="216" t="s">
        <v>39</v>
      </c>
      <c r="Y15" s="216" t="s">
        <v>88</v>
      </c>
      <c r="Z15" s="216" t="s">
        <v>86</v>
      </c>
      <c r="AA15" s="216" t="s">
        <v>78</v>
      </c>
      <c r="AB15" s="39" t="s">
        <v>350</v>
      </c>
      <c r="AE15" s="22" t="s">
        <v>79</v>
      </c>
      <c r="AG15" s="23"/>
      <c r="AH15" s="23"/>
      <c r="AP15" s="23" t="s">
        <v>77</v>
      </c>
      <c r="AR15" s="30" t="s">
        <v>94</v>
      </c>
      <c r="AV15" s="23" t="s">
        <v>107</v>
      </c>
    </row>
    <row r="16" spans="1:53" x14ac:dyDescent="0.15">
      <c r="A16" s="15" t="s">
        <v>347</v>
      </c>
      <c r="B16" s="15" t="s">
        <v>348</v>
      </c>
      <c r="C16" s="15">
        <v>2018</v>
      </c>
      <c r="D16" s="37" t="s">
        <v>352</v>
      </c>
      <c r="E16" s="15" t="s">
        <v>143</v>
      </c>
      <c r="F16" s="7" t="s">
        <v>153</v>
      </c>
      <c r="G16" s="7" t="s">
        <v>36</v>
      </c>
      <c r="H16" s="216" t="s">
        <v>157</v>
      </c>
      <c r="I16" s="208" t="s">
        <v>155</v>
      </c>
      <c r="J16" s="216" t="s">
        <v>38</v>
      </c>
      <c r="K16" s="208" t="s">
        <v>156</v>
      </c>
      <c r="L16" s="7">
        <v>3</v>
      </c>
      <c r="N16" s="7">
        <v>1</v>
      </c>
      <c r="O16" s="7">
        <v>0.8</v>
      </c>
      <c r="P16" s="7">
        <v>0.8</v>
      </c>
      <c r="Q16" s="52">
        <f t="shared" si="0"/>
        <v>0.8</v>
      </c>
      <c r="R16" s="7">
        <v>18.3</v>
      </c>
      <c r="S16" s="7">
        <v>155</v>
      </c>
      <c r="T16" s="16">
        <f t="shared" si="1"/>
        <v>18</v>
      </c>
      <c r="U16" s="208">
        <v>149</v>
      </c>
      <c r="V16" s="16">
        <f t="shared" si="2"/>
        <v>2682</v>
      </c>
      <c r="W16" s="7">
        <v>4</v>
      </c>
      <c r="X16" s="216" t="s">
        <v>39</v>
      </c>
      <c r="Y16" s="216" t="s">
        <v>88</v>
      </c>
      <c r="Z16" s="216" t="s">
        <v>86</v>
      </c>
      <c r="AA16" s="216" t="s">
        <v>78</v>
      </c>
      <c r="AB16" s="39" t="s">
        <v>350</v>
      </c>
      <c r="AE16" s="22" t="s">
        <v>82</v>
      </c>
      <c r="AG16" s="28"/>
      <c r="AH16" s="28"/>
      <c r="AP16" s="23" t="s">
        <v>80</v>
      </c>
      <c r="AR16" s="41" t="s">
        <v>63</v>
      </c>
      <c r="AV16" s="23" t="s">
        <v>84</v>
      </c>
    </row>
    <row r="17" spans="1:48" x14ac:dyDescent="0.15">
      <c r="A17" s="15" t="s">
        <v>347</v>
      </c>
      <c r="B17" s="15" t="s">
        <v>348</v>
      </c>
      <c r="C17" s="15">
        <v>2018</v>
      </c>
      <c r="D17" s="37" t="s">
        <v>352</v>
      </c>
      <c r="E17" s="15" t="s">
        <v>143</v>
      </c>
      <c r="F17" s="7" t="s">
        <v>153</v>
      </c>
      <c r="G17" s="7" t="s">
        <v>36</v>
      </c>
      <c r="H17" s="15" t="s">
        <v>168</v>
      </c>
      <c r="I17" s="208" t="s">
        <v>155</v>
      </c>
      <c r="J17" s="216" t="s">
        <v>38</v>
      </c>
      <c r="K17" s="208" t="s">
        <v>156</v>
      </c>
      <c r="L17" s="7">
        <v>1</v>
      </c>
      <c r="N17" s="7">
        <v>1</v>
      </c>
      <c r="O17" s="7">
        <v>0.5</v>
      </c>
      <c r="P17" s="7">
        <v>0.5</v>
      </c>
      <c r="Q17" s="52">
        <f t="shared" si="0"/>
        <v>0.5</v>
      </c>
      <c r="R17" s="7">
        <v>15.3</v>
      </c>
      <c r="S17" s="7">
        <v>141</v>
      </c>
      <c r="T17" s="16">
        <f t="shared" si="1"/>
        <v>22</v>
      </c>
      <c r="U17" s="7">
        <v>170</v>
      </c>
      <c r="V17" s="16">
        <f t="shared" si="2"/>
        <v>3740</v>
      </c>
      <c r="W17" s="7">
        <v>3</v>
      </c>
      <c r="X17" s="216" t="s">
        <v>39</v>
      </c>
      <c r="Y17" s="216" t="s">
        <v>88</v>
      </c>
      <c r="Z17" s="216" t="s">
        <v>86</v>
      </c>
      <c r="AA17" s="216" t="s">
        <v>78</v>
      </c>
      <c r="AB17" s="39" t="s">
        <v>350</v>
      </c>
      <c r="AE17" s="22" t="s">
        <v>85</v>
      </c>
      <c r="AP17" s="43" t="s">
        <v>110</v>
      </c>
      <c r="AR17" s="41" t="s">
        <v>96</v>
      </c>
      <c r="AV17" s="23" t="s">
        <v>86</v>
      </c>
    </row>
    <row r="18" spans="1:48" x14ac:dyDescent="0.15">
      <c r="A18" s="15" t="s">
        <v>347</v>
      </c>
      <c r="B18" s="15" t="s">
        <v>348</v>
      </c>
      <c r="C18" s="15">
        <v>2018</v>
      </c>
      <c r="D18" s="37" t="s">
        <v>352</v>
      </c>
      <c r="E18" s="15" t="s">
        <v>143</v>
      </c>
      <c r="F18" s="7" t="s">
        <v>153</v>
      </c>
      <c r="G18" s="7" t="s">
        <v>36</v>
      </c>
      <c r="H18" s="216" t="s">
        <v>168</v>
      </c>
      <c r="I18" s="208" t="s">
        <v>155</v>
      </c>
      <c r="J18" s="216" t="s">
        <v>38</v>
      </c>
      <c r="K18" s="208" t="s">
        <v>156</v>
      </c>
      <c r="L18" s="7">
        <v>2</v>
      </c>
      <c r="N18" s="7">
        <v>1</v>
      </c>
      <c r="O18" s="7">
        <v>0.5</v>
      </c>
      <c r="P18" s="7">
        <v>0.5</v>
      </c>
      <c r="Q18" s="52">
        <f t="shared" si="0"/>
        <v>0.5</v>
      </c>
      <c r="R18" s="7">
        <v>15.6</v>
      </c>
      <c r="S18" s="7">
        <v>136</v>
      </c>
      <c r="T18" s="16">
        <f t="shared" si="1"/>
        <v>25</v>
      </c>
      <c r="U18" s="208">
        <v>170</v>
      </c>
      <c r="V18" s="16">
        <f t="shared" si="2"/>
        <v>4250</v>
      </c>
      <c r="W18" s="7">
        <v>3</v>
      </c>
      <c r="X18" s="216" t="s">
        <v>39</v>
      </c>
      <c r="Y18" s="216" t="s">
        <v>88</v>
      </c>
      <c r="Z18" s="216" t="s">
        <v>86</v>
      </c>
      <c r="AA18" s="216" t="s">
        <v>78</v>
      </c>
      <c r="AB18" s="39" t="s">
        <v>350</v>
      </c>
      <c r="AE18" s="22" t="s">
        <v>87</v>
      </c>
      <c r="AP18" s="43" t="s">
        <v>111</v>
      </c>
      <c r="AR18" s="41" t="s">
        <v>101</v>
      </c>
      <c r="AV18" s="23" t="s">
        <v>88</v>
      </c>
    </row>
    <row r="19" spans="1:48" x14ac:dyDescent="0.15">
      <c r="A19" s="15" t="s">
        <v>347</v>
      </c>
      <c r="B19" s="15" t="s">
        <v>348</v>
      </c>
      <c r="C19" s="15">
        <v>2018</v>
      </c>
      <c r="D19" s="37" t="s">
        <v>352</v>
      </c>
      <c r="E19" s="15" t="s">
        <v>143</v>
      </c>
      <c r="F19" s="7" t="s">
        <v>153</v>
      </c>
      <c r="G19" s="7" t="s">
        <v>36</v>
      </c>
      <c r="H19" s="216" t="s">
        <v>168</v>
      </c>
      <c r="I19" s="208" t="s">
        <v>155</v>
      </c>
      <c r="J19" s="216" t="s">
        <v>38</v>
      </c>
      <c r="K19" s="208" t="s">
        <v>156</v>
      </c>
      <c r="L19" s="7">
        <v>3</v>
      </c>
      <c r="N19" s="7">
        <v>1</v>
      </c>
      <c r="O19" s="7">
        <v>0.65</v>
      </c>
      <c r="P19" s="7">
        <v>0.6</v>
      </c>
      <c r="Q19" s="52">
        <f t="shared" si="0"/>
        <v>0.625</v>
      </c>
      <c r="R19" s="7">
        <v>15.4</v>
      </c>
      <c r="S19" s="7">
        <v>146</v>
      </c>
      <c r="T19" s="16">
        <f t="shared" si="1"/>
        <v>22</v>
      </c>
      <c r="U19" s="208">
        <v>170</v>
      </c>
      <c r="V19" s="16">
        <f t="shared" si="2"/>
        <v>3740</v>
      </c>
      <c r="W19" s="7">
        <v>3</v>
      </c>
      <c r="X19" s="216" t="s">
        <v>39</v>
      </c>
      <c r="Y19" s="216" t="s">
        <v>88</v>
      </c>
      <c r="Z19" s="216" t="s">
        <v>86</v>
      </c>
      <c r="AA19" s="216" t="s">
        <v>78</v>
      </c>
      <c r="AB19" s="39" t="s">
        <v>350</v>
      </c>
      <c r="AE19" s="35" t="s">
        <v>89</v>
      </c>
      <c r="AP19" s="43" t="s">
        <v>112</v>
      </c>
      <c r="AR19" s="30" t="s">
        <v>126</v>
      </c>
      <c r="AV19" s="23" t="s">
        <v>90</v>
      </c>
    </row>
    <row r="20" spans="1:48" x14ac:dyDescent="0.15">
      <c r="A20" s="15" t="s">
        <v>347</v>
      </c>
      <c r="B20" s="15" t="s">
        <v>348</v>
      </c>
      <c r="C20" s="15">
        <v>2018</v>
      </c>
      <c r="D20" s="37" t="s">
        <v>352</v>
      </c>
      <c r="E20" s="15" t="s">
        <v>144</v>
      </c>
      <c r="F20" s="7" t="s">
        <v>154</v>
      </c>
      <c r="G20" s="7" t="s">
        <v>36</v>
      </c>
      <c r="H20" s="15" t="s">
        <v>157</v>
      </c>
      <c r="I20" s="208" t="s">
        <v>155</v>
      </c>
      <c r="J20" s="15" t="s">
        <v>38</v>
      </c>
      <c r="K20" s="7" t="s">
        <v>156</v>
      </c>
      <c r="L20" s="7">
        <v>1</v>
      </c>
      <c r="N20" s="7">
        <v>1</v>
      </c>
      <c r="O20" s="7">
        <v>0.8</v>
      </c>
      <c r="P20" s="34">
        <v>0.95</v>
      </c>
      <c r="Q20" s="52">
        <f t="shared" si="0"/>
        <v>0.875</v>
      </c>
      <c r="R20" s="7">
        <v>15.2</v>
      </c>
      <c r="S20" s="7">
        <v>121</v>
      </c>
      <c r="T20" s="16">
        <f t="shared" si="1"/>
        <v>27</v>
      </c>
      <c r="U20" s="7">
        <v>105</v>
      </c>
      <c r="V20" s="16">
        <f t="shared" si="2"/>
        <v>2835</v>
      </c>
      <c r="W20" s="7">
        <v>1</v>
      </c>
      <c r="X20" s="216" t="s">
        <v>39</v>
      </c>
      <c r="Y20" s="216" t="s">
        <v>78</v>
      </c>
      <c r="Z20" s="216" t="s">
        <v>88</v>
      </c>
      <c r="AA20" s="216" t="s">
        <v>97</v>
      </c>
      <c r="AB20" s="39" t="s">
        <v>350</v>
      </c>
      <c r="AE20" s="22"/>
      <c r="AP20" s="43" t="s">
        <v>113</v>
      </c>
      <c r="AR20" s="41" t="s">
        <v>105</v>
      </c>
      <c r="AV20" s="27" t="s">
        <v>135</v>
      </c>
    </row>
    <row r="21" spans="1:48" x14ac:dyDescent="0.15">
      <c r="A21" s="15" t="s">
        <v>347</v>
      </c>
      <c r="B21" s="15" t="s">
        <v>348</v>
      </c>
      <c r="C21" s="15">
        <v>2018</v>
      </c>
      <c r="D21" s="37" t="s">
        <v>352</v>
      </c>
      <c r="E21" s="15" t="s">
        <v>144</v>
      </c>
      <c r="F21" s="7" t="s">
        <v>154</v>
      </c>
      <c r="G21" s="7" t="s">
        <v>36</v>
      </c>
      <c r="H21" s="216" t="s">
        <v>157</v>
      </c>
      <c r="I21" s="208" t="s">
        <v>155</v>
      </c>
      <c r="J21" s="216" t="s">
        <v>38</v>
      </c>
      <c r="K21" s="208" t="s">
        <v>156</v>
      </c>
      <c r="L21" s="7">
        <v>2</v>
      </c>
      <c r="N21" s="7">
        <v>1</v>
      </c>
      <c r="O21" s="7">
        <v>0.5</v>
      </c>
      <c r="P21" s="7">
        <v>0.6</v>
      </c>
      <c r="Q21" s="52">
        <f t="shared" si="0"/>
        <v>0.55000000000000004</v>
      </c>
      <c r="R21" s="7">
        <v>13.2</v>
      </c>
      <c r="S21" s="7">
        <v>118</v>
      </c>
      <c r="T21" s="16">
        <f t="shared" si="1"/>
        <v>30</v>
      </c>
      <c r="U21" s="208">
        <v>105</v>
      </c>
      <c r="V21" s="16">
        <f t="shared" si="2"/>
        <v>3150</v>
      </c>
      <c r="W21" s="7">
        <v>1</v>
      </c>
      <c r="X21" s="216" t="s">
        <v>39</v>
      </c>
      <c r="Y21" s="216" t="s">
        <v>78</v>
      </c>
      <c r="Z21" s="216" t="s">
        <v>88</v>
      </c>
      <c r="AA21" s="216" t="s">
        <v>97</v>
      </c>
      <c r="AB21" s="39" t="s">
        <v>350</v>
      </c>
      <c r="AE21" s="22"/>
      <c r="AP21" s="43" t="s">
        <v>114</v>
      </c>
      <c r="AR21" s="41" t="s">
        <v>68</v>
      </c>
      <c r="AV21" s="27" t="s">
        <v>136</v>
      </c>
    </row>
    <row r="22" spans="1:48" x14ac:dyDescent="0.15">
      <c r="A22" s="15" t="s">
        <v>347</v>
      </c>
      <c r="B22" s="15" t="s">
        <v>348</v>
      </c>
      <c r="C22" s="15">
        <v>2018</v>
      </c>
      <c r="D22" s="37" t="s">
        <v>352</v>
      </c>
      <c r="E22" s="15" t="s">
        <v>144</v>
      </c>
      <c r="F22" s="7" t="s">
        <v>154</v>
      </c>
      <c r="G22" s="7" t="s">
        <v>36</v>
      </c>
      <c r="H22" s="216" t="s">
        <v>157</v>
      </c>
      <c r="I22" s="208" t="s">
        <v>155</v>
      </c>
      <c r="J22" s="216" t="s">
        <v>38</v>
      </c>
      <c r="K22" s="208" t="s">
        <v>156</v>
      </c>
      <c r="L22" s="7">
        <v>3</v>
      </c>
      <c r="N22" s="7">
        <v>1</v>
      </c>
      <c r="O22" s="34">
        <v>0.85</v>
      </c>
      <c r="P22" s="7">
        <v>0.9</v>
      </c>
      <c r="Q22" s="52">
        <f t="shared" si="0"/>
        <v>0.875</v>
      </c>
      <c r="R22" s="7">
        <v>15.5</v>
      </c>
      <c r="S22" s="7">
        <v>126</v>
      </c>
      <c r="T22" s="16">
        <f t="shared" si="1"/>
        <v>27</v>
      </c>
      <c r="U22" s="208">
        <v>105</v>
      </c>
      <c r="V22" s="16">
        <f t="shared" si="2"/>
        <v>2835</v>
      </c>
      <c r="W22" s="7">
        <v>1</v>
      </c>
      <c r="X22" s="216" t="s">
        <v>39</v>
      </c>
      <c r="Y22" s="216" t="s">
        <v>78</v>
      </c>
      <c r="Z22" s="216" t="s">
        <v>88</v>
      </c>
      <c r="AA22" s="216" t="s">
        <v>97</v>
      </c>
      <c r="AB22" s="39" t="s">
        <v>350</v>
      </c>
      <c r="AE22" s="35"/>
      <c r="AP22" s="43" t="s">
        <v>115</v>
      </c>
      <c r="AR22" s="41" t="s">
        <v>83</v>
      </c>
      <c r="AV22" s="27"/>
    </row>
    <row r="23" spans="1:48" x14ac:dyDescent="0.15">
      <c r="A23" s="15" t="s">
        <v>347</v>
      </c>
      <c r="B23" s="15" t="s">
        <v>348</v>
      </c>
      <c r="C23" s="15">
        <v>2018</v>
      </c>
      <c r="D23" s="37" t="s">
        <v>352</v>
      </c>
      <c r="E23" s="7" t="s">
        <v>144</v>
      </c>
      <c r="F23" s="7" t="s">
        <v>154</v>
      </c>
      <c r="G23" s="7" t="s">
        <v>36</v>
      </c>
      <c r="H23" s="15" t="s">
        <v>168</v>
      </c>
      <c r="I23" s="208" t="s">
        <v>155</v>
      </c>
      <c r="J23" s="15" t="s">
        <v>38</v>
      </c>
      <c r="K23" s="7" t="s">
        <v>156</v>
      </c>
      <c r="L23" s="7">
        <v>1</v>
      </c>
      <c r="N23" s="7">
        <v>1</v>
      </c>
      <c r="O23" s="34">
        <v>0.65</v>
      </c>
      <c r="P23" s="7">
        <v>0.5</v>
      </c>
      <c r="Q23" s="52">
        <f t="shared" si="0"/>
        <v>0.57499999999999996</v>
      </c>
      <c r="R23" s="7">
        <v>16.100000000000001</v>
      </c>
      <c r="S23" s="7">
        <v>133</v>
      </c>
      <c r="T23" s="16">
        <f t="shared" si="1"/>
        <v>25</v>
      </c>
      <c r="U23" s="7">
        <v>149</v>
      </c>
      <c r="V23" s="16">
        <f t="shared" si="2"/>
        <v>3725</v>
      </c>
      <c r="W23" s="7">
        <v>2</v>
      </c>
      <c r="X23" s="216" t="s">
        <v>39</v>
      </c>
      <c r="Y23" s="216" t="s">
        <v>78</v>
      </c>
      <c r="Z23" s="216" t="s">
        <v>88</v>
      </c>
      <c r="AA23" s="216" t="s">
        <v>97</v>
      </c>
      <c r="AB23" s="39" t="s">
        <v>350</v>
      </c>
      <c r="AE23" s="22"/>
      <c r="AP23" s="43" t="s">
        <v>137</v>
      </c>
      <c r="AR23" s="41" t="s">
        <v>61</v>
      </c>
      <c r="AV23" s="27"/>
    </row>
    <row r="24" spans="1:48" x14ac:dyDescent="0.15">
      <c r="A24" s="15" t="s">
        <v>347</v>
      </c>
      <c r="B24" s="15" t="s">
        <v>348</v>
      </c>
      <c r="C24" s="15">
        <v>2018</v>
      </c>
      <c r="D24" s="37" t="s">
        <v>352</v>
      </c>
      <c r="E24" s="7" t="s">
        <v>144</v>
      </c>
      <c r="F24" s="7" t="s">
        <v>154</v>
      </c>
      <c r="G24" s="7" t="s">
        <v>36</v>
      </c>
      <c r="H24" s="216" t="s">
        <v>168</v>
      </c>
      <c r="I24" s="208" t="s">
        <v>155</v>
      </c>
      <c r="J24" s="15" t="s">
        <v>38</v>
      </c>
      <c r="K24" s="7" t="s">
        <v>156</v>
      </c>
      <c r="L24" s="7">
        <v>2</v>
      </c>
      <c r="N24" s="7">
        <v>1</v>
      </c>
      <c r="O24" s="7">
        <v>0.7</v>
      </c>
      <c r="P24" s="7">
        <v>0.7</v>
      </c>
      <c r="Q24" s="52">
        <f t="shared" si="0"/>
        <v>0.7</v>
      </c>
      <c r="R24" s="7">
        <v>15.4</v>
      </c>
      <c r="S24" s="7">
        <v>130</v>
      </c>
      <c r="T24" s="16">
        <f t="shared" si="1"/>
        <v>25</v>
      </c>
      <c r="U24" s="208">
        <v>149</v>
      </c>
      <c r="V24" s="16">
        <f t="shared" si="2"/>
        <v>3725</v>
      </c>
      <c r="W24" s="7">
        <v>2</v>
      </c>
      <c r="X24" s="216" t="s">
        <v>39</v>
      </c>
      <c r="Y24" s="216" t="s">
        <v>78</v>
      </c>
      <c r="Z24" s="216" t="s">
        <v>88</v>
      </c>
      <c r="AA24" s="216" t="s">
        <v>97</v>
      </c>
      <c r="AB24" s="39" t="s">
        <v>350</v>
      </c>
      <c r="AE24" s="22"/>
      <c r="AP24" s="43" t="s">
        <v>138</v>
      </c>
      <c r="AR24" s="41" t="s">
        <v>91</v>
      </c>
      <c r="AV24" s="27"/>
    </row>
    <row r="25" spans="1:48" x14ac:dyDescent="0.15">
      <c r="A25" s="15" t="s">
        <v>347</v>
      </c>
      <c r="B25" s="15" t="s">
        <v>348</v>
      </c>
      <c r="C25" s="15">
        <v>2018</v>
      </c>
      <c r="D25" s="37" t="s">
        <v>352</v>
      </c>
      <c r="E25" s="7" t="s">
        <v>144</v>
      </c>
      <c r="F25" s="7" t="s">
        <v>154</v>
      </c>
      <c r="G25" s="7" t="s">
        <v>36</v>
      </c>
      <c r="H25" s="216" t="s">
        <v>168</v>
      </c>
      <c r="I25" s="208" t="s">
        <v>155</v>
      </c>
      <c r="J25" s="15" t="s">
        <v>38</v>
      </c>
      <c r="K25" s="7" t="s">
        <v>156</v>
      </c>
      <c r="L25" s="7">
        <v>3</v>
      </c>
      <c r="N25" s="7">
        <v>1</v>
      </c>
      <c r="O25" s="7">
        <v>0.55000000000000004</v>
      </c>
      <c r="P25" s="7">
        <v>0.55000000000000004</v>
      </c>
      <c r="Q25" s="52">
        <f t="shared" si="0"/>
        <v>0.55000000000000004</v>
      </c>
      <c r="R25" s="7">
        <v>16.2</v>
      </c>
      <c r="S25" s="7">
        <v>129</v>
      </c>
      <c r="T25" s="16">
        <f t="shared" si="1"/>
        <v>25</v>
      </c>
      <c r="U25" s="208">
        <v>149</v>
      </c>
      <c r="V25" s="16">
        <f t="shared" si="2"/>
        <v>3725</v>
      </c>
      <c r="W25" s="7">
        <v>2</v>
      </c>
      <c r="X25" s="216" t="s">
        <v>39</v>
      </c>
      <c r="Y25" s="216" t="s">
        <v>78</v>
      </c>
      <c r="Z25" s="216" t="s">
        <v>88</v>
      </c>
      <c r="AA25" s="216" t="s">
        <v>97</v>
      </c>
      <c r="AB25" s="39" t="s">
        <v>350</v>
      </c>
      <c r="AE25" s="35"/>
      <c r="AP25" s="43" t="s">
        <v>116</v>
      </c>
      <c r="AR25" s="42" t="s">
        <v>92</v>
      </c>
      <c r="AV25" s="27"/>
    </row>
    <row r="26" spans="1:48" x14ac:dyDescent="0.15">
      <c r="A26" s="15" t="s">
        <v>347</v>
      </c>
      <c r="B26" s="15" t="s">
        <v>348</v>
      </c>
      <c r="C26" s="15">
        <v>2018</v>
      </c>
      <c r="D26" s="37" t="s">
        <v>352</v>
      </c>
      <c r="E26" s="7" t="s">
        <v>131</v>
      </c>
      <c r="F26" s="7" t="s">
        <v>145</v>
      </c>
      <c r="G26" s="7" t="s">
        <v>36</v>
      </c>
      <c r="H26" s="15" t="s">
        <v>157</v>
      </c>
      <c r="I26" s="208" t="s">
        <v>155</v>
      </c>
      <c r="J26" s="15" t="s">
        <v>38</v>
      </c>
      <c r="K26" s="7" t="s">
        <v>156</v>
      </c>
      <c r="L26" s="7">
        <v>1</v>
      </c>
      <c r="N26" s="7">
        <v>1</v>
      </c>
      <c r="O26" s="7">
        <v>0.5</v>
      </c>
      <c r="P26" s="7">
        <v>0.5</v>
      </c>
      <c r="Q26" s="52">
        <f t="shared" si="0"/>
        <v>0.5</v>
      </c>
      <c r="R26" s="7">
        <v>18.100000000000001</v>
      </c>
      <c r="S26" s="7">
        <v>156</v>
      </c>
      <c r="T26" s="16">
        <f t="shared" si="1"/>
        <v>18</v>
      </c>
      <c r="U26" s="7">
        <v>138</v>
      </c>
      <c r="V26" s="16">
        <f t="shared" si="2"/>
        <v>2484</v>
      </c>
      <c r="W26" s="7">
        <v>2</v>
      </c>
      <c r="X26" s="15" t="s">
        <v>46</v>
      </c>
      <c r="Y26" s="216" t="s">
        <v>88</v>
      </c>
      <c r="Z26" s="216" t="s">
        <v>86</v>
      </c>
      <c r="AA26" s="216" t="s">
        <v>55</v>
      </c>
      <c r="AB26" s="39" t="s">
        <v>350</v>
      </c>
      <c r="AE26" s="35"/>
      <c r="AP26" s="43" t="s">
        <v>117</v>
      </c>
      <c r="AR26" s="23" t="s">
        <v>300</v>
      </c>
      <c r="AV26" s="28"/>
    </row>
    <row r="27" spans="1:48" x14ac:dyDescent="0.15">
      <c r="A27" s="15" t="s">
        <v>347</v>
      </c>
      <c r="B27" s="15" t="s">
        <v>348</v>
      </c>
      <c r="C27" s="15">
        <v>2018</v>
      </c>
      <c r="D27" s="37" t="s">
        <v>352</v>
      </c>
      <c r="E27" s="7" t="s">
        <v>131</v>
      </c>
      <c r="F27" s="7" t="s">
        <v>145</v>
      </c>
      <c r="G27" s="7" t="s">
        <v>36</v>
      </c>
      <c r="H27" s="216" t="s">
        <v>157</v>
      </c>
      <c r="I27" s="208" t="s">
        <v>155</v>
      </c>
      <c r="J27" s="15" t="s">
        <v>38</v>
      </c>
      <c r="K27" s="7" t="s">
        <v>156</v>
      </c>
      <c r="L27" s="7">
        <v>2</v>
      </c>
      <c r="N27" s="7">
        <v>1</v>
      </c>
      <c r="O27" s="7">
        <v>0.8</v>
      </c>
      <c r="P27" s="7">
        <v>0.9</v>
      </c>
      <c r="Q27" s="52">
        <f t="shared" si="0"/>
        <v>0.85000000000000009</v>
      </c>
      <c r="R27" s="7">
        <v>13.9</v>
      </c>
      <c r="S27" s="7">
        <v>154</v>
      </c>
      <c r="T27" s="16">
        <f t="shared" si="1"/>
        <v>18</v>
      </c>
      <c r="U27" s="208">
        <v>138</v>
      </c>
      <c r="V27" s="16">
        <f t="shared" si="2"/>
        <v>2484</v>
      </c>
      <c r="W27" s="7">
        <v>2</v>
      </c>
      <c r="X27" s="15" t="s">
        <v>46</v>
      </c>
      <c r="Y27" s="216" t="s">
        <v>88</v>
      </c>
      <c r="Z27" s="216" t="s">
        <v>86</v>
      </c>
      <c r="AA27" s="216" t="s">
        <v>55</v>
      </c>
      <c r="AB27" s="39" t="s">
        <v>350</v>
      </c>
      <c r="AE27" s="28"/>
      <c r="AP27" s="43" t="s">
        <v>118</v>
      </c>
      <c r="AR27" s="23"/>
    </row>
    <row r="28" spans="1:48" x14ac:dyDescent="0.15">
      <c r="A28" s="15" t="s">
        <v>347</v>
      </c>
      <c r="B28" s="15" t="s">
        <v>348</v>
      </c>
      <c r="C28" s="15">
        <v>2018</v>
      </c>
      <c r="D28" s="37" t="s">
        <v>352</v>
      </c>
      <c r="E28" s="7" t="s">
        <v>131</v>
      </c>
      <c r="F28" s="7" t="s">
        <v>145</v>
      </c>
      <c r="G28" s="7" t="s">
        <v>36</v>
      </c>
      <c r="H28" s="216" t="s">
        <v>157</v>
      </c>
      <c r="I28" s="208" t="s">
        <v>155</v>
      </c>
      <c r="J28" s="15" t="s">
        <v>38</v>
      </c>
      <c r="K28" s="7" t="s">
        <v>156</v>
      </c>
      <c r="L28" s="7">
        <v>3</v>
      </c>
      <c r="N28" s="7">
        <v>1</v>
      </c>
      <c r="O28" s="7">
        <v>0.5</v>
      </c>
      <c r="P28" s="7">
        <v>0.5</v>
      </c>
      <c r="Q28" s="52">
        <f t="shared" si="0"/>
        <v>0.5</v>
      </c>
      <c r="R28" s="7">
        <v>19.3</v>
      </c>
      <c r="S28" s="7">
        <v>151</v>
      </c>
      <c r="T28" s="16">
        <f t="shared" si="1"/>
        <v>22</v>
      </c>
      <c r="U28" s="208">
        <v>138</v>
      </c>
      <c r="V28" s="16">
        <f t="shared" si="2"/>
        <v>3036</v>
      </c>
      <c r="W28" s="7">
        <v>2</v>
      </c>
      <c r="X28" s="15" t="s">
        <v>46</v>
      </c>
      <c r="Y28" s="216" t="s">
        <v>88</v>
      </c>
      <c r="Z28" s="216" t="s">
        <v>86</v>
      </c>
      <c r="AA28" s="216" t="s">
        <v>55</v>
      </c>
      <c r="AB28" s="39" t="s">
        <v>350</v>
      </c>
      <c r="AP28" s="27"/>
      <c r="AR28" s="23"/>
    </row>
    <row r="29" spans="1:48" x14ac:dyDescent="0.15">
      <c r="A29" s="15" t="s">
        <v>347</v>
      </c>
      <c r="B29" s="15" t="s">
        <v>348</v>
      </c>
      <c r="C29" s="15">
        <v>2018</v>
      </c>
      <c r="D29" s="37" t="s">
        <v>352</v>
      </c>
      <c r="E29" s="7" t="s">
        <v>131</v>
      </c>
      <c r="F29" s="7" t="s">
        <v>145</v>
      </c>
      <c r="G29" s="7" t="s">
        <v>36</v>
      </c>
      <c r="H29" s="15" t="s">
        <v>168</v>
      </c>
      <c r="I29" s="208" t="s">
        <v>155</v>
      </c>
      <c r="J29" s="15" t="s">
        <v>38</v>
      </c>
      <c r="K29" s="7" t="s">
        <v>156</v>
      </c>
      <c r="L29" s="7">
        <v>1</v>
      </c>
      <c r="N29" s="7">
        <v>1</v>
      </c>
      <c r="O29" s="7">
        <v>0.5</v>
      </c>
      <c r="P29" s="7">
        <v>0.55000000000000004</v>
      </c>
      <c r="Q29" s="52">
        <f t="shared" si="0"/>
        <v>0.52500000000000002</v>
      </c>
      <c r="R29" s="7">
        <v>15.2</v>
      </c>
      <c r="S29" s="7">
        <v>132</v>
      </c>
      <c r="T29" s="16">
        <f t="shared" si="1"/>
        <v>25</v>
      </c>
      <c r="U29" s="7">
        <v>149</v>
      </c>
      <c r="V29" s="16">
        <f t="shared" si="2"/>
        <v>3725</v>
      </c>
      <c r="W29" s="7">
        <v>5</v>
      </c>
      <c r="X29" s="15" t="s">
        <v>46</v>
      </c>
      <c r="Y29" s="216" t="s">
        <v>88</v>
      </c>
      <c r="Z29" s="216" t="s">
        <v>86</v>
      </c>
      <c r="AA29" s="216" t="s">
        <v>55</v>
      </c>
      <c r="AB29" s="39" t="s">
        <v>350</v>
      </c>
      <c r="AP29" s="27"/>
      <c r="AR29" s="27"/>
      <c r="AV29" s="28"/>
    </row>
    <row r="30" spans="1:48" x14ac:dyDescent="0.15">
      <c r="A30" s="15" t="s">
        <v>347</v>
      </c>
      <c r="B30" s="15" t="s">
        <v>348</v>
      </c>
      <c r="C30" s="15">
        <v>2018</v>
      </c>
      <c r="D30" s="37" t="s">
        <v>352</v>
      </c>
      <c r="E30" s="7" t="s">
        <v>131</v>
      </c>
      <c r="F30" s="7" t="s">
        <v>145</v>
      </c>
      <c r="G30" s="7" t="s">
        <v>36</v>
      </c>
      <c r="H30" s="216" t="s">
        <v>168</v>
      </c>
      <c r="I30" s="208" t="s">
        <v>155</v>
      </c>
      <c r="J30" s="15" t="s">
        <v>38</v>
      </c>
      <c r="K30" s="7" t="s">
        <v>156</v>
      </c>
      <c r="L30" s="7">
        <v>2</v>
      </c>
      <c r="N30" s="7">
        <v>1</v>
      </c>
      <c r="O30" s="7">
        <v>0.6</v>
      </c>
      <c r="P30" s="7">
        <v>0.6</v>
      </c>
      <c r="Q30" s="52">
        <f t="shared" si="0"/>
        <v>0.6</v>
      </c>
      <c r="R30" s="7">
        <v>14.7</v>
      </c>
      <c r="S30" s="7">
        <v>133</v>
      </c>
      <c r="T30" s="16">
        <f t="shared" si="1"/>
        <v>25</v>
      </c>
      <c r="U30" s="208">
        <v>149</v>
      </c>
      <c r="V30" s="16">
        <f t="shared" si="2"/>
        <v>3725</v>
      </c>
      <c r="W30" s="7">
        <v>5</v>
      </c>
      <c r="X30" s="15" t="s">
        <v>46</v>
      </c>
      <c r="Y30" s="216" t="s">
        <v>88</v>
      </c>
      <c r="Z30" s="216" t="s">
        <v>86</v>
      </c>
      <c r="AA30" s="216" t="s">
        <v>55</v>
      </c>
      <c r="AB30" s="39" t="s">
        <v>350</v>
      </c>
      <c r="AP30" s="27"/>
      <c r="AR30" s="27"/>
    </row>
    <row r="31" spans="1:48" x14ac:dyDescent="0.15">
      <c r="A31" s="15" t="s">
        <v>347</v>
      </c>
      <c r="B31" s="15" t="s">
        <v>348</v>
      </c>
      <c r="C31" s="15">
        <v>2018</v>
      </c>
      <c r="D31" s="37" t="s">
        <v>352</v>
      </c>
      <c r="E31" s="7" t="s">
        <v>131</v>
      </c>
      <c r="F31" s="7" t="s">
        <v>145</v>
      </c>
      <c r="G31" s="7" t="s">
        <v>36</v>
      </c>
      <c r="H31" s="216" t="s">
        <v>168</v>
      </c>
      <c r="I31" s="208" t="s">
        <v>155</v>
      </c>
      <c r="J31" s="15" t="s">
        <v>38</v>
      </c>
      <c r="K31" s="7" t="s">
        <v>156</v>
      </c>
      <c r="L31" s="7">
        <v>3</v>
      </c>
      <c r="N31" s="7">
        <v>1</v>
      </c>
      <c r="O31" s="7">
        <v>0.5</v>
      </c>
      <c r="P31" s="7">
        <v>0.55000000000000004</v>
      </c>
      <c r="Q31" s="52">
        <f t="shared" si="0"/>
        <v>0.52500000000000002</v>
      </c>
      <c r="R31" s="7">
        <v>15.4</v>
      </c>
      <c r="S31" s="7">
        <v>134</v>
      </c>
      <c r="T31" s="16">
        <f t="shared" si="1"/>
        <v>25</v>
      </c>
      <c r="U31" s="208">
        <v>149</v>
      </c>
      <c r="V31" s="16">
        <f t="shared" si="2"/>
        <v>3725</v>
      </c>
      <c r="W31" s="7">
        <v>5</v>
      </c>
      <c r="X31" s="15" t="s">
        <v>46</v>
      </c>
      <c r="Y31" s="216" t="s">
        <v>88</v>
      </c>
      <c r="Z31" s="216" t="s">
        <v>86</v>
      </c>
      <c r="AA31" s="216" t="s">
        <v>55</v>
      </c>
      <c r="AB31" s="39" t="s">
        <v>350</v>
      </c>
      <c r="AP31" s="27"/>
      <c r="AR31" s="27"/>
    </row>
    <row r="32" spans="1:48" x14ac:dyDescent="0.15">
      <c r="A32" s="15" t="s">
        <v>347</v>
      </c>
      <c r="B32" s="15" t="s">
        <v>348</v>
      </c>
      <c r="C32" s="15">
        <v>2018</v>
      </c>
      <c r="D32" s="37" t="s">
        <v>352</v>
      </c>
      <c r="E32" s="7" t="s">
        <v>139</v>
      </c>
      <c r="F32" s="7" t="s">
        <v>146</v>
      </c>
      <c r="G32" s="7" t="s">
        <v>36</v>
      </c>
      <c r="H32" s="15" t="s">
        <v>157</v>
      </c>
      <c r="I32" s="208" t="s">
        <v>155</v>
      </c>
      <c r="J32" s="15" t="s">
        <v>38</v>
      </c>
      <c r="K32" s="7" t="s">
        <v>156</v>
      </c>
      <c r="L32" s="7">
        <v>1</v>
      </c>
      <c r="N32" s="7">
        <v>1</v>
      </c>
      <c r="O32" s="7">
        <v>0.5</v>
      </c>
      <c r="P32" s="7">
        <v>0.5</v>
      </c>
      <c r="Q32" s="52">
        <f t="shared" si="0"/>
        <v>0.5</v>
      </c>
      <c r="R32" s="7">
        <v>14.6</v>
      </c>
      <c r="S32" s="7">
        <v>136</v>
      </c>
      <c r="T32" s="16">
        <f t="shared" si="1"/>
        <v>25</v>
      </c>
      <c r="U32" s="7">
        <v>100</v>
      </c>
      <c r="V32" s="16">
        <f t="shared" si="2"/>
        <v>2500</v>
      </c>
      <c r="W32" s="7">
        <v>4</v>
      </c>
      <c r="X32" s="15" t="s">
        <v>46</v>
      </c>
      <c r="Y32" s="216" t="s">
        <v>97</v>
      </c>
      <c r="Z32" s="216" t="s">
        <v>86</v>
      </c>
      <c r="AA32" s="216" t="s">
        <v>88</v>
      </c>
      <c r="AB32" s="39" t="s">
        <v>350</v>
      </c>
      <c r="AP32" s="28"/>
      <c r="AR32" s="28"/>
    </row>
    <row r="33" spans="1:44" x14ac:dyDescent="0.15">
      <c r="A33" s="15" t="s">
        <v>347</v>
      </c>
      <c r="B33" s="15" t="s">
        <v>348</v>
      </c>
      <c r="C33" s="15">
        <v>2018</v>
      </c>
      <c r="D33" s="37" t="s">
        <v>352</v>
      </c>
      <c r="E33" s="7" t="s">
        <v>139</v>
      </c>
      <c r="F33" s="7" t="s">
        <v>146</v>
      </c>
      <c r="G33" s="7" t="s">
        <v>36</v>
      </c>
      <c r="H33" s="216" t="s">
        <v>157</v>
      </c>
      <c r="I33" s="208" t="s">
        <v>155</v>
      </c>
      <c r="J33" s="15" t="s">
        <v>38</v>
      </c>
      <c r="K33" s="7" t="s">
        <v>156</v>
      </c>
      <c r="L33" s="7">
        <v>2</v>
      </c>
      <c r="N33" s="7">
        <v>1</v>
      </c>
      <c r="O33" s="7">
        <v>0.5</v>
      </c>
      <c r="P33" s="7">
        <v>0.5</v>
      </c>
      <c r="Q33" s="52">
        <f t="shared" si="0"/>
        <v>0.5</v>
      </c>
      <c r="R33" s="7">
        <v>15.1</v>
      </c>
      <c r="S33" s="7">
        <v>137</v>
      </c>
      <c r="T33" s="16">
        <f t="shared" si="1"/>
        <v>25</v>
      </c>
      <c r="U33" s="208">
        <v>100</v>
      </c>
      <c r="V33" s="16">
        <f t="shared" si="2"/>
        <v>2500</v>
      </c>
      <c r="W33" s="7">
        <v>4</v>
      </c>
      <c r="X33" s="15" t="s">
        <v>46</v>
      </c>
      <c r="Y33" s="216" t="s">
        <v>97</v>
      </c>
      <c r="Z33" s="216" t="s">
        <v>86</v>
      </c>
      <c r="AA33" s="216" t="s">
        <v>88</v>
      </c>
      <c r="AB33" s="39" t="s">
        <v>350</v>
      </c>
    </row>
    <row r="34" spans="1:44" x14ac:dyDescent="0.15">
      <c r="A34" s="15" t="s">
        <v>347</v>
      </c>
      <c r="B34" s="15" t="s">
        <v>348</v>
      </c>
      <c r="C34" s="15">
        <v>2018</v>
      </c>
      <c r="D34" s="37" t="s">
        <v>352</v>
      </c>
      <c r="E34" s="7" t="s">
        <v>139</v>
      </c>
      <c r="F34" s="7" t="s">
        <v>146</v>
      </c>
      <c r="G34" s="7" t="s">
        <v>36</v>
      </c>
      <c r="H34" s="216" t="s">
        <v>157</v>
      </c>
      <c r="I34" s="208" t="s">
        <v>155</v>
      </c>
      <c r="J34" s="15" t="s">
        <v>38</v>
      </c>
      <c r="K34" s="7" t="s">
        <v>156</v>
      </c>
      <c r="L34" s="7">
        <v>3</v>
      </c>
      <c r="N34" s="7">
        <v>1</v>
      </c>
      <c r="O34" s="7">
        <v>0.5</v>
      </c>
      <c r="P34" s="7">
        <v>0.5</v>
      </c>
      <c r="Q34" s="52">
        <f t="shared" si="0"/>
        <v>0.5</v>
      </c>
      <c r="R34" s="7">
        <v>13.7</v>
      </c>
      <c r="S34" s="7">
        <v>134</v>
      </c>
      <c r="T34" s="16">
        <f t="shared" si="1"/>
        <v>25</v>
      </c>
      <c r="U34" s="208">
        <v>100</v>
      </c>
      <c r="V34" s="16">
        <f t="shared" si="2"/>
        <v>2500</v>
      </c>
      <c r="W34" s="7">
        <v>4</v>
      </c>
      <c r="X34" s="15" t="s">
        <v>46</v>
      </c>
      <c r="Y34" s="216" t="s">
        <v>97</v>
      </c>
      <c r="Z34" s="216" t="s">
        <v>86</v>
      </c>
      <c r="AA34" s="216" t="s">
        <v>88</v>
      </c>
      <c r="AB34" s="39" t="s">
        <v>350</v>
      </c>
    </row>
    <row r="35" spans="1:44" x14ac:dyDescent="0.15">
      <c r="A35" s="15" t="s">
        <v>347</v>
      </c>
      <c r="B35" s="15" t="s">
        <v>348</v>
      </c>
      <c r="C35" s="15">
        <v>2018</v>
      </c>
      <c r="D35" s="37" t="s">
        <v>352</v>
      </c>
      <c r="E35" s="7" t="s">
        <v>139</v>
      </c>
      <c r="F35" s="7" t="s">
        <v>146</v>
      </c>
      <c r="G35" s="7" t="s">
        <v>36</v>
      </c>
      <c r="H35" s="216" t="s">
        <v>168</v>
      </c>
      <c r="I35" s="208" t="s">
        <v>155</v>
      </c>
      <c r="J35" s="15" t="s">
        <v>38</v>
      </c>
      <c r="K35" s="7" t="s">
        <v>156</v>
      </c>
      <c r="L35" s="7">
        <v>1</v>
      </c>
      <c r="N35" s="7">
        <v>1</v>
      </c>
      <c r="O35" s="7">
        <v>0.5</v>
      </c>
      <c r="P35" s="7">
        <v>0.55000000000000004</v>
      </c>
      <c r="Q35" s="52">
        <f t="shared" si="0"/>
        <v>0.52500000000000002</v>
      </c>
      <c r="R35" s="7">
        <v>16.2</v>
      </c>
      <c r="S35" s="7">
        <v>166</v>
      </c>
      <c r="T35" s="16">
        <f t="shared" si="1"/>
        <v>18</v>
      </c>
      <c r="U35" s="7">
        <v>171</v>
      </c>
      <c r="V35" s="16">
        <f t="shared" si="2"/>
        <v>3078</v>
      </c>
      <c r="W35" s="7">
        <v>6</v>
      </c>
      <c r="X35" s="15" t="s">
        <v>46</v>
      </c>
      <c r="Y35" s="216" t="s">
        <v>97</v>
      </c>
      <c r="Z35" s="216" t="s">
        <v>86</v>
      </c>
      <c r="AA35" s="216" t="s">
        <v>88</v>
      </c>
      <c r="AB35" s="39" t="s">
        <v>350</v>
      </c>
      <c r="AP35" s="28"/>
      <c r="AR35" s="28"/>
    </row>
    <row r="36" spans="1:44" x14ac:dyDescent="0.15">
      <c r="A36" s="15" t="s">
        <v>347</v>
      </c>
      <c r="B36" s="15" t="s">
        <v>348</v>
      </c>
      <c r="C36" s="15">
        <v>2018</v>
      </c>
      <c r="D36" s="37" t="s">
        <v>352</v>
      </c>
      <c r="E36" s="7" t="s">
        <v>139</v>
      </c>
      <c r="F36" s="7" t="s">
        <v>146</v>
      </c>
      <c r="G36" s="7" t="s">
        <v>36</v>
      </c>
      <c r="H36" s="216" t="s">
        <v>168</v>
      </c>
      <c r="I36" s="208" t="s">
        <v>155</v>
      </c>
      <c r="J36" s="15" t="s">
        <v>38</v>
      </c>
      <c r="K36" s="7" t="s">
        <v>156</v>
      </c>
      <c r="L36" s="7">
        <v>2</v>
      </c>
      <c r="N36" s="208">
        <v>1</v>
      </c>
      <c r="O36" s="7">
        <v>0.55000000000000004</v>
      </c>
      <c r="P36" s="7">
        <v>0.65</v>
      </c>
      <c r="Q36" s="52">
        <f t="shared" si="0"/>
        <v>0.60000000000000009</v>
      </c>
      <c r="R36" s="7">
        <v>18.8</v>
      </c>
      <c r="S36" s="7">
        <v>164</v>
      </c>
      <c r="T36" s="16">
        <f t="shared" si="1"/>
        <v>18</v>
      </c>
      <c r="U36" s="208">
        <v>171</v>
      </c>
      <c r="V36" s="16">
        <f t="shared" si="2"/>
        <v>3078</v>
      </c>
      <c r="W36" s="7">
        <v>6</v>
      </c>
      <c r="X36" s="15" t="s">
        <v>46</v>
      </c>
      <c r="Y36" s="216" t="s">
        <v>97</v>
      </c>
      <c r="Z36" s="216" t="s">
        <v>86</v>
      </c>
      <c r="AA36" s="216" t="s">
        <v>88</v>
      </c>
      <c r="AB36" s="39" t="s">
        <v>350</v>
      </c>
    </row>
    <row r="37" spans="1:44" x14ac:dyDescent="0.15">
      <c r="A37" s="15" t="s">
        <v>347</v>
      </c>
      <c r="B37" s="15" t="s">
        <v>348</v>
      </c>
      <c r="C37" s="15">
        <v>2018</v>
      </c>
      <c r="D37" s="37" t="s">
        <v>352</v>
      </c>
      <c r="E37" s="7" t="s">
        <v>139</v>
      </c>
      <c r="F37" s="7" t="s">
        <v>146</v>
      </c>
      <c r="G37" s="7" t="s">
        <v>36</v>
      </c>
      <c r="H37" s="216" t="s">
        <v>168</v>
      </c>
      <c r="I37" s="208" t="s">
        <v>155</v>
      </c>
      <c r="J37" s="15" t="s">
        <v>38</v>
      </c>
      <c r="K37" s="7" t="s">
        <v>156</v>
      </c>
      <c r="L37" s="7">
        <v>3</v>
      </c>
      <c r="N37" s="208">
        <v>1</v>
      </c>
      <c r="O37" s="34">
        <v>0.8</v>
      </c>
      <c r="P37" s="34">
        <v>0.85</v>
      </c>
      <c r="Q37" s="52">
        <f t="shared" si="0"/>
        <v>0.82499999999999996</v>
      </c>
      <c r="R37" s="7">
        <v>15</v>
      </c>
      <c r="S37" s="7">
        <v>162</v>
      </c>
      <c r="T37" s="16">
        <f t="shared" si="1"/>
        <v>18</v>
      </c>
      <c r="U37" s="208">
        <v>171</v>
      </c>
      <c r="V37" s="16">
        <f t="shared" si="2"/>
        <v>3078</v>
      </c>
      <c r="W37" s="7">
        <v>6</v>
      </c>
      <c r="X37" s="15" t="s">
        <v>46</v>
      </c>
      <c r="Y37" s="216" t="s">
        <v>97</v>
      </c>
      <c r="Z37" s="216" t="s">
        <v>86</v>
      </c>
      <c r="AA37" s="216" t="s">
        <v>88</v>
      </c>
      <c r="AB37" s="39" t="s">
        <v>350</v>
      </c>
    </row>
    <row r="38" spans="1:44" x14ac:dyDescent="0.15">
      <c r="A38" s="15" t="s">
        <v>347</v>
      </c>
      <c r="B38" s="15" t="s">
        <v>348</v>
      </c>
      <c r="C38" s="15">
        <v>2018</v>
      </c>
      <c r="D38" s="37" t="s">
        <v>352</v>
      </c>
      <c r="E38" s="7" t="s">
        <v>140</v>
      </c>
      <c r="F38" s="7" t="s">
        <v>147</v>
      </c>
      <c r="G38" s="7" t="s">
        <v>36</v>
      </c>
      <c r="H38" s="216" t="s">
        <v>157</v>
      </c>
      <c r="I38" s="7" t="s">
        <v>155</v>
      </c>
      <c r="J38" s="216" t="s">
        <v>38</v>
      </c>
      <c r="K38" s="208" t="s">
        <v>156</v>
      </c>
      <c r="L38" s="7">
        <v>1</v>
      </c>
      <c r="N38" s="208">
        <v>1</v>
      </c>
      <c r="O38" s="34">
        <v>0.6</v>
      </c>
      <c r="P38" s="34">
        <v>0.5</v>
      </c>
      <c r="Q38" s="52">
        <f t="shared" si="0"/>
        <v>0.55000000000000004</v>
      </c>
      <c r="R38" s="7">
        <v>15.9</v>
      </c>
      <c r="S38" s="7">
        <v>159</v>
      </c>
      <c r="T38" s="16">
        <f t="shared" si="1"/>
        <v>18</v>
      </c>
      <c r="U38" s="7">
        <v>129</v>
      </c>
      <c r="V38" s="16">
        <f t="shared" si="2"/>
        <v>2322</v>
      </c>
      <c r="W38" s="7">
        <v>3</v>
      </c>
      <c r="X38" s="15" t="s">
        <v>46</v>
      </c>
      <c r="Y38" s="216" t="s">
        <v>97</v>
      </c>
      <c r="Z38" s="216" t="s">
        <v>86</v>
      </c>
      <c r="AA38" s="216" t="s">
        <v>88</v>
      </c>
      <c r="AB38" s="39" t="s">
        <v>350</v>
      </c>
    </row>
    <row r="39" spans="1:44" x14ac:dyDescent="0.15">
      <c r="A39" s="15" t="s">
        <v>347</v>
      </c>
      <c r="B39" s="15" t="s">
        <v>348</v>
      </c>
      <c r="C39" s="15">
        <v>2018</v>
      </c>
      <c r="D39" s="37" t="s">
        <v>352</v>
      </c>
      <c r="E39" s="7" t="s">
        <v>140</v>
      </c>
      <c r="F39" s="7" t="s">
        <v>147</v>
      </c>
      <c r="G39" s="7" t="s">
        <v>36</v>
      </c>
      <c r="H39" s="216" t="s">
        <v>157</v>
      </c>
      <c r="I39" s="208" t="s">
        <v>155</v>
      </c>
      <c r="J39" s="216" t="s">
        <v>38</v>
      </c>
      <c r="K39" s="208" t="s">
        <v>156</v>
      </c>
      <c r="L39" s="7">
        <v>2</v>
      </c>
      <c r="N39" s="208">
        <v>1</v>
      </c>
      <c r="O39" s="7">
        <v>0.5</v>
      </c>
      <c r="P39" s="7">
        <v>0.5</v>
      </c>
      <c r="Q39" s="52">
        <f t="shared" si="0"/>
        <v>0.5</v>
      </c>
      <c r="R39" s="34">
        <v>14.2</v>
      </c>
      <c r="S39" s="7">
        <v>157</v>
      </c>
      <c r="T39" s="16">
        <f t="shared" si="1"/>
        <v>18</v>
      </c>
      <c r="U39" s="208">
        <v>129</v>
      </c>
      <c r="V39" s="16">
        <f t="shared" si="2"/>
        <v>2322</v>
      </c>
      <c r="W39" s="7">
        <v>3</v>
      </c>
      <c r="X39" s="15" t="s">
        <v>46</v>
      </c>
      <c r="Y39" s="216" t="s">
        <v>97</v>
      </c>
      <c r="Z39" s="216" t="s">
        <v>86</v>
      </c>
      <c r="AA39" s="216" t="s">
        <v>88</v>
      </c>
      <c r="AB39" s="39" t="s">
        <v>350</v>
      </c>
    </row>
    <row r="40" spans="1:44" x14ac:dyDescent="0.15">
      <c r="A40" s="15" t="s">
        <v>347</v>
      </c>
      <c r="B40" s="15" t="s">
        <v>348</v>
      </c>
      <c r="C40" s="15">
        <v>2018</v>
      </c>
      <c r="D40" s="37" t="s">
        <v>352</v>
      </c>
      <c r="E40" s="7" t="s">
        <v>140</v>
      </c>
      <c r="F40" s="7" t="s">
        <v>147</v>
      </c>
      <c r="G40" s="7" t="s">
        <v>36</v>
      </c>
      <c r="H40" s="216" t="s">
        <v>157</v>
      </c>
      <c r="I40" s="208" t="s">
        <v>155</v>
      </c>
      <c r="J40" s="216" t="s">
        <v>38</v>
      </c>
      <c r="K40" s="208" t="s">
        <v>156</v>
      </c>
      <c r="L40" s="7">
        <v>3</v>
      </c>
      <c r="N40" s="208">
        <v>1</v>
      </c>
      <c r="O40" s="7">
        <v>0.65</v>
      </c>
      <c r="P40" s="7">
        <v>0.6</v>
      </c>
      <c r="Q40" s="52">
        <f t="shared" si="0"/>
        <v>0.625</v>
      </c>
      <c r="R40" s="7">
        <v>14.8</v>
      </c>
      <c r="S40" s="7">
        <v>154</v>
      </c>
      <c r="T40" s="16">
        <f t="shared" si="1"/>
        <v>18</v>
      </c>
      <c r="U40" s="208">
        <v>129</v>
      </c>
      <c r="V40" s="16">
        <f t="shared" si="2"/>
        <v>2322</v>
      </c>
      <c r="W40" s="7">
        <v>3</v>
      </c>
      <c r="X40" s="15" t="s">
        <v>46</v>
      </c>
      <c r="Y40" s="216" t="s">
        <v>97</v>
      </c>
      <c r="Z40" s="216" t="s">
        <v>86</v>
      </c>
      <c r="AA40" s="216" t="s">
        <v>88</v>
      </c>
      <c r="AB40" s="39" t="s">
        <v>350</v>
      </c>
    </row>
    <row r="41" spans="1:44" ht="12.75" customHeight="1" x14ac:dyDescent="0.15">
      <c r="A41" s="15" t="s">
        <v>347</v>
      </c>
      <c r="B41" s="15" t="s">
        <v>348</v>
      </c>
      <c r="C41" s="15">
        <v>2018</v>
      </c>
      <c r="D41" s="37" t="s">
        <v>352</v>
      </c>
      <c r="E41" s="7" t="s">
        <v>140</v>
      </c>
      <c r="F41" s="7" t="s">
        <v>147</v>
      </c>
      <c r="G41" s="7" t="s">
        <v>36</v>
      </c>
      <c r="H41" s="15" t="s">
        <v>168</v>
      </c>
      <c r="I41" s="7" t="s">
        <v>155</v>
      </c>
      <c r="J41" s="15" t="s">
        <v>38</v>
      </c>
      <c r="K41" s="7" t="s">
        <v>156</v>
      </c>
      <c r="L41" s="7">
        <v>1</v>
      </c>
      <c r="N41" s="208">
        <v>1</v>
      </c>
      <c r="O41" s="7">
        <v>0.8</v>
      </c>
      <c r="P41" s="7">
        <v>0.65</v>
      </c>
      <c r="Q41" s="52">
        <f t="shared" si="0"/>
        <v>0.72500000000000009</v>
      </c>
      <c r="R41" s="7">
        <v>17.8</v>
      </c>
      <c r="S41" s="7">
        <v>155</v>
      </c>
      <c r="T41" s="16">
        <f t="shared" si="1"/>
        <v>18</v>
      </c>
      <c r="U41" s="7">
        <v>129</v>
      </c>
      <c r="V41" s="16">
        <f t="shared" si="2"/>
        <v>2322</v>
      </c>
      <c r="W41" s="7">
        <v>2</v>
      </c>
      <c r="X41" s="15" t="s">
        <v>46</v>
      </c>
      <c r="Y41" s="216" t="s">
        <v>97</v>
      </c>
      <c r="Z41" s="216" t="s">
        <v>86</v>
      </c>
      <c r="AA41" s="216" t="s">
        <v>88</v>
      </c>
      <c r="AB41" s="39" t="s">
        <v>350</v>
      </c>
    </row>
    <row r="42" spans="1:44" x14ac:dyDescent="0.15">
      <c r="A42" s="15" t="s">
        <v>347</v>
      </c>
      <c r="B42" s="15" t="s">
        <v>348</v>
      </c>
      <c r="C42" s="15">
        <v>2018</v>
      </c>
      <c r="D42" s="37" t="s">
        <v>352</v>
      </c>
      <c r="E42" s="7" t="s">
        <v>140</v>
      </c>
      <c r="F42" s="7" t="s">
        <v>147</v>
      </c>
      <c r="G42" s="7" t="s">
        <v>36</v>
      </c>
      <c r="H42" s="216" t="s">
        <v>168</v>
      </c>
      <c r="I42" s="208" t="s">
        <v>155</v>
      </c>
      <c r="J42" s="15" t="s">
        <v>38</v>
      </c>
      <c r="K42" s="7" t="s">
        <v>156</v>
      </c>
      <c r="L42" s="7">
        <v>2</v>
      </c>
      <c r="N42" s="208">
        <v>1</v>
      </c>
      <c r="O42" s="7">
        <v>0.5</v>
      </c>
      <c r="P42" s="7">
        <v>0.6</v>
      </c>
      <c r="Q42" s="52">
        <f t="shared" si="0"/>
        <v>0.55000000000000004</v>
      </c>
      <c r="R42" s="7">
        <v>15.3</v>
      </c>
      <c r="S42" s="7">
        <v>150</v>
      </c>
      <c r="T42" s="16">
        <f t="shared" si="1"/>
        <v>22</v>
      </c>
      <c r="U42" s="208">
        <v>129</v>
      </c>
      <c r="V42" s="16">
        <f t="shared" si="2"/>
        <v>2838</v>
      </c>
      <c r="W42" s="7">
        <v>2</v>
      </c>
      <c r="X42" s="15" t="s">
        <v>46</v>
      </c>
      <c r="Y42" s="216" t="s">
        <v>97</v>
      </c>
      <c r="Z42" s="216" t="s">
        <v>86</v>
      </c>
      <c r="AA42" s="216" t="s">
        <v>88</v>
      </c>
      <c r="AB42" s="39" t="s">
        <v>350</v>
      </c>
    </row>
    <row r="43" spans="1:44" x14ac:dyDescent="0.15">
      <c r="A43" s="15" t="s">
        <v>347</v>
      </c>
      <c r="B43" s="15" t="s">
        <v>348</v>
      </c>
      <c r="C43" s="15">
        <v>2018</v>
      </c>
      <c r="D43" s="37" t="s">
        <v>352</v>
      </c>
      <c r="E43" s="7" t="s">
        <v>140</v>
      </c>
      <c r="F43" s="7" t="s">
        <v>147</v>
      </c>
      <c r="G43" s="7" t="s">
        <v>36</v>
      </c>
      <c r="H43" s="216" t="s">
        <v>168</v>
      </c>
      <c r="I43" s="208" t="s">
        <v>155</v>
      </c>
      <c r="J43" s="15" t="s">
        <v>38</v>
      </c>
      <c r="K43" s="7" t="s">
        <v>156</v>
      </c>
      <c r="L43" s="7">
        <v>3</v>
      </c>
      <c r="N43" s="208">
        <v>1</v>
      </c>
      <c r="O43" s="7">
        <v>0.55000000000000004</v>
      </c>
      <c r="P43" s="7">
        <v>0.65</v>
      </c>
      <c r="Q43" s="52">
        <f t="shared" si="0"/>
        <v>0.60000000000000009</v>
      </c>
      <c r="R43" s="7">
        <v>16</v>
      </c>
      <c r="S43" s="7">
        <v>143</v>
      </c>
      <c r="T43" s="16">
        <f t="shared" si="1"/>
        <v>22</v>
      </c>
      <c r="U43" s="208">
        <v>129</v>
      </c>
      <c r="V43" s="16">
        <f t="shared" si="2"/>
        <v>2838</v>
      </c>
      <c r="W43" s="7">
        <v>2</v>
      </c>
      <c r="X43" s="15" t="s">
        <v>46</v>
      </c>
      <c r="Y43" s="216" t="s">
        <v>97</v>
      </c>
      <c r="Z43" s="216" t="s">
        <v>86</v>
      </c>
      <c r="AA43" s="216" t="s">
        <v>88</v>
      </c>
      <c r="AB43" s="39" t="s">
        <v>350</v>
      </c>
    </row>
    <row r="44" spans="1:44" x14ac:dyDescent="0.15">
      <c r="A44" s="15" t="s">
        <v>347</v>
      </c>
      <c r="B44" s="15" t="s">
        <v>348</v>
      </c>
      <c r="C44" s="15">
        <v>2018</v>
      </c>
      <c r="D44" s="37" t="s">
        <v>352</v>
      </c>
      <c r="E44" s="7" t="s">
        <v>130</v>
      </c>
      <c r="F44" s="7" t="s">
        <v>148</v>
      </c>
      <c r="G44" s="7" t="s">
        <v>36</v>
      </c>
      <c r="H44" s="15" t="s">
        <v>157</v>
      </c>
      <c r="I44" s="208" t="s">
        <v>155</v>
      </c>
      <c r="J44" s="15" t="s">
        <v>38</v>
      </c>
      <c r="K44" s="7" t="s">
        <v>156</v>
      </c>
      <c r="L44" s="7">
        <v>1</v>
      </c>
      <c r="N44" s="208">
        <v>1</v>
      </c>
      <c r="O44" s="7">
        <v>0.6</v>
      </c>
      <c r="P44" s="7">
        <v>0.75</v>
      </c>
      <c r="Q44" s="52">
        <f t="shared" si="0"/>
        <v>0.67500000000000004</v>
      </c>
      <c r="R44" s="7">
        <v>14.7</v>
      </c>
      <c r="S44" s="7">
        <v>124</v>
      </c>
      <c r="T44" s="16">
        <f t="shared" si="1"/>
        <v>27</v>
      </c>
      <c r="U44" s="7">
        <v>105</v>
      </c>
      <c r="V44" s="16">
        <f t="shared" si="2"/>
        <v>2835</v>
      </c>
      <c r="W44" s="7">
        <v>5</v>
      </c>
      <c r="X44" s="15" t="s">
        <v>46</v>
      </c>
      <c r="Y44" s="216" t="s">
        <v>88</v>
      </c>
      <c r="Z44" s="216" t="s">
        <v>86</v>
      </c>
      <c r="AA44" s="216" t="s">
        <v>78</v>
      </c>
      <c r="AB44" s="39" t="s">
        <v>350</v>
      </c>
    </row>
    <row r="45" spans="1:44" x14ac:dyDescent="0.15">
      <c r="A45" s="15" t="s">
        <v>347</v>
      </c>
      <c r="B45" s="15" t="s">
        <v>348</v>
      </c>
      <c r="C45" s="15">
        <v>2018</v>
      </c>
      <c r="D45" s="37" t="s">
        <v>352</v>
      </c>
      <c r="E45" s="7" t="s">
        <v>130</v>
      </c>
      <c r="F45" s="7" t="s">
        <v>148</v>
      </c>
      <c r="G45" s="7" t="s">
        <v>36</v>
      </c>
      <c r="H45" s="216" t="s">
        <v>157</v>
      </c>
      <c r="I45" s="208" t="s">
        <v>155</v>
      </c>
      <c r="J45" s="15" t="s">
        <v>38</v>
      </c>
      <c r="K45" s="7" t="s">
        <v>156</v>
      </c>
      <c r="L45" s="7">
        <v>2</v>
      </c>
      <c r="N45" s="208">
        <v>1</v>
      </c>
      <c r="O45" s="7">
        <v>0.5</v>
      </c>
      <c r="P45" s="7">
        <v>0.55000000000000004</v>
      </c>
      <c r="Q45" s="52">
        <f t="shared" si="0"/>
        <v>0.52500000000000002</v>
      </c>
      <c r="R45" s="7">
        <v>14.5</v>
      </c>
      <c r="S45" s="7">
        <v>121</v>
      </c>
      <c r="T45" s="16">
        <f t="shared" si="1"/>
        <v>27</v>
      </c>
      <c r="U45" s="208">
        <v>105</v>
      </c>
      <c r="V45" s="16">
        <f t="shared" si="2"/>
        <v>2835</v>
      </c>
      <c r="W45" s="7">
        <v>5</v>
      </c>
      <c r="X45" s="15" t="s">
        <v>46</v>
      </c>
      <c r="Y45" s="216" t="s">
        <v>88</v>
      </c>
      <c r="Z45" s="216" t="s">
        <v>86</v>
      </c>
      <c r="AA45" s="216" t="s">
        <v>78</v>
      </c>
      <c r="AB45" s="39" t="s">
        <v>350</v>
      </c>
    </row>
    <row r="46" spans="1:44" x14ac:dyDescent="0.15">
      <c r="A46" s="15" t="s">
        <v>347</v>
      </c>
      <c r="B46" s="15" t="s">
        <v>348</v>
      </c>
      <c r="C46" s="15">
        <v>2018</v>
      </c>
      <c r="D46" s="37" t="s">
        <v>352</v>
      </c>
      <c r="E46" s="7" t="s">
        <v>130</v>
      </c>
      <c r="F46" s="7" t="s">
        <v>148</v>
      </c>
      <c r="G46" s="7" t="s">
        <v>36</v>
      </c>
      <c r="H46" s="216" t="s">
        <v>157</v>
      </c>
      <c r="I46" s="208" t="s">
        <v>155</v>
      </c>
      <c r="J46" s="15" t="s">
        <v>38</v>
      </c>
      <c r="K46" s="7" t="s">
        <v>156</v>
      </c>
      <c r="L46" s="7">
        <v>3</v>
      </c>
      <c r="N46" s="7">
        <v>1</v>
      </c>
      <c r="O46" s="7">
        <v>0.9</v>
      </c>
      <c r="P46" s="34">
        <v>0.85</v>
      </c>
      <c r="Q46" s="52">
        <f t="shared" si="0"/>
        <v>0.875</v>
      </c>
      <c r="R46" s="7">
        <v>14.4</v>
      </c>
      <c r="S46" s="7">
        <v>114</v>
      </c>
      <c r="T46" s="16">
        <f t="shared" si="1"/>
        <v>30</v>
      </c>
      <c r="U46" s="208">
        <v>105</v>
      </c>
      <c r="V46" s="16">
        <f t="shared" si="2"/>
        <v>3150</v>
      </c>
      <c r="W46" s="7">
        <v>5</v>
      </c>
      <c r="X46" s="15" t="s">
        <v>46</v>
      </c>
      <c r="Y46" s="216" t="s">
        <v>88</v>
      </c>
      <c r="Z46" s="216" t="s">
        <v>86</v>
      </c>
      <c r="AA46" s="216" t="s">
        <v>78</v>
      </c>
      <c r="AB46" s="39" t="s">
        <v>350</v>
      </c>
    </row>
    <row r="47" spans="1:44" x14ac:dyDescent="0.15">
      <c r="A47" s="15" t="s">
        <v>347</v>
      </c>
      <c r="B47" s="15" t="s">
        <v>348</v>
      </c>
      <c r="C47" s="15">
        <v>2018</v>
      </c>
      <c r="D47" s="37" t="s">
        <v>352</v>
      </c>
      <c r="E47" s="7" t="s">
        <v>130</v>
      </c>
      <c r="F47" s="7" t="s">
        <v>148</v>
      </c>
      <c r="G47" s="7" t="s">
        <v>36</v>
      </c>
      <c r="H47" s="15" t="s">
        <v>168</v>
      </c>
      <c r="I47" s="208" t="s">
        <v>155</v>
      </c>
      <c r="J47" s="15" t="s">
        <v>38</v>
      </c>
      <c r="K47" s="7" t="s">
        <v>156</v>
      </c>
      <c r="L47" s="7">
        <v>1</v>
      </c>
      <c r="N47" s="7">
        <v>1</v>
      </c>
      <c r="O47" s="7">
        <v>0.5</v>
      </c>
      <c r="P47" s="7">
        <v>0.65</v>
      </c>
      <c r="Q47" s="52">
        <f t="shared" si="0"/>
        <v>0.57499999999999996</v>
      </c>
      <c r="R47" s="7">
        <v>19.2</v>
      </c>
      <c r="S47" s="7">
        <v>132</v>
      </c>
      <c r="T47" s="16">
        <f t="shared" si="1"/>
        <v>25</v>
      </c>
      <c r="U47" s="7">
        <v>145</v>
      </c>
      <c r="V47" s="16">
        <f t="shared" si="2"/>
        <v>3625</v>
      </c>
      <c r="W47" s="7">
        <v>4</v>
      </c>
      <c r="X47" s="15" t="s">
        <v>46</v>
      </c>
      <c r="Y47" s="216" t="s">
        <v>88</v>
      </c>
      <c r="Z47" s="216" t="s">
        <v>86</v>
      </c>
      <c r="AA47" s="216" t="s">
        <v>78</v>
      </c>
      <c r="AB47" s="39" t="s">
        <v>350</v>
      </c>
    </row>
    <row r="48" spans="1:44" x14ac:dyDescent="0.15">
      <c r="A48" s="15" t="s">
        <v>347</v>
      </c>
      <c r="B48" s="15" t="s">
        <v>348</v>
      </c>
      <c r="C48" s="15">
        <v>2018</v>
      </c>
      <c r="D48" s="37" t="s">
        <v>352</v>
      </c>
      <c r="E48" s="7" t="s">
        <v>130</v>
      </c>
      <c r="F48" s="7" t="s">
        <v>148</v>
      </c>
      <c r="G48" s="7" t="s">
        <v>36</v>
      </c>
      <c r="H48" s="216" t="s">
        <v>168</v>
      </c>
      <c r="I48" s="208" t="s">
        <v>155</v>
      </c>
      <c r="J48" s="15" t="s">
        <v>38</v>
      </c>
      <c r="K48" s="7" t="s">
        <v>156</v>
      </c>
      <c r="L48" s="7">
        <v>2</v>
      </c>
      <c r="N48" s="7">
        <v>1</v>
      </c>
      <c r="O48" s="7">
        <v>0.5</v>
      </c>
      <c r="P48" s="7">
        <v>0.5</v>
      </c>
      <c r="Q48" s="52">
        <f t="shared" si="0"/>
        <v>0.5</v>
      </c>
      <c r="R48" s="7">
        <v>18.5</v>
      </c>
      <c r="S48" s="7">
        <v>133</v>
      </c>
      <c r="T48" s="16">
        <f t="shared" si="1"/>
        <v>25</v>
      </c>
      <c r="U48" s="208">
        <v>145</v>
      </c>
      <c r="V48" s="16">
        <f t="shared" si="2"/>
        <v>3625</v>
      </c>
      <c r="W48" s="7">
        <v>4</v>
      </c>
      <c r="X48" s="15" t="s">
        <v>46</v>
      </c>
      <c r="Y48" s="216" t="s">
        <v>88</v>
      </c>
      <c r="Z48" s="216" t="s">
        <v>86</v>
      </c>
      <c r="AA48" s="216" t="s">
        <v>78</v>
      </c>
      <c r="AB48" s="39" t="s">
        <v>350</v>
      </c>
    </row>
    <row r="49" spans="1:29" x14ac:dyDescent="0.15">
      <c r="A49" s="15" t="s">
        <v>347</v>
      </c>
      <c r="B49" s="15" t="s">
        <v>348</v>
      </c>
      <c r="C49" s="15">
        <v>2018</v>
      </c>
      <c r="D49" s="37" t="s">
        <v>352</v>
      </c>
      <c r="E49" s="7" t="s">
        <v>130</v>
      </c>
      <c r="F49" s="7" t="s">
        <v>148</v>
      </c>
      <c r="G49" s="7" t="s">
        <v>36</v>
      </c>
      <c r="H49" s="216" t="s">
        <v>168</v>
      </c>
      <c r="I49" s="208" t="s">
        <v>155</v>
      </c>
      <c r="J49" s="15" t="s">
        <v>38</v>
      </c>
      <c r="K49" s="7" t="s">
        <v>156</v>
      </c>
      <c r="L49" s="7">
        <v>3</v>
      </c>
      <c r="N49" s="7">
        <v>1</v>
      </c>
      <c r="O49" s="7">
        <v>0.5</v>
      </c>
      <c r="P49" s="34">
        <v>0.5</v>
      </c>
      <c r="Q49" s="52">
        <f t="shared" si="0"/>
        <v>0.5</v>
      </c>
      <c r="R49" s="7">
        <v>17.8</v>
      </c>
      <c r="S49" s="7">
        <v>135</v>
      </c>
      <c r="T49" s="16">
        <f t="shared" si="1"/>
        <v>25</v>
      </c>
      <c r="U49" s="208">
        <v>145</v>
      </c>
      <c r="V49" s="16">
        <f t="shared" si="2"/>
        <v>3625</v>
      </c>
      <c r="W49" s="7">
        <v>4</v>
      </c>
      <c r="X49" s="15" t="s">
        <v>46</v>
      </c>
      <c r="Y49" s="216" t="s">
        <v>88</v>
      </c>
      <c r="Z49" s="216" t="s">
        <v>86</v>
      </c>
      <c r="AA49" s="216" t="s">
        <v>78</v>
      </c>
      <c r="AB49" s="39" t="s">
        <v>350</v>
      </c>
    </row>
    <row r="50" spans="1:29" x14ac:dyDescent="0.15">
      <c r="A50" s="15" t="s">
        <v>347</v>
      </c>
      <c r="B50" s="15" t="s">
        <v>348</v>
      </c>
      <c r="C50" s="15">
        <v>2018</v>
      </c>
      <c r="D50" s="37" t="s">
        <v>352</v>
      </c>
      <c r="E50" s="7" t="s">
        <v>132</v>
      </c>
      <c r="F50" s="7" t="s">
        <v>149</v>
      </c>
      <c r="G50" s="7" t="s">
        <v>36</v>
      </c>
      <c r="H50" s="15" t="s">
        <v>157</v>
      </c>
      <c r="I50" s="208" t="s">
        <v>155</v>
      </c>
      <c r="J50" s="15" t="s">
        <v>38</v>
      </c>
      <c r="K50" s="7" t="s">
        <v>156</v>
      </c>
      <c r="L50" s="7">
        <v>1</v>
      </c>
      <c r="N50" s="7">
        <v>1</v>
      </c>
      <c r="O50" s="7">
        <v>0.55000000000000004</v>
      </c>
      <c r="P50" s="7">
        <v>0.55000000000000004</v>
      </c>
      <c r="Q50" s="52">
        <f t="shared" si="0"/>
        <v>0.55000000000000004</v>
      </c>
      <c r="R50" s="7">
        <v>14.9</v>
      </c>
      <c r="S50" s="7">
        <v>154</v>
      </c>
      <c r="T50" s="16">
        <f t="shared" si="1"/>
        <v>18</v>
      </c>
      <c r="U50" s="208">
        <v>105</v>
      </c>
      <c r="V50" s="16">
        <f t="shared" si="2"/>
        <v>1890</v>
      </c>
      <c r="W50" s="7">
        <v>6</v>
      </c>
      <c r="X50" s="15" t="s">
        <v>46</v>
      </c>
      <c r="Y50" s="216" t="s">
        <v>88</v>
      </c>
      <c r="Z50" s="216" t="s">
        <v>55</v>
      </c>
      <c r="AA50" s="216" t="s">
        <v>78</v>
      </c>
      <c r="AB50" s="39" t="s">
        <v>350</v>
      </c>
    </row>
    <row r="51" spans="1:29" x14ac:dyDescent="0.15">
      <c r="A51" s="15" t="s">
        <v>347</v>
      </c>
      <c r="B51" s="15" t="s">
        <v>348</v>
      </c>
      <c r="C51" s="15">
        <v>2018</v>
      </c>
      <c r="D51" s="37" t="s">
        <v>352</v>
      </c>
      <c r="E51" s="7" t="s">
        <v>132</v>
      </c>
      <c r="F51" s="7" t="s">
        <v>149</v>
      </c>
      <c r="G51" s="7" t="s">
        <v>36</v>
      </c>
      <c r="H51" s="216" t="s">
        <v>157</v>
      </c>
      <c r="I51" s="208" t="s">
        <v>155</v>
      </c>
      <c r="J51" s="15" t="s">
        <v>38</v>
      </c>
      <c r="K51" s="7" t="s">
        <v>156</v>
      </c>
      <c r="L51" s="7">
        <v>2</v>
      </c>
      <c r="N51" s="7">
        <v>1</v>
      </c>
      <c r="O51" s="7">
        <v>0.8</v>
      </c>
      <c r="P51" s="7">
        <v>0.65</v>
      </c>
      <c r="Q51" s="52">
        <f t="shared" si="0"/>
        <v>0.72500000000000009</v>
      </c>
      <c r="R51" s="7">
        <v>15</v>
      </c>
      <c r="S51" s="7">
        <v>144</v>
      </c>
      <c r="T51" s="16">
        <f t="shared" si="1"/>
        <v>22</v>
      </c>
      <c r="U51" s="208">
        <v>105</v>
      </c>
      <c r="V51" s="16">
        <f t="shared" si="2"/>
        <v>2310</v>
      </c>
      <c r="W51" s="7">
        <v>6</v>
      </c>
      <c r="X51" s="15" t="s">
        <v>46</v>
      </c>
      <c r="Y51" s="216" t="s">
        <v>88</v>
      </c>
      <c r="Z51" s="216" t="s">
        <v>55</v>
      </c>
      <c r="AA51" s="216" t="s">
        <v>78</v>
      </c>
      <c r="AB51" s="39" t="s">
        <v>350</v>
      </c>
    </row>
    <row r="52" spans="1:29" x14ac:dyDescent="0.15">
      <c r="A52" s="15" t="s">
        <v>347</v>
      </c>
      <c r="B52" s="15" t="s">
        <v>348</v>
      </c>
      <c r="C52" s="15">
        <v>2018</v>
      </c>
      <c r="D52" s="37" t="s">
        <v>352</v>
      </c>
      <c r="E52" s="7" t="s">
        <v>132</v>
      </c>
      <c r="F52" s="7" t="s">
        <v>149</v>
      </c>
      <c r="G52" s="7" t="s">
        <v>36</v>
      </c>
      <c r="H52" s="216" t="s">
        <v>157</v>
      </c>
      <c r="I52" s="208" t="s">
        <v>155</v>
      </c>
      <c r="J52" s="15" t="s">
        <v>38</v>
      </c>
      <c r="K52" s="7" t="s">
        <v>156</v>
      </c>
      <c r="L52" s="7">
        <v>3</v>
      </c>
      <c r="N52" s="7">
        <v>1</v>
      </c>
      <c r="O52" s="7">
        <v>0.5</v>
      </c>
      <c r="P52" s="7">
        <v>0.5</v>
      </c>
      <c r="Q52" s="52">
        <f t="shared" si="0"/>
        <v>0.5</v>
      </c>
      <c r="R52" s="7">
        <v>12.7</v>
      </c>
      <c r="S52" s="7">
        <v>150</v>
      </c>
      <c r="T52" s="16">
        <f t="shared" si="1"/>
        <v>22</v>
      </c>
      <c r="U52" s="208">
        <v>105</v>
      </c>
      <c r="V52" s="16">
        <f t="shared" si="2"/>
        <v>2310</v>
      </c>
      <c r="W52" s="7">
        <v>6</v>
      </c>
      <c r="X52" s="15" t="s">
        <v>46</v>
      </c>
      <c r="Y52" s="216" t="s">
        <v>88</v>
      </c>
      <c r="Z52" s="216" t="s">
        <v>55</v>
      </c>
      <c r="AA52" s="216" t="s">
        <v>78</v>
      </c>
      <c r="AB52" s="39" t="s">
        <v>350</v>
      </c>
    </row>
    <row r="53" spans="1:29" x14ac:dyDescent="0.15">
      <c r="A53" s="15" t="s">
        <v>347</v>
      </c>
      <c r="B53" s="15" t="s">
        <v>348</v>
      </c>
      <c r="C53" s="15">
        <v>2018</v>
      </c>
      <c r="D53" s="37" t="s">
        <v>352</v>
      </c>
      <c r="E53" s="7" t="s">
        <v>132</v>
      </c>
      <c r="F53" s="7" t="s">
        <v>149</v>
      </c>
      <c r="G53" s="7" t="s">
        <v>36</v>
      </c>
      <c r="H53" s="15" t="s">
        <v>168</v>
      </c>
      <c r="I53" s="208" t="s">
        <v>155</v>
      </c>
      <c r="J53" s="15" t="s">
        <v>38</v>
      </c>
      <c r="K53" s="7" t="s">
        <v>156</v>
      </c>
      <c r="L53" s="7">
        <v>1</v>
      </c>
      <c r="N53" s="7">
        <v>1</v>
      </c>
      <c r="O53" s="7">
        <v>0.5</v>
      </c>
      <c r="P53" s="7">
        <v>0.6</v>
      </c>
      <c r="Q53" s="52">
        <f t="shared" si="0"/>
        <v>0.55000000000000004</v>
      </c>
      <c r="R53" s="7">
        <v>16.2</v>
      </c>
      <c r="S53" s="7">
        <v>148</v>
      </c>
      <c r="T53" s="16">
        <f t="shared" si="1"/>
        <v>22</v>
      </c>
      <c r="U53" s="7">
        <v>138</v>
      </c>
      <c r="V53" s="16">
        <f t="shared" si="2"/>
        <v>3036</v>
      </c>
      <c r="W53" s="7">
        <v>8</v>
      </c>
      <c r="X53" s="15" t="s">
        <v>46</v>
      </c>
      <c r="Y53" s="216" t="s">
        <v>88</v>
      </c>
      <c r="Z53" s="216" t="s">
        <v>55</v>
      </c>
      <c r="AA53" s="216" t="s">
        <v>78</v>
      </c>
      <c r="AB53" s="39" t="s">
        <v>350</v>
      </c>
      <c r="AC53" s="36"/>
    </row>
    <row r="54" spans="1:29" x14ac:dyDescent="0.15">
      <c r="A54" s="15" t="s">
        <v>347</v>
      </c>
      <c r="B54" s="15" t="s">
        <v>348</v>
      </c>
      <c r="C54" s="15">
        <v>2018</v>
      </c>
      <c r="D54" s="37" t="s">
        <v>352</v>
      </c>
      <c r="E54" s="7" t="s">
        <v>132</v>
      </c>
      <c r="F54" s="7" t="s">
        <v>149</v>
      </c>
      <c r="G54" s="7" t="s">
        <v>36</v>
      </c>
      <c r="H54" s="216" t="s">
        <v>168</v>
      </c>
      <c r="I54" s="208" t="s">
        <v>155</v>
      </c>
      <c r="J54" s="216" t="s">
        <v>38</v>
      </c>
      <c r="K54" s="7" t="s">
        <v>156</v>
      </c>
      <c r="L54" s="7">
        <v>2</v>
      </c>
      <c r="N54" s="7">
        <v>1</v>
      </c>
      <c r="O54" s="7">
        <v>0.5</v>
      </c>
      <c r="P54" s="7">
        <v>0.5</v>
      </c>
      <c r="Q54" s="52">
        <f t="shared" si="0"/>
        <v>0.5</v>
      </c>
      <c r="R54" s="7">
        <v>19.100000000000001</v>
      </c>
      <c r="S54" s="7">
        <v>144</v>
      </c>
      <c r="T54" s="16">
        <f t="shared" si="1"/>
        <v>22</v>
      </c>
      <c r="U54" s="208">
        <v>138</v>
      </c>
      <c r="V54" s="16">
        <f t="shared" si="2"/>
        <v>3036</v>
      </c>
      <c r="W54" s="7">
        <v>8</v>
      </c>
      <c r="X54" s="15" t="s">
        <v>46</v>
      </c>
      <c r="Y54" s="216" t="s">
        <v>88</v>
      </c>
      <c r="Z54" s="216" t="s">
        <v>55</v>
      </c>
      <c r="AA54" s="216" t="s">
        <v>78</v>
      </c>
      <c r="AB54" s="39" t="s">
        <v>350</v>
      </c>
      <c r="AC54" s="36"/>
    </row>
    <row r="55" spans="1:29" x14ac:dyDescent="0.15">
      <c r="A55" s="15" t="s">
        <v>347</v>
      </c>
      <c r="B55" s="15" t="s">
        <v>348</v>
      </c>
      <c r="C55" s="15">
        <v>2018</v>
      </c>
      <c r="D55" s="37" t="s">
        <v>352</v>
      </c>
      <c r="E55" s="7" t="s">
        <v>132</v>
      </c>
      <c r="F55" s="7" t="s">
        <v>149</v>
      </c>
      <c r="G55" s="7" t="s">
        <v>36</v>
      </c>
      <c r="H55" s="216" t="s">
        <v>168</v>
      </c>
      <c r="I55" s="208" t="s">
        <v>155</v>
      </c>
      <c r="J55" s="216" t="s">
        <v>38</v>
      </c>
      <c r="K55" s="7" t="s">
        <v>156</v>
      </c>
      <c r="L55" s="7">
        <v>3</v>
      </c>
      <c r="N55" s="208">
        <v>1</v>
      </c>
      <c r="O55" s="7">
        <v>0.55000000000000004</v>
      </c>
      <c r="P55" s="7">
        <v>0.65</v>
      </c>
      <c r="Q55" s="52">
        <f t="shared" si="0"/>
        <v>0.60000000000000009</v>
      </c>
      <c r="R55" s="7">
        <v>18.2</v>
      </c>
      <c r="S55" s="7">
        <v>139</v>
      </c>
      <c r="T55" s="16">
        <f t="shared" si="1"/>
        <v>22</v>
      </c>
      <c r="U55" s="208">
        <v>138</v>
      </c>
      <c r="V55" s="16">
        <f t="shared" si="2"/>
        <v>3036</v>
      </c>
      <c r="W55" s="7">
        <v>8</v>
      </c>
      <c r="X55" s="15" t="s">
        <v>46</v>
      </c>
      <c r="Y55" s="216" t="s">
        <v>88</v>
      </c>
      <c r="Z55" s="216" t="s">
        <v>55</v>
      </c>
      <c r="AA55" s="216" t="s">
        <v>78</v>
      </c>
      <c r="AB55" s="39" t="s">
        <v>350</v>
      </c>
      <c r="AC55" s="36"/>
    </row>
    <row r="56" spans="1:29" x14ac:dyDescent="0.15">
      <c r="A56" s="15" t="s">
        <v>347</v>
      </c>
      <c r="B56" s="15" t="s">
        <v>348</v>
      </c>
      <c r="C56" s="15">
        <v>2018</v>
      </c>
      <c r="D56" s="37" t="s">
        <v>352</v>
      </c>
      <c r="E56" s="7" t="s">
        <v>141</v>
      </c>
      <c r="F56" s="7" t="s">
        <v>150</v>
      </c>
      <c r="G56" s="7" t="s">
        <v>36</v>
      </c>
      <c r="H56" s="15" t="s">
        <v>157</v>
      </c>
      <c r="I56" s="208" t="s">
        <v>155</v>
      </c>
      <c r="J56" s="15" t="s">
        <v>38</v>
      </c>
      <c r="K56" s="7" t="s">
        <v>156</v>
      </c>
      <c r="L56" s="7">
        <v>1</v>
      </c>
      <c r="N56" s="208">
        <v>1</v>
      </c>
      <c r="O56" s="7">
        <v>0.65</v>
      </c>
      <c r="P56" s="7">
        <v>0.75</v>
      </c>
      <c r="Q56" s="52">
        <f t="shared" si="0"/>
        <v>0.7</v>
      </c>
      <c r="R56" s="7">
        <v>11.5</v>
      </c>
      <c r="S56" s="7">
        <v>109</v>
      </c>
      <c r="T56" s="16">
        <f t="shared" si="1"/>
        <v>33</v>
      </c>
      <c r="U56" s="208">
        <v>105</v>
      </c>
      <c r="V56" s="16">
        <f t="shared" si="2"/>
        <v>3465</v>
      </c>
      <c r="W56" s="7">
        <v>7</v>
      </c>
      <c r="X56" s="15" t="s">
        <v>46</v>
      </c>
      <c r="Y56" s="216" t="s">
        <v>88</v>
      </c>
      <c r="Z56" s="216" t="s">
        <v>86</v>
      </c>
      <c r="AA56" s="216" t="s">
        <v>69</v>
      </c>
      <c r="AB56" s="39" t="s">
        <v>350</v>
      </c>
    </row>
    <row r="57" spans="1:29" x14ac:dyDescent="0.15">
      <c r="A57" s="15" t="s">
        <v>347</v>
      </c>
      <c r="B57" s="15" t="s">
        <v>348</v>
      </c>
      <c r="C57" s="15">
        <v>2018</v>
      </c>
      <c r="D57" s="37" t="s">
        <v>352</v>
      </c>
      <c r="E57" s="7" t="s">
        <v>141</v>
      </c>
      <c r="F57" s="7" t="s">
        <v>150</v>
      </c>
      <c r="G57" s="7" t="s">
        <v>36</v>
      </c>
      <c r="H57" s="216" t="s">
        <v>157</v>
      </c>
      <c r="I57" s="208" t="s">
        <v>155</v>
      </c>
      <c r="J57" s="15" t="s">
        <v>38</v>
      </c>
      <c r="K57" s="7" t="s">
        <v>156</v>
      </c>
      <c r="L57" s="7">
        <v>2</v>
      </c>
      <c r="N57" s="208">
        <v>1</v>
      </c>
      <c r="O57" s="7">
        <v>0.5</v>
      </c>
      <c r="P57" s="7">
        <v>0.5</v>
      </c>
      <c r="Q57" s="52">
        <f t="shared" si="0"/>
        <v>0.5</v>
      </c>
      <c r="R57" s="7">
        <v>13</v>
      </c>
      <c r="S57" s="7">
        <v>112</v>
      </c>
      <c r="T57" s="16">
        <f t="shared" si="1"/>
        <v>33</v>
      </c>
      <c r="U57" s="208">
        <v>105</v>
      </c>
      <c r="V57" s="16">
        <f t="shared" si="2"/>
        <v>3465</v>
      </c>
      <c r="W57" s="7">
        <v>7</v>
      </c>
      <c r="X57" s="15" t="s">
        <v>46</v>
      </c>
      <c r="Y57" s="216" t="s">
        <v>88</v>
      </c>
      <c r="Z57" s="216" t="s">
        <v>86</v>
      </c>
      <c r="AA57" s="216" t="s">
        <v>69</v>
      </c>
      <c r="AB57" s="39" t="s">
        <v>350</v>
      </c>
    </row>
    <row r="58" spans="1:29" x14ac:dyDescent="0.15">
      <c r="A58" s="15" t="s">
        <v>347</v>
      </c>
      <c r="B58" s="15" t="s">
        <v>348</v>
      </c>
      <c r="C58" s="15">
        <v>2018</v>
      </c>
      <c r="D58" s="37" t="s">
        <v>352</v>
      </c>
      <c r="E58" s="7" t="s">
        <v>141</v>
      </c>
      <c r="F58" s="7" t="s">
        <v>150</v>
      </c>
      <c r="G58" s="7" t="s">
        <v>36</v>
      </c>
      <c r="H58" s="216" t="s">
        <v>157</v>
      </c>
      <c r="I58" s="208" t="s">
        <v>155</v>
      </c>
      <c r="J58" s="15" t="s">
        <v>38</v>
      </c>
      <c r="K58" s="7" t="s">
        <v>156</v>
      </c>
      <c r="L58" s="7">
        <v>3</v>
      </c>
      <c r="N58" s="208">
        <v>1</v>
      </c>
      <c r="O58" s="7">
        <v>0.9</v>
      </c>
      <c r="P58" s="7">
        <v>0.9</v>
      </c>
      <c r="Q58" s="52">
        <f t="shared" si="0"/>
        <v>0.9</v>
      </c>
      <c r="R58" s="7">
        <v>12.2</v>
      </c>
      <c r="S58" s="7">
        <v>114</v>
      </c>
      <c r="T58" s="16">
        <f t="shared" si="1"/>
        <v>30</v>
      </c>
      <c r="U58" s="208">
        <v>105</v>
      </c>
      <c r="V58" s="16">
        <f t="shared" si="2"/>
        <v>3150</v>
      </c>
      <c r="W58" s="7">
        <v>7</v>
      </c>
      <c r="X58" s="15" t="s">
        <v>46</v>
      </c>
      <c r="Y58" s="216" t="s">
        <v>88</v>
      </c>
      <c r="Z58" s="216" t="s">
        <v>86</v>
      </c>
      <c r="AA58" s="216" t="s">
        <v>69</v>
      </c>
      <c r="AB58" s="39" t="s">
        <v>350</v>
      </c>
    </row>
    <row r="59" spans="1:29" x14ac:dyDescent="0.15">
      <c r="A59" s="15" t="s">
        <v>347</v>
      </c>
      <c r="B59" s="15" t="s">
        <v>348</v>
      </c>
      <c r="C59" s="15">
        <v>2018</v>
      </c>
      <c r="D59" s="37" t="s">
        <v>352</v>
      </c>
      <c r="E59" s="7" t="s">
        <v>141</v>
      </c>
      <c r="F59" s="7" t="s">
        <v>150</v>
      </c>
      <c r="G59" s="7" t="s">
        <v>36</v>
      </c>
      <c r="H59" s="15" t="s">
        <v>168</v>
      </c>
      <c r="I59" s="208" t="s">
        <v>155</v>
      </c>
      <c r="J59" s="15" t="s">
        <v>38</v>
      </c>
      <c r="K59" s="7" t="s">
        <v>156</v>
      </c>
      <c r="L59" s="7">
        <v>1</v>
      </c>
      <c r="N59" s="208">
        <v>1</v>
      </c>
      <c r="O59" s="7">
        <v>0.6</v>
      </c>
      <c r="P59" s="7">
        <v>0.75</v>
      </c>
      <c r="Q59" s="52">
        <f t="shared" si="0"/>
        <v>0.67500000000000004</v>
      </c>
      <c r="R59" s="7">
        <v>13.6</v>
      </c>
      <c r="S59" s="7">
        <v>130</v>
      </c>
      <c r="T59" s="16">
        <f t="shared" si="1"/>
        <v>25</v>
      </c>
      <c r="U59" s="7">
        <v>138</v>
      </c>
      <c r="V59" s="16">
        <f t="shared" si="2"/>
        <v>3450</v>
      </c>
      <c r="W59" s="7">
        <v>3</v>
      </c>
      <c r="X59" s="15" t="s">
        <v>46</v>
      </c>
      <c r="Y59" s="216" t="s">
        <v>88</v>
      </c>
      <c r="Z59" s="216" t="s">
        <v>86</v>
      </c>
      <c r="AA59" s="216" t="s">
        <v>69</v>
      </c>
      <c r="AB59" s="39" t="s">
        <v>350</v>
      </c>
    </row>
    <row r="60" spans="1:29" x14ac:dyDescent="0.15">
      <c r="A60" s="15" t="s">
        <v>347</v>
      </c>
      <c r="B60" s="15" t="s">
        <v>348</v>
      </c>
      <c r="C60" s="15">
        <v>2018</v>
      </c>
      <c r="D60" s="37" t="s">
        <v>352</v>
      </c>
      <c r="E60" s="7" t="s">
        <v>141</v>
      </c>
      <c r="F60" s="7" t="s">
        <v>150</v>
      </c>
      <c r="G60" s="7" t="s">
        <v>36</v>
      </c>
      <c r="H60" s="216" t="s">
        <v>168</v>
      </c>
      <c r="I60" s="208" t="s">
        <v>155</v>
      </c>
      <c r="J60" s="15" t="s">
        <v>38</v>
      </c>
      <c r="K60" s="7" t="s">
        <v>156</v>
      </c>
      <c r="L60" s="7">
        <v>2</v>
      </c>
      <c r="N60" s="7">
        <v>1</v>
      </c>
      <c r="O60" s="7">
        <v>0.6</v>
      </c>
      <c r="P60" s="7">
        <v>0.7</v>
      </c>
      <c r="Q60" s="52">
        <f t="shared" si="0"/>
        <v>0.64999999999999991</v>
      </c>
      <c r="R60" s="7">
        <v>14.8</v>
      </c>
      <c r="S60" s="7">
        <v>134</v>
      </c>
      <c r="T60" s="16">
        <f>IF(H60="","",IF(OR(H60="GREEN",H60="GK"),IF(S60&gt;=$AX$2,VLOOKUP(S60,$AX$2:$AY$12,2,1),""),IF(S60&gt;=$AZ$2,VLOOKUP(S60,$AZ$2:$BA$12,2,1),"")))</f>
        <v>25</v>
      </c>
      <c r="U60" s="208">
        <v>138</v>
      </c>
      <c r="V60" s="16">
        <f t="shared" si="2"/>
        <v>3450</v>
      </c>
      <c r="W60" s="7">
        <v>3</v>
      </c>
      <c r="X60" s="15" t="s">
        <v>46</v>
      </c>
      <c r="Y60" s="216" t="s">
        <v>88</v>
      </c>
      <c r="Z60" s="216" t="s">
        <v>86</v>
      </c>
      <c r="AA60" s="216" t="s">
        <v>69</v>
      </c>
      <c r="AB60" s="39" t="s">
        <v>350</v>
      </c>
    </row>
    <row r="61" spans="1:29" x14ac:dyDescent="0.15">
      <c r="A61" s="15" t="s">
        <v>347</v>
      </c>
      <c r="B61" s="15" t="s">
        <v>348</v>
      </c>
      <c r="C61" s="15">
        <v>2018</v>
      </c>
      <c r="D61" s="37" t="s">
        <v>352</v>
      </c>
      <c r="E61" s="7" t="s">
        <v>141</v>
      </c>
      <c r="F61" s="7" t="s">
        <v>150</v>
      </c>
      <c r="G61" s="7" t="s">
        <v>36</v>
      </c>
      <c r="H61" s="216" t="s">
        <v>168</v>
      </c>
      <c r="I61" s="208" t="s">
        <v>155</v>
      </c>
      <c r="J61" s="15" t="s">
        <v>38</v>
      </c>
      <c r="K61" s="7" t="s">
        <v>156</v>
      </c>
      <c r="L61" s="7">
        <v>3</v>
      </c>
      <c r="N61" s="7">
        <v>1</v>
      </c>
      <c r="O61" s="7">
        <v>0.5</v>
      </c>
      <c r="P61" s="7">
        <v>0.55000000000000004</v>
      </c>
      <c r="Q61" s="52">
        <f t="shared" si="0"/>
        <v>0.52500000000000002</v>
      </c>
      <c r="R61" s="7">
        <v>15.9</v>
      </c>
      <c r="S61" s="7">
        <v>131</v>
      </c>
      <c r="T61" s="16">
        <f>IF(H61="","",IF(OR(H61="GREEN",H61="GK"),IF(S61&gt;=$AX$2,VLOOKUP(S61,$AX$2:$AY$12,2,1),""),IF(S61&gt;=$AZ$2,VLOOKUP(S61,$AZ$2:$BA$12,2,1),"")))</f>
        <v>25</v>
      </c>
      <c r="U61" s="208">
        <v>138</v>
      </c>
      <c r="V61" s="16">
        <f t="shared" si="2"/>
        <v>3450</v>
      </c>
      <c r="W61" s="7">
        <v>3</v>
      </c>
      <c r="X61" s="15" t="s">
        <v>46</v>
      </c>
      <c r="Y61" s="216" t="s">
        <v>88</v>
      </c>
      <c r="Z61" s="216" t="s">
        <v>86</v>
      </c>
      <c r="AA61" s="216" t="s">
        <v>69</v>
      </c>
      <c r="AB61" s="39" t="s">
        <v>350</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216"/>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216"/>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216"/>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12"/>
  <sheetViews>
    <sheetView zoomScale="70" zoomScaleNormal="70" workbookViewId="0">
      <selection activeCell="AG52" sqref="AG52"/>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354</v>
      </c>
      <c r="D1" s="203" t="s">
        <v>3</v>
      </c>
      <c r="E1" s="241" t="s">
        <v>4</v>
      </c>
      <c r="F1" s="241" t="s">
        <v>5</v>
      </c>
      <c r="G1" s="241" t="s">
        <v>6</v>
      </c>
      <c r="H1" s="241" t="s">
        <v>7</v>
      </c>
      <c r="I1" s="241" t="s">
        <v>8</v>
      </c>
      <c r="J1" s="241" t="s">
        <v>9</v>
      </c>
      <c r="K1" s="241" t="s">
        <v>10</v>
      </c>
      <c r="L1" s="203" t="s">
        <v>355</v>
      </c>
      <c r="M1" s="203" t="s">
        <v>12</v>
      </c>
      <c r="N1" s="203" t="s">
        <v>13</v>
      </c>
      <c r="O1" s="203" t="s">
        <v>356</v>
      </c>
      <c r="P1" s="203" t="s">
        <v>357</v>
      </c>
      <c r="Q1" s="53" t="s">
        <v>16</v>
      </c>
      <c r="R1" s="203" t="s">
        <v>358</v>
      </c>
      <c r="S1" s="203" t="s">
        <v>359</v>
      </c>
      <c r="T1" s="53" t="s">
        <v>19</v>
      </c>
      <c r="U1" s="205" t="s">
        <v>108</v>
      </c>
      <c r="V1" s="54" t="s">
        <v>20</v>
      </c>
      <c r="W1" s="203" t="s">
        <v>21</v>
      </c>
      <c r="X1" s="241" t="s">
        <v>22</v>
      </c>
      <c r="Y1" s="241" t="s">
        <v>23</v>
      </c>
      <c r="Z1" s="241" t="s">
        <v>24</v>
      </c>
      <c r="AA1" s="241" t="s">
        <v>25</v>
      </c>
      <c r="AB1" s="242" t="s">
        <v>360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361</v>
      </c>
      <c r="AY1" s="214" t="s">
        <v>162</v>
      </c>
      <c r="AZ1" s="214" t="s">
        <v>163</v>
      </c>
      <c r="BA1" s="215" t="s">
        <v>362</v>
      </c>
    </row>
    <row r="2" spans="1:53" s="55" customFormat="1" x14ac:dyDescent="0.15">
      <c r="A2" s="55" t="s">
        <v>41</v>
      </c>
      <c r="B2" s="237" t="s">
        <v>348</v>
      </c>
      <c r="C2" s="152">
        <v>2018</v>
      </c>
      <c r="D2" s="56" t="s">
        <v>363</v>
      </c>
      <c r="E2" s="237" t="s">
        <v>133</v>
      </c>
      <c r="F2" s="237" t="s">
        <v>306</v>
      </c>
      <c r="G2" s="55" t="s">
        <v>42</v>
      </c>
      <c r="H2" s="55" t="s">
        <v>157</v>
      </c>
      <c r="I2" s="55" t="s">
        <v>155</v>
      </c>
      <c r="J2" s="55" t="s">
        <v>38</v>
      </c>
      <c r="K2" s="55" t="s">
        <v>156</v>
      </c>
      <c r="L2" s="237">
        <v>1</v>
      </c>
      <c r="M2" s="237"/>
      <c r="N2" s="55">
        <v>1</v>
      </c>
      <c r="O2" s="55">
        <v>0.65</v>
      </c>
      <c r="P2" s="55">
        <v>0.45</v>
      </c>
      <c r="Q2" s="57">
        <f t="shared" ref="Q2:Q64" si="0">IF(OR(O2="",P2=""),"",AVERAGE(O2,P2))</f>
        <v>0.55000000000000004</v>
      </c>
      <c r="R2" s="55">
        <v>15.2</v>
      </c>
      <c r="S2" s="237">
        <v>145</v>
      </c>
      <c r="T2" s="57">
        <f t="shared" ref="T2:T64" si="1">IF(H2="","",IF(OR(H2="GREEN",H2="GK"),IF(S2&gt;=$AX$2,VLOOKUP(S2,$AX$2:$AY$10,2,1),""),IF(S2&gt;=$AZ$2,VLOOKUP(S2,$AZ$2:$BA$10,2,1),"")))</f>
        <v>22</v>
      </c>
      <c r="U2" s="237">
        <v>105</v>
      </c>
      <c r="V2" s="58">
        <f t="shared" ref="V2:V64" si="2">IF(OR(N2="",U2="",T2=""),"",U2/N2*T2)</f>
        <v>2310</v>
      </c>
      <c r="W2" s="237">
        <v>1</v>
      </c>
      <c r="X2" s="55" t="s">
        <v>46</v>
      </c>
      <c r="Y2" s="55" t="s">
        <v>102</v>
      </c>
      <c r="Z2" s="55" t="s">
        <v>78</v>
      </c>
      <c r="AA2" s="55" t="s">
        <v>88</v>
      </c>
      <c r="AB2" s="55" t="s">
        <v>350</v>
      </c>
      <c r="AE2" s="218" t="s">
        <v>35</v>
      </c>
      <c r="AG2" s="59" t="s">
        <v>133</v>
      </c>
      <c r="AH2" s="60" t="s">
        <v>306</v>
      </c>
      <c r="AJ2" s="243" t="s">
        <v>36</v>
      </c>
      <c r="AL2" s="243" t="s">
        <v>127</v>
      </c>
      <c r="AN2" s="243" t="s">
        <v>37</v>
      </c>
      <c r="AP2" s="243" t="s">
        <v>38</v>
      </c>
      <c r="AR2" s="243" t="s">
        <v>364</v>
      </c>
      <c r="AT2" s="243" t="s">
        <v>39</v>
      </c>
      <c r="AV2" s="243" t="s">
        <v>40</v>
      </c>
      <c r="AX2" s="61">
        <v>1</v>
      </c>
      <c r="AY2" s="62">
        <v>50</v>
      </c>
      <c r="AZ2" s="62">
        <v>1</v>
      </c>
      <c r="BA2" s="63">
        <v>50</v>
      </c>
    </row>
    <row r="3" spans="1:53" x14ac:dyDescent="0.15">
      <c r="A3" s="55" t="s">
        <v>41</v>
      </c>
      <c r="B3" s="237" t="s">
        <v>348</v>
      </c>
      <c r="C3" s="152">
        <v>2018</v>
      </c>
      <c r="D3" s="56" t="s">
        <v>363</v>
      </c>
      <c r="E3" s="237" t="s">
        <v>133</v>
      </c>
      <c r="F3" s="237" t="s">
        <v>306</v>
      </c>
      <c r="G3" s="55" t="s">
        <v>42</v>
      </c>
      <c r="H3" s="55" t="s">
        <v>157</v>
      </c>
      <c r="I3" s="55" t="s">
        <v>155</v>
      </c>
      <c r="J3" s="55" t="s">
        <v>38</v>
      </c>
      <c r="K3" s="55" t="s">
        <v>156</v>
      </c>
      <c r="L3" s="237">
        <v>2</v>
      </c>
      <c r="N3" s="55">
        <v>1</v>
      </c>
      <c r="O3" s="55">
        <v>0.4</v>
      </c>
      <c r="P3" s="55">
        <v>0.5</v>
      </c>
      <c r="Q3" s="57">
        <f t="shared" si="0"/>
        <v>0.45</v>
      </c>
      <c r="R3" s="55">
        <v>14.8</v>
      </c>
      <c r="S3" s="237">
        <v>138</v>
      </c>
      <c r="T3" s="57">
        <f t="shared" si="1"/>
        <v>22</v>
      </c>
      <c r="U3" s="237">
        <v>105</v>
      </c>
      <c r="V3" s="58">
        <f t="shared" si="2"/>
        <v>2310</v>
      </c>
      <c r="W3" s="237">
        <v>1</v>
      </c>
      <c r="X3" s="55" t="s">
        <v>46</v>
      </c>
      <c r="Y3" s="55" t="s">
        <v>102</v>
      </c>
      <c r="Z3" s="55" t="s">
        <v>78</v>
      </c>
      <c r="AA3" s="55" t="s">
        <v>88</v>
      </c>
      <c r="AB3" s="55" t="s">
        <v>350</v>
      </c>
      <c r="AE3" s="223" t="s">
        <v>41</v>
      </c>
      <c r="AG3" s="64" t="s">
        <v>301</v>
      </c>
      <c r="AH3" s="64" t="s">
        <v>306</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348</v>
      </c>
      <c r="C4" s="152">
        <v>2018</v>
      </c>
      <c r="D4" s="56" t="s">
        <v>365</v>
      </c>
      <c r="E4" s="237" t="s">
        <v>133</v>
      </c>
      <c r="F4" s="237" t="s">
        <v>306</v>
      </c>
      <c r="G4" s="55" t="s">
        <v>42</v>
      </c>
      <c r="H4" s="55" t="s">
        <v>157</v>
      </c>
      <c r="I4" s="55" t="s">
        <v>155</v>
      </c>
      <c r="J4" s="55" t="s">
        <v>38</v>
      </c>
      <c r="K4" s="55" t="s">
        <v>156</v>
      </c>
      <c r="L4" s="237">
        <v>3</v>
      </c>
      <c r="N4" s="55">
        <v>1</v>
      </c>
      <c r="O4" s="55">
        <v>0.5</v>
      </c>
      <c r="P4" s="55">
        <v>0.45</v>
      </c>
      <c r="Q4" s="57">
        <f t="shared" si="0"/>
        <v>0.47499999999999998</v>
      </c>
      <c r="R4" s="55">
        <v>16.399999999999999</v>
      </c>
      <c r="S4" s="237">
        <v>130</v>
      </c>
      <c r="T4" s="57">
        <f t="shared" si="1"/>
        <v>25</v>
      </c>
      <c r="U4" s="237">
        <v>105</v>
      </c>
      <c r="V4" s="58">
        <f t="shared" si="2"/>
        <v>2625</v>
      </c>
      <c r="W4" s="237">
        <v>1</v>
      </c>
      <c r="X4" s="55" t="s">
        <v>46</v>
      </c>
      <c r="Y4" s="55" t="s">
        <v>102</v>
      </c>
      <c r="Z4" s="55" t="s">
        <v>78</v>
      </c>
      <c r="AA4" s="55" t="s">
        <v>88</v>
      </c>
      <c r="AB4" s="55" t="s">
        <v>350</v>
      </c>
      <c r="AE4" s="223" t="s">
        <v>34</v>
      </c>
      <c r="AG4" s="64" t="s">
        <v>301</v>
      </c>
      <c r="AH4" s="64" t="s">
        <v>307</v>
      </c>
      <c r="AJ4" s="69" t="s">
        <v>48</v>
      </c>
      <c r="AL4" s="69" t="s">
        <v>129</v>
      </c>
      <c r="AN4" s="244" t="s">
        <v>49</v>
      </c>
      <c r="AP4" s="65" t="s">
        <v>166</v>
      </c>
      <c r="AR4" s="231" t="s">
        <v>366</v>
      </c>
      <c r="AT4" s="244"/>
      <c r="AV4" s="65" t="s">
        <v>50</v>
      </c>
      <c r="AX4" s="66">
        <v>75</v>
      </c>
      <c r="AY4" s="67">
        <v>42</v>
      </c>
      <c r="AZ4" s="67">
        <v>76</v>
      </c>
      <c r="BA4" s="68">
        <v>39</v>
      </c>
    </row>
    <row r="5" spans="1:53" s="55" customFormat="1" ht="13.5" customHeight="1" x14ac:dyDescent="0.15">
      <c r="A5" s="55" t="s">
        <v>41</v>
      </c>
      <c r="B5" s="237" t="s">
        <v>348</v>
      </c>
      <c r="C5" s="152">
        <v>2018</v>
      </c>
      <c r="D5" s="56" t="s">
        <v>365</v>
      </c>
      <c r="E5" s="237" t="s">
        <v>133</v>
      </c>
      <c r="F5" s="237" t="s">
        <v>306</v>
      </c>
      <c r="G5" s="55" t="s">
        <v>42</v>
      </c>
      <c r="H5" s="55" t="s">
        <v>168</v>
      </c>
      <c r="I5" s="55" t="s">
        <v>155</v>
      </c>
      <c r="J5" s="55" t="s">
        <v>38</v>
      </c>
      <c r="K5" s="55" t="s">
        <v>156</v>
      </c>
      <c r="L5" s="237">
        <v>1</v>
      </c>
      <c r="N5" s="55">
        <v>1</v>
      </c>
      <c r="O5" s="55">
        <v>0.45</v>
      </c>
      <c r="P5" s="55">
        <v>0.35</v>
      </c>
      <c r="Q5" s="57">
        <f t="shared" si="0"/>
        <v>0.4</v>
      </c>
      <c r="R5" s="55">
        <v>14</v>
      </c>
      <c r="S5" s="237">
        <v>140</v>
      </c>
      <c r="T5" s="77">
        <f t="shared" si="1"/>
        <v>22</v>
      </c>
      <c r="U5" s="55">
        <v>149</v>
      </c>
      <c r="V5" s="78">
        <f t="shared" si="2"/>
        <v>3278</v>
      </c>
      <c r="W5" s="55">
        <v>1</v>
      </c>
      <c r="X5" s="55" t="s">
        <v>46</v>
      </c>
      <c r="Y5" s="55" t="s">
        <v>102</v>
      </c>
      <c r="Z5" s="55" t="s">
        <v>78</v>
      </c>
      <c r="AA5" s="55" t="s">
        <v>88</v>
      </c>
      <c r="AB5" s="55" t="s">
        <v>350</v>
      </c>
      <c r="AC5" s="237"/>
      <c r="AD5" s="237"/>
      <c r="AE5" s="70" t="s">
        <v>367</v>
      </c>
      <c r="AG5" s="64" t="s">
        <v>302</v>
      </c>
      <c r="AH5" s="64" t="s">
        <v>306</v>
      </c>
      <c r="AJ5" s="71"/>
      <c r="AL5" s="72" t="s">
        <v>368</v>
      </c>
      <c r="AN5" s="72" t="s">
        <v>369</v>
      </c>
      <c r="AP5" s="231" t="s">
        <v>370</v>
      </c>
      <c r="AR5" s="231" t="s">
        <v>54</v>
      </c>
      <c r="AV5" s="231" t="s">
        <v>55</v>
      </c>
      <c r="AX5" s="73">
        <v>84</v>
      </c>
      <c r="AY5" s="74">
        <v>39</v>
      </c>
      <c r="AZ5" s="74">
        <v>84</v>
      </c>
      <c r="BA5" s="75">
        <v>36</v>
      </c>
    </row>
    <row r="6" spans="1:53" x14ac:dyDescent="0.15">
      <c r="A6" s="55" t="s">
        <v>41</v>
      </c>
      <c r="B6" s="237" t="s">
        <v>348</v>
      </c>
      <c r="C6" s="152">
        <v>2018</v>
      </c>
      <c r="D6" s="56" t="s">
        <v>365</v>
      </c>
      <c r="E6" s="237" t="s">
        <v>133</v>
      </c>
      <c r="F6" s="237" t="s">
        <v>306</v>
      </c>
      <c r="G6" s="55" t="s">
        <v>42</v>
      </c>
      <c r="H6" s="55" t="s">
        <v>168</v>
      </c>
      <c r="I6" s="55" t="s">
        <v>155</v>
      </c>
      <c r="J6" s="55" t="s">
        <v>38</v>
      </c>
      <c r="K6" s="55" t="s">
        <v>156</v>
      </c>
      <c r="L6" s="237">
        <v>2</v>
      </c>
      <c r="N6" s="55">
        <v>1</v>
      </c>
      <c r="O6" s="55">
        <v>0.6</v>
      </c>
      <c r="P6" s="55">
        <v>0.25</v>
      </c>
      <c r="Q6" s="57">
        <f t="shared" si="0"/>
        <v>0.42499999999999999</v>
      </c>
      <c r="R6" s="55">
        <v>13.3</v>
      </c>
      <c r="S6" s="237">
        <v>141</v>
      </c>
      <c r="T6" s="77">
        <f t="shared" si="1"/>
        <v>22</v>
      </c>
      <c r="U6" s="55">
        <v>149</v>
      </c>
      <c r="V6" s="58">
        <f t="shared" si="2"/>
        <v>3278</v>
      </c>
      <c r="W6" s="237">
        <v>1</v>
      </c>
      <c r="X6" s="55" t="s">
        <v>46</v>
      </c>
      <c r="Y6" s="55" t="s">
        <v>102</v>
      </c>
      <c r="Z6" s="55" t="s">
        <v>78</v>
      </c>
      <c r="AA6" s="55" t="s">
        <v>88</v>
      </c>
      <c r="AB6" s="55" t="s">
        <v>350</v>
      </c>
      <c r="AE6" s="223" t="s">
        <v>56</v>
      </c>
      <c r="AG6" s="64" t="s">
        <v>302</v>
      </c>
      <c r="AH6" s="64" t="s">
        <v>308</v>
      </c>
      <c r="AL6" s="72" t="s">
        <v>371</v>
      </c>
      <c r="AN6" s="72" t="s">
        <v>372</v>
      </c>
      <c r="AP6" s="65" t="s">
        <v>53</v>
      </c>
      <c r="AR6" s="231" t="s">
        <v>59</v>
      </c>
      <c r="AV6" s="65" t="s">
        <v>60</v>
      </c>
      <c r="AX6" s="66">
        <v>97</v>
      </c>
      <c r="AY6" s="67">
        <v>36</v>
      </c>
      <c r="AZ6" s="67">
        <v>99</v>
      </c>
      <c r="BA6" s="68">
        <v>33</v>
      </c>
    </row>
    <row r="7" spans="1:53" x14ac:dyDescent="0.15">
      <c r="A7" s="55" t="s">
        <v>41</v>
      </c>
      <c r="B7" s="237" t="s">
        <v>348</v>
      </c>
      <c r="C7" s="152">
        <v>2018</v>
      </c>
      <c r="D7" s="56" t="s">
        <v>365</v>
      </c>
      <c r="E7" s="237" t="s">
        <v>133</v>
      </c>
      <c r="F7" s="237" t="s">
        <v>306</v>
      </c>
      <c r="G7" s="55" t="s">
        <v>42</v>
      </c>
      <c r="H7" s="55" t="s">
        <v>168</v>
      </c>
      <c r="I7" s="55" t="s">
        <v>155</v>
      </c>
      <c r="J7" s="55" t="s">
        <v>38</v>
      </c>
      <c r="K7" s="55" t="s">
        <v>156</v>
      </c>
      <c r="L7" s="237">
        <v>3</v>
      </c>
      <c r="N7" s="55">
        <v>1</v>
      </c>
      <c r="O7" s="55">
        <v>0.5</v>
      </c>
      <c r="P7" s="55">
        <v>0.35</v>
      </c>
      <c r="Q7" s="57">
        <f t="shared" si="0"/>
        <v>0.42499999999999999</v>
      </c>
      <c r="R7" s="55">
        <v>15.2</v>
      </c>
      <c r="S7" s="237">
        <v>137</v>
      </c>
      <c r="T7" s="77">
        <f t="shared" si="1"/>
        <v>25</v>
      </c>
      <c r="U7" s="55">
        <v>149</v>
      </c>
      <c r="V7" s="58">
        <f t="shared" si="2"/>
        <v>3725</v>
      </c>
      <c r="W7" s="237">
        <v>1</v>
      </c>
      <c r="X7" s="55" t="s">
        <v>46</v>
      </c>
      <c r="Y7" s="55" t="s">
        <v>102</v>
      </c>
      <c r="Z7" s="55" t="s">
        <v>78</v>
      </c>
      <c r="AA7" s="55" t="s">
        <v>88</v>
      </c>
      <c r="AB7" s="55" t="s">
        <v>350</v>
      </c>
      <c r="AE7" s="223" t="s">
        <v>61</v>
      </c>
      <c r="AG7" s="64" t="s">
        <v>303</v>
      </c>
      <c r="AH7" s="64" t="s">
        <v>308</v>
      </c>
      <c r="AL7" s="76" t="s">
        <v>373</v>
      </c>
      <c r="AP7" s="65" t="s">
        <v>58</v>
      </c>
      <c r="AR7" s="231" t="s">
        <v>122</v>
      </c>
      <c r="AV7" s="65" t="s">
        <v>64</v>
      </c>
      <c r="AX7" s="66">
        <v>109</v>
      </c>
      <c r="AY7" s="67">
        <v>33</v>
      </c>
      <c r="AZ7" s="67">
        <v>113</v>
      </c>
      <c r="BA7" s="68">
        <v>30</v>
      </c>
    </row>
    <row r="8" spans="1:53" x14ac:dyDescent="0.15">
      <c r="A8" s="55" t="s">
        <v>41</v>
      </c>
      <c r="B8" s="237" t="s">
        <v>348</v>
      </c>
      <c r="C8" s="152">
        <v>2018</v>
      </c>
      <c r="D8" s="56" t="s">
        <v>365</v>
      </c>
      <c r="E8" s="237" t="s">
        <v>133</v>
      </c>
      <c r="F8" s="237" t="s">
        <v>306</v>
      </c>
      <c r="G8" s="55" t="s">
        <v>42</v>
      </c>
      <c r="H8" s="55" t="s">
        <v>168</v>
      </c>
      <c r="I8" s="55" t="s">
        <v>155</v>
      </c>
      <c r="J8" s="55" t="s">
        <v>38</v>
      </c>
      <c r="K8" s="55" t="s">
        <v>156</v>
      </c>
      <c r="L8" s="237">
        <v>1</v>
      </c>
      <c r="M8" s="55"/>
      <c r="N8" s="55">
        <v>6</v>
      </c>
      <c r="O8" s="55">
        <v>0.25</v>
      </c>
      <c r="P8" s="55">
        <v>0.25</v>
      </c>
      <c r="Q8" s="57">
        <f t="shared" si="0"/>
        <v>0.25</v>
      </c>
      <c r="R8" s="55">
        <v>14.7</v>
      </c>
      <c r="S8" s="237">
        <v>141</v>
      </c>
      <c r="T8" s="77">
        <f t="shared" si="1"/>
        <v>22</v>
      </c>
      <c r="U8" s="55">
        <v>861</v>
      </c>
      <c r="V8" s="78">
        <f t="shared" si="2"/>
        <v>3157</v>
      </c>
      <c r="W8" s="55">
        <v>1</v>
      </c>
      <c r="X8" s="55" t="s">
        <v>46</v>
      </c>
      <c r="Y8" s="55" t="s">
        <v>102</v>
      </c>
      <c r="Z8" s="55" t="s">
        <v>78</v>
      </c>
      <c r="AA8" s="55" t="s">
        <v>88</v>
      </c>
      <c r="AB8" s="55" t="s">
        <v>350</v>
      </c>
      <c r="AC8" s="55"/>
      <c r="AD8" s="55"/>
      <c r="AE8" s="223" t="s">
        <v>59</v>
      </c>
      <c r="AG8" s="64" t="s">
        <v>304</v>
      </c>
      <c r="AH8" s="64" t="s">
        <v>309</v>
      </c>
      <c r="AL8" s="76" t="s">
        <v>374</v>
      </c>
      <c r="AP8" s="65" t="s">
        <v>62</v>
      </c>
      <c r="AR8" s="231" t="s">
        <v>81</v>
      </c>
      <c r="AV8" s="65" t="s">
        <v>97</v>
      </c>
      <c r="AX8" s="66">
        <v>119</v>
      </c>
      <c r="AY8" s="67">
        <v>30</v>
      </c>
      <c r="AZ8" s="67">
        <v>121</v>
      </c>
      <c r="BA8" s="68">
        <v>27</v>
      </c>
    </row>
    <row r="9" spans="1:53" x14ac:dyDescent="0.15">
      <c r="A9" s="55" t="s">
        <v>41</v>
      </c>
      <c r="B9" s="237" t="s">
        <v>348</v>
      </c>
      <c r="C9" s="152">
        <v>2018</v>
      </c>
      <c r="D9" s="56" t="s">
        <v>365</v>
      </c>
      <c r="E9" s="237" t="s">
        <v>133</v>
      </c>
      <c r="F9" s="237" t="s">
        <v>306</v>
      </c>
      <c r="G9" s="55" t="s">
        <v>42</v>
      </c>
      <c r="H9" s="55" t="s">
        <v>168</v>
      </c>
      <c r="I9" s="55" t="s">
        <v>155</v>
      </c>
      <c r="J9" s="55" t="s">
        <v>38</v>
      </c>
      <c r="K9" s="55" t="s">
        <v>156</v>
      </c>
      <c r="L9" s="237">
        <v>2</v>
      </c>
      <c r="N9" s="55">
        <v>6</v>
      </c>
      <c r="O9" s="55">
        <v>0.25</v>
      </c>
      <c r="P9" s="55">
        <v>0.25</v>
      </c>
      <c r="Q9" s="57">
        <f t="shared" si="0"/>
        <v>0.25</v>
      </c>
      <c r="R9" s="55">
        <v>17.100000000000001</v>
      </c>
      <c r="S9" s="237">
        <v>151</v>
      </c>
      <c r="T9" s="77">
        <f t="shared" si="1"/>
        <v>22</v>
      </c>
      <c r="U9" s="55">
        <v>861</v>
      </c>
      <c r="V9" s="58">
        <f t="shared" si="2"/>
        <v>3157</v>
      </c>
      <c r="W9" s="237">
        <v>1</v>
      </c>
      <c r="X9" s="55" t="s">
        <v>46</v>
      </c>
      <c r="Y9" s="55" t="s">
        <v>102</v>
      </c>
      <c r="Z9" s="55" t="s">
        <v>78</v>
      </c>
      <c r="AA9" s="55" t="s">
        <v>88</v>
      </c>
      <c r="AB9" s="55" t="s">
        <v>350</v>
      </c>
      <c r="AE9" s="223" t="s">
        <v>98</v>
      </c>
      <c r="AG9" s="64" t="s">
        <v>304</v>
      </c>
      <c r="AH9" s="64" t="s">
        <v>310</v>
      </c>
      <c r="AL9" s="72"/>
      <c r="AP9" s="65" t="s">
        <v>95</v>
      </c>
      <c r="AR9" s="231" t="s">
        <v>89</v>
      </c>
      <c r="AV9" s="65" t="s">
        <v>102</v>
      </c>
      <c r="AX9" s="66">
        <v>128</v>
      </c>
      <c r="AY9" s="67">
        <v>27</v>
      </c>
      <c r="AZ9" s="67">
        <v>129</v>
      </c>
      <c r="BA9" s="68">
        <v>25</v>
      </c>
    </row>
    <row r="10" spans="1:53" x14ac:dyDescent="0.15">
      <c r="A10" s="55" t="s">
        <v>41</v>
      </c>
      <c r="B10" s="237" t="s">
        <v>348</v>
      </c>
      <c r="C10" s="152">
        <v>2018</v>
      </c>
      <c r="D10" s="56" t="s">
        <v>365</v>
      </c>
      <c r="E10" s="237" t="s">
        <v>133</v>
      </c>
      <c r="F10" s="237" t="s">
        <v>306</v>
      </c>
      <c r="G10" s="55" t="s">
        <v>42</v>
      </c>
      <c r="H10" s="55" t="s">
        <v>168</v>
      </c>
      <c r="I10" s="55" t="s">
        <v>155</v>
      </c>
      <c r="J10" s="55" t="s">
        <v>38</v>
      </c>
      <c r="K10" s="55" t="s">
        <v>156</v>
      </c>
      <c r="L10" s="237">
        <v>3</v>
      </c>
      <c r="N10" s="55">
        <v>6</v>
      </c>
      <c r="O10" s="55">
        <v>0.25</v>
      </c>
      <c r="P10" s="55">
        <v>0.25</v>
      </c>
      <c r="Q10" s="57">
        <f t="shared" si="0"/>
        <v>0.25</v>
      </c>
      <c r="R10" s="55">
        <v>16.8</v>
      </c>
      <c r="S10" s="237">
        <v>147</v>
      </c>
      <c r="T10" s="77">
        <f t="shared" si="1"/>
        <v>22</v>
      </c>
      <c r="U10" s="55">
        <v>861</v>
      </c>
      <c r="V10" s="58">
        <f t="shared" si="2"/>
        <v>3157</v>
      </c>
      <c r="W10" s="237">
        <v>1</v>
      </c>
      <c r="X10" s="55" t="s">
        <v>46</v>
      </c>
      <c r="Y10" s="55" t="s">
        <v>102</v>
      </c>
      <c r="Z10" s="55" t="s">
        <v>78</v>
      </c>
      <c r="AA10" s="55" t="s">
        <v>88</v>
      </c>
      <c r="AB10" s="55" t="s">
        <v>350</v>
      </c>
      <c r="AE10" s="223" t="s">
        <v>103</v>
      </c>
      <c r="AG10" s="64" t="s">
        <v>305</v>
      </c>
      <c r="AH10" s="64" t="s">
        <v>311</v>
      </c>
      <c r="AL10" s="76"/>
      <c r="AP10" s="65" t="s">
        <v>100</v>
      </c>
      <c r="AR10" s="231" t="s">
        <v>123</v>
      </c>
      <c r="AV10" s="65" t="s">
        <v>106</v>
      </c>
      <c r="AX10" s="66">
        <v>138</v>
      </c>
      <c r="AY10" s="67">
        <v>25</v>
      </c>
      <c r="AZ10" s="67">
        <v>138</v>
      </c>
      <c r="BA10" s="68">
        <v>22</v>
      </c>
    </row>
    <row r="11" spans="1:53" x14ac:dyDescent="0.15">
      <c r="A11" s="55" t="s">
        <v>41</v>
      </c>
      <c r="B11" s="237" t="s">
        <v>348</v>
      </c>
      <c r="C11" s="152">
        <v>2018</v>
      </c>
      <c r="D11" s="56" t="s">
        <v>365</v>
      </c>
      <c r="E11" s="237" t="s">
        <v>133</v>
      </c>
      <c r="F11" s="237" t="s">
        <v>306</v>
      </c>
      <c r="G11" s="55" t="s">
        <v>42</v>
      </c>
      <c r="H11" s="55" t="s">
        <v>157</v>
      </c>
      <c r="I11" s="55" t="s">
        <v>155</v>
      </c>
      <c r="J11" s="55" t="s">
        <v>38</v>
      </c>
      <c r="K11" s="55" t="s">
        <v>156</v>
      </c>
      <c r="L11" s="237">
        <v>1</v>
      </c>
      <c r="M11" s="55"/>
      <c r="N11" s="55">
        <v>6</v>
      </c>
      <c r="O11" s="55">
        <v>0.25</v>
      </c>
      <c r="P11" s="55">
        <v>0.25</v>
      </c>
      <c r="Q11" s="57">
        <f t="shared" si="0"/>
        <v>0.25</v>
      </c>
      <c r="R11" s="55">
        <v>15.9</v>
      </c>
      <c r="S11" s="237">
        <v>158</v>
      </c>
      <c r="T11" s="77">
        <f t="shared" si="1"/>
        <v>22</v>
      </c>
      <c r="U11" s="55">
        <v>753</v>
      </c>
      <c r="V11" s="78">
        <f t="shared" si="2"/>
        <v>2761</v>
      </c>
      <c r="W11" s="55">
        <v>1</v>
      </c>
      <c r="X11" s="55" t="s">
        <v>46</v>
      </c>
      <c r="Y11" s="55" t="s">
        <v>102</v>
      </c>
      <c r="Z11" s="55" t="s">
        <v>78</v>
      </c>
      <c r="AA11" s="55" t="s">
        <v>88</v>
      </c>
      <c r="AB11" s="55" t="s">
        <v>350</v>
      </c>
      <c r="AE11" s="223" t="s">
        <v>65</v>
      </c>
      <c r="AG11" s="64" t="s">
        <v>175</v>
      </c>
      <c r="AH11" s="64" t="s">
        <v>312</v>
      </c>
      <c r="AL11" s="76"/>
      <c r="AP11" s="65" t="s">
        <v>104</v>
      </c>
      <c r="AR11" s="231" t="s">
        <v>87</v>
      </c>
      <c r="AV11" s="65" t="s">
        <v>69</v>
      </c>
      <c r="AX11" s="66">
        <v>151</v>
      </c>
      <c r="AY11" s="67">
        <v>22</v>
      </c>
      <c r="AZ11" s="67">
        <v>152</v>
      </c>
      <c r="BA11" s="68">
        <v>18</v>
      </c>
    </row>
    <row r="12" spans="1:53" x14ac:dyDescent="0.15">
      <c r="A12" s="55" t="s">
        <v>41</v>
      </c>
      <c r="B12" s="237" t="s">
        <v>348</v>
      </c>
      <c r="C12" s="152">
        <v>2018</v>
      </c>
      <c r="D12" s="56" t="s">
        <v>365</v>
      </c>
      <c r="E12" s="237" t="s">
        <v>133</v>
      </c>
      <c r="F12" s="237" t="s">
        <v>306</v>
      </c>
      <c r="G12" s="55" t="s">
        <v>42</v>
      </c>
      <c r="H12" s="55" t="s">
        <v>157</v>
      </c>
      <c r="I12" s="55" t="s">
        <v>155</v>
      </c>
      <c r="J12" s="55" t="s">
        <v>38</v>
      </c>
      <c r="K12" s="55" t="s">
        <v>156</v>
      </c>
      <c r="L12" s="237">
        <v>2</v>
      </c>
      <c r="N12" s="55">
        <v>6</v>
      </c>
      <c r="O12" s="55">
        <v>0.25</v>
      </c>
      <c r="P12" s="55">
        <v>0.25</v>
      </c>
      <c r="Q12" s="57">
        <f t="shared" si="0"/>
        <v>0.25</v>
      </c>
      <c r="R12" s="55">
        <v>14.5</v>
      </c>
      <c r="S12" s="237">
        <v>150</v>
      </c>
      <c r="T12" s="77">
        <f t="shared" si="1"/>
        <v>22</v>
      </c>
      <c r="U12" s="55">
        <v>753</v>
      </c>
      <c r="V12" s="78">
        <f t="shared" si="2"/>
        <v>2761</v>
      </c>
      <c r="W12" s="55">
        <v>1</v>
      </c>
      <c r="X12" s="55" t="s">
        <v>46</v>
      </c>
      <c r="Y12" s="55" t="s">
        <v>102</v>
      </c>
      <c r="Z12" s="55" t="s">
        <v>78</v>
      </c>
      <c r="AA12" s="55" t="s">
        <v>88</v>
      </c>
      <c r="AB12" s="55" t="s">
        <v>412</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348</v>
      </c>
      <c r="C13" s="152">
        <v>2018</v>
      </c>
      <c r="D13" s="56" t="s">
        <v>365</v>
      </c>
      <c r="E13" s="237" t="s">
        <v>133</v>
      </c>
      <c r="F13" s="237" t="s">
        <v>306</v>
      </c>
      <c r="G13" s="55" t="s">
        <v>42</v>
      </c>
      <c r="H13" s="55" t="s">
        <v>157</v>
      </c>
      <c r="I13" s="55" t="s">
        <v>155</v>
      </c>
      <c r="J13" s="55" t="s">
        <v>38</v>
      </c>
      <c r="K13" s="55" t="s">
        <v>156</v>
      </c>
      <c r="L13" s="237">
        <v>3</v>
      </c>
      <c r="N13" s="55">
        <v>6</v>
      </c>
      <c r="O13" s="55">
        <v>0.25</v>
      </c>
      <c r="P13" s="55">
        <v>0.25</v>
      </c>
      <c r="Q13" s="57">
        <f t="shared" si="0"/>
        <v>0.25</v>
      </c>
      <c r="R13" s="55">
        <v>14.5</v>
      </c>
      <c r="S13" s="237">
        <v>155</v>
      </c>
      <c r="T13" s="77">
        <f t="shared" si="1"/>
        <v>22</v>
      </c>
      <c r="U13" s="55">
        <v>753</v>
      </c>
      <c r="V13" s="78">
        <f t="shared" si="2"/>
        <v>2761</v>
      </c>
      <c r="W13" s="237">
        <v>1</v>
      </c>
      <c r="X13" s="55" t="s">
        <v>46</v>
      </c>
      <c r="Y13" s="55" t="s">
        <v>102</v>
      </c>
      <c r="Z13" s="55" t="s">
        <v>78</v>
      </c>
      <c r="AA13" s="55" t="s">
        <v>88</v>
      </c>
      <c r="AB13" s="55" t="s">
        <v>350</v>
      </c>
      <c r="AE13" s="223" t="s">
        <v>73</v>
      </c>
      <c r="AG13" s="231"/>
      <c r="AH13" s="231"/>
      <c r="AP13" s="65" t="s">
        <v>71</v>
      </c>
      <c r="AR13" s="231" t="s">
        <v>103</v>
      </c>
      <c r="AV13" s="65" t="s">
        <v>75</v>
      </c>
    </row>
    <row r="14" spans="1:53" x14ac:dyDescent="0.15">
      <c r="A14" s="55" t="s">
        <v>41</v>
      </c>
      <c r="B14" s="237" t="s">
        <v>348</v>
      </c>
      <c r="C14" s="152">
        <v>2018</v>
      </c>
      <c r="D14" s="56" t="s">
        <v>365</v>
      </c>
      <c r="E14" s="237" t="s">
        <v>301</v>
      </c>
      <c r="F14" s="55" t="s">
        <v>306</v>
      </c>
      <c r="G14" s="55" t="s">
        <v>42</v>
      </c>
      <c r="H14" s="55" t="s">
        <v>168</v>
      </c>
      <c r="I14" s="55" t="s">
        <v>155</v>
      </c>
      <c r="J14" s="55" t="s">
        <v>38</v>
      </c>
      <c r="K14" s="55" t="s">
        <v>156</v>
      </c>
      <c r="L14" s="237">
        <v>1</v>
      </c>
      <c r="M14" s="55"/>
      <c r="N14" s="55">
        <v>5</v>
      </c>
      <c r="O14" s="237">
        <v>0.5</v>
      </c>
      <c r="P14" s="237">
        <v>0.45</v>
      </c>
      <c r="Q14" s="256">
        <f t="shared" si="0"/>
        <v>0.47499999999999998</v>
      </c>
      <c r="R14" s="237">
        <v>16.5</v>
      </c>
      <c r="S14" s="55">
        <v>123</v>
      </c>
      <c r="T14" s="77">
        <f t="shared" si="1"/>
        <v>27</v>
      </c>
      <c r="U14" s="55">
        <v>645</v>
      </c>
      <c r="V14" s="78">
        <f t="shared" si="2"/>
        <v>3483</v>
      </c>
      <c r="W14" s="55">
        <v>1</v>
      </c>
      <c r="X14" s="55" t="s">
        <v>46</v>
      </c>
      <c r="Y14" s="55" t="s">
        <v>78</v>
      </c>
      <c r="Z14" s="55" t="s">
        <v>102</v>
      </c>
      <c r="AA14" s="55" t="s">
        <v>88</v>
      </c>
      <c r="AB14" s="55" t="s">
        <v>350</v>
      </c>
      <c r="AE14" s="223" t="s">
        <v>76</v>
      </c>
      <c r="AG14" s="231"/>
      <c r="AH14" s="231"/>
      <c r="AP14" s="65" t="s">
        <v>74</v>
      </c>
      <c r="AR14" s="231" t="s">
        <v>125</v>
      </c>
      <c r="AV14" s="65" t="s">
        <v>78</v>
      </c>
    </row>
    <row r="15" spans="1:53" x14ac:dyDescent="0.15">
      <c r="A15" s="55" t="s">
        <v>41</v>
      </c>
      <c r="B15" s="237" t="s">
        <v>348</v>
      </c>
      <c r="C15" s="152">
        <v>2018</v>
      </c>
      <c r="D15" s="56" t="s">
        <v>365</v>
      </c>
      <c r="E15" s="237" t="s">
        <v>301</v>
      </c>
      <c r="F15" s="55" t="s">
        <v>306</v>
      </c>
      <c r="G15" s="55" t="s">
        <v>42</v>
      </c>
      <c r="H15" s="55" t="s">
        <v>168</v>
      </c>
      <c r="I15" s="55" t="s">
        <v>155</v>
      </c>
      <c r="J15" s="55" t="s">
        <v>38</v>
      </c>
      <c r="K15" s="55" t="s">
        <v>156</v>
      </c>
      <c r="L15" s="237">
        <v>2</v>
      </c>
      <c r="N15" s="55">
        <v>5</v>
      </c>
      <c r="O15" s="237">
        <v>0.5</v>
      </c>
      <c r="P15" s="237">
        <v>0.35</v>
      </c>
      <c r="Q15" s="256">
        <f t="shared" si="0"/>
        <v>0.42499999999999999</v>
      </c>
      <c r="R15" s="237">
        <v>15.4</v>
      </c>
      <c r="S15" s="55">
        <v>118</v>
      </c>
      <c r="T15" s="77">
        <f t="shared" si="1"/>
        <v>30</v>
      </c>
      <c r="U15" s="55">
        <v>645</v>
      </c>
      <c r="V15" s="78">
        <f t="shared" si="2"/>
        <v>3870</v>
      </c>
      <c r="W15" s="55">
        <v>1</v>
      </c>
      <c r="X15" s="55" t="s">
        <v>46</v>
      </c>
      <c r="Y15" s="55" t="s">
        <v>78</v>
      </c>
      <c r="Z15" s="55" t="s">
        <v>102</v>
      </c>
      <c r="AA15" s="55" t="s">
        <v>88</v>
      </c>
      <c r="AB15" s="55" t="s">
        <v>350</v>
      </c>
      <c r="AE15" s="223" t="s">
        <v>79</v>
      </c>
      <c r="AG15" s="231"/>
      <c r="AH15" s="231"/>
      <c r="AP15" s="65" t="s">
        <v>77</v>
      </c>
      <c r="AR15" s="231" t="s">
        <v>94</v>
      </c>
      <c r="AV15" s="65" t="s">
        <v>107</v>
      </c>
    </row>
    <row r="16" spans="1:53" x14ac:dyDescent="0.15">
      <c r="A16" s="55" t="s">
        <v>41</v>
      </c>
      <c r="B16" s="237" t="s">
        <v>348</v>
      </c>
      <c r="C16" s="152">
        <v>2018</v>
      </c>
      <c r="D16" s="56" t="s">
        <v>365</v>
      </c>
      <c r="E16" s="237" t="s">
        <v>301</v>
      </c>
      <c r="F16" s="55" t="s">
        <v>306</v>
      </c>
      <c r="G16" s="55" t="s">
        <v>42</v>
      </c>
      <c r="H16" s="55" t="s">
        <v>168</v>
      </c>
      <c r="I16" s="55" t="s">
        <v>155</v>
      </c>
      <c r="J16" s="55" t="s">
        <v>38</v>
      </c>
      <c r="K16" s="55" t="s">
        <v>156</v>
      </c>
      <c r="L16" s="237">
        <v>3</v>
      </c>
      <c r="N16" s="55">
        <v>5</v>
      </c>
      <c r="O16" s="237">
        <v>0.45</v>
      </c>
      <c r="P16" s="237">
        <v>0.5</v>
      </c>
      <c r="Q16" s="256">
        <f t="shared" si="0"/>
        <v>0.47499999999999998</v>
      </c>
      <c r="R16" s="237">
        <v>15.8</v>
      </c>
      <c r="S16" s="55">
        <v>120</v>
      </c>
      <c r="T16" s="77">
        <f t="shared" si="1"/>
        <v>30</v>
      </c>
      <c r="U16" s="55">
        <v>645</v>
      </c>
      <c r="V16" s="78">
        <f t="shared" si="2"/>
        <v>3870</v>
      </c>
      <c r="W16" s="237">
        <v>1</v>
      </c>
      <c r="X16" s="55" t="s">
        <v>46</v>
      </c>
      <c r="Y16" s="55" t="s">
        <v>78</v>
      </c>
      <c r="Z16" s="55" t="s">
        <v>102</v>
      </c>
      <c r="AA16" s="55" t="s">
        <v>88</v>
      </c>
      <c r="AB16" s="55" t="s">
        <v>350</v>
      </c>
      <c r="AE16" s="223" t="s">
        <v>82</v>
      </c>
      <c r="AG16" s="71"/>
      <c r="AH16" s="71"/>
      <c r="AP16" s="65" t="s">
        <v>80</v>
      </c>
      <c r="AR16" s="231" t="s">
        <v>63</v>
      </c>
      <c r="AV16" s="65" t="s">
        <v>84</v>
      </c>
    </row>
    <row r="17" spans="1:49" x14ac:dyDescent="0.15">
      <c r="A17" s="55" t="s">
        <v>41</v>
      </c>
      <c r="B17" s="237" t="s">
        <v>348</v>
      </c>
      <c r="C17" s="152">
        <v>2018</v>
      </c>
      <c r="D17" s="56" t="s">
        <v>365</v>
      </c>
      <c r="E17" s="237" t="s">
        <v>301</v>
      </c>
      <c r="F17" s="55" t="s">
        <v>306</v>
      </c>
      <c r="G17" s="55" t="s">
        <v>42</v>
      </c>
      <c r="H17" s="55" t="s">
        <v>168</v>
      </c>
      <c r="I17" s="55" t="s">
        <v>155</v>
      </c>
      <c r="J17" s="55" t="s">
        <v>38</v>
      </c>
      <c r="K17" s="55" t="s">
        <v>156</v>
      </c>
      <c r="L17" s="237">
        <v>1</v>
      </c>
      <c r="M17" s="55"/>
      <c r="N17" s="55">
        <v>1</v>
      </c>
      <c r="O17" s="237">
        <v>0.45</v>
      </c>
      <c r="P17" s="237">
        <v>0.45</v>
      </c>
      <c r="Q17" s="82">
        <f t="shared" si="0"/>
        <v>0.45</v>
      </c>
      <c r="R17" s="55">
        <v>14.1</v>
      </c>
      <c r="S17" s="55">
        <v>128</v>
      </c>
      <c r="T17" s="77">
        <f t="shared" si="1"/>
        <v>27</v>
      </c>
      <c r="U17" s="55">
        <v>148</v>
      </c>
      <c r="V17" s="78">
        <f t="shared" si="2"/>
        <v>3996</v>
      </c>
      <c r="W17" s="55">
        <v>2</v>
      </c>
      <c r="X17" s="55" t="s">
        <v>46</v>
      </c>
      <c r="Y17" s="55" t="s">
        <v>78</v>
      </c>
      <c r="Z17" s="55" t="s">
        <v>102</v>
      </c>
      <c r="AA17" s="55" t="s">
        <v>88</v>
      </c>
      <c r="AB17" s="55" t="s">
        <v>350</v>
      </c>
      <c r="AE17" s="223" t="s">
        <v>85</v>
      </c>
      <c r="AP17" s="239" t="s">
        <v>110</v>
      </c>
      <c r="AR17" s="231" t="s">
        <v>96</v>
      </c>
      <c r="AV17" s="65" t="s">
        <v>86</v>
      </c>
    </row>
    <row r="18" spans="1:49" x14ac:dyDescent="0.15">
      <c r="A18" s="55" t="s">
        <v>41</v>
      </c>
      <c r="B18" s="237" t="s">
        <v>348</v>
      </c>
      <c r="C18" s="152">
        <v>2018</v>
      </c>
      <c r="D18" s="56" t="s">
        <v>365</v>
      </c>
      <c r="E18" s="237" t="s">
        <v>301</v>
      </c>
      <c r="F18" s="55" t="s">
        <v>306</v>
      </c>
      <c r="G18" s="55" t="s">
        <v>42</v>
      </c>
      <c r="H18" s="55" t="s">
        <v>168</v>
      </c>
      <c r="I18" s="55" t="s">
        <v>155</v>
      </c>
      <c r="J18" s="55" t="s">
        <v>38</v>
      </c>
      <c r="K18" s="55" t="s">
        <v>156</v>
      </c>
      <c r="L18" s="237">
        <v>2</v>
      </c>
      <c r="N18" s="55">
        <v>1</v>
      </c>
      <c r="O18" s="237">
        <v>0.25</v>
      </c>
      <c r="P18" s="237">
        <v>0.25</v>
      </c>
      <c r="Q18" s="82">
        <f t="shared" si="0"/>
        <v>0.25</v>
      </c>
      <c r="R18" s="55">
        <v>14.3</v>
      </c>
      <c r="S18" s="55">
        <v>131</v>
      </c>
      <c r="T18" s="77">
        <f t="shared" si="1"/>
        <v>25</v>
      </c>
      <c r="U18" s="55">
        <v>148</v>
      </c>
      <c r="V18" s="58">
        <f t="shared" si="2"/>
        <v>3700</v>
      </c>
      <c r="W18" s="237">
        <v>2</v>
      </c>
      <c r="X18" s="55" t="s">
        <v>46</v>
      </c>
      <c r="Y18" s="55" t="s">
        <v>78</v>
      </c>
      <c r="Z18" s="55" t="s">
        <v>102</v>
      </c>
      <c r="AA18" s="55" t="s">
        <v>88</v>
      </c>
      <c r="AB18" s="55" t="s">
        <v>350</v>
      </c>
      <c r="AE18" s="223" t="s">
        <v>87</v>
      </c>
      <c r="AP18" s="239" t="s">
        <v>111</v>
      </c>
      <c r="AR18" s="231" t="s">
        <v>101</v>
      </c>
      <c r="AV18" s="65" t="s">
        <v>88</v>
      </c>
    </row>
    <row r="19" spans="1:49" x14ac:dyDescent="0.15">
      <c r="A19" s="55" t="s">
        <v>41</v>
      </c>
      <c r="B19" s="237" t="s">
        <v>348</v>
      </c>
      <c r="C19" s="152">
        <v>2018</v>
      </c>
      <c r="D19" s="56" t="s">
        <v>365</v>
      </c>
      <c r="E19" s="237" t="s">
        <v>301</v>
      </c>
      <c r="F19" s="55" t="s">
        <v>306</v>
      </c>
      <c r="G19" s="55" t="s">
        <v>42</v>
      </c>
      <c r="H19" s="55" t="s">
        <v>168</v>
      </c>
      <c r="I19" s="55" t="s">
        <v>155</v>
      </c>
      <c r="J19" s="55" t="s">
        <v>38</v>
      </c>
      <c r="K19" s="55" t="s">
        <v>156</v>
      </c>
      <c r="L19" s="237">
        <v>3</v>
      </c>
      <c r="N19" s="55">
        <v>1</v>
      </c>
      <c r="O19" s="237">
        <v>0.45</v>
      </c>
      <c r="P19" s="237">
        <v>0.35</v>
      </c>
      <c r="Q19" s="82">
        <f t="shared" si="0"/>
        <v>0.4</v>
      </c>
      <c r="R19" s="55">
        <v>14.4</v>
      </c>
      <c r="S19" s="55">
        <v>133</v>
      </c>
      <c r="T19" s="77">
        <f t="shared" si="1"/>
        <v>25</v>
      </c>
      <c r="U19" s="55">
        <v>148</v>
      </c>
      <c r="V19" s="58">
        <f t="shared" si="2"/>
        <v>3700</v>
      </c>
      <c r="W19" s="237">
        <v>2</v>
      </c>
      <c r="X19" s="55" t="s">
        <v>46</v>
      </c>
      <c r="Y19" s="55" t="s">
        <v>78</v>
      </c>
      <c r="Z19" s="55" t="s">
        <v>102</v>
      </c>
      <c r="AA19" s="55" t="s">
        <v>88</v>
      </c>
      <c r="AB19" s="55" t="s">
        <v>350</v>
      </c>
      <c r="AE19" s="236" t="s">
        <v>89</v>
      </c>
      <c r="AP19" s="239" t="s">
        <v>112</v>
      </c>
      <c r="AR19" s="231" t="s">
        <v>126</v>
      </c>
      <c r="AV19" s="65" t="s">
        <v>90</v>
      </c>
    </row>
    <row r="20" spans="1:49" x14ac:dyDescent="0.15">
      <c r="A20" s="55" t="s">
        <v>41</v>
      </c>
      <c r="B20" s="237" t="s">
        <v>348</v>
      </c>
      <c r="C20" s="152">
        <v>2018</v>
      </c>
      <c r="D20" s="56" t="s">
        <v>365</v>
      </c>
      <c r="E20" s="237" t="s">
        <v>301</v>
      </c>
      <c r="F20" s="55" t="s">
        <v>306</v>
      </c>
      <c r="G20" s="55" t="s">
        <v>42</v>
      </c>
      <c r="H20" s="55" t="s">
        <v>168</v>
      </c>
      <c r="I20" s="55" t="s">
        <v>155</v>
      </c>
      <c r="J20" s="55" t="s">
        <v>38</v>
      </c>
      <c r="K20" s="55" t="s">
        <v>156</v>
      </c>
      <c r="L20" s="237">
        <v>1</v>
      </c>
      <c r="N20" s="55">
        <v>3</v>
      </c>
      <c r="O20" s="55">
        <v>0.3</v>
      </c>
      <c r="P20" s="55">
        <v>0.45</v>
      </c>
      <c r="Q20" s="256">
        <f t="shared" si="0"/>
        <v>0.375</v>
      </c>
      <c r="R20" s="237">
        <v>15.7</v>
      </c>
      <c r="S20" s="55">
        <v>124</v>
      </c>
      <c r="T20" s="57">
        <f t="shared" si="1"/>
        <v>27</v>
      </c>
      <c r="U20" s="55">
        <v>429</v>
      </c>
      <c r="V20" s="58">
        <f t="shared" si="2"/>
        <v>3861</v>
      </c>
      <c r="W20" s="237">
        <v>1</v>
      </c>
      <c r="X20" s="55" t="s">
        <v>46</v>
      </c>
      <c r="Y20" s="55" t="s">
        <v>78</v>
      </c>
      <c r="Z20" s="55" t="s">
        <v>102</v>
      </c>
      <c r="AA20" s="55" t="s">
        <v>88</v>
      </c>
      <c r="AB20" s="55" t="s">
        <v>350</v>
      </c>
      <c r="AE20" s="236"/>
      <c r="AP20" s="239" t="s">
        <v>113</v>
      </c>
      <c r="AR20" s="231" t="s">
        <v>105</v>
      </c>
      <c r="AV20" s="69" t="s">
        <v>375</v>
      </c>
    </row>
    <row r="21" spans="1:49" x14ac:dyDescent="0.15">
      <c r="A21" s="55" t="s">
        <v>41</v>
      </c>
      <c r="B21" s="237" t="s">
        <v>348</v>
      </c>
      <c r="C21" s="152">
        <v>2018</v>
      </c>
      <c r="D21" s="56" t="s">
        <v>365</v>
      </c>
      <c r="E21" s="237" t="s">
        <v>301</v>
      </c>
      <c r="F21" s="55" t="s">
        <v>306</v>
      </c>
      <c r="G21" s="55" t="s">
        <v>42</v>
      </c>
      <c r="H21" s="55" t="s">
        <v>168</v>
      </c>
      <c r="I21" s="55" t="s">
        <v>155</v>
      </c>
      <c r="J21" s="55" t="s">
        <v>38</v>
      </c>
      <c r="K21" s="55" t="s">
        <v>156</v>
      </c>
      <c r="L21" s="237">
        <v>2</v>
      </c>
      <c r="N21" s="55">
        <v>3</v>
      </c>
      <c r="O21" s="55">
        <v>0.25</v>
      </c>
      <c r="P21" s="55">
        <v>0.25</v>
      </c>
      <c r="Q21" s="82">
        <f t="shared" si="0"/>
        <v>0.25</v>
      </c>
      <c r="R21" s="237">
        <v>14.8</v>
      </c>
      <c r="S21" s="55">
        <v>122</v>
      </c>
      <c r="T21" s="57">
        <f t="shared" si="1"/>
        <v>27</v>
      </c>
      <c r="U21" s="55">
        <v>429</v>
      </c>
      <c r="V21" s="58">
        <f t="shared" si="2"/>
        <v>3861</v>
      </c>
      <c r="W21" s="237">
        <v>1</v>
      </c>
      <c r="X21" s="55" t="s">
        <v>46</v>
      </c>
      <c r="Y21" s="55" t="s">
        <v>78</v>
      </c>
      <c r="Z21" s="55" t="s">
        <v>102</v>
      </c>
      <c r="AA21" s="55" t="s">
        <v>88</v>
      </c>
      <c r="AB21" s="55" t="s">
        <v>350</v>
      </c>
      <c r="AE21" s="244"/>
      <c r="AP21" s="239" t="s">
        <v>114</v>
      </c>
      <c r="AR21" s="231" t="s">
        <v>68</v>
      </c>
      <c r="AV21" s="69" t="s">
        <v>376</v>
      </c>
    </row>
    <row r="22" spans="1:49" x14ac:dyDescent="0.15">
      <c r="A22" s="55" t="s">
        <v>41</v>
      </c>
      <c r="B22" s="237" t="s">
        <v>348</v>
      </c>
      <c r="C22" s="152">
        <v>2018</v>
      </c>
      <c r="D22" s="56" t="s">
        <v>365</v>
      </c>
      <c r="E22" s="237" t="s">
        <v>301</v>
      </c>
      <c r="F22" s="55" t="s">
        <v>306</v>
      </c>
      <c r="G22" s="55" t="s">
        <v>42</v>
      </c>
      <c r="H22" s="55" t="s">
        <v>168</v>
      </c>
      <c r="I22" s="55" t="s">
        <v>155</v>
      </c>
      <c r="J22" s="55" t="s">
        <v>38</v>
      </c>
      <c r="K22" s="55" t="s">
        <v>156</v>
      </c>
      <c r="L22" s="237">
        <v>3</v>
      </c>
      <c r="N22" s="55">
        <v>3</v>
      </c>
      <c r="O22" s="55">
        <v>0.25</v>
      </c>
      <c r="P22" s="55">
        <v>0.25</v>
      </c>
      <c r="Q22" s="82">
        <f t="shared" si="0"/>
        <v>0.25</v>
      </c>
      <c r="R22" s="237">
        <v>16.100000000000001</v>
      </c>
      <c r="S22" s="55">
        <v>127</v>
      </c>
      <c r="T22" s="57">
        <f t="shared" si="1"/>
        <v>27</v>
      </c>
      <c r="U22" s="55">
        <v>429</v>
      </c>
      <c r="V22" s="58">
        <f t="shared" si="2"/>
        <v>3861</v>
      </c>
      <c r="W22" s="237">
        <v>1</v>
      </c>
      <c r="X22" s="55" t="s">
        <v>46</v>
      </c>
      <c r="Y22" s="55" t="s">
        <v>78</v>
      </c>
      <c r="Z22" s="55" t="s">
        <v>102</v>
      </c>
      <c r="AA22" s="55" t="s">
        <v>88</v>
      </c>
      <c r="AB22" s="55" t="s">
        <v>350</v>
      </c>
      <c r="AP22" s="239" t="s">
        <v>115</v>
      </c>
      <c r="AR22" s="231" t="s">
        <v>83</v>
      </c>
      <c r="AV22" s="69"/>
    </row>
    <row r="23" spans="1:49" x14ac:dyDescent="0.15">
      <c r="A23" s="55" t="s">
        <v>41</v>
      </c>
      <c r="B23" s="237" t="s">
        <v>348</v>
      </c>
      <c r="C23" s="152">
        <v>2018</v>
      </c>
      <c r="D23" s="56" t="s">
        <v>365</v>
      </c>
      <c r="E23" s="237" t="s">
        <v>301</v>
      </c>
      <c r="F23" s="237" t="s">
        <v>306</v>
      </c>
      <c r="G23" s="55" t="s">
        <v>42</v>
      </c>
      <c r="H23" s="55" t="s">
        <v>157</v>
      </c>
      <c r="I23" s="55" t="s">
        <v>155</v>
      </c>
      <c r="J23" s="55" t="s">
        <v>38</v>
      </c>
      <c r="K23" s="55" t="s">
        <v>156</v>
      </c>
      <c r="L23" s="237">
        <v>1</v>
      </c>
      <c r="M23" s="55"/>
      <c r="N23" s="55">
        <v>1</v>
      </c>
      <c r="O23" s="55">
        <v>0.3</v>
      </c>
      <c r="P23" s="55">
        <v>0.4</v>
      </c>
      <c r="Q23" s="57">
        <f t="shared" si="0"/>
        <v>0.35</v>
      </c>
      <c r="R23" s="55">
        <v>17.399999999999999</v>
      </c>
      <c r="S23" s="55">
        <v>130</v>
      </c>
      <c r="T23" s="77">
        <f>IF(H23="","",IF(OR(H23="GREEN",H23="GK"),IF(S23&gt;=$AX$2,VLOOKUP(S23,$AX$2:$AY$10,2,1),""),IF(S23&gt;=$AZ$2,VLOOKUP(S23,$AZ$2:$BA$10,2,1),"")))</f>
        <v>25</v>
      </c>
      <c r="U23" s="55">
        <v>148</v>
      </c>
      <c r="V23" s="78">
        <f>IF(OR(N23="",U23="",T23=""),"",U23/N23*T23)</f>
        <v>3700</v>
      </c>
      <c r="W23" s="55">
        <v>2</v>
      </c>
      <c r="X23" s="55" t="s">
        <v>46</v>
      </c>
      <c r="Y23" s="55" t="s">
        <v>78</v>
      </c>
      <c r="Z23" s="55" t="s">
        <v>102</v>
      </c>
      <c r="AA23" s="55" t="s">
        <v>88</v>
      </c>
      <c r="AB23" s="55" t="s">
        <v>350</v>
      </c>
      <c r="AP23" s="239" t="s">
        <v>117</v>
      </c>
      <c r="AR23" s="244" t="s">
        <v>300</v>
      </c>
      <c r="AV23" s="244"/>
    </row>
    <row r="24" spans="1:49" x14ac:dyDescent="0.15">
      <c r="A24" s="55" t="s">
        <v>41</v>
      </c>
      <c r="B24" s="237" t="s">
        <v>348</v>
      </c>
      <c r="C24" s="152">
        <v>2018</v>
      </c>
      <c r="D24" s="56" t="s">
        <v>365</v>
      </c>
      <c r="E24" s="237" t="s">
        <v>301</v>
      </c>
      <c r="F24" s="237" t="s">
        <v>306</v>
      </c>
      <c r="G24" s="55" t="s">
        <v>42</v>
      </c>
      <c r="H24" s="55" t="s">
        <v>157</v>
      </c>
      <c r="I24" s="55" t="s">
        <v>155</v>
      </c>
      <c r="J24" s="55" t="s">
        <v>38</v>
      </c>
      <c r="K24" s="55" t="s">
        <v>156</v>
      </c>
      <c r="L24" s="237">
        <v>2</v>
      </c>
      <c r="N24" s="55">
        <v>1</v>
      </c>
      <c r="O24" s="55">
        <v>0.45</v>
      </c>
      <c r="P24" s="55">
        <v>0.3</v>
      </c>
      <c r="Q24" s="82">
        <f t="shared" si="0"/>
        <v>0.375</v>
      </c>
      <c r="R24" s="55">
        <v>15.8</v>
      </c>
      <c r="S24" s="55">
        <v>128</v>
      </c>
      <c r="T24" s="77">
        <f>IF(H24="","",IF(OR(H24="GREEN",H24="GK"),IF(S24&gt;=$AX$2,VLOOKUP(S24,$AX$2:$AY$10,2,1),""),IF(S24&gt;=$AZ$2,VLOOKUP(S24,$AZ$2:$BA$10,2,1),"")))</f>
        <v>27</v>
      </c>
      <c r="U24" s="55">
        <v>148</v>
      </c>
      <c r="V24" s="58">
        <f>IF(OR(N24="",U24="",T24=""),"",U24/N24*T24)</f>
        <v>3996</v>
      </c>
      <c r="W24" s="237">
        <v>2</v>
      </c>
      <c r="X24" s="55" t="s">
        <v>46</v>
      </c>
      <c r="Y24" s="55" t="s">
        <v>78</v>
      </c>
      <c r="Z24" s="55" t="s">
        <v>102</v>
      </c>
      <c r="AA24" s="55" t="s">
        <v>88</v>
      </c>
      <c r="AB24" s="55" t="s">
        <v>350</v>
      </c>
      <c r="AP24" s="239" t="s">
        <v>118</v>
      </c>
    </row>
    <row r="25" spans="1:49" x14ac:dyDescent="0.15">
      <c r="A25" s="55" t="s">
        <v>41</v>
      </c>
      <c r="B25" s="237" t="s">
        <v>348</v>
      </c>
      <c r="C25" s="152">
        <v>2018</v>
      </c>
      <c r="D25" s="56" t="s">
        <v>365</v>
      </c>
      <c r="E25" s="237" t="s">
        <v>301</v>
      </c>
      <c r="F25" s="237" t="s">
        <v>306</v>
      </c>
      <c r="G25" s="55" t="s">
        <v>42</v>
      </c>
      <c r="H25" s="55" t="s">
        <v>157</v>
      </c>
      <c r="I25" s="55" t="s">
        <v>155</v>
      </c>
      <c r="J25" s="55" t="s">
        <v>38</v>
      </c>
      <c r="K25" s="55" t="s">
        <v>156</v>
      </c>
      <c r="L25" s="237">
        <v>3</v>
      </c>
      <c r="N25" s="55">
        <v>1</v>
      </c>
      <c r="O25" s="55">
        <v>0.25</v>
      </c>
      <c r="P25" s="55">
        <v>0.3</v>
      </c>
      <c r="Q25" s="82">
        <f t="shared" si="0"/>
        <v>0.27500000000000002</v>
      </c>
      <c r="R25" s="55">
        <v>12.8</v>
      </c>
      <c r="S25" s="55">
        <v>124</v>
      </c>
      <c r="T25" s="77">
        <f>IF(H25="","",IF(OR(H25="GREEN",H25="GK"),IF(S25&gt;=$AX$2,VLOOKUP(S25,$AX$2:$AY$10,2,1),""),IF(S25&gt;=$AZ$2,VLOOKUP(S25,$AZ$2:$BA$10,2,1),"")))</f>
        <v>27</v>
      </c>
      <c r="U25" s="55">
        <v>148</v>
      </c>
      <c r="V25" s="58">
        <f>IF(OR(N25="",U25="",T25=""),"",U25/N25*T25)</f>
        <v>3996</v>
      </c>
      <c r="W25" s="237">
        <v>2</v>
      </c>
      <c r="X25" s="55" t="s">
        <v>46</v>
      </c>
      <c r="Y25" s="55" t="s">
        <v>78</v>
      </c>
      <c r="Z25" s="55" t="s">
        <v>102</v>
      </c>
      <c r="AA25" s="55" t="s">
        <v>88</v>
      </c>
      <c r="AB25" s="55" t="s">
        <v>350</v>
      </c>
    </row>
    <row r="26" spans="1:49" x14ac:dyDescent="0.15">
      <c r="A26" s="55" t="s">
        <v>41</v>
      </c>
      <c r="B26" s="237" t="s">
        <v>348</v>
      </c>
      <c r="C26" s="152">
        <v>2018</v>
      </c>
      <c r="D26" s="56" t="s">
        <v>365</v>
      </c>
      <c r="E26" s="237" t="s">
        <v>301</v>
      </c>
      <c r="F26" s="237" t="s">
        <v>306</v>
      </c>
      <c r="G26" s="55" t="s">
        <v>42</v>
      </c>
      <c r="H26" s="55" t="s">
        <v>168</v>
      </c>
      <c r="I26" s="55" t="s">
        <v>155</v>
      </c>
      <c r="J26" s="55" t="s">
        <v>38</v>
      </c>
      <c r="K26" s="55" t="s">
        <v>156</v>
      </c>
      <c r="L26" s="237">
        <v>1</v>
      </c>
      <c r="M26" s="55"/>
      <c r="N26" s="55">
        <v>10</v>
      </c>
      <c r="O26" s="55">
        <v>0.3</v>
      </c>
      <c r="P26" s="55">
        <v>0.25</v>
      </c>
      <c r="Q26" s="82">
        <f t="shared" si="0"/>
        <v>0.27500000000000002</v>
      </c>
      <c r="R26" s="55">
        <v>15.1</v>
      </c>
      <c r="S26" s="55">
        <v>115</v>
      </c>
      <c r="T26" s="77">
        <f t="shared" ref="T26:T37" si="3">IF(H26="","",IF(OR(H26="GREEN",H26="GK"),IF(S26&gt;=$AX$2,VLOOKUP(S26,$AX$2:$AY$10,2,1),""),IF(S26&gt;=$AZ$2,VLOOKUP(S26,$AZ$2:$BA$10,2,1),"")))</f>
        <v>30</v>
      </c>
      <c r="U26" s="55">
        <v>1058</v>
      </c>
      <c r="V26" s="78">
        <f t="shared" ref="V26:V37" si="4">IF(OR(N26="",U26="",T26=""),"",U26/N26*T26)</f>
        <v>3174</v>
      </c>
      <c r="W26" s="55">
        <v>1</v>
      </c>
      <c r="X26" s="55" t="s">
        <v>46</v>
      </c>
      <c r="Y26" s="55" t="s">
        <v>78</v>
      </c>
      <c r="Z26" s="55" t="s">
        <v>102</v>
      </c>
      <c r="AA26" s="55" t="s">
        <v>88</v>
      </c>
      <c r="AB26" s="55" t="s">
        <v>350</v>
      </c>
    </row>
    <row r="27" spans="1:49" x14ac:dyDescent="0.15">
      <c r="A27" s="55" t="s">
        <v>41</v>
      </c>
      <c r="B27" s="237" t="s">
        <v>348</v>
      </c>
      <c r="C27" s="152">
        <v>2018</v>
      </c>
      <c r="D27" s="56" t="s">
        <v>365</v>
      </c>
      <c r="E27" s="237" t="s">
        <v>301</v>
      </c>
      <c r="F27" s="237" t="s">
        <v>306</v>
      </c>
      <c r="G27" s="55" t="s">
        <v>42</v>
      </c>
      <c r="H27" s="55" t="s">
        <v>168</v>
      </c>
      <c r="I27" s="55" t="s">
        <v>155</v>
      </c>
      <c r="J27" s="55" t="s">
        <v>38</v>
      </c>
      <c r="K27" s="55" t="s">
        <v>156</v>
      </c>
      <c r="L27" s="237">
        <v>2</v>
      </c>
      <c r="N27" s="55">
        <v>10</v>
      </c>
      <c r="O27" s="55">
        <v>0.45</v>
      </c>
      <c r="P27" s="55">
        <v>0.4</v>
      </c>
      <c r="Q27" s="82">
        <f t="shared" si="0"/>
        <v>0.42500000000000004</v>
      </c>
      <c r="R27" s="55">
        <v>14</v>
      </c>
      <c r="S27" s="55">
        <v>117</v>
      </c>
      <c r="T27" s="77">
        <f t="shared" si="3"/>
        <v>30</v>
      </c>
      <c r="U27" s="55">
        <v>1058</v>
      </c>
      <c r="V27" s="58">
        <f t="shared" si="4"/>
        <v>3174</v>
      </c>
      <c r="W27" s="237">
        <v>1</v>
      </c>
      <c r="X27" s="55" t="s">
        <v>46</v>
      </c>
      <c r="Y27" s="55" t="s">
        <v>78</v>
      </c>
      <c r="Z27" s="55" t="s">
        <v>102</v>
      </c>
      <c r="AA27" s="55" t="s">
        <v>88</v>
      </c>
      <c r="AB27" s="55" t="s">
        <v>350</v>
      </c>
    </row>
    <row r="28" spans="1:49" x14ac:dyDescent="0.15">
      <c r="A28" s="55" t="s">
        <v>41</v>
      </c>
      <c r="B28" s="237" t="s">
        <v>348</v>
      </c>
      <c r="C28" s="152">
        <v>2018</v>
      </c>
      <c r="D28" s="56" t="s">
        <v>365</v>
      </c>
      <c r="E28" s="237" t="s">
        <v>301</v>
      </c>
      <c r="F28" s="237" t="s">
        <v>306</v>
      </c>
      <c r="G28" s="55" t="s">
        <v>42</v>
      </c>
      <c r="H28" s="55" t="s">
        <v>168</v>
      </c>
      <c r="I28" s="55" t="s">
        <v>155</v>
      </c>
      <c r="J28" s="55" t="s">
        <v>38</v>
      </c>
      <c r="K28" s="55" t="s">
        <v>156</v>
      </c>
      <c r="L28" s="237">
        <v>3</v>
      </c>
      <c r="N28" s="55">
        <v>10</v>
      </c>
      <c r="O28" s="55">
        <v>0.25</v>
      </c>
      <c r="P28" s="55">
        <v>0.25</v>
      </c>
      <c r="Q28" s="82">
        <f t="shared" si="0"/>
        <v>0.25</v>
      </c>
      <c r="R28" s="55">
        <v>13.7</v>
      </c>
      <c r="S28" s="55">
        <v>115</v>
      </c>
      <c r="T28" s="77">
        <f t="shared" si="3"/>
        <v>30</v>
      </c>
      <c r="U28" s="55">
        <v>1058</v>
      </c>
      <c r="V28" s="58">
        <f t="shared" si="4"/>
        <v>3174</v>
      </c>
      <c r="W28" s="237">
        <v>1</v>
      </c>
      <c r="X28" s="55" t="s">
        <v>46</v>
      </c>
      <c r="Y28" s="55" t="s">
        <v>78</v>
      </c>
      <c r="Z28" s="55" t="s">
        <v>102</v>
      </c>
      <c r="AA28" s="55" t="s">
        <v>88</v>
      </c>
      <c r="AB28" s="55" t="s">
        <v>350</v>
      </c>
    </row>
    <row r="29" spans="1:49" x14ac:dyDescent="0.15">
      <c r="A29" s="55" t="s">
        <v>41</v>
      </c>
      <c r="B29" s="237" t="s">
        <v>348</v>
      </c>
      <c r="C29" s="152">
        <v>2018</v>
      </c>
      <c r="D29" s="56" t="s">
        <v>365</v>
      </c>
      <c r="E29" s="237" t="s">
        <v>301</v>
      </c>
      <c r="F29" s="237" t="s">
        <v>307</v>
      </c>
      <c r="G29" s="55" t="s">
        <v>42</v>
      </c>
      <c r="H29" s="55" t="s">
        <v>157</v>
      </c>
      <c r="I29" s="55" t="s">
        <v>155</v>
      </c>
      <c r="J29" s="55" t="s">
        <v>38</v>
      </c>
      <c r="K29" s="55" t="s">
        <v>156</v>
      </c>
      <c r="L29" s="237">
        <v>1</v>
      </c>
      <c r="M29" s="55"/>
      <c r="N29" s="55">
        <v>1</v>
      </c>
      <c r="O29" s="55">
        <v>0.25</v>
      </c>
      <c r="P29" s="55">
        <v>0.25</v>
      </c>
      <c r="Q29" s="82">
        <f t="shared" si="0"/>
        <v>0.25</v>
      </c>
      <c r="R29" s="55">
        <v>15.2</v>
      </c>
      <c r="S29" s="55">
        <v>128</v>
      </c>
      <c r="T29" s="77">
        <f t="shared" si="3"/>
        <v>27</v>
      </c>
      <c r="U29" s="55">
        <v>105</v>
      </c>
      <c r="V29" s="78">
        <f t="shared" si="4"/>
        <v>2835</v>
      </c>
      <c r="W29" s="55">
        <v>2</v>
      </c>
      <c r="X29" s="55" t="s">
        <v>46</v>
      </c>
      <c r="Y29" s="55" t="s">
        <v>88</v>
      </c>
      <c r="Z29" s="55" t="s">
        <v>102</v>
      </c>
      <c r="AA29" s="55" t="s">
        <v>78</v>
      </c>
      <c r="AB29" s="55" t="s">
        <v>350</v>
      </c>
    </row>
    <row r="30" spans="1:49" x14ac:dyDescent="0.15">
      <c r="A30" s="55" t="s">
        <v>41</v>
      </c>
      <c r="B30" s="237" t="s">
        <v>348</v>
      </c>
      <c r="C30" s="152">
        <v>2018</v>
      </c>
      <c r="D30" s="56" t="s">
        <v>365</v>
      </c>
      <c r="E30" s="237" t="s">
        <v>301</v>
      </c>
      <c r="F30" s="237" t="s">
        <v>307</v>
      </c>
      <c r="G30" s="55" t="s">
        <v>42</v>
      </c>
      <c r="H30" s="55" t="s">
        <v>157</v>
      </c>
      <c r="I30" s="55" t="s">
        <v>155</v>
      </c>
      <c r="J30" s="55" t="s">
        <v>38</v>
      </c>
      <c r="K30" s="55" t="s">
        <v>156</v>
      </c>
      <c r="L30" s="237">
        <v>2</v>
      </c>
      <c r="N30" s="55">
        <v>1</v>
      </c>
      <c r="O30" s="55">
        <v>0.25</v>
      </c>
      <c r="P30" s="55">
        <v>0.35</v>
      </c>
      <c r="Q30" s="82">
        <f t="shared" si="0"/>
        <v>0.3</v>
      </c>
      <c r="R30" s="55">
        <v>13.1</v>
      </c>
      <c r="S30" s="55">
        <v>130</v>
      </c>
      <c r="T30" s="77">
        <f t="shared" si="3"/>
        <v>25</v>
      </c>
      <c r="U30" s="55">
        <v>105</v>
      </c>
      <c r="V30" s="58">
        <f t="shared" si="4"/>
        <v>2625</v>
      </c>
      <c r="W30" s="237">
        <v>2</v>
      </c>
      <c r="X30" s="55" t="s">
        <v>46</v>
      </c>
      <c r="Y30" s="55" t="s">
        <v>88</v>
      </c>
      <c r="Z30" s="55" t="s">
        <v>102</v>
      </c>
      <c r="AA30" s="55" t="s">
        <v>78</v>
      </c>
      <c r="AB30" s="55" t="s">
        <v>350</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348</v>
      </c>
      <c r="C31" s="152">
        <v>2018</v>
      </c>
      <c r="D31" s="56" t="s">
        <v>365</v>
      </c>
      <c r="E31" s="237" t="s">
        <v>301</v>
      </c>
      <c r="F31" s="237" t="s">
        <v>307</v>
      </c>
      <c r="G31" s="55" t="s">
        <v>42</v>
      </c>
      <c r="H31" s="55" t="s">
        <v>157</v>
      </c>
      <c r="I31" s="55" t="s">
        <v>155</v>
      </c>
      <c r="J31" s="55" t="s">
        <v>38</v>
      </c>
      <c r="K31" s="55" t="s">
        <v>156</v>
      </c>
      <c r="L31" s="237">
        <v>3</v>
      </c>
      <c r="N31" s="55">
        <v>1</v>
      </c>
      <c r="O31" s="55">
        <v>0.35</v>
      </c>
      <c r="P31" s="55">
        <v>0.25</v>
      </c>
      <c r="Q31" s="82">
        <f t="shared" si="0"/>
        <v>0.3</v>
      </c>
      <c r="R31" s="55">
        <v>14.4</v>
      </c>
      <c r="S31" s="55">
        <v>125</v>
      </c>
      <c r="T31" s="77">
        <f t="shared" si="3"/>
        <v>27</v>
      </c>
      <c r="U31" s="55">
        <v>105</v>
      </c>
      <c r="V31" s="58">
        <f t="shared" si="4"/>
        <v>2835</v>
      </c>
      <c r="W31" s="237">
        <v>2</v>
      </c>
      <c r="X31" s="55" t="s">
        <v>46</v>
      </c>
      <c r="Y31" s="55" t="s">
        <v>88</v>
      </c>
      <c r="Z31" s="55" t="s">
        <v>102</v>
      </c>
      <c r="AA31" s="55" t="s">
        <v>78</v>
      </c>
      <c r="AB31" s="55" t="s">
        <v>350</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348</v>
      </c>
      <c r="C32" s="152">
        <v>2018</v>
      </c>
      <c r="D32" s="56" t="s">
        <v>365</v>
      </c>
      <c r="E32" s="237" t="s">
        <v>301</v>
      </c>
      <c r="F32" s="237" t="s">
        <v>307</v>
      </c>
      <c r="G32" s="55" t="s">
        <v>42</v>
      </c>
      <c r="H32" s="55" t="s">
        <v>157</v>
      </c>
      <c r="I32" s="55" t="s">
        <v>155</v>
      </c>
      <c r="J32" s="55" t="s">
        <v>38</v>
      </c>
      <c r="K32" s="55" t="s">
        <v>156</v>
      </c>
      <c r="L32" s="237">
        <v>1</v>
      </c>
      <c r="M32" s="55"/>
      <c r="N32" s="55">
        <v>5</v>
      </c>
      <c r="O32" s="55">
        <v>0.5</v>
      </c>
      <c r="P32" s="55">
        <v>0.4</v>
      </c>
      <c r="Q32" s="82">
        <f t="shared" si="0"/>
        <v>0.45</v>
      </c>
      <c r="R32" s="55">
        <v>16.2</v>
      </c>
      <c r="S32" s="55">
        <v>108</v>
      </c>
      <c r="T32" s="77">
        <f t="shared" si="3"/>
        <v>33</v>
      </c>
      <c r="U32" s="55">
        <v>429</v>
      </c>
      <c r="V32" s="78">
        <f t="shared" si="4"/>
        <v>2831.4</v>
      </c>
      <c r="W32" s="55">
        <v>1</v>
      </c>
      <c r="X32" s="55" t="s">
        <v>46</v>
      </c>
      <c r="Y32" s="55" t="s">
        <v>88</v>
      </c>
      <c r="Z32" s="55" t="s">
        <v>102</v>
      </c>
      <c r="AA32" s="55" t="s">
        <v>78</v>
      </c>
      <c r="AB32" s="55" t="s">
        <v>350</v>
      </c>
    </row>
    <row r="33" spans="1:49" x14ac:dyDescent="0.15">
      <c r="A33" s="55" t="s">
        <v>41</v>
      </c>
      <c r="B33" s="237" t="s">
        <v>348</v>
      </c>
      <c r="C33" s="152">
        <v>2018</v>
      </c>
      <c r="D33" s="56" t="s">
        <v>365</v>
      </c>
      <c r="E33" s="237" t="s">
        <v>301</v>
      </c>
      <c r="F33" s="237" t="s">
        <v>307</v>
      </c>
      <c r="G33" s="55" t="s">
        <v>42</v>
      </c>
      <c r="H33" s="55" t="s">
        <v>157</v>
      </c>
      <c r="I33" s="55" t="s">
        <v>155</v>
      </c>
      <c r="J33" s="55" t="s">
        <v>38</v>
      </c>
      <c r="K33" s="55" t="s">
        <v>156</v>
      </c>
      <c r="L33" s="237">
        <v>2</v>
      </c>
      <c r="N33" s="55">
        <v>5</v>
      </c>
      <c r="O33" s="55">
        <v>0.25</v>
      </c>
      <c r="P33" s="55">
        <v>0.3</v>
      </c>
      <c r="Q33" s="82">
        <f t="shared" si="0"/>
        <v>0.27500000000000002</v>
      </c>
      <c r="R33" s="55">
        <v>15.7</v>
      </c>
      <c r="S33" s="55">
        <v>114</v>
      </c>
      <c r="T33" s="77">
        <f t="shared" si="3"/>
        <v>30</v>
      </c>
      <c r="U33" s="55">
        <v>429</v>
      </c>
      <c r="V33" s="78">
        <f t="shared" si="4"/>
        <v>2574</v>
      </c>
      <c r="W33" s="55">
        <v>1</v>
      </c>
      <c r="X33" s="55" t="s">
        <v>46</v>
      </c>
      <c r="Y33" s="55" t="s">
        <v>88</v>
      </c>
      <c r="Z33" s="55" t="s">
        <v>102</v>
      </c>
      <c r="AA33" s="55" t="s">
        <v>78</v>
      </c>
      <c r="AB33" s="55" t="s">
        <v>350</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348</v>
      </c>
      <c r="C34" s="152">
        <v>2018</v>
      </c>
      <c r="D34" s="56" t="s">
        <v>365</v>
      </c>
      <c r="E34" s="237" t="s">
        <v>301</v>
      </c>
      <c r="F34" s="237" t="s">
        <v>307</v>
      </c>
      <c r="G34" s="55" t="s">
        <v>42</v>
      </c>
      <c r="H34" s="55" t="s">
        <v>157</v>
      </c>
      <c r="I34" s="55" t="s">
        <v>155</v>
      </c>
      <c r="J34" s="55" t="s">
        <v>38</v>
      </c>
      <c r="K34" s="55" t="s">
        <v>156</v>
      </c>
      <c r="L34" s="237">
        <v>3</v>
      </c>
      <c r="N34" s="55">
        <v>5</v>
      </c>
      <c r="O34" s="55">
        <v>0.25</v>
      </c>
      <c r="P34" s="55">
        <v>0.25</v>
      </c>
      <c r="Q34" s="57">
        <f t="shared" si="0"/>
        <v>0.25</v>
      </c>
      <c r="R34" s="237">
        <v>14.1</v>
      </c>
      <c r="S34" s="237">
        <v>112</v>
      </c>
      <c r="T34" s="77">
        <f t="shared" si="3"/>
        <v>33</v>
      </c>
      <c r="U34" s="55">
        <v>429</v>
      </c>
      <c r="V34" s="78">
        <f t="shared" si="4"/>
        <v>2831.4</v>
      </c>
      <c r="W34" s="237">
        <v>1</v>
      </c>
      <c r="X34" s="55" t="s">
        <v>46</v>
      </c>
      <c r="Y34" s="55" t="s">
        <v>88</v>
      </c>
      <c r="Z34" s="55" t="s">
        <v>102</v>
      </c>
      <c r="AA34" s="55" t="s">
        <v>78</v>
      </c>
      <c r="AB34" s="55" t="s">
        <v>350</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348</v>
      </c>
      <c r="C35" s="152">
        <v>2018</v>
      </c>
      <c r="D35" s="56" t="s">
        <v>365</v>
      </c>
      <c r="E35" s="237" t="s">
        <v>301</v>
      </c>
      <c r="F35" s="237" t="s">
        <v>307</v>
      </c>
      <c r="G35" s="55" t="s">
        <v>42</v>
      </c>
      <c r="H35" s="55" t="s">
        <v>168</v>
      </c>
      <c r="I35" s="55" t="s">
        <v>155</v>
      </c>
      <c r="J35" s="55" t="s">
        <v>38</v>
      </c>
      <c r="K35" s="55" t="s">
        <v>156</v>
      </c>
      <c r="L35" s="237">
        <v>1</v>
      </c>
      <c r="M35" s="55"/>
      <c r="N35" s="55">
        <v>1</v>
      </c>
      <c r="O35" s="55">
        <v>0.5</v>
      </c>
      <c r="P35" s="55">
        <v>0.45</v>
      </c>
      <c r="Q35" s="57">
        <f t="shared" si="0"/>
        <v>0.47499999999999998</v>
      </c>
      <c r="R35" s="237">
        <v>14.3</v>
      </c>
      <c r="S35" s="237">
        <v>126</v>
      </c>
      <c r="T35" s="77">
        <f t="shared" si="3"/>
        <v>27</v>
      </c>
      <c r="U35" s="55">
        <v>105</v>
      </c>
      <c r="V35" s="78">
        <f t="shared" si="4"/>
        <v>2835</v>
      </c>
      <c r="W35" s="55">
        <v>2</v>
      </c>
      <c r="X35" s="55" t="s">
        <v>46</v>
      </c>
      <c r="Y35" s="55" t="s">
        <v>88</v>
      </c>
      <c r="Z35" s="55" t="s">
        <v>102</v>
      </c>
      <c r="AA35" s="55" t="s">
        <v>78</v>
      </c>
      <c r="AB35" s="55" t="s">
        <v>350</v>
      </c>
      <c r="AE35" s="257"/>
      <c r="AF35" s="253"/>
      <c r="AG35" s="258"/>
      <c r="AH35" s="258"/>
      <c r="AI35" s="253"/>
      <c r="AJ35" s="253"/>
      <c r="AK35" s="253"/>
      <c r="AL35" s="253"/>
      <c r="AM35" s="253"/>
      <c r="AN35" s="253"/>
      <c r="AO35" s="253"/>
      <c r="AP35" s="253"/>
      <c r="AQ35" s="253"/>
      <c r="AR35" s="258"/>
      <c r="AS35" s="253"/>
      <c r="AT35" s="253"/>
      <c r="AU35" s="253"/>
      <c r="AV35" s="253"/>
      <c r="AW35" s="253"/>
    </row>
    <row r="36" spans="1:49" x14ac:dyDescent="0.15">
      <c r="A36" s="55" t="s">
        <v>41</v>
      </c>
      <c r="B36" s="237" t="s">
        <v>348</v>
      </c>
      <c r="C36" s="152">
        <v>2018</v>
      </c>
      <c r="D36" s="56" t="s">
        <v>365</v>
      </c>
      <c r="E36" s="237" t="s">
        <v>301</v>
      </c>
      <c r="F36" s="237" t="s">
        <v>307</v>
      </c>
      <c r="G36" s="55" t="s">
        <v>42</v>
      </c>
      <c r="H36" s="55" t="s">
        <v>168</v>
      </c>
      <c r="I36" s="55" t="s">
        <v>155</v>
      </c>
      <c r="J36" s="55" t="s">
        <v>38</v>
      </c>
      <c r="K36" s="55" t="s">
        <v>156</v>
      </c>
      <c r="L36" s="237">
        <v>2</v>
      </c>
      <c r="N36" s="55">
        <v>1</v>
      </c>
      <c r="O36" s="55">
        <v>0.65</v>
      </c>
      <c r="P36" s="55">
        <v>0.55000000000000004</v>
      </c>
      <c r="Q36" s="57">
        <f t="shared" si="0"/>
        <v>0.60000000000000009</v>
      </c>
      <c r="R36" s="237">
        <v>16.5</v>
      </c>
      <c r="S36" s="237">
        <v>124</v>
      </c>
      <c r="T36" s="77">
        <f t="shared" si="3"/>
        <v>27</v>
      </c>
      <c r="U36" s="55">
        <v>105</v>
      </c>
      <c r="V36" s="58">
        <f t="shared" si="4"/>
        <v>2835</v>
      </c>
      <c r="W36" s="237">
        <v>2</v>
      </c>
      <c r="X36" s="55" t="s">
        <v>46</v>
      </c>
      <c r="Y36" s="55" t="s">
        <v>88</v>
      </c>
      <c r="Z36" s="55" t="s">
        <v>102</v>
      </c>
      <c r="AA36" s="55" t="s">
        <v>78</v>
      </c>
      <c r="AB36" s="55" t="s">
        <v>350</v>
      </c>
      <c r="AE36" s="257"/>
      <c r="AF36" s="253"/>
      <c r="AG36" s="258"/>
      <c r="AH36" s="258"/>
      <c r="AI36" s="253"/>
      <c r="AJ36" s="253"/>
      <c r="AK36" s="253"/>
      <c r="AL36" s="253"/>
      <c r="AM36" s="253"/>
      <c r="AN36" s="253"/>
      <c r="AO36" s="253"/>
      <c r="AP36" s="253"/>
      <c r="AQ36" s="253"/>
      <c r="AR36" s="258"/>
      <c r="AS36" s="253"/>
      <c r="AT36" s="253"/>
      <c r="AU36" s="253"/>
      <c r="AV36" s="253"/>
      <c r="AW36" s="253"/>
    </row>
    <row r="37" spans="1:49" x14ac:dyDescent="0.15">
      <c r="A37" s="55" t="s">
        <v>41</v>
      </c>
      <c r="B37" s="237" t="s">
        <v>348</v>
      </c>
      <c r="C37" s="152">
        <v>2018</v>
      </c>
      <c r="D37" s="56" t="s">
        <v>365</v>
      </c>
      <c r="E37" s="237" t="s">
        <v>301</v>
      </c>
      <c r="F37" s="237" t="s">
        <v>307</v>
      </c>
      <c r="G37" s="55" t="s">
        <v>42</v>
      </c>
      <c r="H37" s="55" t="s">
        <v>168</v>
      </c>
      <c r="I37" s="55" t="s">
        <v>155</v>
      </c>
      <c r="J37" s="55" t="s">
        <v>38</v>
      </c>
      <c r="K37" s="55" t="s">
        <v>156</v>
      </c>
      <c r="L37" s="237">
        <v>3</v>
      </c>
      <c r="N37" s="55">
        <v>1</v>
      </c>
      <c r="O37" s="55">
        <v>0.5</v>
      </c>
      <c r="P37" s="55">
        <v>0.65</v>
      </c>
      <c r="Q37" s="57">
        <f t="shared" si="0"/>
        <v>0.57499999999999996</v>
      </c>
      <c r="R37" s="237">
        <v>15.3</v>
      </c>
      <c r="S37" s="237">
        <v>125</v>
      </c>
      <c r="T37" s="77">
        <f t="shared" si="3"/>
        <v>27</v>
      </c>
      <c r="U37" s="55">
        <v>105</v>
      </c>
      <c r="V37" s="58">
        <f t="shared" si="4"/>
        <v>2835</v>
      </c>
      <c r="W37" s="237">
        <v>2</v>
      </c>
      <c r="X37" s="55" t="s">
        <v>46</v>
      </c>
      <c r="Y37" s="55" t="s">
        <v>88</v>
      </c>
      <c r="Z37" s="55" t="s">
        <v>102</v>
      </c>
      <c r="AA37" s="55" t="s">
        <v>78</v>
      </c>
      <c r="AB37" s="55" t="s">
        <v>350</v>
      </c>
      <c r="AE37" s="257"/>
      <c r="AF37" s="253"/>
      <c r="AG37" s="258"/>
      <c r="AH37" s="258"/>
      <c r="AI37" s="253"/>
      <c r="AJ37" s="253"/>
      <c r="AK37" s="253"/>
      <c r="AL37" s="253"/>
      <c r="AM37" s="253"/>
      <c r="AN37" s="253"/>
      <c r="AO37" s="253"/>
      <c r="AP37" s="253"/>
      <c r="AQ37" s="253"/>
      <c r="AR37" s="258"/>
      <c r="AS37" s="253"/>
      <c r="AT37" s="253"/>
      <c r="AU37" s="253"/>
      <c r="AV37" s="253"/>
      <c r="AW37" s="253"/>
    </row>
    <row r="38" spans="1:49" x14ac:dyDescent="0.15">
      <c r="A38" s="55" t="s">
        <v>41</v>
      </c>
      <c r="B38" s="237" t="s">
        <v>348</v>
      </c>
      <c r="C38" s="152">
        <v>2018</v>
      </c>
      <c r="D38" s="56" t="s">
        <v>365</v>
      </c>
      <c r="E38" s="237" t="s">
        <v>302</v>
      </c>
      <c r="F38" s="237" t="s">
        <v>306</v>
      </c>
      <c r="G38" s="55" t="s">
        <v>42</v>
      </c>
      <c r="H38" s="55" t="s">
        <v>157</v>
      </c>
      <c r="I38" s="55" t="s">
        <v>155</v>
      </c>
      <c r="J38" s="55" t="s">
        <v>38</v>
      </c>
      <c r="K38" s="55" t="s">
        <v>156</v>
      </c>
      <c r="L38" s="237">
        <v>1</v>
      </c>
      <c r="N38" s="55">
        <v>1</v>
      </c>
      <c r="O38" s="55">
        <v>0.45</v>
      </c>
      <c r="P38" s="55">
        <v>0.35</v>
      </c>
      <c r="Q38" s="82">
        <f t="shared" si="0"/>
        <v>0.4</v>
      </c>
      <c r="R38" s="55">
        <v>15.2</v>
      </c>
      <c r="S38" s="55">
        <v>131</v>
      </c>
      <c r="T38" s="57">
        <f t="shared" si="1"/>
        <v>25</v>
      </c>
      <c r="U38" s="237">
        <v>108</v>
      </c>
      <c r="V38" s="58">
        <f t="shared" si="2"/>
        <v>2700</v>
      </c>
      <c r="W38" s="237">
        <v>4</v>
      </c>
      <c r="X38" s="55" t="s">
        <v>46</v>
      </c>
      <c r="Y38" s="55" t="s">
        <v>78</v>
      </c>
      <c r="Z38" s="55" t="s">
        <v>102</v>
      </c>
      <c r="AA38" s="55" t="s">
        <v>88</v>
      </c>
      <c r="AB38" s="55" t="s">
        <v>350</v>
      </c>
    </row>
    <row r="39" spans="1:49" x14ac:dyDescent="0.15">
      <c r="A39" s="55" t="s">
        <v>41</v>
      </c>
      <c r="B39" s="237" t="s">
        <v>348</v>
      </c>
      <c r="C39" s="152">
        <v>2018</v>
      </c>
      <c r="D39" s="56" t="s">
        <v>365</v>
      </c>
      <c r="E39" s="237" t="s">
        <v>302</v>
      </c>
      <c r="F39" s="237" t="s">
        <v>306</v>
      </c>
      <c r="G39" s="55" t="s">
        <v>42</v>
      </c>
      <c r="H39" s="55" t="s">
        <v>157</v>
      </c>
      <c r="I39" s="55" t="s">
        <v>155</v>
      </c>
      <c r="J39" s="55" t="s">
        <v>38</v>
      </c>
      <c r="K39" s="55" t="s">
        <v>156</v>
      </c>
      <c r="L39" s="237">
        <v>2</v>
      </c>
      <c r="N39" s="55">
        <v>1</v>
      </c>
      <c r="O39" s="55">
        <v>0.25</v>
      </c>
      <c r="P39" s="55">
        <v>0.3</v>
      </c>
      <c r="Q39" s="82">
        <f t="shared" si="0"/>
        <v>0.27500000000000002</v>
      </c>
      <c r="R39" s="55">
        <v>16.399999999999999</v>
      </c>
      <c r="S39" s="55">
        <v>128</v>
      </c>
      <c r="T39" s="57">
        <f t="shared" si="1"/>
        <v>27</v>
      </c>
      <c r="U39" s="237">
        <v>108</v>
      </c>
      <c r="V39" s="58">
        <f t="shared" si="2"/>
        <v>2916</v>
      </c>
      <c r="W39" s="237">
        <v>4</v>
      </c>
      <c r="X39" s="55" t="s">
        <v>46</v>
      </c>
      <c r="Y39" s="55" t="s">
        <v>78</v>
      </c>
      <c r="Z39" s="55" t="s">
        <v>102</v>
      </c>
      <c r="AA39" s="55" t="s">
        <v>88</v>
      </c>
      <c r="AB39" s="55" t="s">
        <v>350</v>
      </c>
    </row>
    <row r="40" spans="1:49" x14ac:dyDescent="0.15">
      <c r="A40" s="55" t="s">
        <v>41</v>
      </c>
      <c r="B40" s="237" t="s">
        <v>348</v>
      </c>
      <c r="C40" s="152">
        <v>2018</v>
      </c>
      <c r="D40" s="56" t="s">
        <v>365</v>
      </c>
      <c r="E40" s="237" t="s">
        <v>302</v>
      </c>
      <c r="F40" s="237" t="s">
        <v>306</v>
      </c>
      <c r="G40" s="55" t="s">
        <v>42</v>
      </c>
      <c r="H40" s="55" t="s">
        <v>157</v>
      </c>
      <c r="I40" s="55" t="s">
        <v>155</v>
      </c>
      <c r="J40" s="55" t="s">
        <v>38</v>
      </c>
      <c r="K40" s="55" t="s">
        <v>156</v>
      </c>
      <c r="L40" s="237">
        <v>3</v>
      </c>
      <c r="N40" s="55">
        <v>1</v>
      </c>
      <c r="O40" s="55">
        <v>0.3</v>
      </c>
      <c r="P40" s="55">
        <v>0.35</v>
      </c>
      <c r="Q40" s="82">
        <f t="shared" si="0"/>
        <v>0.32499999999999996</v>
      </c>
      <c r="R40" s="55">
        <v>14.7</v>
      </c>
      <c r="S40" s="55">
        <v>130</v>
      </c>
      <c r="T40" s="57">
        <f t="shared" si="1"/>
        <v>25</v>
      </c>
      <c r="U40" s="237">
        <v>108</v>
      </c>
      <c r="V40" s="58">
        <f t="shared" si="2"/>
        <v>2700</v>
      </c>
      <c r="W40" s="237">
        <v>4</v>
      </c>
      <c r="X40" s="55" t="s">
        <v>46</v>
      </c>
      <c r="Y40" s="55" t="s">
        <v>78</v>
      </c>
      <c r="Z40" s="55" t="s">
        <v>102</v>
      </c>
      <c r="AA40" s="55" t="s">
        <v>88</v>
      </c>
      <c r="AB40" s="55" t="s">
        <v>350</v>
      </c>
    </row>
    <row r="41" spans="1:49" x14ac:dyDescent="0.15">
      <c r="A41" s="55" t="s">
        <v>41</v>
      </c>
      <c r="B41" s="237" t="s">
        <v>348</v>
      </c>
      <c r="C41" s="152">
        <v>2018</v>
      </c>
      <c r="D41" s="56" t="s">
        <v>365</v>
      </c>
      <c r="E41" s="237" t="s">
        <v>302</v>
      </c>
      <c r="F41" s="237" t="s">
        <v>306</v>
      </c>
      <c r="G41" s="55" t="s">
        <v>42</v>
      </c>
      <c r="H41" s="55" t="s">
        <v>168</v>
      </c>
      <c r="I41" s="55" t="s">
        <v>155</v>
      </c>
      <c r="J41" s="55" t="s">
        <v>38</v>
      </c>
      <c r="K41" s="55" t="s">
        <v>156</v>
      </c>
      <c r="L41" s="237">
        <v>1</v>
      </c>
      <c r="N41" s="55">
        <v>1</v>
      </c>
      <c r="O41" s="55">
        <v>0.45</v>
      </c>
      <c r="P41" s="55">
        <v>0.6</v>
      </c>
      <c r="Q41" s="57">
        <f t="shared" si="0"/>
        <v>0.52500000000000002</v>
      </c>
      <c r="R41" s="55">
        <v>15.8</v>
      </c>
      <c r="S41" s="55">
        <v>124</v>
      </c>
      <c r="T41" s="57">
        <f t="shared" si="1"/>
        <v>27</v>
      </c>
      <c r="U41" s="237">
        <v>170</v>
      </c>
      <c r="V41" s="58">
        <f t="shared" si="2"/>
        <v>4590</v>
      </c>
      <c r="W41" s="237">
        <v>1</v>
      </c>
      <c r="X41" s="55" t="s">
        <v>46</v>
      </c>
      <c r="Y41" s="55" t="s">
        <v>78</v>
      </c>
      <c r="Z41" s="55" t="s">
        <v>102</v>
      </c>
      <c r="AA41" s="55" t="s">
        <v>88</v>
      </c>
      <c r="AB41" s="55" t="s">
        <v>350</v>
      </c>
      <c r="AC41" s="55"/>
      <c r="AD41" s="55"/>
    </row>
    <row r="42" spans="1:49" x14ac:dyDescent="0.15">
      <c r="A42" s="55" t="s">
        <v>41</v>
      </c>
      <c r="B42" s="237" t="s">
        <v>348</v>
      </c>
      <c r="C42" s="152">
        <v>2018</v>
      </c>
      <c r="D42" s="56" t="s">
        <v>365</v>
      </c>
      <c r="E42" s="237" t="s">
        <v>302</v>
      </c>
      <c r="F42" s="237" t="s">
        <v>306</v>
      </c>
      <c r="G42" s="55" t="s">
        <v>42</v>
      </c>
      <c r="H42" s="55" t="s">
        <v>168</v>
      </c>
      <c r="I42" s="55" t="s">
        <v>155</v>
      </c>
      <c r="J42" s="55" t="s">
        <v>38</v>
      </c>
      <c r="K42" s="55" t="s">
        <v>156</v>
      </c>
      <c r="L42" s="237">
        <v>2</v>
      </c>
      <c r="N42" s="55">
        <v>1</v>
      </c>
      <c r="O42" s="55">
        <v>0.8</v>
      </c>
      <c r="P42" s="55">
        <v>0.75</v>
      </c>
      <c r="Q42" s="57">
        <f t="shared" si="0"/>
        <v>0.77500000000000002</v>
      </c>
      <c r="R42" s="55">
        <v>16.2</v>
      </c>
      <c r="S42" s="55">
        <v>125</v>
      </c>
      <c r="T42" s="57">
        <f t="shared" si="1"/>
        <v>27</v>
      </c>
      <c r="U42" s="237">
        <v>170</v>
      </c>
      <c r="V42" s="58">
        <f t="shared" si="2"/>
        <v>4590</v>
      </c>
      <c r="W42" s="237">
        <v>1</v>
      </c>
      <c r="X42" s="55" t="s">
        <v>46</v>
      </c>
      <c r="Y42" s="55" t="s">
        <v>78</v>
      </c>
      <c r="Z42" s="55" t="s">
        <v>102</v>
      </c>
      <c r="AA42" s="55" t="s">
        <v>88</v>
      </c>
      <c r="AB42" s="55" t="s">
        <v>350</v>
      </c>
      <c r="AC42" s="55"/>
      <c r="AD42" s="55"/>
    </row>
    <row r="43" spans="1:49" x14ac:dyDescent="0.15">
      <c r="A43" s="55" t="s">
        <v>41</v>
      </c>
      <c r="B43" s="237" t="s">
        <v>348</v>
      </c>
      <c r="C43" s="152">
        <v>2018</v>
      </c>
      <c r="D43" s="56" t="s">
        <v>365</v>
      </c>
      <c r="E43" s="237" t="s">
        <v>302</v>
      </c>
      <c r="F43" s="237" t="s">
        <v>306</v>
      </c>
      <c r="G43" s="55" t="s">
        <v>42</v>
      </c>
      <c r="H43" s="55" t="s">
        <v>168</v>
      </c>
      <c r="I43" s="55" t="s">
        <v>155</v>
      </c>
      <c r="J43" s="55" t="s">
        <v>38</v>
      </c>
      <c r="K43" s="55" t="s">
        <v>156</v>
      </c>
      <c r="L43" s="237">
        <v>3</v>
      </c>
      <c r="N43" s="55">
        <v>1</v>
      </c>
      <c r="O43" s="55">
        <v>0.5</v>
      </c>
      <c r="P43" s="55">
        <v>0.7</v>
      </c>
      <c r="Q43" s="57">
        <f t="shared" si="0"/>
        <v>0.6</v>
      </c>
      <c r="R43" s="55">
        <v>17.399999999999999</v>
      </c>
      <c r="S43" s="55">
        <v>125</v>
      </c>
      <c r="T43" s="57">
        <f t="shared" si="1"/>
        <v>27</v>
      </c>
      <c r="U43" s="237">
        <v>170</v>
      </c>
      <c r="V43" s="58">
        <f t="shared" si="2"/>
        <v>4590</v>
      </c>
      <c r="W43" s="237">
        <v>1</v>
      </c>
      <c r="X43" s="55" t="s">
        <v>46</v>
      </c>
      <c r="Y43" s="55" t="s">
        <v>78</v>
      </c>
      <c r="Z43" s="55" t="s">
        <v>102</v>
      </c>
      <c r="AA43" s="55" t="s">
        <v>88</v>
      </c>
      <c r="AB43" s="55" t="s">
        <v>350</v>
      </c>
      <c r="AC43" s="55"/>
      <c r="AD43" s="55"/>
    </row>
    <row r="44" spans="1:49" x14ac:dyDescent="0.15">
      <c r="A44" s="55" t="s">
        <v>41</v>
      </c>
      <c r="B44" s="237" t="s">
        <v>348</v>
      </c>
      <c r="C44" s="152">
        <v>2018</v>
      </c>
      <c r="D44" s="56" t="s">
        <v>365</v>
      </c>
      <c r="E44" s="237" t="s">
        <v>302</v>
      </c>
      <c r="F44" s="237" t="s">
        <v>306</v>
      </c>
      <c r="G44" s="55" t="s">
        <v>42</v>
      </c>
      <c r="H44" s="55" t="s">
        <v>168</v>
      </c>
      <c r="I44" s="55" t="s">
        <v>155</v>
      </c>
      <c r="J44" s="55" t="s">
        <v>38</v>
      </c>
      <c r="K44" s="55" t="s">
        <v>156</v>
      </c>
      <c r="L44" s="237">
        <v>1</v>
      </c>
      <c r="N44" s="55">
        <v>4</v>
      </c>
      <c r="O44" s="55">
        <v>0.25</v>
      </c>
      <c r="P44" s="55">
        <v>0.35</v>
      </c>
      <c r="Q44" s="57">
        <f t="shared" si="0"/>
        <v>0.3</v>
      </c>
      <c r="R44" s="55">
        <v>16</v>
      </c>
      <c r="S44" s="237">
        <v>120</v>
      </c>
      <c r="T44" s="57">
        <f t="shared" si="1"/>
        <v>30</v>
      </c>
      <c r="U44" s="237">
        <v>645</v>
      </c>
      <c r="V44" s="58">
        <f t="shared" si="2"/>
        <v>4837.5</v>
      </c>
      <c r="W44" s="237">
        <v>1</v>
      </c>
      <c r="X44" s="55" t="s">
        <v>46</v>
      </c>
      <c r="Y44" s="55" t="s">
        <v>78</v>
      </c>
      <c r="Z44" s="55" t="s">
        <v>102</v>
      </c>
      <c r="AA44" s="55" t="s">
        <v>88</v>
      </c>
      <c r="AB44" s="55" t="s">
        <v>350</v>
      </c>
      <c r="AC44" s="55"/>
      <c r="AD44" s="55"/>
    </row>
    <row r="45" spans="1:49" x14ac:dyDescent="0.15">
      <c r="A45" s="55" t="s">
        <v>41</v>
      </c>
      <c r="B45" s="237" t="s">
        <v>348</v>
      </c>
      <c r="C45" s="152">
        <v>2018</v>
      </c>
      <c r="D45" s="56" t="s">
        <v>365</v>
      </c>
      <c r="E45" s="237" t="s">
        <v>302</v>
      </c>
      <c r="F45" s="237" t="s">
        <v>306</v>
      </c>
      <c r="G45" s="55" t="s">
        <v>42</v>
      </c>
      <c r="H45" s="55" t="s">
        <v>168</v>
      </c>
      <c r="I45" s="55" t="s">
        <v>155</v>
      </c>
      <c r="J45" s="55" t="s">
        <v>38</v>
      </c>
      <c r="K45" s="55" t="s">
        <v>156</v>
      </c>
      <c r="L45" s="237">
        <v>2</v>
      </c>
      <c r="N45" s="55">
        <v>4</v>
      </c>
      <c r="O45" s="55">
        <v>0.25</v>
      </c>
      <c r="P45" s="55">
        <v>0.35</v>
      </c>
      <c r="Q45" s="57">
        <f t="shared" si="0"/>
        <v>0.3</v>
      </c>
      <c r="R45" s="55">
        <v>13.8</v>
      </c>
      <c r="S45" s="237">
        <v>118</v>
      </c>
      <c r="T45" s="57">
        <f t="shared" si="1"/>
        <v>30</v>
      </c>
      <c r="U45" s="237">
        <v>645</v>
      </c>
      <c r="V45" s="58">
        <f t="shared" si="2"/>
        <v>4837.5</v>
      </c>
      <c r="W45" s="237">
        <v>1</v>
      </c>
      <c r="X45" s="55" t="s">
        <v>46</v>
      </c>
      <c r="Y45" s="55" t="s">
        <v>78</v>
      </c>
      <c r="Z45" s="55" t="s">
        <v>102</v>
      </c>
      <c r="AA45" s="55" t="s">
        <v>88</v>
      </c>
      <c r="AB45" s="55" t="s">
        <v>350</v>
      </c>
      <c r="AC45" s="55"/>
      <c r="AD45" s="55"/>
    </row>
    <row r="46" spans="1:49" x14ac:dyDescent="0.15">
      <c r="A46" s="55" t="s">
        <v>41</v>
      </c>
      <c r="B46" s="237" t="s">
        <v>348</v>
      </c>
      <c r="C46" s="152">
        <v>2018</v>
      </c>
      <c r="D46" s="56" t="s">
        <v>365</v>
      </c>
      <c r="E46" s="237" t="s">
        <v>302</v>
      </c>
      <c r="F46" s="237" t="s">
        <v>306</v>
      </c>
      <c r="G46" s="55" t="s">
        <v>42</v>
      </c>
      <c r="H46" s="55" t="s">
        <v>168</v>
      </c>
      <c r="I46" s="55" t="s">
        <v>155</v>
      </c>
      <c r="J46" s="55" t="s">
        <v>38</v>
      </c>
      <c r="K46" s="55" t="s">
        <v>156</v>
      </c>
      <c r="L46" s="237">
        <v>3</v>
      </c>
      <c r="N46" s="55">
        <v>4</v>
      </c>
      <c r="O46" s="55">
        <v>0.3</v>
      </c>
      <c r="P46" s="55">
        <v>0.25</v>
      </c>
      <c r="Q46" s="57">
        <f t="shared" si="0"/>
        <v>0.27500000000000002</v>
      </c>
      <c r="R46" s="55">
        <v>13.4</v>
      </c>
      <c r="S46" s="237">
        <v>120</v>
      </c>
      <c r="T46" s="57">
        <f t="shared" si="1"/>
        <v>30</v>
      </c>
      <c r="U46" s="55">
        <v>645</v>
      </c>
      <c r="V46" s="58">
        <f t="shared" si="2"/>
        <v>4837.5</v>
      </c>
      <c r="W46" s="237">
        <v>1</v>
      </c>
      <c r="X46" s="55" t="s">
        <v>46</v>
      </c>
      <c r="Y46" s="55" t="s">
        <v>78</v>
      </c>
      <c r="Z46" s="55" t="s">
        <v>102</v>
      </c>
      <c r="AA46" s="55" t="s">
        <v>88</v>
      </c>
      <c r="AB46" s="55" t="s">
        <v>350</v>
      </c>
      <c r="AC46" s="55"/>
      <c r="AD46" s="55"/>
    </row>
    <row r="47" spans="1:49" x14ac:dyDescent="0.15">
      <c r="A47" s="55" t="s">
        <v>41</v>
      </c>
      <c r="B47" s="237" t="s">
        <v>348</v>
      </c>
      <c r="C47" s="152">
        <v>2018</v>
      </c>
      <c r="D47" s="56" t="s">
        <v>365</v>
      </c>
      <c r="E47" s="237" t="s">
        <v>302</v>
      </c>
      <c r="F47" s="237" t="s">
        <v>306</v>
      </c>
      <c r="G47" s="55" t="s">
        <v>42</v>
      </c>
      <c r="H47" s="55" t="s">
        <v>157</v>
      </c>
      <c r="I47" s="55" t="s">
        <v>155</v>
      </c>
      <c r="J47" s="55" t="s">
        <v>38</v>
      </c>
      <c r="K47" s="55" t="s">
        <v>156</v>
      </c>
      <c r="L47" s="237">
        <v>1</v>
      </c>
      <c r="N47" s="237">
        <v>4</v>
      </c>
      <c r="O47" s="55">
        <v>0.3</v>
      </c>
      <c r="P47" s="55">
        <v>0.4</v>
      </c>
      <c r="Q47" s="57">
        <f t="shared" si="0"/>
        <v>0.35</v>
      </c>
      <c r="R47" s="55">
        <v>14</v>
      </c>
      <c r="S47" s="237">
        <v>117</v>
      </c>
      <c r="T47" s="57">
        <f t="shared" si="1"/>
        <v>30</v>
      </c>
      <c r="U47" s="237">
        <v>429</v>
      </c>
      <c r="V47" s="58">
        <f t="shared" si="2"/>
        <v>3217.5</v>
      </c>
      <c r="W47" s="237">
        <v>1</v>
      </c>
      <c r="X47" s="55" t="s">
        <v>46</v>
      </c>
      <c r="Y47" s="55" t="s">
        <v>78</v>
      </c>
      <c r="Z47" s="55" t="s">
        <v>102</v>
      </c>
      <c r="AA47" s="55" t="s">
        <v>88</v>
      </c>
      <c r="AB47" s="55" t="s">
        <v>350</v>
      </c>
    </row>
    <row r="48" spans="1:49" x14ac:dyDescent="0.15">
      <c r="A48" s="55" t="s">
        <v>41</v>
      </c>
      <c r="B48" s="237" t="s">
        <v>348</v>
      </c>
      <c r="C48" s="152">
        <v>2018</v>
      </c>
      <c r="D48" s="56" t="s">
        <v>365</v>
      </c>
      <c r="E48" s="237" t="s">
        <v>302</v>
      </c>
      <c r="F48" s="237" t="s">
        <v>306</v>
      </c>
      <c r="G48" s="55" t="s">
        <v>42</v>
      </c>
      <c r="H48" s="55" t="s">
        <v>157</v>
      </c>
      <c r="I48" s="55" t="s">
        <v>155</v>
      </c>
      <c r="J48" s="55" t="s">
        <v>38</v>
      </c>
      <c r="K48" s="55" t="s">
        <v>156</v>
      </c>
      <c r="L48" s="237">
        <v>2</v>
      </c>
      <c r="N48" s="237">
        <v>4</v>
      </c>
      <c r="O48" s="55">
        <v>0.45</v>
      </c>
      <c r="P48" s="55">
        <v>0.45</v>
      </c>
      <c r="Q48" s="57">
        <f t="shared" si="0"/>
        <v>0.45</v>
      </c>
      <c r="R48" s="55">
        <v>15.2</v>
      </c>
      <c r="S48" s="237">
        <v>115</v>
      </c>
      <c r="T48" s="57">
        <f t="shared" si="1"/>
        <v>30</v>
      </c>
      <c r="U48" s="237">
        <v>429</v>
      </c>
      <c r="V48" s="58">
        <f t="shared" si="2"/>
        <v>3217.5</v>
      </c>
      <c r="W48" s="237">
        <v>1</v>
      </c>
      <c r="X48" s="55" t="s">
        <v>46</v>
      </c>
      <c r="Y48" s="55" t="s">
        <v>78</v>
      </c>
      <c r="Z48" s="55" t="s">
        <v>102</v>
      </c>
      <c r="AA48" s="55" t="s">
        <v>88</v>
      </c>
      <c r="AB48" s="55" t="s">
        <v>350</v>
      </c>
    </row>
    <row r="49" spans="1:30" x14ac:dyDescent="0.15">
      <c r="A49" s="55" t="s">
        <v>41</v>
      </c>
      <c r="B49" s="237" t="s">
        <v>348</v>
      </c>
      <c r="C49" s="152">
        <v>2018</v>
      </c>
      <c r="D49" s="56" t="s">
        <v>365</v>
      </c>
      <c r="E49" s="237" t="s">
        <v>302</v>
      </c>
      <c r="F49" s="237" t="s">
        <v>306</v>
      </c>
      <c r="G49" s="55" t="s">
        <v>42</v>
      </c>
      <c r="H49" s="55" t="s">
        <v>157</v>
      </c>
      <c r="I49" s="55" t="s">
        <v>155</v>
      </c>
      <c r="J49" s="55" t="s">
        <v>38</v>
      </c>
      <c r="K49" s="55" t="s">
        <v>156</v>
      </c>
      <c r="L49" s="237">
        <v>3</v>
      </c>
      <c r="N49" s="237">
        <v>4</v>
      </c>
      <c r="O49" s="55">
        <v>0.5</v>
      </c>
      <c r="P49" s="55">
        <v>0.35</v>
      </c>
      <c r="Q49" s="57">
        <f t="shared" si="0"/>
        <v>0.42499999999999999</v>
      </c>
      <c r="R49" s="55">
        <v>14.7</v>
      </c>
      <c r="S49" s="237">
        <v>118</v>
      </c>
      <c r="T49" s="57">
        <f t="shared" si="1"/>
        <v>30</v>
      </c>
      <c r="U49" s="237">
        <v>429</v>
      </c>
      <c r="V49" s="58">
        <f t="shared" si="2"/>
        <v>3217.5</v>
      </c>
      <c r="W49" s="237">
        <v>1</v>
      </c>
      <c r="X49" s="55" t="s">
        <v>46</v>
      </c>
      <c r="Y49" s="55" t="s">
        <v>78</v>
      </c>
      <c r="Z49" s="55" t="s">
        <v>102</v>
      </c>
      <c r="AA49" s="55" t="s">
        <v>88</v>
      </c>
      <c r="AB49" s="55" t="s">
        <v>350</v>
      </c>
    </row>
    <row r="50" spans="1:30" x14ac:dyDescent="0.15">
      <c r="A50" s="55" t="s">
        <v>41</v>
      </c>
      <c r="B50" s="237" t="s">
        <v>348</v>
      </c>
      <c r="C50" s="152">
        <v>2018</v>
      </c>
      <c r="D50" s="56" t="s">
        <v>365</v>
      </c>
      <c r="E50" s="237" t="s">
        <v>302</v>
      </c>
      <c r="F50" s="237" t="s">
        <v>308</v>
      </c>
      <c r="G50" s="55" t="s">
        <v>42</v>
      </c>
      <c r="H50" s="55" t="s">
        <v>157</v>
      </c>
      <c r="I50" s="55" t="s">
        <v>155</v>
      </c>
      <c r="J50" s="55" t="s">
        <v>38</v>
      </c>
      <c r="K50" s="55" t="s">
        <v>156</v>
      </c>
      <c r="L50" s="237">
        <v>1</v>
      </c>
      <c r="N50" s="55">
        <v>1</v>
      </c>
      <c r="O50" s="237">
        <v>0.5</v>
      </c>
      <c r="P50" s="237">
        <v>0.65</v>
      </c>
      <c r="Q50" s="57">
        <f t="shared" si="0"/>
        <v>0.57499999999999996</v>
      </c>
      <c r="R50" s="237">
        <v>15.2</v>
      </c>
      <c r="S50" s="237">
        <v>124</v>
      </c>
      <c r="T50" s="57">
        <f t="shared" si="1"/>
        <v>27</v>
      </c>
      <c r="U50" s="237">
        <v>108</v>
      </c>
      <c r="V50" s="58">
        <f t="shared" si="2"/>
        <v>2916</v>
      </c>
      <c r="W50" s="237">
        <v>1</v>
      </c>
      <c r="X50" s="55" t="s">
        <v>46</v>
      </c>
      <c r="Y50" s="55" t="s">
        <v>102</v>
      </c>
      <c r="Z50" s="55" t="s">
        <v>88</v>
      </c>
      <c r="AA50" s="55" t="s">
        <v>106</v>
      </c>
      <c r="AB50" s="55" t="s">
        <v>350</v>
      </c>
    </row>
    <row r="51" spans="1:30" x14ac:dyDescent="0.15">
      <c r="A51" s="55" t="s">
        <v>41</v>
      </c>
      <c r="B51" s="237" t="s">
        <v>348</v>
      </c>
      <c r="C51" s="152">
        <v>2018</v>
      </c>
      <c r="D51" s="56" t="s">
        <v>365</v>
      </c>
      <c r="E51" s="237" t="s">
        <v>302</v>
      </c>
      <c r="F51" s="237" t="s">
        <v>308</v>
      </c>
      <c r="G51" s="55" t="s">
        <v>42</v>
      </c>
      <c r="H51" s="55" t="s">
        <v>157</v>
      </c>
      <c r="I51" s="55" t="s">
        <v>155</v>
      </c>
      <c r="J51" s="55" t="s">
        <v>38</v>
      </c>
      <c r="K51" s="55" t="s">
        <v>156</v>
      </c>
      <c r="L51" s="237">
        <v>2</v>
      </c>
      <c r="N51" s="55">
        <v>1</v>
      </c>
      <c r="O51" s="237">
        <v>0.7</v>
      </c>
      <c r="P51" s="237">
        <v>0.65</v>
      </c>
      <c r="Q51" s="57">
        <f t="shared" si="0"/>
        <v>0.67500000000000004</v>
      </c>
      <c r="R51" s="237">
        <v>15.1</v>
      </c>
      <c r="S51" s="237">
        <v>121</v>
      </c>
      <c r="T51" s="57">
        <f t="shared" si="1"/>
        <v>27</v>
      </c>
      <c r="U51" s="237">
        <v>108</v>
      </c>
      <c r="V51" s="58">
        <f t="shared" si="2"/>
        <v>2916</v>
      </c>
      <c r="W51" s="237">
        <v>1</v>
      </c>
      <c r="X51" s="55" t="s">
        <v>46</v>
      </c>
      <c r="Y51" s="55" t="s">
        <v>102</v>
      </c>
      <c r="Z51" s="55" t="s">
        <v>88</v>
      </c>
      <c r="AA51" s="55" t="s">
        <v>106</v>
      </c>
      <c r="AB51" s="55" t="s">
        <v>350</v>
      </c>
    </row>
    <row r="52" spans="1:30" x14ac:dyDescent="0.15">
      <c r="A52" s="55" t="s">
        <v>41</v>
      </c>
      <c r="B52" s="237" t="s">
        <v>348</v>
      </c>
      <c r="C52" s="152">
        <v>2018</v>
      </c>
      <c r="D52" s="56" t="s">
        <v>365</v>
      </c>
      <c r="E52" s="237" t="s">
        <v>302</v>
      </c>
      <c r="F52" s="237" t="s">
        <v>308</v>
      </c>
      <c r="G52" s="55" t="s">
        <v>42</v>
      </c>
      <c r="H52" s="55" t="s">
        <v>157</v>
      </c>
      <c r="I52" s="55" t="s">
        <v>155</v>
      </c>
      <c r="J52" s="55" t="s">
        <v>38</v>
      </c>
      <c r="K52" s="55" t="s">
        <v>156</v>
      </c>
      <c r="L52" s="237">
        <v>3</v>
      </c>
      <c r="N52" s="55">
        <v>1</v>
      </c>
      <c r="O52" s="237">
        <v>0.5</v>
      </c>
      <c r="P52" s="237">
        <v>0.7</v>
      </c>
      <c r="Q52" s="57">
        <f t="shared" si="0"/>
        <v>0.6</v>
      </c>
      <c r="R52" s="237">
        <v>14.8</v>
      </c>
      <c r="S52" s="237">
        <v>124</v>
      </c>
      <c r="T52" s="57">
        <f t="shared" si="1"/>
        <v>27</v>
      </c>
      <c r="U52" s="55">
        <v>108</v>
      </c>
      <c r="V52" s="58">
        <f t="shared" si="2"/>
        <v>2916</v>
      </c>
      <c r="W52" s="237">
        <v>1</v>
      </c>
      <c r="X52" s="55" t="s">
        <v>46</v>
      </c>
      <c r="Y52" s="55" t="s">
        <v>102</v>
      </c>
      <c r="Z52" s="55" t="s">
        <v>88</v>
      </c>
      <c r="AA52" s="55" t="s">
        <v>106</v>
      </c>
      <c r="AB52" s="55" t="s">
        <v>350</v>
      </c>
    </row>
    <row r="53" spans="1:30" x14ac:dyDescent="0.15">
      <c r="A53" s="55" t="s">
        <v>41</v>
      </c>
      <c r="B53" s="237" t="s">
        <v>348</v>
      </c>
      <c r="C53" s="152">
        <v>2018</v>
      </c>
      <c r="D53" s="56" t="s">
        <v>365</v>
      </c>
      <c r="E53" s="237" t="s">
        <v>302</v>
      </c>
      <c r="F53" s="237" t="s">
        <v>308</v>
      </c>
      <c r="G53" s="55" t="s">
        <v>42</v>
      </c>
      <c r="H53" s="55" t="s">
        <v>168</v>
      </c>
      <c r="I53" s="55" t="s">
        <v>155</v>
      </c>
      <c r="J53" s="55" t="s">
        <v>38</v>
      </c>
      <c r="K53" s="55" t="s">
        <v>156</v>
      </c>
      <c r="L53" s="237">
        <v>1</v>
      </c>
      <c r="N53" s="55">
        <v>1</v>
      </c>
      <c r="O53" s="55">
        <v>0.65</v>
      </c>
      <c r="P53" s="55">
        <v>0.7</v>
      </c>
      <c r="Q53" s="57">
        <f t="shared" si="0"/>
        <v>0.67500000000000004</v>
      </c>
      <c r="R53" s="55">
        <v>16</v>
      </c>
      <c r="S53" s="237">
        <v>120</v>
      </c>
      <c r="T53" s="57">
        <f t="shared" si="1"/>
        <v>30</v>
      </c>
      <c r="U53" s="237">
        <v>108</v>
      </c>
      <c r="V53" s="58">
        <f t="shared" si="2"/>
        <v>3240</v>
      </c>
      <c r="W53" s="237">
        <v>1</v>
      </c>
      <c r="X53" s="55" t="s">
        <v>46</v>
      </c>
      <c r="Y53" s="55" t="s">
        <v>102</v>
      </c>
      <c r="Z53" s="55" t="s">
        <v>88</v>
      </c>
      <c r="AA53" s="55" t="s">
        <v>106</v>
      </c>
      <c r="AB53" s="55" t="s">
        <v>350</v>
      </c>
      <c r="AC53" s="55"/>
      <c r="AD53" s="55"/>
    </row>
    <row r="54" spans="1:30" x14ac:dyDescent="0.15">
      <c r="A54" s="55" t="s">
        <v>41</v>
      </c>
      <c r="B54" s="237" t="s">
        <v>348</v>
      </c>
      <c r="C54" s="152">
        <v>2018</v>
      </c>
      <c r="D54" s="56" t="s">
        <v>365</v>
      </c>
      <c r="E54" s="237" t="s">
        <v>302</v>
      </c>
      <c r="F54" s="237" t="s">
        <v>308</v>
      </c>
      <c r="G54" s="55" t="s">
        <v>42</v>
      </c>
      <c r="H54" s="55" t="s">
        <v>168</v>
      </c>
      <c r="I54" s="55" t="s">
        <v>155</v>
      </c>
      <c r="J54" s="55" t="s">
        <v>38</v>
      </c>
      <c r="K54" s="55" t="s">
        <v>156</v>
      </c>
      <c r="L54" s="237">
        <v>2</v>
      </c>
      <c r="N54" s="55">
        <v>1</v>
      </c>
      <c r="O54" s="55">
        <v>0.5</v>
      </c>
      <c r="P54" s="55">
        <v>0.65</v>
      </c>
      <c r="Q54" s="57">
        <f t="shared" si="0"/>
        <v>0.57499999999999996</v>
      </c>
      <c r="R54" s="55">
        <v>15</v>
      </c>
      <c r="S54" s="237">
        <v>123</v>
      </c>
      <c r="T54" s="57">
        <f t="shared" si="1"/>
        <v>27</v>
      </c>
      <c r="U54" s="237">
        <v>108</v>
      </c>
      <c r="V54" s="58">
        <f t="shared" si="2"/>
        <v>2916</v>
      </c>
      <c r="W54" s="237">
        <v>1</v>
      </c>
      <c r="X54" s="55" t="s">
        <v>46</v>
      </c>
      <c r="Y54" s="55" t="s">
        <v>102</v>
      </c>
      <c r="Z54" s="55" t="s">
        <v>88</v>
      </c>
      <c r="AA54" s="55" t="s">
        <v>106</v>
      </c>
      <c r="AB54" s="55" t="s">
        <v>350</v>
      </c>
      <c r="AC54" s="55"/>
      <c r="AD54" s="55"/>
    </row>
    <row r="55" spans="1:30" x14ac:dyDescent="0.15">
      <c r="A55" s="55" t="s">
        <v>41</v>
      </c>
      <c r="B55" s="237" t="s">
        <v>348</v>
      </c>
      <c r="C55" s="152">
        <v>2018</v>
      </c>
      <c r="D55" s="56" t="s">
        <v>365</v>
      </c>
      <c r="E55" s="237" t="s">
        <v>302</v>
      </c>
      <c r="F55" s="237" t="s">
        <v>308</v>
      </c>
      <c r="G55" s="55" t="s">
        <v>42</v>
      </c>
      <c r="H55" s="55" t="s">
        <v>168</v>
      </c>
      <c r="I55" s="55" t="s">
        <v>155</v>
      </c>
      <c r="J55" s="55" t="s">
        <v>38</v>
      </c>
      <c r="K55" s="55" t="s">
        <v>156</v>
      </c>
      <c r="L55" s="237">
        <v>3</v>
      </c>
      <c r="N55" s="55">
        <v>1</v>
      </c>
      <c r="O55" s="55">
        <v>0.45</v>
      </c>
      <c r="P55" s="55">
        <v>0.6</v>
      </c>
      <c r="Q55" s="57">
        <f t="shared" si="0"/>
        <v>0.52500000000000002</v>
      </c>
      <c r="R55" s="55">
        <v>14.1</v>
      </c>
      <c r="S55" s="237">
        <v>125</v>
      </c>
      <c r="T55" s="57">
        <f t="shared" si="1"/>
        <v>27</v>
      </c>
      <c r="U55" s="55">
        <v>108</v>
      </c>
      <c r="V55" s="58">
        <f t="shared" si="2"/>
        <v>2916</v>
      </c>
      <c r="W55" s="237">
        <v>1</v>
      </c>
      <c r="X55" s="55" t="s">
        <v>46</v>
      </c>
      <c r="Y55" s="55" t="s">
        <v>102</v>
      </c>
      <c r="Z55" s="55" t="s">
        <v>88</v>
      </c>
      <c r="AA55" s="55" t="s">
        <v>106</v>
      </c>
      <c r="AB55" s="55" t="s">
        <v>350</v>
      </c>
      <c r="AC55" s="55"/>
      <c r="AD55" s="55"/>
    </row>
    <row r="56" spans="1:30" x14ac:dyDescent="0.15">
      <c r="A56" s="55" t="s">
        <v>41</v>
      </c>
      <c r="B56" s="237" t="s">
        <v>348</v>
      </c>
      <c r="C56" s="152">
        <v>2018</v>
      </c>
      <c r="D56" s="56" t="s">
        <v>365</v>
      </c>
      <c r="E56" s="237" t="s">
        <v>302</v>
      </c>
      <c r="F56" s="237" t="s">
        <v>308</v>
      </c>
      <c r="G56" s="55" t="s">
        <v>42</v>
      </c>
      <c r="H56" s="55" t="s">
        <v>168</v>
      </c>
      <c r="I56" s="55" t="s">
        <v>155</v>
      </c>
      <c r="J56" s="55" t="s">
        <v>38</v>
      </c>
      <c r="K56" s="55" t="s">
        <v>156</v>
      </c>
      <c r="L56" s="237">
        <v>1</v>
      </c>
      <c r="N56" s="237">
        <v>8</v>
      </c>
      <c r="O56" s="237">
        <v>0.45</v>
      </c>
      <c r="P56" s="237">
        <v>0.6</v>
      </c>
      <c r="Q56" s="57">
        <f t="shared" si="0"/>
        <v>0.52500000000000002</v>
      </c>
      <c r="R56" s="237">
        <v>12</v>
      </c>
      <c r="S56" s="237">
        <v>115</v>
      </c>
      <c r="T56" s="57">
        <f t="shared" si="1"/>
        <v>30</v>
      </c>
      <c r="U56" s="237">
        <v>950</v>
      </c>
      <c r="V56" s="58">
        <f t="shared" si="2"/>
        <v>3562.5</v>
      </c>
      <c r="W56" s="237">
        <v>1</v>
      </c>
      <c r="X56" s="55" t="s">
        <v>46</v>
      </c>
      <c r="Y56" s="55" t="s">
        <v>102</v>
      </c>
      <c r="Z56" s="55" t="s">
        <v>88</v>
      </c>
      <c r="AA56" s="55" t="s">
        <v>106</v>
      </c>
      <c r="AB56" s="55" t="s">
        <v>350</v>
      </c>
    </row>
    <row r="57" spans="1:30" x14ac:dyDescent="0.15">
      <c r="A57" s="55" t="s">
        <v>41</v>
      </c>
      <c r="B57" s="237" t="s">
        <v>348</v>
      </c>
      <c r="C57" s="152">
        <v>2018</v>
      </c>
      <c r="D57" s="56" t="s">
        <v>365</v>
      </c>
      <c r="E57" s="237" t="s">
        <v>302</v>
      </c>
      <c r="F57" s="237" t="s">
        <v>308</v>
      </c>
      <c r="G57" s="55" t="s">
        <v>42</v>
      </c>
      <c r="H57" s="55" t="s">
        <v>168</v>
      </c>
      <c r="I57" s="55" t="s">
        <v>155</v>
      </c>
      <c r="J57" s="55" t="s">
        <v>38</v>
      </c>
      <c r="K57" s="55" t="s">
        <v>156</v>
      </c>
      <c r="L57" s="237">
        <v>2</v>
      </c>
      <c r="N57" s="237">
        <v>8</v>
      </c>
      <c r="O57" s="237">
        <v>0.7</v>
      </c>
      <c r="P57" s="237">
        <v>0.65</v>
      </c>
      <c r="Q57" s="57">
        <f t="shared" si="0"/>
        <v>0.67500000000000004</v>
      </c>
      <c r="R57" s="237">
        <v>13.7</v>
      </c>
      <c r="S57" s="237">
        <v>114</v>
      </c>
      <c r="T57" s="57">
        <f t="shared" si="1"/>
        <v>30</v>
      </c>
      <c r="U57" s="237">
        <v>950</v>
      </c>
      <c r="V57" s="58">
        <f t="shared" si="2"/>
        <v>3562.5</v>
      </c>
      <c r="W57" s="237">
        <v>1</v>
      </c>
      <c r="X57" s="55" t="s">
        <v>46</v>
      </c>
      <c r="Y57" s="55" t="s">
        <v>102</v>
      </c>
      <c r="Z57" s="55" t="s">
        <v>88</v>
      </c>
      <c r="AA57" s="55" t="s">
        <v>106</v>
      </c>
      <c r="AB57" s="55" t="s">
        <v>350</v>
      </c>
    </row>
    <row r="58" spans="1:30" x14ac:dyDescent="0.15">
      <c r="A58" s="55" t="s">
        <v>41</v>
      </c>
      <c r="B58" s="237" t="s">
        <v>348</v>
      </c>
      <c r="C58" s="152">
        <v>2018</v>
      </c>
      <c r="D58" s="56" t="s">
        <v>365</v>
      </c>
      <c r="E58" s="237" t="s">
        <v>302</v>
      </c>
      <c r="F58" s="237" t="s">
        <v>308</v>
      </c>
      <c r="G58" s="55" t="s">
        <v>42</v>
      </c>
      <c r="H58" s="55" t="s">
        <v>168</v>
      </c>
      <c r="I58" s="55" t="s">
        <v>155</v>
      </c>
      <c r="J58" s="55" t="s">
        <v>38</v>
      </c>
      <c r="K58" s="55" t="s">
        <v>156</v>
      </c>
      <c r="L58" s="237">
        <v>3</v>
      </c>
      <c r="N58" s="237">
        <v>8</v>
      </c>
      <c r="O58" s="237">
        <v>0.5</v>
      </c>
      <c r="P58" s="237">
        <v>0.45</v>
      </c>
      <c r="Q58" s="57">
        <f t="shared" si="0"/>
        <v>0.47499999999999998</v>
      </c>
      <c r="R58" s="237">
        <v>15.8</v>
      </c>
      <c r="S58" s="237">
        <v>117</v>
      </c>
      <c r="T58" s="57">
        <f t="shared" si="1"/>
        <v>30</v>
      </c>
      <c r="U58" s="237">
        <v>950</v>
      </c>
      <c r="V58" s="58">
        <f t="shared" si="2"/>
        <v>3562.5</v>
      </c>
      <c r="W58" s="237">
        <v>1</v>
      </c>
      <c r="X58" s="55" t="s">
        <v>46</v>
      </c>
      <c r="Y58" s="55" t="s">
        <v>102</v>
      </c>
      <c r="Z58" s="55" t="s">
        <v>88</v>
      </c>
      <c r="AA58" s="55" t="s">
        <v>106</v>
      </c>
      <c r="AB58" s="55" t="s">
        <v>350</v>
      </c>
    </row>
    <row r="59" spans="1:30" x14ac:dyDescent="0.15">
      <c r="A59" s="55" t="s">
        <v>41</v>
      </c>
      <c r="B59" s="237" t="s">
        <v>348</v>
      </c>
      <c r="C59" s="152">
        <v>2018</v>
      </c>
      <c r="D59" s="56" t="s">
        <v>365</v>
      </c>
      <c r="E59" s="55" t="s">
        <v>304</v>
      </c>
      <c r="F59" s="237" t="s">
        <v>310</v>
      </c>
      <c r="G59" s="55" t="s">
        <v>42</v>
      </c>
      <c r="H59" s="55" t="s">
        <v>157</v>
      </c>
      <c r="I59" s="55" t="s">
        <v>155</v>
      </c>
      <c r="J59" s="55" t="s">
        <v>38</v>
      </c>
      <c r="K59" s="55" t="s">
        <v>156</v>
      </c>
      <c r="L59" s="237">
        <v>1</v>
      </c>
      <c r="N59" s="237">
        <v>1</v>
      </c>
      <c r="O59" s="237">
        <v>0.5</v>
      </c>
      <c r="P59" s="237">
        <v>0.65</v>
      </c>
      <c r="Q59" s="57">
        <f t="shared" si="0"/>
        <v>0.57499999999999996</v>
      </c>
      <c r="R59" s="55">
        <v>15</v>
      </c>
      <c r="S59" s="55">
        <v>135</v>
      </c>
      <c r="T59" s="57">
        <f t="shared" si="1"/>
        <v>25</v>
      </c>
      <c r="U59" s="237">
        <v>105</v>
      </c>
      <c r="V59" s="58">
        <f t="shared" si="2"/>
        <v>2625</v>
      </c>
      <c r="W59" s="237">
        <v>1</v>
      </c>
      <c r="X59" s="55" t="s">
        <v>46</v>
      </c>
      <c r="Y59" s="55" t="s">
        <v>88</v>
      </c>
      <c r="Z59" s="55" t="s">
        <v>86</v>
      </c>
      <c r="AA59" s="55" t="s">
        <v>78</v>
      </c>
      <c r="AB59" s="55" t="s">
        <v>350</v>
      </c>
      <c r="AC59" s="55"/>
      <c r="AD59" s="55"/>
    </row>
    <row r="60" spans="1:30" x14ac:dyDescent="0.15">
      <c r="A60" s="55" t="s">
        <v>41</v>
      </c>
      <c r="B60" s="237" t="s">
        <v>348</v>
      </c>
      <c r="C60" s="152">
        <v>2018</v>
      </c>
      <c r="D60" s="56" t="s">
        <v>365</v>
      </c>
      <c r="E60" s="55" t="s">
        <v>304</v>
      </c>
      <c r="F60" s="237" t="s">
        <v>310</v>
      </c>
      <c r="G60" s="55" t="s">
        <v>42</v>
      </c>
      <c r="H60" s="55" t="s">
        <v>157</v>
      </c>
      <c r="I60" s="55" t="s">
        <v>155</v>
      </c>
      <c r="J60" s="55" t="s">
        <v>38</v>
      </c>
      <c r="K60" s="55" t="s">
        <v>156</v>
      </c>
      <c r="L60" s="237">
        <v>2</v>
      </c>
      <c r="N60" s="237">
        <v>1</v>
      </c>
      <c r="O60" s="237">
        <v>0.65</v>
      </c>
      <c r="P60" s="237">
        <v>0.5</v>
      </c>
      <c r="Q60" s="57">
        <f t="shared" si="0"/>
        <v>0.57499999999999996</v>
      </c>
      <c r="R60" s="55">
        <v>16.2</v>
      </c>
      <c r="S60" s="55">
        <v>137</v>
      </c>
      <c r="T60" s="57">
        <f t="shared" si="1"/>
        <v>25</v>
      </c>
      <c r="U60" s="237">
        <v>105</v>
      </c>
      <c r="V60" s="58">
        <f t="shared" si="2"/>
        <v>2625</v>
      </c>
      <c r="W60" s="237">
        <v>1</v>
      </c>
      <c r="X60" s="55" t="s">
        <v>46</v>
      </c>
      <c r="Y60" s="55" t="s">
        <v>88</v>
      </c>
      <c r="Z60" s="55" t="s">
        <v>86</v>
      </c>
      <c r="AA60" s="55" t="s">
        <v>78</v>
      </c>
      <c r="AB60" s="55" t="s">
        <v>350</v>
      </c>
      <c r="AC60" s="55"/>
      <c r="AD60" s="55"/>
    </row>
    <row r="61" spans="1:30" x14ac:dyDescent="0.15">
      <c r="A61" s="55" t="s">
        <v>41</v>
      </c>
      <c r="B61" s="237" t="s">
        <v>348</v>
      </c>
      <c r="C61" s="152">
        <v>2018</v>
      </c>
      <c r="D61" s="56" t="s">
        <v>365</v>
      </c>
      <c r="E61" s="55" t="s">
        <v>304</v>
      </c>
      <c r="F61" s="237" t="s">
        <v>310</v>
      </c>
      <c r="G61" s="55" t="s">
        <v>42</v>
      </c>
      <c r="H61" s="55" t="s">
        <v>157</v>
      </c>
      <c r="I61" s="55" t="s">
        <v>155</v>
      </c>
      <c r="J61" s="55" t="s">
        <v>38</v>
      </c>
      <c r="K61" s="55" t="s">
        <v>156</v>
      </c>
      <c r="L61" s="237">
        <v>3</v>
      </c>
      <c r="N61" s="237">
        <v>1</v>
      </c>
      <c r="O61" s="237">
        <v>0.65</v>
      </c>
      <c r="P61" s="237">
        <v>0.45</v>
      </c>
      <c r="Q61" s="57">
        <f t="shared" si="0"/>
        <v>0.55000000000000004</v>
      </c>
      <c r="R61" s="55">
        <v>14.3</v>
      </c>
      <c r="S61" s="55">
        <v>140</v>
      </c>
      <c r="T61" s="57">
        <f t="shared" si="1"/>
        <v>22</v>
      </c>
      <c r="U61" s="237">
        <v>105</v>
      </c>
      <c r="V61" s="58">
        <f t="shared" si="2"/>
        <v>2310</v>
      </c>
      <c r="W61" s="237">
        <v>1</v>
      </c>
      <c r="X61" s="55" t="s">
        <v>46</v>
      </c>
      <c r="Y61" s="55" t="s">
        <v>88</v>
      </c>
      <c r="Z61" s="55" t="s">
        <v>86</v>
      </c>
      <c r="AA61" s="55" t="s">
        <v>78</v>
      </c>
      <c r="AB61" s="55" t="s">
        <v>350</v>
      </c>
      <c r="AC61" s="55"/>
      <c r="AD61" s="55"/>
    </row>
    <row r="62" spans="1:30" x14ac:dyDescent="0.15">
      <c r="A62" s="55" t="s">
        <v>41</v>
      </c>
      <c r="B62" s="237" t="s">
        <v>348</v>
      </c>
      <c r="C62" s="152">
        <v>2018</v>
      </c>
      <c r="D62" s="56" t="s">
        <v>365</v>
      </c>
      <c r="E62" s="55" t="s">
        <v>304</v>
      </c>
      <c r="F62" s="237" t="s">
        <v>310</v>
      </c>
      <c r="G62" s="55" t="s">
        <v>42</v>
      </c>
      <c r="H62" s="55" t="s">
        <v>168</v>
      </c>
      <c r="I62" s="55" t="s">
        <v>155</v>
      </c>
      <c r="J62" s="55" t="s">
        <v>38</v>
      </c>
      <c r="K62" s="55" t="s">
        <v>156</v>
      </c>
      <c r="L62" s="237">
        <v>1</v>
      </c>
      <c r="N62" s="237">
        <v>3</v>
      </c>
      <c r="O62" s="237">
        <v>0.45</v>
      </c>
      <c r="P62" s="237">
        <v>0.65</v>
      </c>
      <c r="Q62" s="57">
        <f t="shared" si="0"/>
        <v>0.55000000000000004</v>
      </c>
      <c r="R62" s="55">
        <v>15.2</v>
      </c>
      <c r="S62" s="55">
        <v>128</v>
      </c>
      <c r="T62" s="57">
        <f t="shared" si="1"/>
        <v>27</v>
      </c>
      <c r="U62" s="237">
        <v>537</v>
      </c>
      <c r="V62" s="58">
        <f t="shared" si="2"/>
        <v>4833</v>
      </c>
      <c r="W62" s="237">
        <v>4</v>
      </c>
      <c r="X62" s="55" t="s">
        <v>46</v>
      </c>
      <c r="Y62" s="55" t="s">
        <v>88</v>
      </c>
      <c r="Z62" s="55" t="s">
        <v>86</v>
      </c>
      <c r="AA62" s="55" t="s">
        <v>78</v>
      </c>
      <c r="AB62" s="55" t="s">
        <v>350</v>
      </c>
    </row>
    <row r="63" spans="1:30" x14ac:dyDescent="0.15">
      <c r="A63" s="55" t="s">
        <v>41</v>
      </c>
      <c r="B63" s="237" t="s">
        <v>348</v>
      </c>
      <c r="C63" s="152">
        <v>2018</v>
      </c>
      <c r="D63" s="56" t="s">
        <v>365</v>
      </c>
      <c r="E63" s="55" t="s">
        <v>304</v>
      </c>
      <c r="F63" s="237" t="s">
        <v>310</v>
      </c>
      <c r="G63" s="55" t="s">
        <v>42</v>
      </c>
      <c r="H63" s="55" t="s">
        <v>168</v>
      </c>
      <c r="I63" s="55" t="s">
        <v>155</v>
      </c>
      <c r="J63" s="55" t="s">
        <v>38</v>
      </c>
      <c r="K63" s="55" t="s">
        <v>156</v>
      </c>
      <c r="L63" s="237">
        <v>2</v>
      </c>
      <c r="N63" s="237">
        <v>3</v>
      </c>
      <c r="O63" s="237">
        <v>0.4</v>
      </c>
      <c r="P63" s="237">
        <v>0.35</v>
      </c>
      <c r="Q63" s="57">
        <f t="shared" si="0"/>
        <v>0.375</v>
      </c>
      <c r="R63" s="55">
        <v>17</v>
      </c>
      <c r="S63" s="55">
        <v>131</v>
      </c>
      <c r="T63" s="57">
        <f t="shared" si="1"/>
        <v>25</v>
      </c>
      <c r="U63" s="237">
        <v>537</v>
      </c>
      <c r="V63" s="58">
        <f t="shared" si="2"/>
        <v>4475</v>
      </c>
      <c r="W63" s="237">
        <v>4</v>
      </c>
      <c r="X63" s="55" t="s">
        <v>46</v>
      </c>
      <c r="Y63" s="55" t="s">
        <v>88</v>
      </c>
      <c r="Z63" s="55" t="s">
        <v>86</v>
      </c>
      <c r="AA63" s="55" t="s">
        <v>78</v>
      </c>
      <c r="AB63" s="55" t="s">
        <v>350</v>
      </c>
    </row>
    <row r="64" spans="1:30" x14ac:dyDescent="0.15">
      <c r="A64" s="55" t="s">
        <v>41</v>
      </c>
      <c r="B64" s="237" t="s">
        <v>348</v>
      </c>
      <c r="C64" s="152">
        <v>2018</v>
      </c>
      <c r="D64" s="56" t="s">
        <v>365</v>
      </c>
      <c r="E64" s="55" t="s">
        <v>304</v>
      </c>
      <c r="F64" s="237" t="s">
        <v>310</v>
      </c>
      <c r="G64" s="55" t="s">
        <v>42</v>
      </c>
      <c r="H64" s="55" t="s">
        <v>168</v>
      </c>
      <c r="I64" s="55" t="s">
        <v>155</v>
      </c>
      <c r="J64" s="55" t="s">
        <v>38</v>
      </c>
      <c r="K64" s="55" t="s">
        <v>156</v>
      </c>
      <c r="L64" s="237">
        <v>3</v>
      </c>
      <c r="N64" s="237">
        <v>3</v>
      </c>
      <c r="O64" s="237">
        <v>0.35</v>
      </c>
      <c r="P64" s="237">
        <v>0.25</v>
      </c>
      <c r="Q64" s="57">
        <f t="shared" si="0"/>
        <v>0.3</v>
      </c>
      <c r="R64" s="55">
        <v>15.8</v>
      </c>
      <c r="S64" s="55">
        <v>133</v>
      </c>
      <c r="T64" s="57">
        <f t="shared" si="1"/>
        <v>25</v>
      </c>
      <c r="U64" s="237">
        <v>537</v>
      </c>
      <c r="V64" s="58">
        <f t="shared" si="2"/>
        <v>4475</v>
      </c>
      <c r="W64" s="237">
        <v>4</v>
      </c>
      <c r="X64" s="55" t="s">
        <v>46</v>
      </c>
      <c r="Y64" s="55" t="s">
        <v>88</v>
      </c>
      <c r="Z64" s="55" t="s">
        <v>86</v>
      </c>
      <c r="AA64" s="55" t="s">
        <v>78</v>
      </c>
      <c r="AB64" s="55" t="s">
        <v>350</v>
      </c>
    </row>
    <row r="65" spans="1:28" x14ac:dyDescent="0.15">
      <c r="A65" s="55" t="s">
        <v>41</v>
      </c>
      <c r="B65" s="237" t="s">
        <v>348</v>
      </c>
      <c r="C65" s="152">
        <v>2018</v>
      </c>
      <c r="D65" s="56" t="s">
        <v>365</v>
      </c>
      <c r="E65" s="55" t="s">
        <v>304</v>
      </c>
      <c r="F65" s="237" t="s">
        <v>310</v>
      </c>
      <c r="G65" s="55" t="s">
        <v>42</v>
      </c>
      <c r="H65" s="55" t="s">
        <v>168</v>
      </c>
      <c r="I65" s="55" t="s">
        <v>155</v>
      </c>
      <c r="J65" s="55" t="s">
        <v>38</v>
      </c>
      <c r="K65" s="55" t="s">
        <v>156</v>
      </c>
      <c r="L65" s="237">
        <v>1</v>
      </c>
      <c r="N65" s="55">
        <v>1</v>
      </c>
      <c r="O65" s="237">
        <v>0.35</v>
      </c>
      <c r="P65" s="237">
        <v>0.45</v>
      </c>
      <c r="Q65" s="57">
        <f t="shared" ref="Q65:Q91" si="5">IF(OR(O65="",P65=""),"",AVERAGE(O65,P65))</f>
        <v>0.4</v>
      </c>
      <c r="R65" s="237">
        <v>16.399999999999999</v>
      </c>
      <c r="S65" s="55">
        <v>140</v>
      </c>
      <c r="T65" s="57">
        <f t="shared" ref="T65:T97" si="6">IF(H65="","",IF(OR(H65="GREEN",H65="GK"),IF(S65&gt;=$AX$2,VLOOKUP(S65,$AX$2:$AY$10,2,1),""),IF(S65&gt;=$AZ$2,VLOOKUP(S65,$AZ$2:$BA$10,2,1),"")))</f>
        <v>22</v>
      </c>
      <c r="U65" s="237">
        <v>105</v>
      </c>
      <c r="V65" s="58">
        <f t="shared" ref="V65:V97" si="7">IF(OR(N65="",U65="",T65=""),"",U65/N65*T65)</f>
        <v>2310</v>
      </c>
      <c r="W65" s="237">
        <v>1</v>
      </c>
      <c r="X65" s="55" t="s">
        <v>46</v>
      </c>
      <c r="Y65" s="55" t="s">
        <v>88</v>
      </c>
      <c r="Z65" s="55" t="s">
        <v>86</v>
      </c>
      <c r="AA65" s="55" t="s">
        <v>78</v>
      </c>
      <c r="AB65" s="55" t="s">
        <v>350</v>
      </c>
    </row>
    <row r="66" spans="1:28" x14ac:dyDescent="0.15">
      <c r="A66" s="55" t="s">
        <v>41</v>
      </c>
      <c r="B66" s="237" t="s">
        <v>348</v>
      </c>
      <c r="C66" s="152">
        <v>2018</v>
      </c>
      <c r="D66" s="56" t="s">
        <v>365</v>
      </c>
      <c r="E66" s="55" t="s">
        <v>304</v>
      </c>
      <c r="F66" s="237" t="s">
        <v>310</v>
      </c>
      <c r="G66" s="55" t="s">
        <v>42</v>
      </c>
      <c r="H66" s="55" t="s">
        <v>168</v>
      </c>
      <c r="I66" s="55" t="s">
        <v>155</v>
      </c>
      <c r="J66" s="55" t="s">
        <v>38</v>
      </c>
      <c r="K66" s="55" t="s">
        <v>156</v>
      </c>
      <c r="L66" s="237">
        <v>2</v>
      </c>
      <c r="N66" s="55">
        <v>1</v>
      </c>
      <c r="O66" s="237">
        <v>0.45</v>
      </c>
      <c r="P66" s="237">
        <v>0.45</v>
      </c>
      <c r="Q66" s="57">
        <f t="shared" si="5"/>
        <v>0.45</v>
      </c>
      <c r="R66" s="237">
        <v>14.8</v>
      </c>
      <c r="S66" s="55">
        <v>137</v>
      </c>
      <c r="T66" s="57">
        <f t="shared" si="6"/>
        <v>25</v>
      </c>
      <c r="U66" s="237">
        <v>105</v>
      </c>
      <c r="V66" s="58">
        <f t="shared" si="7"/>
        <v>2625</v>
      </c>
      <c r="W66" s="237">
        <v>1</v>
      </c>
      <c r="X66" s="55" t="s">
        <v>46</v>
      </c>
      <c r="Y66" s="55" t="s">
        <v>88</v>
      </c>
      <c r="Z66" s="55" t="s">
        <v>86</v>
      </c>
      <c r="AA66" s="55" t="s">
        <v>78</v>
      </c>
      <c r="AB66" s="55" t="s">
        <v>350</v>
      </c>
    </row>
    <row r="67" spans="1:28" x14ac:dyDescent="0.15">
      <c r="A67" s="55" t="s">
        <v>41</v>
      </c>
      <c r="B67" s="237" t="s">
        <v>348</v>
      </c>
      <c r="C67" s="152">
        <v>2018</v>
      </c>
      <c r="D67" s="56" t="s">
        <v>365</v>
      </c>
      <c r="E67" s="55" t="s">
        <v>304</v>
      </c>
      <c r="F67" s="237" t="s">
        <v>310</v>
      </c>
      <c r="G67" s="55" t="s">
        <v>42</v>
      </c>
      <c r="H67" s="55" t="s">
        <v>168</v>
      </c>
      <c r="I67" s="55" t="s">
        <v>155</v>
      </c>
      <c r="J67" s="55" t="s">
        <v>38</v>
      </c>
      <c r="K67" s="55" t="s">
        <v>156</v>
      </c>
      <c r="L67" s="237">
        <v>3</v>
      </c>
      <c r="N67" s="237">
        <v>1</v>
      </c>
      <c r="O67" s="237">
        <v>0.5</v>
      </c>
      <c r="P67" s="237">
        <v>0.5</v>
      </c>
      <c r="Q67" s="57">
        <f t="shared" si="5"/>
        <v>0.5</v>
      </c>
      <c r="R67" s="237">
        <v>15.1</v>
      </c>
      <c r="S67" s="55">
        <v>135</v>
      </c>
      <c r="T67" s="57">
        <f t="shared" si="6"/>
        <v>25</v>
      </c>
      <c r="U67" s="237">
        <v>105</v>
      </c>
      <c r="V67" s="58">
        <f t="shared" si="7"/>
        <v>2625</v>
      </c>
      <c r="W67" s="237">
        <v>1</v>
      </c>
      <c r="X67" s="55" t="s">
        <v>46</v>
      </c>
      <c r="Y67" s="55" t="s">
        <v>88</v>
      </c>
      <c r="Z67" s="55" t="s">
        <v>86</v>
      </c>
      <c r="AA67" s="55" t="s">
        <v>78</v>
      </c>
      <c r="AB67" s="55" t="s">
        <v>350</v>
      </c>
    </row>
    <row r="68" spans="1:28" x14ac:dyDescent="0.15">
      <c r="A68" s="55" t="s">
        <v>41</v>
      </c>
      <c r="B68" s="237" t="s">
        <v>348</v>
      </c>
      <c r="C68" s="152">
        <v>2018</v>
      </c>
      <c r="D68" s="56" t="s">
        <v>365</v>
      </c>
      <c r="E68" s="237" t="s">
        <v>305</v>
      </c>
      <c r="F68" s="237" t="s">
        <v>311</v>
      </c>
      <c r="G68" s="55" t="s">
        <v>42</v>
      </c>
      <c r="H68" s="55" t="s">
        <v>157</v>
      </c>
      <c r="I68" s="55" t="s">
        <v>155</v>
      </c>
      <c r="J68" s="55" t="s">
        <v>38</v>
      </c>
      <c r="K68" s="55" t="s">
        <v>156</v>
      </c>
      <c r="L68" s="237">
        <v>1</v>
      </c>
      <c r="N68" s="237">
        <v>1</v>
      </c>
      <c r="O68" s="237">
        <v>0.6</v>
      </c>
      <c r="P68" s="237">
        <v>0.75</v>
      </c>
      <c r="Q68" s="57">
        <f t="shared" si="5"/>
        <v>0.67500000000000004</v>
      </c>
      <c r="R68" s="237">
        <v>15</v>
      </c>
      <c r="S68" s="55">
        <v>130</v>
      </c>
      <c r="T68" s="57">
        <f t="shared" si="6"/>
        <v>25</v>
      </c>
      <c r="U68" s="237">
        <v>105</v>
      </c>
      <c r="V68" s="58">
        <f t="shared" si="7"/>
        <v>2625</v>
      </c>
      <c r="W68" s="237">
        <v>2</v>
      </c>
      <c r="X68" s="55" t="s">
        <v>46</v>
      </c>
      <c r="Y68" s="55" t="s">
        <v>78</v>
      </c>
      <c r="Z68" s="55" t="s">
        <v>88</v>
      </c>
      <c r="AA68" s="55" t="s">
        <v>102</v>
      </c>
      <c r="AB68" s="55" t="s">
        <v>350</v>
      </c>
    </row>
    <row r="69" spans="1:28" x14ac:dyDescent="0.15">
      <c r="A69" s="55" t="s">
        <v>41</v>
      </c>
      <c r="B69" s="237" t="s">
        <v>348</v>
      </c>
      <c r="C69" s="152">
        <v>2018</v>
      </c>
      <c r="D69" s="56" t="s">
        <v>365</v>
      </c>
      <c r="E69" s="237" t="s">
        <v>305</v>
      </c>
      <c r="F69" s="237" t="s">
        <v>311</v>
      </c>
      <c r="G69" s="55" t="s">
        <v>42</v>
      </c>
      <c r="H69" s="55" t="s">
        <v>157</v>
      </c>
      <c r="I69" s="55" t="s">
        <v>155</v>
      </c>
      <c r="J69" s="55" t="s">
        <v>38</v>
      </c>
      <c r="K69" s="55" t="s">
        <v>156</v>
      </c>
      <c r="L69" s="237">
        <v>2</v>
      </c>
      <c r="N69" s="237">
        <v>1</v>
      </c>
      <c r="O69" s="237">
        <v>0.6</v>
      </c>
      <c r="P69" s="237">
        <v>0.65</v>
      </c>
      <c r="Q69" s="57">
        <f t="shared" si="5"/>
        <v>0.625</v>
      </c>
      <c r="R69" s="237">
        <v>13.8</v>
      </c>
      <c r="S69" s="55">
        <v>137</v>
      </c>
      <c r="T69" s="57">
        <f t="shared" si="6"/>
        <v>25</v>
      </c>
      <c r="U69" s="237">
        <v>105</v>
      </c>
      <c r="V69" s="58">
        <f t="shared" si="7"/>
        <v>2625</v>
      </c>
      <c r="W69" s="237">
        <v>2</v>
      </c>
      <c r="X69" s="55" t="s">
        <v>46</v>
      </c>
      <c r="Y69" s="55" t="s">
        <v>78</v>
      </c>
      <c r="Z69" s="55" t="s">
        <v>88</v>
      </c>
      <c r="AA69" s="55" t="s">
        <v>102</v>
      </c>
      <c r="AB69" s="55" t="s">
        <v>350</v>
      </c>
    </row>
    <row r="70" spans="1:28" x14ac:dyDescent="0.15">
      <c r="A70" s="55" t="s">
        <v>41</v>
      </c>
      <c r="B70" s="237" t="s">
        <v>348</v>
      </c>
      <c r="C70" s="152">
        <v>2018</v>
      </c>
      <c r="D70" s="56" t="s">
        <v>365</v>
      </c>
      <c r="E70" s="237" t="s">
        <v>305</v>
      </c>
      <c r="F70" s="237" t="s">
        <v>311</v>
      </c>
      <c r="G70" s="55" t="s">
        <v>42</v>
      </c>
      <c r="H70" s="55" t="s">
        <v>157</v>
      </c>
      <c r="I70" s="55" t="s">
        <v>155</v>
      </c>
      <c r="J70" s="55" t="s">
        <v>38</v>
      </c>
      <c r="K70" s="55" t="s">
        <v>156</v>
      </c>
      <c r="L70" s="237">
        <v>3</v>
      </c>
      <c r="N70" s="237">
        <v>1</v>
      </c>
      <c r="O70" s="237">
        <v>0.55000000000000004</v>
      </c>
      <c r="P70" s="237">
        <v>0.6</v>
      </c>
      <c r="Q70" s="57">
        <f t="shared" si="5"/>
        <v>0.57499999999999996</v>
      </c>
      <c r="R70" s="237">
        <v>12.9</v>
      </c>
      <c r="S70" s="55">
        <v>135</v>
      </c>
      <c r="T70" s="57">
        <f t="shared" si="6"/>
        <v>25</v>
      </c>
      <c r="U70" s="237">
        <v>105</v>
      </c>
      <c r="V70" s="58">
        <f t="shared" si="7"/>
        <v>2625</v>
      </c>
      <c r="W70" s="237">
        <v>2</v>
      </c>
      <c r="X70" s="55" t="s">
        <v>46</v>
      </c>
      <c r="Y70" s="55" t="s">
        <v>78</v>
      </c>
      <c r="Z70" s="55" t="s">
        <v>88</v>
      </c>
      <c r="AA70" s="55" t="s">
        <v>102</v>
      </c>
      <c r="AB70" s="55" t="s">
        <v>350</v>
      </c>
    </row>
    <row r="71" spans="1:28" x14ac:dyDescent="0.15">
      <c r="A71" s="55" t="s">
        <v>41</v>
      </c>
      <c r="B71" s="237" t="s">
        <v>348</v>
      </c>
      <c r="C71" s="152">
        <v>2018</v>
      </c>
      <c r="D71" s="56" t="s">
        <v>365</v>
      </c>
      <c r="E71" s="237" t="s">
        <v>305</v>
      </c>
      <c r="F71" s="237" t="s">
        <v>311</v>
      </c>
      <c r="G71" s="55" t="s">
        <v>42</v>
      </c>
      <c r="H71" s="55" t="s">
        <v>168</v>
      </c>
      <c r="I71" s="55" t="s">
        <v>155</v>
      </c>
      <c r="J71" s="55" t="s">
        <v>38</v>
      </c>
      <c r="K71" s="55" t="s">
        <v>156</v>
      </c>
      <c r="L71" s="237">
        <v>1</v>
      </c>
      <c r="N71" s="237">
        <v>1</v>
      </c>
      <c r="O71" s="237">
        <v>0.35</v>
      </c>
      <c r="P71" s="237">
        <v>0.45</v>
      </c>
      <c r="Q71" s="57">
        <f t="shared" si="5"/>
        <v>0.4</v>
      </c>
      <c r="R71" s="237">
        <v>14.5</v>
      </c>
      <c r="S71" s="237">
        <v>140</v>
      </c>
      <c r="T71" s="57">
        <f t="shared" si="6"/>
        <v>22</v>
      </c>
      <c r="U71" s="237">
        <v>138</v>
      </c>
      <c r="V71" s="58">
        <f t="shared" si="7"/>
        <v>3036</v>
      </c>
      <c r="W71" s="237">
        <v>2</v>
      </c>
      <c r="X71" s="55" t="s">
        <v>46</v>
      </c>
      <c r="Y71" s="55" t="s">
        <v>78</v>
      </c>
      <c r="Z71" s="55" t="s">
        <v>88</v>
      </c>
      <c r="AA71" s="55" t="s">
        <v>102</v>
      </c>
      <c r="AB71" s="55" t="s">
        <v>350</v>
      </c>
    </row>
    <row r="72" spans="1:28" x14ac:dyDescent="0.15">
      <c r="A72" s="55" t="s">
        <v>41</v>
      </c>
      <c r="B72" s="237" t="s">
        <v>348</v>
      </c>
      <c r="C72" s="152">
        <v>2018</v>
      </c>
      <c r="D72" s="56" t="s">
        <v>365</v>
      </c>
      <c r="E72" s="237" t="s">
        <v>305</v>
      </c>
      <c r="F72" s="237" t="s">
        <v>311</v>
      </c>
      <c r="G72" s="55" t="s">
        <v>42</v>
      </c>
      <c r="H72" s="55" t="s">
        <v>168</v>
      </c>
      <c r="I72" s="55" t="s">
        <v>155</v>
      </c>
      <c r="J72" s="55" t="s">
        <v>38</v>
      </c>
      <c r="K72" s="55" t="s">
        <v>156</v>
      </c>
      <c r="L72" s="237">
        <v>2</v>
      </c>
      <c r="N72" s="237">
        <v>1</v>
      </c>
      <c r="O72" s="237">
        <v>0.3</v>
      </c>
      <c r="P72" s="237">
        <v>0.4</v>
      </c>
      <c r="Q72" s="57">
        <f t="shared" si="5"/>
        <v>0.35</v>
      </c>
      <c r="R72" s="237">
        <v>16.5</v>
      </c>
      <c r="S72" s="237">
        <v>144</v>
      </c>
      <c r="T72" s="57">
        <f t="shared" si="6"/>
        <v>22</v>
      </c>
      <c r="U72" s="237">
        <v>138</v>
      </c>
      <c r="V72" s="58">
        <f t="shared" si="7"/>
        <v>3036</v>
      </c>
      <c r="W72" s="237">
        <v>2</v>
      </c>
      <c r="X72" s="55" t="s">
        <v>46</v>
      </c>
      <c r="Y72" s="55" t="s">
        <v>78</v>
      </c>
      <c r="Z72" s="55" t="s">
        <v>88</v>
      </c>
      <c r="AA72" s="55" t="s">
        <v>102</v>
      </c>
      <c r="AB72" s="55" t="s">
        <v>350</v>
      </c>
    </row>
    <row r="73" spans="1:28" x14ac:dyDescent="0.15">
      <c r="A73" s="55" t="s">
        <v>41</v>
      </c>
      <c r="B73" s="237" t="s">
        <v>348</v>
      </c>
      <c r="C73" s="152">
        <v>2018</v>
      </c>
      <c r="D73" s="56" t="s">
        <v>365</v>
      </c>
      <c r="E73" s="237" t="s">
        <v>305</v>
      </c>
      <c r="F73" s="237" t="s">
        <v>311</v>
      </c>
      <c r="G73" s="55" t="s">
        <v>42</v>
      </c>
      <c r="H73" s="55" t="s">
        <v>168</v>
      </c>
      <c r="I73" s="55" t="s">
        <v>155</v>
      </c>
      <c r="J73" s="55" t="s">
        <v>38</v>
      </c>
      <c r="K73" s="55" t="s">
        <v>156</v>
      </c>
      <c r="L73" s="237">
        <v>3</v>
      </c>
      <c r="N73" s="237">
        <v>1</v>
      </c>
      <c r="O73" s="237">
        <v>0.45</v>
      </c>
      <c r="P73" s="237">
        <v>0.55000000000000004</v>
      </c>
      <c r="Q73" s="57">
        <f t="shared" si="5"/>
        <v>0.5</v>
      </c>
      <c r="R73" s="237">
        <v>16</v>
      </c>
      <c r="S73" s="237">
        <v>138</v>
      </c>
      <c r="T73" s="57">
        <f t="shared" si="6"/>
        <v>22</v>
      </c>
      <c r="U73" s="237">
        <v>138</v>
      </c>
      <c r="V73" s="58">
        <f t="shared" si="7"/>
        <v>3036</v>
      </c>
      <c r="W73" s="237">
        <v>2</v>
      </c>
      <c r="X73" s="55" t="s">
        <v>46</v>
      </c>
      <c r="Y73" s="55" t="s">
        <v>78</v>
      </c>
      <c r="Z73" s="55" t="s">
        <v>88</v>
      </c>
      <c r="AA73" s="55" t="s">
        <v>102</v>
      </c>
      <c r="AB73" s="55" t="s">
        <v>350</v>
      </c>
    </row>
    <row r="74" spans="1:28" x14ac:dyDescent="0.15">
      <c r="A74" s="55" t="s">
        <v>41</v>
      </c>
      <c r="B74" s="237" t="s">
        <v>348</v>
      </c>
      <c r="C74" s="152">
        <v>2018</v>
      </c>
      <c r="D74" s="56" t="s">
        <v>365</v>
      </c>
      <c r="E74" s="237" t="s">
        <v>175</v>
      </c>
      <c r="F74" s="237" t="s">
        <v>312</v>
      </c>
      <c r="G74" s="55" t="s">
        <v>42</v>
      </c>
      <c r="H74" s="55" t="s">
        <v>168</v>
      </c>
      <c r="I74" s="55" t="s">
        <v>155</v>
      </c>
      <c r="J74" s="55" t="s">
        <v>38</v>
      </c>
      <c r="K74" s="55" t="s">
        <v>156</v>
      </c>
      <c r="L74" s="237">
        <v>1</v>
      </c>
      <c r="N74" s="237">
        <v>1</v>
      </c>
      <c r="O74" s="237">
        <v>0.35</v>
      </c>
      <c r="P74" s="237">
        <v>0.3</v>
      </c>
      <c r="Q74" s="57">
        <f t="shared" si="5"/>
        <v>0.32499999999999996</v>
      </c>
      <c r="R74" s="237">
        <v>13.8</v>
      </c>
      <c r="S74" s="237">
        <v>132</v>
      </c>
      <c r="T74" s="57">
        <f t="shared" si="6"/>
        <v>25</v>
      </c>
      <c r="U74" s="237">
        <v>137</v>
      </c>
      <c r="V74" s="58">
        <f t="shared" si="7"/>
        <v>3425</v>
      </c>
      <c r="W74" s="237">
        <v>1</v>
      </c>
      <c r="X74" s="55" t="s">
        <v>46</v>
      </c>
      <c r="Y74" s="55" t="s">
        <v>102</v>
      </c>
      <c r="Z74" s="55" t="s">
        <v>78</v>
      </c>
      <c r="AA74" s="55" t="s">
        <v>88</v>
      </c>
      <c r="AB74" s="55" t="s">
        <v>350</v>
      </c>
    </row>
    <row r="75" spans="1:28" x14ac:dyDescent="0.15">
      <c r="A75" s="55" t="s">
        <v>41</v>
      </c>
      <c r="B75" s="237" t="s">
        <v>348</v>
      </c>
      <c r="C75" s="152">
        <v>2018</v>
      </c>
      <c r="D75" s="56" t="s">
        <v>365</v>
      </c>
      <c r="E75" s="237" t="s">
        <v>175</v>
      </c>
      <c r="F75" s="237" t="s">
        <v>312</v>
      </c>
      <c r="G75" s="55" t="s">
        <v>42</v>
      </c>
      <c r="H75" s="55" t="s">
        <v>168</v>
      </c>
      <c r="I75" s="55" t="s">
        <v>155</v>
      </c>
      <c r="J75" s="55" t="s">
        <v>38</v>
      </c>
      <c r="K75" s="55" t="s">
        <v>156</v>
      </c>
      <c r="L75" s="237">
        <v>2</v>
      </c>
      <c r="N75" s="237">
        <v>1</v>
      </c>
      <c r="O75" s="237">
        <v>0.35</v>
      </c>
      <c r="P75" s="237">
        <v>0.25</v>
      </c>
      <c r="Q75" s="57">
        <f t="shared" si="5"/>
        <v>0.3</v>
      </c>
      <c r="R75" s="237">
        <v>17.399999999999999</v>
      </c>
      <c r="S75" s="237">
        <v>130</v>
      </c>
      <c r="T75" s="57">
        <f t="shared" si="6"/>
        <v>25</v>
      </c>
      <c r="U75" s="237">
        <v>137</v>
      </c>
      <c r="V75" s="58">
        <f t="shared" si="7"/>
        <v>3425</v>
      </c>
      <c r="W75" s="237">
        <v>1</v>
      </c>
      <c r="X75" s="55" t="s">
        <v>46</v>
      </c>
      <c r="Y75" s="55" t="s">
        <v>102</v>
      </c>
      <c r="Z75" s="55" t="s">
        <v>78</v>
      </c>
      <c r="AA75" s="55" t="s">
        <v>88</v>
      </c>
      <c r="AB75" s="55" t="s">
        <v>350</v>
      </c>
    </row>
    <row r="76" spans="1:28" x14ac:dyDescent="0.15">
      <c r="A76" s="55" t="s">
        <v>41</v>
      </c>
      <c r="B76" s="237" t="s">
        <v>348</v>
      </c>
      <c r="C76" s="152">
        <v>2018</v>
      </c>
      <c r="D76" s="56" t="s">
        <v>365</v>
      </c>
      <c r="E76" s="237" t="s">
        <v>175</v>
      </c>
      <c r="F76" s="237" t="s">
        <v>312</v>
      </c>
      <c r="G76" s="55" t="s">
        <v>42</v>
      </c>
      <c r="H76" s="55" t="s">
        <v>168</v>
      </c>
      <c r="I76" s="55" t="s">
        <v>155</v>
      </c>
      <c r="J76" s="55" t="s">
        <v>38</v>
      </c>
      <c r="K76" s="55" t="s">
        <v>156</v>
      </c>
      <c r="L76" s="237">
        <v>3</v>
      </c>
      <c r="N76" s="237">
        <v>1</v>
      </c>
      <c r="O76" s="237">
        <v>0.35</v>
      </c>
      <c r="P76" s="237">
        <v>0.25</v>
      </c>
      <c r="Q76" s="57">
        <f t="shared" si="5"/>
        <v>0.3</v>
      </c>
      <c r="R76" s="237">
        <v>16.8</v>
      </c>
      <c r="S76" s="237">
        <v>128</v>
      </c>
      <c r="T76" s="57">
        <f t="shared" si="6"/>
        <v>27</v>
      </c>
      <c r="U76" s="237">
        <v>137</v>
      </c>
      <c r="V76" s="58">
        <f t="shared" si="7"/>
        <v>3699</v>
      </c>
      <c r="W76" s="237">
        <v>1</v>
      </c>
      <c r="X76" s="55" t="s">
        <v>46</v>
      </c>
      <c r="Y76" s="55" t="s">
        <v>102</v>
      </c>
      <c r="Z76" s="55" t="s">
        <v>78</v>
      </c>
      <c r="AA76" s="55" t="s">
        <v>88</v>
      </c>
      <c r="AB76" s="55" t="s">
        <v>350</v>
      </c>
    </row>
    <row r="77" spans="1:28" x14ac:dyDescent="0.15">
      <c r="A77" s="55" t="s">
        <v>41</v>
      </c>
      <c r="B77" s="237" t="s">
        <v>348</v>
      </c>
      <c r="C77" s="152">
        <v>2018</v>
      </c>
      <c r="D77" s="56" t="s">
        <v>365</v>
      </c>
      <c r="E77" s="237" t="s">
        <v>175</v>
      </c>
      <c r="F77" s="237" t="s">
        <v>312</v>
      </c>
      <c r="G77" s="55" t="s">
        <v>42</v>
      </c>
      <c r="H77" s="55" t="s">
        <v>168</v>
      </c>
      <c r="I77" s="55" t="s">
        <v>155</v>
      </c>
      <c r="J77" s="55" t="s">
        <v>38</v>
      </c>
      <c r="K77" s="55" t="s">
        <v>156</v>
      </c>
      <c r="L77" s="237">
        <v>1</v>
      </c>
      <c r="N77" s="237">
        <v>5</v>
      </c>
      <c r="O77" s="55">
        <v>0.8</v>
      </c>
      <c r="P77" s="55">
        <v>0.9</v>
      </c>
      <c r="Q77" s="82">
        <f t="shared" si="5"/>
        <v>0.85000000000000009</v>
      </c>
      <c r="R77" s="55">
        <v>16.5</v>
      </c>
      <c r="S77" s="55">
        <v>120</v>
      </c>
      <c r="T77" s="57">
        <f t="shared" si="6"/>
        <v>30</v>
      </c>
      <c r="U77" s="237">
        <v>471</v>
      </c>
      <c r="V77" s="58">
        <f t="shared" si="7"/>
        <v>2826</v>
      </c>
      <c r="W77" s="237">
        <v>1</v>
      </c>
      <c r="X77" s="55" t="s">
        <v>46</v>
      </c>
      <c r="Y77" s="55" t="s">
        <v>102</v>
      </c>
      <c r="Z77" s="55" t="s">
        <v>78</v>
      </c>
      <c r="AA77" s="55" t="s">
        <v>88</v>
      </c>
      <c r="AB77" s="55" t="s">
        <v>350</v>
      </c>
    </row>
    <row r="78" spans="1:28" x14ac:dyDescent="0.15">
      <c r="A78" s="55" t="s">
        <v>41</v>
      </c>
      <c r="B78" s="237" t="s">
        <v>348</v>
      </c>
      <c r="C78" s="152">
        <v>2018</v>
      </c>
      <c r="D78" s="56" t="s">
        <v>365</v>
      </c>
      <c r="E78" s="237" t="s">
        <v>175</v>
      </c>
      <c r="F78" s="237" t="s">
        <v>312</v>
      </c>
      <c r="G78" s="55" t="s">
        <v>42</v>
      </c>
      <c r="H78" s="55" t="s">
        <v>168</v>
      </c>
      <c r="I78" s="55" t="s">
        <v>155</v>
      </c>
      <c r="J78" s="55" t="s">
        <v>38</v>
      </c>
      <c r="K78" s="55" t="s">
        <v>156</v>
      </c>
      <c r="L78" s="237">
        <v>2</v>
      </c>
      <c r="N78" s="237">
        <v>5</v>
      </c>
      <c r="O78" s="55">
        <v>0.65</v>
      </c>
      <c r="P78" s="55">
        <v>0.7</v>
      </c>
      <c r="Q78" s="82">
        <f t="shared" si="5"/>
        <v>0.67500000000000004</v>
      </c>
      <c r="R78" s="55">
        <v>17.399999999999999</v>
      </c>
      <c r="S78" s="55">
        <v>119</v>
      </c>
      <c r="T78" s="57">
        <f t="shared" si="6"/>
        <v>30</v>
      </c>
      <c r="U78" s="237">
        <v>471</v>
      </c>
      <c r="V78" s="58">
        <f t="shared" si="7"/>
        <v>2826</v>
      </c>
      <c r="W78" s="237">
        <v>1</v>
      </c>
      <c r="X78" s="55" t="s">
        <v>46</v>
      </c>
      <c r="Y78" s="55" t="s">
        <v>102</v>
      </c>
      <c r="Z78" s="55" t="s">
        <v>78</v>
      </c>
      <c r="AA78" s="55" t="s">
        <v>88</v>
      </c>
      <c r="AB78" s="55" t="s">
        <v>350</v>
      </c>
    </row>
    <row r="79" spans="1:28" x14ac:dyDescent="0.15">
      <c r="A79" s="55" t="s">
        <v>41</v>
      </c>
      <c r="B79" s="237" t="s">
        <v>348</v>
      </c>
      <c r="C79" s="152">
        <v>2018</v>
      </c>
      <c r="D79" s="56" t="s">
        <v>365</v>
      </c>
      <c r="E79" s="237" t="s">
        <v>175</v>
      </c>
      <c r="F79" s="237" t="s">
        <v>312</v>
      </c>
      <c r="G79" s="55" t="s">
        <v>42</v>
      </c>
      <c r="H79" s="55" t="s">
        <v>168</v>
      </c>
      <c r="I79" s="55" t="s">
        <v>155</v>
      </c>
      <c r="J79" s="55" t="s">
        <v>38</v>
      </c>
      <c r="K79" s="55" t="s">
        <v>156</v>
      </c>
      <c r="L79" s="237">
        <v>3</v>
      </c>
      <c r="N79" s="237">
        <v>5</v>
      </c>
      <c r="O79" s="55">
        <v>0.85</v>
      </c>
      <c r="P79" s="55">
        <v>0.8</v>
      </c>
      <c r="Q79" s="82">
        <f t="shared" si="5"/>
        <v>0.82499999999999996</v>
      </c>
      <c r="R79" s="55">
        <v>15.8</v>
      </c>
      <c r="S79" s="55">
        <v>119</v>
      </c>
      <c r="T79" s="57">
        <f t="shared" si="6"/>
        <v>30</v>
      </c>
      <c r="U79" s="237">
        <v>471</v>
      </c>
      <c r="V79" s="58">
        <f t="shared" si="7"/>
        <v>2826</v>
      </c>
      <c r="W79" s="237">
        <v>1</v>
      </c>
      <c r="X79" s="55" t="s">
        <v>46</v>
      </c>
      <c r="Y79" s="55" t="s">
        <v>102</v>
      </c>
      <c r="Z79" s="55" t="s">
        <v>78</v>
      </c>
      <c r="AA79" s="55" t="s">
        <v>88</v>
      </c>
      <c r="AB79" s="55" t="s">
        <v>350</v>
      </c>
    </row>
    <row r="80" spans="1:28" x14ac:dyDescent="0.15">
      <c r="A80" s="55" t="s">
        <v>41</v>
      </c>
      <c r="B80" s="237" t="s">
        <v>348</v>
      </c>
      <c r="C80" s="152">
        <v>2018</v>
      </c>
      <c r="D80" s="56" t="s">
        <v>365</v>
      </c>
      <c r="E80" s="237" t="s">
        <v>175</v>
      </c>
      <c r="F80" s="237" t="s">
        <v>312</v>
      </c>
      <c r="G80" s="55" t="s">
        <v>42</v>
      </c>
      <c r="H80" s="55" t="s">
        <v>157</v>
      </c>
      <c r="I80" s="55" t="s">
        <v>155</v>
      </c>
      <c r="J80" s="55" t="s">
        <v>38</v>
      </c>
      <c r="K80" s="55" t="s">
        <v>156</v>
      </c>
      <c r="L80" s="237">
        <v>1</v>
      </c>
      <c r="N80" s="237">
        <v>1</v>
      </c>
      <c r="O80" s="55">
        <v>0.45</v>
      </c>
      <c r="P80" s="259">
        <v>0.65</v>
      </c>
      <c r="Q80" s="256">
        <f t="shared" si="5"/>
        <v>0.55000000000000004</v>
      </c>
      <c r="R80" s="55">
        <v>16.399999999999999</v>
      </c>
      <c r="S80" s="55">
        <v>130</v>
      </c>
      <c r="T80" s="57">
        <f t="shared" si="6"/>
        <v>25</v>
      </c>
      <c r="U80" s="237">
        <v>137</v>
      </c>
      <c r="V80" s="58">
        <f t="shared" si="7"/>
        <v>3425</v>
      </c>
      <c r="W80" s="237">
        <v>1</v>
      </c>
      <c r="X80" s="55" t="s">
        <v>46</v>
      </c>
      <c r="Y80" s="55" t="s">
        <v>102</v>
      </c>
      <c r="Z80" s="55" t="s">
        <v>78</v>
      </c>
      <c r="AA80" s="55" t="s">
        <v>88</v>
      </c>
      <c r="AB80" s="55" t="s">
        <v>350</v>
      </c>
    </row>
    <row r="81" spans="1:28" x14ac:dyDescent="0.15">
      <c r="A81" s="55" t="s">
        <v>41</v>
      </c>
      <c r="B81" s="237" t="s">
        <v>348</v>
      </c>
      <c r="C81" s="152">
        <v>2018</v>
      </c>
      <c r="D81" s="56" t="s">
        <v>365</v>
      </c>
      <c r="E81" s="237" t="s">
        <v>175</v>
      </c>
      <c r="F81" s="237" t="s">
        <v>312</v>
      </c>
      <c r="G81" s="55" t="s">
        <v>42</v>
      </c>
      <c r="H81" s="55" t="s">
        <v>157</v>
      </c>
      <c r="I81" s="55" t="s">
        <v>155</v>
      </c>
      <c r="J81" s="55" t="s">
        <v>38</v>
      </c>
      <c r="K81" s="55" t="s">
        <v>156</v>
      </c>
      <c r="L81" s="237">
        <v>2</v>
      </c>
      <c r="N81" s="237">
        <v>1</v>
      </c>
      <c r="O81" s="55">
        <v>0.4</v>
      </c>
      <c r="P81" s="55">
        <v>0.55000000000000004</v>
      </c>
      <c r="Q81" s="256">
        <f t="shared" si="5"/>
        <v>0.47500000000000003</v>
      </c>
      <c r="R81" s="55">
        <v>15</v>
      </c>
      <c r="S81" s="55">
        <v>129</v>
      </c>
      <c r="T81" s="57">
        <f t="shared" si="6"/>
        <v>25</v>
      </c>
      <c r="U81" s="237">
        <v>137</v>
      </c>
      <c r="V81" s="58">
        <f t="shared" si="7"/>
        <v>3425</v>
      </c>
      <c r="W81" s="237">
        <v>1</v>
      </c>
      <c r="X81" s="55" t="s">
        <v>46</v>
      </c>
      <c r="Y81" s="55" t="s">
        <v>102</v>
      </c>
      <c r="Z81" s="55" t="s">
        <v>78</v>
      </c>
      <c r="AA81" s="55" t="s">
        <v>88</v>
      </c>
      <c r="AB81" s="55" t="s">
        <v>350</v>
      </c>
    </row>
    <row r="82" spans="1:28" x14ac:dyDescent="0.15">
      <c r="A82" s="55" t="s">
        <v>41</v>
      </c>
      <c r="B82" s="237" t="s">
        <v>348</v>
      </c>
      <c r="C82" s="152">
        <v>2018</v>
      </c>
      <c r="D82" s="56" t="s">
        <v>365</v>
      </c>
      <c r="E82" s="237" t="s">
        <v>175</v>
      </c>
      <c r="F82" s="237" t="s">
        <v>312</v>
      </c>
      <c r="G82" s="55" t="s">
        <v>42</v>
      </c>
      <c r="H82" s="55" t="s">
        <v>157</v>
      </c>
      <c r="I82" s="55" t="s">
        <v>155</v>
      </c>
      <c r="J82" s="55" t="s">
        <v>38</v>
      </c>
      <c r="K82" s="55" t="s">
        <v>156</v>
      </c>
      <c r="L82" s="237">
        <v>3</v>
      </c>
      <c r="N82" s="237">
        <v>1</v>
      </c>
      <c r="O82" s="55">
        <v>0.5</v>
      </c>
      <c r="P82" s="55">
        <v>0.55000000000000004</v>
      </c>
      <c r="Q82" s="256">
        <f t="shared" si="5"/>
        <v>0.52500000000000002</v>
      </c>
      <c r="R82" s="55">
        <v>14.5</v>
      </c>
      <c r="S82" s="55">
        <v>128</v>
      </c>
      <c r="T82" s="57">
        <f t="shared" si="6"/>
        <v>27</v>
      </c>
      <c r="U82" s="237">
        <v>137</v>
      </c>
      <c r="V82" s="58">
        <f t="shared" si="7"/>
        <v>3699</v>
      </c>
      <c r="W82" s="237">
        <v>1</v>
      </c>
      <c r="X82" s="55" t="s">
        <v>46</v>
      </c>
      <c r="Y82" s="55" t="s">
        <v>102</v>
      </c>
      <c r="Z82" s="55" t="s">
        <v>78</v>
      </c>
      <c r="AA82" s="55" t="s">
        <v>88</v>
      </c>
      <c r="AB82" s="55" t="s">
        <v>350</v>
      </c>
    </row>
    <row r="83" spans="1:28" x14ac:dyDescent="0.15">
      <c r="A83" s="55" t="s">
        <v>41</v>
      </c>
      <c r="B83" s="237" t="s">
        <v>348</v>
      </c>
      <c r="C83" s="152">
        <v>2018</v>
      </c>
      <c r="D83" s="56" t="s">
        <v>365</v>
      </c>
      <c r="E83" s="237" t="s">
        <v>175</v>
      </c>
      <c r="F83" s="237" t="s">
        <v>312</v>
      </c>
      <c r="G83" s="55" t="s">
        <v>42</v>
      </c>
      <c r="H83" s="55" t="s">
        <v>157</v>
      </c>
      <c r="I83" s="55" t="s">
        <v>158</v>
      </c>
      <c r="J83" s="55" t="s">
        <v>38</v>
      </c>
      <c r="K83" s="55" t="s">
        <v>156</v>
      </c>
      <c r="L83" s="237">
        <v>1</v>
      </c>
      <c r="N83" s="237">
        <v>5</v>
      </c>
      <c r="O83" s="55">
        <v>0.8</v>
      </c>
      <c r="P83" s="55">
        <v>0.75</v>
      </c>
      <c r="Q83" s="57">
        <f t="shared" si="5"/>
        <v>0.77500000000000002</v>
      </c>
      <c r="R83" s="237">
        <v>15.5</v>
      </c>
      <c r="S83" s="237">
        <v>118</v>
      </c>
      <c r="T83" s="57">
        <f t="shared" si="6"/>
        <v>30</v>
      </c>
      <c r="U83" s="237">
        <v>471</v>
      </c>
      <c r="V83" s="58">
        <f t="shared" si="7"/>
        <v>2826</v>
      </c>
      <c r="W83" s="237">
        <v>1</v>
      </c>
      <c r="X83" s="55" t="s">
        <v>46</v>
      </c>
      <c r="Y83" s="55" t="s">
        <v>102</v>
      </c>
      <c r="Z83" s="55" t="s">
        <v>78</v>
      </c>
      <c r="AA83" s="55" t="s">
        <v>88</v>
      </c>
      <c r="AB83" s="55" t="s">
        <v>350</v>
      </c>
    </row>
    <row r="84" spans="1:28" x14ac:dyDescent="0.15">
      <c r="A84" s="55" t="s">
        <v>41</v>
      </c>
      <c r="B84" s="237" t="s">
        <v>348</v>
      </c>
      <c r="C84" s="152">
        <v>2018</v>
      </c>
      <c r="D84" s="56" t="s">
        <v>365</v>
      </c>
      <c r="E84" s="237" t="s">
        <v>175</v>
      </c>
      <c r="F84" s="237" t="s">
        <v>312</v>
      </c>
      <c r="G84" s="55" t="s">
        <v>42</v>
      </c>
      <c r="H84" s="55" t="s">
        <v>157</v>
      </c>
      <c r="I84" s="55" t="s">
        <v>158</v>
      </c>
      <c r="J84" s="55" t="s">
        <v>38</v>
      </c>
      <c r="K84" s="55" t="s">
        <v>156</v>
      </c>
      <c r="L84" s="237">
        <v>2</v>
      </c>
      <c r="N84" s="237">
        <v>5</v>
      </c>
      <c r="O84" s="237">
        <v>0.65</v>
      </c>
      <c r="P84" s="237">
        <v>0.7</v>
      </c>
      <c r="Q84" s="57">
        <f t="shared" si="5"/>
        <v>0.67500000000000004</v>
      </c>
      <c r="R84" s="237">
        <v>16.100000000000001</v>
      </c>
      <c r="S84" s="55">
        <v>120</v>
      </c>
      <c r="T84" s="57">
        <f t="shared" si="6"/>
        <v>30</v>
      </c>
      <c r="U84" s="237">
        <v>471</v>
      </c>
      <c r="V84" s="58">
        <f t="shared" si="7"/>
        <v>2826</v>
      </c>
      <c r="W84" s="237">
        <v>1</v>
      </c>
      <c r="X84" s="55" t="s">
        <v>46</v>
      </c>
      <c r="Y84" s="55" t="s">
        <v>102</v>
      </c>
      <c r="Z84" s="55" t="s">
        <v>78</v>
      </c>
      <c r="AA84" s="55" t="s">
        <v>88</v>
      </c>
      <c r="AB84" s="55" t="s">
        <v>350</v>
      </c>
    </row>
    <row r="85" spans="1:28" x14ac:dyDescent="0.15">
      <c r="A85" s="55" t="s">
        <v>41</v>
      </c>
      <c r="B85" s="237" t="s">
        <v>348</v>
      </c>
      <c r="C85" s="152">
        <v>2018</v>
      </c>
      <c r="D85" s="56" t="s">
        <v>365</v>
      </c>
      <c r="E85" s="237" t="s">
        <v>175</v>
      </c>
      <c r="F85" s="237" t="s">
        <v>312</v>
      </c>
      <c r="G85" s="55" t="s">
        <v>42</v>
      </c>
      <c r="H85" s="55" t="s">
        <v>157</v>
      </c>
      <c r="I85" s="55" t="s">
        <v>158</v>
      </c>
      <c r="J85" s="55" t="s">
        <v>38</v>
      </c>
      <c r="K85" s="55" t="s">
        <v>156</v>
      </c>
      <c r="L85" s="237">
        <v>3</v>
      </c>
      <c r="N85" s="237">
        <v>5</v>
      </c>
      <c r="O85" s="237">
        <v>0.65</v>
      </c>
      <c r="P85" s="237">
        <v>0.7</v>
      </c>
      <c r="Q85" s="57">
        <f t="shared" si="5"/>
        <v>0.67500000000000004</v>
      </c>
      <c r="R85" s="237">
        <v>15</v>
      </c>
      <c r="S85" s="55">
        <v>117</v>
      </c>
      <c r="T85" s="57">
        <f t="shared" si="6"/>
        <v>30</v>
      </c>
      <c r="U85" s="237">
        <v>471</v>
      </c>
      <c r="V85" s="58">
        <f t="shared" si="7"/>
        <v>2826</v>
      </c>
      <c r="W85" s="237">
        <v>1</v>
      </c>
      <c r="X85" s="55" t="s">
        <v>46</v>
      </c>
      <c r="Y85" s="55" t="s">
        <v>102</v>
      </c>
      <c r="Z85" s="55" t="s">
        <v>78</v>
      </c>
      <c r="AA85" s="55" t="s">
        <v>88</v>
      </c>
      <c r="AB85" s="55" t="s">
        <v>350</v>
      </c>
    </row>
    <row r="86" spans="1:28" x14ac:dyDescent="0.15">
      <c r="A86" s="55" t="s">
        <v>41</v>
      </c>
      <c r="B86" s="237" t="s">
        <v>348</v>
      </c>
      <c r="C86" s="152">
        <v>2018</v>
      </c>
      <c r="D86" s="56" t="s">
        <v>365</v>
      </c>
      <c r="E86" s="237" t="s">
        <v>303</v>
      </c>
      <c r="F86" s="237" t="s">
        <v>308</v>
      </c>
      <c r="G86" s="55" t="s">
        <v>42</v>
      </c>
      <c r="H86" s="55" t="s">
        <v>168</v>
      </c>
      <c r="I86" s="55" t="s">
        <v>155</v>
      </c>
      <c r="J86" s="55" t="s">
        <v>38</v>
      </c>
      <c r="K86" s="55" t="s">
        <v>156</v>
      </c>
      <c r="L86" s="237">
        <v>1</v>
      </c>
      <c r="N86" s="237">
        <v>1</v>
      </c>
      <c r="O86" s="237">
        <v>0.65</v>
      </c>
      <c r="P86" s="237">
        <v>0.75</v>
      </c>
      <c r="Q86" s="57">
        <f t="shared" si="5"/>
        <v>0.7</v>
      </c>
      <c r="R86" s="237">
        <v>17.100000000000001</v>
      </c>
      <c r="S86" s="55">
        <v>128</v>
      </c>
      <c r="T86" s="57">
        <f t="shared" si="6"/>
        <v>27</v>
      </c>
      <c r="U86" s="237">
        <v>83</v>
      </c>
      <c r="V86" s="58">
        <f t="shared" si="7"/>
        <v>2241</v>
      </c>
      <c r="W86" s="237">
        <v>3</v>
      </c>
      <c r="X86" s="55" t="s">
        <v>46</v>
      </c>
      <c r="Y86" s="55" t="s">
        <v>78</v>
      </c>
      <c r="Z86" s="55" t="s">
        <v>88</v>
      </c>
      <c r="AA86" s="55" t="s">
        <v>97</v>
      </c>
      <c r="AB86" s="55" t="s">
        <v>350</v>
      </c>
    </row>
    <row r="87" spans="1:28" x14ac:dyDescent="0.15">
      <c r="A87" s="55" t="s">
        <v>41</v>
      </c>
      <c r="B87" s="237" t="s">
        <v>348</v>
      </c>
      <c r="C87" s="152">
        <v>2018</v>
      </c>
      <c r="D87" s="56" t="s">
        <v>365</v>
      </c>
      <c r="E87" s="237" t="s">
        <v>303</v>
      </c>
      <c r="F87" s="237" t="s">
        <v>308</v>
      </c>
      <c r="G87" s="55" t="s">
        <v>42</v>
      </c>
      <c r="H87" s="55" t="s">
        <v>168</v>
      </c>
      <c r="I87" s="55" t="s">
        <v>155</v>
      </c>
      <c r="J87" s="55" t="s">
        <v>38</v>
      </c>
      <c r="K87" s="55" t="s">
        <v>156</v>
      </c>
      <c r="L87" s="237">
        <v>1</v>
      </c>
      <c r="N87" s="237">
        <v>1</v>
      </c>
      <c r="O87" s="237">
        <v>0.5</v>
      </c>
      <c r="P87" s="237">
        <v>0.7</v>
      </c>
      <c r="Q87" s="57">
        <f t="shared" si="5"/>
        <v>0.6</v>
      </c>
      <c r="R87" s="237">
        <v>17</v>
      </c>
      <c r="S87" s="55">
        <v>124</v>
      </c>
      <c r="T87" s="57">
        <f t="shared" si="6"/>
        <v>27</v>
      </c>
      <c r="U87" s="237">
        <v>83</v>
      </c>
      <c r="V87" s="58">
        <f t="shared" si="7"/>
        <v>2241</v>
      </c>
      <c r="W87" s="237">
        <v>3</v>
      </c>
      <c r="X87" s="55" t="s">
        <v>46</v>
      </c>
      <c r="Y87" s="55" t="s">
        <v>78</v>
      </c>
      <c r="Z87" s="55" t="s">
        <v>88</v>
      </c>
      <c r="AA87" s="55" t="s">
        <v>97</v>
      </c>
      <c r="AB87" s="55" t="s">
        <v>350</v>
      </c>
    </row>
    <row r="88" spans="1:28" x14ac:dyDescent="0.15">
      <c r="A88" s="55" t="s">
        <v>41</v>
      </c>
      <c r="B88" s="237" t="s">
        <v>348</v>
      </c>
      <c r="C88" s="152">
        <v>2018</v>
      </c>
      <c r="D88" s="56" t="s">
        <v>365</v>
      </c>
      <c r="E88" s="237" t="s">
        <v>303</v>
      </c>
      <c r="F88" s="237" t="s">
        <v>308</v>
      </c>
      <c r="G88" s="55" t="s">
        <v>42</v>
      </c>
      <c r="H88" s="55" t="s">
        <v>168</v>
      </c>
      <c r="I88" s="55" t="s">
        <v>155</v>
      </c>
      <c r="J88" s="55" t="s">
        <v>38</v>
      </c>
      <c r="K88" s="55" t="s">
        <v>156</v>
      </c>
      <c r="L88" s="237">
        <v>1</v>
      </c>
      <c r="N88" s="237">
        <v>1</v>
      </c>
      <c r="O88" s="237">
        <v>0.45</v>
      </c>
      <c r="P88" s="237">
        <v>0.6</v>
      </c>
      <c r="Q88" s="57">
        <f t="shared" si="5"/>
        <v>0.52500000000000002</v>
      </c>
      <c r="R88" s="237">
        <v>16.399999999999999</v>
      </c>
      <c r="S88" s="55">
        <v>125</v>
      </c>
      <c r="T88" s="57">
        <f t="shared" si="6"/>
        <v>27</v>
      </c>
      <c r="U88" s="237">
        <v>83</v>
      </c>
      <c r="V88" s="58">
        <f t="shared" si="7"/>
        <v>2241</v>
      </c>
      <c r="W88" s="237">
        <v>3</v>
      </c>
      <c r="X88" s="55" t="s">
        <v>46</v>
      </c>
      <c r="Y88" s="55" t="s">
        <v>78</v>
      </c>
      <c r="Z88" s="55" t="s">
        <v>88</v>
      </c>
      <c r="AA88" s="55" t="s">
        <v>97</v>
      </c>
      <c r="AB88" s="55" t="s">
        <v>350</v>
      </c>
    </row>
    <row r="89" spans="1:28" x14ac:dyDescent="0.15">
      <c r="A89" s="55" t="s">
        <v>41</v>
      </c>
      <c r="B89" s="237" t="s">
        <v>348</v>
      </c>
      <c r="C89" s="152">
        <v>2018</v>
      </c>
      <c r="D89" s="56" t="s">
        <v>365</v>
      </c>
      <c r="E89" s="237" t="s">
        <v>303</v>
      </c>
      <c r="F89" s="237" t="s">
        <v>308</v>
      </c>
      <c r="G89" s="55" t="s">
        <v>42</v>
      </c>
      <c r="H89" s="55" t="s">
        <v>157</v>
      </c>
      <c r="I89" s="55" t="s">
        <v>155</v>
      </c>
      <c r="J89" s="55" t="s">
        <v>38</v>
      </c>
      <c r="K89" s="55" t="s">
        <v>156</v>
      </c>
      <c r="L89" s="237">
        <v>1</v>
      </c>
      <c r="N89" s="237">
        <v>1</v>
      </c>
      <c r="O89" s="237">
        <v>0.75</v>
      </c>
      <c r="P89" s="237">
        <v>0.65</v>
      </c>
      <c r="Q89" s="57">
        <f t="shared" si="5"/>
        <v>0.7</v>
      </c>
      <c r="R89" s="237">
        <v>15.8</v>
      </c>
      <c r="S89" s="55">
        <v>126</v>
      </c>
      <c r="T89" s="57">
        <f t="shared" si="6"/>
        <v>27</v>
      </c>
      <c r="U89" s="237">
        <v>83</v>
      </c>
      <c r="V89" s="58">
        <f t="shared" si="7"/>
        <v>2241</v>
      </c>
      <c r="W89" s="237">
        <v>2</v>
      </c>
      <c r="X89" s="55" t="s">
        <v>46</v>
      </c>
      <c r="Y89" s="55" t="s">
        <v>78</v>
      </c>
      <c r="Z89" s="55" t="s">
        <v>88</v>
      </c>
      <c r="AA89" s="55" t="s">
        <v>97</v>
      </c>
      <c r="AB89" s="55" t="s">
        <v>350</v>
      </c>
    </row>
    <row r="90" spans="1:28" x14ac:dyDescent="0.15">
      <c r="A90" s="55" t="s">
        <v>41</v>
      </c>
      <c r="B90" s="237" t="s">
        <v>348</v>
      </c>
      <c r="C90" s="152">
        <v>2018</v>
      </c>
      <c r="D90" s="56" t="s">
        <v>365</v>
      </c>
      <c r="E90" s="237" t="s">
        <v>303</v>
      </c>
      <c r="F90" s="237" t="s">
        <v>308</v>
      </c>
      <c r="G90" s="55" t="s">
        <v>42</v>
      </c>
      <c r="H90" s="55" t="s">
        <v>157</v>
      </c>
      <c r="I90" s="55" t="s">
        <v>155</v>
      </c>
      <c r="J90" s="55" t="s">
        <v>38</v>
      </c>
      <c r="K90" s="55" t="s">
        <v>156</v>
      </c>
      <c r="L90" s="237">
        <v>1</v>
      </c>
      <c r="N90" s="237">
        <v>1</v>
      </c>
      <c r="O90" s="237">
        <v>0.8</v>
      </c>
      <c r="P90" s="237">
        <v>0.75</v>
      </c>
      <c r="Q90" s="57">
        <f t="shared" si="5"/>
        <v>0.77500000000000002</v>
      </c>
      <c r="R90" s="237">
        <v>16</v>
      </c>
      <c r="S90" s="55">
        <v>120</v>
      </c>
      <c r="T90" s="57">
        <f t="shared" si="6"/>
        <v>30</v>
      </c>
      <c r="U90" s="237">
        <v>83</v>
      </c>
      <c r="V90" s="58">
        <f t="shared" si="7"/>
        <v>2490</v>
      </c>
      <c r="W90" s="237">
        <v>2</v>
      </c>
      <c r="X90" s="55" t="s">
        <v>46</v>
      </c>
      <c r="Y90" s="55" t="s">
        <v>78</v>
      </c>
      <c r="Z90" s="55" t="s">
        <v>88</v>
      </c>
      <c r="AA90" s="55" t="s">
        <v>97</v>
      </c>
      <c r="AB90" s="55" t="s">
        <v>350</v>
      </c>
    </row>
    <row r="91" spans="1:28" x14ac:dyDescent="0.15">
      <c r="A91" s="55" t="s">
        <v>41</v>
      </c>
      <c r="B91" s="237" t="s">
        <v>348</v>
      </c>
      <c r="C91" s="152">
        <v>2018</v>
      </c>
      <c r="D91" s="56" t="s">
        <v>365</v>
      </c>
      <c r="E91" s="237" t="s">
        <v>303</v>
      </c>
      <c r="F91" s="237" t="s">
        <v>308</v>
      </c>
      <c r="G91" s="55" t="s">
        <v>42</v>
      </c>
      <c r="H91" s="55" t="s">
        <v>157</v>
      </c>
      <c r="I91" s="55" t="s">
        <v>155</v>
      </c>
      <c r="J91" s="55" t="s">
        <v>38</v>
      </c>
      <c r="K91" s="55" t="s">
        <v>156</v>
      </c>
      <c r="L91" s="237">
        <v>1</v>
      </c>
      <c r="N91" s="237">
        <v>1</v>
      </c>
      <c r="O91" s="237">
        <v>0.8</v>
      </c>
      <c r="P91" s="237">
        <v>0.7</v>
      </c>
      <c r="Q91" s="57">
        <f t="shared" si="5"/>
        <v>0.75</v>
      </c>
      <c r="R91" s="237">
        <v>14.7</v>
      </c>
      <c r="S91" s="55">
        <v>124</v>
      </c>
      <c r="T91" s="57">
        <f t="shared" si="6"/>
        <v>27</v>
      </c>
      <c r="U91" s="237">
        <v>83</v>
      </c>
      <c r="V91" s="58">
        <f t="shared" si="7"/>
        <v>2241</v>
      </c>
      <c r="W91" s="237">
        <v>2</v>
      </c>
      <c r="X91" s="55" t="s">
        <v>46</v>
      </c>
      <c r="Y91" s="55" t="s">
        <v>78</v>
      </c>
      <c r="Z91" s="55" t="s">
        <v>88</v>
      </c>
      <c r="AA91" s="55" t="s">
        <v>97</v>
      </c>
      <c r="AB91" s="55" t="s">
        <v>350</v>
      </c>
    </row>
    <row r="92" spans="1:28" x14ac:dyDescent="0.15">
      <c r="O92" s="55"/>
      <c r="P92" s="55"/>
    </row>
    <row r="93" spans="1:28" x14ac:dyDescent="0.15">
      <c r="O93" s="55"/>
      <c r="P93" s="55"/>
    </row>
    <row r="94" spans="1:28" x14ac:dyDescent="0.15">
      <c r="O94" s="55"/>
      <c r="P94" s="55"/>
    </row>
    <row r="95" spans="1:28" x14ac:dyDescent="0.15">
      <c r="K95" s="55"/>
      <c r="O95" s="55"/>
      <c r="P95" s="55"/>
      <c r="Y95" s="55"/>
    </row>
    <row r="96" spans="1:28" x14ac:dyDescent="0.15">
      <c r="K96" s="55"/>
      <c r="O96" s="55"/>
      <c r="P96" s="55"/>
      <c r="Y96" s="55"/>
    </row>
    <row r="97" spans="11:25" x14ac:dyDescent="0.15">
      <c r="K97" s="55"/>
      <c r="O97" s="55"/>
      <c r="P97" s="55"/>
      <c r="Y97" s="55"/>
    </row>
    <row r="98" spans="11:25" x14ac:dyDescent="0.15">
      <c r="K98" s="55"/>
      <c r="O98" s="55"/>
      <c r="P98" s="55"/>
      <c r="Y98" s="55"/>
    </row>
    <row r="99" spans="11:25" x14ac:dyDescent="0.15">
      <c r="K99" s="55"/>
      <c r="O99" s="55"/>
      <c r="P99" s="55"/>
      <c r="Y99" s="55"/>
    </row>
    <row r="100" spans="11:25" x14ac:dyDescent="0.15">
      <c r="K100" s="55"/>
      <c r="O100" s="55"/>
      <c r="P100" s="55"/>
      <c r="Y100" s="55"/>
    </row>
    <row r="101" spans="11:25" x14ac:dyDescent="0.15">
      <c r="K101" s="55"/>
      <c r="Y101" s="55"/>
    </row>
    <row r="102" spans="11:25" x14ac:dyDescent="0.15">
      <c r="K102" s="55"/>
      <c r="Y102" s="55"/>
    </row>
    <row r="103" spans="11:25" x14ac:dyDescent="0.15">
      <c r="K103" s="55"/>
      <c r="Y103" s="55"/>
    </row>
    <row r="104" spans="11:25" x14ac:dyDescent="0.15">
      <c r="K104" s="55"/>
      <c r="Y104" s="55"/>
    </row>
    <row r="105" spans="11:25" x14ac:dyDescent="0.15">
      <c r="K105" s="55"/>
      <c r="Y105" s="55"/>
    </row>
    <row r="106" spans="11:25" x14ac:dyDescent="0.15">
      <c r="K106" s="55"/>
      <c r="Y106" s="55"/>
    </row>
    <row r="107" spans="11:25" x14ac:dyDescent="0.15">
      <c r="K107" s="55"/>
      <c r="Y107" s="55"/>
    </row>
    <row r="108" spans="11:25" x14ac:dyDescent="0.15">
      <c r="K108" s="55"/>
      <c r="Y108" s="55"/>
    </row>
    <row r="109" spans="11:25" x14ac:dyDescent="0.15">
      <c r="K109" s="55"/>
      <c r="Y109" s="55"/>
    </row>
    <row r="110" spans="11:25" x14ac:dyDescent="0.15">
      <c r="K110" s="55"/>
      <c r="Y110" s="55"/>
    </row>
    <row r="111" spans="11:25" x14ac:dyDescent="0.15">
      <c r="K111" s="55"/>
      <c r="Y111" s="55"/>
    </row>
    <row r="112" spans="11:25" x14ac:dyDescent="0.15">
      <c r="Y112" s="55"/>
    </row>
  </sheetData>
  <autoFilter ref="A1:BA94"/>
  <dataConsolidate/>
  <phoneticPr fontId="3"/>
  <dataValidations count="13">
    <dataValidation type="list" allowBlank="1" showInputMessage="1" showErrorMessage="1" sqref="Y95:AA1048576 Y1:AA91">
      <formula1>$AV$2:$AV$21</formula1>
    </dataValidation>
    <dataValidation type="list" allowBlank="1" showInputMessage="1" showErrorMessage="1" sqref="F95:F1048576 F1:F91">
      <formula1>$AH$2:$AH$11</formula1>
    </dataValidation>
    <dataValidation type="list" allowBlank="1" showInputMessage="1" showErrorMessage="1" sqref="E95:E1048576 E1:E91">
      <formula1>$AG$2:$AG$11</formula1>
    </dataValidation>
    <dataValidation type="list" allowBlank="1" showInputMessage="1" showErrorMessage="1" sqref="K95:K111 K2:K91">
      <formula1>$AR$2:$AR$23</formula1>
    </dataValidation>
    <dataValidation type="list" allowBlank="1" showInputMessage="1" showErrorMessage="1" sqref="J95:J295 J2:J91">
      <formula1>$AP$2:$AP$19</formula1>
    </dataValidation>
    <dataValidation type="list" allowBlank="1" showInputMessage="1" showErrorMessage="1" sqref="A95:A295 A2:A91">
      <formula1>$AE$2:$AE$16</formula1>
    </dataValidation>
    <dataValidation type="list" allowBlank="1" showInputMessage="1" showErrorMessage="1" sqref="X95:X295 X2:X91">
      <formula1>$AT$2:$AT$3</formula1>
    </dataValidation>
    <dataValidation type="list" allowBlank="1" showInputMessage="1" showErrorMessage="1" sqref="I95:I295 I2:I91">
      <formula1>$AN$5:$AN$6</formula1>
    </dataValidation>
    <dataValidation type="list" allowBlank="1" showInputMessage="1" showErrorMessage="1" sqref="G95:G295 G2:G91">
      <formula1>$AJ$2:$AJ$4</formula1>
    </dataValidation>
    <dataValidation type="list" allowBlank="1" showInputMessage="1" showErrorMessage="1" sqref="H95:H295 H2:H91">
      <formula1>$AL$2:$AL$8</formula1>
    </dataValidation>
    <dataValidation type="list" allowBlank="1" showInputMessage="1" showErrorMessage="1" sqref="K112:K295">
      <formula1>$AR$2:$AR$19</formula1>
    </dataValidation>
    <dataValidation operator="equal" allowBlank="1" showInputMessage="1" showErrorMessage="1" sqref="B2:B91"/>
    <dataValidation type="decimal" allowBlank="1" showInputMessage="1" showErrorMessage="1" error="硬度を正しく入力して下さい。" sqref="O2:P295">
      <formula1>0</formula1>
      <formula2>7</formula2>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C34" sqref="AC34"/>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268</v>
      </c>
      <c r="D1" s="203" t="s">
        <v>3</v>
      </c>
      <c r="E1" s="84" t="s">
        <v>4</v>
      </c>
      <c r="F1" s="84" t="s">
        <v>5</v>
      </c>
      <c r="G1" s="84" t="s">
        <v>6</v>
      </c>
      <c r="H1" s="84" t="s">
        <v>7</v>
      </c>
      <c r="I1" s="84" t="s">
        <v>8</v>
      </c>
      <c r="J1" s="84" t="s">
        <v>9</v>
      </c>
      <c r="K1" s="84" t="s">
        <v>10</v>
      </c>
      <c r="L1" s="203" t="s">
        <v>159</v>
      </c>
      <c r="M1" s="203" t="s">
        <v>12</v>
      </c>
      <c r="N1" s="203" t="s">
        <v>13</v>
      </c>
      <c r="O1" s="203" t="s">
        <v>269</v>
      </c>
      <c r="P1" s="203" t="s">
        <v>15</v>
      </c>
      <c r="Q1" s="204" t="s">
        <v>16</v>
      </c>
      <c r="R1" s="203" t="s">
        <v>160</v>
      </c>
      <c r="S1" s="203" t="s">
        <v>270</v>
      </c>
      <c r="T1" s="204" t="s">
        <v>19</v>
      </c>
      <c r="U1" s="205" t="s">
        <v>108</v>
      </c>
      <c r="V1" s="206" t="s">
        <v>20</v>
      </c>
      <c r="W1" s="203" t="s">
        <v>21</v>
      </c>
      <c r="X1" s="84" t="s">
        <v>22</v>
      </c>
      <c r="Y1" s="84" t="s">
        <v>23</v>
      </c>
      <c r="Z1" s="84" t="s">
        <v>24</v>
      </c>
      <c r="AA1" s="85" t="s">
        <v>25</v>
      </c>
      <c r="AB1" s="207" t="s">
        <v>272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176</v>
      </c>
      <c r="AZ1" s="214" t="s">
        <v>177</v>
      </c>
      <c r="BA1" s="215" t="s">
        <v>164</v>
      </c>
    </row>
    <row r="2" spans="1:53" s="216" customFormat="1" x14ac:dyDescent="0.15">
      <c r="A2" s="55" t="s">
        <v>56</v>
      </c>
      <c r="B2" s="55" t="s">
        <v>349</v>
      </c>
      <c r="C2" s="216">
        <v>2018</v>
      </c>
      <c r="D2" s="86" t="s">
        <v>378</v>
      </c>
      <c r="E2" s="216" t="s">
        <v>379</v>
      </c>
      <c r="F2" s="216" t="s">
        <v>178</v>
      </c>
      <c r="G2" s="55" t="s">
        <v>42</v>
      </c>
      <c r="H2" s="216" t="s">
        <v>157</v>
      </c>
      <c r="I2" s="55" t="s">
        <v>155</v>
      </c>
      <c r="J2" s="216" t="s">
        <v>38</v>
      </c>
      <c r="K2" s="216" t="s">
        <v>156</v>
      </c>
      <c r="L2" s="216">
        <v>1</v>
      </c>
      <c r="N2" s="208">
        <v>1</v>
      </c>
      <c r="O2" s="216">
        <v>0.75</v>
      </c>
      <c r="P2" s="208">
        <v>0.7</v>
      </c>
      <c r="Q2" s="245">
        <f>IF(OR(O2="",P2=""),"",AVERAGE(O2,P2))</f>
        <v>0.72499999999999998</v>
      </c>
      <c r="R2" s="216">
        <v>14.9</v>
      </c>
      <c r="S2" s="216">
        <v>138</v>
      </c>
      <c r="T2" s="217">
        <f>IF(H2="","",IF(OR(H2="GREEN",H2="GK"),IF(S2&gt;=$AX$2,VLOOKUP(S2,$AX$2:$AY$10,2,1),""),IF(S2&gt;=$AZ$2,VLOOKUP(S2,$AZ$2:$BA$10,2,1),"")))</f>
        <v>22</v>
      </c>
      <c r="U2" s="216">
        <v>106</v>
      </c>
      <c r="V2" s="217">
        <f>IF(OR(N2="",U2="",T2=""),"",U2/N2*T2)</f>
        <v>2332</v>
      </c>
      <c r="W2" s="216">
        <v>4</v>
      </c>
      <c r="X2" s="55" t="s">
        <v>46</v>
      </c>
      <c r="Y2" s="55" t="s">
        <v>88</v>
      </c>
      <c r="Z2" s="216" t="s">
        <v>78</v>
      </c>
      <c r="AA2" s="55" t="s">
        <v>102</v>
      </c>
      <c r="AB2" s="216" t="s">
        <v>350</v>
      </c>
      <c r="AE2" s="218" t="s">
        <v>35</v>
      </c>
      <c r="AG2" s="231" t="s">
        <v>380</v>
      </c>
      <c r="AH2" s="87" t="s">
        <v>178</v>
      </c>
      <c r="AJ2" s="219" t="s">
        <v>36</v>
      </c>
      <c r="AL2" s="219" t="s">
        <v>127</v>
      </c>
      <c r="AN2" s="219" t="s">
        <v>37</v>
      </c>
      <c r="AP2" s="219" t="s">
        <v>38</v>
      </c>
      <c r="AR2" s="219" t="s">
        <v>165</v>
      </c>
      <c r="AT2" s="219" t="s">
        <v>39</v>
      </c>
      <c r="AV2" s="219" t="s">
        <v>40</v>
      </c>
      <c r="AX2" s="220">
        <v>1</v>
      </c>
      <c r="AY2" s="221">
        <v>50</v>
      </c>
      <c r="AZ2" s="221">
        <v>1</v>
      </c>
      <c r="BA2" s="222">
        <v>50</v>
      </c>
    </row>
    <row r="3" spans="1:53" x14ac:dyDescent="0.15">
      <c r="A3" s="55" t="s">
        <v>56</v>
      </c>
      <c r="B3" s="55" t="s">
        <v>349</v>
      </c>
      <c r="C3" s="216">
        <v>2018</v>
      </c>
      <c r="D3" s="86" t="s">
        <v>378</v>
      </c>
      <c r="E3" s="216" t="s">
        <v>379</v>
      </c>
      <c r="F3" s="216" t="s">
        <v>178</v>
      </c>
      <c r="G3" s="55" t="s">
        <v>42</v>
      </c>
      <c r="H3" s="216" t="s">
        <v>157</v>
      </c>
      <c r="I3" s="55" t="s">
        <v>155</v>
      </c>
      <c r="J3" s="216" t="s">
        <v>38</v>
      </c>
      <c r="K3" s="216" t="s">
        <v>156</v>
      </c>
      <c r="L3" s="208">
        <v>2</v>
      </c>
      <c r="N3" s="208">
        <v>1</v>
      </c>
      <c r="O3" s="208">
        <v>0.7</v>
      </c>
      <c r="P3" s="208">
        <v>0.65</v>
      </c>
      <c r="Q3" s="245">
        <f>IF(OR(O3="",P3=""),"",AVERAGE(O3,P3))</f>
        <v>0.67500000000000004</v>
      </c>
      <c r="R3" s="208">
        <v>16.100000000000001</v>
      </c>
      <c r="S3" s="208">
        <v>139</v>
      </c>
      <c r="T3" s="217">
        <f>IF(H3="","",IF(OR(H3="GREEN",H3="GK"),IF(S3&gt;=$AX$2,VLOOKUP(S3,$AX$2:$AY$10,2,1),""),IF(S3&gt;=$AZ$2,VLOOKUP(S3,$AZ$2:$BA$10,2,1),"")))</f>
        <v>22</v>
      </c>
      <c r="U3" s="208">
        <v>106</v>
      </c>
      <c r="V3" s="217">
        <f>IF(OR(N3="",U3="",T3=""),"",U3/N3*T3)</f>
        <v>2332</v>
      </c>
      <c r="W3" s="208">
        <v>4</v>
      </c>
      <c r="X3" s="55" t="s">
        <v>46</v>
      </c>
      <c r="Y3" s="55" t="s">
        <v>88</v>
      </c>
      <c r="Z3" s="216" t="s">
        <v>78</v>
      </c>
      <c r="AA3" s="55" t="s">
        <v>102</v>
      </c>
      <c r="AB3" s="216" t="s">
        <v>350</v>
      </c>
      <c r="AE3" s="223" t="s">
        <v>41</v>
      </c>
      <c r="AG3" s="231" t="s">
        <v>380</v>
      </c>
      <c r="AH3" s="87" t="s">
        <v>179</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349</v>
      </c>
      <c r="C4" s="216">
        <v>2018</v>
      </c>
      <c r="D4" s="86" t="s">
        <v>378</v>
      </c>
      <c r="E4" s="216" t="s">
        <v>379</v>
      </c>
      <c r="F4" s="216" t="s">
        <v>178</v>
      </c>
      <c r="G4" s="55" t="s">
        <v>42</v>
      </c>
      <c r="H4" s="216" t="s">
        <v>157</v>
      </c>
      <c r="I4" s="55" t="s">
        <v>155</v>
      </c>
      <c r="J4" s="216" t="s">
        <v>38</v>
      </c>
      <c r="K4" s="216" t="s">
        <v>156</v>
      </c>
      <c r="L4" s="208">
        <v>3</v>
      </c>
      <c r="N4" s="208">
        <v>1</v>
      </c>
      <c r="O4" s="208">
        <v>0.7</v>
      </c>
      <c r="P4" s="208">
        <v>0.6</v>
      </c>
      <c r="Q4" s="245">
        <f>IF(OR(O4="",P4=""),"",AVERAGE(O4,P4))</f>
        <v>0.64999999999999991</v>
      </c>
      <c r="R4" s="208">
        <v>16.5</v>
      </c>
      <c r="S4" s="208">
        <v>136</v>
      </c>
      <c r="T4" s="217">
        <f>IF(H4="","",IF(OR(H4="GREEN",H4="GK"),IF(S4&gt;=$AX$2,VLOOKUP(S4,$AX$2:$AY$10,2,1),""),IF(S4&gt;=$AZ$2,VLOOKUP(S4,$AZ$2:$BA$10,2,1),"")))</f>
        <v>25</v>
      </c>
      <c r="U4" s="208">
        <v>106</v>
      </c>
      <c r="V4" s="217">
        <f>IF(OR(N4="",U4="",T4=""),"",U4/N4*T4)</f>
        <v>2650</v>
      </c>
      <c r="W4" s="208">
        <v>4</v>
      </c>
      <c r="X4" s="55" t="s">
        <v>46</v>
      </c>
      <c r="Y4" s="55" t="s">
        <v>88</v>
      </c>
      <c r="Z4" s="216" t="s">
        <v>78</v>
      </c>
      <c r="AA4" s="55" t="s">
        <v>102</v>
      </c>
      <c r="AB4" s="216" t="s">
        <v>350</v>
      </c>
      <c r="AE4" s="223" t="s">
        <v>34</v>
      </c>
      <c r="AG4" s="231" t="s">
        <v>381</v>
      </c>
      <c r="AH4" s="87" t="s">
        <v>382</v>
      </c>
      <c r="AJ4" s="228" t="s">
        <v>48</v>
      </c>
      <c r="AL4" s="228" t="s">
        <v>180</v>
      </c>
      <c r="AN4" s="229" t="s">
        <v>49</v>
      </c>
      <c r="AP4" s="224" t="s">
        <v>181</v>
      </c>
      <c r="AR4" s="238" t="s">
        <v>167</v>
      </c>
      <c r="AT4" s="229"/>
      <c r="AV4" s="224" t="s">
        <v>50</v>
      </c>
      <c r="AX4" s="225">
        <v>75</v>
      </c>
      <c r="AY4" s="226">
        <v>42</v>
      </c>
      <c r="AZ4" s="226">
        <v>76</v>
      </c>
      <c r="BA4" s="227">
        <v>39</v>
      </c>
    </row>
    <row r="5" spans="1:53" x14ac:dyDescent="0.15">
      <c r="A5" s="55" t="s">
        <v>56</v>
      </c>
      <c r="B5" s="55" t="s">
        <v>349</v>
      </c>
      <c r="C5" s="216">
        <v>2018</v>
      </c>
      <c r="D5" s="86" t="s">
        <v>378</v>
      </c>
      <c r="E5" s="216" t="s">
        <v>379</v>
      </c>
      <c r="F5" s="216" t="s">
        <v>178</v>
      </c>
      <c r="G5" s="55" t="s">
        <v>42</v>
      </c>
      <c r="H5" s="216" t="s">
        <v>168</v>
      </c>
      <c r="I5" s="55" t="s">
        <v>155</v>
      </c>
      <c r="J5" s="216" t="s">
        <v>38</v>
      </c>
      <c r="K5" s="216" t="s">
        <v>156</v>
      </c>
      <c r="L5" s="208">
        <v>1</v>
      </c>
      <c r="N5" s="208">
        <v>1</v>
      </c>
      <c r="O5" s="208">
        <v>0.55000000000000004</v>
      </c>
      <c r="P5" s="208">
        <v>0.55000000000000004</v>
      </c>
      <c r="Q5" s="245">
        <f t="shared" ref="Q5:Q55" si="0">IF(OR(O5="",P5=""),"",AVERAGE(O5,P5))</f>
        <v>0.55000000000000004</v>
      </c>
      <c r="R5" s="208">
        <v>16.2</v>
      </c>
      <c r="S5" s="208">
        <v>127</v>
      </c>
      <c r="T5" s="217">
        <f t="shared" ref="T5:T55" si="1">IF(H5="","",IF(OR(H5="GREEN",H5="GK"),IF(S5&gt;=$AX$2,VLOOKUP(S5,$AX$2:$AY$10,2,1),""),IF(S5&gt;=$AZ$2,VLOOKUP(S5,$AZ$2:$BA$10,2,1),"")))</f>
        <v>27</v>
      </c>
      <c r="U5" s="208">
        <v>138</v>
      </c>
      <c r="V5" s="217">
        <f t="shared" ref="V5:V55" si="2">IF(OR(N5="",U5="",T5=""),"",U5/N5*T5)</f>
        <v>3726</v>
      </c>
      <c r="W5" s="208">
        <v>2</v>
      </c>
      <c r="X5" s="55" t="s">
        <v>46</v>
      </c>
      <c r="Y5" s="55" t="s">
        <v>88</v>
      </c>
      <c r="Z5" s="216" t="s">
        <v>78</v>
      </c>
      <c r="AA5" s="55" t="s">
        <v>102</v>
      </c>
      <c r="AB5" s="216" t="s">
        <v>350</v>
      </c>
      <c r="AE5" s="223" t="s">
        <v>51</v>
      </c>
      <c r="AG5" s="231" t="s">
        <v>383</v>
      </c>
      <c r="AH5" s="87" t="s">
        <v>182</v>
      </c>
      <c r="AJ5" s="229"/>
      <c r="AL5" s="230" t="s">
        <v>169</v>
      </c>
      <c r="AN5" s="230" t="s">
        <v>170</v>
      </c>
      <c r="AP5" s="224" t="s">
        <v>275</v>
      </c>
      <c r="AR5" s="238" t="s">
        <v>54</v>
      </c>
      <c r="AV5" s="224" t="s">
        <v>55</v>
      </c>
      <c r="AX5" s="225">
        <v>84</v>
      </c>
      <c r="AY5" s="226">
        <v>39</v>
      </c>
      <c r="AZ5" s="226">
        <v>84</v>
      </c>
      <c r="BA5" s="227">
        <v>36</v>
      </c>
    </row>
    <row r="6" spans="1:53" x14ac:dyDescent="0.15">
      <c r="A6" s="55" t="s">
        <v>56</v>
      </c>
      <c r="B6" s="55" t="s">
        <v>349</v>
      </c>
      <c r="C6" s="216">
        <v>2018</v>
      </c>
      <c r="D6" s="86" t="s">
        <v>378</v>
      </c>
      <c r="E6" s="216" t="s">
        <v>379</v>
      </c>
      <c r="F6" s="216" t="s">
        <v>178</v>
      </c>
      <c r="G6" s="55" t="s">
        <v>42</v>
      </c>
      <c r="H6" s="216" t="s">
        <v>168</v>
      </c>
      <c r="I6" s="55" t="s">
        <v>155</v>
      </c>
      <c r="J6" s="216" t="s">
        <v>38</v>
      </c>
      <c r="K6" s="216" t="s">
        <v>156</v>
      </c>
      <c r="L6" s="208">
        <v>2</v>
      </c>
      <c r="N6" s="208">
        <v>1</v>
      </c>
      <c r="O6" s="208">
        <v>0.6</v>
      </c>
      <c r="P6" s="208">
        <v>0.55000000000000004</v>
      </c>
      <c r="Q6" s="245">
        <f t="shared" si="0"/>
        <v>0.57499999999999996</v>
      </c>
      <c r="R6" s="208">
        <v>15.3</v>
      </c>
      <c r="S6" s="208">
        <v>133</v>
      </c>
      <c r="T6" s="217">
        <f t="shared" si="1"/>
        <v>25</v>
      </c>
      <c r="U6" s="208">
        <v>138</v>
      </c>
      <c r="V6" s="217">
        <f t="shared" si="2"/>
        <v>3450</v>
      </c>
      <c r="W6" s="208">
        <v>2</v>
      </c>
      <c r="X6" s="55" t="s">
        <v>46</v>
      </c>
      <c r="Y6" s="55" t="s">
        <v>88</v>
      </c>
      <c r="Z6" s="216" t="s">
        <v>78</v>
      </c>
      <c r="AA6" s="55" t="s">
        <v>102</v>
      </c>
      <c r="AB6" s="216" t="s">
        <v>350</v>
      </c>
      <c r="AE6" s="223" t="s">
        <v>56</v>
      </c>
      <c r="AG6" s="231" t="s">
        <v>384</v>
      </c>
      <c r="AH6" s="87" t="s">
        <v>182</v>
      </c>
      <c r="AL6" s="230" t="s">
        <v>259</v>
      </c>
      <c r="AN6" s="230" t="s">
        <v>183</v>
      </c>
      <c r="AP6" s="224" t="s">
        <v>53</v>
      </c>
      <c r="AR6" s="238" t="s">
        <v>59</v>
      </c>
      <c r="AV6" s="224" t="s">
        <v>60</v>
      </c>
      <c r="AX6" s="225">
        <v>97</v>
      </c>
      <c r="AY6" s="226">
        <v>36</v>
      </c>
      <c r="AZ6" s="226">
        <v>99</v>
      </c>
      <c r="BA6" s="227">
        <v>33</v>
      </c>
    </row>
    <row r="7" spans="1:53" x14ac:dyDescent="0.15">
      <c r="A7" s="55" t="s">
        <v>56</v>
      </c>
      <c r="B7" s="55" t="s">
        <v>349</v>
      </c>
      <c r="C7" s="216">
        <v>2018</v>
      </c>
      <c r="D7" s="86" t="s">
        <v>378</v>
      </c>
      <c r="E7" s="216" t="s">
        <v>379</v>
      </c>
      <c r="F7" s="216" t="s">
        <v>178</v>
      </c>
      <c r="G7" s="55" t="s">
        <v>42</v>
      </c>
      <c r="H7" s="216" t="s">
        <v>168</v>
      </c>
      <c r="I7" s="55" t="s">
        <v>155</v>
      </c>
      <c r="J7" s="216" t="s">
        <v>38</v>
      </c>
      <c r="K7" s="216" t="s">
        <v>156</v>
      </c>
      <c r="L7" s="208">
        <v>3</v>
      </c>
      <c r="N7" s="208">
        <v>1</v>
      </c>
      <c r="O7" s="208">
        <v>0.65</v>
      </c>
      <c r="P7" s="208">
        <v>0.65</v>
      </c>
      <c r="Q7" s="245">
        <f t="shared" si="0"/>
        <v>0.65</v>
      </c>
      <c r="R7" s="208">
        <v>14.3</v>
      </c>
      <c r="S7" s="208">
        <v>125</v>
      </c>
      <c r="T7" s="217">
        <f t="shared" si="1"/>
        <v>27</v>
      </c>
      <c r="U7" s="208">
        <v>138</v>
      </c>
      <c r="V7" s="217">
        <f t="shared" si="2"/>
        <v>3726</v>
      </c>
      <c r="W7" s="208">
        <v>2</v>
      </c>
      <c r="X7" s="55" t="s">
        <v>46</v>
      </c>
      <c r="Y7" s="55" t="s">
        <v>88</v>
      </c>
      <c r="Z7" s="216" t="s">
        <v>78</v>
      </c>
      <c r="AA7" s="55" t="s">
        <v>102</v>
      </c>
      <c r="AB7" s="216" t="s">
        <v>350</v>
      </c>
      <c r="AE7" s="223" t="s">
        <v>61</v>
      </c>
      <c r="AG7" s="231" t="s">
        <v>184</v>
      </c>
      <c r="AH7" s="87" t="s">
        <v>185</v>
      </c>
      <c r="AL7" s="88" t="s">
        <v>172</v>
      </c>
      <c r="AP7" s="224" t="s">
        <v>58</v>
      </c>
      <c r="AR7" s="231" t="s">
        <v>122</v>
      </c>
      <c r="AV7" s="224" t="s">
        <v>64</v>
      </c>
      <c r="AX7" s="225">
        <v>109</v>
      </c>
      <c r="AY7" s="226">
        <v>33</v>
      </c>
      <c r="AZ7" s="226">
        <v>113</v>
      </c>
      <c r="BA7" s="227">
        <v>30</v>
      </c>
    </row>
    <row r="8" spans="1:53" x14ac:dyDescent="0.15">
      <c r="A8" s="55" t="s">
        <v>56</v>
      </c>
      <c r="B8" s="55" t="s">
        <v>385</v>
      </c>
      <c r="C8" s="216">
        <v>2018</v>
      </c>
      <c r="D8" s="86" t="s">
        <v>386</v>
      </c>
      <c r="E8" s="216" t="s">
        <v>379</v>
      </c>
      <c r="F8" s="216" t="s">
        <v>179</v>
      </c>
      <c r="G8" s="55" t="s">
        <v>42</v>
      </c>
      <c r="H8" s="216" t="s">
        <v>157</v>
      </c>
      <c r="I8" s="55" t="s">
        <v>155</v>
      </c>
      <c r="J8" s="216" t="s">
        <v>38</v>
      </c>
      <c r="K8" s="216" t="s">
        <v>156</v>
      </c>
      <c r="L8" s="208">
        <v>1</v>
      </c>
      <c r="N8" s="208">
        <v>1</v>
      </c>
      <c r="O8" s="208">
        <v>0.75</v>
      </c>
      <c r="P8" s="208">
        <v>0.75</v>
      </c>
      <c r="Q8" s="245">
        <f t="shared" si="0"/>
        <v>0.75</v>
      </c>
      <c r="R8" s="208">
        <v>14.9</v>
      </c>
      <c r="S8" s="208">
        <v>136</v>
      </c>
      <c r="T8" s="217">
        <f t="shared" si="1"/>
        <v>25</v>
      </c>
      <c r="U8" s="208">
        <v>138</v>
      </c>
      <c r="V8" s="217">
        <f t="shared" si="2"/>
        <v>3450</v>
      </c>
      <c r="W8" s="208">
        <v>6</v>
      </c>
      <c r="X8" s="55" t="s">
        <v>46</v>
      </c>
      <c r="Y8" s="55" t="s">
        <v>88</v>
      </c>
      <c r="Z8" s="216" t="s">
        <v>102</v>
      </c>
      <c r="AA8" s="55" t="s">
        <v>78</v>
      </c>
      <c r="AB8" s="216" t="s">
        <v>350</v>
      </c>
      <c r="AE8" s="223" t="s">
        <v>59</v>
      </c>
      <c r="AG8" s="231" t="s">
        <v>387</v>
      </c>
      <c r="AH8" s="87" t="s">
        <v>185</v>
      </c>
      <c r="AL8" s="88" t="s">
        <v>374</v>
      </c>
      <c r="AP8" s="224" t="s">
        <v>62</v>
      </c>
      <c r="AR8" s="238" t="s">
        <v>81</v>
      </c>
      <c r="AV8" s="224" t="s">
        <v>97</v>
      </c>
      <c r="AX8" s="225">
        <v>119</v>
      </c>
      <c r="AY8" s="226">
        <v>30</v>
      </c>
      <c r="AZ8" s="226">
        <v>121</v>
      </c>
      <c r="BA8" s="227">
        <v>27</v>
      </c>
    </row>
    <row r="9" spans="1:53" x14ac:dyDescent="0.15">
      <c r="A9" s="55" t="s">
        <v>56</v>
      </c>
      <c r="B9" s="55" t="s">
        <v>385</v>
      </c>
      <c r="C9" s="216">
        <v>2018</v>
      </c>
      <c r="D9" s="86" t="s">
        <v>386</v>
      </c>
      <c r="E9" s="216" t="s">
        <v>379</v>
      </c>
      <c r="F9" s="216" t="s">
        <v>179</v>
      </c>
      <c r="G9" s="55" t="s">
        <v>42</v>
      </c>
      <c r="H9" s="216" t="s">
        <v>157</v>
      </c>
      <c r="I9" s="55" t="s">
        <v>155</v>
      </c>
      <c r="J9" s="216" t="s">
        <v>38</v>
      </c>
      <c r="K9" s="216" t="s">
        <v>156</v>
      </c>
      <c r="L9" s="208">
        <v>2</v>
      </c>
      <c r="N9" s="208">
        <v>1</v>
      </c>
      <c r="O9" s="208">
        <v>0.6</v>
      </c>
      <c r="P9" s="208">
        <v>0.65</v>
      </c>
      <c r="Q9" s="245">
        <f t="shared" si="0"/>
        <v>0.625</v>
      </c>
      <c r="R9" s="208">
        <v>15.8</v>
      </c>
      <c r="S9" s="208">
        <v>140</v>
      </c>
      <c r="T9" s="217">
        <f t="shared" si="1"/>
        <v>22</v>
      </c>
      <c r="U9" s="208">
        <v>138</v>
      </c>
      <c r="V9" s="217">
        <f t="shared" si="2"/>
        <v>3036</v>
      </c>
      <c r="W9" s="208">
        <v>6</v>
      </c>
      <c r="X9" s="55" t="s">
        <v>46</v>
      </c>
      <c r="Y9" s="55" t="s">
        <v>88</v>
      </c>
      <c r="Z9" s="216" t="s">
        <v>102</v>
      </c>
      <c r="AA9" s="55" t="s">
        <v>78</v>
      </c>
      <c r="AB9" s="216" t="s">
        <v>350</v>
      </c>
      <c r="AE9" s="223" t="s">
        <v>98</v>
      </c>
      <c r="AG9" s="231" t="s">
        <v>186</v>
      </c>
      <c r="AH9" s="231" t="s">
        <v>179</v>
      </c>
      <c r="AL9" s="230"/>
      <c r="AP9" s="224" t="s">
        <v>95</v>
      </c>
      <c r="AR9" s="231" t="s">
        <v>89</v>
      </c>
      <c r="AV9" s="224" t="s">
        <v>102</v>
      </c>
      <c r="AX9" s="225">
        <v>128</v>
      </c>
      <c r="AY9" s="226">
        <v>27</v>
      </c>
      <c r="AZ9" s="226">
        <v>129</v>
      </c>
      <c r="BA9" s="227">
        <v>25</v>
      </c>
    </row>
    <row r="10" spans="1:53" x14ac:dyDescent="0.15">
      <c r="A10" s="55" t="s">
        <v>56</v>
      </c>
      <c r="B10" s="55" t="s">
        <v>388</v>
      </c>
      <c r="C10" s="216">
        <v>2018</v>
      </c>
      <c r="D10" s="86" t="s">
        <v>389</v>
      </c>
      <c r="E10" s="216" t="s">
        <v>379</v>
      </c>
      <c r="F10" s="216" t="s">
        <v>179</v>
      </c>
      <c r="G10" s="55" t="s">
        <v>42</v>
      </c>
      <c r="H10" s="216" t="s">
        <v>157</v>
      </c>
      <c r="I10" s="55" t="s">
        <v>155</v>
      </c>
      <c r="J10" s="216" t="s">
        <v>38</v>
      </c>
      <c r="K10" s="216" t="s">
        <v>156</v>
      </c>
      <c r="L10" s="208">
        <v>3</v>
      </c>
      <c r="N10" s="208">
        <v>1</v>
      </c>
      <c r="O10" s="208">
        <v>0.8</v>
      </c>
      <c r="P10" s="208">
        <v>0.6</v>
      </c>
      <c r="Q10" s="245">
        <f t="shared" si="0"/>
        <v>0.7</v>
      </c>
      <c r="R10" s="237">
        <v>15</v>
      </c>
      <c r="S10" s="208">
        <v>135</v>
      </c>
      <c r="T10" s="217">
        <f t="shared" si="1"/>
        <v>25</v>
      </c>
      <c r="U10" s="208">
        <v>138</v>
      </c>
      <c r="V10" s="217">
        <f t="shared" si="2"/>
        <v>3450</v>
      </c>
      <c r="W10" s="208">
        <v>6</v>
      </c>
      <c r="X10" s="55" t="s">
        <v>46</v>
      </c>
      <c r="Y10" s="55" t="s">
        <v>88</v>
      </c>
      <c r="Z10" s="216" t="s">
        <v>102</v>
      </c>
      <c r="AA10" s="55" t="s">
        <v>78</v>
      </c>
      <c r="AB10" s="216" t="s">
        <v>350</v>
      </c>
      <c r="AE10" s="223" t="s">
        <v>103</v>
      </c>
      <c r="AG10" s="231" t="s">
        <v>390</v>
      </c>
      <c r="AH10" s="87" t="s">
        <v>391</v>
      </c>
      <c r="AL10" s="88"/>
      <c r="AP10" s="224" t="s">
        <v>100</v>
      </c>
      <c r="AR10" s="231" t="s">
        <v>123</v>
      </c>
      <c r="AV10" s="224" t="s">
        <v>106</v>
      </c>
      <c r="AX10" s="225">
        <v>138</v>
      </c>
      <c r="AY10" s="226">
        <v>25</v>
      </c>
      <c r="AZ10" s="226">
        <v>138</v>
      </c>
      <c r="BA10" s="227">
        <v>22</v>
      </c>
    </row>
    <row r="11" spans="1:53" x14ac:dyDescent="0.15">
      <c r="A11" s="55" t="s">
        <v>56</v>
      </c>
      <c r="B11" s="55" t="s">
        <v>388</v>
      </c>
      <c r="C11" s="216">
        <v>2018</v>
      </c>
      <c r="D11" s="86" t="s">
        <v>389</v>
      </c>
      <c r="E11" s="216" t="s">
        <v>379</v>
      </c>
      <c r="F11" s="216" t="s">
        <v>179</v>
      </c>
      <c r="G11" s="55" t="s">
        <v>42</v>
      </c>
      <c r="H11" s="216" t="s">
        <v>168</v>
      </c>
      <c r="I11" s="55" t="s">
        <v>155</v>
      </c>
      <c r="J11" s="216" t="s">
        <v>38</v>
      </c>
      <c r="K11" s="216" t="s">
        <v>156</v>
      </c>
      <c r="L11" s="208">
        <v>1</v>
      </c>
      <c r="N11" s="208">
        <v>1</v>
      </c>
      <c r="O11" s="208">
        <v>0.7</v>
      </c>
      <c r="P11" s="208">
        <v>0.75</v>
      </c>
      <c r="Q11" s="245">
        <f t="shared" si="0"/>
        <v>0.72499999999999998</v>
      </c>
      <c r="R11" s="208">
        <v>15.1</v>
      </c>
      <c r="S11" s="208">
        <v>146</v>
      </c>
      <c r="T11" s="217">
        <f t="shared" si="1"/>
        <v>22</v>
      </c>
      <c r="U11" s="208">
        <v>138</v>
      </c>
      <c r="V11" s="217">
        <f t="shared" si="2"/>
        <v>3036</v>
      </c>
      <c r="W11" s="208">
        <v>8</v>
      </c>
      <c r="X11" s="55" t="s">
        <v>46</v>
      </c>
      <c r="Y11" s="55" t="s">
        <v>88</v>
      </c>
      <c r="Z11" s="216" t="s">
        <v>102</v>
      </c>
      <c r="AA11" s="55" t="s">
        <v>78</v>
      </c>
      <c r="AB11" s="216" t="s">
        <v>350</v>
      </c>
      <c r="AE11" s="223" t="s">
        <v>65</v>
      </c>
      <c r="AG11" s="231" t="s">
        <v>392</v>
      </c>
      <c r="AH11" s="87" t="s">
        <v>391</v>
      </c>
      <c r="AJ11" s="88"/>
      <c r="AP11" s="224" t="s">
        <v>104</v>
      </c>
      <c r="AR11" s="231" t="s">
        <v>87</v>
      </c>
      <c r="AV11" s="224" t="s">
        <v>69</v>
      </c>
    </row>
    <row r="12" spans="1:53" x14ac:dyDescent="0.15">
      <c r="A12" s="55" t="s">
        <v>56</v>
      </c>
      <c r="B12" s="55" t="s">
        <v>393</v>
      </c>
      <c r="C12" s="216">
        <v>2018</v>
      </c>
      <c r="D12" s="86" t="s">
        <v>394</v>
      </c>
      <c r="E12" s="216" t="s">
        <v>379</v>
      </c>
      <c r="F12" s="216" t="s">
        <v>179</v>
      </c>
      <c r="G12" s="55" t="s">
        <v>42</v>
      </c>
      <c r="H12" s="216" t="s">
        <v>168</v>
      </c>
      <c r="I12" s="55" t="s">
        <v>155</v>
      </c>
      <c r="J12" s="216" t="s">
        <v>38</v>
      </c>
      <c r="K12" s="216" t="s">
        <v>156</v>
      </c>
      <c r="L12" s="208">
        <v>2</v>
      </c>
      <c r="N12" s="208">
        <v>1</v>
      </c>
      <c r="O12" s="208">
        <v>0.65</v>
      </c>
      <c r="P12" s="208">
        <v>0.65</v>
      </c>
      <c r="Q12" s="245">
        <f t="shared" si="0"/>
        <v>0.65</v>
      </c>
      <c r="R12" s="208">
        <v>14.3</v>
      </c>
      <c r="S12" s="208">
        <v>146</v>
      </c>
      <c r="T12" s="217">
        <f t="shared" si="1"/>
        <v>22</v>
      </c>
      <c r="U12" s="208">
        <v>138</v>
      </c>
      <c r="V12" s="217">
        <f t="shared" si="2"/>
        <v>3036</v>
      </c>
      <c r="W12" s="208">
        <v>8</v>
      </c>
      <c r="X12" s="55" t="s">
        <v>46</v>
      </c>
      <c r="Y12" s="55" t="s">
        <v>88</v>
      </c>
      <c r="Z12" s="216" t="s">
        <v>102</v>
      </c>
      <c r="AA12" s="55" t="s">
        <v>78</v>
      </c>
      <c r="AB12" s="216" t="s">
        <v>350</v>
      </c>
      <c r="AE12" s="223" t="s">
        <v>70</v>
      </c>
      <c r="AG12" s="231" t="s">
        <v>395</v>
      </c>
      <c r="AH12" s="87" t="s">
        <v>396</v>
      </c>
      <c r="AJ12" s="88"/>
      <c r="AP12" s="224" t="s">
        <v>67</v>
      </c>
      <c r="AR12" s="231" t="s">
        <v>124</v>
      </c>
      <c r="AV12" s="224" t="s">
        <v>72</v>
      </c>
    </row>
    <row r="13" spans="1:53" x14ac:dyDescent="0.15">
      <c r="A13" s="55" t="s">
        <v>56</v>
      </c>
      <c r="B13" s="55" t="s">
        <v>397</v>
      </c>
      <c r="C13" s="216">
        <v>2018</v>
      </c>
      <c r="D13" s="86" t="s">
        <v>398</v>
      </c>
      <c r="E13" s="216" t="s">
        <v>379</v>
      </c>
      <c r="F13" s="216" t="s">
        <v>179</v>
      </c>
      <c r="G13" s="55" t="s">
        <v>42</v>
      </c>
      <c r="H13" s="216" t="s">
        <v>168</v>
      </c>
      <c r="I13" s="55" t="s">
        <v>155</v>
      </c>
      <c r="J13" s="216" t="s">
        <v>38</v>
      </c>
      <c r="K13" s="216" t="s">
        <v>156</v>
      </c>
      <c r="L13" s="208">
        <v>3</v>
      </c>
      <c r="N13" s="208">
        <v>1</v>
      </c>
      <c r="O13" s="208">
        <v>0.7</v>
      </c>
      <c r="P13" s="208">
        <v>0.7</v>
      </c>
      <c r="Q13" s="245">
        <f t="shared" si="0"/>
        <v>0.7</v>
      </c>
      <c r="R13" s="237">
        <v>14.7</v>
      </c>
      <c r="S13" s="208">
        <v>140</v>
      </c>
      <c r="T13" s="217">
        <f t="shared" si="1"/>
        <v>22</v>
      </c>
      <c r="U13" s="208">
        <v>138</v>
      </c>
      <c r="V13" s="217">
        <f t="shared" si="2"/>
        <v>3036</v>
      </c>
      <c r="W13" s="208">
        <v>8</v>
      </c>
      <c r="X13" s="55" t="s">
        <v>46</v>
      </c>
      <c r="Y13" s="55" t="s">
        <v>88</v>
      </c>
      <c r="Z13" s="216" t="s">
        <v>102</v>
      </c>
      <c r="AA13" s="55" t="s">
        <v>78</v>
      </c>
      <c r="AB13" s="216" t="s">
        <v>350</v>
      </c>
      <c r="AE13" s="223" t="s">
        <v>73</v>
      </c>
      <c r="AP13" s="224" t="s">
        <v>71</v>
      </c>
      <c r="AR13" s="231" t="s">
        <v>103</v>
      </c>
      <c r="AV13" s="224" t="s">
        <v>75</v>
      </c>
    </row>
    <row r="14" spans="1:53" x14ac:dyDescent="0.15">
      <c r="A14" s="55" t="s">
        <v>56</v>
      </c>
      <c r="B14" s="55" t="s">
        <v>399</v>
      </c>
      <c r="C14" s="216">
        <v>2018</v>
      </c>
      <c r="D14" s="86" t="s">
        <v>400</v>
      </c>
      <c r="E14" s="216" t="s">
        <v>401</v>
      </c>
      <c r="F14" s="216" t="s">
        <v>402</v>
      </c>
      <c r="G14" s="55" t="s">
        <v>42</v>
      </c>
      <c r="H14" s="216" t="s">
        <v>157</v>
      </c>
      <c r="I14" s="55" t="s">
        <v>155</v>
      </c>
      <c r="J14" s="216" t="s">
        <v>38</v>
      </c>
      <c r="K14" s="216" t="s">
        <v>156</v>
      </c>
      <c r="L14" s="208">
        <v>1</v>
      </c>
      <c r="N14" s="208">
        <v>1</v>
      </c>
      <c r="O14" s="208">
        <v>0.75</v>
      </c>
      <c r="P14" s="208">
        <v>0.75</v>
      </c>
      <c r="Q14" s="245">
        <f t="shared" si="0"/>
        <v>0.75</v>
      </c>
      <c r="R14" s="208">
        <v>13.3</v>
      </c>
      <c r="S14" s="208">
        <v>126</v>
      </c>
      <c r="T14" s="217">
        <f t="shared" si="1"/>
        <v>27</v>
      </c>
      <c r="U14" s="208">
        <v>106</v>
      </c>
      <c r="V14" s="217">
        <f t="shared" si="2"/>
        <v>2862</v>
      </c>
      <c r="W14" s="208">
        <v>1</v>
      </c>
      <c r="X14" s="55" t="s">
        <v>46</v>
      </c>
      <c r="Y14" s="55" t="s">
        <v>88</v>
      </c>
      <c r="Z14" s="216" t="s">
        <v>102</v>
      </c>
      <c r="AA14" s="55" t="s">
        <v>78</v>
      </c>
      <c r="AB14" s="216" t="s">
        <v>350</v>
      </c>
      <c r="AE14" s="223" t="s">
        <v>76</v>
      </c>
      <c r="AP14" s="224" t="s">
        <v>74</v>
      </c>
      <c r="AR14" s="231" t="s">
        <v>125</v>
      </c>
      <c r="AV14" s="224" t="s">
        <v>78</v>
      </c>
    </row>
    <row r="15" spans="1:53" x14ac:dyDescent="0.15">
      <c r="A15" s="55" t="s">
        <v>56</v>
      </c>
      <c r="B15" s="55" t="s">
        <v>399</v>
      </c>
      <c r="C15" s="216">
        <v>2018</v>
      </c>
      <c r="D15" s="86" t="s">
        <v>400</v>
      </c>
      <c r="E15" s="216" t="s">
        <v>401</v>
      </c>
      <c r="F15" s="216" t="s">
        <v>402</v>
      </c>
      <c r="G15" s="55" t="s">
        <v>42</v>
      </c>
      <c r="H15" s="216" t="s">
        <v>157</v>
      </c>
      <c r="I15" s="55" t="s">
        <v>155</v>
      </c>
      <c r="J15" s="216" t="s">
        <v>38</v>
      </c>
      <c r="K15" s="216" t="s">
        <v>156</v>
      </c>
      <c r="L15" s="208">
        <v>2</v>
      </c>
      <c r="N15" s="208">
        <v>1</v>
      </c>
      <c r="O15" s="208">
        <v>0.75</v>
      </c>
      <c r="P15" s="208">
        <v>0.7</v>
      </c>
      <c r="Q15" s="245">
        <f t="shared" si="0"/>
        <v>0.72499999999999998</v>
      </c>
      <c r="R15" s="208">
        <v>14.7</v>
      </c>
      <c r="S15" s="208">
        <v>123</v>
      </c>
      <c r="T15" s="217">
        <f t="shared" si="1"/>
        <v>27</v>
      </c>
      <c r="U15" s="208">
        <v>106</v>
      </c>
      <c r="V15" s="217">
        <f t="shared" si="2"/>
        <v>2862</v>
      </c>
      <c r="W15" s="208">
        <v>1</v>
      </c>
      <c r="X15" s="55" t="s">
        <v>46</v>
      </c>
      <c r="Y15" s="55" t="s">
        <v>88</v>
      </c>
      <c r="Z15" s="216" t="s">
        <v>102</v>
      </c>
      <c r="AA15" s="55" t="s">
        <v>78</v>
      </c>
      <c r="AB15" s="216" t="s">
        <v>350</v>
      </c>
      <c r="AE15" s="223" t="s">
        <v>79</v>
      </c>
      <c r="AP15" s="224" t="s">
        <v>77</v>
      </c>
      <c r="AR15" s="231" t="s">
        <v>94</v>
      </c>
      <c r="AV15" s="224" t="s">
        <v>107</v>
      </c>
    </row>
    <row r="16" spans="1:53" x14ac:dyDescent="0.15">
      <c r="A16" s="55" t="s">
        <v>56</v>
      </c>
      <c r="B16" s="55" t="s">
        <v>403</v>
      </c>
      <c r="C16" s="216">
        <v>2018</v>
      </c>
      <c r="D16" s="86" t="s">
        <v>404</v>
      </c>
      <c r="E16" s="216" t="s">
        <v>401</v>
      </c>
      <c r="F16" s="216" t="s">
        <v>402</v>
      </c>
      <c r="G16" s="55" t="s">
        <v>42</v>
      </c>
      <c r="H16" s="216" t="s">
        <v>157</v>
      </c>
      <c r="I16" s="55" t="s">
        <v>155</v>
      </c>
      <c r="J16" s="216" t="s">
        <v>38</v>
      </c>
      <c r="K16" s="216" t="s">
        <v>156</v>
      </c>
      <c r="L16" s="208">
        <v>3</v>
      </c>
      <c r="N16" s="208">
        <v>1</v>
      </c>
      <c r="O16" s="208">
        <v>0.85</v>
      </c>
      <c r="P16" s="208">
        <v>0.85</v>
      </c>
      <c r="Q16" s="245">
        <f t="shared" si="0"/>
        <v>0.85</v>
      </c>
      <c r="R16" s="237">
        <v>14.7</v>
      </c>
      <c r="S16" s="208">
        <v>125</v>
      </c>
      <c r="T16" s="217">
        <f t="shared" si="1"/>
        <v>27</v>
      </c>
      <c r="U16" s="208">
        <v>106</v>
      </c>
      <c r="V16" s="217">
        <f t="shared" si="2"/>
        <v>2862</v>
      </c>
      <c r="W16" s="208">
        <v>1</v>
      </c>
      <c r="X16" s="55" t="s">
        <v>46</v>
      </c>
      <c r="Y16" s="55" t="s">
        <v>88</v>
      </c>
      <c r="Z16" s="216" t="s">
        <v>102</v>
      </c>
      <c r="AA16" s="55" t="s">
        <v>78</v>
      </c>
      <c r="AB16" s="216" t="s">
        <v>350</v>
      </c>
      <c r="AE16" s="223" t="s">
        <v>82</v>
      </c>
      <c r="AP16" s="224" t="s">
        <v>80</v>
      </c>
      <c r="AR16" s="238" t="s">
        <v>63</v>
      </c>
      <c r="AV16" s="224" t="s">
        <v>84</v>
      </c>
    </row>
    <row r="17" spans="1:48" x14ac:dyDescent="0.15">
      <c r="A17" s="55" t="s">
        <v>56</v>
      </c>
      <c r="B17" s="55" t="s">
        <v>403</v>
      </c>
      <c r="C17" s="216">
        <v>2018</v>
      </c>
      <c r="D17" s="86" t="s">
        <v>404</v>
      </c>
      <c r="E17" s="216" t="s">
        <v>401</v>
      </c>
      <c r="F17" s="216" t="s">
        <v>402</v>
      </c>
      <c r="G17" s="55" t="s">
        <v>42</v>
      </c>
      <c r="H17" s="216" t="s">
        <v>168</v>
      </c>
      <c r="I17" s="55" t="s">
        <v>155</v>
      </c>
      <c r="J17" s="216" t="s">
        <v>38</v>
      </c>
      <c r="K17" s="216" t="s">
        <v>156</v>
      </c>
      <c r="L17" s="208">
        <v>1</v>
      </c>
      <c r="N17" s="208">
        <v>5</v>
      </c>
      <c r="O17" s="208">
        <v>0.65</v>
      </c>
      <c r="P17" s="208">
        <v>0.7</v>
      </c>
      <c r="Q17" s="245">
        <f t="shared" si="0"/>
        <v>0.67500000000000004</v>
      </c>
      <c r="R17" s="208">
        <v>16.5</v>
      </c>
      <c r="S17" s="208">
        <v>135</v>
      </c>
      <c r="T17" s="217">
        <f t="shared" si="1"/>
        <v>25</v>
      </c>
      <c r="U17" s="208">
        <v>646</v>
      </c>
      <c r="V17" s="217">
        <f t="shared" si="2"/>
        <v>3229.9999999999995</v>
      </c>
      <c r="W17" s="208">
        <v>4</v>
      </c>
      <c r="X17" s="55" t="s">
        <v>46</v>
      </c>
      <c r="Y17" s="55" t="s">
        <v>88</v>
      </c>
      <c r="Z17" s="216" t="s">
        <v>102</v>
      </c>
      <c r="AA17" s="55" t="s">
        <v>78</v>
      </c>
      <c r="AB17" s="216" t="s">
        <v>350</v>
      </c>
      <c r="AE17" s="223" t="s">
        <v>85</v>
      </c>
      <c r="AP17" s="239" t="s">
        <v>110</v>
      </c>
      <c r="AR17" s="238" t="s">
        <v>96</v>
      </c>
      <c r="AV17" s="224" t="s">
        <v>86</v>
      </c>
    </row>
    <row r="18" spans="1:48" x14ac:dyDescent="0.15">
      <c r="A18" s="55" t="s">
        <v>56</v>
      </c>
      <c r="B18" s="55" t="s">
        <v>403</v>
      </c>
      <c r="C18" s="216">
        <v>2018</v>
      </c>
      <c r="D18" s="86" t="s">
        <v>404</v>
      </c>
      <c r="E18" s="216" t="s">
        <v>401</v>
      </c>
      <c r="F18" s="216" t="s">
        <v>402</v>
      </c>
      <c r="G18" s="55" t="s">
        <v>42</v>
      </c>
      <c r="H18" s="216" t="s">
        <v>168</v>
      </c>
      <c r="I18" s="55" t="s">
        <v>155</v>
      </c>
      <c r="J18" s="216" t="s">
        <v>38</v>
      </c>
      <c r="K18" s="216" t="s">
        <v>156</v>
      </c>
      <c r="L18" s="208">
        <v>2</v>
      </c>
      <c r="N18" s="208">
        <v>5</v>
      </c>
      <c r="O18" s="208">
        <v>0.7</v>
      </c>
      <c r="P18" s="208">
        <v>0.75</v>
      </c>
      <c r="Q18" s="245">
        <f t="shared" si="0"/>
        <v>0.72499999999999998</v>
      </c>
      <c r="R18" s="208">
        <v>13.9</v>
      </c>
      <c r="S18" s="208">
        <v>134</v>
      </c>
      <c r="T18" s="217">
        <f t="shared" si="1"/>
        <v>25</v>
      </c>
      <c r="U18" s="208">
        <v>646</v>
      </c>
      <c r="V18" s="217">
        <f t="shared" si="2"/>
        <v>3229.9999999999995</v>
      </c>
      <c r="W18" s="208">
        <v>4</v>
      </c>
      <c r="X18" s="55" t="s">
        <v>46</v>
      </c>
      <c r="Y18" s="55" t="s">
        <v>88</v>
      </c>
      <c r="Z18" s="216" t="s">
        <v>102</v>
      </c>
      <c r="AA18" s="55" t="s">
        <v>78</v>
      </c>
      <c r="AB18" s="216" t="s">
        <v>350</v>
      </c>
      <c r="AE18" s="223" t="s">
        <v>87</v>
      </c>
      <c r="AP18" s="239" t="s">
        <v>111</v>
      </c>
      <c r="AR18" s="238" t="s">
        <v>101</v>
      </c>
      <c r="AV18" s="224" t="s">
        <v>88</v>
      </c>
    </row>
    <row r="19" spans="1:48" x14ac:dyDescent="0.15">
      <c r="A19" s="55" t="s">
        <v>56</v>
      </c>
      <c r="B19" s="55" t="s">
        <v>393</v>
      </c>
      <c r="C19" s="216">
        <v>2018</v>
      </c>
      <c r="D19" s="86" t="s">
        <v>394</v>
      </c>
      <c r="E19" s="216" t="s">
        <v>401</v>
      </c>
      <c r="F19" s="216" t="s">
        <v>402</v>
      </c>
      <c r="G19" s="55" t="s">
        <v>42</v>
      </c>
      <c r="H19" s="216" t="s">
        <v>168</v>
      </c>
      <c r="I19" s="55" t="s">
        <v>155</v>
      </c>
      <c r="J19" s="216" t="s">
        <v>38</v>
      </c>
      <c r="K19" s="216" t="s">
        <v>156</v>
      </c>
      <c r="L19" s="208">
        <v>3</v>
      </c>
      <c r="N19" s="208">
        <v>5</v>
      </c>
      <c r="O19" s="208">
        <v>0.65</v>
      </c>
      <c r="P19" s="208">
        <v>0.65</v>
      </c>
      <c r="Q19" s="245">
        <f t="shared" si="0"/>
        <v>0.65</v>
      </c>
      <c r="R19" s="237">
        <v>16</v>
      </c>
      <c r="S19" s="208">
        <v>121</v>
      </c>
      <c r="T19" s="217">
        <f t="shared" si="1"/>
        <v>27</v>
      </c>
      <c r="U19" s="208">
        <v>646</v>
      </c>
      <c r="V19" s="217">
        <f t="shared" si="2"/>
        <v>3488.3999999999996</v>
      </c>
      <c r="W19" s="208">
        <v>4</v>
      </c>
      <c r="X19" s="55" t="s">
        <v>46</v>
      </c>
      <c r="Y19" s="55" t="s">
        <v>88</v>
      </c>
      <c r="Z19" s="216" t="s">
        <v>102</v>
      </c>
      <c r="AA19" s="55" t="s">
        <v>78</v>
      </c>
      <c r="AB19" s="216" t="s">
        <v>350</v>
      </c>
      <c r="AE19" s="236" t="s">
        <v>89</v>
      </c>
      <c r="AP19" s="239" t="s">
        <v>112</v>
      </c>
      <c r="AR19" s="231" t="s">
        <v>126</v>
      </c>
      <c r="AV19" s="224" t="s">
        <v>90</v>
      </c>
    </row>
    <row r="20" spans="1:48" x14ac:dyDescent="0.15">
      <c r="A20" s="55" t="s">
        <v>56</v>
      </c>
      <c r="B20" s="55" t="s">
        <v>393</v>
      </c>
      <c r="C20" s="216">
        <v>2018</v>
      </c>
      <c r="D20" s="86" t="s">
        <v>394</v>
      </c>
      <c r="E20" s="216" t="s">
        <v>405</v>
      </c>
      <c r="F20" s="216" t="s">
        <v>406</v>
      </c>
      <c r="G20" s="55" t="s">
        <v>42</v>
      </c>
      <c r="H20" s="216" t="s">
        <v>168</v>
      </c>
      <c r="I20" s="55" t="s">
        <v>155</v>
      </c>
      <c r="J20" s="216" t="s">
        <v>38</v>
      </c>
      <c r="K20" s="216" t="s">
        <v>156</v>
      </c>
      <c r="L20" s="208">
        <v>1</v>
      </c>
      <c r="N20" s="208">
        <v>1</v>
      </c>
      <c r="O20" s="208">
        <v>0.75</v>
      </c>
      <c r="P20" s="208">
        <v>0.7</v>
      </c>
      <c r="Q20" s="245">
        <f t="shared" si="0"/>
        <v>0.72499999999999998</v>
      </c>
      <c r="R20" s="208">
        <v>14.5</v>
      </c>
      <c r="S20" s="208">
        <v>117</v>
      </c>
      <c r="T20" s="217">
        <f t="shared" si="1"/>
        <v>30</v>
      </c>
      <c r="U20" s="208">
        <v>83</v>
      </c>
      <c r="V20" s="217">
        <f t="shared" si="2"/>
        <v>2490</v>
      </c>
      <c r="W20" s="208">
        <v>2</v>
      </c>
      <c r="X20" s="55" t="s">
        <v>46</v>
      </c>
      <c r="Y20" s="55" t="s">
        <v>88</v>
      </c>
      <c r="Z20" s="216" t="s">
        <v>78</v>
      </c>
      <c r="AA20" s="55" t="s">
        <v>102</v>
      </c>
      <c r="AB20" s="216" t="s">
        <v>350</v>
      </c>
      <c r="AP20" s="239" t="s">
        <v>113</v>
      </c>
      <c r="AR20" s="238" t="s">
        <v>105</v>
      </c>
      <c r="AV20" s="228" t="s">
        <v>375</v>
      </c>
    </row>
    <row r="21" spans="1:48" x14ac:dyDescent="0.15">
      <c r="A21" s="55" t="s">
        <v>56</v>
      </c>
      <c r="B21" s="55" t="s">
        <v>393</v>
      </c>
      <c r="C21" s="216">
        <v>2018</v>
      </c>
      <c r="D21" s="86" t="s">
        <v>394</v>
      </c>
      <c r="E21" s="216" t="s">
        <v>405</v>
      </c>
      <c r="F21" s="216" t="s">
        <v>406</v>
      </c>
      <c r="G21" s="55" t="s">
        <v>42</v>
      </c>
      <c r="H21" s="216" t="s">
        <v>168</v>
      </c>
      <c r="I21" s="55" t="s">
        <v>155</v>
      </c>
      <c r="J21" s="216" t="s">
        <v>38</v>
      </c>
      <c r="K21" s="216" t="s">
        <v>156</v>
      </c>
      <c r="L21" s="208">
        <v>2</v>
      </c>
      <c r="N21" s="208">
        <v>1</v>
      </c>
      <c r="O21" s="208">
        <v>0.6</v>
      </c>
      <c r="P21" s="208">
        <v>0.6</v>
      </c>
      <c r="Q21" s="245">
        <f t="shared" si="0"/>
        <v>0.6</v>
      </c>
      <c r="R21" s="208">
        <v>13.9</v>
      </c>
      <c r="S21" s="208">
        <v>123</v>
      </c>
      <c r="T21" s="217">
        <f t="shared" si="1"/>
        <v>27</v>
      </c>
      <c r="U21" s="208">
        <v>83</v>
      </c>
      <c r="V21" s="217">
        <f t="shared" si="2"/>
        <v>2241</v>
      </c>
      <c r="W21" s="208">
        <v>2</v>
      </c>
      <c r="X21" s="55" t="s">
        <v>46</v>
      </c>
      <c r="Y21" s="55" t="s">
        <v>88</v>
      </c>
      <c r="Z21" s="216" t="s">
        <v>78</v>
      </c>
      <c r="AA21" s="55" t="s">
        <v>102</v>
      </c>
      <c r="AB21" s="216" t="s">
        <v>350</v>
      </c>
      <c r="AP21" s="239" t="s">
        <v>114</v>
      </c>
      <c r="AR21" s="238" t="s">
        <v>68</v>
      </c>
      <c r="AV21" s="229" t="s">
        <v>407</v>
      </c>
    </row>
    <row r="22" spans="1:48" x14ac:dyDescent="0.15">
      <c r="A22" s="55" t="s">
        <v>56</v>
      </c>
      <c r="B22" s="55" t="s">
        <v>393</v>
      </c>
      <c r="C22" s="216">
        <v>2018</v>
      </c>
      <c r="D22" s="86" t="s">
        <v>394</v>
      </c>
      <c r="E22" s="216" t="s">
        <v>405</v>
      </c>
      <c r="F22" s="216" t="s">
        <v>406</v>
      </c>
      <c r="G22" s="55" t="s">
        <v>42</v>
      </c>
      <c r="H22" s="216" t="s">
        <v>168</v>
      </c>
      <c r="I22" s="55" t="s">
        <v>155</v>
      </c>
      <c r="J22" s="216" t="s">
        <v>38</v>
      </c>
      <c r="K22" s="216" t="s">
        <v>156</v>
      </c>
      <c r="L22" s="208">
        <v>3</v>
      </c>
      <c r="N22" s="208">
        <v>1</v>
      </c>
      <c r="O22" s="208">
        <v>0.75</v>
      </c>
      <c r="P22" s="208">
        <v>0.75</v>
      </c>
      <c r="Q22" s="245">
        <f t="shared" si="0"/>
        <v>0.75</v>
      </c>
      <c r="R22" s="237">
        <v>16.399999999999999</v>
      </c>
      <c r="S22" s="208">
        <v>125</v>
      </c>
      <c r="T22" s="217">
        <f t="shared" si="1"/>
        <v>27</v>
      </c>
      <c r="U22" s="208">
        <v>83</v>
      </c>
      <c r="V22" s="217">
        <f t="shared" si="2"/>
        <v>2241</v>
      </c>
      <c r="W22" s="208">
        <v>2</v>
      </c>
      <c r="X22" s="55" t="s">
        <v>46</v>
      </c>
      <c r="Y22" s="55" t="s">
        <v>88</v>
      </c>
      <c r="Z22" s="216" t="s">
        <v>78</v>
      </c>
      <c r="AA22" s="55" t="s">
        <v>102</v>
      </c>
      <c r="AB22" s="216" t="s">
        <v>350</v>
      </c>
      <c r="AP22" s="239" t="s">
        <v>115</v>
      </c>
      <c r="AR22" s="238" t="s">
        <v>83</v>
      </c>
    </row>
    <row r="23" spans="1:48" x14ac:dyDescent="0.15">
      <c r="A23" s="55" t="s">
        <v>56</v>
      </c>
      <c r="B23" s="55" t="s">
        <v>393</v>
      </c>
      <c r="C23" s="216">
        <v>2018</v>
      </c>
      <c r="D23" s="86" t="s">
        <v>394</v>
      </c>
      <c r="E23" s="216" t="s">
        <v>326</v>
      </c>
      <c r="F23" s="216" t="s">
        <v>185</v>
      </c>
      <c r="G23" s="55" t="s">
        <v>42</v>
      </c>
      <c r="H23" s="216" t="s">
        <v>157</v>
      </c>
      <c r="I23" s="55" t="s">
        <v>155</v>
      </c>
      <c r="J23" s="216" t="s">
        <v>38</v>
      </c>
      <c r="K23" s="216" t="s">
        <v>156</v>
      </c>
      <c r="L23" s="208">
        <v>1</v>
      </c>
      <c r="N23" s="208">
        <v>1</v>
      </c>
      <c r="O23" s="208">
        <v>0.65</v>
      </c>
      <c r="P23" s="208">
        <v>0.6</v>
      </c>
      <c r="Q23" s="245">
        <f t="shared" si="0"/>
        <v>0.625</v>
      </c>
      <c r="R23" s="208">
        <v>13.2</v>
      </c>
      <c r="S23" s="208">
        <v>122</v>
      </c>
      <c r="T23" s="217">
        <f t="shared" si="1"/>
        <v>27</v>
      </c>
      <c r="U23" s="208">
        <v>105</v>
      </c>
      <c r="V23" s="217">
        <f t="shared" si="2"/>
        <v>2835</v>
      </c>
      <c r="W23" s="208">
        <v>2</v>
      </c>
      <c r="X23" s="55" t="s">
        <v>46</v>
      </c>
      <c r="Y23" s="55" t="s">
        <v>88</v>
      </c>
      <c r="Z23" s="216" t="s">
        <v>78</v>
      </c>
      <c r="AA23" s="55" t="s">
        <v>102</v>
      </c>
      <c r="AB23" s="216" t="s">
        <v>350</v>
      </c>
      <c r="AP23" s="239" t="s">
        <v>408</v>
      </c>
      <c r="AR23" s="238" t="s">
        <v>61</v>
      </c>
    </row>
    <row r="24" spans="1:48" x14ac:dyDescent="0.15">
      <c r="A24" s="55" t="s">
        <v>56</v>
      </c>
      <c r="B24" s="55" t="s">
        <v>393</v>
      </c>
      <c r="C24" s="216">
        <v>2018</v>
      </c>
      <c r="D24" s="86" t="s">
        <v>394</v>
      </c>
      <c r="E24" s="216" t="s">
        <v>326</v>
      </c>
      <c r="F24" s="216" t="s">
        <v>185</v>
      </c>
      <c r="G24" s="55" t="s">
        <v>42</v>
      </c>
      <c r="H24" s="216" t="s">
        <v>157</v>
      </c>
      <c r="I24" s="55" t="s">
        <v>155</v>
      </c>
      <c r="J24" s="216" t="s">
        <v>38</v>
      </c>
      <c r="K24" s="216" t="s">
        <v>156</v>
      </c>
      <c r="L24" s="208">
        <v>2</v>
      </c>
      <c r="N24" s="208">
        <v>1</v>
      </c>
      <c r="O24" s="208">
        <v>0.7</v>
      </c>
      <c r="P24" s="208">
        <v>0.75</v>
      </c>
      <c r="Q24" s="245">
        <f t="shared" si="0"/>
        <v>0.72499999999999998</v>
      </c>
      <c r="R24" s="208">
        <v>13.9</v>
      </c>
      <c r="S24" s="208">
        <v>120</v>
      </c>
      <c r="T24" s="217">
        <f t="shared" si="1"/>
        <v>30</v>
      </c>
      <c r="U24" s="208">
        <v>105</v>
      </c>
      <c r="V24" s="217">
        <f t="shared" si="2"/>
        <v>3150</v>
      </c>
      <c r="W24" s="208">
        <v>2</v>
      </c>
      <c r="X24" s="55" t="s">
        <v>46</v>
      </c>
      <c r="Y24" s="55" t="s">
        <v>88</v>
      </c>
      <c r="Z24" s="216" t="s">
        <v>78</v>
      </c>
      <c r="AA24" s="55" t="s">
        <v>102</v>
      </c>
      <c r="AB24" s="216" t="s">
        <v>350</v>
      </c>
      <c r="AP24" s="239" t="s">
        <v>409</v>
      </c>
      <c r="AR24" s="238" t="s">
        <v>91</v>
      </c>
    </row>
    <row r="25" spans="1:48" x14ac:dyDescent="0.15">
      <c r="A25" s="55" t="s">
        <v>56</v>
      </c>
      <c r="B25" s="55" t="s">
        <v>393</v>
      </c>
      <c r="C25" s="216">
        <v>2018</v>
      </c>
      <c r="D25" s="86" t="s">
        <v>394</v>
      </c>
      <c r="E25" s="216" t="s">
        <v>326</v>
      </c>
      <c r="F25" s="216" t="s">
        <v>185</v>
      </c>
      <c r="G25" s="55" t="s">
        <v>42</v>
      </c>
      <c r="H25" s="216" t="s">
        <v>157</v>
      </c>
      <c r="I25" s="55" t="s">
        <v>155</v>
      </c>
      <c r="J25" s="216" t="s">
        <v>38</v>
      </c>
      <c r="K25" s="216" t="s">
        <v>156</v>
      </c>
      <c r="L25" s="208">
        <v>3</v>
      </c>
      <c r="N25" s="208">
        <v>1</v>
      </c>
      <c r="O25" s="208">
        <v>0.7</v>
      </c>
      <c r="P25" s="208">
        <v>0.7</v>
      </c>
      <c r="Q25" s="245">
        <f t="shared" si="0"/>
        <v>0.7</v>
      </c>
      <c r="R25" s="237">
        <v>12.7</v>
      </c>
      <c r="S25" s="208">
        <v>121</v>
      </c>
      <c r="T25" s="217">
        <f t="shared" si="1"/>
        <v>27</v>
      </c>
      <c r="U25" s="208">
        <v>105</v>
      </c>
      <c r="V25" s="217">
        <f t="shared" si="2"/>
        <v>2835</v>
      </c>
      <c r="W25" s="208">
        <v>2</v>
      </c>
      <c r="X25" s="55" t="s">
        <v>46</v>
      </c>
      <c r="Y25" s="55" t="s">
        <v>88</v>
      </c>
      <c r="Z25" s="216" t="s">
        <v>78</v>
      </c>
      <c r="AA25" s="55" t="s">
        <v>102</v>
      </c>
      <c r="AB25" s="216" t="s">
        <v>350</v>
      </c>
      <c r="AP25" s="239" t="s">
        <v>116</v>
      </c>
      <c r="AR25" s="42" t="s">
        <v>92</v>
      </c>
    </row>
    <row r="26" spans="1:48" x14ac:dyDescent="0.15">
      <c r="A26" s="55" t="s">
        <v>56</v>
      </c>
      <c r="B26" s="55" t="s">
        <v>393</v>
      </c>
      <c r="C26" s="216">
        <v>2018</v>
      </c>
      <c r="D26" s="86" t="s">
        <v>394</v>
      </c>
      <c r="E26" s="216" t="s">
        <v>326</v>
      </c>
      <c r="F26" s="216" t="s">
        <v>185</v>
      </c>
      <c r="G26" s="55" t="s">
        <v>42</v>
      </c>
      <c r="H26" s="216" t="s">
        <v>168</v>
      </c>
      <c r="I26" s="55" t="s">
        <v>155</v>
      </c>
      <c r="J26" s="216" t="s">
        <v>38</v>
      </c>
      <c r="K26" s="216" t="s">
        <v>156</v>
      </c>
      <c r="L26" s="208">
        <v>1</v>
      </c>
      <c r="N26" s="208">
        <v>1</v>
      </c>
      <c r="O26" s="208">
        <v>0.85</v>
      </c>
      <c r="P26" s="208">
        <v>0.85</v>
      </c>
      <c r="Q26" s="245">
        <f t="shared" si="0"/>
        <v>0.85</v>
      </c>
      <c r="R26" s="208">
        <v>15.3</v>
      </c>
      <c r="S26" s="208">
        <v>140</v>
      </c>
      <c r="T26" s="217">
        <f t="shared" si="1"/>
        <v>22</v>
      </c>
      <c r="U26" s="208">
        <v>149</v>
      </c>
      <c r="V26" s="217">
        <f t="shared" si="2"/>
        <v>3278</v>
      </c>
      <c r="W26" s="208">
        <v>2</v>
      </c>
      <c r="X26" s="55" t="s">
        <v>46</v>
      </c>
      <c r="Y26" s="55" t="s">
        <v>88</v>
      </c>
      <c r="Z26" s="216" t="s">
        <v>78</v>
      </c>
      <c r="AA26" s="55" t="s">
        <v>102</v>
      </c>
      <c r="AB26" s="216" t="s">
        <v>350</v>
      </c>
      <c r="AP26" s="239" t="s">
        <v>117</v>
      </c>
      <c r="AR26" s="208" t="s">
        <v>300</v>
      </c>
    </row>
    <row r="27" spans="1:48" x14ac:dyDescent="0.15">
      <c r="A27" s="55" t="s">
        <v>56</v>
      </c>
      <c r="B27" s="55" t="s">
        <v>393</v>
      </c>
      <c r="C27" s="216">
        <v>2018</v>
      </c>
      <c r="D27" s="86" t="s">
        <v>394</v>
      </c>
      <c r="E27" s="216" t="s">
        <v>326</v>
      </c>
      <c r="F27" s="216" t="s">
        <v>185</v>
      </c>
      <c r="G27" s="55" t="s">
        <v>42</v>
      </c>
      <c r="H27" s="216" t="s">
        <v>168</v>
      </c>
      <c r="I27" s="55" t="s">
        <v>155</v>
      </c>
      <c r="J27" s="216" t="s">
        <v>38</v>
      </c>
      <c r="K27" s="216" t="s">
        <v>156</v>
      </c>
      <c r="L27" s="208">
        <v>2</v>
      </c>
      <c r="N27" s="208">
        <v>1</v>
      </c>
      <c r="O27" s="208">
        <v>0.85</v>
      </c>
      <c r="P27" s="208">
        <v>0.8</v>
      </c>
      <c r="Q27" s="245">
        <f t="shared" si="0"/>
        <v>0.82499999999999996</v>
      </c>
      <c r="R27" s="208">
        <v>15.1</v>
      </c>
      <c r="S27" s="208">
        <v>143</v>
      </c>
      <c r="T27" s="217">
        <f t="shared" si="1"/>
        <v>22</v>
      </c>
      <c r="U27" s="208">
        <v>149</v>
      </c>
      <c r="V27" s="217">
        <f t="shared" si="2"/>
        <v>3278</v>
      </c>
      <c r="W27" s="208">
        <v>2</v>
      </c>
      <c r="X27" s="55" t="s">
        <v>46</v>
      </c>
      <c r="Y27" s="55" t="s">
        <v>88</v>
      </c>
      <c r="Z27" s="216" t="s">
        <v>78</v>
      </c>
      <c r="AA27" s="55" t="s">
        <v>102</v>
      </c>
      <c r="AB27" s="216" t="s">
        <v>350</v>
      </c>
      <c r="AP27" s="239" t="s">
        <v>118</v>
      </c>
    </row>
    <row r="28" spans="1:48" x14ac:dyDescent="0.15">
      <c r="A28" s="55" t="s">
        <v>56</v>
      </c>
      <c r="B28" s="55" t="s">
        <v>393</v>
      </c>
      <c r="C28" s="216">
        <v>2018</v>
      </c>
      <c r="D28" s="86" t="s">
        <v>394</v>
      </c>
      <c r="E28" s="216" t="s">
        <v>326</v>
      </c>
      <c r="F28" s="216" t="s">
        <v>185</v>
      </c>
      <c r="G28" s="55" t="s">
        <v>42</v>
      </c>
      <c r="H28" s="216" t="s">
        <v>168</v>
      </c>
      <c r="I28" s="55" t="s">
        <v>155</v>
      </c>
      <c r="J28" s="216" t="s">
        <v>38</v>
      </c>
      <c r="K28" s="216" t="s">
        <v>156</v>
      </c>
      <c r="L28" s="208">
        <v>3</v>
      </c>
      <c r="N28" s="208">
        <v>1</v>
      </c>
      <c r="O28" s="208">
        <v>0.75</v>
      </c>
      <c r="P28" s="208">
        <v>0.85</v>
      </c>
      <c r="Q28" s="245">
        <f t="shared" si="0"/>
        <v>0.8</v>
      </c>
      <c r="R28" s="208">
        <v>14.7</v>
      </c>
      <c r="S28" s="208">
        <v>143</v>
      </c>
      <c r="T28" s="217">
        <f t="shared" si="1"/>
        <v>22</v>
      </c>
      <c r="U28" s="208">
        <v>149</v>
      </c>
      <c r="V28" s="217">
        <f t="shared" si="2"/>
        <v>3278</v>
      </c>
      <c r="W28" s="208">
        <v>2</v>
      </c>
      <c r="X28" s="55" t="s">
        <v>46</v>
      </c>
      <c r="Y28" s="55" t="s">
        <v>88</v>
      </c>
      <c r="Z28" s="216" t="s">
        <v>78</v>
      </c>
      <c r="AA28" s="55" t="s">
        <v>102</v>
      </c>
      <c r="AB28" s="216" t="s">
        <v>350</v>
      </c>
    </row>
    <row r="29" spans="1:48" x14ac:dyDescent="0.15">
      <c r="A29" s="55" t="s">
        <v>56</v>
      </c>
      <c r="B29" s="55" t="s">
        <v>393</v>
      </c>
      <c r="C29" s="216">
        <v>2018</v>
      </c>
      <c r="D29" s="86" t="s">
        <v>394</v>
      </c>
      <c r="E29" s="216" t="s">
        <v>410</v>
      </c>
      <c r="F29" s="216" t="s">
        <v>185</v>
      </c>
      <c r="G29" s="55" t="s">
        <v>42</v>
      </c>
      <c r="H29" s="216" t="s">
        <v>157</v>
      </c>
      <c r="I29" s="55" t="s">
        <v>155</v>
      </c>
      <c r="J29" s="216" t="s">
        <v>38</v>
      </c>
      <c r="K29" s="216" t="s">
        <v>156</v>
      </c>
      <c r="L29" s="208">
        <v>1</v>
      </c>
      <c r="N29" s="208">
        <v>1</v>
      </c>
      <c r="O29" s="208">
        <v>1</v>
      </c>
      <c r="P29" s="208">
        <v>1.05</v>
      </c>
      <c r="Q29" s="217">
        <f t="shared" si="0"/>
        <v>1.0249999999999999</v>
      </c>
      <c r="R29" s="208">
        <v>13.1</v>
      </c>
      <c r="S29" s="208">
        <v>130</v>
      </c>
      <c r="T29" s="217">
        <f t="shared" si="1"/>
        <v>25</v>
      </c>
      <c r="U29" s="208">
        <v>138</v>
      </c>
      <c r="V29" s="217">
        <f t="shared" si="2"/>
        <v>3450</v>
      </c>
      <c r="W29" s="208">
        <v>1</v>
      </c>
      <c r="X29" s="55" t="s">
        <v>39</v>
      </c>
      <c r="Y29" s="55" t="s">
        <v>88</v>
      </c>
      <c r="Z29" s="216" t="s">
        <v>78</v>
      </c>
      <c r="AA29" s="55" t="s">
        <v>102</v>
      </c>
      <c r="AB29" s="216" t="s">
        <v>350</v>
      </c>
    </row>
    <row r="30" spans="1:48" x14ac:dyDescent="0.15">
      <c r="A30" s="55" t="s">
        <v>56</v>
      </c>
      <c r="B30" s="55" t="s">
        <v>393</v>
      </c>
      <c r="C30" s="216">
        <v>2018</v>
      </c>
      <c r="D30" s="86" t="s">
        <v>394</v>
      </c>
      <c r="E30" s="216" t="s">
        <v>410</v>
      </c>
      <c r="F30" s="216" t="s">
        <v>185</v>
      </c>
      <c r="G30" s="55" t="s">
        <v>42</v>
      </c>
      <c r="H30" s="216" t="s">
        <v>157</v>
      </c>
      <c r="I30" s="55" t="s">
        <v>155</v>
      </c>
      <c r="J30" s="216" t="s">
        <v>38</v>
      </c>
      <c r="K30" s="216" t="s">
        <v>156</v>
      </c>
      <c r="L30" s="208">
        <v>2</v>
      </c>
      <c r="N30" s="208">
        <v>1</v>
      </c>
      <c r="O30" s="208">
        <v>0.85</v>
      </c>
      <c r="P30" s="208">
        <v>0.85</v>
      </c>
      <c r="Q30" s="217">
        <f t="shared" si="0"/>
        <v>0.85</v>
      </c>
      <c r="R30" s="208">
        <v>15.2</v>
      </c>
      <c r="S30" s="208">
        <v>134</v>
      </c>
      <c r="T30" s="217">
        <f t="shared" si="1"/>
        <v>25</v>
      </c>
      <c r="U30" s="208">
        <v>138</v>
      </c>
      <c r="V30" s="217">
        <f t="shared" si="2"/>
        <v>3450</v>
      </c>
      <c r="W30" s="208">
        <v>1</v>
      </c>
      <c r="X30" s="55" t="s">
        <v>39</v>
      </c>
      <c r="Y30" s="55" t="s">
        <v>88</v>
      </c>
      <c r="Z30" s="216" t="s">
        <v>78</v>
      </c>
      <c r="AA30" s="55" t="s">
        <v>102</v>
      </c>
      <c r="AB30" s="216" t="s">
        <v>350</v>
      </c>
    </row>
    <row r="31" spans="1:48" x14ac:dyDescent="0.15">
      <c r="A31" s="55" t="s">
        <v>56</v>
      </c>
      <c r="B31" s="55" t="s">
        <v>393</v>
      </c>
      <c r="C31" s="216">
        <v>2018</v>
      </c>
      <c r="D31" s="86" t="s">
        <v>394</v>
      </c>
      <c r="E31" s="216" t="s">
        <v>410</v>
      </c>
      <c r="F31" s="216" t="s">
        <v>185</v>
      </c>
      <c r="G31" s="55" t="s">
        <v>42</v>
      </c>
      <c r="H31" s="216" t="s">
        <v>157</v>
      </c>
      <c r="I31" s="55" t="s">
        <v>155</v>
      </c>
      <c r="J31" s="216" t="s">
        <v>38</v>
      </c>
      <c r="K31" s="216" t="s">
        <v>156</v>
      </c>
      <c r="L31" s="208">
        <v>3</v>
      </c>
      <c r="N31" s="208">
        <v>1</v>
      </c>
      <c r="O31" s="208">
        <v>1.25</v>
      </c>
      <c r="P31" s="208">
        <v>1.3</v>
      </c>
      <c r="Q31" s="217">
        <f t="shared" si="0"/>
        <v>1.2749999999999999</v>
      </c>
      <c r="R31" s="208">
        <v>13.8</v>
      </c>
      <c r="S31" s="208">
        <v>127</v>
      </c>
      <c r="T31" s="217">
        <f t="shared" si="1"/>
        <v>27</v>
      </c>
      <c r="U31" s="208">
        <v>138</v>
      </c>
      <c r="V31" s="217">
        <f t="shared" si="2"/>
        <v>3726</v>
      </c>
      <c r="W31" s="208">
        <v>1</v>
      </c>
      <c r="X31" s="55" t="s">
        <v>39</v>
      </c>
      <c r="Y31" s="55" t="s">
        <v>88</v>
      </c>
      <c r="Z31" s="216" t="s">
        <v>78</v>
      </c>
      <c r="AA31" s="55" t="s">
        <v>102</v>
      </c>
      <c r="AB31" s="216" t="s">
        <v>350</v>
      </c>
    </row>
    <row r="32" spans="1:48" x14ac:dyDescent="0.15">
      <c r="A32" s="55" t="s">
        <v>56</v>
      </c>
      <c r="B32" s="55" t="s">
        <v>393</v>
      </c>
      <c r="C32" s="216">
        <v>2018</v>
      </c>
      <c r="D32" s="86" t="s">
        <v>394</v>
      </c>
      <c r="E32" s="216" t="s">
        <v>410</v>
      </c>
      <c r="F32" s="216" t="s">
        <v>185</v>
      </c>
      <c r="G32" s="55" t="s">
        <v>42</v>
      </c>
      <c r="H32" s="216" t="s">
        <v>168</v>
      </c>
      <c r="I32" s="55" t="s">
        <v>155</v>
      </c>
      <c r="J32" s="216" t="s">
        <v>38</v>
      </c>
      <c r="K32" s="216" t="s">
        <v>156</v>
      </c>
      <c r="L32" s="208">
        <v>1</v>
      </c>
      <c r="N32" s="208">
        <v>1</v>
      </c>
      <c r="O32" s="208">
        <v>0.75</v>
      </c>
      <c r="P32" s="208">
        <v>0.75</v>
      </c>
      <c r="Q32" s="217">
        <f t="shared" si="0"/>
        <v>0.75</v>
      </c>
      <c r="R32" s="208">
        <v>15.6</v>
      </c>
      <c r="S32" s="208">
        <v>125</v>
      </c>
      <c r="T32" s="217">
        <f t="shared" si="1"/>
        <v>27</v>
      </c>
      <c r="U32" s="208">
        <v>178</v>
      </c>
      <c r="V32" s="217">
        <f t="shared" si="2"/>
        <v>4806</v>
      </c>
      <c r="W32" s="208">
        <v>1</v>
      </c>
      <c r="X32" s="55" t="s">
        <v>39</v>
      </c>
      <c r="Y32" s="55" t="s">
        <v>88</v>
      </c>
      <c r="Z32" s="216" t="s">
        <v>78</v>
      </c>
      <c r="AA32" s="55" t="s">
        <v>102</v>
      </c>
      <c r="AB32" s="216" t="s">
        <v>350</v>
      </c>
    </row>
    <row r="33" spans="1:28" x14ac:dyDescent="0.15">
      <c r="A33" s="55" t="s">
        <v>56</v>
      </c>
      <c r="B33" s="55" t="s">
        <v>393</v>
      </c>
      <c r="C33" s="216">
        <v>2018</v>
      </c>
      <c r="D33" s="86" t="s">
        <v>394</v>
      </c>
      <c r="E33" s="216" t="s">
        <v>410</v>
      </c>
      <c r="F33" s="216" t="s">
        <v>185</v>
      </c>
      <c r="G33" s="55" t="s">
        <v>42</v>
      </c>
      <c r="H33" s="216" t="s">
        <v>168</v>
      </c>
      <c r="I33" s="55" t="s">
        <v>155</v>
      </c>
      <c r="J33" s="216" t="s">
        <v>38</v>
      </c>
      <c r="K33" s="216" t="s">
        <v>156</v>
      </c>
      <c r="L33" s="208">
        <v>2</v>
      </c>
      <c r="N33" s="208">
        <v>1</v>
      </c>
      <c r="O33" s="208">
        <v>0.7</v>
      </c>
      <c r="P33" s="208">
        <v>0.7</v>
      </c>
      <c r="Q33" s="217">
        <f t="shared" si="0"/>
        <v>0.7</v>
      </c>
      <c r="R33" s="208">
        <v>15.4</v>
      </c>
      <c r="S33" s="208">
        <v>127</v>
      </c>
      <c r="T33" s="217">
        <f t="shared" si="1"/>
        <v>27</v>
      </c>
      <c r="U33" s="208">
        <v>178</v>
      </c>
      <c r="V33" s="217">
        <f t="shared" si="2"/>
        <v>4806</v>
      </c>
      <c r="W33" s="208">
        <v>1</v>
      </c>
      <c r="X33" s="55" t="s">
        <v>39</v>
      </c>
      <c r="Y33" s="55" t="s">
        <v>88</v>
      </c>
      <c r="Z33" s="216" t="s">
        <v>78</v>
      </c>
      <c r="AA33" s="55" t="s">
        <v>102</v>
      </c>
      <c r="AB33" s="216" t="s">
        <v>350</v>
      </c>
    </row>
    <row r="34" spans="1:28" x14ac:dyDescent="0.15">
      <c r="A34" s="55" t="s">
        <v>56</v>
      </c>
      <c r="B34" s="55" t="s">
        <v>393</v>
      </c>
      <c r="C34" s="216">
        <v>2018</v>
      </c>
      <c r="D34" s="86" t="s">
        <v>394</v>
      </c>
      <c r="E34" s="216" t="s">
        <v>410</v>
      </c>
      <c r="F34" s="216" t="s">
        <v>185</v>
      </c>
      <c r="G34" s="55" t="s">
        <v>42</v>
      </c>
      <c r="H34" s="216" t="s">
        <v>168</v>
      </c>
      <c r="I34" s="55" t="s">
        <v>155</v>
      </c>
      <c r="J34" s="216" t="s">
        <v>38</v>
      </c>
      <c r="K34" s="216" t="s">
        <v>156</v>
      </c>
      <c r="L34" s="208">
        <v>3</v>
      </c>
      <c r="N34" s="208">
        <v>1</v>
      </c>
      <c r="O34" s="208">
        <v>0.85</v>
      </c>
      <c r="P34" s="208">
        <v>0.85</v>
      </c>
      <c r="Q34" s="217">
        <f t="shared" si="0"/>
        <v>0.85</v>
      </c>
      <c r="R34" s="208">
        <v>16.5</v>
      </c>
      <c r="S34" s="208">
        <v>133</v>
      </c>
      <c r="T34" s="217">
        <f t="shared" si="1"/>
        <v>25</v>
      </c>
      <c r="U34" s="208">
        <v>178</v>
      </c>
      <c r="V34" s="217">
        <f t="shared" si="2"/>
        <v>4450</v>
      </c>
      <c r="W34" s="208">
        <v>1</v>
      </c>
      <c r="X34" s="55" t="s">
        <v>39</v>
      </c>
      <c r="Y34" s="55" t="s">
        <v>88</v>
      </c>
      <c r="Z34" s="216" t="s">
        <v>78</v>
      </c>
      <c r="AA34" s="55" t="s">
        <v>102</v>
      </c>
      <c r="AB34" s="216" t="s">
        <v>350</v>
      </c>
    </row>
    <row r="35" spans="1:28" x14ac:dyDescent="0.15">
      <c r="A35" s="55" t="s">
        <v>56</v>
      </c>
      <c r="B35" s="55" t="s">
        <v>393</v>
      </c>
      <c r="C35" s="216">
        <v>2018</v>
      </c>
      <c r="D35" s="86" t="s">
        <v>394</v>
      </c>
      <c r="E35" s="216" t="s">
        <v>186</v>
      </c>
      <c r="F35" s="216" t="s">
        <v>406</v>
      </c>
      <c r="G35" s="55" t="s">
        <v>42</v>
      </c>
      <c r="H35" s="216" t="s">
        <v>168</v>
      </c>
      <c r="I35" s="55" t="s">
        <v>158</v>
      </c>
      <c r="J35" s="216" t="s">
        <v>38</v>
      </c>
      <c r="K35" s="216" t="s">
        <v>156</v>
      </c>
      <c r="L35" s="208">
        <v>1</v>
      </c>
      <c r="N35" s="208">
        <v>1</v>
      </c>
      <c r="O35" s="208">
        <v>0.6</v>
      </c>
      <c r="P35" s="208">
        <v>0.6</v>
      </c>
      <c r="Q35" s="217">
        <f t="shared" si="0"/>
        <v>0.6</v>
      </c>
      <c r="R35" s="208">
        <v>16.5</v>
      </c>
      <c r="S35" s="208">
        <v>124</v>
      </c>
      <c r="T35" s="217">
        <f t="shared" si="1"/>
        <v>27</v>
      </c>
      <c r="U35" s="208">
        <v>172</v>
      </c>
      <c r="V35" s="217">
        <f t="shared" si="2"/>
        <v>4644</v>
      </c>
      <c r="W35" s="208">
        <v>5</v>
      </c>
      <c r="X35" s="55" t="s">
        <v>39</v>
      </c>
      <c r="Y35" s="55" t="s">
        <v>102</v>
      </c>
      <c r="Z35" s="208" t="s">
        <v>88</v>
      </c>
      <c r="AA35" s="55" t="s">
        <v>86</v>
      </c>
      <c r="AB35" s="216" t="s">
        <v>350</v>
      </c>
    </row>
    <row r="36" spans="1:28" x14ac:dyDescent="0.15">
      <c r="A36" s="55" t="s">
        <v>56</v>
      </c>
      <c r="B36" s="55" t="s">
        <v>393</v>
      </c>
      <c r="C36" s="216">
        <v>2018</v>
      </c>
      <c r="D36" s="86" t="s">
        <v>394</v>
      </c>
      <c r="E36" s="216" t="s">
        <v>186</v>
      </c>
      <c r="F36" s="216" t="s">
        <v>406</v>
      </c>
      <c r="G36" s="55" t="s">
        <v>42</v>
      </c>
      <c r="H36" s="216" t="s">
        <v>168</v>
      </c>
      <c r="I36" s="55" t="s">
        <v>158</v>
      </c>
      <c r="J36" s="216" t="s">
        <v>38</v>
      </c>
      <c r="K36" s="216" t="s">
        <v>156</v>
      </c>
      <c r="L36" s="208">
        <v>2</v>
      </c>
      <c r="N36" s="208">
        <v>1</v>
      </c>
      <c r="O36" s="208">
        <v>0.75</v>
      </c>
      <c r="P36" s="208">
        <v>0.75</v>
      </c>
      <c r="Q36" s="217">
        <f t="shared" si="0"/>
        <v>0.75</v>
      </c>
      <c r="R36" s="208">
        <v>15.3</v>
      </c>
      <c r="S36" s="208">
        <v>132</v>
      </c>
      <c r="T36" s="217">
        <f t="shared" si="1"/>
        <v>25</v>
      </c>
      <c r="U36" s="208">
        <v>172</v>
      </c>
      <c r="V36" s="217">
        <f t="shared" si="2"/>
        <v>4300</v>
      </c>
      <c r="W36" s="208">
        <v>5</v>
      </c>
      <c r="X36" s="55" t="s">
        <v>39</v>
      </c>
      <c r="Y36" s="55" t="s">
        <v>102</v>
      </c>
      <c r="Z36" s="208" t="s">
        <v>88</v>
      </c>
      <c r="AA36" s="55" t="s">
        <v>86</v>
      </c>
      <c r="AB36" s="216" t="s">
        <v>350</v>
      </c>
    </row>
    <row r="37" spans="1:28" x14ac:dyDescent="0.15">
      <c r="A37" s="55" t="s">
        <v>56</v>
      </c>
      <c r="B37" s="55" t="s">
        <v>393</v>
      </c>
      <c r="C37" s="216">
        <v>2018</v>
      </c>
      <c r="D37" s="86" t="s">
        <v>394</v>
      </c>
      <c r="E37" s="216" t="s">
        <v>186</v>
      </c>
      <c r="F37" s="216" t="s">
        <v>406</v>
      </c>
      <c r="G37" s="55" t="s">
        <v>42</v>
      </c>
      <c r="H37" s="216" t="s">
        <v>168</v>
      </c>
      <c r="I37" s="55" t="s">
        <v>158</v>
      </c>
      <c r="J37" s="216" t="s">
        <v>38</v>
      </c>
      <c r="K37" s="216" t="s">
        <v>156</v>
      </c>
      <c r="L37" s="208">
        <v>3</v>
      </c>
      <c r="N37" s="208">
        <v>1</v>
      </c>
      <c r="O37" s="208">
        <v>0.75</v>
      </c>
      <c r="P37" s="208">
        <v>0.75</v>
      </c>
      <c r="Q37" s="217">
        <f t="shared" si="0"/>
        <v>0.75</v>
      </c>
      <c r="R37" s="208">
        <v>14.9</v>
      </c>
      <c r="S37" s="208">
        <v>128</v>
      </c>
      <c r="T37" s="217">
        <f t="shared" si="1"/>
        <v>27</v>
      </c>
      <c r="U37" s="208">
        <v>172</v>
      </c>
      <c r="V37" s="217">
        <f t="shared" si="2"/>
        <v>4644</v>
      </c>
      <c r="W37" s="208">
        <v>5</v>
      </c>
      <c r="X37" s="55" t="s">
        <v>39</v>
      </c>
      <c r="Y37" s="55" t="s">
        <v>102</v>
      </c>
      <c r="Z37" s="208" t="s">
        <v>88</v>
      </c>
      <c r="AA37" s="55" t="s">
        <v>86</v>
      </c>
      <c r="AB37" s="216" t="s">
        <v>350</v>
      </c>
    </row>
    <row r="38" spans="1:28" x14ac:dyDescent="0.15">
      <c r="A38" s="55" t="s">
        <v>56</v>
      </c>
      <c r="B38" s="55" t="s">
        <v>393</v>
      </c>
      <c r="C38" s="216">
        <v>2018</v>
      </c>
      <c r="D38" s="86" t="s">
        <v>394</v>
      </c>
      <c r="E38" s="216" t="s">
        <v>326</v>
      </c>
      <c r="F38" s="216" t="s">
        <v>406</v>
      </c>
      <c r="G38" s="55" t="s">
        <v>42</v>
      </c>
      <c r="H38" s="216" t="s">
        <v>157</v>
      </c>
      <c r="I38" s="55" t="s">
        <v>155</v>
      </c>
      <c r="J38" s="216" t="s">
        <v>38</v>
      </c>
      <c r="K38" s="216" t="s">
        <v>156</v>
      </c>
      <c r="L38" s="208">
        <v>1</v>
      </c>
      <c r="N38" s="208">
        <v>1</v>
      </c>
      <c r="O38" s="208">
        <v>0.75</v>
      </c>
      <c r="P38" s="208">
        <v>0.75</v>
      </c>
      <c r="Q38" s="217">
        <f t="shared" si="0"/>
        <v>0.75</v>
      </c>
      <c r="R38" s="208">
        <v>15.1</v>
      </c>
      <c r="S38" s="208">
        <v>122</v>
      </c>
      <c r="T38" s="217">
        <f t="shared" si="1"/>
        <v>27</v>
      </c>
      <c r="U38" s="208">
        <v>105</v>
      </c>
      <c r="V38" s="217">
        <f t="shared" si="2"/>
        <v>2835</v>
      </c>
      <c r="W38" s="208">
        <v>4</v>
      </c>
      <c r="X38" s="55" t="s">
        <v>46</v>
      </c>
      <c r="Y38" s="55" t="s">
        <v>88</v>
      </c>
      <c r="Z38" s="208" t="s">
        <v>78</v>
      </c>
      <c r="AA38" s="55" t="s">
        <v>102</v>
      </c>
      <c r="AB38" s="216" t="s">
        <v>350</v>
      </c>
    </row>
    <row r="39" spans="1:28" x14ac:dyDescent="0.15">
      <c r="A39" s="55" t="s">
        <v>56</v>
      </c>
      <c r="B39" s="55" t="s">
        <v>393</v>
      </c>
      <c r="C39" s="216">
        <v>2018</v>
      </c>
      <c r="D39" s="86" t="s">
        <v>394</v>
      </c>
      <c r="E39" s="216" t="s">
        <v>326</v>
      </c>
      <c r="F39" s="216" t="s">
        <v>406</v>
      </c>
      <c r="G39" s="55" t="s">
        <v>42</v>
      </c>
      <c r="H39" s="216" t="s">
        <v>157</v>
      </c>
      <c r="I39" s="55" t="s">
        <v>155</v>
      </c>
      <c r="J39" s="216" t="s">
        <v>38</v>
      </c>
      <c r="K39" s="216" t="s">
        <v>156</v>
      </c>
      <c r="L39" s="208">
        <v>2</v>
      </c>
      <c r="N39" s="208">
        <v>1</v>
      </c>
      <c r="O39" s="208">
        <v>0.8</v>
      </c>
      <c r="P39" s="208">
        <v>0.8</v>
      </c>
      <c r="Q39" s="217">
        <f t="shared" si="0"/>
        <v>0.8</v>
      </c>
      <c r="R39" s="208">
        <v>13.3</v>
      </c>
      <c r="S39" s="208">
        <v>119</v>
      </c>
      <c r="T39" s="217">
        <f t="shared" si="1"/>
        <v>30</v>
      </c>
      <c r="U39" s="208">
        <v>105</v>
      </c>
      <c r="V39" s="217">
        <f t="shared" si="2"/>
        <v>3150</v>
      </c>
      <c r="W39" s="208">
        <v>4</v>
      </c>
      <c r="X39" s="55" t="s">
        <v>46</v>
      </c>
      <c r="Y39" s="55" t="s">
        <v>88</v>
      </c>
      <c r="Z39" s="208" t="s">
        <v>78</v>
      </c>
      <c r="AA39" s="55" t="s">
        <v>102</v>
      </c>
      <c r="AB39" s="216" t="s">
        <v>350</v>
      </c>
    </row>
    <row r="40" spans="1:28" x14ac:dyDescent="0.15">
      <c r="A40" s="55" t="s">
        <v>56</v>
      </c>
      <c r="B40" s="55" t="s">
        <v>393</v>
      </c>
      <c r="C40" s="216">
        <v>2018</v>
      </c>
      <c r="D40" s="86" t="s">
        <v>394</v>
      </c>
      <c r="E40" s="216" t="s">
        <v>326</v>
      </c>
      <c r="F40" s="216" t="s">
        <v>406</v>
      </c>
      <c r="G40" s="55" t="s">
        <v>42</v>
      </c>
      <c r="H40" s="216" t="s">
        <v>157</v>
      </c>
      <c r="I40" s="55" t="s">
        <v>155</v>
      </c>
      <c r="J40" s="216" t="s">
        <v>38</v>
      </c>
      <c r="K40" s="216" t="s">
        <v>156</v>
      </c>
      <c r="L40" s="208">
        <v>3</v>
      </c>
      <c r="N40" s="208">
        <v>1</v>
      </c>
      <c r="O40" s="208">
        <v>0.8</v>
      </c>
      <c r="P40" s="208">
        <v>0.8</v>
      </c>
      <c r="Q40" s="217">
        <f t="shared" si="0"/>
        <v>0.8</v>
      </c>
      <c r="R40" s="208">
        <v>13.4</v>
      </c>
      <c r="S40" s="208">
        <v>126</v>
      </c>
      <c r="T40" s="217">
        <f t="shared" si="1"/>
        <v>27</v>
      </c>
      <c r="U40" s="208">
        <v>105</v>
      </c>
      <c r="V40" s="217">
        <f t="shared" si="2"/>
        <v>2835</v>
      </c>
      <c r="W40" s="208">
        <v>4</v>
      </c>
      <c r="X40" s="55" t="s">
        <v>46</v>
      </c>
      <c r="Y40" s="55" t="s">
        <v>88</v>
      </c>
      <c r="Z40" s="208" t="s">
        <v>78</v>
      </c>
      <c r="AA40" s="55" t="s">
        <v>102</v>
      </c>
      <c r="AB40" s="216" t="s">
        <v>350</v>
      </c>
    </row>
    <row r="41" spans="1:28" x14ac:dyDescent="0.15">
      <c r="A41" s="55" t="s">
        <v>56</v>
      </c>
      <c r="B41" s="55" t="s">
        <v>393</v>
      </c>
      <c r="C41" s="216">
        <v>2018</v>
      </c>
      <c r="D41" s="86" t="s">
        <v>394</v>
      </c>
      <c r="E41" s="216" t="s">
        <v>379</v>
      </c>
      <c r="F41" s="216" t="s">
        <v>406</v>
      </c>
      <c r="G41" s="55" t="s">
        <v>42</v>
      </c>
      <c r="H41" s="216" t="s">
        <v>157</v>
      </c>
      <c r="I41" s="55" t="s">
        <v>155</v>
      </c>
      <c r="J41" s="216" t="s">
        <v>38</v>
      </c>
      <c r="K41" s="216" t="s">
        <v>156</v>
      </c>
      <c r="L41" s="208">
        <v>1</v>
      </c>
      <c r="N41" s="208">
        <v>1</v>
      </c>
      <c r="O41" s="208">
        <v>0.6</v>
      </c>
      <c r="P41" s="208">
        <v>0.6</v>
      </c>
      <c r="Q41" s="217">
        <f t="shared" si="0"/>
        <v>0.6</v>
      </c>
      <c r="R41" s="208">
        <v>15.4</v>
      </c>
      <c r="S41" s="208">
        <v>137</v>
      </c>
      <c r="T41" s="217">
        <f t="shared" si="1"/>
        <v>25</v>
      </c>
      <c r="U41" s="208">
        <v>108</v>
      </c>
      <c r="V41" s="217">
        <f t="shared" si="2"/>
        <v>2700</v>
      </c>
      <c r="W41" s="208">
        <v>3</v>
      </c>
      <c r="X41" s="55" t="s">
        <v>46</v>
      </c>
      <c r="Y41" s="55" t="s">
        <v>88</v>
      </c>
      <c r="Z41" s="208" t="s">
        <v>78</v>
      </c>
      <c r="AA41" s="55" t="s">
        <v>102</v>
      </c>
      <c r="AB41" s="216" t="s">
        <v>350</v>
      </c>
    </row>
    <row r="42" spans="1:28" x14ac:dyDescent="0.15">
      <c r="A42" s="55" t="s">
        <v>56</v>
      </c>
      <c r="B42" s="55" t="s">
        <v>393</v>
      </c>
      <c r="C42" s="216">
        <v>2018</v>
      </c>
      <c r="D42" s="86" t="s">
        <v>394</v>
      </c>
      <c r="E42" s="216" t="s">
        <v>379</v>
      </c>
      <c r="F42" s="216" t="s">
        <v>406</v>
      </c>
      <c r="G42" s="55" t="s">
        <v>42</v>
      </c>
      <c r="H42" s="216" t="s">
        <v>157</v>
      </c>
      <c r="I42" s="55" t="s">
        <v>155</v>
      </c>
      <c r="J42" s="216" t="s">
        <v>38</v>
      </c>
      <c r="K42" s="216" t="s">
        <v>156</v>
      </c>
      <c r="L42" s="208">
        <v>2</v>
      </c>
      <c r="N42" s="208">
        <v>1</v>
      </c>
      <c r="O42" s="208">
        <v>0.65</v>
      </c>
      <c r="P42" s="208">
        <v>0.65</v>
      </c>
      <c r="Q42" s="217">
        <f t="shared" si="0"/>
        <v>0.65</v>
      </c>
      <c r="R42" s="208">
        <v>14.4</v>
      </c>
      <c r="S42" s="208">
        <v>136</v>
      </c>
      <c r="T42" s="217">
        <f t="shared" si="1"/>
        <v>25</v>
      </c>
      <c r="U42" s="208">
        <v>108</v>
      </c>
      <c r="V42" s="217">
        <f t="shared" si="2"/>
        <v>2700</v>
      </c>
      <c r="W42" s="208">
        <v>3</v>
      </c>
      <c r="X42" s="55" t="s">
        <v>46</v>
      </c>
      <c r="Y42" s="55" t="s">
        <v>88</v>
      </c>
      <c r="Z42" s="208" t="s">
        <v>78</v>
      </c>
      <c r="AA42" s="55" t="s">
        <v>102</v>
      </c>
      <c r="AB42" s="216" t="s">
        <v>350</v>
      </c>
    </row>
    <row r="43" spans="1:28" x14ac:dyDescent="0.15">
      <c r="A43" s="55" t="s">
        <v>56</v>
      </c>
      <c r="B43" s="55" t="s">
        <v>393</v>
      </c>
      <c r="C43" s="216">
        <v>2018</v>
      </c>
      <c r="D43" s="86" t="s">
        <v>394</v>
      </c>
      <c r="E43" s="216" t="s">
        <v>379</v>
      </c>
      <c r="F43" s="216" t="s">
        <v>406</v>
      </c>
      <c r="G43" s="55" t="s">
        <v>42</v>
      </c>
      <c r="H43" s="216" t="s">
        <v>157</v>
      </c>
      <c r="I43" s="55" t="s">
        <v>155</v>
      </c>
      <c r="J43" s="216" t="s">
        <v>38</v>
      </c>
      <c r="K43" s="216" t="s">
        <v>156</v>
      </c>
      <c r="L43" s="208">
        <v>3</v>
      </c>
      <c r="N43" s="208">
        <v>1</v>
      </c>
      <c r="O43" s="208">
        <v>0.7</v>
      </c>
      <c r="P43" s="208">
        <v>0.7</v>
      </c>
      <c r="Q43" s="217">
        <f t="shared" si="0"/>
        <v>0.7</v>
      </c>
      <c r="R43" s="208">
        <v>14.4</v>
      </c>
      <c r="S43" s="208">
        <v>150</v>
      </c>
      <c r="T43" s="217">
        <f t="shared" si="1"/>
        <v>22</v>
      </c>
      <c r="U43" s="208">
        <v>108</v>
      </c>
      <c r="V43" s="217">
        <f t="shared" si="2"/>
        <v>2376</v>
      </c>
      <c r="W43" s="208">
        <v>3</v>
      </c>
      <c r="X43" s="55" t="s">
        <v>46</v>
      </c>
      <c r="Y43" s="55" t="s">
        <v>88</v>
      </c>
      <c r="Z43" s="208" t="s">
        <v>78</v>
      </c>
      <c r="AA43" s="55" t="s">
        <v>102</v>
      </c>
      <c r="AB43" s="216" t="s">
        <v>350</v>
      </c>
    </row>
    <row r="44" spans="1:28" x14ac:dyDescent="0.15">
      <c r="A44" s="55" t="s">
        <v>56</v>
      </c>
      <c r="B44" s="55" t="s">
        <v>393</v>
      </c>
      <c r="C44" s="216">
        <v>2018</v>
      </c>
      <c r="D44" s="86" t="s">
        <v>394</v>
      </c>
      <c r="E44" s="216" t="s">
        <v>379</v>
      </c>
      <c r="F44" s="216" t="s">
        <v>406</v>
      </c>
      <c r="G44" s="55" t="s">
        <v>42</v>
      </c>
      <c r="H44" s="216" t="s">
        <v>157</v>
      </c>
      <c r="I44" s="55" t="s">
        <v>158</v>
      </c>
      <c r="J44" s="216" t="s">
        <v>38</v>
      </c>
      <c r="K44" s="216" t="s">
        <v>156</v>
      </c>
      <c r="L44" s="208">
        <v>1</v>
      </c>
      <c r="N44" s="208">
        <v>4</v>
      </c>
      <c r="O44" s="208">
        <v>0.8</v>
      </c>
      <c r="P44" s="208">
        <v>0.65</v>
      </c>
      <c r="Q44" s="217">
        <f t="shared" si="0"/>
        <v>0.72500000000000009</v>
      </c>
      <c r="R44" s="208">
        <v>13.4</v>
      </c>
      <c r="S44" s="208">
        <v>99</v>
      </c>
      <c r="T44" s="217">
        <f t="shared" si="1"/>
        <v>33</v>
      </c>
      <c r="U44" s="208">
        <v>430</v>
      </c>
      <c r="V44" s="217">
        <f t="shared" si="2"/>
        <v>3547.5</v>
      </c>
      <c r="W44" s="208">
        <v>1</v>
      </c>
      <c r="X44" s="55" t="s">
        <v>46</v>
      </c>
      <c r="Y44" s="55" t="s">
        <v>88</v>
      </c>
      <c r="Z44" s="208" t="s">
        <v>78</v>
      </c>
      <c r="AA44" s="55" t="s">
        <v>102</v>
      </c>
      <c r="AB44" s="216" t="s">
        <v>350</v>
      </c>
    </row>
    <row r="45" spans="1:28" x14ac:dyDescent="0.15">
      <c r="A45" s="55" t="s">
        <v>56</v>
      </c>
      <c r="B45" s="55" t="s">
        <v>393</v>
      </c>
      <c r="C45" s="216">
        <v>2018</v>
      </c>
      <c r="D45" s="86" t="s">
        <v>394</v>
      </c>
      <c r="E45" s="216" t="s">
        <v>379</v>
      </c>
      <c r="F45" s="216" t="s">
        <v>406</v>
      </c>
      <c r="G45" s="55" t="s">
        <v>42</v>
      </c>
      <c r="H45" s="216" t="s">
        <v>157</v>
      </c>
      <c r="I45" s="55" t="s">
        <v>158</v>
      </c>
      <c r="J45" s="216" t="s">
        <v>38</v>
      </c>
      <c r="K45" s="216" t="s">
        <v>156</v>
      </c>
      <c r="L45" s="208">
        <v>2</v>
      </c>
      <c r="N45" s="208">
        <v>4</v>
      </c>
      <c r="O45" s="208">
        <v>0.75</v>
      </c>
      <c r="P45" s="208">
        <v>0.85</v>
      </c>
      <c r="Q45" s="217">
        <f t="shared" si="0"/>
        <v>0.8</v>
      </c>
      <c r="R45" s="208">
        <v>12</v>
      </c>
      <c r="S45" s="208">
        <v>98</v>
      </c>
      <c r="T45" s="217">
        <f t="shared" si="1"/>
        <v>36</v>
      </c>
      <c r="U45" s="208">
        <v>430</v>
      </c>
      <c r="V45" s="217">
        <f t="shared" si="2"/>
        <v>3870</v>
      </c>
      <c r="W45" s="208">
        <v>1</v>
      </c>
      <c r="X45" s="55" t="s">
        <v>46</v>
      </c>
      <c r="Y45" s="55" t="s">
        <v>88</v>
      </c>
      <c r="Z45" s="208" t="s">
        <v>78</v>
      </c>
      <c r="AA45" s="55" t="s">
        <v>102</v>
      </c>
      <c r="AB45" s="216" t="s">
        <v>350</v>
      </c>
    </row>
    <row r="46" spans="1:28" x14ac:dyDescent="0.15">
      <c r="A46" s="55" t="s">
        <v>56</v>
      </c>
      <c r="B46" s="55" t="s">
        <v>393</v>
      </c>
      <c r="C46" s="216">
        <v>2018</v>
      </c>
      <c r="D46" s="86" t="s">
        <v>394</v>
      </c>
      <c r="E46" s="216" t="s">
        <v>379</v>
      </c>
      <c r="F46" s="216" t="s">
        <v>406</v>
      </c>
      <c r="G46" s="55" t="s">
        <v>42</v>
      </c>
      <c r="H46" s="216" t="s">
        <v>157</v>
      </c>
      <c r="I46" s="55" t="s">
        <v>158</v>
      </c>
      <c r="J46" s="216" t="s">
        <v>38</v>
      </c>
      <c r="K46" s="216" t="s">
        <v>156</v>
      </c>
      <c r="L46" s="208">
        <v>3</v>
      </c>
      <c r="N46" s="208">
        <v>4</v>
      </c>
      <c r="O46" s="208">
        <v>0.85</v>
      </c>
      <c r="P46" s="208">
        <v>0.8</v>
      </c>
      <c r="Q46" s="217">
        <f t="shared" si="0"/>
        <v>0.82499999999999996</v>
      </c>
      <c r="R46" s="208">
        <v>13.1</v>
      </c>
      <c r="S46" s="208">
        <v>90</v>
      </c>
      <c r="T46" s="217">
        <f t="shared" si="1"/>
        <v>36</v>
      </c>
      <c r="U46" s="208">
        <v>430</v>
      </c>
      <c r="V46" s="217">
        <f t="shared" si="2"/>
        <v>3870</v>
      </c>
      <c r="W46" s="208">
        <v>1</v>
      </c>
      <c r="X46" s="55" t="s">
        <v>46</v>
      </c>
      <c r="Y46" s="55" t="s">
        <v>88</v>
      </c>
      <c r="Z46" s="208" t="s">
        <v>78</v>
      </c>
      <c r="AA46" s="55" t="s">
        <v>102</v>
      </c>
      <c r="AB46" s="216" t="s">
        <v>350</v>
      </c>
    </row>
    <row r="47" spans="1:28" x14ac:dyDescent="0.15">
      <c r="A47" s="55" t="s">
        <v>56</v>
      </c>
      <c r="B47" s="55" t="s">
        <v>393</v>
      </c>
      <c r="C47" s="216">
        <v>2018</v>
      </c>
      <c r="D47" s="86" t="s">
        <v>394</v>
      </c>
      <c r="E47" s="216" t="s">
        <v>379</v>
      </c>
      <c r="F47" s="216" t="s">
        <v>406</v>
      </c>
      <c r="G47" s="55" t="s">
        <v>42</v>
      </c>
      <c r="H47" s="216" t="s">
        <v>168</v>
      </c>
      <c r="I47" s="55" t="s">
        <v>155</v>
      </c>
      <c r="J47" s="216" t="s">
        <v>38</v>
      </c>
      <c r="K47" s="216" t="s">
        <v>156</v>
      </c>
      <c r="L47" s="208">
        <v>1</v>
      </c>
      <c r="N47" s="208">
        <v>1</v>
      </c>
      <c r="O47" s="208">
        <v>0.6</v>
      </c>
      <c r="P47" s="208">
        <v>0.6</v>
      </c>
      <c r="Q47" s="217">
        <f t="shared" si="0"/>
        <v>0.6</v>
      </c>
      <c r="R47" s="208">
        <v>16.7</v>
      </c>
      <c r="S47" s="208">
        <v>143</v>
      </c>
      <c r="T47" s="217">
        <f t="shared" si="1"/>
        <v>22</v>
      </c>
      <c r="U47" s="208">
        <v>108</v>
      </c>
      <c r="V47" s="217">
        <f t="shared" si="2"/>
        <v>2376</v>
      </c>
      <c r="W47" s="208">
        <v>8</v>
      </c>
      <c r="X47" s="55" t="s">
        <v>46</v>
      </c>
      <c r="Y47" s="55" t="s">
        <v>88</v>
      </c>
      <c r="Z47" s="208" t="s">
        <v>78</v>
      </c>
      <c r="AA47" s="55" t="s">
        <v>102</v>
      </c>
      <c r="AB47" s="216" t="s">
        <v>350</v>
      </c>
    </row>
    <row r="48" spans="1:28" x14ac:dyDescent="0.15">
      <c r="A48" s="55" t="s">
        <v>56</v>
      </c>
      <c r="B48" s="55" t="s">
        <v>393</v>
      </c>
      <c r="C48" s="216">
        <v>2018</v>
      </c>
      <c r="D48" s="86" t="s">
        <v>394</v>
      </c>
      <c r="E48" s="216" t="s">
        <v>379</v>
      </c>
      <c r="F48" s="216" t="s">
        <v>406</v>
      </c>
      <c r="G48" s="55" t="s">
        <v>42</v>
      </c>
      <c r="H48" s="216" t="s">
        <v>168</v>
      </c>
      <c r="I48" s="55" t="s">
        <v>155</v>
      </c>
      <c r="J48" s="216" t="s">
        <v>38</v>
      </c>
      <c r="K48" s="216" t="s">
        <v>156</v>
      </c>
      <c r="L48" s="208">
        <v>2</v>
      </c>
      <c r="N48" s="208">
        <v>1</v>
      </c>
      <c r="O48" s="208">
        <v>0.55000000000000004</v>
      </c>
      <c r="P48" s="208">
        <v>0.55000000000000004</v>
      </c>
      <c r="Q48" s="217">
        <f t="shared" si="0"/>
        <v>0.55000000000000004</v>
      </c>
      <c r="R48" s="208">
        <v>15.8</v>
      </c>
      <c r="S48" s="208">
        <v>139</v>
      </c>
      <c r="T48" s="217">
        <f t="shared" si="1"/>
        <v>22</v>
      </c>
      <c r="U48" s="208">
        <v>108</v>
      </c>
      <c r="V48" s="217">
        <f t="shared" si="2"/>
        <v>2376</v>
      </c>
      <c r="W48" s="208">
        <v>8</v>
      </c>
      <c r="X48" s="55" t="s">
        <v>46</v>
      </c>
      <c r="Y48" s="55" t="s">
        <v>88</v>
      </c>
      <c r="Z48" s="208" t="s">
        <v>78</v>
      </c>
      <c r="AA48" s="55" t="s">
        <v>102</v>
      </c>
      <c r="AB48" s="216" t="s">
        <v>350</v>
      </c>
    </row>
    <row r="49" spans="1:28" x14ac:dyDescent="0.15">
      <c r="A49" s="55" t="s">
        <v>56</v>
      </c>
      <c r="B49" s="55" t="s">
        <v>393</v>
      </c>
      <c r="C49" s="216">
        <v>2018</v>
      </c>
      <c r="D49" s="86" t="s">
        <v>394</v>
      </c>
      <c r="E49" s="216" t="s">
        <v>379</v>
      </c>
      <c r="F49" s="216" t="s">
        <v>406</v>
      </c>
      <c r="G49" s="55" t="s">
        <v>42</v>
      </c>
      <c r="H49" s="216" t="s">
        <v>168</v>
      </c>
      <c r="I49" s="55" t="s">
        <v>155</v>
      </c>
      <c r="J49" s="216" t="s">
        <v>38</v>
      </c>
      <c r="K49" s="216" t="s">
        <v>156</v>
      </c>
      <c r="L49" s="208">
        <v>3</v>
      </c>
      <c r="N49" s="208">
        <v>1</v>
      </c>
      <c r="O49" s="208">
        <v>0.6</v>
      </c>
      <c r="P49" s="208">
        <v>0.6</v>
      </c>
      <c r="Q49" s="217">
        <f t="shared" si="0"/>
        <v>0.6</v>
      </c>
      <c r="R49" s="208">
        <v>15.5</v>
      </c>
      <c r="S49" s="208">
        <v>136</v>
      </c>
      <c r="T49" s="217">
        <f t="shared" si="1"/>
        <v>25</v>
      </c>
      <c r="U49" s="208">
        <v>108</v>
      </c>
      <c r="V49" s="217">
        <f t="shared" si="2"/>
        <v>2700</v>
      </c>
      <c r="W49" s="208">
        <v>8</v>
      </c>
      <c r="X49" s="55" t="s">
        <v>46</v>
      </c>
      <c r="Y49" s="55" t="s">
        <v>88</v>
      </c>
      <c r="Z49" s="208" t="s">
        <v>78</v>
      </c>
      <c r="AA49" s="55" t="s">
        <v>102</v>
      </c>
      <c r="AB49" s="216" t="s">
        <v>350</v>
      </c>
    </row>
    <row r="50" spans="1:28" x14ac:dyDescent="0.15">
      <c r="A50" s="55" t="s">
        <v>56</v>
      </c>
      <c r="B50" s="55" t="s">
        <v>393</v>
      </c>
      <c r="C50" s="216">
        <v>2018</v>
      </c>
      <c r="D50" s="86" t="s">
        <v>394</v>
      </c>
      <c r="E50" s="216" t="s">
        <v>411</v>
      </c>
      <c r="F50" s="216" t="s">
        <v>406</v>
      </c>
      <c r="G50" s="55" t="s">
        <v>42</v>
      </c>
      <c r="H50" s="216" t="s">
        <v>157</v>
      </c>
      <c r="I50" s="55" t="s">
        <v>155</v>
      </c>
      <c r="J50" s="216" t="s">
        <v>38</v>
      </c>
      <c r="K50" s="216" t="s">
        <v>156</v>
      </c>
      <c r="L50" s="208">
        <v>1</v>
      </c>
      <c r="N50" s="208">
        <v>1</v>
      </c>
      <c r="O50" s="208">
        <v>0.55000000000000004</v>
      </c>
      <c r="P50" s="208">
        <v>0.55000000000000004</v>
      </c>
      <c r="Q50" s="217">
        <f t="shared" si="0"/>
        <v>0.55000000000000004</v>
      </c>
      <c r="R50" s="208">
        <v>15.4</v>
      </c>
      <c r="S50" s="208">
        <v>138</v>
      </c>
      <c r="T50" s="217">
        <f t="shared" si="1"/>
        <v>22</v>
      </c>
      <c r="U50" s="208">
        <v>106</v>
      </c>
      <c r="V50" s="217">
        <f t="shared" si="2"/>
        <v>2332</v>
      </c>
      <c r="W50" s="208">
        <v>1</v>
      </c>
      <c r="X50" s="55" t="s">
        <v>46</v>
      </c>
      <c r="Y50" s="55" t="s">
        <v>88</v>
      </c>
      <c r="Z50" s="208" t="s">
        <v>78</v>
      </c>
      <c r="AA50" s="55" t="s">
        <v>102</v>
      </c>
      <c r="AB50" s="216" t="s">
        <v>350</v>
      </c>
    </row>
    <row r="51" spans="1:28" x14ac:dyDescent="0.15">
      <c r="A51" s="55" t="s">
        <v>56</v>
      </c>
      <c r="B51" s="55" t="s">
        <v>393</v>
      </c>
      <c r="C51" s="216">
        <v>2018</v>
      </c>
      <c r="D51" s="86" t="s">
        <v>394</v>
      </c>
      <c r="E51" s="216" t="s">
        <v>411</v>
      </c>
      <c r="F51" s="216" t="s">
        <v>406</v>
      </c>
      <c r="G51" s="55" t="s">
        <v>42</v>
      </c>
      <c r="H51" s="216" t="s">
        <v>157</v>
      </c>
      <c r="I51" s="55" t="s">
        <v>155</v>
      </c>
      <c r="J51" s="216" t="s">
        <v>38</v>
      </c>
      <c r="K51" s="216" t="s">
        <v>156</v>
      </c>
      <c r="L51" s="208">
        <v>2</v>
      </c>
      <c r="N51" s="208">
        <v>1</v>
      </c>
      <c r="O51" s="208">
        <v>0.6</v>
      </c>
      <c r="P51" s="208">
        <v>0.6</v>
      </c>
      <c r="Q51" s="217">
        <f t="shared" si="0"/>
        <v>0.6</v>
      </c>
      <c r="R51" s="208">
        <v>15.8</v>
      </c>
      <c r="S51" s="208">
        <v>138</v>
      </c>
      <c r="T51" s="217">
        <f t="shared" si="1"/>
        <v>22</v>
      </c>
      <c r="U51" s="208">
        <v>106</v>
      </c>
      <c r="V51" s="217">
        <f t="shared" si="2"/>
        <v>2332</v>
      </c>
      <c r="W51" s="208">
        <v>1</v>
      </c>
      <c r="X51" s="55" t="s">
        <v>46</v>
      </c>
      <c r="Y51" s="55" t="s">
        <v>88</v>
      </c>
      <c r="Z51" s="208" t="s">
        <v>78</v>
      </c>
      <c r="AA51" s="55" t="s">
        <v>102</v>
      </c>
      <c r="AB51" s="216" t="s">
        <v>350</v>
      </c>
    </row>
    <row r="52" spans="1:28" x14ac:dyDescent="0.15">
      <c r="A52" s="55" t="s">
        <v>56</v>
      </c>
      <c r="B52" s="55" t="s">
        <v>393</v>
      </c>
      <c r="C52" s="216">
        <v>2018</v>
      </c>
      <c r="D52" s="86" t="s">
        <v>394</v>
      </c>
      <c r="E52" s="216" t="s">
        <v>411</v>
      </c>
      <c r="F52" s="216" t="s">
        <v>406</v>
      </c>
      <c r="G52" s="55" t="s">
        <v>42</v>
      </c>
      <c r="H52" s="216" t="s">
        <v>157</v>
      </c>
      <c r="I52" s="55" t="s">
        <v>155</v>
      </c>
      <c r="J52" s="216" t="s">
        <v>38</v>
      </c>
      <c r="K52" s="216" t="s">
        <v>156</v>
      </c>
      <c r="L52" s="208">
        <v>3</v>
      </c>
      <c r="N52" s="208">
        <v>1</v>
      </c>
      <c r="O52" s="208">
        <v>0.6</v>
      </c>
      <c r="P52" s="208">
        <v>0.6</v>
      </c>
      <c r="Q52" s="217">
        <f t="shared" si="0"/>
        <v>0.6</v>
      </c>
      <c r="R52" s="208">
        <v>15.8</v>
      </c>
      <c r="S52" s="208">
        <v>143</v>
      </c>
      <c r="T52" s="217">
        <f t="shared" si="1"/>
        <v>22</v>
      </c>
      <c r="U52" s="208">
        <v>106</v>
      </c>
      <c r="V52" s="217">
        <f t="shared" si="2"/>
        <v>2332</v>
      </c>
      <c r="W52" s="208">
        <v>1</v>
      </c>
      <c r="X52" s="55" t="s">
        <v>46</v>
      </c>
      <c r="Y52" s="55" t="s">
        <v>88</v>
      </c>
      <c r="Z52" s="208" t="s">
        <v>78</v>
      </c>
      <c r="AA52" s="55" t="s">
        <v>102</v>
      </c>
      <c r="AB52" s="216" t="s">
        <v>350</v>
      </c>
    </row>
    <row r="53" spans="1:28" x14ac:dyDescent="0.15">
      <c r="A53" s="55" t="s">
        <v>56</v>
      </c>
      <c r="B53" s="55" t="s">
        <v>393</v>
      </c>
      <c r="C53" s="216">
        <v>2018</v>
      </c>
      <c r="D53" s="86" t="s">
        <v>394</v>
      </c>
      <c r="E53" s="216" t="s">
        <v>411</v>
      </c>
      <c r="F53" s="216" t="s">
        <v>406</v>
      </c>
      <c r="G53" s="55" t="s">
        <v>42</v>
      </c>
      <c r="H53" s="216" t="s">
        <v>157</v>
      </c>
      <c r="I53" s="55" t="s">
        <v>155</v>
      </c>
      <c r="J53" s="216" t="s">
        <v>38</v>
      </c>
      <c r="K53" s="216" t="s">
        <v>156</v>
      </c>
      <c r="L53" s="208">
        <v>1</v>
      </c>
      <c r="N53" s="208">
        <v>5</v>
      </c>
      <c r="O53" s="208">
        <v>0.75</v>
      </c>
      <c r="P53" s="208">
        <v>0.75</v>
      </c>
      <c r="Q53" s="217">
        <f t="shared" si="0"/>
        <v>0.75</v>
      </c>
      <c r="R53" s="208">
        <v>14.5</v>
      </c>
      <c r="S53" s="208">
        <v>115</v>
      </c>
      <c r="T53" s="217">
        <f t="shared" si="1"/>
        <v>30</v>
      </c>
      <c r="U53" s="208">
        <v>646</v>
      </c>
      <c r="V53" s="217">
        <f t="shared" si="2"/>
        <v>3875.9999999999995</v>
      </c>
      <c r="W53" s="208">
        <v>10</v>
      </c>
      <c r="X53" s="55" t="s">
        <v>46</v>
      </c>
      <c r="Y53" s="55" t="s">
        <v>88</v>
      </c>
      <c r="Z53" s="208" t="s">
        <v>78</v>
      </c>
      <c r="AA53" s="55" t="s">
        <v>102</v>
      </c>
      <c r="AB53" s="216" t="s">
        <v>350</v>
      </c>
    </row>
    <row r="54" spans="1:28" x14ac:dyDescent="0.15">
      <c r="A54" s="55" t="s">
        <v>56</v>
      </c>
      <c r="B54" s="55" t="s">
        <v>393</v>
      </c>
      <c r="C54" s="216">
        <v>2018</v>
      </c>
      <c r="D54" s="86" t="s">
        <v>394</v>
      </c>
      <c r="E54" s="216" t="s">
        <v>411</v>
      </c>
      <c r="F54" s="216" t="s">
        <v>406</v>
      </c>
      <c r="G54" s="55" t="s">
        <v>42</v>
      </c>
      <c r="H54" s="216" t="s">
        <v>157</v>
      </c>
      <c r="I54" s="55" t="s">
        <v>155</v>
      </c>
      <c r="J54" s="216" t="s">
        <v>38</v>
      </c>
      <c r="K54" s="216" t="s">
        <v>156</v>
      </c>
      <c r="L54" s="208">
        <v>2</v>
      </c>
      <c r="N54" s="208">
        <v>5</v>
      </c>
      <c r="O54" s="208">
        <v>0.65</v>
      </c>
      <c r="P54" s="208">
        <v>0.65</v>
      </c>
      <c r="Q54" s="217">
        <f t="shared" si="0"/>
        <v>0.65</v>
      </c>
      <c r="R54" s="208">
        <v>14.5</v>
      </c>
      <c r="S54" s="208">
        <v>115</v>
      </c>
      <c r="T54" s="217">
        <f t="shared" si="1"/>
        <v>30</v>
      </c>
      <c r="U54" s="208">
        <v>646</v>
      </c>
      <c r="V54" s="217">
        <f t="shared" si="2"/>
        <v>3875.9999999999995</v>
      </c>
      <c r="W54" s="208">
        <v>10</v>
      </c>
      <c r="X54" s="55" t="s">
        <v>46</v>
      </c>
      <c r="Y54" s="55" t="s">
        <v>88</v>
      </c>
      <c r="Z54" s="208" t="s">
        <v>78</v>
      </c>
      <c r="AA54" s="55" t="s">
        <v>102</v>
      </c>
      <c r="AB54" s="216" t="s">
        <v>350</v>
      </c>
    </row>
    <row r="55" spans="1:28" x14ac:dyDescent="0.15">
      <c r="A55" s="55" t="s">
        <v>56</v>
      </c>
      <c r="B55" s="55" t="s">
        <v>393</v>
      </c>
      <c r="C55" s="216">
        <v>2018</v>
      </c>
      <c r="D55" s="86" t="s">
        <v>394</v>
      </c>
      <c r="E55" s="216" t="s">
        <v>411</v>
      </c>
      <c r="F55" s="216" t="s">
        <v>406</v>
      </c>
      <c r="G55" s="55" t="s">
        <v>42</v>
      </c>
      <c r="H55" s="216" t="s">
        <v>157</v>
      </c>
      <c r="I55" s="55" t="s">
        <v>155</v>
      </c>
      <c r="J55" s="216" t="s">
        <v>38</v>
      </c>
      <c r="K55" s="216" t="s">
        <v>156</v>
      </c>
      <c r="L55" s="208">
        <v>3</v>
      </c>
      <c r="N55" s="208">
        <v>5</v>
      </c>
      <c r="O55" s="208">
        <v>0.6</v>
      </c>
      <c r="P55" s="208">
        <v>0.6</v>
      </c>
      <c r="Q55" s="217">
        <f t="shared" si="0"/>
        <v>0.6</v>
      </c>
      <c r="R55" s="208">
        <v>13.6</v>
      </c>
      <c r="S55" s="208">
        <v>118</v>
      </c>
      <c r="T55" s="217">
        <f t="shared" si="1"/>
        <v>30</v>
      </c>
      <c r="U55" s="208">
        <v>646</v>
      </c>
      <c r="V55" s="217">
        <f t="shared" si="2"/>
        <v>3875.9999999999995</v>
      </c>
      <c r="W55" s="208">
        <v>10</v>
      </c>
      <c r="X55" s="55" t="s">
        <v>46</v>
      </c>
      <c r="Y55" s="55" t="s">
        <v>88</v>
      </c>
      <c r="Z55" s="208" t="s">
        <v>78</v>
      </c>
      <c r="AA55" s="55" t="s">
        <v>102</v>
      </c>
      <c r="AB55" s="216" t="s">
        <v>350</v>
      </c>
    </row>
    <row r="56" spans="1:28" x14ac:dyDescent="0.15">
      <c r="A56" s="55"/>
      <c r="B56" s="55"/>
      <c r="C56" s="216"/>
      <c r="D56" s="86"/>
      <c r="E56" s="216"/>
      <c r="F56" s="216"/>
      <c r="G56" s="55"/>
      <c r="H56" s="216"/>
      <c r="I56" s="55"/>
      <c r="J56" s="216"/>
      <c r="K56" s="216"/>
      <c r="X56" s="55"/>
      <c r="Y56" s="55"/>
      <c r="AA56" s="55"/>
    </row>
    <row r="57" spans="1:28" x14ac:dyDescent="0.15">
      <c r="A57" s="55"/>
      <c r="B57" s="55"/>
      <c r="C57" s="216"/>
      <c r="D57" s="86"/>
      <c r="E57" s="216"/>
      <c r="F57" s="216"/>
      <c r="G57" s="55"/>
      <c r="H57" s="216"/>
      <c r="I57" s="55"/>
      <c r="J57" s="216"/>
      <c r="K57" s="216"/>
      <c r="X57" s="55"/>
      <c r="Y57" s="55"/>
      <c r="AA57" s="55"/>
    </row>
    <row r="58" spans="1:28" x14ac:dyDescent="0.15">
      <c r="A58" s="55"/>
      <c r="B58" s="55"/>
      <c r="C58" s="216"/>
      <c r="D58" s="86"/>
      <c r="E58" s="216"/>
      <c r="F58" s="216"/>
      <c r="G58" s="55"/>
      <c r="H58" s="216"/>
      <c r="I58" s="55"/>
      <c r="J58" s="216"/>
      <c r="K58" s="216"/>
      <c r="X58" s="55"/>
      <c r="Y58" s="55"/>
      <c r="AA58" s="55"/>
    </row>
    <row r="59" spans="1:28" x14ac:dyDescent="0.15">
      <c r="A59" s="55"/>
      <c r="B59" s="55"/>
      <c r="C59" s="216"/>
      <c r="D59" s="86"/>
      <c r="E59" s="216"/>
      <c r="F59" s="216"/>
      <c r="G59" s="55"/>
      <c r="H59" s="216"/>
      <c r="I59" s="55"/>
      <c r="J59" s="216"/>
      <c r="K59" s="216"/>
      <c r="X59" s="55"/>
      <c r="Y59" s="55"/>
      <c r="AA59" s="55"/>
    </row>
    <row r="60" spans="1:28" x14ac:dyDescent="0.15">
      <c r="A60" s="55"/>
      <c r="B60" s="55"/>
      <c r="C60" s="216"/>
      <c r="D60" s="86"/>
      <c r="E60" s="216"/>
      <c r="F60" s="216"/>
      <c r="G60" s="55"/>
      <c r="H60" s="216"/>
      <c r="I60" s="55"/>
      <c r="J60" s="216"/>
      <c r="K60" s="216"/>
      <c r="X60" s="55"/>
      <c r="Y60" s="55"/>
      <c r="AA60" s="55"/>
    </row>
    <row r="61" spans="1:28" x14ac:dyDescent="0.15">
      <c r="A61" s="55"/>
      <c r="B61" s="55"/>
      <c r="C61" s="216"/>
      <c r="D61" s="86"/>
      <c r="E61" s="216"/>
      <c r="F61" s="216"/>
      <c r="G61" s="55"/>
      <c r="H61" s="216"/>
      <c r="I61" s="55"/>
      <c r="J61" s="216"/>
      <c r="K61" s="216"/>
      <c r="X61" s="55"/>
      <c r="Y61" s="55"/>
      <c r="AA61" s="55"/>
    </row>
    <row r="62" spans="1:28" x14ac:dyDescent="0.15">
      <c r="A62" s="55"/>
      <c r="B62" s="55"/>
      <c r="C62" s="216"/>
      <c r="D62" s="86"/>
      <c r="E62" s="216"/>
      <c r="F62" s="216"/>
      <c r="G62" s="55"/>
      <c r="H62" s="216"/>
      <c r="I62" s="55"/>
      <c r="J62" s="216"/>
      <c r="K62" s="216"/>
      <c r="X62" s="55"/>
      <c r="Y62" s="55"/>
      <c r="AA62" s="55"/>
    </row>
    <row r="63" spans="1:28" x14ac:dyDescent="0.15">
      <c r="A63" s="55"/>
      <c r="B63" s="55"/>
      <c r="C63" s="216"/>
      <c r="D63" s="86"/>
      <c r="E63" s="216"/>
      <c r="F63" s="216"/>
      <c r="G63" s="55"/>
      <c r="H63" s="216"/>
      <c r="I63" s="55"/>
      <c r="J63" s="216"/>
      <c r="K63" s="216"/>
      <c r="X63" s="55"/>
      <c r="Y63" s="55"/>
      <c r="AA63" s="55"/>
    </row>
    <row r="64" spans="1:28" x14ac:dyDescent="0.15">
      <c r="A64" s="55"/>
      <c r="B64" s="55"/>
      <c r="C64" s="216"/>
      <c r="D64" s="86"/>
      <c r="E64" s="216"/>
      <c r="F64" s="216"/>
      <c r="G64" s="55"/>
      <c r="H64" s="216"/>
      <c r="I64" s="55"/>
      <c r="J64" s="216"/>
      <c r="K64" s="216"/>
      <c r="X64" s="55"/>
      <c r="Y64" s="55"/>
      <c r="AA64" s="55"/>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3"/>
  <sheetViews>
    <sheetView zoomScale="70" zoomScaleNormal="70" workbookViewId="0">
      <selection activeCell="M16" sqref="M16"/>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187</v>
      </c>
      <c r="C1" s="90" t="s">
        <v>188</v>
      </c>
      <c r="D1" s="91" t="s">
        <v>3</v>
      </c>
      <c r="E1" s="92" t="s">
        <v>4</v>
      </c>
      <c r="F1" s="92" t="s">
        <v>5</v>
      </c>
      <c r="G1" s="92" t="s">
        <v>6</v>
      </c>
      <c r="H1" s="92" t="s">
        <v>7</v>
      </c>
      <c r="I1" s="92" t="s">
        <v>8</v>
      </c>
      <c r="J1" s="92" t="s">
        <v>9</v>
      </c>
      <c r="K1" s="92" t="s">
        <v>10</v>
      </c>
      <c r="L1" s="91" t="s">
        <v>189</v>
      </c>
      <c r="M1" s="91" t="s">
        <v>190</v>
      </c>
      <c r="N1" s="91" t="s">
        <v>13</v>
      </c>
      <c r="O1" s="91" t="s">
        <v>191</v>
      </c>
      <c r="P1" s="91" t="s">
        <v>192</v>
      </c>
      <c r="Q1" s="93" t="s">
        <v>193</v>
      </c>
      <c r="R1" s="91" t="s">
        <v>194</v>
      </c>
      <c r="S1" s="91" t="s">
        <v>195</v>
      </c>
      <c r="T1" s="93" t="s">
        <v>19</v>
      </c>
      <c r="U1" s="94" t="s">
        <v>108</v>
      </c>
      <c r="V1" s="95" t="s">
        <v>20</v>
      </c>
      <c r="W1" s="91" t="s">
        <v>196</v>
      </c>
      <c r="X1" s="92" t="s">
        <v>22</v>
      </c>
      <c r="Y1" s="92" t="s">
        <v>23</v>
      </c>
      <c r="Z1" s="92" t="s">
        <v>24</v>
      </c>
      <c r="AA1" s="96" t="s">
        <v>25</v>
      </c>
      <c r="AB1" s="97" t="s">
        <v>197</v>
      </c>
      <c r="AE1" s="99" t="s">
        <v>0</v>
      </c>
      <c r="AF1" s="100"/>
      <c r="AG1" s="99" t="s">
        <v>4</v>
      </c>
      <c r="AH1" s="99" t="s">
        <v>5</v>
      </c>
      <c r="AI1" s="100"/>
      <c r="AJ1" s="99" t="s">
        <v>6</v>
      </c>
      <c r="AK1" s="100"/>
      <c r="AL1" s="101" t="s">
        <v>7</v>
      </c>
      <c r="AM1" s="100"/>
      <c r="AN1" s="101" t="s">
        <v>8</v>
      </c>
      <c r="AO1" s="100"/>
      <c r="AP1" s="101" t="s">
        <v>27</v>
      </c>
      <c r="AQ1" s="100"/>
      <c r="AR1" s="101" t="s">
        <v>10</v>
      </c>
      <c r="AS1" s="100"/>
      <c r="AT1" s="102" t="s">
        <v>198</v>
      </c>
      <c r="AU1" s="100"/>
      <c r="AV1" s="101" t="s">
        <v>29</v>
      </c>
      <c r="AX1" s="103" t="s">
        <v>199</v>
      </c>
      <c r="AY1" s="104" t="s">
        <v>200</v>
      </c>
      <c r="AZ1" s="104" t="s">
        <v>201</v>
      </c>
      <c r="BA1" s="105" t="s">
        <v>202</v>
      </c>
    </row>
    <row r="2" spans="1:53" s="246" customFormat="1" x14ac:dyDescent="0.15">
      <c r="A2" s="246" t="s">
        <v>51</v>
      </c>
      <c r="B2" s="246" t="s">
        <v>348</v>
      </c>
      <c r="C2" s="246">
        <v>2018</v>
      </c>
      <c r="D2" s="106" t="s">
        <v>413</v>
      </c>
      <c r="E2" s="246" t="s">
        <v>203</v>
      </c>
      <c r="F2" s="246" t="s">
        <v>204</v>
      </c>
      <c r="G2" s="246" t="s">
        <v>42</v>
      </c>
      <c r="H2" s="246" t="s">
        <v>157</v>
      </c>
      <c r="I2" s="246" t="s">
        <v>155</v>
      </c>
      <c r="J2" s="246" t="s">
        <v>38</v>
      </c>
      <c r="K2" s="246" t="s">
        <v>156</v>
      </c>
      <c r="L2" s="246">
        <v>1</v>
      </c>
      <c r="N2" s="246">
        <v>1</v>
      </c>
      <c r="O2" s="246">
        <v>0.8</v>
      </c>
      <c r="P2" s="246">
        <v>1</v>
      </c>
      <c r="Q2" s="107">
        <f t="shared" ref="Q2:Q65" si="0">IF(OR(O2="",P2=""),"",AVERAGE(O2,P2))</f>
        <v>0.9</v>
      </c>
      <c r="R2" s="246">
        <v>15.5</v>
      </c>
      <c r="S2" s="246">
        <v>134</v>
      </c>
      <c r="T2" s="108">
        <f t="shared" ref="T2:T65" si="1">IF(H2="","",IF(OR(H2="GREEN",H2="GK"),IF(S2&gt;=$AX$2,VLOOKUP(S2,$AX$2:$AY$9,2,1),""),IF(S2&gt;=$AZ$2,VLOOKUP(S2,$AZ$2:$BA$9,2,1),"")))</f>
        <v>25</v>
      </c>
      <c r="U2" s="246">
        <v>98</v>
      </c>
      <c r="V2" s="109">
        <f t="shared" ref="V2:V65" si="2">IF(OR(N2="",U2="",T2=""),"",U2/N2*T2)</f>
        <v>2450</v>
      </c>
      <c r="W2" s="246">
        <v>4</v>
      </c>
      <c r="X2" s="246" t="s">
        <v>39</v>
      </c>
      <c r="Y2" s="246" t="s">
        <v>69</v>
      </c>
      <c r="Z2" s="246" t="s">
        <v>88</v>
      </c>
      <c r="AA2" s="246" t="s">
        <v>97</v>
      </c>
      <c r="AB2" s="246" t="s">
        <v>350</v>
      </c>
      <c r="AE2" s="110" t="s">
        <v>35</v>
      </c>
      <c r="AG2" s="111" t="s">
        <v>175</v>
      </c>
      <c r="AH2" s="111" t="s">
        <v>205</v>
      </c>
      <c r="AJ2" s="111" t="s">
        <v>36</v>
      </c>
      <c r="AL2" s="111" t="s">
        <v>206</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348</v>
      </c>
      <c r="C3" s="246">
        <v>2018</v>
      </c>
      <c r="D3" s="106" t="s">
        <v>413</v>
      </c>
      <c r="E3" s="246" t="s">
        <v>203</v>
      </c>
      <c r="F3" s="246" t="s">
        <v>204</v>
      </c>
      <c r="G3" s="246" t="s">
        <v>42</v>
      </c>
      <c r="H3" s="246" t="s">
        <v>157</v>
      </c>
      <c r="I3" s="246" t="s">
        <v>155</v>
      </c>
      <c r="J3" s="246" t="s">
        <v>38</v>
      </c>
      <c r="K3" s="246" t="s">
        <v>156</v>
      </c>
      <c r="L3" s="246">
        <v>2</v>
      </c>
      <c r="M3" s="246"/>
      <c r="N3" s="246">
        <v>1</v>
      </c>
      <c r="O3" s="246">
        <v>0.85</v>
      </c>
      <c r="P3" s="246">
        <v>0.85</v>
      </c>
      <c r="Q3" s="107">
        <f t="shared" si="0"/>
        <v>0.85</v>
      </c>
      <c r="R3" s="246">
        <v>15.7</v>
      </c>
      <c r="S3" s="246">
        <v>134</v>
      </c>
      <c r="T3" s="108">
        <f t="shared" si="1"/>
        <v>25</v>
      </c>
      <c r="U3" s="246">
        <v>98</v>
      </c>
      <c r="V3" s="109">
        <f t="shared" si="2"/>
        <v>2450</v>
      </c>
      <c r="W3" s="246">
        <v>4</v>
      </c>
      <c r="X3" s="246" t="s">
        <v>39</v>
      </c>
      <c r="Y3" s="246" t="s">
        <v>69</v>
      </c>
      <c r="Z3" s="246" t="s">
        <v>88</v>
      </c>
      <c r="AA3" s="246" t="s">
        <v>97</v>
      </c>
      <c r="AB3" s="246" t="s">
        <v>350</v>
      </c>
      <c r="AE3" s="116" t="s">
        <v>41</v>
      </c>
      <c r="AG3" s="111" t="s">
        <v>207</v>
      </c>
      <c r="AH3" s="111" t="s">
        <v>208</v>
      </c>
      <c r="AJ3" s="117" t="s">
        <v>42</v>
      </c>
      <c r="AL3" s="117" t="s">
        <v>209</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348</v>
      </c>
      <c r="C4" s="246">
        <v>2018</v>
      </c>
      <c r="D4" s="106" t="s">
        <v>413</v>
      </c>
      <c r="E4" s="246" t="s">
        <v>203</v>
      </c>
      <c r="F4" s="246" t="s">
        <v>204</v>
      </c>
      <c r="G4" s="246" t="s">
        <v>42</v>
      </c>
      <c r="H4" s="246" t="s">
        <v>157</v>
      </c>
      <c r="I4" s="246" t="s">
        <v>155</v>
      </c>
      <c r="J4" s="246" t="s">
        <v>38</v>
      </c>
      <c r="K4" s="246" t="s">
        <v>156</v>
      </c>
      <c r="L4" s="246">
        <v>3</v>
      </c>
      <c r="M4" s="246"/>
      <c r="N4" s="246">
        <v>1</v>
      </c>
      <c r="O4" s="246">
        <v>0.85</v>
      </c>
      <c r="P4" s="246">
        <v>0.75</v>
      </c>
      <c r="Q4" s="107">
        <f t="shared" si="0"/>
        <v>0.8</v>
      </c>
      <c r="R4" s="246">
        <v>16</v>
      </c>
      <c r="S4" s="246">
        <v>136</v>
      </c>
      <c r="T4" s="108">
        <f t="shared" si="1"/>
        <v>25</v>
      </c>
      <c r="U4" s="246">
        <v>98</v>
      </c>
      <c r="V4" s="109">
        <f t="shared" si="2"/>
        <v>2450</v>
      </c>
      <c r="W4" s="246">
        <v>4</v>
      </c>
      <c r="X4" s="246" t="s">
        <v>39</v>
      </c>
      <c r="Y4" s="246" t="s">
        <v>69</v>
      </c>
      <c r="Z4" s="246" t="s">
        <v>88</v>
      </c>
      <c r="AA4" s="246" t="s">
        <v>97</v>
      </c>
      <c r="AB4" s="246" t="s">
        <v>350</v>
      </c>
      <c r="AE4" s="116" t="s">
        <v>34</v>
      </c>
      <c r="AG4" s="111" t="s">
        <v>210</v>
      </c>
      <c r="AH4" s="111" t="s">
        <v>211</v>
      </c>
      <c r="AJ4" s="122" t="s">
        <v>48</v>
      </c>
      <c r="AL4" s="122" t="s">
        <v>212</v>
      </c>
      <c r="AN4" s="123" t="s">
        <v>213</v>
      </c>
      <c r="AP4" s="117" t="s">
        <v>214</v>
      </c>
      <c r="AR4" s="118" t="s">
        <v>215</v>
      </c>
      <c r="AT4" s="123"/>
      <c r="AV4" s="117" t="s">
        <v>50</v>
      </c>
      <c r="AX4" s="119">
        <v>75</v>
      </c>
      <c r="AY4" s="120">
        <v>42</v>
      </c>
      <c r="AZ4" s="120">
        <v>76</v>
      </c>
      <c r="BA4" s="121">
        <v>39</v>
      </c>
    </row>
    <row r="5" spans="1:53" s="115" customFormat="1" x14ac:dyDescent="0.15">
      <c r="A5" s="246" t="s">
        <v>51</v>
      </c>
      <c r="B5" s="246" t="s">
        <v>348</v>
      </c>
      <c r="C5" s="246">
        <v>2018</v>
      </c>
      <c r="D5" s="106" t="s">
        <v>413</v>
      </c>
      <c r="E5" s="246" t="s">
        <v>203</v>
      </c>
      <c r="F5" s="246" t="s">
        <v>204</v>
      </c>
      <c r="G5" s="246" t="s">
        <v>42</v>
      </c>
      <c r="H5" s="246" t="s">
        <v>168</v>
      </c>
      <c r="I5" s="246" t="s">
        <v>155</v>
      </c>
      <c r="J5" s="246" t="s">
        <v>38</v>
      </c>
      <c r="K5" s="246" t="s">
        <v>156</v>
      </c>
      <c r="L5" s="246">
        <v>1</v>
      </c>
      <c r="M5" s="246"/>
      <c r="N5" s="246">
        <v>1</v>
      </c>
      <c r="O5" s="246">
        <v>0.6</v>
      </c>
      <c r="P5" s="246">
        <v>0.7</v>
      </c>
      <c r="Q5" s="107">
        <f t="shared" si="0"/>
        <v>0.64999999999999991</v>
      </c>
      <c r="R5" s="246">
        <v>15.5</v>
      </c>
      <c r="S5" s="246">
        <v>136</v>
      </c>
      <c r="T5" s="108">
        <f t="shared" si="1"/>
        <v>25</v>
      </c>
      <c r="U5" s="246">
        <v>128</v>
      </c>
      <c r="V5" s="109">
        <f t="shared" si="2"/>
        <v>3200</v>
      </c>
      <c r="W5" s="246">
        <v>4</v>
      </c>
      <c r="X5" s="246" t="s">
        <v>39</v>
      </c>
      <c r="Y5" s="246" t="s">
        <v>69</v>
      </c>
      <c r="Z5" s="246" t="s">
        <v>88</v>
      </c>
      <c r="AA5" s="246" t="s">
        <v>97</v>
      </c>
      <c r="AB5" s="246" t="s">
        <v>350</v>
      </c>
      <c r="AE5" s="116" t="s">
        <v>59</v>
      </c>
      <c r="AG5" s="111" t="s">
        <v>220</v>
      </c>
      <c r="AH5" s="111" t="s">
        <v>221</v>
      </c>
      <c r="AL5" s="115" t="s">
        <v>168</v>
      </c>
      <c r="AP5" s="117" t="s">
        <v>62</v>
      </c>
      <c r="AR5" s="118" t="s">
        <v>81</v>
      </c>
      <c r="AV5" s="117" t="s">
        <v>97</v>
      </c>
      <c r="AX5" s="119">
        <v>119</v>
      </c>
      <c r="AY5" s="120">
        <v>30</v>
      </c>
      <c r="AZ5" s="120">
        <v>121</v>
      </c>
      <c r="BA5" s="121">
        <v>27</v>
      </c>
    </row>
    <row r="6" spans="1:53" s="115" customFormat="1" x14ac:dyDescent="0.15">
      <c r="A6" s="246" t="s">
        <v>51</v>
      </c>
      <c r="B6" s="246" t="s">
        <v>348</v>
      </c>
      <c r="C6" s="246">
        <v>2018</v>
      </c>
      <c r="D6" s="106" t="s">
        <v>413</v>
      </c>
      <c r="E6" s="246" t="s">
        <v>203</v>
      </c>
      <c r="F6" s="246" t="s">
        <v>204</v>
      </c>
      <c r="G6" s="246" t="s">
        <v>42</v>
      </c>
      <c r="H6" s="246" t="s">
        <v>168</v>
      </c>
      <c r="I6" s="246" t="s">
        <v>155</v>
      </c>
      <c r="J6" s="246" t="s">
        <v>38</v>
      </c>
      <c r="K6" s="246" t="s">
        <v>156</v>
      </c>
      <c r="L6" s="246">
        <v>2</v>
      </c>
      <c r="M6" s="246"/>
      <c r="N6" s="246">
        <v>1</v>
      </c>
      <c r="O6" s="246">
        <v>0.55000000000000004</v>
      </c>
      <c r="P6" s="246">
        <v>0.55000000000000004</v>
      </c>
      <c r="Q6" s="107">
        <f t="shared" si="0"/>
        <v>0.55000000000000004</v>
      </c>
      <c r="R6" s="246">
        <v>14.6</v>
      </c>
      <c r="S6" s="246">
        <v>134</v>
      </c>
      <c r="T6" s="108">
        <f t="shared" si="1"/>
        <v>25</v>
      </c>
      <c r="U6" s="246">
        <v>128</v>
      </c>
      <c r="V6" s="109">
        <f t="shared" si="2"/>
        <v>3200</v>
      </c>
      <c r="W6" s="246">
        <v>4</v>
      </c>
      <c r="X6" s="246" t="s">
        <v>39</v>
      </c>
      <c r="Y6" s="246" t="s">
        <v>69</v>
      </c>
      <c r="Z6" s="246" t="s">
        <v>88</v>
      </c>
      <c r="AA6" s="246" t="s">
        <v>97</v>
      </c>
      <c r="AB6" s="246" t="s">
        <v>350</v>
      </c>
      <c r="AE6" s="116" t="s">
        <v>222</v>
      </c>
      <c r="AG6" s="111" t="s">
        <v>223</v>
      </c>
      <c r="AH6" s="111" t="s">
        <v>204</v>
      </c>
      <c r="AL6" s="124"/>
      <c r="AP6" s="117" t="s">
        <v>95</v>
      </c>
      <c r="AR6" s="118" t="s">
        <v>224</v>
      </c>
      <c r="AV6" s="117" t="s">
        <v>102</v>
      </c>
      <c r="AX6" s="119">
        <v>128</v>
      </c>
      <c r="AY6" s="120">
        <v>27</v>
      </c>
      <c r="AZ6" s="120">
        <v>129</v>
      </c>
      <c r="BA6" s="121">
        <v>25</v>
      </c>
    </row>
    <row r="7" spans="1:53" s="115" customFormat="1" x14ac:dyDescent="0.15">
      <c r="A7" s="246" t="s">
        <v>51</v>
      </c>
      <c r="B7" s="246" t="s">
        <v>348</v>
      </c>
      <c r="C7" s="246">
        <v>2018</v>
      </c>
      <c r="D7" s="106" t="s">
        <v>413</v>
      </c>
      <c r="E7" s="246" t="s">
        <v>203</v>
      </c>
      <c r="F7" s="246" t="s">
        <v>204</v>
      </c>
      <c r="G7" s="246" t="s">
        <v>42</v>
      </c>
      <c r="H7" s="246" t="s">
        <v>168</v>
      </c>
      <c r="I7" s="246" t="s">
        <v>155</v>
      </c>
      <c r="J7" s="246" t="s">
        <v>38</v>
      </c>
      <c r="K7" s="246" t="s">
        <v>156</v>
      </c>
      <c r="L7" s="246">
        <v>3</v>
      </c>
      <c r="M7" s="246"/>
      <c r="N7" s="246">
        <v>1</v>
      </c>
      <c r="O7" s="246">
        <v>0.65</v>
      </c>
      <c r="P7" s="246">
        <v>0.75</v>
      </c>
      <c r="Q7" s="107">
        <f t="shared" si="0"/>
        <v>0.7</v>
      </c>
      <c r="R7" s="246">
        <v>15.9</v>
      </c>
      <c r="S7" s="246">
        <v>138</v>
      </c>
      <c r="T7" s="108">
        <f t="shared" si="1"/>
        <v>22</v>
      </c>
      <c r="U7" s="246">
        <v>128</v>
      </c>
      <c r="V7" s="109">
        <f t="shared" si="2"/>
        <v>2816</v>
      </c>
      <c r="W7" s="246">
        <v>4</v>
      </c>
      <c r="X7" s="246" t="s">
        <v>39</v>
      </c>
      <c r="Y7" s="246" t="s">
        <v>69</v>
      </c>
      <c r="Z7" s="246" t="s">
        <v>88</v>
      </c>
      <c r="AA7" s="246" t="s">
        <v>97</v>
      </c>
      <c r="AB7" s="246" t="s">
        <v>350</v>
      </c>
      <c r="AE7" s="116" t="s">
        <v>225</v>
      </c>
      <c r="AG7" s="111" t="s">
        <v>203</v>
      </c>
      <c r="AH7" s="117" t="s">
        <v>204</v>
      </c>
      <c r="AP7" s="117" t="s">
        <v>100</v>
      </c>
      <c r="AR7" s="118" t="s">
        <v>226</v>
      </c>
      <c r="AV7" s="117" t="s">
        <v>106</v>
      </c>
      <c r="AX7" s="119">
        <v>138</v>
      </c>
      <c r="AY7" s="120">
        <v>25</v>
      </c>
      <c r="AZ7" s="120">
        <v>138</v>
      </c>
      <c r="BA7" s="121">
        <v>22</v>
      </c>
    </row>
    <row r="8" spans="1:53" s="115" customFormat="1" x14ac:dyDescent="0.15">
      <c r="A8" s="246" t="s">
        <v>51</v>
      </c>
      <c r="B8" s="246" t="s">
        <v>348</v>
      </c>
      <c r="C8" s="246">
        <v>2018</v>
      </c>
      <c r="D8" s="106" t="s">
        <v>413</v>
      </c>
      <c r="E8" s="246" t="s">
        <v>207</v>
      </c>
      <c r="F8" s="246" t="s">
        <v>208</v>
      </c>
      <c r="G8" s="246" t="s">
        <v>36</v>
      </c>
      <c r="H8" s="246" t="s">
        <v>157</v>
      </c>
      <c r="I8" s="246" t="s">
        <v>155</v>
      </c>
      <c r="J8" s="246" t="s">
        <v>38</v>
      </c>
      <c r="K8" s="246" t="s">
        <v>156</v>
      </c>
      <c r="L8" s="246">
        <v>1</v>
      </c>
      <c r="M8" s="246"/>
      <c r="N8" s="246">
        <v>1</v>
      </c>
      <c r="O8" s="246">
        <v>0.25</v>
      </c>
      <c r="P8" s="246">
        <v>0.25</v>
      </c>
      <c r="Q8" s="107">
        <f t="shared" si="0"/>
        <v>0.25</v>
      </c>
      <c r="R8" s="246">
        <v>15</v>
      </c>
      <c r="S8" s="246">
        <v>124</v>
      </c>
      <c r="T8" s="108">
        <f t="shared" si="1"/>
        <v>27</v>
      </c>
      <c r="U8" s="246">
        <v>138</v>
      </c>
      <c r="V8" s="109">
        <f t="shared" si="2"/>
        <v>3726</v>
      </c>
      <c r="W8" s="246">
        <v>4</v>
      </c>
      <c r="X8" s="246" t="s">
        <v>39</v>
      </c>
      <c r="Y8" s="246" t="s">
        <v>88</v>
      </c>
      <c r="Z8" s="246" t="s">
        <v>78</v>
      </c>
      <c r="AA8" s="246" t="s">
        <v>69</v>
      </c>
      <c r="AB8" s="246" t="s">
        <v>350</v>
      </c>
      <c r="AE8" s="116" t="s">
        <v>68</v>
      </c>
      <c r="AG8" s="111" t="s">
        <v>139</v>
      </c>
      <c r="AH8" s="117" t="s">
        <v>414</v>
      </c>
      <c r="AP8" s="117" t="s">
        <v>104</v>
      </c>
      <c r="AR8" s="118" t="s">
        <v>227</v>
      </c>
      <c r="AV8" s="117" t="s">
        <v>69</v>
      </c>
      <c r="AX8" s="119">
        <v>151</v>
      </c>
      <c r="AY8" s="120">
        <v>22</v>
      </c>
      <c r="AZ8" s="120">
        <v>152</v>
      </c>
      <c r="BA8" s="121">
        <v>18</v>
      </c>
    </row>
    <row r="9" spans="1:53" s="115" customFormat="1" x14ac:dyDescent="0.15">
      <c r="A9" s="246" t="s">
        <v>51</v>
      </c>
      <c r="B9" s="246" t="s">
        <v>348</v>
      </c>
      <c r="C9" s="246">
        <v>2018</v>
      </c>
      <c r="D9" s="106" t="s">
        <v>413</v>
      </c>
      <c r="E9" s="246" t="s">
        <v>207</v>
      </c>
      <c r="F9" s="246" t="s">
        <v>208</v>
      </c>
      <c r="G9" s="246" t="s">
        <v>36</v>
      </c>
      <c r="H9" s="246" t="s">
        <v>157</v>
      </c>
      <c r="I9" s="246" t="s">
        <v>155</v>
      </c>
      <c r="J9" s="246" t="s">
        <v>38</v>
      </c>
      <c r="K9" s="246" t="s">
        <v>156</v>
      </c>
      <c r="L9" s="246">
        <v>2</v>
      </c>
      <c r="M9" s="246"/>
      <c r="N9" s="246">
        <v>1</v>
      </c>
      <c r="O9" s="246">
        <v>0.65</v>
      </c>
      <c r="P9" s="246">
        <v>0.6</v>
      </c>
      <c r="Q9" s="107">
        <f t="shared" si="0"/>
        <v>0.625</v>
      </c>
      <c r="R9" s="246">
        <v>16.8</v>
      </c>
      <c r="S9" s="246">
        <v>138</v>
      </c>
      <c r="T9" s="108">
        <f t="shared" si="1"/>
        <v>22</v>
      </c>
      <c r="U9" s="246">
        <v>138</v>
      </c>
      <c r="V9" s="109">
        <f t="shared" si="2"/>
        <v>3036</v>
      </c>
      <c r="W9" s="246">
        <v>4</v>
      </c>
      <c r="X9" s="246" t="s">
        <v>39</v>
      </c>
      <c r="Y9" s="246" t="s">
        <v>88</v>
      </c>
      <c r="Z9" s="246" t="s">
        <v>78</v>
      </c>
      <c r="AA9" s="246" t="s">
        <v>69</v>
      </c>
      <c r="AB9" s="246" t="s">
        <v>350</v>
      </c>
      <c r="AE9" s="116" t="s">
        <v>228</v>
      </c>
      <c r="AG9" s="117"/>
      <c r="AH9" s="117"/>
      <c r="AP9" s="117" t="s">
        <v>67</v>
      </c>
      <c r="AR9" s="118" t="s">
        <v>229</v>
      </c>
      <c r="AV9" s="117" t="s">
        <v>72</v>
      </c>
      <c r="AX9" s="125">
        <v>180</v>
      </c>
      <c r="AY9" s="126">
        <v>18</v>
      </c>
      <c r="AZ9" s="126">
        <v>181</v>
      </c>
      <c r="BA9" s="127">
        <v>16</v>
      </c>
    </row>
    <row r="10" spans="1:53" s="115" customFormat="1" x14ac:dyDescent="0.15">
      <c r="A10" s="246" t="s">
        <v>51</v>
      </c>
      <c r="B10" s="246" t="s">
        <v>348</v>
      </c>
      <c r="C10" s="246">
        <v>2018</v>
      </c>
      <c r="D10" s="106" t="s">
        <v>413</v>
      </c>
      <c r="E10" s="246" t="s">
        <v>207</v>
      </c>
      <c r="F10" s="246" t="s">
        <v>208</v>
      </c>
      <c r="G10" s="246" t="s">
        <v>36</v>
      </c>
      <c r="H10" s="246" t="s">
        <v>157</v>
      </c>
      <c r="I10" s="246" t="s">
        <v>155</v>
      </c>
      <c r="J10" s="246" t="s">
        <v>38</v>
      </c>
      <c r="K10" s="246" t="s">
        <v>156</v>
      </c>
      <c r="L10" s="246">
        <v>3</v>
      </c>
      <c r="M10" s="246"/>
      <c r="N10" s="246">
        <v>1</v>
      </c>
      <c r="O10" s="246">
        <v>0.7</v>
      </c>
      <c r="P10" s="246">
        <v>0.65</v>
      </c>
      <c r="Q10" s="107">
        <f t="shared" si="0"/>
        <v>0.67500000000000004</v>
      </c>
      <c r="R10" s="246">
        <v>16.600000000000001</v>
      </c>
      <c r="S10" s="246">
        <v>132</v>
      </c>
      <c r="T10" s="108">
        <f t="shared" si="1"/>
        <v>25</v>
      </c>
      <c r="U10" s="246">
        <v>138</v>
      </c>
      <c r="V10" s="109">
        <f t="shared" si="2"/>
        <v>3450</v>
      </c>
      <c r="W10" s="246">
        <v>4</v>
      </c>
      <c r="X10" s="246" t="s">
        <v>39</v>
      </c>
      <c r="Y10" s="246" t="s">
        <v>88</v>
      </c>
      <c r="Z10" s="246" t="s">
        <v>78</v>
      </c>
      <c r="AA10" s="246" t="s">
        <v>69</v>
      </c>
      <c r="AB10" s="246" t="s">
        <v>350</v>
      </c>
      <c r="AE10" s="116" t="s">
        <v>230</v>
      </c>
      <c r="AG10" s="117"/>
      <c r="AH10" s="117"/>
      <c r="AP10" s="117" t="s">
        <v>71</v>
      </c>
      <c r="AR10" s="118" t="s">
        <v>225</v>
      </c>
      <c r="AV10" s="117" t="s">
        <v>75</v>
      </c>
    </row>
    <row r="11" spans="1:53" s="115" customFormat="1" x14ac:dyDescent="0.15">
      <c r="A11" s="246" t="s">
        <v>51</v>
      </c>
      <c r="B11" s="246" t="s">
        <v>348</v>
      </c>
      <c r="C11" s="246">
        <v>2018</v>
      </c>
      <c r="D11" s="106" t="s">
        <v>413</v>
      </c>
      <c r="E11" s="246" t="s">
        <v>207</v>
      </c>
      <c r="F11" s="246" t="s">
        <v>208</v>
      </c>
      <c r="G11" s="246" t="s">
        <v>36</v>
      </c>
      <c r="H11" s="246" t="s">
        <v>168</v>
      </c>
      <c r="I11" s="246" t="s">
        <v>155</v>
      </c>
      <c r="J11" s="246" t="s">
        <v>38</v>
      </c>
      <c r="K11" s="246" t="s">
        <v>156</v>
      </c>
      <c r="L11" s="246">
        <v>1</v>
      </c>
      <c r="M11" s="246"/>
      <c r="N11" s="246">
        <v>1</v>
      </c>
      <c r="O11" s="246">
        <v>0.7</v>
      </c>
      <c r="P11" s="246">
        <v>0.55000000000000004</v>
      </c>
      <c r="Q11" s="107">
        <f t="shared" si="0"/>
        <v>0.625</v>
      </c>
      <c r="R11" s="246">
        <v>15.2</v>
      </c>
      <c r="S11" s="246">
        <v>136</v>
      </c>
      <c r="T11" s="108">
        <f t="shared" si="1"/>
        <v>25</v>
      </c>
      <c r="U11" s="246">
        <v>138</v>
      </c>
      <c r="V11" s="109">
        <f t="shared" si="2"/>
        <v>3450</v>
      </c>
      <c r="W11" s="246">
        <v>4</v>
      </c>
      <c r="X11" s="246" t="s">
        <v>39</v>
      </c>
      <c r="Y11" s="246" t="s">
        <v>88</v>
      </c>
      <c r="Z11" s="246" t="s">
        <v>78</v>
      </c>
      <c r="AA11" s="246" t="s">
        <v>69</v>
      </c>
      <c r="AB11" s="246" t="s">
        <v>350</v>
      </c>
      <c r="AE11" s="116" t="s">
        <v>96</v>
      </c>
      <c r="AG11" s="117"/>
      <c r="AH11" s="117"/>
      <c r="AP11" s="117" t="s">
        <v>74</v>
      </c>
      <c r="AR11" s="118" t="s">
        <v>231</v>
      </c>
      <c r="AV11" s="117" t="s">
        <v>78</v>
      </c>
    </row>
    <row r="12" spans="1:53" s="115" customFormat="1" x14ac:dyDescent="0.15">
      <c r="A12" s="246" t="s">
        <v>51</v>
      </c>
      <c r="B12" s="246" t="s">
        <v>348</v>
      </c>
      <c r="C12" s="246">
        <v>2018</v>
      </c>
      <c r="D12" s="106" t="s">
        <v>413</v>
      </c>
      <c r="E12" s="246" t="s">
        <v>207</v>
      </c>
      <c r="F12" s="246" t="s">
        <v>208</v>
      </c>
      <c r="G12" s="246" t="s">
        <v>36</v>
      </c>
      <c r="H12" s="246" t="s">
        <v>168</v>
      </c>
      <c r="I12" s="246" t="s">
        <v>155</v>
      </c>
      <c r="J12" s="246" t="s">
        <v>38</v>
      </c>
      <c r="K12" s="246" t="s">
        <v>156</v>
      </c>
      <c r="L12" s="246">
        <v>2</v>
      </c>
      <c r="M12" s="246"/>
      <c r="N12" s="246">
        <v>1</v>
      </c>
      <c r="O12" s="246">
        <v>0.65</v>
      </c>
      <c r="P12" s="246">
        <v>0.65</v>
      </c>
      <c r="Q12" s="107">
        <f t="shared" si="0"/>
        <v>0.65</v>
      </c>
      <c r="R12" s="246">
        <v>13.8</v>
      </c>
      <c r="S12" s="246">
        <v>116</v>
      </c>
      <c r="T12" s="108">
        <f t="shared" si="1"/>
        <v>39</v>
      </c>
      <c r="U12" s="246">
        <v>138</v>
      </c>
      <c r="V12" s="109">
        <f t="shared" si="2"/>
        <v>5382</v>
      </c>
      <c r="W12" s="246">
        <v>4</v>
      </c>
      <c r="X12" s="246" t="s">
        <v>39</v>
      </c>
      <c r="Y12" s="246" t="s">
        <v>88</v>
      </c>
      <c r="Z12" s="246" t="s">
        <v>78</v>
      </c>
      <c r="AA12" s="246" t="s">
        <v>69</v>
      </c>
      <c r="AB12" s="246" t="s">
        <v>350</v>
      </c>
      <c r="AE12" s="116" t="s">
        <v>232</v>
      </c>
      <c r="AG12" s="117"/>
      <c r="AH12" s="117"/>
      <c r="AP12" s="117" t="s">
        <v>77</v>
      </c>
      <c r="AR12" s="118" t="s">
        <v>80</v>
      </c>
      <c r="AV12" s="117" t="s">
        <v>107</v>
      </c>
    </row>
    <row r="13" spans="1:53" s="115" customFormat="1" x14ac:dyDescent="0.15">
      <c r="A13" s="246" t="s">
        <v>51</v>
      </c>
      <c r="B13" s="246" t="s">
        <v>348</v>
      </c>
      <c r="C13" s="246">
        <v>2018</v>
      </c>
      <c r="D13" s="106" t="s">
        <v>413</v>
      </c>
      <c r="E13" s="246" t="s">
        <v>207</v>
      </c>
      <c r="F13" s="246" t="s">
        <v>208</v>
      </c>
      <c r="G13" s="246" t="s">
        <v>36</v>
      </c>
      <c r="H13" s="246" t="s">
        <v>168</v>
      </c>
      <c r="I13" s="246" t="s">
        <v>155</v>
      </c>
      <c r="J13" s="246" t="s">
        <v>38</v>
      </c>
      <c r="K13" s="246" t="s">
        <v>156</v>
      </c>
      <c r="L13" s="246">
        <v>3</v>
      </c>
      <c r="M13" s="246"/>
      <c r="N13" s="246">
        <v>1</v>
      </c>
      <c r="O13" s="246">
        <v>0.7</v>
      </c>
      <c r="P13" s="246">
        <v>0.75</v>
      </c>
      <c r="Q13" s="107">
        <f t="shared" si="0"/>
        <v>0.72499999999999998</v>
      </c>
      <c r="R13" s="246">
        <v>15.7</v>
      </c>
      <c r="S13" s="246">
        <v>138</v>
      </c>
      <c r="T13" s="108">
        <f t="shared" si="1"/>
        <v>22</v>
      </c>
      <c r="U13" s="246">
        <v>138</v>
      </c>
      <c r="V13" s="109">
        <f t="shared" si="2"/>
        <v>3036</v>
      </c>
      <c r="W13" s="246">
        <v>4</v>
      </c>
      <c r="X13" s="246" t="s">
        <v>39</v>
      </c>
      <c r="Y13" s="246" t="s">
        <v>88</v>
      </c>
      <c r="Z13" s="246" t="s">
        <v>78</v>
      </c>
      <c r="AA13" s="246" t="s">
        <v>69</v>
      </c>
      <c r="AB13" s="246" t="s">
        <v>350</v>
      </c>
      <c r="AE13" s="116" t="s">
        <v>233</v>
      </c>
      <c r="AG13" s="123"/>
      <c r="AH13" s="123"/>
      <c r="AP13" s="117" t="s">
        <v>80</v>
      </c>
      <c r="AR13" s="118" t="s">
        <v>63</v>
      </c>
      <c r="AV13" s="117" t="s">
        <v>84</v>
      </c>
    </row>
    <row r="14" spans="1:53" s="115" customFormat="1" x14ac:dyDescent="0.15">
      <c r="A14" s="246" t="s">
        <v>51</v>
      </c>
      <c r="B14" s="246" t="s">
        <v>348</v>
      </c>
      <c r="C14" s="246">
        <v>2018</v>
      </c>
      <c r="D14" s="106" t="s">
        <v>413</v>
      </c>
      <c r="E14" s="246" t="s">
        <v>139</v>
      </c>
      <c r="F14" s="246" t="s">
        <v>414</v>
      </c>
      <c r="G14" s="246" t="s">
        <v>42</v>
      </c>
      <c r="H14" s="246" t="s">
        <v>157</v>
      </c>
      <c r="I14" s="246" t="s">
        <v>155</v>
      </c>
      <c r="J14" s="246" t="s">
        <v>38</v>
      </c>
      <c r="K14" s="246" t="s">
        <v>156</v>
      </c>
      <c r="L14" s="246">
        <v>1</v>
      </c>
      <c r="M14" s="246"/>
      <c r="N14" s="246">
        <v>1</v>
      </c>
      <c r="O14" s="246">
        <v>0.65</v>
      </c>
      <c r="P14" s="246">
        <v>0.8</v>
      </c>
      <c r="Q14" s="107">
        <f t="shared" si="0"/>
        <v>0.72500000000000009</v>
      </c>
      <c r="R14" s="246">
        <v>15.5</v>
      </c>
      <c r="S14" s="246">
        <v>142</v>
      </c>
      <c r="T14" s="108">
        <f t="shared" si="1"/>
        <v>22</v>
      </c>
      <c r="U14" s="246">
        <v>98</v>
      </c>
      <c r="V14" s="109">
        <f t="shared" si="2"/>
        <v>2156</v>
      </c>
      <c r="W14" s="246">
        <v>16</v>
      </c>
      <c r="X14" s="246" t="s">
        <v>46</v>
      </c>
      <c r="Y14" s="246" t="s">
        <v>78</v>
      </c>
      <c r="Z14" s="246" t="s">
        <v>69</v>
      </c>
      <c r="AA14" s="246" t="s">
        <v>97</v>
      </c>
      <c r="AB14" s="246" t="s">
        <v>350</v>
      </c>
      <c r="AE14" s="116" t="s">
        <v>234</v>
      </c>
      <c r="AP14" s="128" t="s">
        <v>235</v>
      </c>
      <c r="AR14" s="118" t="s">
        <v>96</v>
      </c>
      <c r="AV14" s="117" t="s">
        <v>86</v>
      </c>
    </row>
    <row r="15" spans="1:53" s="115" customFormat="1" x14ac:dyDescent="0.15">
      <c r="A15" s="246" t="s">
        <v>51</v>
      </c>
      <c r="B15" s="246" t="s">
        <v>348</v>
      </c>
      <c r="C15" s="246">
        <v>2018</v>
      </c>
      <c r="D15" s="106" t="s">
        <v>413</v>
      </c>
      <c r="E15" s="246" t="s">
        <v>139</v>
      </c>
      <c r="F15" s="246" t="s">
        <v>414</v>
      </c>
      <c r="G15" s="246" t="s">
        <v>42</v>
      </c>
      <c r="H15" s="246" t="s">
        <v>157</v>
      </c>
      <c r="I15" s="246" t="s">
        <v>155</v>
      </c>
      <c r="J15" s="246" t="s">
        <v>38</v>
      </c>
      <c r="K15" s="246" t="s">
        <v>156</v>
      </c>
      <c r="L15" s="246">
        <v>2</v>
      </c>
      <c r="M15" s="246"/>
      <c r="N15" s="246">
        <v>1</v>
      </c>
      <c r="O15" s="246">
        <v>0.75</v>
      </c>
      <c r="P15" s="246">
        <v>0.75</v>
      </c>
      <c r="Q15" s="107">
        <f t="shared" si="0"/>
        <v>0.75</v>
      </c>
      <c r="R15" s="246">
        <v>14.9</v>
      </c>
      <c r="S15" s="246">
        <v>138</v>
      </c>
      <c r="T15" s="108">
        <f t="shared" si="1"/>
        <v>22</v>
      </c>
      <c r="U15" s="246">
        <v>98</v>
      </c>
      <c r="V15" s="109">
        <f t="shared" si="2"/>
        <v>2156</v>
      </c>
      <c r="W15" s="246">
        <v>16</v>
      </c>
      <c r="X15" s="246" t="s">
        <v>46</v>
      </c>
      <c r="Y15" s="246" t="s">
        <v>78</v>
      </c>
      <c r="Z15" s="246" t="s">
        <v>69</v>
      </c>
      <c r="AA15" s="246" t="s">
        <v>97</v>
      </c>
      <c r="AB15" s="246" t="s">
        <v>350</v>
      </c>
      <c r="AE15" s="116" t="s">
        <v>227</v>
      </c>
      <c r="AP15" s="128" t="s">
        <v>236</v>
      </c>
      <c r="AR15" s="118" t="s">
        <v>101</v>
      </c>
      <c r="AV15" s="117" t="s">
        <v>88</v>
      </c>
    </row>
    <row r="16" spans="1:53" s="115" customFormat="1" x14ac:dyDescent="0.15">
      <c r="A16" s="246" t="s">
        <v>51</v>
      </c>
      <c r="B16" s="246" t="s">
        <v>348</v>
      </c>
      <c r="C16" s="246">
        <v>2018</v>
      </c>
      <c r="D16" s="106" t="s">
        <v>413</v>
      </c>
      <c r="E16" s="246" t="s">
        <v>139</v>
      </c>
      <c r="F16" s="246" t="s">
        <v>414</v>
      </c>
      <c r="G16" s="246" t="s">
        <v>42</v>
      </c>
      <c r="H16" s="246" t="s">
        <v>157</v>
      </c>
      <c r="I16" s="246" t="s">
        <v>155</v>
      </c>
      <c r="J16" s="246" t="s">
        <v>38</v>
      </c>
      <c r="K16" s="246" t="s">
        <v>156</v>
      </c>
      <c r="L16" s="246">
        <v>3</v>
      </c>
      <c r="M16" s="246"/>
      <c r="N16" s="246">
        <v>1</v>
      </c>
      <c r="O16" s="246">
        <v>0.7</v>
      </c>
      <c r="P16" s="246">
        <v>0.8</v>
      </c>
      <c r="Q16" s="107">
        <f t="shared" si="0"/>
        <v>0.75</v>
      </c>
      <c r="R16" s="246">
        <v>15.2</v>
      </c>
      <c r="S16" s="246">
        <v>140</v>
      </c>
      <c r="T16" s="108">
        <f t="shared" si="1"/>
        <v>22</v>
      </c>
      <c r="U16" s="246">
        <v>98</v>
      </c>
      <c r="V16" s="109">
        <f t="shared" si="2"/>
        <v>2156</v>
      </c>
      <c r="W16" s="246">
        <v>16</v>
      </c>
      <c r="X16" s="246" t="s">
        <v>46</v>
      </c>
      <c r="Y16" s="246" t="s">
        <v>78</v>
      </c>
      <c r="Z16" s="246" t="s">
        <v>69</v>
      </c>
      <c r="AA16" s="246" t="s">
        <v>97</v>
      </c>
      <c r="AB16" s="246" t="s">
        <v>350</v>
      </c>
      <c r="AE16" s="129" t="s">
        <v>224</v>
      </c>
      <c r="AP16" s="128" t="s">
        <v>237</v>
      </c>
      <c r="AR16" s="118" t="s">
        <v>238</v>
      </c>
      <c r="AV16" s="117" t="s">
        <v>90</v>
      </c>
    </row>
    <row r="17" spans="1:48" s="115" customFormat="1" x14ac:dyDescent="0.15">
      <c r="A17" s="246" t="s">
        <v>51</v>
      </c>
      <c r="B17" s="246" t="s">
        <v>348</v>
      </c>
      <c r="C17" s="246">
        <v>2018</v>
      </c>
      <c r="D17" s="106" t="s">
        <v>413</v>
      </c>
      <c r="E17" s="246" t="s">
        <v>139</v>
      </c>
      <c r="F17" s="246" t="s">
        <v>414</v>
      </c>
      <c r="G17" s="246" t="s">
        <v>42</v>
      </c>
      <c r="H17" s="246" t="s">
        <v>168</v>
      </c>
      <c r="I17" s="246" t="s">
        <v>155</v>
      </c>
      <c r="J17" s="246" t="s">
        <v>38</v>
      </c>
      <c r="K17" s="246" t="s">
        <v>156</v>
      </c>
      <c r="L17" s="246">
        <v>1</v>
      </c>
      <c r="M17" s="246"/>
      <c r="N17" s="246">
        <v>1</v>
      </c>
      <c r="O17" s="246">
        <v>0.7</v>
      </c>
      <c r="P17" s="246">
        <v>0.6</v>
      </c>
      <c r="Q17" s="107">
        <f t="shared" si="0"/>
        <v>0.64999999999999991</v>
      </c>
      <c r="R17" s="246">
        <v>16.7</v>
      </c>
      <c r="S17" s="246">
        <v>138</v>
      </c>
      <c r="T17" s="108">
        <f t="shared" si="1"/>
        <v>22</v>
      </c>
      <c r="U17" s="246">
        <v>138</v>
      </c>
      <c r="V17" s="109">
        <f t="shared" si="2"/>
        <v>3036</v>
      </c>
      <c r="W17" s="246">
        <v>16</v>
      </c>
      <c r="X17" s="246" t="s">
        <v>46</v>
      </c>
      <c r="Y17" s="246" t="s">
        <v>78</v>
      </c>
      <c r="Z17" s="246" t="s">
        <v>69</v>
      </c>
      <c r="AA17" s="246" t="s">
        <v>97</v>
      </c>
      <c r="AB17" s="246" t="s">
        <v>350</v>
      </c>
      <c r="AE17" s="129"/>
      <c r="AP17" s="128" t="s">
        <v>239</v>
      </c>
      <c r="AR17" s="118" t="s">
        <v>105</v>
      </c>
      <c r="AV17" s="122" t="s">
        <v>240</v>
      </c>
    </row>
    <row r="18" spans="1:48" s="115" customFormat="1" x14ac:dyDescent="0.15">
      <c r="A18" s="246" t="s">
        <v>51</v>
      </c>
      <c r="B18" s="246" t="s">
        <v>348</v>
      </c>
      <c r="C18" s="246">
        <v>2018</v>
      </c>
      <c r="D18" s="106" t="s">
        <v>413</v>
      </c>
      <c r="E18" s="246" t="s">
        <v>139</v>
      </c>
      <c r="F18" s="246" t="s">
        <v>414</v>
      </c>
      <c r="G18" s="246" t="s">
        <v>42</v>
      </c>
      <c r="H18" s="246" t="s">
        <v>168</v>
      </c>
      <c r="I18" s="246" t="s">
        <v>155</v>
      </c>
      <c r="J18" s="246" t="s">
        <v>38</v>
      </c>
      <c r="K18" s="246" t="s">
        <v>156</v>
      </c>
      <c r="L18" s="246">
        <v>2</v>
      </c>
      <c r="M18" s="246"/>
      <c r="N18" s="246">
        <v>1</v>
      </c>
      <c r="O18" s="246">
        <v>0.65</v>
      </c>
      <c r="P18" s="246">
        <v>0.55000000000000004</v>
      </c>
      <c r="Q18" s="107">
        <f t="shared" si="0"/>
        <v>0.60000000000000009</v>
      </c>
      <c r="R18" s="246">
        <v>15.9</v>
      </c>
      <c r="S18" s="246">
        <v>134</v>
      </c>
      <c r="T18" s="108">
        <f t="shared" si="1"/>
        <v>25</v>
      </c>
      <c r="U18" s="246">
        <v>138</v>
      </c>
      <c r="V18" s="109">
        <f t="shared" si="2"/>
        <v>3450</v>
      </c>
      <c r="W18" s="246">
        <v>16</v>
      </c>
      <c r="X18" s="246" t="s">
        <v>46</v>
      </c>
      <c r="Y18" s="246" t="s">
        <v>78</v>
      </c>
      <c r="Z18" s="246" t="s">
        <v>69</v>
      </c>
      <c r="AA18" s="246" t="s">
        <v>97</v>
      </c>
      <c r="AB18" s="246" t="s">
        <v>350</v>
      </c>
      <c r="AE18" s="123"/>
      <c r="AP18" s="128" t="s">
        <v>241</v>
      </c>
      <c r="AR18" s="118" t="s">
        <v>68</v>
      </c>
      <c r="AV18" s="122" t="s">
        <v>174</v>
      </c>
    </row>
    <row r="19" spans="1:48" s="115" customFormat="1" x14ac:dyDescent="0.15">
      <c r="A19" s="246" t="s">
        <v>51</v>
      </c>
      <c r="B19" s="246" t="s">
        <v>348</v>
      </c>
      <c r="C19" s="246">
        <v>2018</v>
      </c>
      <c r="D19" s="106" t="s">
        <v>413</v>
      </c>
      <c r="E19" s="246" t="s">
        <v>139</v>
      </c>
      <c r="F19" s="246" t="s">
        <v>414</v>
      </c>
      <c r="G19" s="246" t="s">
        <v>42</v>
      </c>
      <c r="H19" s="246" t="s">
        <v>168</v>
      </c>
      <c r="I19" s="246" t="s">
        <v>155</v>
      </c>
      <c r="J19" s="246" t="s">
        <v>38</v>
      </c>
      <c r="K19" s="246" t="s">
        <v>156</v>
      </c>
      <c r="L19" s="246">
        <v>3</v>
      </c>
      <c r="M19" s="246"/>
      <c r="N19" s="246">
        <v>1</v>
      </c>
      <c r="O19" s="246">
        <v>0.6</v>
      </c>
      <c r="P19" s="246">
        <v>0.6</v>
      </c>
      <c r="Q19" s="107">
        <f t="shared" si="0"/>
        <v>0.6</v>
      </c>
      <c r="R19" s="246">
        <v>16.2</v>
      </c>
      <c r="S19" s="246">
        <v>134</v>
      </c>
      <c r="T19" s="108">
        <f t="shared" si="1"/>
        <v>25</v>
      </c>
      <c r="U19" s="246">
        <v>138</v>
      </c>
      <c r="V19" s="109">
        <f t="shared" si="2"/>
        <v>3450</v>
      </c>
      <c r="W19" s="246">
        <v>16</v>
      </c>
      <c r="X19" s="246" t="s">
        <v>46</v>
      </c>
      <c r="Y19" s="246" t="s">
        <v>78</v>
      </c>
      <c r="Z19" s="246" t="s">
        <v>69</v>
      </c>
      <c r="AA19" s="246" t="s">
        <v>97</v>
      </c>
      <c r="AB19" s="246" t="s">
        <v>350</v>
      </c>
      <c r="AP19" s="128" t="s">
        <v>242</v>
      </c>
      <c r="AR19" s="118" t="s">
        <v>83</v>
      </c>
      <c r="AV19" s="122"/>
    </row>
    <row r="20" spans="1:48" s="115" customFormat="1" x14ac:dyDescent="0.15">
      <c r="A20" s="246" t="s">
        <v>51</v>
      </c>
      <c r="B20" s="246" t="s">
        <v>348</v>
      </c>
      <c r="C20" s="246">
        <v>2018</v>
      </c>
      <c r="D20" s="106" t="s">
        <v>413</v>
      </c>
      <c r="E20" s="246" t="s">
        <v>217</v>
      </c>
      <c r="F20" s="246" t="s">
        <v>218</v>
      </c>
      <c r="G20" s="246" t="s">
        <v>36</v>
      </c>
      <c r="H20" s="246" t="s">
        <v>168</v>
      </c>
      <c r="I20" s="246" t="s">
        <v>155</v>
      </c>
      <c r="J20" s="246" t="s">
        <v>38</v>
      </c>
      <c r="K20" s="246" t="s">
        <v>156</v>
      </c>
      <c r="L20" s="246">
        <v>1</v>
      </c>
      <c r="M20" s="246"/>
      <c r="N20" s="246">
        <v>1</v>
      </c>
      <c r="O20" s="246">
        <v>0.8</v>
      </c>
      <c r="P20" s="246">
        <v>0.7</v>
      </c>
      <c r="Q20" s="107">
        <f t="shared" si="0"/>
        <v>0.75</v>
      </c>
      <c r="R20" s="246">
        <v>17</v>
      </c>
      <c r="S20" s="246">
        <v>150</v>
      </c>
      <c r="T20" s="108">
        <f t="shared" si="1"/>
        <v>22</v>
      </c>
      <c r="U20" s="246">
        <v>158</v>
      </c>
      <c r="V20" s="109">
        <f t="shared" si="2"/>
        <v>3476</v>
      </c>
      <c r="W20" s="246">
        <v>8</v>
      </c>
      <c r="X20" s="246" t="s">
        <v>46</v>
      </c>
      <c r="Y20" s="246" t="s">
        <v>88</v>
      </c>
      <c r="Z20" s="246" t="s">
        <v>69</v>
      </c>
      <c r="AA20" s="246" t="s">
        <v>78</v>
      </c>
      <c r="AB20" s="246" t="s">
        <v>350</v>
      </c>
      <c r="AP20" s="128" t="s">
        <v>243</v>
      </c>
      <c r="AR20" s="118" t="s">
        <v>61</v>
      </c>
    </row>
    <row r="21" spans="1:48" s="115" customFormat="1" x14ac:dyDescent="0.15">
      <c r="A21" s="246" t="s">
        <v>51</v>
      </c>
      <c r="B21" s="246" t="s">
        <v>348</v>
      </c>
      <c r="C21" s="246">
        <v>2018</v>
      </c>
      <c r="D21" s="106" t="s">
        <v>413</v>
      </c>
      <c r="E21" s="246" t="s">
        <v>217</v>
      </c>
      <c r="F21" s="246" t="s">
        <v>218</v>
      </c>
      <c r="G21" s="246" t="s">
        <v>36</v>
      </c>
      <c r="H21" s="246" t="s">
        <v>168</v>
      </c>
      <c r="I21" s="246" t="s">
        <v>155</v>
      </c>
      <c r="J21" s="246" t="s">
        <v>38</v>
      </c>
      <c r="K21" s="246" t="s">
        <v>156</v>
      </c>
      <c r="L21" s="246">
        <v>2</v>
      </c>
      <c r="M21" s="246"/>
      <c r="N21" s="246">
        <v>1</v>
      </c>
      <c r="O21" s="246">
        <v>0.65</v>
      </c>
      <c r="P21" s="246">
        <v>0.55000000000000004</v>
      </c>
      <c r="Q21" s="107">
        <f t="shared" si="0"/>
        <v>0.60000000000000009</v>
      </c>
      <c r="R21" s="246">
        <v>16.8</v>
      </c>
      <c r="S21" s="246">
        <v>148</v>
      </c>
      <c r="T21" s="108">
        <f t="shared" si="1"/>
        <v>22</v>
      </c>
      <c r="U21" s="246">
        <v>158</v>
      </c>
      <c r="V21" s="109">
        <f t="shared" si="2"/>
        <v>3476</v>
      </c>
      <c r="W21" s="246">
        <v>8</v>
      </c>
      <c r="X21" s="246" t="s">
        <v>46</v>
      </c>
      <c r="Y21" s="246" t="s">
        <v>88</v>
      </c>
      <c r="Z21" s="246" t="s">
        <v>69</v>
      </c>
      <c r="AA21" s="246" t="s">
        <v>78</v>
      </c>
      <c r="AB21" s="246" t="s">
        <v>350</v>
      </c>
      <c r="AP21" s="128" t="s">
        <v>244</v>
      </c>
      <c r="AR21" s="118" t="s">
        <v>91</v>
      </c>
    </row>
    <row r="22" spans="1:48" s="115" customFormat="1" x14ac:dyDescent="0.15">
      <c r="A22" s="246" t="s">
        <v>51</v>
      </c>
      <c r="B22" s="246" t="s">
        <v>348</v>
      </c>
      <c r="C22" s="246">
        <v>2018</v>
      </c>
      <c r="D22" s="106" t="s">
        <v>413</v>
      </c>
      <c r="E22" s="246" t="s">
        <v>217</v>
      </c>
      <c r="F22" s="246" t="s">
        <v>218</v>
      </c>
      <c r="G22" s="246" t="s">
        <v>36</v>
      </c>
      <c r="H22" s="246" t="s">
        <v>168</v>
      </c>
      <c r="I22" s="246" t="s">
        <v>155</v>
      </c>
      <c r="J22" s="246" t="s">
        <v>38</v>
      </c>
      <c r="K22" s="246" t="s">
        <v>156</v>
      </c>
      <c r="L22" s="246">
        <v>3</v>
      </c>
      <c r="M22" s="246"/>
      <c r="N22" s="246">
        <v>1</v>
      </c>
      <c r="O22" s="246">
        <v>0.75</v>
      </c>
      <c r="P22" s="246">
        <v>0.8</v>
      </c>
      <c r="Q22" s="107">
        <f t="shared" si="0"/>
        <v>0.77500000000000002</v>
      </c>
      <c r="R22" s="246">
        <v>16.600000000000001</v>
      </c>
      <c r="S22" s="246">
        <v>142</v>
      </c>
      <c r="T22" s="108">
        <f t="shared" si="1"/>
        <v>22</v>
      </c>
      <c r="U22" s="246">
        <v>158</v>
      </c>
      <c r="V22" s="109">
        <f t="shared" si="2"/>
        <v>3476</v>
      </c>
      <c r="W22" s="246">
        <v>8</v>
      </c>
      <c r="X22" s="246" t="s">
        <v>46</v>
      </c>
      <c r="Y22" s="246" t="s">
        <v>88</v>
      </c>
      <c r="Z22" s="246" t="s">
        <v>69</v>
      </c>
      <c r="AA22" s="246" t="s">
        <v>78</v>
      </c>
      <c r="AB22" s="246" t="s">
        <v>350</v>
      </c>
      <c r="AP22" s="128" t="s">
        <v>245</v>
      </c>
      <c r="AR22" s="128" t="s">
        <v>51</v>
      </c>
    </row>
    <row r="23" spans="1:48" s="115" customFormat="1" x14ac:dyDescent="0.15">
      <c r="A23" s="246" t="s">
        <v>51</v>
      </c>
      <c r="B23" s="246" t="s">
        <v>348</v>
      </c>
      <c r="C23" s="246">
        <v>2018</v>
      </c>
      <c r="D23" s="106" t="s">
        <v>413</v>
      </c>
      <c r="E23" s="246" t="s">
        <v>175</v>
      </c>
      <c r="F23" s="246" t="s">
        <v>205</v>
      </c>
      <c r="G23" s="246" t="s">
        <v>42</v>
      </c>
      <c r="H23" s="246" t="s">
        <v>157</v>
      </c>
      <c r="I23" s="246" t="s">
        <v>155</v>
      </c>
      <c r="J23" s="246" t="s">
        <v>38</v>
      </c>
      <c r="K23" s="246" t="s">
        <v>156</v>
      </c>
      <c r="L23" s="246">
        <v>1</v>
      </c>
      <c r="M23" s="246"/>
      <c r="N23" s="246">
        <v>1</v>
      </c>
      <c r="O23" s="246">
        <v>0.75</v>
      </c>
      <c r="P23" s="246">
        <v>0.7</v>
      </c>
      <c r="Q23" s="107">
        <f t="shared" si="0"/>
        <v>0.72499999999999998</v>
      </c>
      <c r="R23" s="246">
        <v>14.9</v>
      </c>
      <c r="S23" s="246">
        <v>134</v>
      </c>
      <c r="T23" s="108">
        <f t="shared" si="1"/>
        <v>25</v>
      </c>
      <c r="U23" s="246">
        <v>127</v>
      </c>
      <c r="V23" s="109">
        <f t="shared" si="2"/>
        <v>3175</v>
      </c>
      <c r="W23" s="246">
        <v>8</v>
      </c>
      <c r="X23" s="246" t="s">
        <v>46</v>
      </c>
      <c r="Y23" s="246" t="s">
        <v>88</v>
      </c>
      <c r="Z23" s="246" t="s">
        <v>69</v>
      </c>
      <c r="AA23" s="246" t="s">
        <v>78</v>
      </c>
      <c r="AB23" s="246" t="s">
        <v>350</v>
      </c>
    </row>
    <row r="24" spans="1:48" s="115" customFormat="1" x14ac:dyDescent="0.15">
      <c r="A24" s="246" t="s">
        <v>51</v>
      </c>
      <c r="B24" s="246" t="s">
        <v>348</v>
      </c>
      <c r="C24" s="246">
        <v>2018</v>
      </c>
      <c r="D24" s="106" t="s">
        <v>413</v>
      </c>
      <c r="E24" s="246" t="s">
        <v>175</v>
      </c>
      <c r="F24" s="246" t="s">
        <v>205</v>
      </c>
      <c r="G24" s="246" t="s">
        <v>42</v>
      </c>
      <c r="H24" s="246" t="s">
        <v>157</v>
      </c>
      <c r="I24" s="246" t="s">
        <v>155</v>
      </c>
      <c r="J24" s="246" t="s">
        <v>38</v>
      </c>
      <c r="K24" s="246" t="s">
        <v>156</v>
      </c>
      <c r="L24" s="246">
        <v>2</v>
      </c>
      <c r="M24" s="246"/>
      <c r="N24" s="246">
        <v>1</v>
      </c>
      <c r="O24" s="246">
        <v>0.8</v>
      </c>
      <c r="P24" s="246">
        <v>0.75</v>
      </c>
      <c r="Q24" s="107">
        <f t="shared" si="0"/>
        <v>0.77500000000000002</v>
      </c>
      <c r="R24" s="246">
        <v>15.3</v>
      </c>
      <c r="S24" s="246">
        <v>135</v>
      </c>
      <c r="T24" s="108">
        <f t="shared" si="1"/>
        <v>25</v>
      </c>
      <c r="U24" s="246">
        <v>127</v>
      </c>
      <c r="V24" s="109">
        <f t="shared" si="2"/>
        <v>3175</v>
      </c>
      <c r="W24" s="246">
        <v>8</v>
      </c>
      <c r="X24" s="246" t="s">
        <v>46</v>
      </c>
      <c r="Y24" s="246" t="s">
        <v>88</v>
      </c>
      <c r="Z24" s="246" t="s">
        <v>69</v>
      </c>
      <c r="AA24" s="246" t="s">
        <v>78</v>
      </c>
      <c r="AB24" s="246" t="s">
        <v>350</v>
      </c>
    </row>
    <row r="25" spans="1:48" s="115" customFormat="1" x14ac:dyDescent="0.15">
      <c r="A25" s="246" t="s">
        <v>51</v>
      </c>
      <c r="B25" s="246" t="s">
        <v>348</v>
      </c>
      <c r="C25" s="246">
        <v>2018</v>
      </c>
      <c r="D25" s="106" t="s">
        <v>413</v>
      </c>
      <c r="E25" s="246" t="s">
        <v>175</v>
      </c>
      <c r="F25" s="246" t="s">
        <v>205</v>
      </c>
      <c r="G25" s="246" t="s">
        <v>42</v>
      </c>
      <c r="H25" s="246" t="s">
        <v>157</v>
      </c>
      <c r="I25" s="246" t="s">
        <v>155</v>
      </c>
      <c r="J25" s="246" t="s">
        <v>38</v>
      </c>
      <c r="K25" s="246" t="s">
        <v>156</v>
      </c>
      <c r="L25" s="246">
        <v>3</v>
      </c>
      <c r="M25" s="246"/>
      <c r="N25" s="246">
        <v>1</v>
      </c>
      <c r="O25" s="246">
        <v>0.7</v>
      </c>
      <c r="P25" s="246">
        <v>0.7</v>
      </c>
      <c r="Q25" s="107">
        <f t="shared" si="0"/>
        <v>0.7</v>
      </c>
      <c r="R25" s="246">
        <v>15.8</v>
      </c>
      <c r="S25" s="246">
        <v>138</v>
      </c>
      <c r="T25" s="108">
        <f t="shared" si="1"/>
        <v>22</v>
      </c>
      <c r="U25" s="246">
        <v>127</v>
      </c>
      <c r="V25" s="109">
        <f t="shared" si="2"/>
        <v>2794</v>
      </c>
      <c r="W25" s="246">
        <v>8</v>
      </c>
      <c r="X25" s="246" t="s">
        <v>46</v>
      </c>
      <c r="Y25" s="246" t="s">
        <v>88</v>
      </c>
      <c r="Z25" s="246" t="s">
        <v>69</v>
      </c>
      <c r="AA25" s="246" t="s">
        <v>78</v>
      </c>
      <c r="AB25" s="246" t="s">
        <v>350</v>
      </c>
    </row>
    <row r="26" spans="1:48" s="115" customFormat="1" x14ac:dyDescent="0.15">
      <c r="A26" s="246" t="s">
        <v>51</v>
      </c>
      <c r="B26" s="246" t="s">
        <v>348</v>
      </c>
      <c r="C26" s="246">
        <v>2018</v>
      </c>
      <c r="D26" s="106" t="s">
        <v>413</v>
      </c>
      <c r="E26" s="246" t="s">
        <v>175</v>
      </c>
      <c r="F26" s="246" t="s">
        <v>205</v>
      </c>
      <c r="G26" s="246" t="s">
        <v>42</v>
      </c>
      <c r="H26" s="246" t="s">
        <v>168</v>
      </c>
      <c r="I26" s="246" t="s">
        <v>155</v>
      </c>
      <c r="J26" s="246" t="s">
        <v>38</v>
      </c>
      <c r="K26" s="246" t="s">
        <v>156</v>
      </c>
      <c r="L26" s="246">
        <v>1</v>
      </c>
      <c r="M26" s="246"/>
      <c r="N26" s="246">
        <v>1</v>
      </c>
      <c r="O26" s="246">
        <v>0.75</v>
      </c>
      <c r="P26" s="246">
        <v>0.85</v>
      </c>
      <c r="Q26" s="107">
        <f t="shared" si="0"/>
        <v>0.8</v>
      </c>
      <c r="R26" s="246">
        <v>16.7</v>
      </c>
      <c r="S26" s="246">
        <v>164</v>
      </c>
      <c r="T26" s="108">
        <f t="shared" si="1"/>
        <v>18</v>
      </c>
      <c r="U26" s="246">
        <v>127</v>
      </c>
      <c r="V26" s="109">
        <f t="shared" si="2"/>
        <v>2286</v>
      </c>
      <c r="W26" s="246">
        <v>8</v>
      </c>
      <c r="X26" s="246" t="s">
        <v>46</v>
      </c>
      <c r="Y26" s="246" t="s">
        <v>88</v>
      </c>
      <c r="Z26" s="246" t="s">
        <v>69</v>
      </c>
      <c r="AA26" s="246" t="s">
        <v>78</v>
      </c>
      <c r="AB26" s="246" t="s">
        <v>350</v>
      </c>
    </row>
    <row r="27" spans="1:48" s="115" customFormat="1" x14ac:dyDescent="0.15">
      <c r="A27" s="246" t="s">
        <v>51</v>
      </c>
      <c r="B27" s="246" t="s">
        <v>348</v>
      </c>
      <c r="C27" s="246">
        <v>2018</v>
      </c>
      <c r="D27" s="106" t="s">
        <v>413</v>
      </c>
      <c r="E27" s="246" t="s">
        <v>175</v>
      </c>
      <c r="F27" s="246" t="s">
        <v>205</v>
      </c>
      <c r="G27" s="246" t="s">
        <v>42</v>
      </c>
      <c r="H27" s="246" t="s">
        <v>168</v>
      </c>
      <c r="I27" s="246" t="s">
        <v>155</v>
      </c>
      <c r="J27" s="246" t="s">
        <v>38</v>
      </c>
      <c r="K27" s="246" t="s">
        <v>156</v>
      </c>
      <c r="L27" s="246">
        <v>2</v>
      </c>
      <c r="M27" s="246"/>
      <c r="N27" s="246">
        <v>1</v>
      </c>
      <c r="O27" s="246">
        <v>0.8</v>
      </c>
      <c r="P27" s="246">
        <v>0.8</v>
      </c>
      <c r="Q27" s="107">
        <f t="shared" si="0"/>
        <v>0.8</v>
      </c>
      <c r="R27" s="246">
        <v>17.2</v>
      </c>
      <c r="S27" s="246">
        <v>178</v>
      </c>
      <c r="T27" s="108">
        <f t="shared" si="1"/>
        <v>18</v>
      </c>
      <c r="U27" s="246">
        <v>127</v>
      </c>
      <c r="V27" s="109">
        <f t="shared" si="2"/>
        <v>2286</v>
      </c>
      <c r="W27" s="246">
        <v>8</v>
      </c>
      <c r="X27" s="246" t="s">
        <v>46</v>
      </c>
      <c r="Y27" s="246" t="s">
        <v>88</v>
      </c>
      <c r="Z27" s="246" t="s">
        <v>69</v>
      </c>
      <c r="AA27" s="246" t="s">
        <v>78</v>
      </c>
      <c r="AB27" s="246" t="s">
        <v>350</v>
      </c>
    </row>
    <row r="28" spans="1:48" s="115" customFormat="1" x14ac:dyDescent="0.15">
      <c r="A28" s="246" t="s">
        <v>51</v>
      </c>
      <c r="B28" s="246" t="s">
        <v>348</v>
      </c>
      <c r="C28" s="246">
        <v>2018</v>
      </c>
      <c r="D28" s="106" t="s">
        <v>413</v>
      </c>
      <c r="E28" s="246" t="s">
        <v>175</v>
      </c>
      <c r="F28" s="246" t="s">
        <v>205</v>
      </c>
      <c r="G28" s="246" t="s">
        <v>42</v>
      </c>
      <c r="H28" s="246" t="s">
        <v>168</v>
      </c>
      <c r="I28" s="246" t="s">
        <v>155</v>
      </c>
      <c r="J28" s="246" t="s">
        <v>38</v>
      </c>
      <c r="K28" s="246" t="s">
        <v>156</v>
      </c>
      <c r="L28" s="246">
        <v>3</v>
      </c>
      <c r="M28" s="246"/>
      <c r="N28" s="246">
        <v>1</v>
      </c>
      <c r="O28" s="246">
        <v>0.8</v>
      </c>
      <c r="P28" s="246">
        <v>0.5</v>
      </c>
      <c r="Q28" s="107">
        <f t="shared" si="0"/>
        <v>0.65</v>
      </c>
      <c r="R28" s="246">
        <v>18.2</v>
      </c>
      <c r="S28" s="246">
        <v>162</v>
      </c>
      <c r="T28" s="108">
        <f t="shared" si="1"/>
        <v>18</v>
      </c>
      <c r="U28" s="246">
        <v>127</v>
      </c>
      <c r="V28" s="109">
        <f t="shared" si="2"/>
        <v>2286</v>
      </c>
      <c r="W28" s="246">
        <v>8</v>
      </c>
      <c r="X28" s="246" t="s">
        <v>46</v>
      </c>
      <c r="Y28" s="246" t="s">
        <v>88</v>
      </c>
      <c r="Z28" s="246" t="s">
        <v>69</v>
      </c>
      <c r="AA28" s="246" t="s">
        <v>78</v>
      </c>
      <c r="AB28" s="246" t="s">
        <v>350</v>
      </c>
    </row>
    <row r="29" spans="1:48" s="115" customFormat="1" x14ac:dyDescent="0.15">
      <c r="A29" s="246" t="s">
        <v>51</v>
      </c>
      <c r="B29" s="246" t="s">
        <v>348</v>
      </c>
      <c r="C29" s="246">
        <v>2018</v>
      </c>
      <c r="D29" s="106" t="s">
        <v>413</v>
      </c>
      <c r="E29" s="246" t="s">
        <v>219</v>
      </c>
      <c r="F29" s="246" t="s">
        <v>205</v>
      </c>
      <c r="G29" s="246" t="s">
        <v>42</v>
      </c>
      <c r="H29" s="246" t="s">
        <v>157</v>
      </c>
      <c r="I29" s="246" t="s">
        <v>155</v>
      </c>
      <c r="J29" s="246" t="s">
        <v>38</v>
      </c>
      <c r="K29" s="246" t="s">
        <v>156</v>
      </c>
      <c r="L29" s="246">
        <v>1</v>
      </c>
      <c r="M29" s="246"/>
      <c r="N29" s="246">
        <v>8</v>
      </c>
      <c r="O29" s="246">
        <v>0.7</v>
      </c>
      <c r="P29" s="246">
        <v>0.75</v>
      </c>
      <c r="Q29" s="107">
        <f t="shared" si="0"/>
        <v>0.72499999999999998</v>
      </c>
      <c r="R29" s="246">
        <v>15.2</v>
      </c>
      <c r="S29" s="246">
        <v>100</v>
      </c>
      <c r="T29" s="108">
        <f t="shared" si="1"/>
        <v>39</v>
      </c>
      <c r="U29" s="246">
        <v>398</v>
      </c>
      <c r="V29" s="109">
        <f t="shared" si="2"/>
        <v>1940.25</v>
      </c>
      <c r="W29" s="246">
        <v>6</v>
      </c>
      <c r="X29" s="246" t="s">
        <v>46</v>
      </c>
      <c r="Y29" s="246" t="s">
        <v>88</v>
      </c>
      <c r="Z29" s="246" t="s">
        <v>102</v>
      </c>
      <c r="AA29" s="246" t="s">
        <v>97</v>
      </c>
      <c r="AB29" s="246" t="s">
        <v>350</v>
      </c>
    </row>
    <row r="30" spans="1:48" s="115" customFormat="1" x14ac:dyDescent="0.15">
      <c r="A30" s="246" t="s">
        <v>51</v>
      </c>
      <c r="B30" s="246" t="s">
        <v>348</v>
      </c>
      <c r="C30" s="246">
        <v>2018</v>
      </c>
      <c r="D30" s="106" t="s">
        <v>413</v>
      </c>
      <c r="E30" s="246" t="s">
        <v>219</v>
      </c>
      <c r="F30" s="246" t="s">
        <v>205</v>
      </c>
      <c r="G30" s="246" t="s">
        <v>42</v>
      </c>
      <c r="H30" s="246" t="s">
        <v>157</v>
      </c>
      <c r="I30" s="246" t="s">
        <v>155</v>
      </c>
      <c r="J30" s="246" t="s">
        <v>38</v>
      </c>
      <c r="K30" s="246" t="s">
        <v>156</v>
      </c>
      <c r="L30" s="246">
        <v>2</v>
      </c>
      <c r="M30" s="246"/>
      <c r="N30" s="246">
        <v>8</v>
      </c>
      <c r="O30" s="246">
        <v>0.7</v>
      </c>
      <c r="P30" s="246">
        <v>0.55000000000000004</v>
      </c>
      <c r="Q30" s="107">
        <f t="shared" si="0"/>
        <v>0.625</v>
      </c>
      <c r="R30" s="246">
        <v>15.4</v>
      </c>
      <c r="S30" s="246">
        <v>98</v>
      </c>
      <c r="T30" s="108">
        <f t="shared" si="1"/>
        <v>39</v>
      </c>
      <c r="U30" s="246">
        <v>398</v>
      </c>
      <c r="V30" s="109">
        <f t="shared" si="2"/>
        <v>1940.25</v>
      </c>
      <c r="W30" s="246">
        <v>6</v>
      </c>
      <c r="X30" s="246" t="s">
        <v>46</v>
      </c>
      <c r="Y30" s="246" t="s">
        <v>88</v>
      </c>
      <c r="Z30" s="246" t="s">
        <v>102</v>
      </c>
      <c r="AA30" s="246" t="s">
        <v>97</v>
      </c>
      <c r="AB30" s="246" t="s">
        <v>350</v>
      </c>
    </row>
    <row r="31" spans="1:48" s="115" customFormat="1" x14ac:dyDescent="0.15">
      <c r="A31" s="246" t="s">
        <v>51</v>
      </c>
      <c r="B31" s="246" t="s">
        <v>348</v>
      </c>
      <c r="C31" s="246">
        <v>2018</v>
      </c>
      <c r="D31" s="106" t="s">
        <v>413</v>
      </c>
      <c r="E31" s="246" t="s">
        <v>219</v>
      </c>
      <c r="F31" s="246" t="s">
        <v>205</v>
      </c>
      <c r="G31" s="246" t="s">
        <v>42</v>
      </c>
      <c r="H31" s="246" t="s">
        <v>157</v>
      </c>
      <c r="I31" s="246" t="s">
        <v>155</v>
      </c>
      <c r="J31" s="246" t="s">
        <v>38</v>
      </c>
      <c r="K31" s="246" t="s">
        <v>156</v>
      </c>
      <c r="L31" s="246">
        <v>3</v>
      </c>
      <c r="M31" s="246"/>
      <c r="N31" s="246">
        <v>8</v>
      </c>
      <c r="O31" s="246">
        <v>0.65</v>
      </c>
      <c r="P31" s="246">
        <v>0.65</v>
      </c>
      <c r="Q31" s="107">
        <f t="shared" si="0"/>
        <v>0.65</v>
      </c>
      <c r="R31" s="246">
        <v>15.9</v>
      </c>
      <c r="S31" s="246">
        <v>106</v>
      </c>
      <c r="T31" s="108">
        <f t="shared" si="1"/>
        <v>39</v>
      </c>
      <c r="U31" s="246">
        <v>398</v>
      </c>
      <c r="V31" s="109">
        <f t="shared" si="2"/>
        <v>1940.25</v>
      </c>
      <c r="W31" s="246">
        <v>6</v>
      </c>
      <c r="X31" s="246" t="s">
        <v>46</v>
      </c>
      <c r="Y31" s="246" t="s">
        <v>88</v>
      </c>
      <c r="Z31" s="246" t="s">
        <v>102</v>
      </c>
      <c r="AA31" s="246" t="s">
        <v>97</v>
      </c>
      <c r="AB31" s="246" t="s">
        <v>350</v>
      </c>
    </row>
    <row r="32" spans="1:48" s="115" customFormat="1" x14ac:dyDescent="0.15">
      <c r="A32" s="246" t="s">
        <v>51</v>
      </c>
      <c r="B32" s="246" t="s">
        <v>348</v>
      </c>
      <c r="C32" s="246">
        <v>2018</v>
      </c>
      <c r="D32" s="106" t="s">
        <v>413</v>
      </c>
      <c r="E32" s="246" t="s">
        <v>219</v>
      </c>
      <c r="F32" s="246" t="s">
        <v>205</v>
      </c>
      <c r="G32" s="246" t="s">
        <v>42</v>
      </c>
      <c r="H32" s="246" t="s">
        <v>168</v>
      </c>
      <c r="I32" s="246" t="s">
        <v>155</v>
      </c>
      <c r="J32" s="246" t="s">
        <v>38</v>
      </c>
      <c r="K32" s="246" t="s">
        <v>156</v>
      </c>
      <c r="L32" s="246">
        <v>1</v>
      </c>
      <c r="M32" s="246"/>
      <c r="N32" s="246">
        <v>1</v>
      </c>
      <c r="O32" s="246">
        <v>0.8</v>
      </c>
      <c r="P32" s="246">
        <v>0.8</v>
      </c>
      <c r="Q32" s="107">
        <f t="shared" si="0"/>
        <v>0.8</v>
      </c>
      <c r="R32" s="246">
        <v>15.7</v>
      </c>
      <c r="S32" s="246">
        <v>156</v>
      </c>
      <c r="T32" s="108">
        <f t="shared" si="1"/>
        <v>18</v>
      </c>
      <c r="U32" s="246">
        <v>158</v>
      </c>
      <c r="V32" s="109">
        <f t="shared" si="2"/>
        <v>2844</v>
      </c>
      <c r="W32" s="246">
        <v>6</v>
      </c>
      <c r="X32" s="246" t="s">
        <v>46</v>
      </c>
      <c r="Y32" s="246" t="s">
        <v>88</v>
      </c>
      <c r="Z32" s="246" t="s">
        <v>102</v>
      </c>
      <c r="AA32" s="246" t="s">
        <v>97</v>
      </c>
      <c r="AB32" s="246" t="s">
        <v>350</v>
      </c>
    </row>
    <row r="33" spans="1:28" s="115" customFormat="1" x14ac:dyDescent="0.15">
      <c r="A33" s="246" t="s">
        <v>51</v>
      </c>
      <c r="B33" s="246" t="s">
        <v>348</v>
      </c>
      <c r="C33" s="246">
        <v>2018</v>
      </c>
      <c r="D33" s="106" t="s">
        <v>413</v>
      </c>
      <c r="E33" s="246" t="s">
        <v>219</v>
      </c>
      <c r="F33" s="246" t="s">
        <v>205</v>
      </c>
      <c r="G33" s="246" t="s">
        <v>42</v>
      </c>
      <c r="H33" s="246" t="s">
        <v>168</v>
      </c>
      <c r="I33" s="246" t="s">
        <v>155</v>
      </c>
      <c r="J33" s="246" t="s">
        <v>38</v>
      </c>
      <c r="K33" s="246" t="s">
        <v>156</v>
      </c>
      <c r="L33" s="246">
        <v>2</v>
      </c>
      <c r="M33" s="246"/>
      <c r="N33" s="246">
        <v>1</v>
      </c>
      <c r="O33" s="246">
        <v>0.9</v>
      </c>
      <c r="P33" s="246">
        <v>0.7</v>
      </c>
      <c r="Q33" s="107">
        <f t="shared" si="0"/>
        <v>0.8</v>
      </c>
      <c r="R33" s="246">
        <v>16.100000000000001</v>
      </c>
      <c r="S33" s="246">
        <v>162</v>
      </c>
      <c r="T33" s="108">
        <f t="shared" si="1"/>
        <v>18</v>
      </c>
      <c r="U33" s="246">
        <v>158</v>
      </c>
      <c r="V33" s="109">
        <f t="shared" si="2"/>
        <v>2844</v>
      </c>
      <c r="W33" s="246">
        <v>6</v>
      </c>
      <c r="X33" s="246" t="s">
        <v>46</v>
      </c>
      <c r="Y33" s="246" t="s">
        <v>88</v>
      </c>
      <c r="Z33" s="246" t="s">
        <v>102</v>
      </c>
      <c r="AA33" s="246" t="s">
        <v>97</v>
      </c>
      <c r="AB33" s="246" t="s">
        <v>350</v>
      </c>
    </row>
    <row r="34" spans="1:28" s="115" customFormat="1" x14ac:dyDescent="0.15">
      <c r="A34" s="246" t="s">
        <v>51</v>
      </c>
      <c r="B34" s="246" t="s">
        <v>348</v>
      </c>
      <c r="C34" s="246">
        <v>2018</v>
      </c>
      <c r="D34" s="106" t="s">
        <v>413</v>
      </c>
      <c r="E34" s="246" t="s">
        <v>219</v>
      </c>
      <c r="F34" s="246" t="s">
        <v>205</v>
      </c>
      <c r="G34" s="246" t="s">
        <v>42</v>
      </c>
      <c r="H34" s="246" t="s">
        <v>168</v>
      </c>
      <c r="I34" s="246" t="s">
        <v>155</v>
      </c>
      <c r="J34" s="246" t="s">
        <v>38</v>
      </c>
      <c r="K34" s="246" t="s">
        <v>156</v>
      </c>
      <c r="L34" s="246">
        <v>3</v>
      </c>
      <c r="M34" s="246"/>
      <c r="N34" s="246">
        <v>1</v>
      </c>
      <c r="O34" s="246">
        <v>0.75</v>
      </c>
      <c r="P34" s="246">
        <v>0.8</v>
      </c>
      <c r="Q34" s="107">
        <f t="shared" si="0"/>
        <v>0.77500000000000002</v>
      </c>
      <c r="R34" s="246">
        <v>14.5</v>
      </c>
      <c r="S34" s="246">
        <v>154</v>
      </c>
      <c r="T34" s="108">
        <f t="shared" si="1"/>
        <v>18</v>
      </c>
      <c r="U34" s="246">
        <v>158</v>
      </c>
      <c r="V34" s="109">
        <f t="shared" si="2"/>
        <v>2844</v>
      </c>
      <c r="W34" s="246">
        <v>6</v>
      </c>
      <c r="X34" s="246" t="s">
        <v>46</v>
      </c>
      <c r="Y34" s="246" t="s">
        <v>88</v>
      </c>
      <c r="Z34" s="246" t="s">
        <v>102</v>
      </c>
      <c r="AA34" s="246" t="s">
        <v>97</v>
      </c>
      <c r="AB34" s="246" t="s">
        <v>350</v>
      </c>
    </row>
    <row r="35" spans="1:28" s="115" customFormat="1" x14ac:dyDescent="0.15">
      <c r="A35" s="246" t="s">
        <v>51</v>
      </c>
      <c r="B35" s="246" t="s">
        <v>348</v>
      </c>
      <c r="C35" s="246">
        <v>2018</v>
      </c>
      <c r="D35" s="106" t="s">
        <v>413</v>
      </c>
      <c r="E35" s="246" t="s">
        <v>210</v>
      </c>
      <c r="F35" s="246" t="s">
        <v>211</v>
      </c>
      <c r="G35" s="246" t="s">
        <v>42</v>
      </c>
      <c r="H35" s="246" t="s">
        <v>157</v>
      </c>
      <c r="I35" s="246" t="s">
        <v>155</v>
      </c>
      <c r="J35" s="246" t="s">
        <v>38</v>
      </c>
      <c r="K35" s="246" t="s">
        <v>156</v>
      </c>
      <c r="L35" s="246">
        <v>1</v>
      </c>
      <c r="M35" s="246"/>
      <c r="N35" s="246">
        <v>1</v>
      </c>
      <c r="O35" s="246">
        <v>0.95</v>
      </c>
      <c r="P35" s="246">
        <v>1</v>
      </c>
      <c r="Q35" s="107">
        <f t="shared" si="0"/>
        <v>0.97499999999999998</v>
      </c>
      <c r="R35" s="246">
        <v>15.3</v>
      </c>
      <c r="S35" s="246">
        <v>146</v>
      </c>
      <c r="T35" s="108">
        <f t="shared" si="1"/>
        <v>22</v>
      </c>
      <c r="U35" s="246">
        <v>138</v>
      </c>
      <c r="V35" s="109">
        <f t="shared" si="2"/>
        <v>3036</v>
      </c>
      <c r="W35" s="246">
        <v>12</v>
      </c>
      <c r="X35" s="246" t="s">
        <v>46</v>
      </c>
      <c r="Y35" s="246" t="s">
        <v>69</v>
      </c>
      <c r="Z35" s="130" t="s">
        <v>88</v>
      </c>
      <c r="AA35" s="246" t="s">
        <v>78</v>
      </c>
      <c r="AB35" s="246" t="s">
        <v>350</v>
      </c>
    </row>
    <row r="36" spans="1:28" s="115" customFormat="1" x14ac:dyDescent="0.15">
      <c r="A36" s="246" t="s">
        <v>51</v>
      </c>
      <c r="B36" s="246" t="s">
        <v>348</v>
      </c>
      <c r="C36" s="246">
        <v>2018</v>
      </c>
      <c r="D36" s="106" t="s">
        <v>413</v>
      </c>
      <c r="E36" s="246" t="s">
        <v>210</v>
      </c>
      <c r="F36" s="246" t="s">
        <v>211</v>
      </c>
      <c r="G36" s="246" t="s">
        <v>42</v>
      </c>
      <c r="H36" s="246" t="s">
        <v>157</v>
      </c>
      <c r="I36" s="246" t="s">
        <v>155</v>
      </c>
      <c r="J36" s="246" t="s">
        <v>38</v>
      </c>
      <c r="K36" s="246" t="s">
        <v>156</v>
      </c>
      <c r="L36" s="246">
        <v>2</v>
      </c>
      <c r="M36" s="246"/>
      <c r="N36" s="246">
        <v>1</v>
      </c>
      <c r="O36" s="246">
        <v>0.9</v>
      </c>
      <c r="P36" s="246">
        <v>0.8</v>
      </c>
      <c r="Q36" s="107">
        <f t="shared" si="0"/>
        <v>0.85000000000000009</v>
      </c>
      <c r="R36" s="246">
        <v>15.3</v>
      </c>
      <c r="S36" s="246">
        <v>142</v>
      </c>
      <c r="T36" s="108">
        <f t="shared" si="1"/>
        <v>22</v>
      </c>
      <c r="U36" s="246">
        <v>138</v>
      </c>
      <c r="V36" s="109">
        <f t="shared" si="2"/>
        <v>3036</v>
      </c>
      <c r="W36" s="246">
        <v>12</v>
      </c>
      <c r="X36" s="246" t="s">
        <v>46</v>
      </c>
      <c r="Y36" s="246" t="s">
        <v>69</v>
      </c>
      <c r="Z36" s="130" t="s">
        <v>88</v>
      </c>
      <c r="AA36" s="246" t="s">
        <v>78</v>
      </c>
      <c r="AB36" s="246" t="s">
        <v>350</v>
      </c>
    </row>
    <row r="37" spans="1:28" s="115" customFormat="1" x14ac:dyDescent="0.15">
      <c r="A37" s="246" t="s">
        <v>51</v>
      </c>
      <c r="B37" s="246" t="s">
        <v>348</v>
      </c>
      <c r="C37" s="246">
        <v>2018</v>
      </c>
      <c r="D37" s="106" t="s">
        <v>413</v>
      </c>
      <c r="E37" s="246" t="s">
        <v>210</v>
      </c>
      <c r="F37" s="246" t="s">
        <v>211</v>
      </c>
      <c r="G37" s="246" t="s">
        <v>42</v>
      </c>
      <c r="H37" s="246" t="s">
        <v>157</v>
      </c>
      <c r="I37" s="246" t="s">
        <v>155</v>
      </c>
      <c r="J37" s="246" t="s">
        <v>38</v>
      </c>
      <c r="K37" s="246" t="s">
        <v>156</v>
      </c>
      <c r="L37" s="246">
        <v>3</v>
      </c>
      <c r="M37" s="246"/>
      <c r="N37" s="246">
        <v>1</v>
      </c>
      <c r="O37" s="246">
        <v>0.85</v>
      </c>
      <c r="P37" s="246">
        <v>0.85</v>
      </c>
      <c r="Q37" s="107">
        <f t="shared" si="0"/>
        <v>0.85</v>
      </c>
      <c r="R37" s="246">
        <v>15.5</v>
      </c>
      <c r="S37" s="246">
        <v>144</v>
      </c>
      <c r="T37" s="108">
        <f t="shared" si="1"/>
        <v>22</v>
      </c>
      <c r="U37" s="246">
        <v>138</v>
      </c>
      <c r="V37" s="109">
        <f t="shared" si="2"/>
        <v>3036</v>
      </c>
      <c r="W37" s="246">
        <v>12</v>
      </c>
      <c r="X37" s="246" t="s">
        <v>46</v>
      </c>
      <c r="Y37" s="246" t="s">
        <v>69</v>
      </c>
      <c r="Z37" s="130" t="s">
        <v>88</v>
      </c>
      <c r="AA37" s="246" t="s">
        <v>78</v>
      </c>
      <c r="AB37" s="246" t="s">
        <v>350</v>
      </c>
    </row>
    <row r="38" spans="1:28" s="115" customFormat="1" x14ac:dyDescent="0.15">
      <c r="A38" s="246" t="s">
        <v>51</v>
      </c>
      <c r="B38" s="246" t="s">
        <v>348</v>
      </c>
      <c r="C38" s="246">
        <v>2018</v>
      </c>
      <c r="D38" s="106" t="s">
        <v>413</v>
      </c>
      <c r="E38" s="246" t="s">
        <v>210</v>
      </c>
      <c r="F38" s="246" t="s">
        <v>211</v>
      </c>
      <c r="G38" s="246" t="s">
        <v>42</v>
      </c>
      <c r="H38" s="246" t="s">
        <v>168</v>
      </c>
      <c r="I38" s="246" t="s">
        <v>155</v>
      </c>
      <c r="J38" s="246" t="s">
        <v>38</v>
      </c>
      <c r="K38" s="246" t="s">
        <v>156</v>
      </c>
      <c r="L38" s="246">
        <v>1</v>
      </c>
      <c r="M38" s="246"/>
      <c r="N38" s="246">
        <v>1</v>
      </c>
      <c r="O38" s="246">
        <v>0.6</v>
      </c>
      <c r="P38" s="246">
        <v>0.75</v>
      </c>
      <c r="Q38" s="107">
        <f t="shared" si="0"/>
        <v>0.67500000000000004</v>
      </c>
      <c r="R38" s="246">
        <v>16.600000000000001</v>
      </c>
      <c r="S38" s="246">
        <v>144</v>
      </c>
      <c r="T38" s="108">
        <f t="shared" si="1"/>
        <v>22</v>
      </c>
      <c r="U38" s="246">
        <v>138</v>
      </c>
      <c r="V38" s="109">
        <f t="shared" si="2"/>
        <v>3036</v>
      </c>
      <c r="W38" s="246">
        <v>12</v>
      </c>
      <c r="X38" s="246" t="s">
        <v>46</v>
      </c>
      <c r="Y38" s="246" t="s">
        <v>69</v>
      </c>
      <c r="Z38" s="130" t="s">
        <v>88</v>
      </c>
      <c r="AA38" s="246" t="s">
        <v>78</v>
      </c>
      <c r="AB38" s="246" t="s">
        <v>350</v>
      </c>
    </row>
    <row r="39" spans="1:28" s="115" customFormat="1" x14ac:dyDescent="0.15">
      <c r="A39" s="246" t="s">
        <v>51</v>
      </c>
      <c r="B39" s="246" t="s">
        <v>348</v>
      </c>
      <c r="C39" s="246">
        <v>2018</v>
      </c>
      <c r="D39" s="106" t="s">
        <v>413</v>
      </c>
      <c r="E39" s="246" t="s">
        <v>210</v>
      </c>
      <c r="F39" s="246" t="s">
        <v>211</v>
      </c>
      <c r="G39" s="246" t="s">
        <v>42</v>
      </c>
      <c r="H39" s="246" t="s">
        <v>168</v>
      </c>
      <c r="I39" s="246" t="s">
        <v>155</v>
      </c>
      <c r="J39" s="246" t="s">
        <v>38</v>
      </c>
      <c r="K39" s="246" t="s">
        <v>156</v>
      </c>
      <c r="L39" s="246">
        <v>2</v>
      </c>
      <c r="M39" s="246"/>
      <c r="N39" s="246">
        <v>1</v>
      </c>
      <c r="O39" s="246">
        <v>0.65</v>
      </c>
      <c r="P39" s="246">
        <v>0.55000000000000004</v>
      </c>
      <c r="Q39" s="107">
        <f t="shared" si="0"/>
        <v>0.60000000000000009</v>
      </c>
      <c r="R39" s="246">
        <v>16.899999999999999</v>
      </c>
      <c r="S39" s="246">
        <v>146</v>
      </c>
      <c r="T39" s="108">
        <f t="shared" si="1"/>
        <v>22</v>
      </c>
      <c r="U39" s="246">
        <v>138</v>
      </c>
      <c r="V39" s="109">
        <f t="shared" si="2"/>
        <v>3036</v>
      </c>
      <c r="W39" s="246">
        <v>12</v>
      </c>
      <c r="X39" s="246" t="s">
        <v>46</v>
      </c>
      <c r="Y39" s="246" t="s">
        <v>69</v>
      </c>
      <c r="Z39" s="130" t="s">
        <v>88</v>
      </c>
      <c r="AA39" s="246" t="s">
        <v>78</v>
      </c>
      <c r="AB39" s="246" t="s">
        <v>350</v>
      </c>
    </row>
    <row r="40" spans="1:28" s="115" customFormat="1" x14ac:dyDescent="0.15">
      <c r="A40" s="246" t="s">
        <v>51</v>
      </c>
      <c r="B40" s="246" t="s">
        <v>348</v>
      </c>
      <c r="C40" s="246">
        <v>2018</v>
      </c>
      <c r="D40" s="106" t="s">
        <v>413</v>
      </c>
      <c r="E40" s="246" t="s">
        <v>210</v>
      </c>
      <c r="F40" s="246" t="s">
        <v>211</v>
      </c>
      <c r="G40" s="246" t="s">
        <v>42</v>
      </c>
      <c r="H40" s="246" t="s">
        <v>168</v>
      </c>
      <c r="I40" s="246" t="s">
        <v>155</v>
      </c>
      <c r="J40" s="246" t="s">
        <v>38</v>
      </c>
      <c r="K40" s="246" t="s">
        <v>156</v>
      </c>
      <c r="L40" s="246">
        <v>3</v>
      </c>
      <c r="M40" s="246"/>
      <c r="N40" s="246">
        <v>1</v>
      </c>
      <c r="O40" s="246">
        <v>0.7</v>
      </c>
      <c r="P40" s="246">
        <v>0.6</v>
      </c>
      <c r="Q40" s="107">
        <f t="shared" si="0"/>
        <v>0.64999999999999991</v>
      </c>
      <c r="R40" s="246">
        <v>17.2</v>
      </c>
      <c r="S40" s="246">
        <v>150</v>
      </c>
      <c r="T40" s="108">
        <f t="shared" si="1"/>
        <v>22</v>
      </c>
      <c r="U40" s="246">
        <v>138</v>
      </c>
      <c r="V40" s="109">
        <f t="shared" si="2"/>
        <v>3036</v>
      </c>
      <c r="W40" s="246">
        <v>12</v>
      </c>
      <c r="X40" s="246" t="s">
        <v>46</v>
      </c>
      <c r="Y40" s="246" t="s">
        <v>69</v>
      </c>
      <c r="Z40" s="130" t="s">
        <v>88</v>
      </c>
      <c r="AA40" s="246" t="s">
        <v>78</v>
      </c>
      <c r="AB40" s="246" t="s">
        <v>350</v>
      </c>
    </row>
    <row r="41" spans="1:28" s="115" customFormat="1" x14ac:dyDescent="0.15">
      <c r="A41" s="246" t="s">
        <v>51</v>
      </c>
      <c r="B41" s="246" t="s">
        <v>348</v>
      </c>
      <c r="C41" s="246">
        <v>2018</v>
      </c>
      <c r="D41" s="106" t="s">
        <v>413</v>
      </c>
      <c r="E41" s="246" t="s">
        <v>216</v>
      </c>
      <c r="F41" s="246" t="s">
        <v>204</v>
      </c>
      <c r="G41" s="246" t="s">
        <v>36</v>
      </c>
      <c r="H41" s="246" t="s">
        <v>157</v>
      </c>
      <c r="I41" s="246" t="s">
        <v>155</v>
      </c>
      <c r="J41" s="246" t="s">
        <v>38</v>
      </c>
      <c r="K41" s="246" t="s">
        <v>156</v>
      </c>
      <c r="L41" s="246">
        <v>1</v>
      </c>
      <c r="M41" s="246"/>
      <c r="N41" s="246">
        <v>1</v>
      </c>
      <c r="O41" s="246">
        <v>0.85</v>
      </c>
      <c r="P41" s="246">
        <v>0.85</v>
      </c>
      <c r="Q41" s="107">
        <f t="shared" si="0"/>
        <v>0.85</v>
      </c>
      <c r="R41" s="246">
        <v>14.7</v>
      </c>
      <c r="S41" s="246">
        <v>118</v>
      </c>
      <c r="T41" s="108">
        <f t="shared" si="1"/>
        <v>39</v>
      </c>
      <c r="U41" s="246">
        <v>89</v>
      </c>
      <c r="V41" s="109">
        <f t="shared" si="2"/>
        <v>3471</v>
      </c>
      <c r="W41" s="246">
        <v>3</v>
      </c>
      <c r="X41" s="246" t="s">
        <v>39</v>
      </c>
      <c r="Y41" s="246" t="s">
        <v>102</v>
      </c>
      <c r="Z41" s="130" t="s">
        <v>88</v>
      </c>
      <c r="AA41" s="246" t="s">
        <v>69</v>
      </c>
      <c r="AB41" s="246" t="s">
        <v>350</v>
      </c>
    </row>
    <row r="42" spans="1:28" s="115" customFormat="1" x14ac:dyDescent="0.15">
      <c r="A42" s="246" t="s">
        <v>51</v>
      </c>
      <c r="B42" s="246" t="s">
        <v>348</v>
      </c>
      <c r="C42" s="246">
        <v>2018</v>
      </c>
      <c r="D42" s="106" t="s">
        <v>413</v>
      </c>
      <c r="E42" s="246" t="s">
        <v>216</v>
      </c>
      <c r="F42" s="246" t="s">
        <v>204</v>
      </c>
      <c r="G42" s="246" t="s">
        <v>36</v>
      </c>
      <c r="H42" s="246" t="s">
        <v>157</v>
      </c>
      <c r="I42" s="246" t="s">
        <v>155</v>
      </c>
      <c r="J42" s="246" t="s">
        <v>38</v>
      </c>
      <c r="K42" s="246" t="s">
        <v>156</v>
      </c>
      <c r="L42" s="246">
        <v>2</v>
      </c>
      <c r="M42" s="246"/>
      <c r="N42" s="246">
        <v>1</v>
      </c>
      <c r="O42" s="246">
        <v>0.8</v>
      </c>
      <c r="P42" s="246">
        <v>0.8</v>
      </c>
      <c r="Q42" s="107">
        <f t="shared" si="0"/>
        <v>0.8</v>
      </c>
      <c r="R42" s="246">
        <v>15.8</v>
      </c>
      <c r="S42" s="246">
        <v>126</v>
      </c>
      <c r="T42" s="108">
        <f t="shared" si="1"/>
        <v>27</v>
      </c>
      <c r="U42" s="246">
        <v>89</v>
      </c>
      <c r="V42" s="109">
        <f t="shared" si="2"/>
        <v>2403</v>
      </c>
      <c r="W42" s="246">
        <v>3</v>
      </c>
      <c r="X42" s="246" t="s">
        <v>39</v>
      </c>
      <c r="Y42" s="246" t="s">
        <v>102</v>
      </c>
      <c r="Z42" s="130" t="s">
        <v>88</v>
      </c>
      <c r="AA42" s="246" t="s">
        <v>69</v>
      </c>
      <c r="AB42" s="246" t="s">
        <v>350</v>
      </c>
    </row>
    <row r="43" spans="1:28" s="115" customFormat="1" x14ac:dyDescent="0.15">
      <c r="A43" s="246" t="s">
        <v>51</v>
      </c>
      <c r="B43" s="246" t="s">
        <v>348</v>
      </c>
      <c r="C43" s="246">
        <v>2018</v>
      </c>
      <c r="D43" s="106" t="s">
        <v>413</v>
      </c>
      <c r="E43" s="246" t="s">
        <v>216</v>
      </c>
      <c r="F43" s="246" t="s">
        <v>204</v>
      </c>
      <c r="G43" s="246" t="s">
        <v>36</v>
      </c>
      <c r="H43" s="246" t="s">
        <v>157</v>
      </c>
      <c r="I43" s="246" t="s">
        <v>155</v>
      </c>
      <c r="J43" s="246" t="s">
        <v>38</v>
      </c>
      <c r="K43" s="246" t="s">
        <v>156</v>
      </c>
      <c r="L43" s="246">
        <v>3</v>
      </c>
      <c r="M43" s="246"/>
      <c r="N43" s="246">
        <v>1</v>
      </c>
      <c r="O43" s="246">
        <v>0.9</v>
      </c>
      <c r="P43" s="246">
        <v>0.75</v>
      </c>
      <c r="Q43" s="107">
        <f t="shared" si="0"/>
        <v>0.82499999999999996</v>
      </c>
      <c r="R43" s="246">
        <v>15.2</v>
      </c>
      <c r="S43" s="246">
        <v>120</v>
      </c>
      <c r="T43" s="108">
        <f t="shared" si="1"/>
        <v>39</v>
      </c>
      <c r="U43" s="246">
        <v>89</v>
      </c>
      <c r="V43" s="109">
        <f t="shared" si="2"/>
        <v>3471</v>
      </c>
      <c r="W43" s="246">
        <v>3</v>
      </c>
      <c r="X43" s="246" t="s">
        <v>39</v>
      </c>
      <c r="Y43" s="246" t="s">
        <v>102</v>
      </c>
      <c r="Z43" s="130" t="s">
        <v>88</v>
      </c>
      <c r="AA43" s="246" t="s">
        <v>69</v>
      </c>
      <c r="AB43" s="246" t="s">
        <v>350</v>
      </c>
    </row>
    <row r="44" spans="1:28" s="115" customFormat="1" x14ac:dyDescent="0.15">
      <c r="A44" s="246" t="s">
        <v>51</v>
      </c>
      <c r="B44" s="246" t="s">
        <v>348</v>
      </c>
      <c r="C44" s="246">
        <v>2018</v>
      </c>
      <c r="D44" s="106" t="s">
        <v>413</v>
      </c>
      <c r="E44" s="246" t="s">
        <v>216</v>
      </c>
      <c r="F44" s="246" t="s">
        <v>204</v>
      </c>
      <c r="G44" s="246" t="s">
        <v>36</v>
      </c>
      <c r="H44" s="246" t="s">
        <v>168</v>
      </c>
      <c r="I44" s="246" t="s">
        <v>155</v>
      </c>
      <c r="J44" s="246" t="s">
        <v>38</v>
      </c>
      <c r="K44" s="246" t="s">
        <v>156</v>
      </c>
      <c r="L44" s="246">
        <v>1</v>
      </c>
      <c r="M44" s="246"/>
      <c r="N44" s="246">
        <v>3</v>
      </c>
      <c r="O44" s="246">
        <v>0.6</v>
      </c>
      <c r="P44" s="246">
        <v>0.6</v>
      </c>
      <c r="Q44" s="107">
        <f t="shared" si="0"/>
        <v>0.6</v>
      </c>
      <c r="R44" s="246">
        <v>16.3</v>
      </c>
      <c r="S44" s="246">
        <v>148</v>
      </c>
      <c r="T44" s="108">
        <f t="shared" si="1"/>
        <v>22</v>
      </c>
      <c r="U44" s="246">
        <v>498</v>
      </c>
      <c r="V44" s="109">
        <f t="shared" si="2"/>
        <v>3652</v>
      </c>
      <c r="W44" s="246">
        <v>3</v>
      </c>
      <c r="X44" s="246" t="s">
        <v>39</v>
      </c>
      <c r="Y44" s="246" t="s">
        <v>102</v>
      </c>
      <c r="Z44" s="130" t="s">
        <v>88</v>
      </c>
      <c r="AA44" s="246" t="s">
        <v>69</v>
      </c>
      <c r="AB44" s="246" t="s">
        <v>350</v>
      </c>
    </row>
    <row r="45" spans="1:28" s="115" customFormat="1" x14ac:dyDescent="0.15">
      <c r="A45" s="246" t="s">
        <v>51</v>
      </c>
      <c r="B45" s="246" t="s">
        <v>348</v>
      </c>
      <c r="C45" s="246">
        <v>2018</v>
      </c>
      <c r="D45" s="106" t="s">
        <v>413</v>
      </c>
      <c r="E45" s="246" t="s">
        <v>216</v>
      </c>
      <c r="F45" s="246" t="s">
        <v>204</v>
      </c>
      <c r="G45" s="246" t="s">
        <v>36</v>
      </c>
      <c r="H45" s="246" t="s">
        <v>168</v>
      </c>
      <c r="I45" s="246" t="s">
        <v>155</v>
      </c>
      <c r="J45" s="246" t="s">
        <v>38</v>
      </c>
      <c r="K45" s="246" t="s">
        <v>156</v>
      </c>
      <c r="L45" s="246">
        <v>2</v>
      </c>
      <c r="M45" s="246"/>
      <c r="N45" s="246">
        <v>3</v>
      </c>
      <c r="O45" s="246">
        <v>0.5</v>
      </c>
      <c r="P45" s="246">
        <v>0.65</v>
      </c>
      <c r="Q45" s="107">
        <f t="shared" si="0"/>
        <v>0.57499999999999996</v>
      </c>
      <c r="R45" s="246">
        <v>15.1</v>
      </c>
      <c r="S45" s="246">
        <v>136</v>
      </c>
      <c r="T45" s="108">
        <f t="shared" si="1"/>
        <v>25</v>
      </c>
      <c r="U45" s="246">
        <v>498</v>
      </c>
      <c r="V45" s="109">
        <f t="shared" si="2"/>
        <v>4150</v>
      </c>
      <c r="W45" s="246">
        <v>3</v>
      </c>
      <c r="X45" s="246" t="s">
        <v>39</v>
      </c>
      <c r="Y45" s="246" t="s">
        <v>102</v>
      </c>
      <c r="Z45" s="130" t="s">
        <v>88</v>
      </c>
      <c r="AA45" s="246" t="s">
        <v>69</v>
      </c>
      <c r="AB45" s="246" t="s">
        <v>350</v>
      </c>
    </row>
    <row r="46" spans="1:28" s="115" customFormat="1" x14ac:dyDescent="0.15">
      <c r="A46" s="246" t="s">
        <v>51</v>
      </c>
      <c r="B46" s="246" t="s">
        <v>348</v>
      </c>
      <c r="C46" s="246">
        <v>2018</v>
      </c>
      <c r="D46" s="106" t="s">
        <v>413</v>
      </c>
      <c r="E46" s="246" t="s">
        <v>216</v>
      </c>
      <c r="F46" s="246" t="s">
        <v>204</v>
      </c>
      <c r="G46" s="246" t="s">
        <v>36</v>
      </c>
      <c r="H46" s="246" t="s">
        <v>168</v>
      </c>
      <c r="I46" s="246" t="s">
        <v>155</v>
      </c>
      <c r="J46" s="246" t="s">
        <v>38</v>
      </c>
      <c r="K46" s="246" t="s">
        <v>156</v>
      </c>
      <c r="L46" s="246">
        <v>3</v>
      </c>
      <c r="M46" s="246"/>
      <c r="N46" s="246">
        <v>3</v>
      </c>
      <c r="O46" s="246">
        <v>0.55000000000000004</v>
      </c>
      <c r="P46" s="246">
        <v>6</v>
      </c>
      <c r="Q46" s="107">
        <f t="shared" si="0"/>
        <v>3.2749999999999999</v>
      </c>
      <c r="R46" s="246">
        <v>15.2</v>
      </c>
      <c r="S46" s="246">
        <v>148</v>
      </c>
      <c r="T46" s="108">
        <f t="shared" si="1"/>
        <v>22</v>
      </c>
      <c r="U46" s="246">
        <v>498</v>
      </c>
      <c r="V46" s="109">
        <f t="shared" si="2"/>
        <v>3652</v>
      </c>
      <c r="W46" s="246">
        <v>3</v>
      </c>
      <c r="X46" s="246" t="s">
        <v>39</v>
      </c>
      <c r="Y46" s="246" t="s">
        <v>102</v>
      </c>
      <c r="Z46" s="130" t="s">
        <v>88</v>
      </c>
      <c r="AA46" s="246" t="s">
        <v>69</v>
      </c>
      <c r="AB46" s="246" t="s">
        <v>350</v>
      </c>
    </row>
    <row r="47" spans="1:28" s="115" customFormat="1" x14ac:dyDescent="0.15">
      <c r="A47" s="246" t="s">
        <v>51</v>
      </c>
      <c r="B47" s="246" t="s">
        <v>348</v>
      </c>
      <c r="C47" s="246">
        <v>2018</v>
      </c>
      <c r="D47" s="106" t="s">
        <v>413</v>
      </c>
      <c r="E47" s="246" t="s">
        <v>220</v>
      </c>
      <c r="F47" s="246" t="s">
        <v>221</v>
      </c>
      <c r="G47" s="246" t="s">
        <v>36</v>
      </c>
      <c r="H47" s="246" t="s">
        <v>157</v>
      </c>
      <c r="I47" s="246" t="s">
        <v>155</v>
      </c>
      <c r="J47" s="246" t="s">
        <v>38</v>
      </c>
      <c r="K47" s="246" t="s">
        <v>156</v>
      </c>
      <c r="L47" s="246">
        <v>1</v>
      </c>
      <c r="M47" s="246"/>
      <c r="N47" s="246">
        <v>1</v>
      </c>
      <c r="O47" s="246">
        <v>0.8</v>
      </c>
      <c r="P47" s="246">
        <v>0.8</v>
      </c>
      <c r="Q47" s="107">
        <f t="shared" si="0"/>
        <v>0.8</v>
      </c>
      <c r="R47" s="246">
        <v>16.399999999999999</v>
      </c>
      <c r="S47" s="246">
        <v>150</v>
      </c>
      <c r="T47" s="108">
        <f t="shared" si="1"/>
        <v>22</v>
      </c>
      <c r="U47" s="246">
        <v>128</v>
      </c>
      <c r="V47" s="109">
        <f t="shared" si="2"/>
        <v>2816</v>
      </c>
      <c r="W47" s="246">
        <v>6</v>
      </c>
      <c r="X47" s="246" t="s">
        <v>46</v>
      </c>
      <c r="Y47" s="246" t="s">
        <v>97</v>
      </c>
      <c r="Z47" s="130" t="s">
        <v>78</v>
      </c>
      <c r="AA47" s="246" t="s">
        <v>69</v>
      </c>
      <c r="AB47" s="246" t="s">
        <v>350</v>
      </c>
    </row>
    <row r="48" spans="1:28" s="115" customFormat="1" x14ac:dyDescent="0.15">
      <c r="A48" s="246" t="s">
        <v>51</v>
      </c>
      <c r="B48" s="246" t="s">
        <v>348</v>
      </c>
      <c r="C48" s="246">
        <v>2018</v>
      </c>
      <c r="D48" s="106" t="s">
        <v>413</v>
      </c>
      <c r="E48" s="246" t="s">
        <v>220</v>
      </c>
      <c r="F48" s="246" t="s">
        <v>221</v>
      </c>
      <c r="G48" s="246" t="s">
        <v>36</v>
      </c>
      <c r="H48" s="246" t="s">
        <v>157</v>
      </c>
      <c r="I48" s="246" t="s">
        <v>155</v>
      </c>
      <c r="J48" s="246" t="s">
        <v>38</v>
      </c>
      <c r="K48" s="246" t="s">
        <v>156</v>
      </c>
      <c r="L48" s="246">
        <v>2</v>
      </c>
      <c r="M48" s="246"/>
      <c r="N48" s="246">
        <v>1</v>
      </c>
      <c r="O48" s="246">
        <v>0.85</v>
      </c>
      <c r="P48" s="246">
        <v>0.75</v>
      </c>
      <c r="Q48" s="107">
        <f t="shared" si="0"/>
        <v>0.8</v>
      </c>
      <c r="R48" s="246">
        <v>17.3</v>
      </c>
      <c r="S48" s="246">
        <v>168</v>
      </c>
      <c r="T48" s="108">
        <f t="shared" si="1"/>
        <v>18</v>
      </c>
      <c r="U48" s="246">
        <v>128</v>
      </c>
      <c r="V48" s="109">
        <f t="shared" si="2"/>
        <v>2304</v>
      </c>
      <c r="W48" s="246">
        <v>6</v>
      </c>
      <c r="X48" s="246" t="s">
        <v>46</v>
      </c>
      <c r="Y48" s="246" t="s">
        <v>97</v>
      </c>
      <c r="Z48" s="130" t="s">
        <v>78</v>
      </c>
      <c r="AA48" s="246" t="s">
        <v>69</v>
      </c>
      <c r="AB48" s="246" t="s">
        <v>350</v>
      </c>
    </row>
    <row r="49" spans="1:28" s="115" customFormat="1" x14ac:dyDescent="0.15">
      <c r="A49" s="246" t="s">
        <v>51</v>
      </c>
      <c r="B49" s="246" t="s">
        <v>348</v>
      </c>
      <c r="C49" s="246">
        <v>2018</v>
      </c>
      <c r="D49" s="106" t="s">
        <v>413</v>
      </c>
      <c r="E49" s="246" t="s">
        <v>220</v>
      </c>
      <c r="F49" s="246" t="s">
        <v>221</v>
      </c>
      <c r="G49" s="246" t="s">
        <v>36</v>
      </c>
      <c r="H49" s="246" t="s">
        <v>157</v>
      </c>
      <c r="I49" s="246" t="s">
        <v>155</v>
      </c>
      <c r="J49" s="246" t="s">
        <v>38</v>
      </c>
      <c r="K49" s="246" t="s">
        <v>156</v>
      </c>
      <c r="L49" s="246">
        <v>3</v>
      </c>
      <c r="M49" s="246"/>
      <c r="N49" s="246">
        <v>1</v>
      </c>
      <c r="O49" s="246">
        <v>0.85</v>
      </c>
      <c r="P49" s="246">
        <v>0.9</v>
      </c>
      <c r="Q49" s="107">
        <f t="shared" si="0"/>
        <v>0.875</v>
      </c>
      <c r="R49" s="246">
        <v>16.7</v>
      </c>
      <c r="S49" s="246">
        <v>164</v>
      </c>
      <c r="T49" s="108">
        <f t="shared" si="1"/>
        <v>18</v>
      </c>
      <c r="U49" s="246">
        <v>128</v>
      </c>
      <c r="V49" s="109">
        <f t="shared" si="2"/>
        <v>2304</v>
      </c>
      <c r="W49" s="246">
        <v>6</v>
      </c>
      <c r="X49" s="246" t="s">
        <v>46</v>
      </c>
      <c r="Y49" s="246" t="s">
        <v>97</v>
      </c>
      <c r="Z49" s="130" t="s">
        <v>78</v>
      </c>
      <c r="AA49" s="246" t="s">
        <v>69</v>
      </c>
      <c r="AB49" s="246" t="s">
        <v>350</v>
      </c>
    </row>
    <row r="50" spans="1:28" s="115" customFormat="1" x14ac:dyDescent="0.15">
      <c r="A50" s="246" t="s">
        <v>51</v>
      </c>
      <c r="B50" s="246" t="s">
        <v>348</v>
      </c>
      <c r="C50" s="246">
        <v>2018</v>
      </c>
      <c r="D50" s="106" t="s">
        <v>413</v>
      </c>
      <c r="E50" s="246" t="s">
        <v>220</v>
      </c>
      <c r="F50" s="246" t="s">
        <v>221</v>
      </c>
      <c r="G50" s="246" t="s">
        <v>36</v>
      </c>
      <c r="H50" s="246" t="s">
        <v>168</v>
      </c>
      <c r="I50" s="246" t="s">
        <v>155</v>
      </c>
      <c r="J50" s="246" t="s">
        <v>38</v>
      </c>
      <c r="K50" s="246" t="s">
        <v>156</v>
      </c>
      <c r="L50" s="246">
        <v>1</v>
      </c>
      <c r="M50" s="246"/>
      <c r="N50" s="246">
        <v>3</v>
      </c>
      <c r="O50" s="246">
        <v>0.6</v>
      </c>
      <c r="P50" s="246">
        <v>0.65</v>
      </c>
      <c r="Q50" s="107">
        <f t="shared" si="0"/>
        <v>0.625</v>
      </c>
      <c r="R50" s="246">
        <v>18.2</v>
      </c>
      <c r="S50" s="246">
        <v>156</v>
      </c>
      <c r="T50" s="108">
        <f t="shared" si="1"/>
        <v>18</v>
      </c>
      <c r="U50" s="246">
        <v>398</v>
      </c>
      <c r="V50" s="109">
        <f t="shared" si="2"/>
        <v>2388</v>
      </c>
      <c r="W50" s="246">
        <v>6</v>
      </c>
      <c r="X50" s="246" t="s">
        <v>46</v>
      </c>
      <c r="Y50" s="246" t="s">
        <v>97</v>
      </c>
      <c r="Z50" s="130" t="s">
        <v>78</v>
      </c>
      <c r="AA50" s="246" t="s">
        <v>69</v>
      </c>
      <c r="AB50" s="246" t="s">
        <v>350</v>
      </c>
    </row>
    <row r="51" spans="1:28" s="115" customFormat="1" x14ac:dyDescent="0.15">
      <c r="A51" s="246" t="s">
        <v>51</v>
      </c>
      <c r="B51" s="246" t="s">
        <v>348</v>
      </c>
      <c r="C51" s="246">
        <v>2018</v>
      </c>
      <c r="D51" s="106" t="s">
        <v>413</v>
      </c>
      <c r="E51" s="246" t="s">
        <v>220</v>
      </c>
      <c r="F51" s="246" t="s">
        <v>221</v>
      </c>
      <c r="G51" s="246" t="s">
        <v>36</v>
      </c>
      <c r="H51" s="246" t="s">
        <v>168</v>
      </c>
      <c r="I51" s="246" t="s">
        <v>155</v>
      </c>
      <c r="J51" s="246" t="s">
        <v>38</v>
      </c>
      <c r="K51" s="246" t="s">
        <v>156</v>
      </c>
      <c r="L51" s="246">
        <v>2</v>
      </c>
      <c r="M51" s="246"/>
      <c r="N51" s="246">
        <v>3</v>
      </c>
      <c r="O51" s="246">
        <v>0.55000000000000004</v>
      </c>
      <c r="P51" s="246">
        <v>0.6</v>
      </c>
      <c r="Q51" s="107">
        <f t="shared" si="0"/>
        <v>0.57499999999999996</v>
      </c>
      <c r="R51" s="246">
        <v>19.100000000000001</v>
      </c>
      <c r="S51" s="246">
        <v>166</v>
      </c>
      <c r="T51" s="108">
        <f t="shared" si="1"/>
        <v>18</v>
      </c>
      <c r="U51" s="246">
        <v>398</v>
      </c>
      <c r="V51" s="109">
        <f t="shared" si="2"/>
        <v>2388</v>
      </c>
      <c r="W51" s="246">
        <v>6</v>
      </c>
      <c r="X51" s="246" t="s">
        <v>46</v>
      </c>
      <c r="Y51" s="246" t="s">
        <v>97</v>
      </c>
      <c r="Z51" s="130" t="s">
        <v>78</v>
      </c>
      <c r="AA51" s="246" t="s">
        <v>69</v>
      </c>
      <c r="AB51" s="246" t="s">
        <v>350</v>
      </c>
    </row>
    <row r="52" spans="1:28" s="115" customFormat="1" x14ac:dyDescent="0.15">
      <c r="A52" s="246" t="s">
        <v>51</v>
      </c>
      <c r="B52" s="246" t="s">
        <v>348</v>
      </c>
      <c r="C52" s="246">
        <v>2018</v>
      </c>
      <c r="D52" s="106" t="s">
        <v>413</v>
      </c>
      <c r="E52" s="246" t="s">
        <v>220</v>
      </c>
      <c r="F52" s="246" t="s">
        <v>221</v>
      </c>
      <c r="G52" s="246" t="s">
        <v>36</v>
      </c>
      <c r="H52" s="246" t="s">
        <v>168</v>
      </c>
      <c r="I52" s="246" t="s">
        <v>155</v>
      </c>
      <c r="J52" s="246" t="s">
        <v>38</v>
      </c>
      <c r="K52" s="246" t="s">
        <v>156</v>
      </c>
      <c r="L52" s="246">
        <v>3</v>
      </c>
      <c r="M52" s="246"/>
      <c r="N52" s="246">
        <v>3</v>
      </c>
      <c r="O52" s="246">
        <v>0.65</v>
      </c>
      <c r="P52" s="246">
        <v>0.65</v>
      </c>
      <c r="Q52" s="107">
        <f t="shared" si="0"/>
        <v>0.65</v>
      </c>
      <c r="R52" s="246">
        <v>17.899999999999999</v>
      </c>
      <c r="S52" s="246">
        <v>164</v>
      </c>
      <c r="T52" s="108">
        <f t="shared" si="1"/>
        <v>18</v>
      </c>
      <c r="U52" s="246">
        <v>398</v>
      </c>
      <c r="V52" s="109">
        <f t="shared" si="2"/>
        <v>2388</v>
      </c>
      <c r="W52" s="246">
        <v>6</v>
      </c>
      <c r="X52" s="246" t="s">
        <v>46</v>
      </c>
      <c r="Y52" s="246" t="s">
        <v>97</v>
      </c>
      <c r="Z52" s="130" t="s">
        <v>78</v>
      </c>
      <c r="AA52" s="246" t="s">
        <v>69</v>
      </c>
      <c r="AB52" s="246" t="s">
        <v>350</v>
      </c>
    </row>
    <row r="53" spans="1:28" s="115" customFormat="1" x14ac:dyDescent="0.15">
      <c r="A53" s="246" t="s">
        <v>51</v>
      </c>
      <c r="B53" s="246" t="s">
        <v>348</v>
      </c>
      <c r="C53" s="246">
        <v>2018</v>
      </c>
      <c r="D53" s="106" t="s">
        <v>413</v>
      </c>
      <c r="E53" s="246" t="s">
        <v>223</v>
      </c>
      <c r="F53" s="246" t="s">
        <v>204</v>
      </c>
      <c r="G53" s="246" t="s">
        <v>42</v>
      </c>
      <c r="H53" s="246" t="s">
        <v>168</v>
      </c>
      <c r="I53" s="246" t="s">
        <v>155</v>
      </c>
      <c r="J53" s="246" t="s">
        <v>38</v>
      </c>
      <c r="K53" s="246" t="s">
        <v>156</v>
      </c>
      <c r="L53" s="115">
        <v>1</v>
      </c>
      <c r="N53" s="246">
        <v>1</v>
      </c>
      <c r="O53" s="115">
        <v>0.55000000000000004</v>
      </c>
      <c r="P53" s="115">
        <v>0.6</v>
      </c>
      <c r="Q53" s="107">
        <f t="shared" si="0"/>
        <v>0.57499999999999996</v>
      </c>
      <c r="R53" s="115">
        <v>15.9</v>
      </c>
      <c r="S53" s="115">
        <v>144</v>
      </c>
      <c r="T53" s="108">
        <f t="shared" si="1"/>
        <v>22</v>
      </c>
      <c r="U53" s="246">
        <v>128</v>
      </c>
      <c r="V53" s="109">
        <f t="shared" si="2"/>
        <v>2816</v>
      </c>
      <c r="W53" s="246">
        <v>2</v>
      </c>
      <c r="X53" s="246" t="s">
        <v>46</v>
      </c>
      <c r="Y53" s="246" t="s">
        <v>88</v>
      </c>
      <c r="Z53" s="130" t="s">
        <v>55</v>
      </c>
      <c r="AA53" s="130" t="s">
        <v>78</v>
      </c>
      <c r="AB53" s="246" t="s">
        <v>350</v>
      </c>
    </row>
    <row r="54" spans="1:28" s="115" customFormat="1" x14ac:dyDescent="0.15">
      <c r="A54" s="246" t="s">
        <v>51</v>
      </c>
      <c r="B54" s="246" t="s">
        <v>348</v>
      </c>
      <c r="C54" s="246">
        <v>2018</v>
      </c>
      <c r="D54" s="106" t="s">
        <v>413</v>
      </c>
      <c r="E54" s="246" t="s">
        <v>223</v>
      </c>
      <c r="F54" s="246" t="s">
        <v>204</v>
      </c>
      <c r="G54" s="246" t="s">
        <v>42</v>
      </c>
      <c r="H54" s="246" t="s">
        <v>168</v>
      </c>
      <c r="I54" s="246" t="s">
        <v>155</v>
      </c>
      <c r="J54" s="246" t="s">
        <v>38</v>
      </c>
      <c r="K54" s="246" t="s">
        <v>156</v>
      </c>
      <c r="L54" s="115">
        <v>2</v>
      </c>
      <c r="N54" s="246">
        <v>1</v>
      </c>
      <c r="O54" s="115">
        <v>0.6</v>
      </c>
      <c r="P54" s="115">
        <v>0.7</v>
      </c>
      <c r="Q54" s="107">
        <f t="shared" si="0"/>
        <v>0.64999999999999991</v>
      </c>
      <c r="R54" s="115">
        <v>16.3</v>
      </c>
      <c r="S54" s="115">
        <v>148</v>
      </c>
      <c r="T54" s="108">
        <f t="shared" si="1"/>
        <v>22</v>
      </c>
      <c r="U54" s="246">
        <v>128</v>
      </c>
      <c r="V54" s="109">
        <f t="shared" si="2"/>
        <v>2816</v>
      </c>
      <c r="W54" s="246">
        <v>2</v>
      </c>
      <c r="X54" s="246" t="s">
        <v>46</v>
      </c>
      <c r="Y54" s="246" t="s">
        <v>88</v>
      </c>
      <c r="Z54" s="130" t="s">
        <v>55</v>
      </c>
      <c r="AA54" s="130" t="s">
        <v>78</v>
      </c>
      <c r="AB54" s="246" t="s">
        <v>350</v>
      </c>
    </row>
    <row r="55" spans="1:28" s="115" customFormat="1" x14ac:dyDescent="0.15">
      <c r="A55" s="246" t="s">
        <v>51</v>
      </c>
      <c r="B55" s="246" t="s">
        <v>348</v>
      </c>
      <c r="C55" s="246">
        <v>2018</v>
      </c>
      <c r="D55" s="106" t="s">
        <v>413</v>
      </c>
      <c r="E55" s="246" t="s">
        <v>223</v>
      </c>
      <c r="F55" s="246" t="s">
        <v>204</v>
      </c>
      <c r="G55" s="246" t="s">
        <v>42</v>
      </c>
      <c r="H55" s="246" t="s">
        <v>168</v>
      </c>
      <c r="I55" s="246" t="s">
        <v>155</v>
      </c>
      <c r="J55" s="246" t="s">
        <v>38</v>
      </c>
      <c r="K55" s="246" t="s">
        <v>156</v>
      </c>
      <c r="L55" s="115">
        <v>3</v>
      </c>
      <c r="N55" s="246">
        <v>1</v>
      </c>
      <c r="O55" s="115">
        <v>0.7</v>
      </c>
      <c r="P55" s="115">
        <v>0.65</v>
      </c>
      <c r="Q55" s="107">
        <f t="shared" si="0"/>
        <v>0.67500000000000004</v>
      </c>
      <c r="R55" s="115">
        <v>16.600000000000001</v>
      </c>
      <c r="S55" s="115">
        <v>152</v>
      </c>
      <c r="T55" s="108">
        <f t="shared" si="1"/>
        <v>18</v>
      </c>
      <c r="U55" s="246">
        <v>128</v>
      </c>
      <c r="V55" s="109">
        <f t="shared" si="2"/>
        <v>2304</v>
      </c>
      <c r="W55" s="246">
        <v>2</v>
      </c>
      <c r="X55" s="246" t="s">
        <v>46</v>
      </c>
      <c r="Y55" s="246" t="s">
        <v>88</v>
      </c>
      <c r="Z55" s="130" t="s">
        <v>55</v>
      </c>
      <c r="AA55" s="130" t="s">
        <v>78</v>
      </c>
      <c r="AB55" s="246" t="s">
        <v>350</v>
      </c>
    </row>
    <row r="56" spans="1:28" s="115" customFormat="1" x14ac:dyDescent="0.15">
      <c r="A56" s="246"/>
      <c r="B56" s="246"/>
      <c r="C56" s="246"/>
      <c r="D56" s="106"/>
      <c r="E56" s="246"/>
      <c r="F56" s="246"/>
      <c r="G56" s="246"/>
      <c r="H56" s="246"/>
      <c r="I56" s="246"/>
      <c r="J56" s="246"/>
      <c r="K56" s="246"/>
      <c r="N56" s="246"/>
      <c r="Q56" s="108" t="str">
        <f t="shared" si="0"/>
        <v/>
      </c>
      <c r="T56" s="108" t="str">
        <f t="shared" si="1"/>
        <v/>
      </c>
      <c r="U56" s="246"/>
      <c r="V56" s="108" t="str">
        <f t="shared" si="2"/>
        <v/>
      </c>
      <c r="W56" s="246"/>
      <c r="X56" s="246"/>
      <c r="Y56" s="246"/>
      <c r="Z56" s="130"/>
      <c r="AA56" s="130"/>
      <c r="AB56" s="246"/>
    </row>
    <row r="57" spans="1:28" x14ac:dyDescent="0.15">
      <c r="A57" s="246"/>
      <c r="B57" s="246"/>
      <c r="C57" s="246"/>
      <c r="D57" s="106"/>
      <c r="E57" s="246"/>
      <c r="F57" s="246"/>
      <c r="G57" s="246"/>
      <c r="H57" s="246"/>
      <c r="I57" s="246"/>
      <c r="J57" s="246"/>
      <c r="K57" s="246"/>
      <c r="N57" s="130"/>
      <c r="Q57" s="132" t="str">
        <f t="shared" si="0"/>
        <v/>
      </c>
      <c r="T57" s="132" t="str">
        <f t="shared" si="1"/>
        <v/>
      </c>
      <c r="U57" s="246"/>
      <c r="V57" s="132" t="str">
        <f t="shared" si="2"/>
        <v/>
      </c>
      <c r="W57" s="246"/>
      <c r="X57" s="246"/>
      <c r="Y57" s="246"/>
      <c r="Z57" s="130"/>
      <c r="AA57" s="130"/>
      <c r="AB57" s="246"/>
    </row>
    <row r="58" spans="1:28" x14ac:dyDescent="0.15">
      <c r="A58" s="246"/>
      <c r="B58" s="246"/>
      <c r="C58" s="246"/>
      <c r="D58" s="106"/>
      <c r="E58" s="246"/>
      <c r="F58" s="246"/>
      <c r="G58" s="246"/>
      <c r="H58" s="246"/>
      <c r="I58" s="246"/>
      <c r="J58" s="246"/>
      <c r="K58" s="246"/>
      <c r="N58" s="130"/>
      <c r="O58" s="115"/>
      <c r="Q58" s="132" t="str">
        <f t="shared" si="0"/>
        <v/>
      </c>
      <c r="T58" s="132" t="str">
        <f t="shared" si="1"/>
        <v/>
      </c>
      <c r="U58" s="246"/>
      <c r="V58" s="132" t="str">
        <f t="shared" si="2"/>
        <v/>
      </c>
      <c r="W58" s="246"/>
      <c r="X58" s="246"/>
      <c r="Y58" s="246"/>
      <c r="Z58" s="130"/>
      <c r="AA58" s="130"/>
      <c r="AB58" s="246"/>
    </row>
    <row r="59" spans="1:28" x14ac:dyDescent="0.15">
      <c r="A59" s="246"/>
      <c r="B59" s="246"/>
      <c r="C59" s="246"/>
      <c r="D59" s="106"/>
      <c r="E59" s="246"/>
      <c r="F59" s="246"/>
      <c r="G59" s="246"/>
      <c r="H59" s="246"/>
      <c r="I59" s="246"/>
      <c r="J59" s="246"/>
      <c r="K59" s="246"/>
      <c r="N59" s="130"/>
      <c r="Q59" s="132" t="str">
        <f t="shared" si="0"/>
        <v/>
      </c>
      <c r="T59" s="132" t="str">
        <f t="shared" si="1"/>
        <v/>
      </c>
      <c r="U59" s="246"/>
      <c r="V59" s="132" t="str">
        <f t="shared" si="2"/>
        <v/>
      </c>
      <c r="W59" s="246"/>
      <c r="X59" s="246"/>
      <c r="Y59" s="246"/>
      <c r="Z59" s="130"/>
      <c r="AA59" s="130"/>
      <c r="AB59" s="246"/>
    </row>
    <row r="60" spans="1:28" x14ac:dyDescent="0.15">
      <c r="A60" s="246"/>
      <c r="B60" s="246"/>
      <c r="C60" s="246"/>
      <c r="D60" s="106"/>
      <c r="E60" s="246"/>
      <c r="F60" s="246"/>
      <c r="G60" s="246"/>
      <c r="H60" s="246"/>
      <c r="I60" s="246"/>
      <c r="J60" s="246"/>
      <c r="K60" s="246"/>
      <c r="N60" s="130"/>
      <c r="O60" s="115"/>
      <c r="Q60" s="132" t="str">
        <f t="shared" si="0"/>
        <v/>
      </c>
      <c r="T60" s="132" t="str">
        <f t="shared" si="1"/>
        <v/>
      </c>
      <c r="U60" s="246"/>
      <c r="V60" s="132" t="str">
        <f t="shared" si="2"/>
        <v/>
      </c>
      <c r="W60" s="246"/>
      <c r="X60" s="246"/>
      <c r="Y60" s="246"/>
      <c r="Z60" s="130"/>
      <c r="AA60" s="130"/>
      <c r="AB60" s="246"/>
    </row>
    <row r="61" spans="1:28" x14ac:dyDescent="0.15">
      <c r="A61" s="246"/>
      <c r="B61" s="246"/>
      <c r="C61" s="246"/>
      <c r="D61" s="106"/>
      <c r="E61" s="246"/>
      <c r="F61" s="246"/>
      <c r="G61" s="246"/>
      <c r="H61" s="246"/>
      <c r="I61" s="246"/>
      <c r="J61" s="246"/>
      <c r="K61" s="246"/>
      <c r="N61" s="130"/>
      <c r="Q61" s="132" t="str">
        <f t="shared" si="0"/>
        <v/>
      </c>
      <c r="T61" s="132" t="str">
        <f t="shared" si="1"/>
        <v/>
      </c>
      <c r="U61" s="246"/>
      <c r="V61" s="132" t="str">
        <f t="shared" si="2"/>
        <v/>
      </c>
      <c r="W61" s="246"/>
      <c r="X61" s="246"/>
      <c r="Y61" s="246"/>
      <c r="Z61" s="130"/>
      <c r="AA61" s="130"/>
      <c r="AB61" s="246"/>
    </row>
    <row r="62" spans="1:28" x14ac:dyDescent="0.15">
      <c r="A62" s="246"/>
      <c r="B62" s="246"/>
      <c r="C62" s="246"/>
      <c r="D62" s="106"/>
      <c r="E62" s="246"/>
      <c r="F62" s="246"/>
      <c r="G62" s="246"/>
      <c r="H62" s="246"/>
      <c r="I62" s="246"/>
      <c r="J62" s="246"/>
      <c r="K62" s="246"/>
      <c r="N62" s="130"/>
      <c r="Q62" s="132" t="str">
        <f t="shared" si="0"/>
        <v/>
      </c>
      <c r="T62" s="132" t="str">
        <f t="shared" si="1"/>
        <v/>
      </c>
      <c r="U62" s="246"/>
      <c r="V62" s="132" t="str">
        <f t="shared" si="2"/>
        <v/>
      </c>
      <c r="W62" s="246"/>
      <c r="X62" s="246"/>
      <c r="Y62" s="246"/>
      <c r="Z62" s="130"/>
      <c r="AA62" s="130"/>
      <c r="AB62" s="246"/>
    </row>
    <row r="63" spans="1:28" x14ac:dyDescent="0.15">
      <c r="A63" s="246"/>
      <c r="B63" s="246"/>
      <c r="C63" s="246"/>
      <c r="D63" s="106"/>
      <c r="E63" s="246"/>
      <c r="F63" s="246"/>
      <c r="G63" s="246"/>
      <c r="H63" s="246"/>
      <c r="I63" s="246"/>
      <c r="J63" s="246"/>
      <c r="K63" s="246"/>
      <c r="N63" s="130"/>
      <c r="Q63" s="132" t="str">
        <f t="shared" si="0"/>
        <v/>
      </c>
      <c r="T63" s="132" t="str">
        <f t="shared" si="1"/>
        <v/>
      </c>
      <c r="U63" s="246"/>
      <c r="V63" s="132" t="str">
        <f t="shared" si="2"/>
        <v/>
      </c>
      <c r="W63" s="246"/>
      <c r="X63" s="246"/>
      <c r="Y63" s="246"/>
      <c r="Z63" s="130"/>
      <c r="AA63" s="130"/>
      <c r="AB63" s="246"/>
    </row>
    <row r="64" spans="1:28" x14ac:dyDescent="0.15">
      <c r="A64" s="246"/>
      <c r="B64" s="246"/>
      <c r="C64" s="246"/>
      <c r="D64" s="106"/>
      <c r="E64" s="246"/>
      <c r="F64" s="246"/>
      <c r="G64" s="246"/>
      <c r="H64" s="246"/>
      <c r="I64" s="246"/>
      <c r="J64" s="246"/>
      <c r="K64" s="246"/>
      <c r="N64" s="130"/>
      <c r="P64" s="115"/>
      <c r="Q64" s="132" t="str">
        <f t="shared" si="0"/>
        <v/>
      </c>
      <c r="T64" s="132" t="str">
        <f t="shared" si="1"/>
        <v/>
      </c>
      <c r="U64" s="246"/>
      <c r="V64" s="132" t="str">
        <f t="shared" si="2"/>
        <v/>
      </c>
      <c r="W64" s="246"/>
      <c r="X64" s="246"/>
      <c r="Y64" s="246"/>
      <c r="Z64" s="130"/>
      <c r="AA64" s="130"/>
      <c r="AB64" s="246"/>
    </row>
    <row r="65" spans="1:28" x14ac:dyDescent="0.15">
      <c r="A65" s="246"/>
      <c r="B65" s="246"/>
      <c r="C65" s="246"/>
      <c r="D65" s="106"/>
      <c r="E65" s="246"/>
      <c r="F65" s="246"/>
      <c r="G65" s="246"/>
      <c r="H65" s="246"/>
      <c r="I65" s="246"/>
      <c r="J65" s="246"/>
      <c r="K65" s="246"/>
      <c r="N65" s="130"/>
      <c r="Q65" s="132" t="str">
        <f t="shared" si="0"/>
        <v/>
      </c>
      <c r="T65" s="132" t="str">
        <f t="shared" si="1"/>
        <v/>
      </c>
      <c r="V65" s="132" t="str">
        <f t="shared" si="2"/>
        <v/>
      </c>
      <c r="W65" s="130"/>
      <c r="X65" s="246"/>
      <c r="Y65" s="246"/>
      <c r="Z65" s="130"/>
      <c r="AA65" s="130"/>
      <c r="AB65" s="246"/>
    </row>
    <row r="66" spans="1:28" x14ac:dyDescent="0.15">
      <c r="A66" s="246"/>
      <c r="B66" s="246"/>
      <c r="C66" s="246"/>
      <c r="D66" s="106"/>
      <c r="E66" s="246"/>
      <c r="F66" s="246"/>
      <c r="G66" s="246"/>
      <c r="H66" s="246"/>
      <c r="I66" s="246"/>
      <c r="J66" s="246"/>
      <c r="K66" s="246"/>
      <c r="N66" s="130"/>
      <c r="Q66" s="132" t="str">
        <f t="shared" ref="Q66:Q85" si="3">IF(OR(O66="",P66=""),"",AVERAGE(O66,P66))</f>
        <v/>
      </c>
      <c r="T66" s="132" t="str">
        <f t="shared" ref="T66:T85" si="4">IF(H66="","",IF(OR(H66="GREEN",H66="GK"),IF(S66&gt;=$AX$2,VLOOKUP(S66,$AX$2:$AY$9,2,1),""),IF(S66&gt;=$AZ$2,VLOOKUP(S66,$AZ$2:$BA$9,2,1),"")))</f>
        <v/>
      </c>
      <c r="V66" s="132" t="str">
        <f t="shared" ref="V66:V85" si="5">IF(OR(N66="",U66="",T66=""),"",U66/N66*T66)</f>
        <v/>
      </c>
      <c r="W66" s="130"/>
      <c r="X66" s="246"/>
      <c r="Y66" s="246"/>
      <c r="Z66" s="130"/>
      <c r="AA66" s="130"/>
      <c r="AB66" s="246"/>
    </row>
    <row r="67" spans="1:28" x14ac:dyDescent="0.15">
      <c r="A67" s="246"/>
      <c r="B67" s="246"/>
      <c r="C67" s="246"/>
      <c r="D67" s="106"/>
      <c r="E67" s="246"/>
      <c r="F67" s="246"/>
      <c r="G67" s="246"/>
      <c r="H67" s="246"/>
      <c r="I67" s="246"/>
      <c r="J67" s="246"/>
      <c r="K67" s="246"/>
      <c r="N67" s="130"/>
      <c r="Q67" s="132" t="str">
        <f t="shared" si="3"/>
        <v/>
      </c>
      <c r="T67" s="132" t="str">
        <f t="shared" si="4"/>
        <v/>
      </c>
      <c r="V67" s="132" t="str">
        <f t="shared" si="5"/>
        <v/>
      </c>
      <c r="W67" s="130"/>
      <c r="X67" s="246"/>
      <c r="Y67" s="246"/>
      <c r="Z67" s="130"/>
      <c r="AA67" s="130"/>
      <c r="AB67" s="246"/>
    </row>
    <row r="68" spans="1:28" x14ac:dyDescent="0.15">
      <c r="A68" s="246"/>
      <c r="B68" s="246"/>
      <c r="C68" s="246"/>
      <c r="D68" s="106"/>
      <c r="E68" s="246"/>
      <c r="F68" s="246"/>
      <c r="G68" s="246"/>
      <c r="H68" s="246"/>
      <c r="I68" s="246"/>
      <c r="J68" s="246"/>
      <c r="K68" s="246"/>
      <c r="N68" s="130"/>
      <c r="Q68" s="132" t="str">
        <f t="shared" si="3"/>
        <v/>
      </c>
      <c r="T68" s="132" t="str">
        <f t="shared" si="4"/>
        <v/>
      </c>
      <c r="V68" s="132" t="str">
        <f t="shared" si="5"/>
        <v/>
      </c>
      <c r="W68" s="130"/>
      <c r="X68" s="246"/>
      <c r="Y68" s="246"/>
      <c r="Z68" s="130"/>
      <c r="AA68" s="130"/>
      <c r="AB68" s="246"/>
    </row>
    <row r="69" spans="1:28" x14ac:dyDescent="0.15">
      <c r="A69" s="246"/>
      <c r="B69" s="246"/>
      <c r="C69" s="246"/>
      <c r="D69" s="106"/>
      <c r="E69" s="246"/>
      <c r="F69" s="246"/>
      <c r="G69" s="246"/>
      <c r="H69" s="246"/>
      <c r="I69" s="246"/>
      <c r="J69" s="246"/>
      <c r="K69" s="246"/>
      <c r="N69" s="130"/>
      <c r="Q69" s="132" t="str">
        <f t="shared" si="3"/>
        <v/>
      </c>
      <c r="T69" s="132" t="str">
        <f t="shared" si="4"/>
        <v/>
      </c>
      <c r="V69" s="132" t="str">
        <f t="shared" si="5"/>
        <v/>
      </c>
      <c r="W69" s="130"/>
      <c r="X69" s="246"/>
      <c r="Y69" s="246"/>
      <c r="Z69" s="130"/>
      <c r="AA69" s="130"/>
      <c r="AB69" s="246"/>
    </row>
    <row r="70" spans="1:28" x14ac:dyDescent="0.15">
      <c r="A70" s="246"/>
      <c r="B70" s="246"/>
      <c r="C70" s="246"/>
      <c r="D70" s="106"/>
      <c r="E70" s="246"/>
      <c r="F70" s="246"/>
      <c r="G70" s="246"/>
      <c r="H70" s="246"/>
      <c r="I70" s="246"/>
      <c r="J70" s="246"/>
      <c r="K70" s="246"/>
      <c r="N70" s="130"/>
      <c r="Q70" s="132" t="str">
        <f t="shared" si="3"/>
        <v/>
      </c>
      <c r="R70" s="115"/>
      <c r="T70" s="132" t="str">
        <f t="shared" si="4"/>
        <v/>
      </c>
      <c r="V70" s="132" t="str">
        <f t="shared" si="5"/>
        <v/>
      </c>
      <c r="W70" s="130"/>
      <c r="X70" s="246"/>
      <c r="Y70" s="246"/>
      <c r="Z70" s="130"/>
      <c r="AA70" s="130"/>
      <c r="AB70" s="246"/>
    </row>
    <row r="71" spans="1:28" x14ac:dyDescent="0.15">
      <c r="A71" s="246"/>
      <c r="B71" s="246"/>
      <c r="C71" s="246"/>
      <c r="D71" s="106"/>
      <c r="E71" s="246"/>
      <c r="F71" s="246"/>
      <c r="G71" s="246"/>
      <c r="H71" s="246"/>
      <c r="I71" s="246"/>
      <c r="J71" s="246"/>
      <c r="K71" s="246"/>
      <c r="N71" s="130"/>
      <c r="Q71" s="132" t="str">
        <f t="shared" si="3"/>
        <v/>
      </c>
      <c r="T71" s="132" t="str">
        <f t="shared" si="4"/>
        <v/>
      </c>
      <c r="V71" s="132" t="str">
        <f t="shared" si="5"/>
        <v/>
      </c>
      <c r="W71" s="130"/>
      <c r="X71" s="246"/>
      <c r="Y71" s="246"/>
      <c r="Z71" s="130"/>
      <c r="AA71" s="130"/>
      <c r="AB71" s="246"/>
    </row>
    <row r="72" spans="1:28" x14ac:dyDescent="0.15">
      <c r="A72" s="246"/>
      <c r="B72" s="246"/>
      <c r="C72" s="246"/>
      <c r="D72" s="106"/>
      <c r="E72" s="246"/>
      <c r="F72" s="246"/>
      <c r="G72" s="246"/>
      <c r="H72" s="246"/>
      <c r="I72" s="246"/>
      <c r="J72" s="246"/>
      <c r="K72" s="246"/>
      <c r="N72" s="130"/>
      <c r="Q72" s="132" t="str">
        <f t="shared" si="3"/>
        <v/>
      </c>
      <c r="T72" s="132" t="str">
        <f t="shared" si="4"/>
        <v/>
      </c>
      <c r="V72" s="132" t="str">
        <f t="shared" si="5"/>
        <v/>
      </c>
      <c r="W72" s="130"/>
      <c r="X72" s="246"/>
      <c r="Y72" s="246"/>
      <c r="Z72" s="130"/>
      <c r="AA72" s="130"/>
      <c r="AB72" s="246"/>
    </row>
    <row r="73" spans="1:28" x14ac:dyDescent="0.15">
      <c r="A73" s="246"/>
      <c r="B73" s="246"/>
      <c r="C73" s="246"/>
      <c r="D73" s="106"/>
      <c r="E73" s="246"/>
      <c r="F73" s="246"/>
      <c r="G73" s="246"/>
      <c r="H73" s="246"/>
      <c r="I73" s="246"/>
      <c r="J73" s="246"/>
      <c r="K73" s="246"/>
      <c r="N73" s="130"/>
      <c r="Q73" s="132" t="str">
        <f t="shared" si="3"/>
        <v/>
      </c>
      <c r="T73" s="132" t="str">
        <f t="shared" si="4"/>
        <v/>
      </c>
      <c r="V73" s="132" t="str">
        <f t="shared" si="5"/>
        <v/>
      </c>
      <c r="W73" s="130"/>
      <c r="X73" s="246"/>
      <c r="Y73" s="246"/>
      <c r="Z73" s="130"/>
      <c r="AA73" s="130"/>
      <c r="AB73" s="246"/>
    </row>
    <row r="74" spans="1:28" x14ac:dyDescent="0.15">
      <c r="A74" s="246"/>
      <c r="B74" s="246"/>
      <c r="C74" s="246"/>
      <c r="D74" s="106"/>
      <c r="E74" s="246"/>
      <c r="F74" s="246"/>
      <c r="G74" s="246"/>
      <c r="H74" s="246"/>
      <c r="I74" s="246"/>
      <c r="J74" s="246"/>
      <c r="K74" s="246"/>
      <c r="N74" s="130"/>
      <c r="Q74" s="132" t="str">
        <f t="shared" si="3"/>
        <v/>
      </c>
      <c r="T74" s="132" t="str">
        <f t="shared" si="4"/>
        <v/>
      </c>
      <c r="V74" s="132" t="str">
        <f t="shared" si="5"/>
        <v/>
      </c>
      <c r="W74" s="130"/>
      <c r="X74" s="246"/>
      <c r="Y74" s="246"/>
      <c r="Z74" s="130"/>
      <c r="AA74" s="130"/>
      <c r="AB74" s="246"/>
    </row>
    <row r="75" spans="1:28" x14ac:dyDescent="0.15">
      <c r="A75" s="246"/>
      <c r="B75" s="246"/>
      <c r="C75" s="246"/>
      <c r="D75" s="106"/>
      <c r="E75" s="246"/>
      <c r="F75" s="246"/>
      <c r="G75" s="246"/>
      <c r="H75" s="246"/>
      <c r="I75" s="246"/>
      <c r="J75" s="246"/>
      <c r="K75" s="246"/>
      <c r="N75" s="130"/>
      <c r="Q75" s="132" t="str">
        <f t="shared" si="3"/>
        <v/>
      </c>
      <c r="T75" s="132" t="str">
        <f t="shared" si="4"/>
        <v/>
      </c>
      <c r="V75" s="132" t="str">
        <f t="shared" si="5"/>
        <v/>
      </c>
      <c r="W75" s="130"/>
      <c r="X75" s="246"/>
      <c r="Y75" s="246"/>
      <c r="Z75" s="130"/>
      <c r="AA75" s="130"/>
      <c r="AB75" s="246"/>
    </row>
    <row r="76" spans="1:28" x14ac:dyDescent="0.15">
      <c r="A76" s="246"/>
      <c r="B76" s="246"/>
      <c r="C76" s="246"/>
      <c r="D76" s="106"/>
      <c r="E76" s="246"/>
      <c r="F76" s="246"/>
      <c r="G76" s="246"/>
      <c r="H76" s="246"/>
      <c r="I76" s="246"/>
      <c r="J76" s="246"/>
      <c r="K76" s="246"/>
      <c r="N76" s="130"/>
      <c r="Q76" s="132" t="str">
        <f t="shared" si="3"/>
        <v/>
      </c>
      <c r="T76" s="132" t="str">
        <f t="shared" si="4"/>
        <v/>
      </c>
      <c r="V76" s="132" t="str">
        <f t="shared" si="5"/>
        <v/>
      </c>
      <c r="W76" s="130"/>
      <c r="X76" s="246"/>
      <c r="Y76" s="246"/>
      <c r="Z76" s="130"/>
      <c r="AA76" s="130"/>
      <c r="AB76" s="246"/>
    </row>
    <row r="77" spans="1:28" x14ac:dyDescent="0.15">
      <c r="A77" s="246"/>
      <c r="B77" s="246"/>
      <c r="C77" s="130"/>
      <c r="D77" s="131"/>
      <c r="E77" s="246"/>
      <c r="F77" s="246"/>
      <c r="G77" s="130"/>
      <c r="H77" s="130"/>
      <c r="I77" s="130"/>
      <c r="J77" s="130"/>
      <c r="K77" s="246"/>
      <c r="N77" s="130"/>
      <c r="W77" s="130"/>
      <c r="X77" s="130"/>
      <c r="Y77" s="130"/>
      <c r="Z77" s="130"/>
      <c r="AA77" s="130"/>
      <c r="AB77" s="246"/>
    </row>
    <row r="78" spans="1:28" x14ac:dyDescent="0.15">
      <c r="A78" s="246"/>
      <c r="B78" s="246"/>
      <c r="C78" s="130"/>
      <c r="D78" s="131"/>
      <c r="E78" s="246"/>
      <c r="F78" s="246"/>
      <c r="G78" s="130"/>
      <c r="H78" s="130"/>
      <c r="I78" s="130"/>
      <c r="J78" s="130"/>
      <c r="K78" s="246"/>
      <c r="N78" s="130"/>
      <c r="W78" s="130"/>
      <c r="X78" s="130"/>
      <c r="Y78" s="130"/>
      <c r="Z78" s="130"/>
      <c r="AA78" s="130"/>
      <c r="AB78" s="246"/>
    </row>
    <row r="79" spans="1:28" x14ac:dyDescent="0.15">
      <c r="A79" s="246"/>
      <c r="B79" s="246"/>
      <c r="C79" s="130"/>
      <c r="D79" s="131"/>
      <c r="E79" s="246"/>
      <c r="F79" s="246"/>
      <c r="G79" s="130"/>
      <c r="H79" s="130"/>
      <c r="I79" s="130"/>
      <c r="J79" s="130"/>
      <c r="K79" s="246"/>
      <c r="N79" s="130"/>
      <c r="W79" s="130"/>
      <c r="X79" s="130"/>
      <c r="Y79" s="130"/>
      <c r="Z79" s="130"/>
      <c r="AA79" s="130"/>
      <c r="AB79" s="246"/>
    </row>
    <row r="80" spans="1:28" x14ac:dyDescent="0.15">
      <c r="A80" s="246"/>
      <c r="B80" s="246"/>
      <c r="C80" s="130"/>
      <c r="D80" s="131"/>
      <c r="E80" s="246"/>
      <c r="F80" s="246"/>
      <c r="G80" s="130"/>
      <c r="H80" s="130"/>
      <c r="I80" s="130"/>
      <c r="J80" s="130"/>
      <c r="K80" s="246"/>
      <c r="N80" s="130"/>
      <c r="W80" s="130"/>
      <c r="X80" s="130"/>
      <c r="Y80" s="130"/>
      <c r="Z80" s="130"/>
      <c r="AA80" s="130"/>
      <c r="AB80" s="246"/>
    </row>
    <row r="81" spans="1:28" x14ac:dyDescent="0.15">
      <c r="A81" s="246"/>
      <c r="B81" s="246"/>
      <c r="C81" s="130"/>
      <c r="D81" s="131"/>
      <c r="E81" s="246"/>
      <c r="F81" s="246"/>
      <c r="G81" s="130"/>
      <c r="H81" s="130"/>
      <c r="I81" s="130"/>
      <c r="J81" s="130"/>
      <c r="K81" s="130"/>
      <c r="N81" s="130"/>
      <c r="W81" s="130"/>
      <c r="X81" s="130"/>
      <c r="Y81" s="130"/>
      <c r="Z81" s="130"/>
      <c r="AA81" s="130"/>
      <c r="AB81" s="246"/>
    </row>
    <row r="82" spans="1:28" x14ac:dyDescent="0.15">
      <c r="A82" s="246"/>
      <c r="B82" s="246"/>
      <c r="C82" s="130"/>
      <c r="D82" s="131"/>
      <c r="E82" s="246"/>
      <c r="F82" s="246"/>
      <c r="G82" s="130"/>
      <c r="H82" s="130"/>
      <c r="I82" s="130"/>
      <c r="J82" s="130"/>
      <c r="K82" s="130"/>
      <c r="N82" s="130"/>
      <c r="W82" s="130"/>
      <c r="X82" s="130"/>
      <c r="Y82" s="130"/>
      <c r="Z82" s="130"/>
      <c r="AA82" s="130"/>
      <c r="AB82" s="246"/>
    </row>
    <row r="83" spans="1:28" x14ac:dyDescent="0.15">
      <c r="E83" s="246"/>
      <c r="F83" s="246"/>
    </row>
    <row r="84" spans="1:28" x14ac:dyDescent="0.15">
      <c r="E84" s="246"/>
      <c r="F84" s="246"/>
    </row>
    <row r="85" spans="1:28" x14ac:dyDescent="0.15">
      <c r="E85" s="246"/>
      <c r="F85" s="246"/>
    </row>
    <row r="86" spans="1:28" x14ac:dyDescent="0.15">
      <c r="E86" s="246"/>
      <c r="F86" s="246"/>
    </row>
    <row r="87" spans="1:28" x14ac:dyDescent="0.15">
      <c r="E87" s="246"/>
      <c r="F87" s="246"/>
    </row>
    <row r="88" spans="1:28" x14ac:dyDescent="0.15">
      <c r="E88" s="246"/>
      <c r="F88" s="246"/>
    </row>
    <row r="89" spans="1:28" x14ac:dyDescent="0.15">
      <c r="E89" s="246"/>
      <c r="F89" s="246"/>
    </row>
    <row r="90" spans="1:28" x14ac:dyDescent="0.15">
      <c r="E90" s="246"/>
      <c r="F90" s="246"/>
    </row>
    <row r="91" spans="1:28" x14ac:dyDescent="0.15">
      <c r="E91" s="246"/>
      <c r="F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row>
  </sheetData>
  <autoFilter ref="A1:BA76"/>
  <phoneticPr fontId="3"/>
  <dataValidations count="14">
    <dataValidation type="decimal" allowBlank="1" showInputMessage="1" showErrorMessage="1" error="硬度を正しく入力して下さい。" sqref="O2:P491">
      <formula1>0</formula1>
      <formula2>7</formula2>
    </dataValidation>
    <dataValidation type="list" allowBlank="1" showInputMessage="1" showErrorMessage="1" sqref="ADM2:ADO70 BHA2:BHC70 CKO2:CKQ70 DOC2:DOE70 ERQ2:ERS70 FVE2:FVG70 GYS2:GYU70 ICG2:ICI70 JFU2:JFW70 KJI2:KJK70 LMW2:LMY70 MQK2:MQM70 NTY2:NUA70 OXM2:OXO70 QBA2:QBC70 REO2:REQ70 SIC2:SIE70 TLQ2:TLS70 UPE2:UPG70 VSS2:VSU70 WWG2:WWI70 TQ2:TS70 AXE2:AXG70 CAS2:CAU70 DEG2:DEI70 EHU2:EHW70 FLI2:FLK70 GOW2:GOY70 HSK2:HSM70 IVY2:IWA70 JZM2:JZO70 LDA2:LDC70 MGO2:MGQ70 NKC2:NKE70 ONQ2:ONS70 PRE2:PRG70 QUS2:QUU70 RYG2:RYI70 TBU2:TBW70 UFI2:UFK70 VIW2:VIY70 WMK2:WMM70 JU2:JW70 ANI2:ANK70 BQW2:BQY70 CUK2:CUM70 DXY2:DYA70 FBM2:FBO70 GFA2:GFC70 HIO2:HIQ70 IMC2:IME70 JPQ2:JPS70 KTE2:KTG70 LWS2:LWU70 NAG2:NAI70 ODU2:ODW70 PHI2:PHK70 QKW2:QKY70 ROK2:ROM70 SRY2:SSA70 TVM2:TVO70 UZA2:UZC70 WCO2:WCQ70 Y983033:AA983110 ADM983033:ADO983110 BHA983033:BHC983110 CKO983033:CKQ983110 DOC983033:DOE983110 ERQ983033:ERS983110 FVE983033:FVG983110 GYS983033:GYU983110 ICG983033:ICI983110 JFU983033:JFW983110 KJI983033:KJK983110 LMW983033:LMY983110 MQK983033:MQM983110 NTY983033:NUA983110 OXM983033:OXO983110 QBA983033:QBC983110 REO983033:REQ983110 SIC983033:SIE983110 TLQ983033:TLS983110 UPE983033:UPG983110 VSS983033:VSU983110 WWG983033:WWI983110 Y65529:AA65606 ADM65529:ADO65606 BHA65529:BHC65606 CKO65529:CKQ65606 DOC65529:DOE65606 ERQ65529:ERS65606 FVE65529:FVG65606 GYS65529:GYU65606 ICG65529:ICI65606 JFU65529:JFW65606 KJI65529:KJK65606 LMW65529:LMY65606 MQK65529:MQM65606 NTY65529:NUA65606 OXM65529:OXO65606 QBA65529:QBC65606 REO65529:REQ65606 SIC65529:SIE65606 TLQ65529:TLS65606 UPE65529:UPG65606 VSS65529:VSU65606 WWG65529:WWI65606 JU65529:JW65606 ANI65529:ANK65606 BQW65529:BQY65606 CUK65529:CUM65606 DXY65529:DYA65606 FBM65529:FBO65606 GFA65529:GFC65606 HIO65529:HIQ65606 IMC65529:IME65606 JPQ65529:JPS65606 KTE65529:KTG65606 LWS65529:LWU65606 NAG65529:NAI65606 ODU65529:ODW65606 PHI65529:PHK65606 QKW65529:QKY65606 ROK65529:ROM65606 SRY65529:SSA65606 TVM65529:TVO65606 UZA65529:UZC65606 WCO65529:WCQ65606 TQ65529:TS65606 AXE65529:AXG65606 CAS65529:CAU65606 DEG65529:DEI65606 EHU65529:EHW65606 FLI65529:FLK65606 GOW65529:GOY65606 HSK65529:HSM65606 IVY65529:IWA65606 JZM65529:JZO65606 LDA65529:LDC65606 MGO65529:MGQ65606 NKC65529:NKE65606 ONQ65529:ONS65606 PRE65529:PRG65606 QUS65529:QUU65606 RYG65529:RYI65606 TBU65529:TBW65606 UFI65529:UFK65606 VIW65529:VIY65606 WMK65529:WMM65606 Y131065:AA131142 ADM131065:ADO131142 BHA131065:BHC131142 CKO131065:CKQ131142 DOC131065:DOE131142 ERQ131065:ERS131142 FVE131065:FVG131142 GYS131065:GYU131142 ICG131065:ICI131142 JFU131065:JFW131142 KJI131065:KJK131142 LMW131065:LMY131142 MQK131065:MQM131142 NTY131065:NUA131142 OXM131065:OXO131142 QBA131065:QBC131142 REO131065:REQ131142 SIC131065:SIE131142 TLQ131065:TLS131142 UPE131065:UPG131142 VSS131065:VSU131142 WWG131065:WWI131142 JU131065:JW131142 ANI131065:ANK131142 BQW131065:BQY131142 CUK131065:CUM131142 DXY131065:DYA131142 FBM131065:FBO131142 GFA131065:GFC131142 HIO131065:HIQ131142 IMC131065:IME131142 JPQ131065:JPS131142 KTE131065:KTG131142 LWS131065:LWU131142 NAG131065:NAI131142 ODU131065:ODW131142 PHI131065:PHK131142 QKW131065:QKY131142 ROK131065:ROM131142 SRY131065:SSA131142 TVM131065:TVO131142 UZA131065:UZC131142 WCO131065:WCQ131142 TQ131065:TS131142 AXE131065:AXG131142 CAS131065:CAU131142 DEG131065:DEI131142 EHU131065:EHW131142 FLI131065:FLK131142 GOW131065:GOY131142 HSK131065:HSM131142 IVY131065:IWA131142 JZM131065:JZO131142 LDA131065:LDC131142 MGO131065:MGQ131142 NKC131065:NKE131142 ONQ131065:ONS131142 PRE131065:PRG131142 QUS131065:QUU131142 RYG131065:RYI131142 TBU131065:TBW131142 UFI131065:UFK131142 VIW131065:VIY131142 WMK131065:WMM131142 Y196601:AA196678 ADM196601:ADO196678 BHA196601:BHC196678 CKO196601:CKQ196678 DOC196601:DOE196678 ERQ196601:ERS196678 FVE196601:FVG196678 GYS196601:GYU196678 ICG196601:ICI196678 JFU196601:JFW196678 KJI196601:KJK196678 LMW196601:LMY196678 MQK196601:MQM196678 NTY196601:NUA196678 OXM196601:OXO196678 QBA196601:QBC196678 REO196601:REQ196678 SIC196601:SIE196678 TLQ196601:TLS196678 UPE196601:UPG196678 VSS196601:VSU196678 WWG196601:WWI196678 JU196601:JW196678 ANI196601:ANK196678 BQW196601:BQY196678 CUK196601:CUM196678 DXY196601:DYA196678 FBM196601:FBO196678 GFA196601:GFC196678 HIO196601:HIQ196678 IMC196601:IME196678 JPQ196601:JPS196678 KTE196601:KTG196678 LWS196601:LWU196678 NAG196601:NAI196678 ODU196601:ODW196678 PHI196601:PHK196678 QKW196601:QKY196678 ROK196601:ROM196678 SRY196601:SSA196678 TVM196601:TVO196678 UZA196601:UZC196678 WCO196601:WCQ196678 TQ196601:TS196678 AXE196601:AXG196678 CAS196601:CAU196678 DEG196601:DEI196678 EHU196601:EHW196678 FLI196601:FLK196678 GOW196601:GOY196678 HSK196601:HSM196678 IVY196601:IWA196678 JZM196601:JZO196678 LDA196601:LDC196678 MGO196601:MGQ196678 NKC196601:NKE196678 ONQ196601:ONS196678 PRE196601:PRG196678 QUS196601:QUU196678 RYG196601:RYI196678 TBU196601:TBW196678 UFI196601:UFK196678 VIW196601:VIY196678 WMK196601:WMM196678 Y262137:AA262214 ADM262137:ADO262214 BHA262137:BHC262214 CKO262137:CKQ262214 DOC262137:DOE262214 ERQ262137:ERS262214 FVE262137:FVG262214 GYS262137:GYU262214 ICG262137:ICI262214 JFU262137:JFW262214 KJI262137:KJK262214 LMW262137:LMY262214 MQK262137:MQM262214 NTY262137:NUA262214 OXM262137:OXO262214 QBA262137:QBC262214 REO262137:REQ262214 SIC262137:SIE262214 TLQ262137:TLS262214 UPE262137:UPG262214 VSS262137:VSU262214 WWG262137:WWI262214 JU262137:JW262214 ANI262137:ANK262214 BQW262137:BQY262214 CUK262137:CUM262214 DXY262137:DYA262214 FBM262137:FBO262214 GFA262137:GFC262214 HIO262137:HIQ262214 IMC262137:IME262214 JPQ262137:JPS262214 KTE262137:KTG262214 LWS262137:LWU262214 NAG262137:NAI262214 ODU262137:ODW262214 PHI262137:PHK262214 QKW262137:QKY262214 ROK262137:ROM262214 SRY262137:SSA262214 TVM262137:TVO262214 UZA262137:UZC262214 WCO262137:WCQ262214 TQ262137:TS262214 AXE262137:AXG262214 CAS262137:CAU262214 DEG262137:DEI262214 EHU262137:EHW262214 FLI262137:FLK262214 GOW262137:GOY262214 HSK262137:HSM262214 IVY262137:IWA262214 JZM262137:JZO262214 LDA262137:LDC262214 MGO262137:MGQ262214 NKC262137:NKE262214 ONQ262137:ONS262214 PRE262137:PRG262214 QUS262137:QUU262214 RYG262137:RYI262214 TBU262137:TBW262214 UFI262137:UFK262214 VIW262137:VIY262214 WMK262137:WMM262214 Y327673:AA327750 ADM327673:ADO327750 BHA327673:BHC327750 CKO327673:CKQ327750 DOC327673:DOE327750 ERQ327673:ERS327750 FVE327673:FVG327750 GYS327673:GYU327750 ICG327673:ICI327750 JFU327673:JFW327750 KJI327673:KJK327750 LMW327673:LMY327750 MQK327673:MQM327750 NTY327673:NUA327750 OXM327673:OXO327750 QBA327673:QBC327750 REO327673:REQ327750 SIC327673:SIE327750 TLQ327673:TLS327750 UPE327673:UPG327750 VSS327673:VSU327750 WWG327673:WWI327750 JU327673:JW327750 ANI327673:ANK327750 BQW327673:BQY327750 CUK327673:CUM327750 DXY327673:DYA327750 FBM327673:FBO327750 GFA327673:GFC327750 HIO327673:HIQ327750 IMC327673:IME327750 JPQ327673:JPS327750 KTE327673:KTG327750 LWS327673:LWU327750 NAG327673:NAI327750 ODU327673:ODW327750 PHI327673:PHK327750 QKW327673:QKY327750 ROK327673:ROM327750 SRY327673:SSA327750 TVM327673:TVO327750 UZA327673:UZC327750 WCO327673:WCQ327750 TQ327673:TS327750 AXE327673:AXG327750 CAS327673:CAU327750 DEG327673:DEI327750 EHU327673:EHW327750 FLI327673:FLK327750 GOW327673:GOY327750 HSK327673:HSM327750 IVY327673:IWA327750 JZM327673:JZO327750 LDA327673:LDC327750 MGO327673:MGQ327750 NKC327673:NKE327750 ONQ327673:ONS327750 PRE327673:PRG327750 QUS327673:QUU327750 RYG327673:RYI327750 TBU327673:TBW327750 UFI327673:UFK327750 VIW327673:VIY327750 WMK327673:WMM327750 Y393209:AA393286 ADM393209:ADO393286 BHA393209:BHC393286 CKO393209:CKQ393286 DOC393209:DOE393286 ERQ393209:ERS393286 FVE393209:FVG393286 GYS393209:GYU393286 ICG393209:ICI393286 JFU393209:JFW393286 KJI393209:KJK393286 LMW393209:LMY393286 MQK393209:MQM393286 NTY393209:NUA393286 OXM393209:OXO393286 QBA393209:QBC393286 REO393209:REQ393286 SIC393209:SIE393286 TLQ393209:TLS393286 UPE393209:UPG393286 VSS393209:VSU393286 WWG393209:WWI393286 JU393209:JW393286 ANI393209:ANK393286 BQW393209:BQY393286 CUK393209:CUM393286 DXY393209:DYA393286 FBM393209:FBO393286 GFA393209:GFC393286 HIO393209:HIQ393286 IMC393209:IME393286 JPQ393209:JPS393286 KTE393209:KTG393286 LWS393209:LWU393286 NAG393209:NAI393286 ODU393209:ODW393286 PHI393209:PHK393286 QKW393209:QKY393286 ROK393209:ROM393286 SRY393209:SSA393286 TVM393209:TVO393286 UZA393209:UZC393286 WCO393209:WCQ393286 TQ393209:TS393286 AXE393209:AXG393286 CAS393209:CAU393286 DEG393209:DEI393286 EHU393209:EHW393286 FLI393209:FLK393286 GOW393209:GOY393286 HSK393209:HSM393286 IVY393209:IWA393286 JZM393209:JZO393286 LDA393209:LDC393286 MGO393209:MGQ393286 NKC393209:NKE393286 ONQ393209:ONS393286 PRE393209:PRG393286 QUS393209:QUU393286 RYG393209:RYI393286 TBU393209:TBW393286 UFI393209:UFK393286 VIW393209:VIY393286 WMK393209:WMM393286 Y458745:AA458822 ADM458745:ADO458822 BHA458745:BHC458822 CKO458745:CKQ458822 DOC458745:DOE458822 ERQ458745:ERS458822 FVE458745:FVG458822 GYS458745:GYU458822 ICG458745:ICI458822 JFU458745:JFW458822 KJI458745:KJK458822 LMW458745:LMY458822 MQK458745:MQM458822 NTY458745:NUA458822 OXM458745:OXO458822 QBA458745:QBC458822 REO458745:REQ458822 SIC458745:SIE458822 TLQ458745:TLS458822 UPE458745:UPG458822 VSS458745:VSU458822 WWG458745:WWI458822 JU458745:JW458822 ANI458745:ANK458822 BQW458745:BQY458822 CUK458745:CUM458822 DXY458745:DYA458822 FBM458745:FBO458822 GFA458745:GFC458822 HIO458745:HIQ458822 IMC458745:IME458822 JPQ458745:JPS458822 KTE458745:KTG458822 LWS458745:LWU458822 NAG458745:NAI458822 ODU458745:ODW458822 PHI458745:PHK458822 QKW458745:QKY458822 ROK458745:ROM458822 SRY458745:SSA458822 TVM458745:TVO458822 UZA458745:UZC458822 WCO458745:WCQ458822 TQ458745:TS458822 AXE458745:AXG458822 CAS458745:CAU458822 DEG458745:DEI458822 EHU458745:EHW458822 FLI458745:FLK458822 GOW458745:GOY458822 HSK458745:HSM458822 IVY458745:IWA458822 JZM458745:JZO458822 LDA458745:LDC458822 MGO458745:MGQ458822 NKC458745:NKE458822 ONQ458745:ONS458822 PRE458745:PRG458822 QUS458745:QUU458822 RYG458745:RYI458822 TBU458745:TBW458822 UFI458745:UFK458822 VIW458745:VIY458822 WMK458745:WMM458822 Y524281:AA524358 ADM524281:ADO524358 BHA524281:BHC524358 CKO524281:CKQ524358 DOC524281:DOE524358 ERQ524281:ERS524358 FVE524281:FVG524358 GYS524281:GYU524358 ICG524281:ICI524358 JFU524281:JFW524358 KJI524281:KJK524358 LMW524281:LMY524358 MQK524281:MQM524358 NTY524281:NUA524358 OXM524281:OXO524358 QBA524281:QBC524358 REO524281:REQ524358 SIC524281:SIE524358 TLQ524281:TLS524358 UPE524281:UPG524358 VSS524281:VSU524358 WWG524281:WWI524358 JU524281:JW524358 ANI524281:ANK524358 BQW524281:BQY524358 CUK524281:CUM524358 DXY524281:DYA524358 FBM524281:FBO524358 GFA524281:GFC524358 HIO524281:HIQ524358 IMC524281:IME524358 JPQ524281:JPS524358 KTE524281:KTG524358 LWS524281:LWU524358 NAG524281:NAI524358 ODU524281:ODW524358 PHI524281:PHK524358 QKW524281:QKY524358 ROK524281:ROM524358 SRY524281:SSA524358 TVM524281:TVO524358 UZA524281:UZC524358 WCO524281:WCQ524358 TQ524281:TS524358 AXE524281:AXG524358 CAS524281:CAU524358 DEG524281:DEI524358 EHU524281:EHW524358 FLI524281:FLK524358 GOW524281:GOY524358 HSK524281:HSM524358 IVY524281:IWA524358 JZM524281:JZO524358 LDA524281:LDC524358 MGO524281:MGQ524358 NKC524281:NKE524358 ONQ524281:ONS524358 PRE524281:PRG524358 QUS524281:QUU524358 RYG524281:RYI524358 TBU524281:TBW524358 UFI524281:UFK524358 VIW524281:VIY524358 WMK524281:WMM524358 Y589817:AA589894 ADM589817:ADO589894 BHA589817:BHC589894 CKO589817:CKQ589894 DOC589817:DOE589894 ERQ589817:ERS589894 FVE589817:FVG589894 GYS589817:GYU589894 ICG589817:ICI589894 JFU589817:JFW589894 KJI589817:KJK589894 LMW589817:LMY589894 MQK589817:MQM589894 NTY589817:NUA589894 OXM589817:OXO589894 QBA589817:QBC589894 REO589817:REQ589894 SIC589817:SIE589894 TLQ589817:TLS589894 UPE589817:UPG589894 VSS589817:VSU589894 WWG589817:WWI589894 JU589817:JW589894 ANI589817:ANK589894 BQW589817:BQY589894 CUK589817:CUM589894 DXY589817:DYA589894 FBM589817:FBO589894 GFA589817:GFC589894 HIO589817:HIQ589894 IMC589817:IME589894 JPQ589817:JPS589894 KTE589817:KTG589894 LWS589817:LWU589894 NAG589817:NAI589894 ODU589817:ODW589894 PHI589817:PHK589894 QKW589817:QKY589894 ROK589817:ROM589894 SRY589817:SSA589894 TVM589817:TVO589894 UZA589817:UZC589894 WCO589817:WCQ589894 TQ589817:TS589894 AXE589817:AXG589894 CAS589817:CAU589894 DEG589817:DEI589894 EHU589817:EHW589894 FLI589817:FLK589894 GOW589817:GOY589894 HSK589817:HSM589894 IVY589817:IWA589894 JZM589817:JZO589894 LDA589817:LDC589894 MGO589817:MGQ589894 NKC589817:NKE589894 ONQ589817:ONS589894 PRE589817:PRG589894 QUS589817:QUU589894 RYG589817:RYI589894 TBU589817:TBW589894 UFI589817:UFK589894 VIW589817:VIY589894 WMK589817:WMM589894 Y655353:AA655430 ADM655353:ADO655430 BHA655353:BHC655430 CKO655353:CKQ655430 DOC655353:DOE655430 ERQ655353:ERS655430 FVE655353:FVG655430 GYS655353:GYU655430 ICG655353:ICI655430 JFU655353:JFW655430 KJI655353:KJK655430 LMW655353:LMY655430 MQK655353:MQM655430 NTY655353:NUA655430 OXM655353:OXO655430 QBA655353:QBC655430 REO655353:REQ655430 SIC655353:SIE655430 TLQ655353:TLS655430 UPE655353:UPG655430 VSS655353:VSU655430 WWG655353:WWI655430 JU655353:JW655430 ANI655353:ANK655430 BQW655353:BQY655430 CUK655353:CUM655430 DXY655353:DYA655430 FBM655353:FBO655430 GFA655353:GFC655430 HIO655353:HIQ655430 IMC655353:IME655430 JPQ655353:JPS655430 KTE655353:KTG655430 LWS655353:LWU655430 NAG655353:NAI655430 ODU655353:ODW655430 PHI655353:PHK655430 QKW655353:QKY655430 ROK655353:ROM655430 SRY655353:SSA655430 TVM655353:TVO655430 UZA655353:UZC655430 WCO655353:WCQ655430 TQ655353:TS655430 AXE655353:AXG655430 CAS655353:CAU655430 DEG655353:DEI655430 EHU655353:EHW655430 FLI655353:FLK655430 GOW655353:GOY655430 HSK655353:HSM655430 IVY655353:IWA655430 JZM655353:JZO655430 LDA655353:LDC655430 MGO655353:MGQ655430 NKC655353:NKE655430 ONQ655353:ONS655430 PRE655353:PRG655430 QUS655353:QUU655430 RYG655353:RYI655430 TBU655353:TBW655430 UFI655353:UFK655430 VIW655353:VIY655430 WMK655353:WMM655430 Y720889:AA720966 ADM720889:ADO720966 BHA720889:BHC720966 CKO720889:CKQ720966 DOC720889:DOE720966 ERQ720889:ERS720966 FVE720889:FVG720966 GYS720889:GYU720966 ICG720889:ICI720966 JFU720889:JFW720966 KJI720889:KJK720966 LMW720889:LMY720966 MQK720889:MQM720966 NTY720889:NUA720966 OXM720889:OXO720966 QBA720889:QBC720966 REO720889:REQ720966 SIC720889:SIE720966 TLQ720889:TLS720966 UPE720889:UPG720966 VSS720889:VSU720966 WWG720889:WWI720966 JU720889:JW720966 ANI720889:ANK720966 BQW720889:BQY720966 CUK720889:CUM720966 DXY720889:DYA720966 FBM720889:FBO720966 GFA720889:GFC720966 HIO720889:HIQ720966 IMC720889:IME720966 JPQ720889:JPS720966 KTE720889:KTG720966 LWS720889:LWU720966 NAG720889:NAI720966 ODU720889:ODW720966 PHI720889:PHK720966 QKW720889:QKY720966 ROK720889:ROM720966 SRY720889:SSA720966 TVM720889:TVO720966 UZA720889:UZC720966 WCO720889:WCQ720966 TQ720889:TS720966 AXE720889:AXG720966 CAS720889:CAU720966 DEG720889:DEI720966 EHU720889:EHW720966 FLI720889:FLK720966 GOW720889:GOY720966 HSK720889:HSM720966 IVY720889:IWA720966 JZM720889:JZO720966 LDA720889:LDC720966 MGO720889:MGQ720966 NKC720889:NKE720966 ONQ720889:ONS720966 PRE720889:PRG720966 QUS720889:QUU720966 RYG720889:RYI720966 TBU720889:TBW720966 UFI720889:UFK720966 VIW720889:VIY720966 WMK720889:WMM720966 Y786425:AA786502 ADM786425:ADO786502 BHA786425:BHC786502 CKO786425:CKQ786502 DOC786425:DOE786502 ERQ786425:ERS786502 FVE786425:FVG786502 GYS786425:GYU786502 ICG786425:ICI786502 JFU786425:JFW786502 KJI786425:KJK786502 LMW786425:LMY786502 MQK786425:MQM786502 NTY786425:NUA786502 OXM786425:OXO786502 QBA786425:QBC786502 REO786425:REQ786502 SIC786425:SIE786502 TLQ786425:TLS786502 UPE786425:UPG786502 VSS786425:VSU786502 WWG786425:WWI786502 JU786425:JW786502 ANI786425:ANK786502 BQW786425:BQY786502 CUK786425:CUM786502 DXY786425:DYA786502 FBM786425:FBO786502 GFA786425:GFC786502 HIO786425:HIQ786502 IMC786425:IME786502 JPQ786425:JPS786502 KTE786425:KTG786502 LWS786425:LWU786502 NAG786425:NAI786502 ODU786425:ODW786502 PHI786425:PHK786502 QKW786425:QKY786502 ROK786425:ROM786502 SRY786425:SSA786502 TVM786425:TVO786502 UZA786425:UZC786502 WCO786425:WCQ786502 TQ786425:TS786502 AXE786425:AXG786502 CAS786425:CAU786502 DEG786425:DEI786502 EHU786425:EHW786502 FLI786425:FLK786502 GOW786425:GOY786502 HSK786425:HSM786502 IVY786425:IWA786502 JZM786425:JZO786502 LDA786425:LDC786502 MGO786425:MGQ786502 NKC786425:NKE786502 ONQ786425:ONS786502 PRE786425:PRG786502 QUS786425:QUU786502 RYG786425:RYI786502 TBU786425:TBW786502 UFI786425:UFK786502 VIW786425:VIY786502 WMK786425:WMM786502 Y851961:AA852038 ADM851961:ADO852038 BHA851961:BHC852038 CKO851961:CKQ852038 DOC851961:DOE852038 ERQ851961:ERS852038 FVE851961:FVG852038 GYS851961:GYU852038 ICG851961:ICI852038 JFU851961:JFW852038 KJI851961:KJK852038 LMW851961:LMY852038 MQK851961:MQM852038 NTY851961:NUA852038 OXM851961:OXO852038 QBA851961:QBC852038 REO851961:REQ852038 SIC851961:SIE852038 TLQ851961:TLS852038 UPE851961:UPG852038 VSS851961:VSU852038 WWG851961:WWI852038 JU851961:JW852038 ANI851961:ANK852038 BQW851961:BQY852038 CUK851961:CUM852038 DXY851961:DYA852038 FBM851961:FBO852038 GFA851961:GFC852038 HIO851961:HIQ852038 IMC851961:IME852038 JPQ851961:JPS852038 KTE851961:KTG852038 LWS851961:LWU852038 NAG851961:NAI852038 ODU851961:ODW852038 PHI851961:PHK852038 QKW851961:QKY852038 ROK851961:ROM852038 SRY851961:SSA852038 TVM851961:TVO852038 UZA851961:UZC852038 WCO851961:WCQ852038 TQ851961:TS852038 AXE851961:AXG852038 CAS851961:CAU852038 DEG851961:DEI852038 EHU851961:EHW852038 FLI851961:FLK852038 GOW851961:GOY852038 HSK851961:HSM852038 IVY851961:IWA852038 JZM851961:JZO852038 LDA851961:LDC852038 MGO851961:MGQ852038 NKC851961:NKE852038 ONQ851961:ONS852038 PRE851961:PRG852038 QUS851961:QUU852038 RYG851961:RYI852038 TBU851961:TBW852038 UFI851961:UFK852038 VIW851961:VIY852038 WMK851961:WMM852038 Y917497:AA917574 ADM917497:ADO917574 BHA917497:BHC917574 CKO917497:CKQ917574 DOC917497:DOE917574 ERQ917497:ERS917574 FVE917497:FVG917574 GYS917497:GYU917574 ICG917497:ICI917574 JFU917497:JFW917574 KJI917497:KJK917574 LMW917497:LMY917574 MQK917497:MQM917574 NTY917497:NUA917574 OXM917497:OXO917574 QBA917497:QBC917574 REO917497:REQ917574 SIC917497:SIE917574 TLQ917497:TLS917574 UPE917497:UPG917574 VSS917497:VSU917574 WWG917497:WWI917574 JU917497:JW917574 ANI917497:ANK917574 BQW917497:BQY917574 CUK917497:CUM917574 DXY917497:DYA917574 FBM917497:FBO917574 GFA917497:GFC917574 HIO917497:HIQ917574 IMC917497:IME917574 JPQ917497:JPS917574 KTE917497:KTG917574 LWS917497:LWU917574 NAG917497:NAI917574 ODU917497:ODW917574 PHI917497:PHK917574 QKW917497:QKY917574 ROK917497:ROM917574 SRY917497:SSA917574 TVM917497:TVO917574 UZA917497:UZC917574 WCO917497:WCQ917574 TQ917497:TS917574 AXE917497:AXG917574 CAS917497:CAU917574 DEG917497:DEI917574 EHU917497:EHW917574 FLI917497:FLK917574 GOW917497:GOY917574 HSK917497:HSM917574 IVY917497:IWA917574 JZM917497:JZO917574 LDA917497:LDC917574 MGO917497:MGQ917574 NKC917497:NKE917574 ONQ917497:ONS917574 PRE917497:PRG917574 QUS917497:QUU917574 RYG917497:RYI917574 TBU917497:TBW917574 UFI917497:UFK917574 VIW917497:VIY917574 WMK917497:WMM917574 JU983033:JW983110 ANI983033:ANK983110 BQW983033:BQY983110 CUK983033:CUM983110 DXY983033:DYA983110 FBM983033:FBO983110 GFA983033:GFC983110 HIO983033:HIQ983110 IMC983033:IME983110 JPQ983033:JPS983110 KTE983033:KTG983110 LWS983033:LWU983110 NAG983033:NAI983110 ODU983033:ODW983110 PHI983033:PHK983110 QKW983033:QKY983110 ROK983033:ROM983110 SRY983033:SSA983110 TVM983033:TVO983110 UZA983033:UZC983110 WCO983033:WCQ983110 TQ983033:TS983110 AXE983033:AXG983110 CAS983033:CAU983110 DEG983033:DEI983110 EHU983033:EHW983110 FLI983033:FLK983110 GOW983033:GOY983110 HSK983033:HSM983110 IVY983033:IWA983110 JZM983033:JZO983110 LDA983033:LDC983110 MGO983033:MGQ983110 NKC983033:NKE983110 ONQ983033:ONS983110 PRE983033:PRG983110 QUS983033:QUU983110 RYG983033:RYI983110 TBU983033:TBW983110 UFI983033:UFK983110 VIW983033:VIY983110 WMK983033:WMM983110">
      <formula1>$AV$2:$AV$17</formula1>
    </dataValidation>
    <dataValidation type="list" allowBlank="1" showInputMessage="1" showErrorMessage="1" sqref="H65529:H65606 H131065:H131142 H196601:H196678 H262137:H262214 H327673:H327750 H393209:H393286 H458745:H458822 H524281:H524358 H589817:H589894 H655353:H655430 H720889:H720966 H786425:H786502 H851961:H852038 H917497:H917574 H983033:H983110 JD2:JD70 JD65529:JD65606 JD131065:JD131142 JD196601:JD196678 JD262137:JD262214 JD327673:JD327750 JD393209:JD393286 JD458745:JD458822 JD524281:JD524358 JD589817:JD589894 JD655353:JD655430 JD720889:JD720966 JD786425:JD786502 JD851961:JD852038 JD917497:JD917574 JD983033:JD983110 SZ2:SZ70 SZ65529:SZ65606 SZ131065:SZ131142 SZ196601:SZ196678 SZ262137:SZ262214 SZ327673:SZ327750 SZ393209:SZ393286 SZ458745:SZ458822 SZ524281:SZ524358 SZ589817:SZ589894 SZ655353:SZ655430 SZ720889:SZ720966 SZ786425:SZ786502 SZ851961:SZ852038 SZ917497:SZ917574 SZ983033:SZ983110 ACV2:ACV70 ACV65529:ACV65606 ACV131065:ACV131142 ACV196601:ACV196678 ACV262137:ACV262214 ACV327673:ACV327750 ACV393209:ACV393286 ACV458745:ACV458822 ACV524281:ACV524358 ACV589817:ACV589894 ACV655353:ACV655430 ACV720889:ACV720966 ACV786425:ACV786502 ACV851961:ACV852038 ACV917497:ACV917574 ACV983033:ACV983110 AMR2:AMR70 AMR65529:AMR65606 AMR131065:AMR131142 AMR196601:AMR196678 AMR262137:AMR262214 AMR327673:AMR327750 AMR393209:AMR393286 AMR458745:AMR458822 AMR524281:AMR524358 AMR589817:AMR589894 AMR655353:AMR655430 AMR720889:AMR720966 AMR786425:AMR786502 AMR851961:AMR852038 AMR917497:AMR917574 AMR983033:AMR983110 AWN2:AWN70 AWN65529:AWN65606 AWN131065:AWN131142 AWN196601:AWN196678 AWN262137:AWN262214 AWN327673:AWN327750 AWN393209:AWN393286 AWN458745:AWN458822 AWN524281:AWN524358 AWN589817:AWN589894 AWN655353:AWN655430 AWN720889:AWN720966 AWN786425:AWN786502 AWN851961:AWN852038 AWN917497:AWN917574 AWN983033:AWN983110 BGJ2:BGJ70 BGJ65529:BGJ65606 BGJ131065:BGJ131142 BGJ196601:BGJ196678 BGJ262137:BGJ262214 BGJ327673:BGJ327750 BGJ393209:BGJ393286 BGJ458745:BGJ458822 BGJ524281:BGJ524358 BGJ589817:BGJ589894 BGJ655353:BGJ655430 BGJ720889:BGJ720966 BGJ786425:BGJ786502 BGJ851961:BGJ852038 BGJ917497:BGJ917574 BGJ983033:BGJ983110 BQF2:BQF70 BQF65529:BQF65606 BQF131065:BQF131142 BQF196601:BQF196678 BQF262137:BQF262214 BQF327673:BQF327750 BQF393209:BQF393286 BQF458745:BQF458822 BQF524281:BQF524358 BQF589817:BQF589894 BQF655353:BQF655430 BQF720889:BQF720966 BQF786425:BQF786502 BQF851961:BQF852038 BQF917497:BQF917574 BQF983033:BQF983110 CAB2:CAB70 CAB65529:CAB65606 CAB131065:CAB131142 CAB196601:CAB196678 CAB262137:CAB262214 CAB327673:CAB327750 CAB393209:CAB393286 CAB458745:CAB458822 CAB524281:CAB524358 CAB589817:CAB589894 CAB655353:CAB655430 CAB720889:CAB720966 CAB786425:CAB786502 CAB851961:CAB852038 CAB917497:CAB917574 CAB983033:CAB983110 CJX2:CJX70 CJX65529:CJX65606 CJX131065:CJX131142 CJX196601:CJX196678 CJX262137:CJX262214 CJX327673:CJX327750 CJX393209:CJX393286 CJX458745:CJX458822 CJX524281:CJX524358 CJX589817:CJX589894 CJX655353:CJX655430 CJX720889:CJX720966 CJX786425:CJX786502 CJX851961:CJX852038 CJX917497:CJX917574 CJX983033:CJX983110 CTT2:CTT70 CTT65529:CTT65606 CTT131065:CTT131142 CTT196601:CTT196678 CTT262137:CTT262214 CTT327673:CTT327750 CTT393209:CTT393286 CTT458745:CTT458822 CTT524281:CTT524358 CTT589817:CTT589894 CTT655353:CTT655430 CTT720889:CTT720966 CTT786425:CTT786502 CTT851961:CTT852038 CTT917497:CTT917574 CTT983033:CTT983110 DDP2:DDP70 DDP65529:DDP65606 DDP131065:DDP131142 DDP196601:DDP196678 DDP262137:DDP262214 DDP327673:DDP327750 DDP393209:DDP393286 DDP458745:DDP458822 DDP524281:DDP524358 DDP589817:DDP589894 DDP655353:DDP655430 DDP720889:DDP720966 DDP786425:DDP786502 DDP851961:DDP852038 DDP917497:DDP917574 DDP983033:DDP983110 DNL2:DNL70 DNL65529:DNL65606 DNL131065:DNL131142 DNL196601:DNL196678 DNL262137:DNL262214 DNL327673:DNL327750 DNL393209:DNL393286 DNL458745:DNL458822 DNL524281:DNL524358 DNL589817:DNL589894 DNL655353:DNL655430 DNL720889:DNL720966 DNL786425:DNL786502 DNL851961:DNL852038 DNL917497:DNL917574 DNL983033:DNL983110 DXH2:DXH70 DXH65529:DXH65606 DXH131065:DXH131142 DXH196601:DXH196678 DXH262137:DXH262214 DXH327673:DXH327750 DXH393209:DXH393286 DXH458745:DXH458822 DXH524281:DXH524358 DXH589817:DXH589894 DXH655353:DXH655430 DXH720889:DXH720966 DXH786425:DXH786502 DXH851961:DXH852038 DXH917497:DXH917574 DXH983033:DXH983110 EHD2:EHD70 EHD65529:EHD65606 EHD131065:EHD131142 EHD196601:EHD196678 EHD262137:EHD262214 EHD327673:EHD327750 EHD393209:EHD393286 EHD458745:EHD458822 EHD524281:EHD524358 EHD589817:EHD589894 EHD655353:EHD655430 EHD720889:EHD720966 EHD786425:EHD786502 EHD851961:EHD852038 EHD917497:EHD917574 EHD983033:EHD983110 EQZ2:EQZ70 EQZ65529:EQZ65606 EQZ131065:EQZ131142 EQZ196601:EQZ196678 EQZ262137:EQZ262214 EQZ327673:EQZ327750 EQZ393209:EQZ393286 EQZ458745:EQZ458822 EQZ524281:EQZ524358 EQZ589817:EQZ589894 EQZ655353:EQZ655430 EQZ720889:EQZ720966 EQZ786425:EQZ786502 EQZ851961:EQZ852038 EQZ917497:EQZ917574 EQZ983033:EQZ983110 FAV2:FAV70 FAV65529:FAV65606 FAV131065:FAV131142 FAV196601:FAV196678 FAV262137:FAV262214 FAV327673:FAV327750 FAV393209:FAV393286 FAV458745:FAV458822 FAV524281:FAV524358 FAV589817:FAV589894 FAV655353:FAV655430 FAV720889:FAV720966 FAV786425:FAV786502 FAV851961:FAV852038 FAV917497:FAV917574 FAV983033:FAV983110 FKR2:FKR70 FKR65529:FKR65606 FKR131065:FKR131142 FKR196601:FKR196678 FKR262137:FKR262214 FKR327673:FKR327750 FKR393209:FKR393286 FKR458745:FKR458822 FKR524281:FKR524358 FKR589817:FKR589894 FKR655353:FKR655430 FKR720889:FKR720966 FKR786425:FKR786502 FKR851961:FKR852038 FKR917497:FKR917574 FKR983033:FKR983110 FUN2:FUN70 FUN65529:FUN65606 FUN131065:FUN131142 FUN196601:FUN196678 FUN262137:FUN262214 FUN327673:FUN327750 FUN393209:FUN393286 FUN458745:FUN458822 FUN524281:FUN524358 FUN589817:FUN589894 FUN655353:FUN655430 FUN720889:FUN720966 FUN786425:FUN786502 FUN851961:FUN852038 FUN917497:FUN917574 FUN983033:FUN983110 GEJ2:GEJ70 GEJ65529:GEJ65606 GEJ131065:GEJ131142 GEJ196601:GEJ196678 GEJ262137:GEJ262214 GEJ327673:GEJ327750 GEJ393209:GEJ393286 GEJ458745:GEJ458822 GEJ524281:GEJ524358 GEJ589817:GEJ589894 GEJ655353:GEJ655430 GEJ720889:GEJ720966 GEJ786425:GEJ786502 GEJ851961:GEJ852038 GEJ917497:GEJ917574 GEJ983033:GEJ983110 GOF2:GOF70 GOF65529:GOF65606 GOF131065:GOF131142 GOF196601:GOF196678 GOF262137:GOF262214 GOF327673:GOF327750 GOF393209:GOF393286 GOF458745:GOF458822 GOF524281:GOF524358 GOF589817:GOF589894 GOF655353:GOF655430 GOF720889:GOF720966 GOF786425:GOF786502 GOF851961:GOF852038 GOF917497:GOF917574 GOF983033:GOF983110 GYB2:GYB70 GYB65529:GYB65606 GYB131065:GYB131142 GYB196601:GYB196678 GYB262137:GYB262214 GYB327673:GYB327750 GYB393209:GYB393286 GYB458745:GYB458822 GYB524281:GYB524358 GYB589817:GYB589894 GYB655353:GYB655430 GYB720889:GYB720966 GYB786425:GYB786502 GYB851961:GYB852038 GYB917497:GYB917574 GYB983033:GYB983110 HHX2:HHX70 HHX65529:HHX65606 HHX131065:HHX131142 HHX196601:HHX196678 HHX262137:HHX262214 HHX327673:HHX327750 HHX393209:HHX393286 HHX458745:HHX458822 HHX524281:HHX524358 HHX589817:HHX589894 HHX655353:HHX655430 HHX720889:HHX720966 HHX786425:HHX786502 HHX851961:HHX852038 HHX917497:HHX917574 HHX983033:HHX983110 HRT2:HRT70 HRT65529:HRT65606 HRT131065:HRT131142 HRT196601:HRT196678 HRT262137:HRT262214 HRT327673:HRT327750 HRT393209:HRT393286 HRT458745:HRT458822 HRT524281:HRT524358 HRT589817:HRT589894 HRT655353:HRT655430 HRT720889:HRT720966 HRT786425:HRT786502 HRT851961:HRT852038 HRT917497:HRT917574 HRT983033:HRT983110 IBP2:IBP70 IBP65529:IBP65606 IBP131065:IBP131142 IBP196601:IBP196678 IBP262137:IBP262214 IBP327673:IBP327750 IBP393209:IBP393286 IBP458745:IBP458822 IBP524281:IBP524358 IBP589817:IBP589894 IBP655353:IBP655430 IBP720889:IBP720966 IBP786425:IBP786502 IBP851961:IBP852038 IBP917497:IBP917574 IBP983033:IBP983110 ILL2:ILL70 ILL65529:ILL65606 ILL131065:ILL131142 ILL196601:ILL196678 ILL262137:ILL262214 ILL327673:ILL327750 ILL393209:ILL393286 ILL458745:ILL458822 ILL524281:ILL524358 ILL589817:ILL589894 ILL655353:ILL655430 ILL720889:ILL720966 ILL786425:ILL786502 ILL851961:ILL852038 ILL917497:ILL917574 ILL983033:ILL983110 IVH2:IVH70 IVH65529:IVH65606 IVH131065:IVH131142 IVH196601:IVH196678 IVH262137:IVH262214 IVH327673:IVH327750 IVH393209:IVH393286 IVH458745:IVH458822 IVH524281:IVH524358 IVH589817:IVH589894 IVH655353:IVH655430 IVH720889:IVH720966 IVH786425:IVH786502 IVH851961:IVH852038 IVH917497:IVH917574 IVH983033:IVH983110 JFD2:JFD70 JFD65529:JFD65606 JFD131065:JFD131142 JFD196601:JFD196678 JFD262137:JFD262214 JFD327673:JFD327750 JFD393209:JFD393286 JFD458745:JFD458822 JFD524281:JFD524358 JFD589817:JFD589894 JFD655353:JFD655430 JFD720889:JFD720966 JFD786425:JFD786502 JFD851961:JFD852038 JFD917497:JFD917574 JFD983033:JFD983110 JOZ2:JOZ70 JOZ65529:JOZ65606 JOZ131065:JOZ131142 JOZ196601:JOZ196678 JOZ262137:JOZ262214 JOZ327673:JOZ327750 JOZ393209:JOZ393286 JOZ458745:JOZ458822 JOZ524281:JOZ524358 JOZ589817:JOZ589894 JOZ655353:JOZ655430 JOZ720889:JOZ720966 JOZ786425:JOZ786502 JOZ851961:JOZ852038 JOZ917497:JOZ917574 JOZ983033:JOZ983110 JYV2:JYV70 JYV65529:JYV65606 JYV131065:JYV131142 JYV196601:JYV196678 JYV262137:JYV262214 JYV327673:JYV327750 JYV393209:JYV393286 JYV458745:JYV458822 JYV524281:JYV524358 JYV589817:JYV589894 JYV655353:JYV655430 JYV720889:JYV720966 JYV786425:JYV786502 JYV851961:JYV852038 JYV917497:JYV917574 JYV983033:JYV983110 KIR2:KIR70 KIR65529:KIR65606 KIR131065:KIR131142 KIR196601:KIR196678 KIR262137:KIR262214 KIR327673:KIR327750 KIR393209:KIR393286 KIR458745:KIR458822 KIR524281:KIR524358 KIR589817:KIR589894 KIR655353:KIR655430 KIR720889:KIR720966 KIR786425:KIR786502 KIR851961:KIR852038 KIR917497:KIR917574 KIR983033:KIR983110 KSN2:KSN70 KSN65529:KSN65606 KSN131065:KSN131142 KSN196601:KSN196678 KSN262137:KSN262214 KSN327673:KSN327750 KSN393209:KSN393286 KSN458745:KSN458822 KSN524281:KSN524358 KSN589817:KSN589894 KSN655353:KSN655430 KSN720889:KSN720966 KSN786425:KSN786502 KSN851961:KSN852038 KSN917497:KSN917574 KSN983033:KSN983110 LCJ2:LCJ70 LCJ65529:LCJ65606 LCJ131065:LCJ131142 LCJ196601:LCJ196678 LCJ262137:LCJ262214 LCJ327673:LCJ327750 LCJ393209:LCJ393286 LCJ458745:LCJ458822 LCJ524281:LCJ524358 LCJ589817:LCJ589894 LCJ655353:LCJ655430 LCJ720889:LCJ720966 LCJ786425:LCJ786502 LCJ851961:LCJ852038 LCJ917497:LCJ917574 LCJ983033:LCJ983110 LMF2:LMF70 LMF65529:LMF65606 LMF131065:LMF131142 LMF196601:LMF196678 LMF262137:LMF262214 LMF327673:LMF327750 LMF393209:LMF393286 LMF458745:LMF458822 LMF524281:LMF524358 LMF589817:LMF589894 LMF655353:LMF655430 LMF720889:LMF720966 LMF786425:LMF786502 LMF851961:LMF852038 LMF917497:LMF917574 LMF983033:LMF983110 LWB2:LWB70 LWB65529:LWB65606 LWB131065:LWB131142 LWB196601:LWB196678 LWB262137:LWB262214 LWB327673:LWB327750 LWB393209:LWB393286 LWB458745:LWB458822 LWB524281:LWB524358 LWB589817:LWB589894 LWB655353:LWB655430 LWB720889:LWB720966 LWB786425:LWB786502 LWB851961:LWB852038 LWB917497:LWB917574 LWB983033:LWB983110 MFX2:MFX70 MFX65529:MFX65606 MFX131065:MFX131142 MFX196601:MFX196678 MFX262137:MFX262214 MFX327673:MFX327750 MFX393209:MFX393286 MFX458745:MFX458822 MFX524281:MFX524358 MFX589817:MFX589894 MFX655353:MFX655430 MFX720889:MFX720966 MFX786425:MFX786502 MFX851961:MFX852038 MFX917497:MFX917574 MFX983033:MFX983110 MPT2:MPT70 MPT65529:MPT65606 MPT131065:MPT131142 MPT196601:MPT196678 MPT262137:MPT262214 MPT327673:MPT327750 MPT393209:MPT393286 MPT458745:MPT458822 MPT524281:MPT524358 MPT589817:MPT589894 MPT655353:MPT655430 MPT720889:MPT720966 MPT786425:MPT786502 MPT851961:MPT852038 MPT917497:MPT917574 MPT983033:MPT983110 MZP2:MZP70 MZP65529:MZP65606 MZP131065:MZP131142 MZP196601:MZP196678 MZP262137:MZP262214 MZP327673:MZP327750 MZP393209:MZP393286 MZP458745:MZP458822 MZP524281:MZP524358 MZP589817:MZP589894 MZP655353:MZP655430 MZP720889:MZP720966 MZP786425:MZP786502 MZP851961:MZP852038 MZP917497:MZP917574 MZP983033:MZP983110 NJL2:NJL70 NJL65529:NJL65606 NJL131065:NJL131142 NJL196601:NJL196678 NJL262137:NJL262214 NJL327673:NJL327750 NJL393209:NJL393286 NJL458745:NJL458822 NJL524281:NJL524358 NJL589817:NJL589894 NJL655353:NJL655430 NJL720889:NJL720966 NJL786425:NJL786502 NJL851961:NJL852038 NJL917497:NJL917574 NJL983033:NJL983110 NTH2:NTH70 NTH65529:NTH65606 NTH131065:NTH131142 NTH196601:NTH196678 NTH262137:NTH262214 NTH327673:NTH327750 NTH393209:NTH393286 NTH458745:NTH458822 NTH524281:NTH524358 NTH589817:NTH589894 NTH655353:NTH655430 NTH720889:NTH720966 NTH786425:NTH786502 NTH851961:NTH852038 NTH917497:NTH917574 NTH983033:NTH983110 ODD2:ODD70 ODD65529:ODD65606 ODD131065:ODD131142 ODD196601:ODD196678 ODD262137:ODD262214 ODD327673:ODD327750 ODD393209:ODD393286 ODD458745:ODD458822 ODD524281:ODD524358 ODD589817:ODD589894 ODD655353:ODD655430 ODD720889:ODD720966 ODD786425:ODD786502 ODD851961:ODD852038 ODD917497:ODD917574 ODD983033:ODD983110 OMZ2:OMZ70 OMZ65529:OMZ65606 OMZ131065:OMZ131142 OMZ196601:OMZ196678 OMZ262137:OMZ262214 OMZ327673:OMZ327750 OMZ393209:OMZ393286 OMZ458745:OMZ458822 OMZ524281:OMZ524358 OMZ589817:OMZ589894 OMZ655353:OMZ655430 OMZ720889:OMZ720966 OMZ786425:OMZ786502 OMZ851961:OMZ852038 OMZ917497:OMZ917574 OMZ983033:OMZ983110 OWV2:OWV70 OWV65529:OWV65606 OWV131065:OWV131142 OWV196601:OWV196678 OWV262137:OWV262214 OWV327673:OWV327750 OWV393209:OWV393286 OWV458745:OWV458822 OWV524281:OWV524358 OWV589817:OWV589894 OWV655353:OWV655430 OWV720889:OWV720966 OWV786425:OWV786502 OWV851961:OWV852038 OWV917497:OWV917574 OWV983033:OWV983110 PGR2:PGR70 PGR65529:PGR65606 PGR131065:PGR131142 PGR196601:PGR196678 PGR262137:PGR262214 PGR327673:PGR327750 PGR393209:PGR393286 PGR458745:PGR458822 PGR524281:PGR524358 PGR589817:PGR589894 PGR655353:PGR655430 PGR720889:PGR720966 PGR786425:PGR786502 PGR851961:PGR852038 PGR917497:PGR917574 PGR983033:PGR983110 PQN2:PQN70 PQN65529:PQN65606 PQN131065:PQN131142 PQN196601:PQN196678 PQN262137:PQN262214 PQN327673:PQN327750 PQN393209:PQN393286 PQN458745:PQN458822 PQN524281:PQN524358 PQN589817:PQN589894 PQN655353:PQN655430 PQN720889:PQN720966 PQN786425:PQN786502 PQN851961:PQN852038 PQN917497:PQN917574 PQN983033:PQN983110 QAJ2:QAJ70 QAJ65529:QAJ65606 QAJ131065:QAJ131142 QAJ196601:QAJ196678 QAJ262137:QAJ262214 QAJ327673:QAJ327750 QAJ393209:QAJ393286 QAJ458745:QAJ458822 QAJ524281:QAJ524358 QAJ589817:QAJ589894 QAJ655353:QAJ655430 QAJ720889:QAJ720966 QAJ786425:QAJ786502 QAJ851961:QAJ852038 QAJ917497:QAJ917574 QAJ983033:QAJ983110 QKF2:QKF70 QKF65529:QKF65606 QKF131065:QKF131142 QKF196601:QKF196678 QKF262137:QKF262214 QKF327673:QKF327750 QKF393209:QKF393286 QKF458745:QKF458822 QKF524281:QKF524358 QKF589817:QKF589894 QKF655353:QKF655430 QKF720889:QKF720966 QKF786425:QKF786502 QKF851961:QKF852038 QKF917497:QKF917574 QKF983033:QKF983110 QUB2:QUB70 QUB65529:QUB65606 QUB131065:QUB131142 QUB196601:QUB196678 QUB262137:QUB262214 QUB327673:QUB327750 QUB393209:QUB393286 QUB458745:QUB458822 QUB524281:QUB524358 QUB589817:QUB589894 QUB655353:QUB655430 QUB720889:QUB720966 QUB786425:QUB786502 QUB851961:QUB852038 QUB917497:QUB917574 QUB983033:QUB983110 RDX2:RDX70 RDX65529:RDX65606 RDX131065:RDX131142 RDX196601:RDX196678 RDX262137:RDX262214 RDX327673:RDX327750 RDX393209:RDX393286 RDX458745:RDX458822 RDX524281:RDX524358 RDX589817:RDX589894 RDX655353:RDX655430 RDX720889:RDX720966 RDX786425:RDX786502 RDX851961:RDX852038 RDX917497:RDX917574 RDX983033:RDX983110 RNT2:RNT70 RNT65529:RNT65606 RNT131065:RNT131142 RNT196601:RNT196678 RNT262137:RNT262214 RNT327673:RNT327750 RNT393209:RNT393286 RNT458745:RNT458822 RNT524281:RNT524358 RNT589817:RNT589894 RNT655353:RNT655430 RNT720889:RNT720966 RNT786425:RNT786502 RNT851961:RNT852038 RNT917497:RNT917574 RNT983033:RNT983110 RXP2:RXP70 RXP65529:RXP65606 RXP131065:RXP131142 RXP196601:RXP196678 RXP262137:RXP262214 RXP327673:RXP327750 RXP393209:RXP393286 RXP458745:RXP458822 RXP524281:RXP524358 RXP589817:RXP589894 RXP655353:RXP655430 RXP720889:RXP720966 RXP786425:RXP786502 RXP851961:RXP852038 RXP917497:RXP917574 RXP983033:RXP983110 SHL2:SHL70 SHL65529:SHL65606 SHL131065:SHL131142 SHL196601:SHL196678 SHL262137:SHL262214 SHL327673:SHL327750 SHL393209:SHL393286 SHL458745:SHL458822 SHL524281:SHL524358 SHL589817:SHL589894 SHL655353:SHL655430 SHL720889:SHL720966 SHL786425:SHL786502 SHL851961:SHL852038 SHL917497:SHL917574 SHL983033:SHL983110 SRH2:SRH70 SRH65529:SRH65606 SRH131065:SRH131142 SRH196601:SRH196678 SRH262137:SRH262214 SRH327673:SRH327750 SRH393209:SRH393286 SRH458745:SRH458822 SRH524281:SRH524358 SRH589817:SRH589894 SRH655353:SRH655430 SRH720889:SRH720966 SRH786425:SRH786502 SRH851961:SRH852038 SRH917497:SRH917574 SRH983033:SRH983110 TBD2:TBD70 TBD65529:TBD65606 TBD131065:TBD131142 TBD196601:TBD196678 TBD262137:TBD262214 TBD327673:TBD327750 TBD393209:TBD393286 TBD458745:TBD458822 TBD524281:TBD524358 TBD589817:TBD589894 TBD655353:TBD655430 TBD720889:TBD720966 TBD786425:TBD786502 TBD851961:TBD852038 TBD917497:TBD917574 TBD983033:TBD983110 TKZ2:TKZ70 TKZ65529:TKZ65606 TKZ131065:TKZ131142 TKZ196601:TKZ196678 TKZ262137:TKZ262214 TKZ327673:TKZ327750 TKZ393209:TKZ393286 TKZ458745:TKZ458822 TKZ524281:TKZ524358 TKZ589817:TKZ589894 TKZ655353:TKZ655430 TKZ720889:TKZ720966 TKZ786425:TKZ786502 TKZ851961:TKZ852038 TKZ917497:TKZ917574 TKZ983033:TKZ983110 TUV2:TUV70 TUV65529:TUV65606 TUV131065:TUV131142 TUV196601:TUV196678 TUV262137:TUV262214 TUV327673:TUV327750 TUV393209:TUV393286 TUV458745:TUV458822 TUV524281:TUV524358 TUV589817:TUV589894 TUV655353:TUV655430 TUV720889:TUV720966 TUV786425:TUV786502 TUV851961:TUV852038 TUV917497:TUV917574 TUV983033:TUV983110 UER2:UER70 UER65529:UER65606 UER131065:UER131142 UER196601:UER196678 UER262137:UER262214 UER327673:UER327750 UER393209:UER393286 UER458745:UER458822 UER524281:UER524358 UER589817:UER589894 UER655353:UER655430 UER720889:UER720966 UER786425:UER786502 UER851961:UER852038 UER917497:UER917574 UER983033:UER983110 UON2:UON70 UON65529:UON65606 UON131065:UON131142 UON196601:UON196678 UON262137:UON262214 UON327673:UON327750 UON393209:UON393286 UON458745:UON458822 UON524281:UON524358 UON589817:UON589894 UON655353:UON655430 UON720889:UON720966 UON786425:UON786502 UON851961:UON852038 UON917497:UON917574 UON983033:UON983110 UYJ2:UYJ70 UYJ65529:UYJ65606 UYJ131065:UYJ131142 UYJ196601:UYJ196678 UYJ262137:UYJ262214 UYJ327673:UYJ327750 UYJ393209:UYJ393286 UYJ458745:UYJ458822 UYJ524281:UYJ524358 UYJ589817:UYJ589894 UYJ655353:UYJ655430 UYJ720889:UYJ720966 UYJ786425:UYJ786502 UYJ851961:UYJ852038 UYJ917497:UYJ917574 UYJ983033:UYJ983110 VIF2:VIF70 VIF65529:VIF65606 VIF131065:VIF131142 VIF196601:VIF196678 VIF262137:VIF262214 VIF327673:VIF327750 VIF393209:VIF393286 VIF458745:VIF458822 VIF524281:VIF524358 VIF589817:VIF589894 VIF655353:VIF655430 VIF720889:VIF720966 VIF786425:VIF786502 VIF851961:VIF852038 VIF917497:VIF917574 VIF983033:VIF983110 VSB2:VSB70 VSB65529:VSB65606 VSB131065:VSB131142 VSB196601:VSB196678 VSB262137:VSB262214 VSB327673:VSB327750 VSB393209:VSB393286 VSB458745:VSB458822 VSB524281:VSB524358 VSB589817:VSB589894 VSB655353:VSB655430 VSB720889:VSB720966 VSB786425:VSB786502 VSB851961:VSB852038 VSB917497:VSB917574 VSB983033:VSB983110 WBX2:WBX70 WBX65529:WBX65606 WBX131065:WBX131142 WBX196601:WBX196678 WBX262137:WBX262214 WBX327673:WBX327750 WBX393209:WBX393286 WBX458745:WBX458822 WBX524281:WBX524358 WBX589817:WBX589894 WBX655353:WBX655430 WBX720889:WBX720966 WBX786425:WBX786502 WBX851961:WBX852038 WBX917497:WBX917574 WBX983033:WBX983110 WLT2:WLT70 WLT65529:WLT65606 WLT131065:WLT131142 WLT196601:WLT196678 WLT262137:WLT262214 WLT327673:WLT327750 WLT393209:WLT393286 WLT458745:WLT458822 WLT524281:WLT524358 WLT589817:WLT589894 WLT655353:WLT655430 WLT720889:WLT720966 WLT786425:WLT786502 WLT851961:WLT852038 WLT917497:WLT917574 WLT983033:WLT983110 WVP2:WVP70 WVP65529:WVP65606 WVP131065:WVP131142 WVP196601:WVP196678 WVP262137:WVP262214 WVP327673:WVP327750 WVP393209:WVP393286 WVP458745:WVP458822 WVP524281:WVP524358 WVP589817:WVP589894 WVP655353:WVP655430 WVP720889:WVP720966 WVP786425:WVP786502 WVP851961:WVP852038 WVP917497:WVP917574 WVP983033:WVP983110">
      <formula1>$AL$4:$AL$9</formula1>
    </dataValidation>
    <dataValidation type="list" allowBlank="1" showInputMessage="1" showErrorMessage="1" sqref="K2:K491 K65529:K65606 K131065:K131142 K196601:K196678 K262137:K262214 K327673:K327750 K393209:K393286 K458745:K458822 K524281:K524358 K589817:K589894 K655353:K655430 K720889:K720966 K786425:K786502 K851961:K852038 K917497:K917574 K983033:K983110 JG2:JG70 JG65529:JG65606 JG131065:JG131142 JG196601:JG196678 JG262137:JG262214 JG327673:JG327750 JG393209:JG393286 JG458745:JG458822 JG524281:JG524358 JG589817:JG589894 JG655353:JG655430 JG720889:JG720966 JG786425:JG786502 JG851961:JG852038 JG917497:JG917574 JG983033:JG983110 TC2:TC70 TC65529:TC65606 TC131065:TC131142 TC196601:TC196678 TC262137:TC262214 TC327673:TC327750 TC393209:TC393286 TC458745:TC458822 TC524281:TC524358 TC589817:TC589894 TC655353:TC655430 TC720889:TC720966 TC786425:TC786502 TC851961:TC852038 TC917497:TC917574 TC983033:TC983110 ACY2:ACY70 ACY65529:ACY65606 ACY131065:ACY131142 ACY196601:ACY196678 ACY262137:ACY262214 ACY327673:ACY327750 ACY393209:ACY393286 ACY458745:ACY458822 ACY524281:ACY524358 ACY589817:ACY589894 ACY655353:ACY655430 ACY720889:ACY720966 ACY786425:ACY786502 ACY851961:ACY852038 ACY917497:ACY917574 ACY983033:ACY983110 AMU2:AMU70 AMU65529:AMU65606 AMU131065:AMU131142 AMU196601:AMU196678 AMU262137:AMU262214 AMU327673:AMU327750 AMU393209:AMU393286 AMU458745:AMU458822 AMU524281:AMU524358 AMU589817:AMU589894 AMU655353:AMU655430 AMU720889:AMU720966 AMU786425:AMU786502 AMU851961:AMU852038 AMU917497:AMU917574 AMU983033:AMU983110 AWQ2:AWQ70 AWQ65529:AWQ65606 AWQ131065:AWQ131142 AWQ196601:AWQ196678 AWQ262137:AWQ262214 AWQ327673:AWQ327750 AWQ393209:AWQ393286 AWQ458745:AWQ458822 AWQ524281:AWQ524358 AWQ589817:AWQ589894 AWQ655353:AWQ655430 AWQ720889:AWQ720966 AWQ786425:AWQ786502 AWQ851961:AWQ852038 AWQ917497:AWQ917574 AWQ983033:AWQ983110 BGM2:BGM70 BGM65529:BGM65606 BGM131065:BGM131142 BGM196601:BGM196678 BGM262137:BGM262214 BGM327673:BGM327750 BGM393209:BGM393286 BGM458745:BGM458822 BGM524281:BGM524358 BGM589817:BGM589894 BGM655353:BGM655430 BGM720889:BGM720966 BGM786425:BGM786502 BGM851961:BGM852038 BGM917497:BGM917574 BGM983033:BGM983110 BQI2:BQI70 BQI65529:BQI65606 BQI131065:BQI131142 BQI196601:BQI196678 BQI262137:BQI262214 BQI327673:BQI327750 BQI393209:BQI393286 BQI458745:BQI458822 BQI524281:BQI524358 BQI589817:BQI589894 BQI655353:BQI655430 BQI720889:BQI720966 BQI786425:BQI786502 BQI851961:BQI852038 BQI917497:BQI917574 BQI983033:BQI983110 CAE2:CAE70 CAE65529:CAE65606 CAE131065:CAE131142 CAE196601:CAE196678 CAE262137:CAE262214 CAE327673:CAE327750 CAE393209:CAE393286 CAE458745:CAE458822 CAE524281:CAE524358 CAE589817:CAE589894 CAE655353:CAE655430 CAE720889:CAE720966 CAE786425:CAE786502 CAE851961:CAE852038 CAE917497:CAE917574 CAE983033:CAE983110 CKA2:CKA70 CKA65529:CKA65606 CKA131065:CKA131142 CKA196601:CKA196678 CKA262137:CKA262214 CKA327673:CKA327750 CKA393209:CKA393286 CKA458745:CKA458822 CKA524281:CKA524358 CKA589817:CKA589894 CKA655353:CKA655430 CKA720889:CKA720966 CKA786425:CKA786502 CKA851961:CKA852038 CKA917497:CKA917574 CKA983033:CKA983110 CTW2:CTW70 CTW65529:CTW65606 CTW131065:CTW131142 CTW196601:CTW196678 CTW262137:CTW262214 CTW327673:CTW327750 CTW393209:CTW393286 CTW458745:CTW458822 CTW524281:CTW524358 CTW589817:CTW589894 CTW655353:CTW655430 CTW720889:CTW720966 CTW786425:CTW786502 CTW851961:CTW852038 CTW917497:CTW917574 CTW983033:CTW983110 DDS2:DDS70 DDS65529:DDS65606 DDS131065:DDS131142 DDS196601:DDS196678 DDS262137:DDS262214 DDS327673:DDS327750 DDS393209:DDS393286 DDS458745:DDS458822 DDS524281:DDS524358 DDS589817:DDS589894 DDS655353:DDS655430 DDS720889:DDS720966 DDS786425:DDS786502 DDS851961:DDS852038 DDS917497:DDS917574 DDS983033:DDS983110 DNO2:DNO70 DNO65529:DNO65606 DNO131065:DNO131142 DNO196601:DNO196678 DNO262137:DNO262214 DNO327673:DNO327750 DNO393209:DNO393286 DNO458745:DNO458822 DNO524281:DNO524358 DNO589817:DNO589894 DNO655353:DNO655430 DNO720889:DNO720966 DNO786425:DNO786502 DNO851961:DNO852038 DNO917497:DNO917574 DNO983033:DNO983110 DXK2:DXK70 DXK65529:DXK65606 DXK131065:DXK131142 DXK196601:DXK196678 DXK262137:DXK262214 DXK327673:DXK327750 DXK393209:DXK393286 DXK458745:DXK458822 DXK524281:DXK524358 DXK589817:DXK589894 DXK655353:DXK655430 DXK720889:DXK720966 DXK786425:DXK786502 DXK851961:DXK852038 DXK917497:DXK917574 DXK983033:DXK983110 EHG2:EHG70 EHG65529:EHG65606 EHG131065:EHG131142 EHG196601:EHG196678 EHG262137:EHG262214 EHG327673:EHG327750 EHG393209:EHG393286 EHG458745:EHG458822 EHG524281:EHG524358 EHG589817:EHG589894 EHG655353:EHG655430 EHG720889:EHG720966 EHG786425:EHG786502 EHG851961:EHG852038 EHG917497:EHG917574 EHG983033:EHG983110 ERC2:ERC70 ERC65529:ERC65606 ERC131065:ERC131142 ERC196601:ERC196678 ERC262137:ERC262214 ERC327673:ERC327750 ERC393209:ERC393286 ERC458745:ERC458822 ERC524281:ERC524358 ERC589817:ERC589894 ERC655353:ERC655430 ERC720889:ERC720966 ERC786425:ERC786502 ERC851961:ERC852038 ERC917497:ERC917574 ERC983033:ERC983110 FAY2:FAY70 FAY65529:FAY65606 FAY131065:FAY131142 FAY196601:FAY196678 FAY262137:FAY262214 FAY327673:FAY327750 FAY393209:FAY393286 FAY458745:FAY458822 FAY524281:FAY524358 FAY589817:FAY589894 FAY655353:FAY655430 FAY720889:FAY720966 FAY786425:FAY786502 FAY851961:FAY852038 FAY917497:FAY917574 FAY983033:FAY983110 FKU2:FKU70 FKU65529:FKU65606 FKU131065:FKU131142 FKU196601:FKU196678 FKU262137:FKU262214 FKU327673:FKU327750 FKU393209:FKU393286 FKU458745:FKU458822 FKU524281:FKU524358 FKU589817:FKU589894 FKU655353:FKU655430 FKU720889:FKU720966 FKU786425:FKU786502 FKU851961:FKU852038 FKU917497:FKU917574 FKU983033:FKU983110 FUQ2:FUQ70 FUQ65529:FUQ65606 FUQ131065:FUQ131142 FUQ196601:FUQ196678 FUQ262137:FUQ262214 FUQ327673:FUQ327750 FUQ393209:FUQ393286 FUQ458745:FUQ458822 FUQ524281:FUQ524358 FUQ589817:FUQ589894 FUQ655353:FUQ655430 FUQ720889:FUQ720966 FUQ786425:FUQ786502 FUQ851961:FUQ852038 FUQ917497:FUQ917574 FUQ983033:FUQ983110 GEM2:GEM70 GEM65529:GEM65606 GEM131065:GEM131142 GEM196601:GEM196678 GEM262137:GEM262214 GEM327673:GEM327750 GEM393209:GEM393286 GEM458745:GEM458822 GEM524281:GEM524358 GEM589817:GEM589894 GEM655353:GEM655430 GEM720889:GEM720966 GEM786425:GEM786502 GEM851961:GEM852038 GEM917497:GEM917574 GEM983033:GEM983110 GOI2:GOI70 GOI65529:GOI65606 GOI131065:GOI131142 GOI196601:GOI196678 GOI262137:GOI262214 GOI327673:GOI327750 GOI393209:GOI393286 GOI458745:GOI458822 GOI524281:GOI524358 GOI589817:GOI589894 GOI655353:GOI655430 GOI720889:GOI720966 GOI786425:GOI786502 GOI851961:GOI852038 GOI917497:GOI917574 GOI983033:GOI983110 GYE2:GYE70 GYE65529:GYE65606 GYE131065:GYE131142 GYE196601:GYE196678 GYE262137:GYE262214 GYE327673:GYE327750 GYE393209:GYE393286 GYE458745:GYE458822 GYE524281:GYE524358 GYE589817:GYE589894 GYE655353:GYE655430 GYE720889:GYE720966 GYE786425:GYE786502 GYE851961:GYE852038 GYE917497:GYE917574 GYE983033:GYE983110 HIA2:HIA70 HIA65529:HIA65606 HIA131065:HIA131142 HIA196601:HIA196678 HIA262137:HIA262214 HIA327673:HIA327750 HIA393209:HIA393286 HIA458745:HIA458822 HIA524281:HIA524358 HIA589817:HIA589894 HIA655353:HIA655430 HIA720889:HIA720966 HIA786425:HIA786502 HIA851961:HIA852038 HIA917497:HIA917574 HIA983033:HIA983110 HRW2:HRW70 HRW65529:HRW65606 HRW131065:HRW131142 HRW196601:HRW196678 HRW262137:HRW262214 HRW327673:HRW327750 HRW393209:HRW393286 HRW458745:HRW458822 HRW524281:HRW524358 HRW589817:HRW589894 HRW655353:HRW655430 HRW720889:HRW720966 HRW786425:HRW786502 HRW851961:HRW852038 HRW917497:HRW917574 HRW983033:HRW983110 IBS2:IBS70 IBS65529:IBS65606 IBS131065:IBS131142 IBS196601:IBS196678 IBS262137:IBS262214 IBS327673:IBS327750 IBS393209:IBS393286 IBS458745:IBS458822 IBS524281:IBS524358 IBS589817:IBS589894 IBS655353:IBS655430 IBS720889:IBS720966 IBS786425:IBS786502 IBS851961:IBS852038 IBS917497:IBS917574 IBS983033:IBS983110 ILO2:ILO70 ILO65529:ILO65606 ILO131065:ILO131142 ILO196601:ILO196678 ILO262137:ILO262214 ILO327673:ILO327750 ILO393209:ILO393286 ILO458745:ILO458822 ILO524281:ILO524358 ILO589817:ILO589894 ILO655353:ILO655430 ILO720889:ILO720966 ILO786425:ILO786502 ILO851961:ILO852038 ILO917497:ILO917574 ILO983033:ILO983110 IVK2:IVK70 IVK65529:IVK65606 IVK131065:IVK131142 IVK196601:IVK196678 IVK262137:IVK262214 IVK327673:IVK327750 IVK393209:IVK393286 IVK458745:IVK458822 IVK524281:IVK524358 IVK589817:IVK589894 IVK655353:IVK655430 IVK720889:IVK720966 IVK786425:IVK786502 IVK851961:IVK852038 IVK917497:IVK917574 IVK983033:IVK983110 JFG2:JFG70 JFG65529:JFG65606 JFG131065:JFG131142 JFG196601:JFG196678 JFG262137:JFG262214 JFG327673:JFG327750 JFG393209:JFG393286 JFG458745:JFG458822 JFG524281:JFG524358 JFG589817:JFG589894 JFG655353:JFG655430 JFG720889:JFG720966 JFG786425:JFG786502 JFG851961:JFG852038 JFG917497:JFG917574 JFG983033:JFG983110 JPC2:JPC70 JPC65529:JPC65606 JPC131065:JPC131142 JPC196601:JPC196678 JPC262137:JPC262214 JPC327673:JPC327750 JPC393209:JPC393286 JPC458745:JPC458822 JPC524281:JPC524358 JPC589817:JPC589894 JPC655353:JPC655430 JPC720889:JPC720966 JPC786425:JPC786502 JPC851961:JPC852038 JPC917497:JPC917574 JPC983033:JPC983110 JYY2:JYY70 JYY65529:JYY65606 JYY131065:JYY131142 JYY196601:JYY196678 JYY262137:JYY262214 JYY327673:JYY327750 JYY393209:JYY393286 JYY458745:JYY458822 JYY524281:JYY524358 JYY589817:JYY589894 JYY655353:JYY655430 JYY720889:JYY720966 JYY786425:JYY786502 JYY851961:JYY852038 JYY917497:JYY917574 JYY983033:JYY983110 KIU2:KIU70 KIU65529:KIU65606 KIU131065:KIU131142 KIU196601:KIU196678 KIU262137:KIU262214 KIU327673:KIU327750 KIU393209:KIU393286 KIU458745:KIU458822 KIU524281:KIU524358 KIU589817:KIU589894 KIU655353:KIU655430 KIU720889:KIU720966 KIU786425:KIU786502 KIU851961:KIU852038 KIU917497:KIU917574 KIU983033:KIU983110 KSQ2:KSQ70 KSQ65529:KSQ65606 KSQ131065:KSQ131142 KSQ196601:KSQ196678 KSQ262137:KSQ262214 KSQ327673:KSQ327750 KSQ393209:KSQ393286 KSQ458745:KSQ458822 KSQ524281:KSQ524358 KSQ589817:KSQ589894 KSQ655353:KSQ655430 KSQ720889:KSQ720966 KSQ786425:KSQ786502 KSQ851961:KSQ852038 KSQ917497:KSQ917574 KSQ983033:KSQ983110 LCM2:LCM70 LCM65529:LCM65606 LCM131065:LCM131142 LCM196601:LCM196678 LCM262137:LCM262214 LCM327673:LCM327750 LCM393209:LCM393286 LCM458745:LCM458822 LCM524281:LCM524358 LCM589817:LCM589894 LCM655353:LCM655430 LCM720889:LCM720966 LCM786425:LCM786502 LCM851961:LCM852038 LCM917497:LCM917574 LCM983033:LCM983110 LMI2:LMI70 LMI65529:LMI65606 LMI131065:LMI131142 LMI196601:LMI196678 LMI262137:LMI262214 LMI327673:LMI327750 LMI393209:LMI393286 LMI458745:LMI458822 LMI524281:LMI524358 LMI589817:LMI589894 LMI655353:LMI655430 LMI720889:LMI720966 LMI786425:LMI786502 LMI851961:LMI852038 LMI917497:LMI917574 LMI983033:LMI983110 LWE2:LWE70 LWE65529:LWE65606 LWE131065:LWE131142 LWE196601:LWE196678 LWE262137:LWE262214 LWE327673:LWE327750 LWE393209:LWE393286 LWE458745:LWE458822 LWE524281:LWE524358 LWE589817:LWE589894 LWE655353:LWE655430 LWE720889:LWE720966 LWE786425:LWE786502 LWE851961:LWE852038 LWE917497:LWE917574 LWE983033:LWE983110 MGA2:MGA70 MGA65529:MGA65606 MGA131065:MGA131142 MGA196601:MGA196678 MGA262137:MGA262214 MGA327673:MGA327750 MGA393209:MGA393286 MGA458745:MGA458822 MGA524281:MGA524358 MGA589817:MGA589894 MGA655353:MGA655430 MGA720889:MGA720966 MGA786425:MGA786502 MGA851961:MGA852038 MGA917497:MGA917574 MGA983033:MGA983110 MPW2:MPW70 MPW65529:MPW65606 MPW131065:MPW131142 MPW196601:MPW196678 MPW262137:MPW262214 MPW327673:MPW327750 MPW393209:MPW393286 MPW458745:MPW458822 MPW524281:MPW524358 MPW589817:MPW589894 MPW655353:MPW655430 MPW720889:MPW720966 MPW786425:MPW786502 MPW851961:MPW852038 MPW917497:MPW917574 MPW983033:MPW983110 MZS2:MZS70 MZS65529:MZS65606 MZS131065:MZS131142 MZS196601:MZS196678 MZS262137:MZS262214 MZS327673:MZS327750 MZS393209:MZS393286 MZS458745:MZS458822 MZS524281:MZS524358 MZS589817:MZS589894 MZS655353:MZS655430 MZS720889:MZS720966 MZS786425:MZS786502 MZS851961:MZS852038 MZS917497:MZS917574 MZS983033:MZS983110 NJO2:NJO70 NJO65529:NJO65606 NJO131065:NJO131142 NJO196601:NJO196678 NJO262137:NJO262214 NJO327673:NJO327750 NJO393209:NJO393286 NJO458745:NJO458822 NJO524281:NJO524358 NJO589817:NJO589894 NJO655353:NJO655430 NJO720889:NJO720966 NJO786425:NJO786502 NJO851961:NJO852038 NJO917497:NJO917574 NJO983033:NJO983110 NTK2:NTK70 NTK65529:NTK65606 NTK131065:NTK131142 NTK196601:NTK196678 NTK262137:NTK262214 NTK327673:NTK327750 NTK393209:NTK393286 NTK458745:NTK458822 NTK524281:NTK524358 NTK589817:NTK589894 NTK655353:NTK655430 NTK720889:NTK720966 NTK786425:NTK786502 NTK851961:NTK852038 NTK917497:NTK917574 NTK983033:NTK983110 ODG2:ODG70 ODG65529:ODG65606 ODG131065:ODG131142 ODG196601:ODG196678 ODG262137:ODG262214 ODG327673:ODG327750 ODG393209:ODG393286 ODG458745:ODG458822 ODG524281:ODG524358 ODG589817:ODG589894 ODG655353:ODG655430 ODG720889:ODG720966 ODG786425:ODG786502 ODG851961:ODG852038 ODG917497:ODG917574 ODG983033:ODG983110 ONC2:ONC70 ONC65529:ONC65606 ONC131065:ONC131142 ONC196601:ONC196678 ONC262137:ONC262214 ONC327673:ONC327750 ONC393209:ONC393286 ONC458745:ONC458822 ONC524281:ONC524358 ONC589817:ONC589894 ONC655353:ONC655430 ONC720889:ONC720966 ONC786425:ONC786502 ONC851961:ONC852038 ONC917497:ONC917574 ONC983033:ONC983110 OWY2:OWY70 OWY65529:OWY65606 OWY131065:OWY131142 OWY196601:OWY196678 OWY262137:OWY262214 OWY327673:OWY327750 OWY393209:OWY393286 OWY458745:OWY458822 OWY524281:OWY524358 OWY589817:OWY589894 OWY655353:OWY655430 OWY720889:OWY720966 OWY786425:OWY786502 OWY851961:OWY852038 OWY917497:OWY917574 OWY983033:OWY983110 PGU2:PGU70 PGU65529:PGU65606 PGU131065:PGU131142 PGU196601:PGU196678 PGU262137:PGU262214 PGU327673:PGU327750 PGU393209:PGU393286 PGU458745:PGU458822 PGU524281:PGU524358 PGU589817:PGU589894 PGU655353:PGU655430 PGU720889:PGU720966 PGU786425:PGU786502 PGU851961:PGU852038 PGU917497:PGU917574 PGU983033:PGU983110 PQQ2:PQQ70 PQQ65529:PQQ65606 PQQ131065:PQQ131142 PQQ196601:PQQ196678 PQQ262137:PQQ262214 PQQ327673:PQQ327750 PQQ393209:PQQ393286 PQQ458745:PQQ458822 PQQ524281:PQQ524358 PQQ589817:PQQ589894 PQQ655353:PQQ655430 PQQ720889:PQQ720966 PQQ786425:PQQ786502 PQQ851961:PQQ852038 PQQ917497:PQQ917574 PQQ983033:PQQ983110 QAM2:QAM70 QAM65529:QAM65606 QAM131065:QAM131142 QAM196601:QAM196678 QAM262137:QAM262214 QAM327673:QAM327750 QAM393209:QAM393286 QAM458745:QAM458822 QAM524281:QAM524358 QAM589817:QAM589894 QAM655353:QAM655430 QAM720889:QAM720966 QAM786425:QAM786502 QAM851961:QAM852038 QAM917497:QAM917574 QAM983033:QAM983110 QKI2:QKI70 QKI65529:QKI65606 QKI131065:QKI131142 QKI196601:QKI196678 QKI262137:QKI262214 QKI327673:QKI327750 QKI393209:QKI393286 QKI458745:QKI458822 QKI524281:QKI524358 QKI589817:QKI589894 QKI655353:QKI655430 QKI720889:QKI720966 QKI786425:QKI786502 QKI851961:QKI852038 QKI917497:QKI917574 QKI983033:QKI983110 QUE2:QUE70 QUE65529:QUE65606 QUE131065:QUE131142 QUE196601:QUE196678 QUE262137:QUE262214 QUE327673:QUE327750 QUE393209:QUE393286 QUE458745:QUE458822 QUE524281:QUE524358 QUE589817:QUE589894 QUE655353:QUE655430 QUE720889:QUE720966 QUE786425:QUE786502 QUE851961:QUE852038 QUE917497:QUE917574 QUE983033:QUE983110 REA2:REA70 REA65529:REA65606 REA131065:REA131142 REA196601:REA196678 REA262137:REA262214 REA327673:REA327750 REA393209:REA393286 REA458745:REA458822 REA524281:REA524358 REA589817:REA589894 REA655353:REA655430 REA720889:REA720966 REA786425:REA786502 REA851961:REA852038 REA917497:REA917574 REA983033:REA983110 RNW2:RNW70 RNW65529:RNW65606 RNW131065:RNW131142 RNW196601:RNW196678 RNW262137:RNW262214 RNW327673:RNW327750 RNW393209:RNW393286 RNW458745:RNW458822 RNW524281:RNW524358 RNW589817:RNW589894 RNW655353:RNW655430 RNW720889:RNW720966 RNW786425:RNW786502 RNW851961:RNW852038 RNW917497:RNW917574 RNW983033:RNW983110 RXS2:RXS70 RXS65529:RXS65606 RXS131065:RXS131142 RXS196601:RXS196678 RXS262137:RXS262214 RXS327673:RXS327750 RXS393209:RXS393286 RXS458745:RXS458822 RXS524281:RXS524358 RXS589817:RXS589894 RXS655353:RXS655430 RXS720889:RXS720966 RXS786425:RXS786502 RXS851961:RXS852038 RXS917497:RXS917574 RXS983033:RXS983110 SHO2:SHO70 SHO65529:SHO65606 SHO131065:SHO131142 SHO196601:SHO196678 SHO262137:SHO262214 SHO327673:SHO327750 SHO393209:SHO393286 SHO458745:SHO458822 SHO524281:SHO524358 SHO589817:SHO589894 SHO655353:SHO655430 SHO720889:SHO720966 SHO786425:SHO786502 SHO851961:SHO852038 SHO917497:SHO917574 SHO983033:SHO983110 SRK2:SRK70 SRK65529:SRK65606 SRK131065:SRK131142 SRK196601:SRK196678 SRK262137:SRK262214 SRK327673:SRK327750 SRK393209:SRK393286 SRK458745:SRK458822 SRK524281:SRK524358 SRK589817:SRK589894 SRK655353:SRK655430 SRK720889:SRK720966 SRK786425:SRK786502 SRK851961:SRK852038 SRK917497:SRK917574 SRK983033:SRK983110 TBG2:TBG70 TBG65529:TBG65606 TBG131065:TBG131142 TBG196601:TBG196678 TBG262137:TBG262214 TBG327673:TBG327750 TBG393209:TBG393286 TBG458745:TBG458822 TBG524281:TBG524358 TBG589817:TBG589894 TBG655353:TBG655430 TBG720889:TBG720966 TBG786425:TBG786502 TBG851961:TBG852038 TBG917497:TBG917574 TBG983033:TBG983110 TLC2:TLC70 TLC65529:TLC65606 TLC131065:TLC131142 TLC196601:TLC196678 TLC262137:TLC262214 TLC327673:TLC327750 TLC393209:TLC393286 TLC458745:TLC458822 TLC524281:TLC524358 TLC589817:TLC589894 TLC655353:TLC655430 TLC720889:TLC720966 TLC786425:TLC786502 TLC851961:TLC852038 TLC917497:TLC917574 TLC983033:TLC983110 TUY2:TUY70 TUY65529:TUY65606 TUY131065:TUY131142 TUY196601:TUY196678 TUY262137:TUY262214 TUY327673:TUY327750 TUY393209:TUY393286 TUY458745:TUY458822 TUY524281:TUY524358 TUY589817:TUY589894 TUY655353:TUY655430 TUY720889:TUY720966 TUY786425:TUY786502 TUY851961:TUY852038 TUY917497:TUY917574 TUY983033:TUY983110 UEU2:UEU70 UEU65529:UEU65606 UEU131065:UEU131142 UEU196601:UEU196678 UEU262137:UEU262214 UEU327673:UEU327750 UEU393209:UEU393286 UEU458745:UEU458822 UEU524281:UEU524358 UEU589817:UEU589894 UEU655353:UEU655430 UEU720889:UEU720966 UEU786425:UEU786502 UEU851961:UEU852038 UEU917497:UEU917574 UEU983033:UEU983110 UOQ2:UOQ70 UOQ65529:UOQ65606 UOQ131065:UOQ131142 UOQ196601:UOQ196678 UOQ262137:UOQ262214 UOQ327673:UOQ327750 UOQ393209:UOQ393286 UOQ458745:UOQ458822 UOQ524281:UOQ524358 UOQ589817:UOQ589894 UOQ655353:UOQ655430 UOQ720889:UOQ720966 UOQ786425:UOQ786502 UOQ851961:UOQ852038 UOQ917497:UOQ917574 UOQ983033:UOQ983110 UYM2:UYM70 UYM65529:UYM65606 UYM131065:UYM131142 UYM196601:UYM196678 UYM262137:UYM262214 UYM327673:UYM327750 UYM393209:UYM393286 UYM458745:UYM458822 UYM524281:UYM524358 UYM589817:UYM589894 UYM655353:UYM655430 UYM720889:UYM720966 UYM786425:UYM786502 UYM851961:UYM852038 UYM917497:UYM917574 UYM983033:UYM983110 VII2:VII70 VII65529:VII65606 VII131065:VII131142 VII196601:VII196678 VII262137:VII262214 VII327673:VII327750 VII393209:VII393286 VII458745:VII458822 VII524281:VII524358 VII589817:VII589894 VII655353:VII655430 VII720889:VII720966 VII786425:VII786502 VII851961:VII852038 VII917497:VII917574 VII983033:VII983110 VSE2:VSE70 VSE65529:VSE65606 VSE131065:VSE131142 VSE196601:VSE196678 VSE262137:VSE262214 VSE327673:VSE327750 VSE393209:VSE393286 VSE458745:VSE458822 VSE524281:VSE524358 VSE589817:VSE589894 VSE655353:VSE655430 VSE720889:VSE720966 VSE786425:VSE786502 VSE851961:VSE852038 VSE917497:VSE917574 VSE983033:VSE983110 WCA2:WCA70 WCA65529:WCA65606 WCA131065:WCA131142 WCA196601:WCA196678 WCA262137:WCA262214 WCA327673:WCA327750 WCA393209:WCA393286 WCA458745:WCA458822 WCA524281:WCA524358 WCA589817:WCA589894 WCA655353:WCA655430 WCA720889:WCA720966 WCA786425:WCA786502 WCA851961:WCA852038 WCA917497:WCA917574 WCA983033:WCA983110 WLW2:WLW70 WLW65529:WLW65606 WLW131065:WLW131142 WLW196601:WLW196678 WLW262137:WLW262214 WLW327673:WLW327750 WLW393209:WLW393286 WLW458745:WLW458822 WLW524281:WLW524358 WLW589817:WLW589894 WLW655353:WLW655430 WLW720889:WLW720966 WLW786425:WLW786502 WLW851961:WLW852038 WLW917497:WLW917574 WLW983033:WLW983110 WVS2:WVS70 WVS65529:WVS65606 WVS131065:WVS131142 WVS196601:WVS196678 WVS262137:WVS262214 WVS327673:WVS327750 WVS393209:WVS393286 WVS458745:WVS458822 WVS524281:WVS524358 WVS589817:WVS589894 WVS655353:WVS655430 WVS720889:WVS720966 WVS786425:WVS786502 WVS851961:WVS852038 WVS917497:WVS917574 WVS983033:WVS983110">
      <formula1>$AR$2:$AR$22</formula1>
    </dataValidation>
    <dataValidation type="list" allowBlank="1" showInputMessage="1" showErrorMessage="1" sqref="J2:J491 J65529:J65606 J131065:J131142 J196601:J196678 J262137:J262214 J327673:J327750 J393209:J393286 J458745:J458822 J524281:J524358 J589817:J589894 J655353:J655430 J720889:J720966 J786425:J786502 J851961:J852038 J917497:J917574 J983033:J983110 JF2:JF70 JF65529:JF65606 JF131065:JF131142 JF196601:JF196678 JF262137:JF262214 JF327673:JF327750 JF393209:JF393286 JF458745:JF458822 JF524281:JF524358 JF589817:JF589894 JF655353:JF655430 JF720889:JF720966 JF786425:JF786502 JF851961:JF852038 JF917497:JF917574 JF983033:JF983110 TB2:TB70 TB65529:TB65606 TB131065:TB131142 TB196601:TB196678 TB262137:TB262214 TB327673:TB327750 TB393209:TB393286 TB458745:TB458822 TB524281:TB524358 TB589817:TB589894 TB655353:TB655430 TB720889:TB720966 TB786425:TB786502 TB851961:TB852038 TB917497:TB917574 TB983033:TB983110 ACX2:ACX70 ACX65529:ACX65606 ACX131065:ACX131142 ACX196601:ACX196678 ACX262137:ACX262214 ACX327673:ACX327750 ACX393209:ACX393286 ACX458745:ACX458822 ACX524281:ACX524358 ACX589817:ACX589894 ACX655353:ACX655430 ACX720889:ACX720966 ACX786425:ACX786502 ACX851961:ACX852038 ACX917497:ACX917574 ACX983033:ACX983110 AMT2:AMT70 AMT65529:AMT65606 AMT131065:AMT131142 AMT196601:AMT196678 AMT262137:AMT262214 AMT327673:AMT327750 AMT393209:AMT393286 AMT458745:AMT458822 AMT524281:AMT524358 AMT589817:AMT589894 AMT655353:AMT655430 AMT720889:AMT720966 AMT786425:AMT786502 AMT851961:AMT852038 AMT917497:AMT917574 AMT983033:AMT983110 AWP2:AWP70 AWP65529:AWP65606 AWP131065:AWP131142 AWP196601:AWP196678 AWP262137:AWP262214 AWP327673:AWP327750 AWP393209:AWP393286 AWP458745:AWP458822 AWP524281:AWP524358 AWP589817:AWP589894 AWP655353:AWP655430 AWP720889:AWP720966 AWP786425:AWP786502 AWP851961:AWP852038 AWP917497:AWP917574 AWP983033:AWP983110 BGL2:BGL70 BGL65529:BGL65606 BGL131065:BGL131142 BGL196601:BGL196678 BGL262137:BGL262214 BGL327673:BGL327750 BGL393209:BGL393286 BGL458745:BGL458822 BGL524281:BGL524358 BGL589817:BGL589894 BGL655353:BGL655430 BGL720889:BGL720966 BGL786425:BGL786502 BGL851961:BGL852038 BGL917497:BGL917574 BGL983033:BGL983110 BQH2:BQH70 BQH65529:BQH65606 BQH131065:BQH131142 BQH196601:BQH196678 BQH262137:BQH262214 BQH327673:BQH327750 BQH393209:BQH393286 BQH458745:BQH458822 BQH524281:BQH524358 BQH589817:BQH589894 BQH655353:BQH655430 BQH720889:BQH720966 BQH786425:BQH786502 BQH851961:BQH852038 BQH917497:BQH917574 BQH983033:BQH983110 CAD2:CAD70 CAD65529:CAD65606 CAD131065:CAD131142 CAD196601:CAD196678 CAD262137:CAD262214 CAD327673:CAD327750 CAD393209:CAD393286 CAD458745:CAD458822 CAD524281:CAD524358 CAD589817:CAD589894 CAD655353:CAD655430 CAD720889:CAD720966 CAD786425:CAD786502 CAD851961:CAD852038 CAD917497:CAD917574 CAD983033:CAD983110 CJZ2:CJZ70 CJZ65529:CJZ65606 CJZ131065:CJZ131142 CJZ196601:CJZ196678 CJZ262137:CJZ262214 CJZ327673:CJZ327750 CJZ393209:CJZ393286 CJZ458745:CJZ458822 CJZ524281:CJZ524358 CJZ589817:CJZ589894 CJZ655353:CJZ655430 CJZ720889:CJZ720966 CJZ786425:CJZ786502 CJZ851961:CJZ852038 CJZ917497:CJZ917574 CJZ983033:CJZ983110 CTV2:CTV70 CTV65529:CTV65606 CTV131065:CTV131142 CTV196601:CTV196678 CTV262137:CTV262214 CTV327673:CTV327750 CTV393209:CTV393286 CTV458745:CTV458822 CTV524281:CTV524358 CTV589817:CTV589894 CTV655353:CTV655430 CTV720889:CTV720966 CTV786425:CTV786502 CTV851961:CTV852038 CTV917497:CTV917574 CTV983033:CTV983110 DDR2:DDR70 DDR65529:DDR65606 DDR131065:DDR131142 DDR196601:DDR196678 DDR262137:DDR262214 DDR327673:DDR327750 DDR393209:DDR393286 DDR458745:DDR458822 DDR524281:DDR524358 DDR589817:DDR589894 DDR655353:DDR655430 DDR720889:DDR720966 DDR786425:DDR786502 DDR851961:DDR852038 DDR917497:DDR917574 DDR983033:DDR983110 DNN2:DNN70 DNN65529:DNN65606 DNN131065:DNN131142 DNN196601:DNN196678 DNN262137:DNN262214 DNN327673:DNN327750 DNN393209:DNN393286 DNN458745:DNN458822 DNN524281:DNN524358 DNN589817:DNN589894 DNN655353:DNN655430 DNN720889:DNN720966 DNN786425:DNN786502 DNN851961:DNN852038 DNN917497:DNN917574 DNN983033:DNN983110 DXJ2:DXJ70 DXJ65529:DXJ65606 DXJ131065:DXJ131142 DXJ196601:DXJ196678 DXJ262137:DXJ262214 DXJ327673:DXJ327750 DXJ393209:DXJ393286 DXJ458745:DXJ458822 DXJ524281:DXJ524358 DXJ589817:DXJ589894 DXJ655353:DXJ655430 DXJ720889:DXJ720966 DXJ786425:DXJ786502 DXJ851961:DXJ852038 DXJ917497:DXJ917574 DXJ983033:DXJ983110 EHF2:EHF70 EHF65529:EHF65606 EHF131065:EHF131142 EHF196601:EHF196678 EHF262137:EHF262214 EHF327673:EHF327750 EHF393209:EHF393286 EHF458745:EHF458822 EHF524281:EHF524358 EHF589817:EHF589894 EHF655353:EHF655430 EHF720889:EHF720966 EHF786425:EHF786502 EHF851961:EHF852038 EHF917497:EHF917574 EHF983033:EHF983110 ERB2:ERB70 ERB65529:ERB65606 ERB131065:ERB131142 ERB196601:ERB196678 ERB262137:ERB262214 ERB327673:ERB327750 ERB393209:ERB393286 ERB458745:ERB458822 ERB524281:ERB524358 ERB589817:ERB589894 ERB655353:ERB655430 ERB720889:ERB720966 ERB786425:ERB786502 ERB851961:ERB852038 ERB917497:ERB917574 ERB983033:ERB983110 FAX2:FAX70 FAX65529:FAX65606 FAX131065:FAX131142 FAX196601:FAX196678 FAX262137:FAX262214 FAX327673:FAX327750 FAX393209:FAX393286 FAX458745:FAX458822 FAX524281:FAX524358 FAX589817:FAX589894 FAX655353:FAX655430 FAX720889:FAX720966 FAX786425:FAX786502 FAX851961:FAX852038 FAX917497:FAX917574 FAX983033:FAX983110 FKT2:FKT70 FKT65529:FKT65606 FKT131065:FKT131142 FKT196601:FKT196678 FKT262137:FKT262214 FKT327673:FKT327750 FKT393209:FKT393286 FKT458745:FKT458822 FKT524281:FKT524358 FKT589817:FKT589894 FKT655353:FKT655430 FKT720889:FKT720966 FKT786425:FKT786502 FKT851961:FKT852038 FKT917497:FKT917574 FKT983033:FKT983110 FUP2:FUP70 FUP65529:FUP65606 FUP131065:FUP131142 FUP196601:FUP196678 FUP262137:FUP262214 FUP327673:FUP327750 FUP393209:FUP393286 FUP458745:FUP458822 FUP524281:FUP524358 FUP589817:FUP589894 FUP655353:FUP655430 FUP720889:FUP720966 FUP786425:FUP786502 FUP851961:FUP852038 FUP917497:FUP917574 FUP983033:FUP983110 GEL2:GEL70 GEL65529:GEL65606 GEL131065:GEL131142 GEL196601:GEL196678 GEL262137:GEL262214 GEL327673:GEL327750 GEL393209:GEL393286 GEL458745:GEL458822 GEL524281:GEL524358 GEL589817:GEL589894 GEL655353:GEL655430 GEL720889:GEL720966 GEL786425:GEL786502 GEL851961:GEL852038 GEL917497:GEL917574 GEL983033:GEL983110 GOH2:GOH70 GOH65529:GOH65606 GOH131065:GOH131142 GOH196601:GOH196678 GOH262137:GOH262214 GOH327673:GOH327750 GOH393209:GOH393286 GOH458745:GOH458822 GOH524281:GOH524358 GOH589817:GOH589894 GOH655353:GOH655430 GOH720889:GOH720966 GOH786425:GOH786502 GOH851961:GOH852038 GOH917497:GOH917574 GOH983033:GOH983110 GYD2:GYD70 GYD65529:GYD65606 GYD131065:GYD131142 GYD196601:GYD196678 GYD262137:GYD262214 GYD327673:GYD327750 GYD393209:GYD393286 GYD458745:GYD458822 GYD524281:GYD524358 GYD589817:GYD589894 GYD655353:GYD655430 GYD720889:GYD720966 GYD786425:GYD786502 GYD851961:GYD852038 GYD917497:GYD917574 GYD983033:GYD983110 HHZ2:HHZ70 HHZ65529:HHZ65606 HHZ131065:HHZ131142 HHZ196601:HHZ196678 HHZ262137:HHZ262214 HHZ327673:HHZ327750 HHZ393209:HHZ393286 HHZ458745:HHZ458822 HHZ524281:HHZ524358 HHZ589817:HHZ589894 HHZ655353:HHZ655430 HHZ720889:HHZ720966 HHZ786425:HHZ786502 HHZ851961:HHZ852038 HHZ917497:HHZ917574 HHZ983033:HHZ983110 HRV2:HRV70 HRV65529:HRV65606 HRV131065:HRV131142 HRV196601:HRV196678 HRV262137:HRV262214 HRV327673:HRV327750 HRV393209:HRV393286 HRV458745:HRV458822 HRV524281:HRV524358 HRV589817:HRV589894 HRV655353:HRV655430 HRV720889:HRV720966 HRV786425:HRV786502 HRV851961:HRV852038 HRV917497:HRV917574 HRV983033:HRV983110 IBR2:IBR70 IBR65529:IBR65606 IBR131065:IBR131142 IBR196601:IBR196678 IBR262137:IBR262214 IBR327673:IBR327750 IBR393209:IBR393286 IBR458745:IBR458822 IBR524281:IBR524358 IBR589817:IBR589894 IBR655353:IBR655430 IBR720889:IBR720966 IBR786425:IBR786502 IBR851961:IBR852038 IBR917497:IBR917574 IBR983033:IBR983110 ILN2:ILN70 ILN65529:ILN65606 ILN131065:ILN131142 ILN196601:ILN196678 ILN262137:ILN262214 ILN327673:ILN327750 ILN393209:ILN393286 ILN458745:ILN458822 ILN524281:ILN524358 ILN589817:ILN589894 ILN655353:ILN655430 ILN720889:ILN720966 ILN786425:ILN786502 ILN851961:ILN852038 ILN917497:ILN917574 ILN983033:ILN983110 IVJ2:IVJ70 IVJ65529:IVJ65606 IVJ131065:IVJ131142 IVJ196601:IVJ196678 IVJ262137:IVJ262214 IVJ327673:IVJ327750 IVJ393209:IVJ393286 IVJ458745:IVJ458822 IVJ524281:IVJ524358 IVJ589817:IVJ589894 IVJ655353:IVJ655430 IVJ720889:IVJ720966 IVJ786425:IVJ786502 IVJ851961:IVJ852038 IVJ917497:IVJ917574 IVJ983033:IVJ983110 JFF2:JFF70 JFF65529:JFF65606 JFF131065:JFF131142 JFF196601:JFF196678 JFF262137:JFF262214 JFF327673:JFF327750 JFF393209:JFF393286 JFF458745:JFF458822 JFF524281:JFF524358 JFF589817:JFF589894 JFF655353:JFF655430 JFF720889:JFF720966 JFF786425:JFF786502 JFF851961:JFF852038 JFF917497:JFF917574 JFF983033:JFF983110 JPB2:JPB70 JPB65529:JPB65606 JPB131065:JPB131142 JPB196601:JPB196678 JPB262137:JPB262214 JPB327673:JPB327750 JPB393209:JPB393286 JPB458745:JPB458822 JPB524281:JPB524358 JPB589817:JPB589894 JPB655353:JPB655430 JPB720889:JPB720966 JPB786425:JPB786502 JPB851961:JPB852038 JPB917497:JPB917574 JPB983033:JPB983110 JYX2:JYX70 JYX65529:JYX65606 JYX131065:JYX131142 JYX196601:JYX196678 JYX262137:JYX262214 JYX327673:JYX327750 JYX393209:JYX393286 JYX458745:JYX458822 JYX524281:JYX524358 JYX589817:JYX589894 JYX655353:JYX655430 JYX720889:JYX720966 JYX786425:JYX786502 JYX851961:JYX852038 JYX917497:JYX917574 JYX983033:JYX983110 KIT2:KIT70 KIT65529:KIT65606 KIT131065:KIT131142 KIT196601:KIT196678 KIT262137:KIT262214 KIT327673:KIT327750 KIT393209:KIT393286 KIT458745:KIT458822 KIT524281:KIT524358 KIT589817:KIT589894 KIT655353:KIT655430 KIT720889:KIT720966 KIT786425:KIT786502 KIT851961:KIT852038 KIT917497:KIT917574 KIT983033:KIT983110 KSP2:KSP70 KSP65529:KSP65606 KSP131065:KSP131142 KSP196601:KSP196678 KSP262137:KSP262214 KSP327673:KSP327750 KSP393209:KSP393286 KSP458745:KSP458822 KSP524281:KSP524358 KSP589817:KSP589894 KSP655353:KSP655430 KSP720889:KSP720966 KSP786425:KSP786502 KSP851961:KSP852038 KSP917497:KSP917574 KSP983033:KSP983110 LCL2:LCL70 LCL65529:LCL65606 LCL131065:LCL131142 LCL196601:LCL196678 LCL262137:LCL262214 LCL327673:LCL327750 LCL393209:LCL393286 LCL458745:LCL458822 LCL524281:LCL524358 LCL589817:LCL589894 LCL655353:LCL655430 LCL720889:LCL720966 LCL786425:LCL786502 LCL851961:LCL852038 LCL917497:LCL917574 LCL983033:LCL983110 LMH2:LMH70 LMH65529:LMH65606 LMH131065:LMH131142 LMH196601:LMH196678 LMH262137:LMH262214 LMH327673:LMH327750 LMH393209:LMH393286 LMH458745:LMH458822 LMH524281:LMH524358 LMH589817:LMH589894 LMH655353:LMH655430 LMH720889:LMH720966 LMH786425:LMH786502 LMH851961:LMH852038 LMH917497:LMH917574 LMH983033:LMH983110 LWD2:LWD70 LWD65529:LWD65606 LWD131065:LWD131142 LWD196601:LWD196678 LWD262137:LWD262214 LWD327673:LWD327750 LWD393209:LWD393286 LWD458745:LWD458822 LWD524281:LWD524358 LWD589817:LWD589894 LWD655353:LWD655430 LWD720889:LWD720966 LWD786425:LWD786502 LWD851961:LWD852038 LWD917497:LWD917574 LWD983033:LWD983110 MFZ2:MFZ70 MFZ65529:MFZ65606 MFZ131065:MFZ131142 MFZ196601:MFZ196678 MFZ262137:MFZ262214 MFZ327673:MFZ327750 MFZ393209:MFZ393286 MFZ458745:MFZ458822 MFZ524281:MFZ524358 MFZ589817:MFZ589894 MFZ655353:MFZ655430 MFZ720889:MFZ720966 MFZ786425:MFZ786502 MFZ851961:MFZ852038 MFZ917497:MFZ917574 MFZ983033:MFZ983110 MPV2:MPV70 MPV65529:MPV65606 MPV131065:MPV131142 MPV196601:MPV196678 MPV262137:MPV262214 MPV327673:MPV327750 MPV393209:MPV393286 MPV458745:MPV458822 MPV524281:MPV524358 MPV589817:MPV589894 MPV655353:MPV655430 MPV720889:MPV720966 MPV786425:MPV786502 MPV851961:MPV852038 MPV917497:MPV917574 MPV983033:MPV983110 MZR2:MZR70 MZR65529:MZR65606 MZR131065:MZR131142 MZR196601:MZR196678 MZR262137:MZR262214 MZR327673:MZR327750 MZR393209:MZR393286 MZR458745:MZR458822 MZR524281:MZR524358 MZR589817:MZR589894 MZR655353:MZR655430 MZR720889:MZR720966 MZR786425:MZR786502 MZR851961:MZR852038 MZR917497:MZR917574 MZR983033:MZR983110 NJN2:NJN70 NJN65529:NJN65606 NJN131065:NJN131142 NJN196601:NJN196678 NJN262137:NJN262214 NJN327673:NJN327750 NJN393209:NJN393286 NJN458745:NJN458822 NJN524281:NJN524358 NJN589817:NJN589894 NJN655353:NJN655430 NJN720889:NJN720966 NJN786425:NJN786502 NJN851961:NJN852038 NJN917497:NJN917574 NJN983033:NJN983110 NTJ2:NTJ70 NTJ65529:NTJ65606 NTJ131065:NTJ131142 NTJ196601:NTJ196678 NTJ262137:NTJ262214 NTJ327673:NTJ327750 NTJ393209:NTJ393286 NTJ458745:NTJ458822 NTJ524281:NTJ524358 NTJ589817:NTJ589894 NTJ655353:NTJ655430 NTJ720889:NTJ720966 NTJ786425:NTJ786502 NTJ851961:NTJ852038 NTJ917497:NTJ917574 NTJ983033:NTJ983110 ODF2:ODF70 ODF65529:ODF65606 ODF131065:ODF131142 ODF196601:ODF196678 ODF262137:ODF262214 ODF327673:ODF327750 ODF393209:ODF393286 ODF458745:ODF458822 ODF524281:ODF524358 ODF589817:ODF589894 ODF655353:ODF655430 ODF720889:ODF720966 ODF786425:ODF786502 ODF851961:ODF852038 ODF917497:ODF917574 ODF983033:ODF983110 ONB2:ONB70 ONB65529:ONB65606 ONB131065:ONB131142 ONB196601:ONB196678 ONB262137:ONB262214 ONB327673:ONB327750 ONB393209:ONB393286 ONB458745:ONB458822 ONB524281:ONB524358 ONB589817:ONB589894 ONB655353:ONB655430 ONB720889:ONB720966 ONB786425:ONB786502 ONB851961:ONB852038 ONB917497:ONB917574 ONB983033:ONB983110 OWX2:OWX70 OWX65529:OWX65606 OWX131065:OWX131142 OWX196601:OWX196678 OWX262137:OWX262214 OWX327673:OWX327750 OWX393209:OWX393286 OWX458745:OWX458822 OWX524281:OWX524358 OWX589817:OWX589894 OWX655353:OWX655430 OWX720889:OWX720966 OWX786425:OWX786502 OWX851961:OWX852038 OWX917497:OWX917574 OWX983033:OWX983110 PGT2:PGT70 PGT65529:PGT65606 PGT131065:PGT131142 PGT196601:PGT196678 PGT262137:PGT262214 PGT327673:PGT327750 PGT393209:PGT393286 PGT458745:PGT458822 PGT524281:PGT524358 PGT589817:PGT589894 PGT655353:PGT655430 PGT720889:PGT720966 PGT786425:PGT786502 PGT851961:PGT852038 PGT917497:PGT917574 PGT983033:PGT983110 PQP2:PQP70 PQP65529:PQP65606 PQP131065:PQP131142 PQP196601:PQP196678 PQP262137:PQP262214 PQP327673:PQP327750 PQP393209:PQP393286 PQP458745:PQP458822 PQP524281:PQP524358 PQP589817:PQP589894 PQP655353:PQP655430 PQP720889:PQP720966 PQP786425:PQP786502 PQP851961:PQP852038 PQP917497:PQP917574 PQP983033:PQP983110 QAL2:QAL70 QAL65529:QAL65606 QAL131065:QAL131142 QAL196601:QAL196678 QAL262137:QAL262214 QAL327673:QAL327750 QAL393209:QAL393286 QAL458745:QAL458822 QAL524281:QAL524358 QAL589817:QAL589894 QAL655353:QAL655430 QAL720889:QAL720966 QAL786425:QAL786502 QAL851961:QAL852038 QAL917497:QAL917574 QAL983033:QAL983110 QKH2:QKH70 QKH65529:QKH65606 QKH131065:QKH131142 QKH196601:QKH196678 QKH262137:QKH262214 QKH327673:QKH327750 QKH393209:QKH393286 QKH458745:QKH458822 QKH524281:QKH524358 QKH589817:QKH589894 QKH655353:QKH655430 QKH720889:QKH720966 QKH786425:QKH786502 QKH851961:QKH852038 QKH917497:QKH917574 QKH983033:QKH983110 QUD2:QUD70 QUD65529:QUD65606 QUD131065:QUD131142 QUD196601:QUD196678 QUD262137:QUD262214 QUD327673:QUD327750 QUD393209:QUD393286 QUD458745:QUD458822 QUD524281:QUD524358 QUD589817:QUD589894 QUD655353:QUD655430 QUD720889:QUD720966 QUD786425:QUD786502 QUD851961:QUD852038 QUD917497:QUD917574 QUD983033:QUD983110 RDZ2:RDZ70 RDZ65529:RDZ65606 RDZ131065:RDZ131142 RDZ196601:RDZ196678 RDZ262137:RDZ262214 RDZ327673:RDZ327750 RDZ393209:RDZ393286 RDZ458745:RDZ458822 RDZ524281:RDZ524358 RDZ589817:RDZ589894 RDZ655353:RDZ655430 RDZ720889:RDZ720966 RDZ786425:RDZ786502 RDZ851961:RDZ852038 RDZ917497:RDZ917574 RDZ983033:RDZ983110 RNV2:RNV70 RNV65529:RNV65606 RNV131065:RNV131142 RNV196601:RNV196678 RNV262137:RNV262214 RNV327673:RNV327750 RNV393209:RNV393286 RNV458745:RNV458822 RNV524281:RNV524358 RNV589817:RNV589894 RNV655353:RNV655430 RNV720889:RNV720966 RNV786425:RNV786502 RNV851961:RNV852038 RNV917497:RNV917574 RNV983033:RNV983110 RXR2:RXR70 RXR65529:RXR65606 RXR131065:RXR131142 RXR196601:RXR196678 RXR262137:RXR262214 RXR327673:RXR327750 RXR393209:RXR393286 RXR458745:RXR458822 RXR524281:RXR524358 RXR589817:RXR589894 RXR655353:RXR655430 RXR720889:RXR720966 RXR786425:RXR786502 RXR851961:RXR852038 RXR917497:RXR917574 RXR983033:RXR983110 SHN2:SHN70 SHN65529:SHN65606 SHN131065:SHN131142 SHN196601:SHN196678 SHN262137:SHN262214 SHN327673:SHN327750 SHN393209:SHN393286 SHN458745:SHN458822 SHN524281:SHN524358 SHN589817:SHN589894 SHN655353:SHN655430 SHN720889:SHN720966 SHN786425:SHN786502 SHN851961:SHN852038 SHN917497:SHN917574 SHN983033:SHN983110 SRJ2:SRJ70 SRJ65529:SRJ65606 SRJ131065:SRJ131142 SRJ196601:SRJ196678 SRJ262137:SRJ262214 SRJ327673:SRJ327750 SRJ393209:SRJ393286 SRJ458745:SRJ458822 SRJ524281:SRJ524358 SRJ589817:SRJ589894 SRJ655353:SRJ655430 SRJ720889:SRJ720966 SRJ786425:SRJ786502 SRJ851961:SRJ852038 SRJ917497:SRJ917574 SRJ983033:SRJ983110 TBF2:TBF70 TBF65529:TBF65606 TBF131065:TBF131142 TBF196601:TBF196678 TBF262137:TBF262214 TBF327673:TBF327750 TBF393209:TBF393286 TBF458745:TBF458822 TBF524281:TBF524358 TBF589817:TBF589894 TBF655353:TBF655430 TBF720889:TBF720966 TBF786425:TBF786502 TBF851961:TBF852038 TBF917497:TBF917574 TBF983033:TBF983110 TLB2:TLB70 TLB65529:TLB65606 TLB131065:TLB131142 TLB196601:TLB196678 TLB262137:TLB262214 TLB327673:TLB327750 TLB393209:TLB393286 TLB458745:TLB458822 TLB524281:TLB524358 TLB589817:TLB589894 TLB655353:TLB655430 TLB720889:TLB720966 TLB786425:TLB786502 TLB851961:TLB852038 TLB917497:TLB917574 TLB983033:TLB983110 TUX2:TUX70 TUX65529:TUX65606 TUX131065:TUX131142 TUX196601:TUX196678 TUX262137:TUX262214 TUX327673:TUX327750 TUX393209:TUX393286 TUX458745:TUX458822 TUX524281:TUX524358 TUX589817:TUX589894 TUX655353:TUX655430 TUX720889:TUX720966 TUX786425:TUX786502 TUX851961:TUX852038 TUX917497:TUX917574 TUX983033:TUX983110 UET2:UET70 UET65529:UET65606 UET131065:UET131142 UET196601:UET196678 UET262137:UET262214 UET327673:UET327750 UET393209:UET393286 UET458745:UET458822 UET524281:UET524358 UET589817:UET589894 UET655353:UET655430 UET720889:UET720966 UET786425:UET786502 UET851961:UET852038 UET917497:UET917574 UET983033:UET983110 UOP2:UOP70 UOP65529:UOP65606 UOP131065:UOP131142 UOP196601:UOP196678 UOP262137:UOP262214 UOP327673:UOP327750 UOP393209:UOP393286 UOP458745:UOP458822 UOP524281:UOP524358 UOP589817:UOP589894 UOP655353:UOP655430 UOP720889:UOP720966 UOP786425:UOP786502 UOP851961:UOP852038 UOP917497:UOP917574 UOP983033:UOP983110 UYL2:UYL70 UYL65529:UYL65606 UYL131065:UYL131142 UYL196601:UYL196678 UYL262137:UYL262214 UYL327673:UYL327750 UYL393209:UYL393286 UYL458745:UYL458822 UYL524281:UYL524358 UYL589817:UYL589894 UYL655353:UYL655430 UYL720889:UYL720966 UYL786425:UYL786502 UYL851961:UYL852038 UYL917497:UYL917574 UYL983033:UYL983110 VIH2:VIH70 VIH65529:VIH65606 VIH131065:VIH131142 VIH196601:VIH196678 VIH262137:VIH262214 VIH327673:VIH327750 VIH393209:VIH393286 VIH458745:VIH458822 VIH524281:VIH524358 VIH589817:VIH589894 VIH655353:VIH655430 VIH720889:VIH720966 VIH786425:VIH786502 VIH851961:VIH852038 VIH917497:VIH917574 VIH983033:VIH983110 VSD2:VSD70 VSD65529:VSD65606 VSD131065:VSD131142 VSD196601:VSD196678 VSD262137:VSD262214 VSD327673:VSD327750 VSD393209:VSD393286 VSD458745:VSD458822 VSD524281:VSD524358 VSD589817:VSD589894 VSD655353:VSD655430 VSD720889:VSD720966 VSD786425:VSD786502 VSD851961:VSD852038 VSD917497:VSD917574 VSD983033:VSD983110 WBZ2:WBZ70 WBZ65529:WBZ65606 WBZ131065:WBZ131142 WBZ196601:WBZ196678 WBZ262137:WBZ262214 WBZ327673:WBZ327750 WBZ393209:WBZ393286 WBZ458745:WBZ458822 WBZ524281:WBZ524358 WBZ589817:WBZ589894 WBZ655353:WBZ655430 WBZ720889:WBZ720966 WBZ786425:WBZ786502 WBZ851961:WBZ852038 WBZ917497:WBZ917574 WBZ983033:WBZ983110 WLV2:WLV70 WLV65529:WLV65606 WLV131065:WLV131142 WLV196601:WLV196678 WLV262137:WLV262214 WLV327673:WLV327750 WLV393209:WLV393286 WLV458745:WLV458822 WLV524281:WLV524358 WLV589817:WLV589894 WLV655353:WLV655430 WLV720889:WLV720966 WLV786425:WLV786502 WLV851961:WLV852038 WLV917497:WLV917574 WLV983033:WLV983110 WVR2:WVR70 WVR65529:WVR65606 WVR131065:WVR131142 WVR196601:WVR196678 WVR262137:WVR262214 WVR327673:WVR327750 WVR393209:WVR393286 WVR458745:WVR458822 WVR524281:WVR524358 WVR589817:WVR589894 WVR655353:WVR655430 WVR720889:WVR720966 WVR786425:WVR786502 WVR851961:WVR852038 WVR917497:WVR917574 WVR983033:WVR983110">
      <formula1>$AP$2:$AP$22</formula1>
    </dataValidation>
    <dataValidation type="list" allowBlank="1" showInputMessage="1" showErrorMessage="1" sqref="G2:G491 G65529:G65606 G131065:G131142 G196601:G196678 G262137:G262214 G327673:G327750 G393209:G393286 G458745:G458822 G524281:G524358 G589817:G589894 G655353:G655430 G720889:G720966 G786425:G786502 G851961:G852038 G917497:G917574 G983033:G983110 JC2:JC70 JC65529:JC65606 JC131065:JC131142 JC196601:JC196678 JC262137:JC262214 JC327673:JC327750 JC393209:JC393286 JC458745:JC458822 JC524281:JC524358 JC589817:JC589894 JC655353:JC655430 JC720889:JC720966 JC786425:JC786502 JC851961:JC852038 JC917497:JC917574 JC983033:JC983110 SY2:SY70 SY65529:SY65606 SY131065:SY131142 SY196601:SY196678 SY262137:SY262214 SY327673:SY327750 SY393209:SY393286 SY458745:SY458822 SY524281:SY524358 SY589817:SY589894 SY655353:SY655430 SY720889:SY720966 SY786425:SY786502 SY851961:SY852038 SY917497:SY917574 SY983033:SY983110 ACU2:ACU70 ACU65529:ACU65606 ACU131065:ACU131142 ACU196601:ACU196678 ACU262137:ACU262214 ACU327673:ACU327750 ACU393209:ACU393286 ACU458745:ACU458822 ACU524281:ACU524358 ACU589817:ACU589894 ACU655353:ACU655430 ACU720889:ACU720966 ACU786425:ACU786502 ACU851961:ACU852038 ACU917497:ACU917574 ACU983033:ACU983110 AMQ2:AMQ70 AMQ65529:AMQ65606 AMQ131065:AMQ131142 AMQ196601:AMQ196678 AMQ262137:AMQ262214 AMQ327673:AMQ327750 AMQ393209:AMQ393286 AMQ458745:AMQ458822 AMQ524281:AMQ524358 AMQ589817:AMQ589894 AMQ655353:AMQ655430 AMQ720889:AMQ720966 AMQ786425:AMQ786502 AMQ851961:AMQ852038 AMQ917497:AMQ917574 AMQ983033:AMQ983110 AWM2:AWM70 AWM65529:AWM65606 AWM131065:AWM131142 AWM196601:AWM196678 AWM262137:AWM262214 AWM327673:AWM327750 AWM393209:AWM393286 AWM458745:AWM458822 AWM524281:AWM524358 AWM589817:AWM589894 AWM655353:AWM655430 AWM720889:AWM720966 AWM786425:AWM786502 AWM851961:AWM852038 AWM917497:AWM917574 AWM983033:AWM983110 BGI2:BGI70 BGI65529:BGI65606 BGI131065:BGI131142 BGI196601:BGI196678 BGI262137:BGI262214 BGI327673:BGI327750 BGI393209:BGI393286 BGI458745:BGI458822 BGI524281:BGI524358 BGI589817:BGI589894 BGI655353:BGI655430 BGI720889:BGI720966 BGI786425:BGI786502 BGI851961:BGI852038 BGI917497:BGI917574 BGI983033:BGI983110 BQE2:BQE70 BQE65529:BQE65606 BQE131065:BQE131142 BQE196601:BQE196678 BQE262137:BQE262214 BQE327673:BQE327750 BQE393209:BQE393286 BQE458745:BQE458822 BQE524281:BQE524358 BQE589817:BQE589894 BQE655353:BQE655430 BQE720889:BQE720966 BQE786425:BQE786502 BQE851961:BQE852038 BQE917497:BQE917574 BQE983033:BQE983110 CAA2:CAA70 CAA65529:CAA65606 CAA131065:CAA131142 CAA196601:CAA196678 CAA262137:CAA262214 CAA327673:CAA327750 CAA393209:CAA393286 CAA458745:CAA458822 CAA524281:CAA524358 CAA589817:CAA589894 CAA655353:CAA655430 CAA720889:CAA720966 CAA786425:CAA786502 CAA851961:CAA852038 CAA917497:CAA917574 CAA983033:CAA983110 CJW2:CJW70 CJW65529:CJW65606 CJW131065:CJW131142 CJW196601:CJW196678 CJW262137:CJW262214 CJW327673:CJW327750 CJW393209:CJW393286 CJW458745:CJW458822 CJW524281:CJW524358 CJW589817:CJW589894 CJW655353:CJW655430 CJW720889:CJW720966 CJW786425:CJW786502 CJW851961:CJW852038 CJW917497:CJW917574 CJW983033:CJW983110 CTS2:CTS70 CTS65529:CTS65606 CTS131065:CTS131142 CTS196601:CTS196678 CTS262137:CTS262214 CTS327673:CTS327750 CTS393209:CTS393286 CTS458745:CTS458822 CTS524281:CTS524358 CTS589817:CTS589894 CTS655353:CTS655430 CTS720889:CTS720966 CTS786425:CTS786502 CTS851961:CTS852038 CTS917497:CTS917574 CTS983033:CTS983110 DDO2:DDO70 DDO65529:DDO65606 DDO131065:DDO131142 DDO196601:DDO196678 DDO262137:DDO262214 DDO327673:DDO327750 DDO393209:DDO393286 DDO458745:DDO458822 DDO524281:DDO524358 DDO589817:DDO589894 DDO655353:DDO655430 DDO720889:DDO720966 DDO786425:DDO786502 DDO851961:DDO852038 DDO917497:DDO917574 DDO983033:DDO983110 DNK2:DNK70 DNK65529:DNK65606 DNK131065:DNK131142 DNK196601:DNK196678 DNK262137:DNK262214 DNK327673:DNK327750 DNK393209:DNK393286 DNK458745:DNK458822 DNK524281:DNK524358 DNK589817:DNK589894 DNK655353:DNK655430 DNK720889:DNK720966 DNK786425:DNK786502 DNK851961:DNK852038 DNK917497:DNK917574 DNK983033:DNK983110 DXG2:DXG70 DXG65529:DXG65606 DXG131065:DXG131142 DXG196601:DXG196678 DXG262137:DXG262214 DXG327673:DXG327750 DXG393209:DXG393286 DXG458745:DXG458822 DXG524281:DXG524358 DXG589817:DXG589894 DXG655353:DXG655430 DXG720889:DXG720966 DXG786425:DXG786502 DXG851961:DXG852038 DXG917497:DXG917574 DXG983033:DXG983110 EHC2:EHC70 EHC65529:EHC65606 EHC131065:EHC131142 EHC196601:EHC196678 EHC262137:EHC262214 EHC327673:EHC327750 EHC393209:EHC393286 EHC458745:EHC458822 EHC524281:EHC524358 EHC589817:EHC589894 EHC655353:EHC655430 EHC720889:EHC720966 EHC786425:EHC786502 EHC851961:EHC852038 EHC917497:EHC917574 EHC983033:EHC983110 EQY2:EQY70 EQY65529:EQY65606 EQY131065:EQY131142 EQY196601:EQY196678 EQY262137:EQY262214 EQY327673:EQY327750 EQY393209:EQY393286 EQY458745:EQY458822 EQY524281:EQY524358 EQY589817:EQY589894 EQY655353:EQY655430 EQY720889:EQY720966 EQY786425:EQY786502 EQY851961:EQY852038 EQY917497:EQY917574 EQY983033:EQY983110 FAU2:FAU70 FAU65529:FAU65606 FAU131065:FAU131142 FAU196601:FAU196678 FAU262137:FAU262214 FAU327673:FAU327750 FAU393209:FAU393286 FAU458745:FAU458822 FAU524281:FAU524358 FAU589817:FAU589894 FAU655353:FAU655430 FAU720889:FAU720966 FAU786425:FAU786502 FAU851961:FAU852038 FAU917497:FAU917574 FAU983033:FAU983110 FKQ2:FKQ70 FKQ65529:FKQ65606 FKQ131065:FKQ131142 FKQ196601:FKQ196678 FKQ262137:FKQ262214 FKQ327673:FKQ327750 FKQ393209:FKQ393286 FKQ458745:FKQ458822 FKQ524281:FKQ524358 FKQ589817:FKQ589894 FKQ655353:FKQ655430 FKQ720889:FKQ720966 FKQ786425:FKQ786502 FKQ851961:FKQ852038 FKQ917497:FKQ917574 FKQ983033:FKQ983110 FUM2:FUM70 FUM65529:FUM65606 FUM131065:FUM131142 FUM196601:FUM196678 FUM262137:FUM262214 FUM327673:FUM327750 FUM393209:FUM393286 FUM458745:FUM458822 FUM524281:FUM524358 FUM589817:FUM589894 FUM655353:FUM655430 FUM720889:FUM720966 FUM786425:FUM786502 FUM851961:FUM852038 FUM917497:FUM917574 FUM983033:FUM983110 GEI2:GEI70 GEI65529:GEI65606 GEI131065:GEI131142 GEI196601:GEI196678 GEI262137:GEI262214 GEI327673:GEI327750 GEI393209:GEI393286 GEI458745:GEI458822 GEI524281:GEI524358 GEI589817:GEI589894 GEI655353:GEI655430 GEI720889:GEI720966 GEI786425:GEI786502 GEI851961:GEI852038 GEI917497:GEI917574 GEI983033:GEI983110 GOE2:GOE70 GOE65529:GOE65606 GOE131065:GOE131142 GOE196601:GOE196678 GOE262137:GOE262214 GOE327673:GOE327750 GOE393209:GOE393286 GOE458745:GOE458822 GOE524281:GOE524358 GOE589817:GOE589894 GOE655353:GOE655430 GOE720889:GOE720966 GOE786425:GOE786502 GOE851961:GOE852038 GOE917497:GOE917574 GOE983033:GOE983110 GYA2:GYA70 GYA65529:GYA65606 GYA131065:GYA131142 GYA196601:GYA196678 GYA262137:GYA262214 GYA327673:GYA327750 GYA393209:GYA393286 GYA458745:GYA458822 GYA524281:GYA524358 GYA589817:GYA589894 GYA655353:GYA655430 GYA720889:GYA720966 GYA786425:GYA786502 GYA851961:GYA852038 GYA917497:GYA917574 GYA983033:GYA983110 HHW2:HHW70 HHW65529:HHW65606 HHW131065:HHW131142 HHW196601:HHW196678 HHW262137:HHW262214 HHW327673:HHW327750 HHW393209:HHW393286 HHW458745:HHW458822 HHW524281:HHW524358 HHW589817:HHW589894 HHW655353:HHW655430 HHW720889:HHW720966 HHW786425:HHW786502 HHW851961:HHW852038 HHW917497:HHW917574 HHW983033:HHW983110 HRS2:HRS70 HRS65529:HRS65606 HRS131065:HRS131142 HRS196601:HRS196678 HRS262137:HRS262214 HRS327673:HRS327750 HRS393209:HRS393286 HRS458745:HRS458822 HRS524281:HRS524358 HRS589817:HRS589894 HRS655353:HRS655430 HRS720889:HRS720966 HRS786425:HRS786502 HRS851961:HRS852038 HRS917497:HRS917574 HRS983033:HRS983110 IBO2:IBO70 IBO65529:IBO65606 IBO131065:IBO131142 IBO196601:IBO196678 IBO262137:IBO262214 IBO327673:IBO327750 IBO393209:IBO393286 IBO458745:IBO458822 IBO524281:IBO524358 IBO589817:IBO589894 IBO655353:IBO655430 IBO720889:IBO720966 IBO786425:IBO786502 IBO851961:IBO852038 IBO917497:IBO917574 IBO983033:IBO983110 ILK2:ILK70 ILK65529:ILK65606 ILK131065:ILK131142 ILK196601:ILK196678 ILK262137:ILK262214 ILK327673:ILK327750 ILK393209:ILK393286 ILK458745:ILK458822 ILK524281:ILK524358 ILK589817:ILK589894 ILK655353:ILK655430 ILK720889:ILK720966 ILK786425:ILK786502 ILK851961:ILK852038 ILK917497:ILK917574 ILK983033:ILK983110 IVG2:IVG70 IVG65529:IVG65606 IVG131065:IVG131142 IVG196601:IVG196678 IVG262137:IVG262214 IVG327673:IVG327750 IVG393209:IVG393286 IVG458745:IVG458822 IVG524281:IVG524358 IVG589817:IVG589894 IVG655353:IVG655430 IVG720889:IVG720966 IVG786425:IVG786502 IVG851961:IVG852038 IVG917497:IVG917574 IVG983033:IVG983110 JFC2:JFC70 JFC65529:JFC65606 JFC131065:JFC131142 JFC196601:JFC196678 JFC262137:JFC262214 JFC327673:JFC327750 JFC393209:JFC393286 JFC458745:JFC458822 JFC524281:JFC524358 JFC589817:JFC589894 JFC655353:JFC655430 JFC720889:JFC720966 JFC786425:JFC786502 JFC851961:JFC852038 JFC917497:JFC917574 JFC983033:JFC983110 JOY2:JOY70 JOY65529:JOY65606 JOY131065:JOY131142 JOY196601:JOY196678 JOY262137:JOY262214 JOY327673:JOY327750 JOY393209:JOY393286 JOY458745:JOY458822 JOY524281:JOY524358 JOY589817:JOY589894 JOY655353:JOY655430 JOY720889:JOY720966 JOY786425:JOY786502 JOY851961:JOY852038 JOY917497:JOY917574 JOY983033:JOY983110 JYU2:JYU70 JYU65529:JYU65606 JYU131065:JYU131142 JYU196601:JYU196678 JYU262137:JYU262214 JYU327673:JYU327750 JYU393209:JYU393286 JYU458745:JYU458822 JYU524281:JYU524358 JYU589817:JYU589894 JYU655353:JYU655430 JYU720889:JYU720966 JYU786425:JYU786502 JYU851961:JYU852038 JYU917497:JYU917574 JYU983033:JYU983110 KIQ2:KIQ70 KIQ65529:KIQ65606 KIQ131065:KIQ131142 KIQ196601:KIQ196678 KIQ262137:KIQ262214 KIQ327673:KIQ327750 KIQ393209:KIQ393286 KIQ458745:KIQ458822 KIQ524281:KIQ524358 KIQ589817:KIQ589894 KIQ655353:KIQ655430 KIQ720889:KIQ720966 KIQ786425:KIQ786502 KIQ851961:KIQ852038 KIQ917497:KIQ917574 KIQ983033:KIQ983110 KSM2:KSM70 KSM65529:KSM65606 KSM131065:KSM131142 KSM196601:KSM196678 KSM262137:KSM262214 KSM327673:KSM327750 KSM393209:KSM393286 KSM458745:KSM458822 KSM524281:KSM524358 KSM589817:KSM589894 KSM655353:KSM655430 KSM720889:KSM720966 KSM786425:KSM786502 KSM851961:KSM852038 KSM917497:KSM917574 KSM983033:KSM983110 LCI2:LCI70 LCI65529:LCI65606 LCI131065:LCI131142 LCI196601:LCI196678 LCI262137:LCI262214 LCI327673:LCI327750 LCI393209:LCI393286 LCI458745:LCI458822 LCI524281:LCI524358 LCI589817:LCI589894 LCI655353:LCI655430 LCI720889:LCI720966 LCI786425:LCI786502 LCI851961:LCI852038 LCI917497:LCI917574 LCI983033:LCI983110 LME2:LME70 LME65529:LME65606 LME131065:LME131142 LME196601:LME196678 LME262137:LME262214 LME327673:LME327750 LME393209:LME393286 LME458745:LME458822 LME524281:LME524358 LME589817:LME589894 LME655353:LME655430 LME720889:LME720966 LME786425:LME786502 LME851961:LME852038 LME917497:LME917574 LME983033:LME983110 LWA2:LWA70 LWA65529:LWA65606 LWA131065:LWA131142 LWA196601:LWA196678 LWA262137:LWA262214 LWA327673:LWA327750 LWA393209:LWA393286 LWA458745:LWA458822 LWA524281:LWA524358 LWA589817:LWA589894 LWA655353:LWA655430 LWA720889:LWA720966 LWA786425:LWA786502 LWA851961:LWA852038 LWA917497:LWA917574 LWA983033:LWA983110 MFW2:MFW70 MFW65529:MFW65606 MFW131065:MFW131142 MFW196601:MFW196678 MFW262137:MFW262214 MFW327673:MFW327750 MFW393209:MFW393286 MFW458745:MFW458822 MFW524281:MFW524358 MFW589817:MFW589894 MFW655353:MFW655430 MFW720889:MFW720966 MFW786425:MFW786502 MFW851961:MFW852038 MFW917497:MFW917574 MFW983033:MFW983110 MPS2:MPS70 MPS65529:MPS65606 MPS131065:MPS131142 MPS196601:MPS196678 MPS262137:MPS262214 MPS327673:MPS327750 MPS393209:MPS393286 MPS458745:MPS458822 MPS524281:MPS524358 MPS589817:MPS589894 MPS655353:MPS655430 MPS720889:MPS720966 MPS786425:MPS786502 MPS851961:MPS852038 MPS917497:MPS917574 MPS983033:MPS983110 MZO2:MZO70 MZO65529:MZO65606 MZO131065:MZO131142 MZO196601:MZO196678 MZO262137:MZO262214 MZO327673:MZO327750 MZO393209:MZO393286 MZO458745:MZO458822 MZO524281:MZO524358 MZO589817:MZO589894 MZO655353:MZO655430 MZO720889:MZO720966 MZO786425:MZO786502 MZO851961:MZO852038 MZO917497:MZO917574 MZO983033:MZO983110 NJK2:NJK70 NJK65529:NJK65606 NJK131065:NJK131142 NJK196601:NJK196678 NJK262137:NJK262214 NJK327673:NJK327750 NJK393209:NJK393286 NJK458745:NJK458822 NJK524281:NJK524358 NJK589817:NJK589894 NJK655353:NJK655430 NJK720889:NJK720966 NJK786425:NJK786502 NJK851961:NJK852038 NJK917497:NJK917574 NJK983033:NJK983110 NTG2:NTG70 NTG65529:NTG65606 NTG131065:NTG131142 NTG196601:NTG196678 NTG262137:NTG262214 NTG327673:NTG327750 NTG393209:NTG393286 NTG458745:NTG458822 NTG524281:NTG524358 NTG589817:NTG589894 NTG655353:NTG655430 NTG720889:NTG720966 NTG786425:NTG786502 NTG851961:NTG852038 NTG917497:NTG917574 NTG983033:NTG983110 ODC2:ODC70 ODC65529:ODC65606 ODC131065:ODC131142 ODC196601:ODC196678 ODC262137:ODC262214 ODC327673:ODC327750 ODC393209:ODC393286 ODC458745:ODC458822 ODC524281:ODC524358 ODC589817:ODC589894 ODC655353:ODC655430 ODC720889:ODC720966 ODC786425:ODC786502 ODC851961:ODC852038 ODC917497:ODC917574 ODC983033:ODC983110 OMY2:OMY70 OMY65529:OMY65606 OMY131065:OMY131142 OMY196601:OMY196678 OMY262137:OMY262214 OMY327673:OMY327750 OMY393209:OMY393286 OMY458745:OMY458822 OMY524281:OMY524358 OMY589817:OMY589894 OMY655353:OMY655430 OMY720889:OMY720966 OMY786425:OMY786502 OMY851961:OMY852038 OMY917497:OMY917574 OMY983033:OMY983110 OWU2:OWU70 OWU65529:OWU65606 OWU131065:OWU131142 OWU196601:OWU196678 OWU262137:OWU262214 OWU327673:OWU327750 OWU393209:OWU393286 OWU458745:OWU458822 OWU524281:OWU524358 OWU589817:OWU589894 OWU655353:OWU655430 OWU720889:OWU720966 OWU786425:OWU786502 OWU851961:OWU852038 OWU917497:OWU917574 OWU983033:OWU983110 PGQ2:PGQ70 PGQ65529:PGQ65606 PGQ131065:PGQ131142 PGQ196601:PGQ196678 PGQ262137:PGQ262214 PGQ327673:PGQ327750 PGQ393209:PGQ393286 PGQ458745:PGQ458822 PGQ524281:PGQ524358 PGQ589817:PGQ589894 PGQ655353:PGQ655430 PGQ720889:PGQ720966 PGQ786425:PGQ786502 PGQ851961:PGQ852038 PGQ917497:PGQ917574 PGQ983033:PGQ983110 PQM2:PQM70 PQM65529:PQM65606 PQM131065:PQM131142 PQM196601:PQM196678 PQM262137:PQM262214 PQM327673:PQM327750 PQM393209:PQM393286 PQM458745:PQM458822 PQM524281:PQM524358 PQM589817:PQM589894 PQM655353:PQM655430 PQM720889:PQM720966 PQM786425:PQM786502 PQM851961:PQM852038 PQM917497:PQM917574 PQM983033:PQM983110 QAI2:QAI70 QAI65529:QAI65606 QAI131065:QAI131142 QAI196601:QAI196678 QAI262137:QAI262214 QAI327673:QAI327750 QAI393209:QAI393286 QAI458745:QAI458822 QAI524281:QAI524358 QAI589817:QAI589894 QAI655353:QAI655430 QAI720889:QAI720966 QAI786425:QAI786502 QAI851961:QAI852038 QAI917497:QAI917574 QAI983033:QAI983110 QKE2:QKE70 QKE65529:QKE65606 QKE131065:QKE131142 QKE196601:QKE196678 QKE262137:QKE262214 QKE327673:QKE327750 QKE393209:QKE393286 QKE458745:QKE458822 QKE524281:QKE524358 QKE589817:QKE589894 QKE655353:QKE655430 QKE720889:QKE720966 QKE786425:QKE786502 QKE851961:QKE852038 QKE917497:QKE917574 QKE983033:QKE983110 QUA2:QUA70 QUA65529:QUA65606 QUA131065:QUA131142 QUA196601:QUA196678 QUA262137:QUA262214 QUA327673:QUA327750 QUA393209:QUA393286 QUA458745:QUA458822 QUA524281:QUA524358 QUA589817:QUA589894 QUA655353:QUA655430 QUA720889:QUA720966 QUA786425:QUA786502 QUA851961:QUA852038 QUA917497:QUA917574 QUA983033:QUA983110 RDW2:RDW70 RDW65529:RDW65606 RDW131065:RDW131142 RDW196601:RDW196678 RDW262137:RDW262214 RDW327673:RDW327750 RDW393209:RDW393286 RDW458745:RDW458822 RDW524281:RDW524358 RDW589817:RDW589894 RDW655353:RDW655430 RDW720889:RDW720966 RDW786425:RDW786502 RDW851961:RDW852038 RDW917497:RDW917574 RDW983033:RDW983110 RNS2:RNS70 RNS65529:RNS65606 RNS131065:RNS131142 RNS196601:RNS196678 RNS262137:RNS262214 RNS327673:RNS327750 RNS393209:RNS393286 RNS458745:RNS458822 RNS524281:RNS524358 RNS589817:RNS589894 RNS655353:RNS655430 RNS720889:RNS720966 RNS786425:RNS786502 RNS851961:RNS852038 RNS917497:RNS917574 RNS983033:RNS983110 RXO2:RXO70 RXO65529:RXO65606 RXO131065:RXO131142 RXO196601:RXO196678 RXO262137:RXO262214 RXO327673:RXO327750 RXO393209:RXO393286 RXO458745:RXO458822 RXO524281:RXO524358 RXO589817:RXO589894 RXO655353:RXO655430 RXO720889:RXO720966 RXO786425:RXO786502 RXO851961:RXO852038 RXO917497:RXO917574 RXO983033:RXO983110 SHK2:SHK70 SHK65529:SHK65606 SHK131065:SHK131142 SHK196601:SHK196678 SHK262137:SHK262214 SHK327673:SHK327750 SHK393209:SHK393286 SHK458745:SHK458822 SHK524281:SHK524358 SHK589817:SHK589894 SHK655353:SHK655430 SHK720889:SHK720966 SHK786425:SHK786502 SHK851961:SHK852038 SHK917497:SHK917574 SHK983033:SHK983110 SRG2:SRG70 SRG65529:SRG65606 SRG131065:SRG131142 SRG196601:SRG196678 SRG262137:SRG262214 SRG327673:SRG327750 SRG393209:SRG393286 SRG458745:SRG458822 SRG524281:SRG524358 SRG589817:SRG589894 SRG655353:SRG655430 SRG720889:SRG720966 SRG786425:SRG786502 SRG851961:SRG852038 SRG917497:SRG917574 SRG983033:SRG983110 TBC2:TBC70 TBC65529:TBC65606 TBC131065:TBC131142 TBC196601:TBC196678 TBC262137:TBC262214 TBC327673:TBC327750 TBC393209:TBC393286 TBC458745:TBC458822 TBC524281:TBC524358 TBC589817:TBC589894 TBC655353:TBC655430 TBC720889:TBC720966 TBC786425:TBC786502 TBC851961:TBC852038 TBC917497:TBC917574 TBC983033:TBC983110 TKY2:TKY70 TKY65529:TKY65606 TKY131065:TKY131142 TKY196601:TKY196678 TKY262137:TKY262214 TKY327673:TKY327750 TKY393209:TKY393286 TKY458745:TKY458822 TKY524281:TKY524358 TKY589817:TKY589894 TKY655353:TKY655430 TKY720889:TKY720966 TKY786425:TKY786502 TKY851961:TKY852038 TKY917497:TKY917574 TKY983033:TKY983110 TUU2:TUU70 TUU65529:TUU65606 TUU131065:TUU131142 TUU196601:TUU196678 TUU262137:TUU262214 TUU327673:TUU327750 TUU393209:TUU393286 TUU458745:TUU458822 TUU524281:TUU524358 TUU589817:TUU589894 TUU655353:TUU655430 TUU720889:TUU720966 TUU786425:TUU786502 TUU851961:TUU852038 TUU917497:TUU917574 TUU983033:TUU983110 UEQ2:UEQ70 UEQ65529:UEQ65606 UEQ131065:UEQ131142 UEQ196601:UEQ196678 UEQ262137:UEQ262214 UEQ327673:UEQ327750 UEQ393209:UEQ393286 UEQ458745:UEQ458822 UEQ524281:UEQ524358 UEQ589817:UEQ589894 UEQ655353:UEQ655430 UEQ720889:UEQ720966 UEQ786425:UEQ786502 UEQ851961:UEQ852038 UEQ917497:UEQ917574 UEQ983033:UEQ983110 UOM2:UOM70 UOM65529:UOM65606 UOM131065:UOM131142 UOM196601:UOM196678 UOM262137:UOM262214 UOM327673:UOM327750 UOM393209:UOM393286 UOM458745:UOM458822 UOM524281:UOM524358 UOM589817:UOM589894 UOM655353:UOM655430 UOM720889:UOM720966 UOM786425:UOM786502 UOM851961:UOM852038 UOM917497:UOM917574 UOM983033:UOM983110 UYI2:UYI70 UYI65529:UYI65606 UYI131065:UYI131142 UYI196601:UYI196678 UYI262137:UYI262214 UYI327673:UYI327750 UYI393209:UYI393286 UYI458745:UYI458822 UYI524281:UYI524358 UYI589817:UYI589894 UYI655353:UYI655430 UYI720889:UYI720966 UYI786425:UYI786502 UYI851961:UYI852038 UYI917497:UYI917574 UYI983033:UYI983110 VIE2:VIE70 VIE65529:VIE65606 VIE131065:VIE131142 VIE196601:VIE196678 VIE262137:VIE262214 VIE327673:VIE327750 VIE393209:VIE393286 VIE458745:VIE458822 VIE524281:VIE524358 VIE589817:VIE589894 VIE655353:VIE655430 VIE720889:VIE720966 VIE786425:VIE786502 VIE851961:VIE852038 VIE917497:VIE917574 VIE983033:VIE983110 VSA2:VSA70 VSA65529:VSA65606 VSA131065:VSA131142 VSA196601:VSA196678 VSA262137:VSA262214 VSA327673:VSA327750 VSA393209:VSA393286 VSA458745:VSA458822 VSA524281:VSA524358 VSA589817:VSA589894 VSA655353:VSA655430 VSA720889:VSA720966 VSA786425:VSA786502 VSA851961:VSA852038 VSA917497:VSA917574 VSA983033:VSA983110 WBW2:WBW70 WBW65529:WBW65606 WBW131065:WBW131142 WBW196601:WBW196678 WBW262137:WBW262214 WBW327673:WBW327750 WBW393209:WBW393286 WBW458745:WBW458822 WBW524281:WBW524358 WBW589817:WBW589894 WBW655353:WBW655430 WBW720889:WBW720966 WBW786425:WBW786502 WBW851961:WBW852038 WBW917497:WBW917574 WBW983033:WBW983110 WLS2:WLS70 WLS65529:WLS65606 WLS131065:WLS131142 WLS196601:WLS196678 WLS262137:WLS262214 WLS327673:WLS327750 WLS393209:WLS393286 WLS458745:WLS458822 WLS524281:WLS524358 WLS589817:WLS589894 WLS655353:WLS655430 WLS720889:WLS720966 WLS786425:WLS786502 WLS851961:WLS852038 WLS917497:WLS917574 WLS983033:WLS983110 WVO2:WVO70 WVO65529:WVO65606 WVO131065:WVO131142 WVO196601:WVO196678 WVO262137:WVO262214 WVO327673:WVO327750 WVO393209:WVO393286 WVO458745:WVO458822 WVO524281:WVO524358 WVO589817:WVO589894 WVO655353:WVO655430 WVO720889:WVO720966 WVO786425:WVO786502 WVO851961:WVO852038 WVO917497:WVO917574 WVO983033:WVO983110">
      <formula1>$AJ$2:$AJ$4</formula1>
    </dataValidation>
    <dataValidation type="list" allowBlank="1" showInputMessage="1" showErrorMessage="1" sqref="E2:E723 E65529:E65606 E131065:E131142 E196601:E196678 E262137:E262214 E327673:E327750 E393209:E393286 E458745:E458822 E524281:E524358 E589817:E589894 E655353:E655430 E720889:E720966 E786425:E786502 E851961:E852038 E917497:E917574 E983033:E983110 JA2:JA70 JA65529:JA65606 JA131065:JA131142 JA196601:JA196678 JA262137:JA262214 JA327673:JA327750 JA393209:JA393286 JA458745:JA458822 JA524281:JA524358 JA589817:JA589894 JA655353:JA655430 JA720889:JA720966 JA786425:JA786502 JA851961:JA852038 JA917497:JA917574 JA983033:JA983110 SW2:SW70 SW65529:SW65606 SW131065:SW131142 SW196601:SW196678 SW262137:SW262214 SW327673:SW327750 SW393209:SW393286 SW458745:SW458822 SW524281:SW524358 SW589817:SW589894 SW655353:SW655430 SW720889:SW720966 SW786425:SW786502 SW851961:SW852038 SW917497:SW917574 SW983033:SW983110 ACS2:ACS70 ACS65529:ACS65606 ACS131065:ACS131142 ACS196601:ACS196678 ACS262137:ACS262214 ACS327673:ACS327750 ACS393209:ACS393286 ACS458745:ACS458822 ACS524281:ACS524358 ACS589817:ACS589894 ACS655353:ACS655430 ACS720889:ACS720966 ACS786425:ACS786502 ACS851961:ACS852038 ACS917497:ACS917574 ACS983033:ACS983110 AMO2:AMO70 AMO65529:AMO65606 AMO131065:AMO131142 AMO196601:AMO196678 AMO262137:AMO262214 AMO327673:AMO327750 AMO393209:AMO393286 AMO458745:AMO458822 AMO524281:AMO524358 AMO589817:AMO589894 AMO655353:AMO655430 AMO720889:AMO720966 AMO786425:AMO786502 AMO851961:AMO852038 AMO917497:AMO917574 AMO983033:AMO983110 AWK2:AWK70 AWK65529:AWK65606 AWK131065:AWK131142 AWK196601:AWK196678 AWK262137:AWK262214 AWK327673:AWK327750 AWK393209:AWK393286 AWK458745:AWK458822 AWK524281:AWK524358 AWK589817:AWK589894 AWK655353:AWK655430 AWK720889:AWK720966 AWK786425:AWK786502 AWK851961:AWK852038 AWK917497:AWK917574 AWK983033:AWK983110 BGG2:BGG70 BGG65529:BGG65606 BGG131065:BGG131142 BGG196601:BGG196678 BGG262137:BGG262214 BGG327673:BGG327750 BGG393209:BGG393286 BGG458745:BGG458822 BGG524281:BGG524358 BGG589817:BGG589894 BGG655353:BGG655430 BGG720889:BGG720966 BGG786425:BGG786502 BGG851961:BGG852038 BGG917497:BGG917574 BGG983033:BGG983110 BQC2:BQC70 BQC65529:BQC65606 BQC131065:BQC131142 BQC196601:BQC196678 BQC262137:BQC262214 BQC327673:BQC327750 BQC393209:BQC393286 BQC458745:BQC458822 BQC524281:BQC524358 BQC589817:BQC589894 BQC655353:BQC655430 BQC720889:BQC720966 BQC786425:BQC786502 BQC851961:BQC852038 BQC917497:BQC917574 BQC983033:BQC983110 BZY2:BZY70 BZY65529:BZY65606 BZY131065:BZY131142 BZY196601:BZY196678 BZY262137:BZY262214 BZY327673:BZY327750 BZY393209:BZY393286 BZY458745:BZY458822 BZY524281:BZY524358 BZY589817:BZY589894 BZY655353:BZY655430 BZY720889:BZY720966 BZY786425:BZY786502 BZY851961:BZY852038 BZY917497:BZY917574 BZY983033:BZY983110 CJU2:CJU70 CJU65529:CJU65606 CJU131065:CJU131142 CJU196601:CJU196678 CJU262137:CJU262214 CJU327673:CJU327750 CJU393209:CJU393286 CJU458745:CJU458822 CJU524281:CJU524358 CJU589817:CJU589894 CJU655353:CJU655430 CJU720889:CJU720966 CJU786425:CJU786502 CJU851961:CJU852038 CJU917497:CJU917574 CJU983033:CJU983110 CTQ2:CTQ70 CTQ65529:CTQ65606 CTQ131065:CTQ131142 CTQ196601:CTQ196678 CTQ262137:CTQ262214 CTQ327673:CTQ327750 CTQ393209:CTQ393286 CTQ458745:CTQ458822 CTQ524281:CTQ524358 CTQ589817:CTQ589894 CTQ655353:CTQ655430 CTQ720889:CTQ720966 CTQ786425:CTQ786502 CTQ851961:CTQ852038 CTQ917497:CTQ917574 CTQ983033:CTQ983110 DDM2:DDM70 DDM65529:DDM65606 DDM131065:DDM131142 DDM196601:DDM196678 DDM262137:DDM262214 DDM327673:DDM327750 DDM393209:DDM393286 DDM458745:DDM458822 DDM524281:DDM524358 DDM589817:DDM589894 DDM655353:DDM655430 DDM720889:DDM720966 DDM786425:DDM786502 DDM851961:DDM852038 DDM917497:DDM917574 DDM983033:DDM983110 DNI2:DNI70 DNI65529:DNI65606 DNI131065:DNI131142 DNI196601:DNI196678 DNI262137:DNI262214 DNI327673:DNI327750 DNI393209:DNI393286 DNI458745:DNI458822 DNI524281:DNI524358 DNI589817:DNI589894 DNI655353:DNI655430 DNI720889:DNI720966 DNI786425:DNI786502 DNI851961:DNI852038 DNI917497:DNI917574 DNI983033:DNI983110 DXE2:DXE70 DXE65529:DXE65606 DXE131065:DXE131142 DXE196601:DXE196678 DXE262137:DXE262214 DXE327673:DXE327750 DXE393209:DXE393286 DXE458745:DXE458822 DXE524281:DXE524358 DXE589817:DXE589894 DXE655353:DXE655430 DXE720889:DXE720966 DXE786425:DXE786502 DXE851961:DXE852038 DXE917497:DXE917574 DXE983033:DXE983110 EHA2:EHA70 EHA65529:EHA65606 EHA131065:EHA131142 EHA196601:EHA196678 EHA262137:EHA262214 EHA327673:EHA327750 EHA393209:EHA393286 EHA458745:EHA458822 EHA524281:EHA524358 EHA589817:EHA589894 EHA655353:EHA655430 EHA720889:EHA720966 EHA786425:EHA786502 EHA851961:EHA852038 EHA917497:EHA917574 EHA983033:EHA983110 EQW2:EQW70 EQW65529:EQW65606 EQW131065:EQW131142 EQW196601:EQW196678 EQW262137:EQW262214 EQW327673:EQW327750 EQW393209:EQW393286 EQW458745:EQW458822 EQW524281:EQW524358 EQW589817:EQW589894 EQW655353:EQW655430 EQW720889:EQW720966 EQW786425:EQW786502 EQW851961:EQW852038 EQW917497:EQW917574 EQW983033:EQW983110 FAS2:FAS70 FAS65529:FAS65606 FAS131065:FAS131142 FAS196601:FAS196678 FAS262137:FAS262214 FAS327673:FAS327750 FAS393209:FAS393286 FAS458745:FAS458822 FAS524281:FAS524358 FAS589817:FAS589894 FAS655353:FAS655430 FAS720889:FAS720966 FAS786425:FAS786502 FAS851961:FAS852038 FAS917497:FAS917574 FAS983033:FAS983110 FKO2:FKO70 FKO65529:FKO65606 FKO131065:FKO131142 FKO196601:FKO196678 FKO262137:FKO262214 FKO327673:FKO327750 FKO393209:FKO393286 FKO458745:FKO458822 FKO524281:FKO524358 FKO589817:FKO589894 FKO655353:FKO655430 FKO720889:FKO720966 FKO786425:FKO786502 FKO851961:FKO852038 FKO917497:FKO917574 FKO983033:FKO983110 FUK2:FUK70 FUK65529:FUK65606 FUK131065:FUK131142 FUK196601:FUK196678 FUK262137:FUK262214 FUK327673:FUK327750 FUK393209:FUK393286 FUK458745:FUK458822 FUK524281:FUK524358 FUK589817:FUK589894 FUK655353:FUK655430 FUK720889:FUK720966 FUK786425:FUK786502 FUK851961:FUK852038 FUK917497:FUK917574 FUK983033:FUK983110 GEG2:GEG70 GEG65529:GEG65606 GEG131065:GEG131142 GEG196601:GEG196678 GEG262137:GEG262214 GEG327673:GEG327750 GEG393209:GEG393286 GEG458745:GEG458822 GEG524281:GEG524358 GEG589817:GEG589894 GEG655353:GEG655430 GEG720889:GEG720966 GEG786425:GEG786502 GEG851961:GEG852038 GEG917497:GEG917574 GEG983033:GEG983110 GOC2:GOC70 GOC65529:GOC65606 GOC131065:GOC131142 GOC196601:GOC196678 GOC262137:GOC262214 GOC327673:GOC327750 GOC393209:GOC393286 GOC458745:GOC458822 GOC524281:GOC524358 GOC589817:GOC589894 GOC655353:GOC655430 GOC720889:GOC720966 GOC786425:GOC786502 GOC851961:GOC852038 GOC917497:GOC917574 GOC983033:GOC983110 GXY2:GXY70 GXY65529:GXY65606 GXY131065:GXY131142 GXY196601:GXY196678 GXY262137:GXY262214 GXY327673:GXY327750 GXY393209:GXY393286 GXY458745:GXY458822 GXY524281:GXY524358 GXY589817:GXY589894 GXY655353:GXY655430 GXY720889:GXY720966 GXY786425:GXY786502 GXY851961:GXY852038 GXY917497:GXY917574 GXY983033:GXY983110 HHU2:HHU70 HHU65529:HHU65606 HHU131065:HHU131142 HHU196601:HHU196678 HHU262137:HHU262214 HHU327673:HHU327750 HHU393209:HHU393286 HHU458745:HHU458822 HHU524281:HHU524358 HHU589817:HHU589894 HHU655353:HHU655430 HHU720889:HHU720966 HHU786425:HHU786502 HHU851961:HHU852038 HHU917497:HHU917574 HHU983033:HHU983110 HRQ2:HRQ70 HRQ65529:HRQ65606 HRQ131065:HRQ131142 HRQ196601:HRQ196678 HRQ262137:HRQ262214 HRQ327673:HRQ327750 HRQ393209:HRQ393286 HRQ458745:HRQ458822 HRQ524281:HRQ524358 HRQ589817:HRQ589894 HRQ655353:HRQ655430 HRQ720889:HRQ720966 HRQ786425:HRQ786502 HRQ851961:HRQ852038 HRQ917497:HRQ917574 HRQ983033:HRQ983110 IBM2:IBM70 IBM65529:IBM65606 IBM131065:IBM131142 IBM196601:IBM196678 IBM262137:IBM262214 IBM327673:IBM327750 IBM393209:IBM393286 IBM458745:IBM458822 IBM524281:IBM524358 IBM589817:IBM589894 IBM655353:IBM655430 IBM720889:IBM720966 IBM786425:IBM786502 IBM851961:IBM852038 IBM917497:IBM917574 IBM983033:IBM983110 ILI2:ILI70 ILI65529:ILI65606 ILI131065:ILI131142 ILI196601:ILI196678 ILI262137:ILI262214 ILI327673:ILI327750 ILI393209:ILI393286 ILI458745:ILI458822 ILI524281:ILI524358 ILI589817:ILI589894 ILI655353:ILI655430 ILI720889:ILI720966 ILI786425:ILI786502 ILI851961:ILI852038 ILI917497:ILI917574 ILI983033:ILI983110 IVE2:IVE70 IVE65529:IVE65606 IVE131065:IVE131142 IVE196601:IVE196678 IVE262137:IVE262214 IVE327673:IVE327750 IVE393209:IVE393286 IVE458745:IVE458822 IVE524281:IVE524358 IVE589817:IVE589894 IVE655353:IVE655430 IVE720889:IVE720966 IVE786425:IVE786502 IVE851961:IVE852038 IVE917497:IVE917574 IVE983033:IVE983110 JFA2:JFA70 JFA65529:JFA65606 JFA131065:JFA131142 JFA196601:JFA196678 JFA262137:JFA262214 JFA327673:JFA327750 JFA393209:JFA393286 JFA458745:JFA458822 JFA524281:JFA524358 JFA589817:JFA589894 JFA655353:JFA655430 JFA720889:JFA720966 JFA786425:JFA786502 JFA851961:JFA852038 JFA917497:JFA917574 JFA983033:JFA983110 JOW2:JOW70 JOW65529:JOW65606 JOW131065:JOW131142 JOW196601:JOW196678 JOW262137:JOW262214 JOW327673:JOW327750 JOW393209:JOW393286 JOW458745:JOW458822 JOW524281:JOW524358 JOW589817:JOW589894 JOW655353:JOW655430 JOW720889:JOW720966 JOW786425:JOW786502 JOW851961:JOW852038 JOW917497:JOW917574 JOW983033:JOW983110 JYS2:JYS70 JYS65529:JYS65606 JYS131065:JYS131142 JYS196601:JYS196678 JYS262137:JYS262214 JYS327673:JYS327750 JYS393209:JYS393286 JYS458745:JYS458822 JYS524281:JYS524358 JYS589817:JYS589894 JYS655353:JYS655430 JYS720889:JYS720966 JYS786425:JYS786502 JYS851961:JYS852038 JYS917497:JYS917574 JYS983033:JYS983110 KIO2:KIO70 KIO65529:KIO65606 KIO131065:KIO131142 KIO196601:KIO196678 KIO262137:KIO262214 KIO327673:KIO327750 KIO393209:KIO393286 KIO458745:KIO458822 KIO524281:KIO524358 KIO589817:KIO589894 KIO655353:KIO655430 KIO720889:KIO720966 KIO786425:KIO786502 KIO851961:KIO852038 KIO917497:KIO917574 KIO983033:KIO983110 KSK2:KSK70 KSK65529:KSK65606 KSK131065:KSK131142 KSK196601:KSK196678 KSK262137:KSK262214 KSK327673:KSK327750 KSK393209:KSK393286 KSK458745:KSK458822 KSK524281:KSK524358 KSK589817:KSK589894 KSK655353:KSK655430 KSK720889:KSK720966 KSK786425:KSK786502 KSK851961:KSK852038 KSK917497:KSK917574 KSK983033:KSK983110 LCG2:LCG70 LCG65529:LCG65606 LCG131065:LCG131142 LCG196601:LCG196678 LCG262137:LCG262214 LCG327673:LCG327750 LCG393209:LCG393286 LCG458745:LCG458822 LCG524281:LCG524358 LCG589817:LCG589894 LCG655353:LCG655430 LCG720889:LCG720966 LCG786425:LCG786502 LCG851961:LCG852038 LCG917497:LCG917574 LCG983033:LCG983110 LMC2:LMC70 LMC65529:LMC65606 LMC131065:LMC131142 LMC196601:LMC196678 LMC262137:LMC262214 LMC327673:LMC327750 LMC393209:LMC393286 LMC458745:LMC458822 LMC524281:LMC524358 LMC589817:LMC589894 LMC655353:LMC655430 LMC720889:LMC720966 LMC786425:LMC786502 LMC851961:LMC852038 LMC917497:LMC917574 LMC983033:LMC983110 LVY2:LVY70 LVY65529:LVY65606 LVY131065:LVY131142 LVY196601:LVY196678 LVY262137:LVY262214 LVY327673:LVY327750 LVY393209:LVY393286 LVY458745:LVY458822 LVY524281:LVY524358 LVY589817:LVY589894 LVY655353:LVY655430 LVY720889:LVY720966 LVY786425:LVY786502 LVY851961:LVY852038 LVY917497:LVY917574 LVY983033:LVY983110 MFU2:MFU70 MFU65529:MFU65606 MFU131065:MFU131142 MFU196601:MFU196678 MFU262137:MFU262214 MFU327673:MFU327750 MFU393209:MFU393286 MFU458745:MFU458822 MFU524281:MFU524358 MFU589817:MFU589894 MFU655353:MFU655430 MFU720889:MFU720966 MFU786425:MFU786502 MFU851961:MFU852038 MFU917497:MFU917574 MFU983033:MFU983110 MPQ2:MPQ70 MPQ65529:MPQ65606 MPQ131065:MPQ131142 MPQ196601:MPQ196678 MPQ262137:MPQ262214 MPQ327673:MPQ327750 MPQ393209:MPQ393286 MPQ458745:MPQ458822 MPQ524281:MPQ524358 MPQ589817:MPQ589894 MPQ655353:MPQ655430 MPQ720889:MPQ720966 MPQ786425:MPQ786502 MPQ851961:MPQ852038 MPQ917497:MPQ917574 MPQ983033:MPQ983110 MZM2:MZM70 MZM65529:MZM65606 MZM131065:MZM131142 MZM196601:MZM196678 MZM262137:MZM262214 MZM327673:MZM327750 MZM393209:MZM393286 MZM458745:MZM458822 MZM524281:MZM524358 MZM589817:MZM589894 MZM655353:MZM655430 MZM720889:MZM720966 MZM786425:MZM786502 MZM851961:MZM852038 MZM917497:MZM917574 MZM983033:MZM983110 NJI2:NJI70 NJI65529:NJI65606 NJI131065:NJI131142 NJI196601:NJI196678 NJI262137:NJI262214 NJI327673:NJI327750 NJI393209:NJI393286 NJI458745:NJI458822 NJI524281:NJI524358 NJI589817:NJI589894 NJI655353:NJI655430 NJI720889:NJI720966 NJI786425:NJI786502 NJI851961:NJI852038 NJI917497:NJI917574 NJI983033:NJI983110 NTE2:NTE70 NTE65529:NTE65606 NTE131065:NTE131142 NTE196601:NTE196678 NTE262137:NTE262214 NTE327673:NTE327750 NTE393209:NTE393286 NTE458745:NTE458822 NTE524281:NTE524358 NTE589817:NTE589894 NTE655353:NTE655430 NTE720889:NTE720966 NTE786425:NTE786502 NTE851961:NTE852038 NTE917497:NTE917574 NTE983033:NTE983110 ODA2:ODA70 ODA65529:ODA65606 ODA131065:ODA131142 ODA196601:ODA196678 ODA262137:ODA262214 ODA327673:ODA327750 ODA393209:ODA393286 ODA458745:ODA458822 ODA524281:ODA524358 ODA589817:ODA589894 ODA655353:ODA655430 ODA720889:ODA720966 ODA786425:ODA786502 ODA851961:ODA852038 ODA917497:ODA917574 ODA983033:ODA983110 OMW2:OMW70 OMW65529:OMW65606 OMW131065:OMW131142 OMW196601:OMW196678 OMW262137:OMW262214 OMW327673:OMW327750 OMW393209:OMW393286 OMW458745:OMW458822 OMW524281:OMW524358 OMW589817:OMW589894 OMW655353:OMW655430 OMW720889:OMW720966 OMW786425:OMW786502 OMW851961:OMW852038 OMW917497:OMW917574 OMW983033:OMW983110 OWS2:OWS70 OWS65529:OWS65606 OWS131065:OWS131142 OWS196601:OWS196678 OWS262137:OWS262214 OWS327673:OWS327750 OWS393209:OWS393286 OWS458745:OWS458822 OWS524281:OWS524358 OWS589817:OWS589894 OWS655353:OWS655430 OWS720889:OWS720966 OWS786425:OWS786502 OWS851961:OWS852038 OWS917497:OWS917574 OWS983033:OWS983110 PGO2:PGO70 PGO65529:PGO65606 PGO131065:PGO131142 PGO196601:PGO196678 PGO262137:PGO262214 PGO327673:PGO327750 PGO393209:PGO393286 PGO458745:PGO458822 PGO524281:PGO524358 PGO589817:PGO589894 PGO655353:PGO655430 PGO720889:PGO720966 PGO786425:PGO786502 PGO851961:PGO852038 PGO917497:PGO917574 PGO983033:PGO983110 PQK2:PQK70 PQK65529:PQK65606 PQK131065:PQK131142 PQK196601:PQK196678 PQK262137:PQK262214 PQK327673:PQK327750 PQK393209:PQK393286 PQK458745:PQK458822 PQK524281:PQK524358 PQK589817:PQK589894 PQK655353:PQK655430 PQK720889:PQK720966 PQK786425:PQK786502 PQK851961:PQK852038 PQK917497:PQK917574 PQK983033:PQK983110 QAG2:QAG70 QAG65529:QAG65606 QAG131065:QAG131142 QAG196601:QAG196678 QAG262137:QAG262214 QAG327673:QAG327750 QAG393209:QAG393286 QAG458745:QAG458822 QAG524281:QAG524358 QAG589817:QAG589894 QAG655353:QAG655430 QAG720889:QAG720966 QAG786425:QAG786502 QAG851961:QAG852038 QAG917497:QAG917574 QAG983033:QAG983110 QKC2:QKC70 QKC65529:QKC65606 QKC131065:QKC131142 QKC196601:QKC196678 QKC262137:QKC262214 QKC327673:QKC327750 QKC393209:QKC393286 QKC458745:QKC458822 QKC524281:QKC524358 QKC589817:QKC589894 QKC655353:QKC655430 QKC720889:QKC720966 QKC786425:QKC786502 QKC851961:QKC852038 QKC917497:QKC917574 QKC983033:QKC983110 QTY2:QTY70 QTY65529:QTY65606 QTY131065:QTY131142 QTY196601:QTY196678 QTY262137:QTY262214 QTY327673:QTY327750 QTY393209:QTY393286 QTY458745:QTY458822 QTY524281:QTY524358 QTY589817:QTY589894 QTY655353:QTY655430 QTY720889:QTY720966 QTY786425:QTY786502 QTY851961:QTY852038 QTY917497:QTY917574 QTY983033:QTY983110 RDU2:RDU70 RDU65529:RDU65606 RDU131065:RDU131142 RDU196601:RDU196678 RDU262137:RDU262214 RDU327673:RDU327750 RDU393209:RDU393286 RDU458745:RDU458822 RDU524281:RDU524358 RDU589817:RDU589894 RDU655353:RDU655430 RDU720889:RDU720966 RDU786425:RDU786502 RDU851961:RDU852038 RDU917497:RDU917574 RDU983033:RDU983110 RNQ2:RNQ70 RNQ65529:RNQ65606 RNQ131065:RNQ131142 RNQ196601:RNQ196678 RNQ262137:RNQ262214 RNQ327673:RNQ327750 RNQ393209:RNQ393286 RNQ458745:RNQ458822 RNQ524281:RNQ524358 RNQ589817:RNQ589894 RNQ655353:RNQ655430 RNQ720889:RNQ720966 RNQ786425:RNQ786502 RNQ851961:RNQ852038 RNQ917497:RNQ917574 RNQ983033:RNQ983110 RXM2:RXM70 RXM65529:RXM65606 RXM131065:RXM131142 RXM196601:RXM196678 RXM262137:RXM262214 RXM327673:RXM327750 RXM393209:RXM393286 RXM458745:RXM458822 RXM524281:RXM524358 RXM589817:RXM589894 RXM655353:RXM655430 RXM720889:RXM720966 RXM786425:RXM786502 RXM851961:RXM852038 RXM917497:RXM917574 RXM983033:RXM983110 SHI2:SHI70 SHI65529:SHI65606 SHI131065:SHI131142 SHI196601:SHI196678 SHI262137:SHI262214 SHI327673:SHI327750 SHI393209:SHI393286 SHI458745:SHI458822 SHI524281:SHI524358 SHI589817:SHI589894 SHI655353:SHI655430 SHI720889:SHI720966 SHI786425:SHI786502 SHI851961:SHI852038 SHI917497:SHI917574 SHI983033:SHI983110 SRE2:SRE70 SRE65529:SRE65606 SRE131065:SRE131142 SRE196601:SRE196678 SRE262137:SRE262214 SRE327673:SRE327750 SRE393209:SRE393286 SRE458745:SRE458822 SRE524281:SRE524358 SRE589817:SRE589894 SRE655353:SRE655430 SRE720889:SRE720966 SRE786425:SRE786502 SRE851961:SRE852038 SRE917497:SRE917574 SRE983033:SRE983110 TBA2:TBA70 TBA65529:TBA65606 TBA131065:TBA131142 TBA196601:TBA196678 TBA262137:TBA262214 TBA327673:TBA327750 TBA393209:TBA393286 TBA458745:TBA458822 TBA524281:TBA524358 TBA589817:TBA589894 TBA655353:TBA655430 TBA720889:TBA720966 TBA786425:TBA786502 TBA851961:TBA852038 TBA917497:TBA917574 TBA983033:TBA983110 TKW2:TKW70 TKW65529:TKW65606 TKW131065:TKW131142 TKW196601:TKW196678 TKW262137:TKW262214 TKW327673:TKW327750 TKW393209:TKW393286 TKW458745:TKW458822 TKW524281:TKW524358 TKW589817:TKW589894 TKW655353:TKW655430 TKW720889:TKW720966 TKW786425:TKW786502 TKW851961:TKW852038 TKW917497:TKW917574 TKW983033:TKW983110 TUS2:TUS70 TUS65529:TUS65606 TUS131065:TUS131142 TUS196601:TUS196678 TUS262137:TUS262214 TUS327673:TUS327750 TUS393209:TUS393286 TUS458745:TUS458822 TUS524281:TUS524358 TUS589817:TUS589894 TUS655353:TUS655430 TUS720889:TUS720966 TUS786425:TUS786502 TUS851961:TUS852038 TUS917497:TUS917574 TUS983033:TUS983110 UEO2:UEO70 UEO65529:UEO65606 UEO131065:UEO131142 UEO196601:UEO196678 UEO262137:UEO262214 UEO327673:UEO327750 UEO393209:UEO393286 UEO458745:UEO458822 UEO524281:UEO524358 UEO589817:UEO589894 UEO655353:UEO655430 UEO720889:UEO720966 UEO786425:UEO786502 UEO851961:UEO852038 UEO917497:UEO917574 UEO983033:UEO983110 UOK2:UOK70 UOK65529:UOK65606 UOK131065:UOK131142 UOK196601:UOK196678 UOK262137:UOK262214 UOK327673:UOK327750 UOK393209:UOK393286 UOK458745:UOK458822 UOK524281:UOK524358 UOK589817:UOK589894 UOK655353:UOK655430 UOK720889:UOK720966 UOK786425:UOK786502 UOK851961:UOK852038 UOK917497:UOK917574 UOK983033:UOK983110 UYG2:UYG70 UYG65529:UYG65606 UYG131065:UYG131142 UYG196601:UYG196678 UYG262137:UYG262214 UYG327673:UYG327750 UYG393209:UYG393286 UYG458745:UYG458822 UYG524281:UYG524358 UYG589817:UYG589894 UYG655353:UYG655430 UYG720889:UYG720966 UYG786425:UYG786502 UYG851961:UYG852038 UYG917497:UYG917574 UYG983033:UYG983110 VIC2:VIC70 VIC65529:VIC65606 VIC131065:VIC131142 VIC196601:VIC196678 VIC262137:VIC262214 VIC327673:VIC327750 VIC393209:VIC393286 VIC458745:VIC458822 VIC524281:VIC524358 VIC589817:VIC589894 VIC655353:VIC655430 VIC720889:VIC720966 VIC786425:VIC786502 VIC851961:VIC852038 VIC917497:VIC917574 VIC983033:VIC983110 VRY2:VRY70 VRY65529:VRY65606 VRY131065:VRY131142 VRY196601:VRY196678 VRY262137:VRY262214 VRY327673:VRY327750 VRY393209:VRY393286 VRY458745:VRY458822 VRY524281:VRY524358 VRY589817:VRY589894 VRY655353:VRY655430 VRY720889:VRY720966 VRY786425:VRY786502 VRY851961:VRY852038 VRY917497:VRY917574 VRY983033:VRY983110 WBU2:WBU70 WBU65529:WBU65606 WBU131065:WBU131142 WBU196601:WBU196678 WBU262137:WBU262214 WBU327673:WBU327750 WBU393209:WBU393286 WBU458745:WBU458822 WBU524281:WBU524358 WBU589817:WBU589894 WBU655353:WBU655430 WBU720889:WBU720966 WBU786425:WBU786502 WBU851961:WBU852038 WBU917497:WBU917574 WBU983033:WBU983110 WLQ2:WLQ70 WLQ65529:WLQ65606 WLQ131065:WLQ131142 WLQ196601:WLQ196678 WLQ262137:WLQ262214 WLQ327673:WLQ327750 WLQ393209:WLQ393286 WLQ458745:WLQ458822 WLQ524281:WLQ524358 WLQ589817:WLQ589894 WLQ655353:WLQ655430 WLQ720889:WLQ720966 WLQ786425:WLQ786502 WLQ851961:WLQ852038 WLQ917497:WLQ917574 WLQ983033:WLQ983110 WVM2:WVM70 WVM65529:WVM65606 WVM131065:WVM131142 WVM196601:WVM196678 WVM262137:WVM262214 WVM327673:WVM327750 WVM393209:WVM393286 WVM458745:WVM458822 WVM524281:WVM524358 WVM589817:WVM589894 WVM655353:WVM655430 WVM720889:WVM720966 WVM786425:WVM786502 WVM851961:WVM852038 WVM917497:WVM917574 WVM983033:WVM983110">
      <formula1>$AG$2:$AG$8</formula1>
    </dataValidation>
    <dataValidation type="list" allowBlank="1" showInputMessage="1" showErrorMessage="1" sqref="X2:X491 X65529:X65606 X131065:X131142 X196601:X196678 X262137:X262214 X327673:X327750 X393209:X393286 X458745:X458822 X524281:X524358 X589817:X589894 X655353:X655430 X720889:X720966 X786425:X786502 X851961:X852038 X917497:X917574 X983033:X983110 JT2:JT70 JT65529:JT65606 JT131065:JT131142 JT196601:JT196678 JT262137:JT262214 JT327673:JT327750 JT393209:JT393286 JT458745:JT458822 JT524281:JT524358 JT589817:JT589894 JT655353:JT655430 JT720889:JT720966 JT786425:JT786502 JT851961:JT852038 JT917497:JT917574 JT983033:JT983110 TP2:TP70 TP65529:TP65606 TP131065:TP131142 TP196601:TP196678 TP262137:TP262214 TP327673:TP327750 TP393209:TP393286 TP458745:TP458822 TP524281:TP524358 TP589817:TP589894 TP655353:TP655430 TP720889:TP720966 TP786425:TP786502 TP851961:TP852038 TP917497:TP917574 TP983033:TP983110 ADL2:ADL70 ADL65529:ADL65606 ADL131065:ADL131142 ADL196601:ADL196678 ADL262137:ADL262214 ADL327673:ADL327750 ADL393209:ADL393286 ADL458745:ADL458822 ADL524281:ADL524358 ADL589817:ADL589894 ADL655353:ADL655430 ADL720889:ADL720966 ADL786425:ADL786502 ADL851961:ADL852038 ADL917497:ADL917574 ADL983033:ADL983110 ANH2:ANH70 ANH65529:ANH65606 ANH131065:ANH131142 ANH196601:ANH196678 ANH262137:ANH262214 ANH327673:ANH327750 ANH393209:ANH393286 ANH458745:ANH458822 ANH524281:ANH524358 ANH589817:ANH589894 ANH655353:ANH655430 ANH720889:ANH720966 ANH786425:ANH786502 ANH851961:ANH852038 ANH917497:ANH917574 ANH983033:ANH983110 AXD2:AXD70 AXD65529:AXD65606 AXD131065:AXD131142 AXD196601:AXD196678 AXD262137:AXD262214 AXD327673:AXD327750 AXD393209:AXD393286 AXD458745:AXD458822 AXD524281:AXD524358 AXD589817:AXD589894 AXD655353:AXD655430 AXD720889:AXD720966 AXD786425:AXD786502 AXD851961:AXD852038 AXD917497:AXD917574 AXD983033:AXD983110 BGZ2:BGZ70 BGZ65529:BGZ65606 BGZ131065:BGZ131142 BGZ196601:BGZ196678 BGZ262137:BGZ262214 BGZ327673:BGZ327750 BGZ393209:BGZ393286 BGZ458745:BGZ458822 BGZ524281:BGZ524358 BGZ589817:BGZ589894 BGZ655353:BGZ655430 BGZ720889:BGZ720966 BGZ786425:BGZ786502 BGZ851961:BGZ852038 BGZ917497:BGZ917574 BGZ983033:BGZ983110 BQV2:BQV70 BQV65529:BQV65606 BQV131065:BQV131142 BQV196601:BQV196678 BQV262137:BQV262214 BQV327673:BQV327750 BQV393209:BQV393286 BQV458745:BQV458822 BQV524281:BQV524358 BQV589817:BQV589894 BQV655353:BQV655430 BQV720889:BQV720966 BQV786425:BQV786502 BQV851961:BQV852038 BQV917497:BQV917574 BQV983033:BQV983110 CAR2:CAR70 CAR65529:CAR65606 CAR131065:CAR131142 CAR196601:CAR196678 CAR262137:CAR262214 CAR327673:CAR327750 CAR393209:CAR393286 CAR458745:CAR458822 CAR524281:CAR524358 CAR589817:CAR589894 CAR655353:CAR655430 CAR720889:CAR720966 CAR786425:CAR786502 CAR851961:CAR852038 CAR917497:CAR917574 CAR983033:CAR983110 CKN2:CKN70 CKN65529:CKN65606 CKN131065:CKN131142 CKN196601:CKN196678 CKN262137:CKN262214 CKN327673:CKN327750 CKN393209:CKN393286 CKN458745:CKN458822 CKN524281:CKN524358 CKN589817:CKN589894 CKN655353:CKN655430 CKN720889:CKN720966 CKN786425:CKN786502 CKN851961:CKN852038 CKN917497:CKN917574 CKN983033:CKN983110 CUJ2:CUJ70 CUJ65529:CUJ65606 CUJ131065:CUJ131142 CUJ196601:CUJ196678 CUJ262137:CUJ262214 CUJ327673:CUJ327750 CUJ393209:CUJ393286 CUJ458745:CUJ458822 CUJ524281:CUJ524358 CUJ589817:CUJ589894 CUJ655353:CUJ655430 CUJ720889:CUJ720966 CUJ786425:CUJ786502 CUJ851961:CUJ852038 CUJ917497:CUJ917574 CUJ983033:CUJ983110 DEF2:DEF70 DEF65529:DEF65606 DEF131065:DEF131142 DEF196601:DEF196678 DEF262137:DEF262214 DEF327673:DEF327750 DEF393209:DEF393286 DEF458745:DEF458822 DEF524281:DEF524358 DEF589817:DEF589894 DEF655353:DEF655430 DEF720889:DEF720966 DEF786425:DEF786502 DEF851961:DEF852038 DEF917497:DEF917574 DEF983033:DEF983110 DOB2:DOB70 DOB65529:DOB65606 DOB131065:DOB131142 DOB196601:DOB196678 DOB262137:DOB262214 DOB327673:DOB327750 DOB393209:DOB393286 DOB458745:DOB458822 DOB524281:DOB524358 DOB589817:DOB589894 DOB655353:DOB655430 DOB720889:DOB720966 DOB786425:DOB786502 DOB851961:DOB852038 DOB917497:DOB917574 DOB983033:DOB983110 DXX2:DXX70 DXX65529:DXX65606 DXX131065:DXX131142 DXX196601:DXX196678 DXX262137:DXX262214 DXX327673:DXX327750 DXX393209:DXX393286 DXX458745:DXX458822 DXX524281:DXX524358 DXX589817:DXX589894 DXX655353:DXX655430 DXX720889:DXX720966 DXX786425:DXX786502 DXX851961:DXX852038 DXX917497:DXX917574 DXX983033:DXX983110 EHT2:EHT70 EHT65529:EHT65606 EHT131065:EHT131142 EHT196601:EHT196678 EHT262137:EHT262214 EHT327673:EHT327750 EHT393209:EHT393286 EHT458745:EHT458822 EHT524281:EHT524358 EHT589817:EHT589894 EHT655353:EHT655430 EHT720889:EHT720966 EHT786425:EHT786502 EHT851961:EHT852038 EHT917497:EHT917574 EHT983033:EHT983110 ERP2:ERP70 ERP65529:ERP65606 ERP131065:ERP131142 ERP196601:ERP196678 ERP262137:ERP262214 ERP327673:ERP327750 ERP393209:ERP393286 ERP458745:ERP458822 ERP524281:ERP524358 ERP589817:ERP589894 ERP655353:ERP655430 ERP720889:ERP720966 ERP786425:ERP786502 ERP851961:ERP852038 ERP917497:ERP917574 ERP983033:ERP983110 FBL2:FBL70 FBL65529:FBL65606 FBL131065:FBL131142 FBL196601:FBL196678 FBL262137:FBL262214 FBL327673:FBL327750 FBL393209:FBL393286 FBL458745:FBL458822 FBL524281:FBL524358 FBL589817:FBL589894 FBL655353:FBL655430 FBL720889:FBL720966 FBL786425:FBL786502 FBL851961:FBL852038 FBL917497:FBL917574 FBL983033:FBL983110 FLH2:FLH70 FLH65529:FLH65606 FLH131065:FLH131142 FLH196601:FLH196678 FLH262137:FLH262214 FLH327673:FLH327750 FLH393209:FLH393286 FLH458745:FLH458822 FLH524281:FLH524358 FLH589817:FLH589894 FLH655353:FLH655430 FLH720889:FLH720966 FLH786425:FLH786502 FLH851961:FLH852038 FLH917497:FLH917574 FLH983033:FLH983110 FVD2:FVD70 FVD65529:FVD65606 FVD131065:FVD131142 FVD196601:FVD196678 FVD262137:FVD262214 FVD327673:FVD327750 FVD393209:FVD393286 FVD458745:FVD458822 FVD524281:FVD524358 FVD589817:FVD589894 FVD655353:FVD655430 FVD720889:FVD720966 FVD786425:FVD786502 FVD851961:FVD852038 FVD917497:FVD917574 FVD983033:FVD983110 GEZ2:GEZ70 GEZ65529:GEZ65606 GEZ131065:GEZ131142 GEZ196601:GEZ196678 GEZ262137:GEZ262214 GEZ327673:GEZ327750 GEZ393209:GEZ393286 GEZ458745:GEZ458822 GEZ524281:GEZ524358 GEZ589817:GEZ589894 GEZ655353:GEZ655430 GEZ720889:GEZ720966 GEZ786425:GEZ786502 GEZ851961:GEZ852038 GEZ917497:GEZ917574 GEZ983033:GEZ983110 GOV2:GOV70 GOV65529:GOV65606 GOV131065:GOV131142 GOV196601:GOV196678 GOV262137:GOV262214 GOV327673:GOV327750 GOV393209:GOV393286 GOV458745:GOV458822 GOV524281:GOV524358 GOV589817:GOV589894 GOV655353:GOV655430 GOV720889:GOV720966 GOV786425:GOV786502 GOV851961:GOV852038 GOV917497:GOV917574 GOV983033:GOV983110 GYR2:GYR70 GYR65529:GYR65606 GYR131065:GYR131142 GYR196601:GYR196678 GYR262137:GYR262214 GYR327673:GYR327750 GYR393209:GYR393286 GYR458745:GYR458822 GYR524281:GYR524358 GYR589817:GYR589894 GYR655353:GYR655430 GYR720889:GYR720966 GYR786425:GYR786502 GYR851961:GYR852038 GYR917497:GYR917574 GYR983033:GYR983110 HIN2:HIN70 HIN65529:HIN65606 HIN131065:HIN131142 HIN196601:HIN196678 HIN262137:HIN262214 HIN327673:HIN327750 HIN393209:HIN393286 HIN458745:HIN458822 HIN524281:HIN524358 HIN589817:HIN589894 HIN655353:HIN655430 HIN720889:HIN720966 HIN786425:HIN786502 HIN851961:HIN852038 HIN917497:HIN917574 HIN983033:HIN983110 HSJ2:HSJ70 HSJ65529:HSJ65606 HSJ131065:HSJ131142 HSJ196601:HSJ196678 HSJ262137:HSJ262214 HSJ327673:HSJ327750 HSJ393209:HSJ393286 HSJ458745:HSJ458822 HSJ524281:HSJ524358 HSJ589817:HSJ589894 HSJ655353:HSJ655430 HSJ720889:HSJ720966 HSJ786425:HSJ786502 HSJ851961:HSJ852038 HSJ917497:HSJ917574 HSJ983033:HSJ983110 ICF2:ICF70 ICF65529:ICF65606 ICF131065:ICF131142 ICF196601:ICF196678 ICF262137:ICF262214 ICF327673:ICF327750 ICF393209:ICF393286 ICF458745:ICF458822 ICF524281:ICF524358 ICF589817:ICF589894 ICF655353:ICF655430 ICF720889:ICF720966 ICF786425:ICF786502 ICF851961:ICF852038 ICF917497:ICF917574 ICF983033:ICF983110 IMB2:IMB70 IMB65529:IMB65606 IMB131065:IMB131142 IMB196601:IMB196678 IMB262137:IMB262214 IMB327673:IMB327750 IMB393209:IMB393286 IMB458745:IMB458822 IMB524281:IMB524358 IMB589817:IMB589894 IMB655353:IMB655430 IMB720889:IMB720966 IMB786425:IMB786502 IMB851961:IMB852038 IMB917497:IMB917574 IMB983033:IMB983110 IVX2:IVX70 IVX65529:IVX65606 IVX131065:IVX131142 IVX196601:IVX196678 IVX262137:IVX262214 IVX327673:IVX327750 IVX393209:IVX393286 IVX458745:IVX458822 IVX524281:IVX524358 IVX589817:IVX589894 IVX655353:IVX655430 IVX720889:IVX720966 IVX786425:IVX786502 IVX851961:IVX852038 IVX917497:IVX917574 IVX983033:IVX983110 JFT2:JFT70 JFT65529:JFT65606 JFT131065:JFT131142 JFT196601:JFT196678 JFT262137:JFT262214 JFT327673:JFT327750 JFT393209:JFT393286 JFT458745:JFT458822 JFT524281:JFT524358 JFT589817:JFT589894 JFT655353:JFT655430 JFT720889:JFT720966 JFT786425:JFT786502 JFT851961:JFT852038 JFT917497:JFT917574 JFT983033:JFT983110 JPP2:JPP70 JPP65529:JPP65606 JPP131065:JPP131142 JPP196601:JPP196678 JPP262137:JPP262214 JPP327673:JPP327750 JPP393209:JPP393286 JPP458745:JPP458822 JPP524281:JPP524358 JPP589817:JPP589894 JPP655353:JPP655430 JPP720889:JPP720966 JPP786425:JPP786502 JPP851961:JPP852038 JPP917497:JPP917574 JPP983033:JPP983110 JZL2:JZL70 JZL65529:JZL65606 JZL131065:JZL131142 JZL196601:JZL196678 JZL262137:JZL262214 JZL327673:JZL327750 JZL393209:JZL393286 JZL458745:JZL458822 JZL524281:JZL524358 JZL589817:JZL589894 JZL655353:JZL655430 JZL720889:JZL720966 JZL786425:JZL786502 JZL851961:JZL852038 JZL917497:JZL917574 JZL983033:JZL983110 KJH2:KJH70 KJH65529:KJH65606 KJH131065:KJH131142 KJH196601:KJH196678 KJH262137:KJH262214 KJH327673:KJH327750 KJH393209:KJH393286 KJH458745:KJH458822 KJH524281:KJH524358 KJH589817:KJH589894 KJH655353:KJH655430 KJH720889:KJH720966 KJH786425:KJH786502 KJH851961:KJH852038 KJH917497:KJH917574 KJH983033:KJH983110 KTD2:KTD70 KTD65529:KTD65606 KTD131065:KTD131142 KTD196601:KTD196678 KTD262137:KTD262214 KTD327673:KTD327750 KTD393209:KTD393286 KTD458745:KTD458822 KTD524281:KTD524358 KTD589817:KTD589894 KTD655353:KTD655430 KTD720889:KTD720966 KTD786425:KTD786502 KTD851961:KTD852038 KTD917497:KTD917574 KTD983033:KTD983110 LCZ2:LCZ70 LCZ65529:LCZ65606 LCZ131065:LCZ131142 LCZ196601:LCZ196678 LCZ262137:LCZ262214 LCZ327673:LCZ327750 LCZ393209:LCZ393286 LCZ458745:LCZ458822 LCZ524281:LCZ524358 LCZ589817:LCZ589894 LCZ655353:LCZ655430 LCZ720889:LCZ720966 LCZ786425:LCZ786502 LCZ851961:LCZ852038 LCZ917497:LCZ917574 LCZ983033:LCZ983110 LMV2:LMV70 LMV65529:LMV65606 LMV131065:LMV131142 LMV196601:LMV196678 LMV262137:LMV262214 LMV327673:LMV327750 LMV393209:LMV393286 LMV458745:LMV458822 LMV524281:LMV524358 LMV589817:LMV589894 LMV655353:LMV655430 LMV720889:LMV720966 LMV786425:LMV786502 LMV851961:LMV852038 LMV917497:LMV917574 LMV983033:LMV983110 LWR2:LWR70 LWR65529:LWR65606 LWR131065:LWR131142 LWR196601:LWR196678 LWR262137:LWR262214 LWR327673:LWR327750 LWR393209:LWR393286 LWR458745:LWR458822 LWR524281:LWR524358 LWR589817:LWR589894 LWR655353:LWR655430 LWR720889:LWR720966 LWR786425:LWR786502 LWR851961:LWR852038 LWR917497:LWR917574 LWR983033:LWR983110 MGN2:MGN70 MGN65529:MGN65606 MGN131065:MGN131142 MGN196601:MGN196678 MGN262137:MGN262214 MGN327673:MGN327750 MGN393209:MGN393286 MGN458745:MGN458822 MGN524281:MGN524358 MGN589817:MGN589894 MGN655353:MGN655430 MGN720889:MGN720966 MGN786425:MGN786502 MGN851961:MGN852038 MGN917497:MGN917574 MGN983033:MGN983110 MQJ2:MQJ70 MQJ65529:MQJ65606 MQJ131065:MQJ131142 MQJ196601:MQJ196678 MQJ262137:MQJ262214 MQJ327673:MQJ327750 MQJ393209:MQJ393286 MQJ458745:MQJ458822 MQJ524281:MQJ524358 MQJ589817:MQJ589894 MQJ655353:MQJ655430 MQJ720889:MQJ720966 MQJ786425:MQJ786502 MQJ851961:MQJ852038 MQJ917497:MQJ917574 MQJ983033:MQJ983110 NAF2:NAF70 NAF65529:NAF65606 NAF131065:NAF131142 NAF196601:NAF196678 NAF262137:NAF262214 NAF327673:NAF327750 NAF393209:NAF393286 NAF458745:NAF458822 NAF524281:NAF524358 NAF589817:NAF589894 NAF655353:NAF655430 NAF720889:NAF720966 NAF786425:NAF786502 NAF851961:NAF852038 NAF917497:NAF917574 NAF983033:NAF983110 NKB2:NKB70 NKB65529:NKB65606 NKB131065:NKB131142 NKB196601:NKB196678 NKB262137:NKB262214 NKB327673:NKB327750 NKB393209:NKB393286 NKB458745:NKB458822 NKB524281:NKB524358 NKB589817:NKB589894 NKB655353:NKB655430 NKB720889:NKB720966 NKB786425:NKB786502 NKB851961:NKB852038 NKB917497:NKB917574 NKB983033:NKB983110 NTX2:NTX70 NTX65529:NTX65606 NTX131065:NTX131142 NTX196601:NTX196678 NTX262137:NTX262214 NTX327673:NTX327750 NTX393209:NTX393286 NTX458745:NTX458822 NTX524281:NTX524358 NTX589817:NTX589894 NTX655353:NTX655430 NTX720889:NTX720966 NTX786425:NTX786502 NTX851961:NTX852038 NTX917497:NTX917574 NTX983033:NTX983110 ODT2:ODT70 ODT65529:ODT65606 ODT131065:ODT131142 ODT196601:ODT196678 ODT262137:ODT262214 ODT327673:ODT327750 ODT393209:ODT393286 ODT458745:ODT458822 ODT524281:ODT524358 ODT589817:ODT589894 ODT655353:ODT655430 ODT720889:ODT720966 ODT786425:ODT786502 ODT851961:ODT852038 ODT917497:ODT917574 ODT983033:ODT983110 ONP2:ONP70 ONP65529:ONP65606 ONP131065:ONP131142 ONP196601:ONP196678 ONP262137:ONP262214 ONP327673:ONP327750 ONP393209:ONP393286 ONP458745:ONP458822 ONP524281:ONP524358 ONP589817:ONP589894 ONP655353:ONP655430 ONP720889:ONP720966 ONP786425:ONP786502 ONP851961:ONP852038 ONP917497:ONP917574 ONP983033:ONP983110 OXL2:OXL70 OXL65529:OXL65606 OXL131065:OXL131142 OXL196601:OXL196678 OXL262137:OXL262214 OXL327673:OXL327750 OXL393209:OXL393286 OXL458745:OXL458822 OXL524281:OXL524358 OXL589817:OXL589894 OXL655353:OXL655430 OXL720889:OXL720966 OXL786425:OXL786502 OXL851961:OXL852038 OXL917497:OXL917574 OXL983033:OXL983110 PHH2:PHH70 PHH65529:PHH65606 PHH131065:PHH131142 PHH196601:PHH196678 PHH262137:PHH262214 PHH327673:PHH327750 PHH393209:PHH393286 PHH458745:PHH458822 PHH524281:PHH524358 PHH589817:PHH589894 PHH655353:PHH655430 PHH720889:PHH720966 PHH786425:PHH786502 PHH851961:PHH852038 PHH917497:PHH917574 PHH983033:PHH983110 PRD2:PRD70 PRD65529:PRD65606 PRD131065:PRD131142 PRD196601:PRD196678 PRD262137:PRD262214 PRD327673:PRD327750 PRD393209:PRD393286 PRD458745:PRD458822 PRD524281:PRD524358 PRD589817:PRD589894 PRD655353:PRD655430 PRD720889:PRD720966 PRD786425:PRD786502 PRD851961:PRD852038 PRD917497:PRD917574 PRD983033:PRD983110 QAZ2:QAZ70 QAZ65529:QAZ65606 QAZ131065:QAZ131142 QAZ196601:QAZ196678 QAZ262137:QAZ262214 QAZ327673:QAZ327750 QAZ393209:QAZ393286 QAZ458745:QAZ458822 QAZ524281:QAZ524358 QAZ589817:QAZ589894 QAZ655353:QAZ655430 QAZ720889:QAZ720966 QAZ786425:QAZ786502 QAZ851961:QAZ852038 QAZ917497:QAZ917574 QAZ983033:QAZ983110 QKV2:QKV70 QKV65529:QKV65606 QKV131065:QKV131142 QKV196601:QKV196678 QKV262137:QKV262214 QKV327673:QKV327750 QKV393209:QKV393286 QKV458745:QKV458822 QKV524281:QKV524358 QKV589817:QKV589894 QKV655353:QKV655430 QKV720889:QKV720966 QKV786425:QKV786502 QKV851961:QKV852038 QKV917497:QKV917574 QKV983033:QKV983110 QUR2:QUR70 QUR65529:QUR65606 QUR131065:QUR131142 QUR196601:QUR196678 QUR262137:QUR262214 QUR327673:QUR327750 QUR393209:QUR393286 QUR458745:QUR458822 QUR524281:QUR524358 QUR589817:QUR589894 QUR655353:QUR655430 QUR720889:QUR720966 QUR786425:QUR786502 QUR851961:QUR852038 QUR917497:QUR917574 QUR983033:QUR983110 REN2:REN70 REN65529:REN65606 REN131065:REN131142 REN196601:REN196678 REN262137:REN262214 REN327673:REN327750 REN393209:REN393286 REN458745:REN458822 REN524281:REN524358 REN589817:REN589894 REN655353:REN655430 REN720889:REN720966 REN786425:REN786502 REN851961:REN852038 REN917497:REN917574 REN983033:REN983110 ROJ2:ROJ70 ROJ65529:ROJ65606 ROJ131065:ROJ131142 ROJ196601:ROJ196678 ROJ262137:ROJ262214 ROJ327673:ROJ327750 ROJ393209:ROJ393286 ROJ458745:ROJ458822 ROJ524281:ROJ524358 ROJ589817:ROJ589894 ROJ655353:ROJ655430 ROJ720889:ROJ720966 ROJ786425:ROJ786502 ROJ851961:ROJ852038 ROJ917497:ROJ917574 ROJ983033:ROJ983110 RYF2:RYF70 RYF65529:RYF65606 RYF131065:RYF131142 RYF196601:RYF196678 RYF262137:RYF262214 RYF327673:RYF327750 RYF393209:RYF393286 RYF458745:RYF458822 RYF524281:RYF524358 RYF589817:RYF589894 RYF655353:RYF655430 RYF720889:RYF720966 RYF786425:RYF786502 RYF851961:RYF852038 RYF917497:RYF917574 RYF983033:RYF983110 SIB2:SIB70 SIB65529:SIB65606 SIB131065:SIB131142 SIB196601:SIB196678 SIB262137:SIB262214 SIB327673:SIB327750 SIB393209:SIB393286 SIB458745:SIB458822 SIB524281:SIB524358 SIB589817:SIB589894 SIB655353:SIB655430 SIB720889:SIB720966 SIB786425:SIB786502 SIB851961:SIB852038 SIB917497:SIB917574 SIB983033:SIB983110 SRX2:SRX70 SRX65529:SRX65606 SRX131065:SRX131142 SRX196601:SRX196678 SRX262137:SRX262214 SRX327673:SRX327750 SRX393209:SRX393286 SRX458745:SRX458822 SRX524281:SRX524358 SRX589817:SRX589894 SRX655353:SRX655430 SRX720889:SRX720966 SRX786425:SRX786502 SRX851961:SRX852038 SRX917497:SRX917574 SRX983033:SRX983110 TBT2:TBT70 TBT65529:TBT65606 TBT131065:TBT131142 TBT196601:TBT196678 TBT262137:TBT262214 TBT327673:TBT327750 TBT393209:TBT393286 TBT458745:TBT458822 TBT524281:TBT524358 TBT589817:TBT589894 TBT655353:TBT655430 TBT720889:TBT720966 TBT786425:TBT786502 TBT851961:TBT852038 TBT917497:TBT917574 TBT983033:TBT983110 TLP2:TLP70 TLP65529:TLP65606 TLP131065:TLP131142 TLP196601:TLP196678 TLP262137:TLP262214 TLP327673:TLP327750 TLP393209:TLP393286 TLP458745:TLP458822 TLP524281:TLP524358 TLP589817:TLP589894 TLP655353:TLP655430 TLP720889:TLP720966 TLP786425:TLP786502 TLP851961:TLP852038 TLP917497:TLP917574 TLP983033:TLP983110 TVL2:TVL70 TVL65529:TVL65606 TVL131065:TVL131142 TVL196601:TVL196678 TVL262137:TVL262214 TVL327673:TVL327750 TVL393209:TVL393286 TVL458745:TVL458822 TVL524281:TVL524358 TVL589817:TVL589894 TVL655353:TVL655430 TVL720889:TVL720966 TVL786425:TVL786502 TVL851961:TVL852038 TVL917497:TVL917574 TVL983033:TVL983110 UFH2:UFH70 UFH65529:UFH65606 UFH131065:UFH131142 UFH196601:UFH196678 UFH262137:UFH262214 UFH327673:UFH327750 UFH393209:UFH393286 UFH458745:UFH458822 UFH524281:UFH524358 UFH589817:UFH589894 UFH655353:UFH655430 UFH720889:UFH720966 UFH786425:UFH786502 UFH851961:UFH852038 UFH917497:UFH917574 UFH983033:UFH983110 UPD2:UPD70 UPD65529:UPD65606 UPD131065:UPD131142 UPD196601:UPD196678 UPD262137:UPD262214 UPD327673:UPD327750 UPD393209:UPD393286 UPD458745:UPD458822 UPD524281:UPD524358 UPD589817:UPD589894 UPD655353:UPD655430 UPD720889:UPD720966 UPD786425:UPD786502 UPD851961:UPD852038 UPD917497:UPD917574 UPD983033:UPD983110 UYZ2:UYZ70 UYZ65529:UYZ65606 UYZ131065:UYZ131142 UYZ196601:UYZ196678 UYZ262137:UYZ262214 UYZ327673:UYZ327750 UYZ393209:UYZ393286 UYZ458745:UYZ458822 UYZ524281:UYZ524358 UYZ589817:UYZ589894 UYZ655353:UYZ655430 UYZ720889:UYZ720966 UYZ786425:UYZ786502 UYZ851961:UYZ852038 UYZ917497:UYZ917574 UYZ983033:UYZ983110 VIV2:VIV70 VIV65529:VIV65606 VIV131065:VIV131142 VIV196601:VIV196678 VIV262137:VIV262214 VIV327673:VIV327750 VIV393209:VIV393286 VIV458745:VIV458822 VIV524281:VIV524358 VIV589817:VIV589894 VIV655353:VIV655430 VIV720889:VIV720966 VIV786425:VIV786502 VIV851961:VIV852038 VIV917497:VIV917574 VIV983033:VIV983110 VSR2:VSR70 VSR65529:VSR65606 VSR131065:VSR131142 VSR196601:VSR196678 VSR262137:VSR262214 VSR327673:VSR327750 VSR393209:VSR393286 VSR458745:VSR458822 VSR524281:VSR524358 VSR589817:VSR589894 VSR655353:VSR655430 VSR720889:VSR720966 VSR786425:VSR786502 VSR851961:VSR852038 VSR917497:VSR917574 VSR983033:VSR983110 WCN2:WCN70 WCN65529:WCN65606 WCN131065:WCN131142 WCN196601:WCN196678 WCN262137:WCN262214 WCN327673:WCN327750 WCN393209:WCN393286 WCN458745:WCN458822 WCN524281:WCN524358 WCN589817:WCN589894 WCN655353:WCN655430 WCN720889:WCN720966 WCN786425:WCN786502 WCN851961:WCN852038 WCN917497:WCN917574 WCN983033:WCN983110 WMJ2:WMJ70 WMJ65529:WMJ65606 WMJ131065:WMJ131142 WMJ196601:WMJ196678 WMJ262137:WMJ262214 WMJ327673:WMJ327750 WMJ393209:WMJ393286 WMJ458745:WMJ458822 WMJ524281:WMJ524358 WMJ589817:WMJ589894 WMJ655353:WMJ655430 WMJ720889:WMJ720966 WMJ786425:WMJ786502 WMJ851961:WMJ852038 WMJ917497:WMJ917574 WMJ983033:WMJ983110 WWF2:WWF70 WWF65529:WWF65606 WWF131065:WWF131142 WWF196601:WWF196678 WWF262137:WWF262214 WWF327673:WWF327750 WWF393209:WWF393286 WWF458745:WWF458822 WWF524281:WWF524358 WWF589817:WWF589894 WWF655353:WWF655430 WWF720889:WWF720966 WWF786425:WWF786502 WWF851961:WWF852038 WWF917497:WWF917574 WWF983033:WWF983110">
      <formula1>$AT$2:$AT$3</formula1>
    </dataValidation>
    <dataValidation type="list" allowBlank="1" showInputMessage="1" showErrorMessage="1" sqref="F2:F722 F65529:F65606 F131065:F131142 F196601:F196678 F262137:F262214 F327673:F327750 F393209:F393286 F458745:F458822 F524281:F524358 F589817:F589894 F655353:F655430 F720889:F720966 F786425:F786502 F851961:F852038 F917497:F917574 F983033:F983110 JB2:JB70 JB65529:JB65606 JB131065:JB131142 JB196601:JB196678 JB262137:JB262214 JB327673:JB327750 JB393209:JB393286 JB458745:JB458822 JB524281:JB524358 JB589817:JB589894 JB655353:JB655430 JB720889:JB720966 JB786425:JB786502 JB851961:JB852038 JB917497:JB917574 JB983033:JB983110 SX2:SX70 SX65529:SX65606 SX131065:SX131142 SX196601:SX196678 SX262137:SX262214 SX327673:SX327750 SX393209:SX393286 SX458745:SX458822 SX524281:SX524358 SX589817:SX589894 SX655353:SX655430 SX720889:SX720966 SX786425:SX786502 SX851961:SX852038 SX917497:SX917574 SX983033:SX983110 ACT2:ACT70 ACT65529:ACT65606 ACT131065:ACT131142 ACT196601:ACT196678 ACT262137:ACT262214 ACT327673:ACT327750 ACT393209:ACT393286 ACT458745:ACT458822 ACT524281:ACT524358 ACT589817:ACT589894 ACT655353:ACT655430 ACT720889:ACT720966 ACT786425:ACT786502 ACT851961:ACT852038 ACT917497:ACT917574 ACT983033:ACT983110 AMP2:AMP70 AMP65529:AMP65606 AMP131065:AMP131142 AMP196601:AMP196678 AMP262137:AMP262214 AMP327673:AMP327750 AMP393209:AMP393286 AMP458745:AMP458822 AMP524281:AMP524358 AMP589817:AMP589894 AMP655353:AMP655430 AMP720889:AMP720966 AMP786425:AMP786502 AMP851961:AMP852038 AMP917497:AMP917574 AMP983033:AMP983110 AWL2:AWL70 AWL65529:AWL65606 AWL131065:AWL131142 AWL196601:AWL196678 AWL262137:AWL262214 AWL327673:AWL327750 AWL393209:AWL393286 AWL458745:AWL458822 AWL524281:AWL524358 AWL589817:AWL589894 AWL655353:AWL655430 AWL720889:AWL720966 AWL786425:AWL786502 AWL851961:AWL852038 AWL917497:AWL917574 AWL983033:AWL983110 BGH2:BGH70 BGH65529:BGH65606 BGH131065:BGH131142 BGH196601:BGH196678 BGH262137:BGH262214 BGH327673:BGH327750 BGH393209:BGH393286 BGH458745:BGH458822 BGH524281:BGH524358 BGH589817:BGH589894 BGH655353:BGH655430 BGH720889:BGH720966 BGH786425:BGH786502 BGH851961:BGH852038 BGH917497:BGH917574 BGH983033:BGH983110 BQD2:BQD70 BQD65529:BQD65606 BQD131065:BQD131142 BQD196601:BQD196678 BQD262137:BQD262214 BQD327673:BQD327750 BQD393209:BQD393286 BQD458745:BQD458822 BQD524281:BQD524358 BQD589817:BQD589894 BQD655353:BQD655430 BQD720889:BQD720966 BQD786425:BQD786502 BQD851961:BQD852038 BQD917497:BQD917574 BQD983033:BQD983110 BZZ2:BZZ70 BZZ65529:BZZ65606 BZZ131065:BZZ131142 BZZ196601:BZZ196678 BZZ262137:BZZ262214 BZZ327673:BZZ327750 BZZ393209:BZZ393286 BZZ458745:BZZ458822 BZZ524281:BZZ524358 BZZ589817:BZZ589894 BZZ655353:BZZ655430 BZZ720889:BZZ720966 BZZ786425:BZZ786502 BZZ851961:BZZ852038 BZZ917497:BZZ917574 BZZ983033:BZZ983110 CJV2:CJV70 CJV65529:CJV65606 CJV131065:CJV131142 CJV196601:CJV196678 CJV262137:CJV262214 CJV327673:CJV327750 CJV393209:CJV393286 CJV458745:CJV458822 CJV524281:CJV524358 CJV589817:CJV589894 CJV655353:CJV655430 CJV720889:CJV720966 CJV786425:CJV786502 CJV851961:CJV852038 CJV917497:CJV917574 CJV983033:CJV983110 CTR2:CTR70 CTR65529:CTR65606 CTR131065:CTR131142 CTR196601:CTR196678 CTR262137:CTR262214 CTR327673:CTR327750 CTR393209:CTR393286 CTR458745:CTR458822 CTR524281:CTR524358 CTR589817:CTR589894 CTR655353:CTR655430 CTR720889:CTR720966 CTR786425:CTR786502 CTR851961:CTR852038 CTR917497:CTR917574 CTR983033:CTR983110 DDN2:DDN70 DDN65529:DDN65606 DDN131065:DDN131142 DDN196601:DDN196678 DDN262137:DDN262214 DDN327673:DDN327750 DDN393209:DDN393286 DDN458745:DDN458822 DDN524281:DDN524358 DDN589817:DDN589894 DDN655353:DDN655430 DDN720889:DDN720966 DDN786425:DDN786502 DDN851961:DDN852038 DDN917497:DDN917574 DDN983033:DDN983110 DNJ2:DNJ70 DNJ65529:DNJ65606 DNJ131065:DNJ131142 DNJ196601:DNJ196678 DNJ262137:DNJ262214 DNJ327673:DNJ327750 DNJ393209:DNJ393286 DNJ458745:DNJ458822 DNJ524281:DNJ524358 DNJ589817:DNJ589894 DNJ655353:DNJ655430 DNJ720889:DNJ720966 DNJ786425:DNJ786502 DNJ851961:DNJ852038 DNJ917497:DNJ917574 DNJ983033:DNJ983110 DXF2:DXF70 DXF65529:DXF65606 DXF131065:DXF131142 DXF196601:DXF196678 DXF262137:DXF262214 DXF327673:DXF327750 DXF393209:DXF393286 DXF458745:DXF458822 DXF524281:DXF524358 DXF589817:DXF589894 DXF655353:DXF655430 DXF720889:DXF720966 DXF786425:DXF786502 DXF851961:DXF852038 DXF917497:DXF917574 DXF983033:DXF983110 EHB2:EHB70 EHB65529:EHB65606 EHB131065:EHB131142 EHB196601:EHB196678 EHB262137:EHB262214 EHB327673:EHB327750 EHB393209:EHB393286 EHB458745:EHB458822 EHB524281:EHB524358 EHB589817:EHB589894 EHB655353:EHB655430 EHB720889:EHB720966 EHB786425:EHB786502 EHB851961:EHB852038 EHB917497:EHB917574 EHB983033:EHB983110 EQX2:EQX70 EQX65529:EQX65606 EQX131065:EQX131142 EQX196601:EQX196678 EQX262137:EQX262214 EQX327673:EQX327750 EQX393209:EQX393286 EQX458745:EQX458822 EQX524281:EQX524358 EQX589817:EQX589894 EQX655353:EQX655430 EQX720889:EQX720966 EQX786425:EQX786502 EQX851961:EQX852038 EQX917497:EQX917574 EQX983033:EQX983110 FAT2:FAT70 FAT65529:FAT65606 FAT131065:FAT131142 FAT196601:FAT196678 FAT262137:FAT262214 FAT327673:FAT327750 FAT393209:FAT393286 FAT458745:FAT458822 FAT524281:FAT524358 FAT589817:FAT589894 FAT655353:FAT655430 FAT720889:FAT720966 FAT786425:FAT786502 FAT851961:FAT852038 FAT917497:FAT917574 FAT983033:FAT983110 FKP2:FKP70 FKP65529:FKP65606 FKP131065:FKP131142 FKP196601:FKP196678 FKP262137:FKP262214 FKP327673:FKP327750 FKP393209:FKP393286 FKP458745:FKP458822 FKP524281:FKP524358 FKP589817:FKP589894 FKP655353:FKP655430 FKP720889:FKP720966 FKP786425:FKP786502 FKP851961:FKP852038 FKP917497:FKP917574 FKP983033:FKP983110 FUL2:FUL70 FUL65529:FUL65606 FUL131065:FUL131142 FUL196601:FUL196678 FUL262137:FUL262214 FUL327673:FUL327750 FUL393209:FUL393286 FUL458745:FUL458822 FUL524281:FUL524358 FUL589817:FUL589894 FUL655353:FUL655430 FUL720889:FUL720966 FUL786425:FUL786502 FUL851961:FUL852038 FUL917497:FUL917574 FUL983033:FUL983110 GEH2:GEH70 GEH65529:GEH65606 GEH131065:GEH131142 GEH196601:GEH196678 GEH262137:GEH262214 GEH327673:GEH327750 GEH393209:GEH393286 GEH458745:GEH458822 GEH524281:GEH524358 GEH589817:GEH589894 GEH655353:GEH655430 GEH720889:GEH720966 GEH786425:GEH786502 GEH851961:GEH852038 GEH917497:GEH917574 GEH983033:GEH983110 GOD2:GOD70 GOD65529:GOD65606 GOD131065:GOD131142 GOD196601:GOD196678 GOD262137:GOD262214 GOD327673:GOD327750 GOD393209:GOD393286 GOD458745:GOD458822 GOD524281:GOD524358 GOD589817:GOD589894 GOD655353:GOD655430 GOD720889:GOD720966 GOD786425:GOD786502 GOD851961:GOD852038 GOD917497:GOD917574 GOD983033:GOD983110 GXZ2:GXZ70 GXZ65529:GXZ65606 GXZ131065:GXZ131142 GXZ196601:GXZ196678 GXZ262137:GXZ262214 GXZ327673:GXZ327750 GXZ393209:GXZ393286 GXZ458745:GXZ458822 GXZ524281:GXZ524358 GXZ589817:GXZ589894 GXZ655353:GXZ655430 GXZ720889:GXZ720966 GXZ786425:GXZ786502 GXZ851961:GXZ852038 GXZ917497:GXZ917574 GXZ983033:GXZ983110 HHV2:HHV70 HHV65529:HHV65606 HHV131065:HHV131142 HHV196601:HHV196678 HHV262137:HHV262214 HHV327673:HHV327750 HHV393209:HHV393286 HHV458745:HHV458822 HHV524281:HHV524358 HHV589817:HHV589894 HHV655353:HHV655430 HHV720889:HHV720966 HHV786425:HHV786502 HHV851961:HHV852038 HHV917497:HHV917574 HHV983033:HHV983110 HRR2:HRR70 HRR65529:HRR65606 HRR131065:HRR131142 HRR196601:HRR196678 HRR262137:HRR262214 HRR327673:HRR327750 HRR393209:HRR393286 HRR458745:HRR458822 HRR524281:HRR524358 HRR589817:HRR589894 HRR655353:HRR655430 HRR720889:HRR720966 HRR786425:HRR786502 HRR851961:HRR852038 HRR917497:HRR917574 HRR983033:HRR983110 IBN2:IBN70 IBN65529:IBN65606 IBN131065:IBN131142 IBN196601:IBN196678 IBN262137:IBN262214 IBN327673:IBN327750 IBN393209:IBN393286 IBN458745:IBN458822 IBN524281:IBN524358 IBN589817:IBN589894 IBN655353:IBN655430 IBN720889:IBN720966 IBN786425:IBN786502 IBN851961:IBN852038 IBN917497:IBN917574 IBN983033:IBN983110 ILJ2:ILJ70 ILJ65529:ILJ65606 ILJ131065:ILJ131142 ILJ196601:ILJ196678 ILJ262137:ILJ262214 ILJ327673:ILJ327750 ILJ393209:ILJ393286 ILJ458745:ILJ458822 ILJ524281:ILJ524358 ILJ589817:ILJ589894 ILJ655353:ILJ655430 ILJ720889:ILJ720966 ILJ786425:ILJ786502 ILJ851961:ILJ852038 ILJ917497:ILJ917574 ILJ983033:ILJ983110 IVF2:IVF70 IVF65529:IVF65606 IVF131065:IVF131142 IVF196601:IVF196678 IVF262137:IVF262214 IVF327673:IVF327750 IVF393209:IVF393286 IVF458745:IVF458822 IVF524281:IVF524358 IVF589817:IVF589894 IVF655353:IVF655430 IVF720889:IVF720966 IVF786425:IVF786502 IVF851961:IVF852038 IVF917497:IVF917574 IVF983033:IVF983110 JFB2:JFB70 JFB65529:JFB65606 JFB131065:JFB131142 JFB196601:JFB196678 JFB262137:JFB262214 JFB327673:JFB327750 JFB393209:JFB393286 JFB458745:JFB458822 JFB524281:JFB524358 JFB589817:JFB589894 JFB655353:JFB655430 JFB720889:JFB720966 JFB786425:JFB786502 JFB851961:JFB852038 JFB917497:JFB917574 JFB983033:JFB983110 JOX2:JOX70 JOX65529:JOX65606 JOX131065:JOX131142 JOX196601:JOX196678 JOX262137:JOX262214 JOX327673:JOX327750 JOX393209:JOX393286 JOX458745:JOX458822 JOX524281:JOX524358 JOX589817:JOX589894 JOX655353:JOX655430 JOX720889:JOX720966 JOX786425:JOX786502 JOX851961:JOX852038 JOX917497:JOX917574 JOX983033:JOX983110 JYT2:JYT70 JYT65529:JYT65606 JYT131065:JYT131142 JYT196601:JYT196678 JYT262137:JYT262214 JYT327673:JYT327750 JYT393209:JYT393286 JYT458745:JYT458822 JYT524281:JYT524358 JYT589817:JYT589894 JYT655353:JYT655430 JYT720889:JYT720966 JYT786425:JYT786502 JYT851961:JYT852038 JYT917497:JYT917574 JYT983033:JYT983110 KIP2:KIP70 KIP65529:KIP65606 KIP131065:KIP131142 KIP196601:KIP196678 KIP262137:KIP262214 KIP327673:KIP327750 KIP393209:KIP393286 KIP458745:KIP458822 KIP524281:KIP524358 KIP589817:KIP589894 KIP655353:KIP655430 KIP720889:KIP720966 KIP786425:KIP786502 KIP851961:KIP852038 KIP917497:KIP917574 KIP983033:KIP983110 KSL2:KSL70 KSL65529:KSL65606 KSL131065:KSL131142 KSL196601:KSL196678 KSL262137:KSL262214 KSL327673:KSL327750 KSL393209:KSL393286 KSL458745:KSL458822 KSL524281:KSL524358 KSL589817:KSL589894 KSL655353:KSL655430 KSL720889:KSL720966 KSL786425:KSL786502 KSL851961:KSL852038 KSL917497:KSL917574 KSL983033:KSL983110 LCH2:LCH70 LCH65529:LCH65606 LCH131065:LCH131142 LCH196601:LCH196678 LCH262137:LCH262214 LCH327673:LCH327750 LCH393209:LCH393286 LCH458745:LCH458822 LCH524281:LCH524358 LCH589817:LCH589894 LCH655353:LCH655430 LCH720889:LCH720966 LCH786425:LCH786502 LCH851961:LCH852038 LCH917497:LCH917574 LCH983033:LCH983110 LMD2:LMD70 LMD65529:LMD65606 LMD131065:LMD131142 LMD196601:LMD196678 LMD262137:LMD262214 LMD327673:LMD327750 LMD393209:LMD393286 LMD458745:LMD458822 LMD524281:LMD524358 LMD589817:LMD589894 LMD655353:LMD655430 LMD720889:LMD720966 LMD786425:LMD786502 LMD851961:LMD852038 LMD917497:LMD917574 LMD983033:LMD983110 LVZ2:LVZ70 LVZ65529:LVZ65606 LVZ131065:LVZ131142 LVZ196601:LVZ196678 LVZ262137:LVZ262214 LVZ327673:LVZ327750 LVZ393209:LVZ393286 LVZ458745:LVZ458822 LVZ524281:LVZ524358 LVZ589817:LVZ589894 LVZ655353:LVZ655430 LVZ720889:LVZ720966 LVZ786425:LVZ786502 LVZ851961:LVZ852038 LVZ917497:LVZ917574 LVZ983033:LVZ983110 MFV2:MFV70 MFV65529:MFV65606 MFV131065:MFV131142 MFV196601:MFV196678 MFV262137:MFV262214 MFV327673:MFV327750 MFV393209:MFV393286 MFV458745:MFV458822 MFV524281:MFV524358 MFV589817:MFV589894 MFV655353:MFV655430 MFV720889:MFV720966 MFV786425:MFV786502 MFV851961:MFV852038 MFV917497:MFV917574 MFV983033:MFV983110 MPR2:MPR70 MPR65529:MPR65606 MPR131065:MPR131142 MPR196601:MPR196678 MPR262137:MPR262214 MPR327673:MPR327750 MPR393209:MPR393286 MPR458745:MPR458822 MPR524281:MPR524358 MPR589817:MPR589894 MPR655353:MPR655430 MPR720889:MPR720966 MPR786425:MPR786502 MPR851961:MPR852038 MPR917497:MPR917574 MPR983033:MPR983110 MZN2:MZN70 MZN65529:MZN65606 MZN131065:MZN131142 MZN196601:MZN196678 MZN262137:MZN262214 MZN327673:MZN327750 MZN393209:MZN393286 MZN458745:MZN458822 MZN524281:MZN524358 MZN589817:MZN589894 MZN655353:MZN655430 MZN720889:MZN720966 MZN786425:MZN786502 MZN851961:MZN852038 MZN917497:MZN917574 MZN983033:MZN983110 NJJ2:NJJ70 NJJ65529:NJJ65606 NJJ131065:NJJ131142 NJJ196601:NJJ196678 NJJ262137:NJJ262214 NJJ327673:NJJ327750 NJJ393209:NJJ393286 NJJ458745:NJJ458822 NJJ524281:NJJ524358 NJJ589817:NJJ589894 NJJ655353:NJJ655430 NJJ720889:NJJ720966 NJJ786425:NJJ786502 NJJ851961:NJJ852038 NJJ917497:NJJ917574 NJJ983033:NJJ983110 NTF2:NTF70 NTF65529:NTF65606 NTF131065:NTF131142 NTF196601:NTF196678 NTF262137:NTF262214 NTF327673:NTF327750 NTF393209:NTF393286 NTF458745:NTF458822 NTF524281:NTF524358 NTF589817:NTF589894 NTF655353:NTF655430 NTF720889:NTF720966 NTF786425:NTF786502 NTF851961:NTF852038 NTF917497:NTF917574 NTF983033:NTF983110 ODB2:ODB70 ODB65529:ODB65606 ODB131065:ODB131142 ODB196601:ODB196678 ODB262137:ODB262214 ODB327673:ODB327750 ODB393209:ODB393286 ODB458745:ODB458822 ODB524281:ODB524358 ODB589817:ODB589894 ODB655353:ODB655430 ODB720889:ODB720966 ODB786425:ODB786502 ODB851961:ODB852038 ODB917497:ODB917574 ODB983033:ODB983110 OMX2:OMX70 OMX65529:OMX65606 OMX131065:OMX131142 OMX196601:OMX196678 OMX262137:OMX262214 OMX327673:OMX327750 OMX393209:OMX393286 OMX458745:OMX458822 OMX524281:OMX524358 OMX589817:OMX589894 OMX655353:OMX655430 OMX720889:OMX720966 OMX786425:OMX786502 OMX851961:OMX852038 OMX917497:OMX917574 OMX983033:OMX983110 OWT2:OWT70 OWT65529:OWT65606 OWT131065:OWT131142 OWT196601:OWT196678 OWT262137:OWT262214 OWT327673:OWT327750 OWT393209:OWT393286 OWT458745:OWT458822 OWT524281:OWT524358 OWT589817:OWT589894 OWT655353:OWT655430 OWT720889:OWT720966 OWT786425:OWT786502 OWT851961:OWT852038 OWT917497:OWT917574 OWT983033:OWT983110 PGP2:PGP70 PGP65529:PGP65606 PGP131065:PGP131142 PGP196601:PGP196678 PGP262137:PGP262214 PGP327673:PGP327750 PGP393209:PGP393286 PGP458745:PGP458822 PGP524281:PGP524358 PGP589817:PGP589894 PGP655353:PGP655430 PGP720889:PGP720966 PGP786425:PGP786502 PGP851961:PGP852038 PGP917497:PGP917574 PGP983033:PGP983110 PQL2:PQL70 PQL65529:PQL65606 PQL131065:PQL131142 PQL196601:PQL196678 PQL262137:PQL262214 PQL327673:PQL327750 PQL393209:PQL393286 PQL458745:PQL458822 PQL524281:PQL524358 PQL589817:PQL589894 PQL655353:PQL655430 PQL720889:PQL720966 PQL786425:PQL786502 PQL851961:PQL852038 PQL917497:PQL917574 PQL983033:PQL983110 QAH2:QAH70 QAH65529:QAH65606 QAH131065:QAH131142 QAH196601:QAH196678 QAH262137:QAH262214 QAH327673:QAH327750 QAH393209:QAH393286 QAH458745:QAH458822 QAH524281:QAH524358 QAH589817:QAH589894 QAH655353:QAH655430 QAH720889:QAH720966 QAH786425:QAH786502 QAH851961:QAH852038 QAH917497:QAH917574 QAH983033:QAH983110 QKD2:QKD70 QKD65529:QKD65606 QKD131065:QKD131142 QKD196601:QKD196678 QKD262137:QKD262214 QKD327673:QKD327750 QKD393209:QKD393286 QKD458745:QKD458822 QKD524281:QKD524358 QKD589817:QKD589894 QKD655353:QKD655430 QKD720889:QKD720966 QKD786425:QKD786502 QKD851961:QKD852038 QKD917497:QKD917574 QKD983033:QKD983110 QTZ2:QTZ70 QTZ65529:QTZ65606 QTZ131065:QTZ131142 QTZ196601:QTZ196678 QTZ262137:QTZ262214 QTZ327673:QTZ327750 QTZ393209:QTZ393286 QTZ458745:QTZ458822 QTZ524281:QTZ524358 QTZ589817:QTZ589894 QTZ655353:QTZ655430 QTZ720889:QTZ720966 QTZ786425:QTZ786502 QTZ851961:QTZ852038 QTZ917497:QTZ917574 QTZ983033:QTZ983110 RDV2:RDV70 RDV65529:RDV65606 RDV131065:RDV131142 RDV196601:RDV196678 RDV262137:RDV262214 RDV327673:RDV327750 RDV393209:RDV393286 RDV458745:RDV458822 RDV524281:RDV524358 RDV589817:RDV589894 RDV655353:RDV655430 RDV720889:RDV720966 RDV786425:RDV786502 RDV851961:RDV852038 RDV917497:RDV917574 RDV983033:RDV983110 RNR2:RNR70 RNR65529:RNR65606 RNR131065:RNR131142 RNR196601:RNR196678 RNR262137:RNR262214 RNR327673:RNR327750 RNR393209:RNR393286 RNR458745:RNR458822 RNR524281:RNR524358 RNR589817:RNR589894 RNR655353:RNR655430 RNR720889:RNR720966 RNR786425:RNR786502 RNR851961:RNR852038 RNR917497:RNR917574 RNR983033:RNR983110 RXN2:RXN70 RXN65529:RXN65606 RXN131065:RXN131142 RXN196601:RXN196678 RXN262137:RXN262214 RXN327673:RXN327750 RXN393209:RXN393286 RXN458745:RXN458822 RXN524281:RXN524358 RXN589817:RXN589894 RXN655353:RXN655430 RXN720889:RXN720966 RXN786425:RXN786502 RXN851961:RXN852038 RXN917497:RXN917574 RXN983033:RXN983110 SHJ2:SHJ70 SHJ65529:SHJ65606 SHJ131065:SHJ131142 SHJ196601:SHJ196678 SHJ262137:SHJ262214 SHJ327673:SHJ327750 SHJ393209:SHJ393286 SHJ458745:SHJ458822 SHJ524281:SHJ524358 SHJ589817:SHJ589894 SHJ655353:SHJ655430 SHJ720889:SHJ720966 SHJ786425:SHJ786502 SHJ851961:SHJ852038 SHJ917497:SHJ917574 SHJ983033:SHJ983110 SRF2:SRF70 SRF65529:SRF65606 SRF131065:SRF131142 SRF196601:SRF196678 SRF262137:SRF262214 SRF327673:SRF327750 SRF393209:SRF393286 SRF458745:SRF458822 SRF524281:SRF524358 SRF589817:SRF589894 SRF655353:SRF655430 SRF720889:SRF720966 SRF786425:SRF786502 SRF851961:SRF852038 SRF917497:SRF917574 SRF983033:SRF983110 TBB2:TBB70 TBB65529:TBB65606 TBB131065:TBB131142 TBB196601:TBB196678 TBB262137:TBB262214 TBB327673:TBB327750 TBB393209:TBB393286 TBB458745:TBB458822 TBB524281:TBB524358 TBB589817:TBB589894 TBB655353:TBB655430 TBB720889:TBB720966 TBB786425:TBB786502 TBB851961:TBB852038 TBB917497:TBB917574 TBB983033:TBB983110 TKX2:TKX70 TKX65529:TKX65606 TKX131065:TKX131142 TKX196601:TKX196678 TKX262137:TKX262214 TKX327673:TKX327750 TKX393209:TKX393286 TKX458745:TKX458822 TKX524281:TKX524358 TKX589817:TKX589894 TKX655353:TKX655430 TKX720889:TKX720966 TKX786425:TKX786502 TKX851961:TKX852038 TKX917497:TKX917574 TKX983033:TKX983110 TUT2:TUT70 TUT65529:TUT65606 TUT131065:TUT131142 TUT196601:TUT196678 TUT262137:TUT262214 TUT327673:TUT327750 TUT393209:TUT393286 TUT458745:TUT458822 TUT524281:TUT524358 TUT589817:TUT589894 TUT655353:TUT655430 TUT720889:TUT720966 TUT786425:TUT786502 TUT851961:TUT852038 TUT917497:TUT917574 TUT983033:TUT983110 UEP2:UEP70 UEP65529:UEP65606 UEP131065:UEP131142 UEP196601:UEP196678 UEP262137:UEP262214 UEP327673:UEP327750 UEP393209:UEP393286 UEP458745:UEP458822 UEP524281:UEP524358 UEP589817:UEP589894 UEP655353:UEP655430 UEP720889:UEP720966 UEP786425:UEP786502 UEP851961:UEP852038 UEP917497:UEP917574 UEP983033:UEP983110 UOL2:UOL70 UOL65529:UOL65606 UOL131065:UOL131142 UOL196601:UOL196678 UOL262137:UOL262214 UOL327673:UOL327750 UOL393209:UOL393286 UOL458745:UOL458822 UOL524281:UOL524358 UOL589817:UOL589894 UOL655353:UOL655430 UOL720889:UOL720966 UOL786425:UOL786502 UOL851961:UOL852038 UOL917497:UOL917574 UOL983033:UOL983110 UYH2:UYH70 UYH65529:UYH65606 UYH131065:UYH131142 UYH196601:UYH196678 UYH262137:UYH262214 UYH327673:UYH327750 UYH393209:UYH393286 UYH458745:UYH458822 UYH524281:UYH524358 UYH589817:UYH589894 UYH655353:UYH655430 UYH720889:UYH720966 UYH786425:UYH786502 UYH851961:UYH852038 UYH917497:UYH917574 UYH983033:UYH983110 VID2:VID70 VID65529:VID65606 VID131065:VID131142 VID196601:VID196678 VID262137:VID262214 VID327673:VID327750 VID393209:VID393286 VID458745:VID458822 VID524281:VID524358 VID589817:VID589894 VID655353:VID655430 VID720889:VID720966 VID786425:VID786502 VID851961:VID852038 VID917497:VID917574 VID983033:VID983110 VRZ2:VRZ70 VRZ65529:VRZ65606 VRZ131065:VRZ131142 VRZ196601:VRZ196678 VRZ262137:VRZ262214 VRZ327673:VRZ327750 VRZ393209:VRZ393286 VRZ458745:VRZ458822 VRZ524281:VRZ524358 VRZ589817:VRZ589894 VRZ655353:VRZ655430 VRZ720889:VRZ720966 VRZ786425:VRZ786502 VRZ851961:VRZ852038 VRZ917497:VRZ917574 VRZ983033:VRZ983110 WBV2:WBV70 WBV65529:WBV65606 WBV131065:WBV131142 WBV196601:WBV196678 WBV262137:WBV262214 WBV327673:WBV327750 WBV393209:WBV393286 WBV458745:WBV458822 WBV524281:WBV524358 WBV589817:WBV589894 WBV655353:WBV655430 WBV720889:WBV720966 WBV786425:WBV786502 WBV851961:WBV852038 WBV917497:WBV917574 WBV983033:WBV983110 WLR2:WLR70 WLR65529:WLR65606 WLR131065:WLR131142 WLR196601:WLR196678 WLR262137:WLR262214 WLR327673:WLR327750 WLR393209:WLR393286 WLR458745:WLR458822 WLR524281:WLR524358 WLR589817:WLR589894 WLR655353:WLR655430 WLR720889:WLR720966 WLR786425:WLR786502 WLR851961:WLR852038 WLR917497:WLR917574 WLR983033:WLR983110 WVN2:WVN70 WVN65529:WVN65606 WVN131065:WVN131142 WVN196601:WVN196678 WVN262137:WVN262214 WVN327673:WVN327750 WVN393209:WVN393286 WVN458745:WVN458822 WVN524281:WVN524358 WVN589817:WVN589894 WVN655353:WVN655430 WVN720889:WVN720966 WVN786425:WVN786502 WVN851961:WVN852038 WVN917497:WVN917574 WVN983033:WVN983110">
      <formula1>$AH$2:$AH$8</formula1>
    </dataValidation>
    <dataValidation type="list" allowBlank="1" showInputMessage="1" showErrorMessage="1" sqref="I2:I491 I65529:I65606 I131065:I131142 I196601:I196678 I262137:I262214 I327673:I327750 I393209:I393286 I458745:I458822 I524281:I524358 I589817:I589894 I655353:I655430 I720889:I720966 I786425:I786502 I851961:I852038 I917497:I917574 I983033:I983110 JE2:JE70 JE65529:JE65606 JE131065:JE131142 JE196601:JE196678 JE262137:JE262214 JE327673:JE327750 JE393209:JE393286 JE458745:JE458822 JE524281:JE524358 JE589817:JE589894 JE655353:JE655430 JE720889:JE720966 JE786425:JE786502 JE851961:JE852038 JE917497:JE917574 JE983033:JE983110 TA2:TA70 TA65529:TA65606 TA131065:TA131142 TA196601:TA196678 TA262137:TA262214 TA327673:TA327750 TA393209:TA393286 TA458745:TA458822 TA524281:TA524358 TA589817:TA589894 TA655353:TA655430 TA720889:TA720966 TA786425:TA786502 TA851961:TA852038 TA917497:TA917574 TA983033:TA983110 ACW2:ACW70 ACW65529:ACW65606 ACW131065:ACW131142 ACW196601:ACW196678 ACW262137:ACW262214 ACW327673:ACW327750 ACW393209:ACW393286 ACW458745:ACW458822 ACW524281:ACW524358 ACW589817:ACW589894 ACW655353:ACW655430 ACW720889:ACW720966 ACW786425:ACW786502 ACW851961:ACW852038 ACW917497:ACW917574 ACW983033:ACW983110 AMS2:AMS70 AMS65529:AMS65606 AMS131065:AMS131142 AMS196601:AMS196678 AMS262137:AMS262214 AMS327673:AMS327750 AMS393209:AMS393286 AMS458745:AMS458822 AMS524281:AMS524358 AMS589817:AMS589894 AMS655353:AMS655430 AMS720889:AMS720966 AMS786425:AMS786502 AMS851961:AMS852038 AMS917497:AMS917574 AMS983033:AMS983110 AWO2:AWO70 AWO65529:AWO65606 AWO131065:AWO131142 AWO196601:AWO196678 AWO262137:AWO262214 AWO327673:AWO327750 AWO393209:AWO393286 AWO458745:AWO458822 AWO524281:AWO524358 AWO589817:AWO589894 AWO655353:AWO655430 AWO720889:AWO720966 AWO786425:AWO786502 AWO851961:AWO852038 AWO917497:AWO917574 AWO983033:AWO983110 BGK2:BGK70 BGK65529:BGK65606 BGK131065:BGK131142 BGK196601:BGK196678 BGK262137:BGK262214 BGK327673:BGK327750 BGK393209:BGK393286 BGK458745:BGK458822 BGK524281:BGK524358 BGK589817:BGK589894 BGK655353:BGK655430 BGK720889:BGK720966 BGK786425:BGK786502 BGK851961:BGK852038 BGK917497:BGK917574 BGK983033:BGK983110 BQG2:BQG70 BQG65529:BQG65606 BQG131065:BQG131142 BQG196601:BQG196678 BQG262137:BQG262214 BQG327673:BQG327750 BQG393209:BQG393286 BQG458745:BQG458822 BQG524281:BQG524358 BQG589817:BQG589894 BQG655353:BQG655430 BQG720889:BQG720966 BQG786425:BQG786502 BQG851961:BQG852038 BQG917497:BQG917574 BQG983033:BQG983110 CAC2:CAC70 CAC65529:CAC65606 CAC131065:CAC131142 CAC196601:CAC196678 CAC262137:CAC262214 CAC327673:CAC327750 CAC393209:CAC393286 CAC458745:CAC458822 CAC524281:CAC524358 CAC589817:CAC589894 CAC655353:CAC655430 CAC720889:CAC720966 CAC786425:CAC786502 CAC851961:CAC852038 CAC917497:CAC917574 CAC983033:CAC983110 CJY2:CJY70 CJY65529:CJY65606 CJY131065:CJY131142 CJY196601:CJY196678 CJY262137:CJY262214 CJY327673:CJY327750 CJY393209:CJY393286 CJY458745:CJY458822 CJY524281:CJY524358 CJY589817:CJY589894 CJY655353:CJY655430 CJY720889:CJY720966 CJY786425:CJY786502 CJY851961:CJY852038 CJY917497:CJY917574 CJY983033:CJY983110 CTU2:CTU70 CTU65529:CTU65606 CTU131065:CTU131142 CTU196601:CTU196678 CTU262137:CTU262214 CTU327673:CTU327750 CTU393209:CTU393286 CTU458745:CTU458822 CTU524281:CTU524358 CTU589817:CTU589894 CTU655353:CTU655430 CTU720889:CTU720966 CTU786425:CTU786502 CTU851961:CTU852038 CTU917497:CTU917574 CTU983033:CTU983110 DDQ2:DDQ70 DDQ65529:DDQ65606 DDQ131065:DDQ131142 DDQ196601:DDQ196678 DDQ262137:DDQ262214 DDQ327673:DDQ327750 DDQ393209:DDQ393286 DDQ458745:DDQ458822 DDQ524281:DDQ524358 DDQ589817:DDQ589894 DDQ655353:DDQ655430 DDQ720889:DDQ720966 DDQ786425:DDQ786502 DDQ851961:DDQ852038 DDQ917497:DDQ917574 DDQ983033:DDQ983110 DNM2:DNM70 DNM65529:DNM65606 DNM131065:DNM131142 DNM196601:DNM196678 DNM262137:DNM262214 DNM327673:DNM327750 DNM393209:DNM393286 DNM458745:DNM458822 DNM524281:DNM524358 DNM589817:DNM589894 DNM655353:DNM655430 DNM720889:DNM720966 DNM786425:DNM786502 DNM851961:DNM852038 DNM917497:DNM917574 DNM983033:DNM983110 DXI2:DXI70 DXI65529:DXI65606 DXI131065:DXI131142 DXI196601:DXI196678 DXI262137:DXI262214 DXI327673:DXI327750 DXI393209:DXI393286 DXI458745:DXI458822 DXI524281:DXI524358 DXI589817:DXI589894 DXI655353:DXI655430 DXI720889:DXI720966 DXI786425:DXI786502 DXI851961:DXI852038 DXI917497:DXI917574 DXI983033:DXI983110 EHE2:EHE70 EHE65529:EHE65606 EHE131065:EHE131142 EHE196601:EHE196678 EHE262137:EHE262214 EHE327673:EHE327750 EHE393209:EHE393286 EHE458745:EHE458822 EHE524281:EHE524358 EHE589817:EHE589894 EHE655353:EHE655430 EHE720889:EHE720966 EHE786425:EHE786502 EHE851961:EHE852038 EHE917497:EHE917574 EHE983033:EHE983110 ERA2:ERA70 ERA65529:ERA65606 ERA131065:ERA131142 ERA196601:ERA196678 ERA262137:ERA262214 ERA327673:ERA327750 ERA393209:ERA393286 ERA458745:ERA458822 ERA524281:ERA524358 ERA589817:ERA589894 ERA655353:ERA655430 ERA720889:ERA720966 ERA786425:ERA786502 ERA851961:ERA852038 ERA917497:ERA917574 ERA983033:ERA983110 FAW2:FAW70 FAW65529:FAW65606 FAW131065:FAW131142 FAW196601:FAW196678 FAW262137:FAW262214 FAW327673:FAW327750 FAW393209:FAW393286 FAW458745:FAW458822 FAW524281:FAW524358 FAW589817:FAW589894 FAW655353:FAW655430 FAW720889:FAW720966 FAW786425:FAW786502 FAW851961:FAW852038 FAW917497:FAW917574 FAW983033:FAW983110 FKS2:FKS70 FKS65529:FKS65606 FKS131065:FKS131142 FKS196601:FKS196678 FKS262137:FKS262214 FKS327673:FKS327750 FKS393209:FKS393286 FKS458745:FKS458822 FKS524281:FKS524358 FKS589817:FKS589894 FKS655353:FKS655430 FKS720889:FKS720966 FKS786425:FKS786502 FKS851961:FKS852038 FKS917497:FKS917574 FKS983033:FKS983110 FUO2:FUO70 FUO65529:FUO65606 FUO131065:FUO131142 FUO196601:FUO196678 FUO262137:FUO262214 FUO327673:FUO327750 FUO393209:FUO393286 FUO458745:FUO458822 FUO524281:FUO524358 FUO589817:FUO589894 FUO655353:FUO655430 FUO720889:FUO720966 FUO786425:FUO786502 FUO851961:FUO852038 FUO917497:FUO917574 FUO983033:FUO983110 GEK2:GEK70 GEK65529:GEK65606 GEK131065:GEK131142 GEK196601:GEK196678 GEK262137:GEK262214 GEK327673:GEK327750 GEK393209:GEK393286 GEK458745:GEK458822 GEK524281:GEK524358 GEK589817:GEK589894 GEK655353:GEK655430 GEK720889:GEK720966 GEK786425:GEK786502 GEK851961:GEK852038 GEK917497:GEK917574 GEK983033:GEK983110 GOG2:GOG70 GOG65529:GOG65606 GOG131065:GOG131142 GOG196601:GOG196678 GOG262137:GOG262214 GOG327673:GOG327750 GOG393209:GOG393286 GOG458745:GOG458822 GOG524281:GOG524358 GOG589817:GOG589894 GOG655353:GOG655430 GOG720889:GOG720966 GOG786425:GOG786502 GOG851961:GOG852038 GOG917497:GOG917574 GOG983033:GOG983110 GYC2:GYC70 GYC65529:GYC65606 GYC131065:GYC131142 GYC196601:GYC196678 GYC262137:GYC262214 GYC327673:GYC327750 GYC393209:GYC393286 GYC458745:GYC458822 GYC524281:GYC524358 GYC589817:GYC589894 GYC655353:GYC655430 GYC720889:GYC720966 GYC786425:GYC786502 GYC851961:GYC852038 GYC917497:GYC917574 GYC983033:GYC983110 HHY2:HHY70 HHY65529:HHY65606 HHY131065:HHY131142 HHY196601:HHY196678 HHY262137:HHY262214 HHY327673:HHY327750 HHY393209:HHY393286 HHY458745:HHY458822 HHY524281:HHY524358 HHY589817:HHY589894 HHY655353:HHY655430 HHY720889:HHY720966 HHY786425:HHY786502 HHY851961:HHY852038 HHY917497:HHY917574 HHY983033:HHY983110 HRU2:HRU70 HRU65529:HRU65606 HRU131065:HRU131142 HRU196601:HRU196678 HRU262137:HRU262214 HRU327673:HRU327750 HRU393209:HRU393286 HRU458745:HRU458822 HRU524281:HRU524358 HRU589817:HRU589894 HRU655353:HRU655430 HRU720889:HRU720966 HRU786425:HRU786502 HRU851961:HRU852038 HRU917497:HRU917574 HRU983033:HRU983110 IBQ2:IBQ70 IBQ65529:IBQ65606 IBQ131065:IBQ131142 IBQ196601:IBQ196678 IBQ262137:IBQ262214 IBQ327673:IBQ327750 IBQ393209:IBQ393286 IBQ458745:IBQ458822 IBQ524281:IBQ524358 IBQ589817:IBQ589894 IBQ655353:IBQ655430 IBQ720889:IBQ720966 IBQ786425:IBQ786502 IBQ851961:IBQ852038 IBQ917497:IBQ917574 IBQ983033:IBQ983110 ILM2:ILM70 ILM65529:ILM65606 ILM131065:ILM131142 ILM196601:ILM196678 ILM262137:ILM262214 ILM327673:ILM327750 ILM393209:ILM393286 ILM458745:ILM458822 ILM524281:ILM524358 ILM589817:ILM589894 ILM655353:ILM655430 ILM720889:ILM720966 ILM786425:ILM786502 ILM851961:ILM852038 ILM917497:ILM917574 ILM983033:ILM983110 IVI2:IVI70 IVI65529:IVI65606 IVI131065:IVI131142 IVI196601:IVI196678 IVI262137:IVI262214 IVI327673:IVI327750 IVI393209:IVI393286 IVI458745:IVI458822 IVI524281:IVI524358 IVI589817:IVI589894 IVI655353:IVI655430 IVI720889:IVI720966 IVI786425:IVI786502 IVI851961:IVI852038 IVI917497:IVI917574 IVI983033:IVI983110 JFE2:JFE70 JFE65529:JFE65606 JFE131065:JFE131142 JFE196601:JFE196678 JFE262137:JFE262214 JFE327673:JFE327750 JFE393209:JFE393286 JFE458745:JFE458822 JFE524281:JFE524358 JFE589817:JFE589894 JFE655353:JFE655430 JFE720889:JFE720966 JFE786425:JFE786502 JFE851961:JFE852038 JFE917497:JFE917574 JFE983033:JFE983110 JPA2:JPA70 JPA65529:JPA65606 JPA131065:JPA131142 JPA196601:JPA196678 JPA262137:JPA262214 JPA327673:JPA327750 JPA393209:JPA393286 JPA458745:JPA458822 JPA524281:JPA524358 JPA589817:JPA589894 JPA655353:JPA655430 JPA720889:JPA720966 JPA786425:JPA786502 JPA851961:JPA852038 JPA917497:JPA917574 JPA983033:JPA983110 JYW2:JYW70 JYW65529:JYW65606 JYW131065:JYW131142 JYW196601:JYW196678 JYW262137:JYW262214 JYW327673:JYW327750 JYW393209:JYW393286 JYW458745:JYW458822 JYW524281:JYW524358 JYW589817:JYW589894 JYW655353:JYW655430 JYW720889:JYW720966 JYW786425:JYW786502 JYW851961:JYW852038 JYW917497:JYW917574 JYW983033:JYW983110 KIS2:KIS70 KIS65529:KIS65606 KIS131065:KIS131142 KIS196601:KIS196678 KIS262137:KIS262214 KIS327673:KIS327750 KIS393209:KIS393286 KIS458745:KIS458822 KIS524281:KIS524358 KIS589817:KIS589894 KIS655353:KIS655430 KIS720889:KIS720966 KIS786425:KIS786502 KIS851961:KIS852038 KIS917497:KIS917574 KIS983033:KIS983110 KSO2:KSO70 KSO65529:KSO65606 KSO131065:KSO131142 KSO196601:KSO196678 KSO262137:KSO262214 KSO327673:KSO327750 KSO393209:KSO393286 KSO458745:KSO458822 KSO524281:KSO524358 KSO589817:KSO589894 KSO655353:KSO655430 KSO720889:KSO720966 KSO786425:KSO786502 KSO851961:KSO852038 KSO917497:KSO917574 KSO983033:KSO983110 LCK2:LCK70 LCK65529:LCK65606 LCK131065:LCK131142 LCK196601:LCK196678 LCK262137:LCK262214 LCK327673:LCK327750 LCK393209:LCK393286 LCK458745:LCK458822 LCK524281:LCK524358 LCK589817:LCK589894 LCK655353:LCK655430 LCK720889:LCK720966 LCK786425:LCK786502 LCK851961:LCK852038 LCK917497:LCK917574 LCK983033:LCK983110 LMG2:LMG70 LMG65529:LMG65606 LMG131065:LMG131142 LMG196601:LMG196678 LMG262137:LMG262214 LMG327673:LMG327750 LMG393209:LMG393286 LMG458745:LMG458822 LMG524281:LMG524358 LMG589817:LMG589894 LMG655353:LMG655430 LMG720889:LMG720966 LMG786425:LMG786502 LMG851961:LMG852038 LMG917497:LMG917574 LMG983033:LMG983110 LWC2:LWC70 LWC65529:LWC65606 LWC131065:LWC131142 LWC196601:LWC196678 LWC262137:LWC262214 LWC327673:LWC327750 LWC393209:LWC393286 LWC458745:LWC458822 LWC524281:LWC524358 LWC589817:LWC589894 LWC655353:LWC655430 LWC720889:LWC720966 LWC786425:LWC786502 LWC851961:LWC852038 LWC917497:LWC917574 LWC983033:LWC983110 MFY2:MFY70 MFY65529:MFY65606 MFY131065:MFY131142 MFY196601:MFY196678 MFY262137:MFY262214 MFY327673:MFY327750 MFY393209:MFY393286 MFY458745:MFY458822 MFY524281:MFY524358 MFY589817:MFY589894 MFY655353:MFY655430 MFY720889:MFY720966 MFY786425:MFY786502 MFY851961:MFY852038 MFY917497:MFY917574 MFY983033:MFY983110 MPU2:MPU70 MPU65529:MPU65606 MPU131065:MPU131142 MPU196601:MPU196678 MPU262137:MPU262214 MPU327673:MPU327750 MPU393209:MPU393286 MPU458745:MPU458822 MPU524281:MPU524358 MPU589817:MPU589894 MPU655353:MPU655430 MPU720889:MPU720966 MPU786425:MPU786502 MPU851961:MPU852038 MPU917497:MPU917574 MPU983033:MPU983110 MZQ2:MZQ70 MZQ65529:MZQ65606 MZQ131065:MZQ131142 MZQ196601:MZQ196678 MZQ262137:MZQ262214 MZQ327673:MZQ327750 MZQ393209:MZQ393286 MZQ458745:MZQ458822 MZQ524281:MZQ524358 MZQ589817:MZQ589894 MZQ655353:MZQ655430 MZQ720889:MZQ720966 MZQ786425:MZQ786502 MZQ851961:MZQ852038 MZQ917497:MZQ917574 MZQ983033:MZQ983110 NJM2:NJM70 NJM65529:NJM65606 NJM131065:NJM131142 NJM196601:NJM196678 NJM262137:NJM262214 NJM327673:NJM327750 NJM393209:NJM393286 NJM458745:NJM458822 NJM524281:NJM524358 NJM589817:NJM589894 NJM655353:NJM655430 NJM720889:NJM720966 NJM786425:NJM786502 NJM851961:NJM852038 NJM917497:NJM917574 NJM983033:NJM983110 NTI2:NTI70 NTI65529:NTI65606 NTI131065:NTI131142 NTI196601:NTI196678 NTI262137:NTI262214 NTI327673:NTI327750 NTI393209:NTI393286 NTI458745:NTI458822 NTI524281:NTI524358 NTI589817:NTI589894 NTI655353:NTI655430 NTI720889:NTI720966 NTI786425:NTI786502 NTI851961:NTI852038 NTI917497:NTI917574 NTI983033:NTI983110 ODE2:ODE70 ODE65529:ODE65606 ODE131065:ODE131142 ODE196601:ODE196678 ODE262137:ODE262214 ODE327673:ODE327750 ODE393209:ODE393286 ODE458745:ODE458822 ODE524281:ODE524358 ODE589817:ODE589894 ODE655353:ODE655430 ODE720889:ODE720966 ODE786425:ODE786502 ODE851961:ODE852038 ODE917497:ODE917574 ODE983033:ODE983110 ONA2:ONA70 ONA65529:ONA65606 ONA131065:ONA131142 ONA196601:ONA196678 ONA262137:ONA262214 ONA327673:ONA327750 ONA393209:ONA393286 ONA458745:ONA458822 ONA524281:ONA524358 ONA589817:ONA589894 ONA655353:ONA655430 ONA720889:ONA720966 ONA786425:ONA786502 ONA851961:ONA852038 ONA917497:ONA917574 ONA983033:ONA983110 OWW2:OWW70 OWW65529:OWW65606 OWW131065:OWW131142 OWW196601:OWW196678 OWW262137:OWW262214 OWW327673:OWW327750 OWW393209:OWW393286 OWW458745:OWW458822 OWW524281:OWW524358 OWW589817:OWW589894 OWW655353:OWW655430 OWW720889:OWW720966 OWW786425:OWW786502 OWW851961:OWW852038 OWW917497:OWW917574 OWW983033:OWW983110 PGS2:PGS70 PGS65529:PGS65606 PGS131065:PGS131142 PGS196601:PGS196678 PGS262137:PGS262214 PGS327673:PGS327750 PGS393209:PGS393286 PGS458745:PGS458822 PGS524281:PGS524358 PGS589817:PGS589894 PGS655353:PGS655430 PGS720889:PGS720966 PGS786425:PGS786502 PGS851961:PGS852038 PGS917497:PGS917574 PGS983033:PGS983110 PQO2:PQO70 PQO65529:PQO65606 PQO131065:PQO131142 PQO196601:PQO196678 PQO262137:PQO262214 PQO327673:PQO327750 PQO393209:PQO393286 PQO458745:PQO458822 PQO524281:PQO524358 PQO589817:PQO589894 PQO655353:PQO655430 PQO720889:PQO720966 PQO786425:PQO786502 PQO851961:PQO852038 PQO917497:PQO917574 PQO983033:PQO983110 QAK2:QAK70 QAK65529:QAK65606 QAK131065:QAK131142 QAK196601:QAK196678 QAK262137:QAK262214 QAK327673:QAK327750 QAK393209:QAK393286 QAK458745:QAK458822 QAK524281:QAK524358 QAK589817:QAK589894 QAK655353:QAK655430 QAK720889:QAK720966 QAK786425:QAK786502 QAK851961:QAK852038 QAK917497:QAK917574 QAK983033:QAK983110 QKG2:QKG70 QKG65529:QKG65606 QKG131065:QKG131142 QKG196601:QKG196678 QKG262137:QKG262214 QKG327673:QKG327750 QKG393209:QKG393286 QKG458745:QKG458822 QKG524281:QKG524358 QKG589817:QKG589894 QKG655353:QKG655430 QKG720889:QKG720966 QKG786425:QKG786502 QKG851961:QKG852038 QKG917497:QKG917574 QKG983033:QKG983110 QUC2:QUC70 QUC65529:QUC65606 QUC131065:QUC131142 QUC196601:QUC196678 QUC262137:QUC262214 QUC327673:QUC327750 QUC393209:QUC393286 QUC458745:QUC458822 QUC524281:QUC524358 QUC589817:QUC589894 QUC655353:QUC655430 QUC720889:QUC720966 QUC786425:QUC786502 QUC851961:QUC852038 QUC917497:QUC917574 QUC983033:QUC983110 RDY2:RDY70 RDY65529:RDY65606 RDY131065:RDY131142 RDY196601:RDY196678 RDY262137:RDY262214 RDY327673:RDY327750 RDY393209:RDY393286 RDY458745:RDY458822 RDY524281:RDY524358 RDY589817:RDY589894 RDY655353:RDY655430 RDY720889:RDY720966 RDY786425:RDY786502 RDY851961:RDY852038 RDY917497:RDY917574 RDY983033:RDY983110 RNU2:RNU70 RNU65529:RNU65606 RNU131065:RNU131142 RNU196601:RNU196678 RNU262137:RNU262214 RNU327673:RNU327750 RNU393209:RNU393286 RNU458745:RNU458822 RNU524281:RNU524358 RNU589817:RNU589894 RNU655353:RNU655430 RNU720889:RNU720966 RNU786425:RNU786502 RNU851961:RNU852038 RNU917497:RNU917574 RNU983033:RNU983110 RXQ2:RXQ70 RXQ65529:RXQ65606 RXQ131065:RXQ131142 RXQ196601:RXQ196678 RXQ262137:RXQ262214 RXQ327673:RXQ327750 RXQ393209:RXQ393286 RXQ458745:RXQ458822 RXQ524281:RXQ524358 RXQ589817:RXQ589894 RXQ655353:RXQ655430 RXQ720889:RXQ720966 RXQ786425:RXQ786502 RXQ851961:RXQ852038 RXQ917497:RXQ917574 RXQ983033:RXQ983110 SHM2:SHM70 SHM65529:SHM65606 SHM131065:SHM131142 SHM196601:SHM196678 SHM262137:SHM262214 SHM327673:SHM327750 SHM393209:SHM393286 SHM458745:SHM458822 SHM524281:SHM524358 SHM589817:SHM589894 SHM655353:SHM655430 SHM720889:SHM720966 SHM786425:SHM786502 SHM851961:SHM852038 SHM917497:SHM917574 SHM983033:SHM983110 SRI2:SRI70 SRI65529:SRI65606 SRI131065:SRI131142 SRI196601:SRI196678 SRI262137:SRI262214 SRI327673:SRI327750 SRI393209:SRI393286 SRI458745:SRI458822 SRI524281:SRI524358 SRI589817:SRI589894 SRI655353:SRI655430 SRI720889:SRI720966 SRI786425:SRI786502 SRI851961:SRI852038 SRI917497:SRI917574 SRI983033:SRI983110 TBE2:TBE70 TBE65529:TBE65606 TBE131065:TBE131142 TBE196601:TBE196678 TBE262137:TBE262214 TBE327673:TBE327750 TBE393209:TBE393286 TBE458745:TBE458822 TBE524281:TBE524358 TBE589817:TBE589894 TBE655353:TBE655430 TBE720889:TBE720966 TBE786425:TBE786502 TBE851961:TBE852038 TBE917497:TBE917574 TBE983033:TBE983110 TLA2:TLA70 TLA65529:TLA65606 TLA131065:TLA131142 TLA196601:TLA196678 TLA262137:TLA262214 TLA327673:TLA327750 TLA393209:TLA393286 TLA458745:TLA458822 TLA524281:TLA524358 TLA589817:TLA589894 TLA655353:TLA655430 TLA720889:TLA720966 TLA786425:TLA786502 TLA851961:TLA852038 TLA917497:TLA917574 TLA983033:TLA983110 TUW2:TUW70 TUW65529:TUW65606 TUW131065:TUW131142 TUW196601:TUW196678 TUW262137:TUW262214 TUW327673:TUW327750 TUW393209:TUW393286 TUW458745:TUW458822 TUW524281:TUW524358 TUW589817:TUW589894 TUW655353:TUW655430 TUW720889:TUW720966 TUW786425:TUW786502 TUW851961:TUW852038 TUW917497:TUW917574 TUW983033:TUW983110 UES2:UES70 UES65529:UES65606 UES131065:UES131142 UES196601:UES196678 UES262137:UES262214 UES327673:UES327750 UES393209:UES393286 UES458745:UES458822 UES524281:UES524358 UES589817:UES589894 UES655353:UES655430 UES720889:UES720966 UES786425:UES786502 UES851961:UES852038 UES917497:UES917574 UES983033:UES983110 UOO2:UOO70 UOO65529:UOO65606 UOO131065:UOO131142 UOO196601:UOO196678 UOO262137:UOO262214 UOO327673:UOO327750 UOO393209:UOO393286 UOO458745:UOO458822 UOO524281:UOO524358 UOO589817:UOO589894 UOO655353:UOO655430 UOO720889:UOO720966 UOO786425:UOO786502 UOO851961:UOO852038 UOO917497:UOO917574 UOO983033:UOO983110 UYK2:UYK70 UYK65529:UYK65606 UYK131065:UYK131142 UYK196601:UYK196678 UYK262137:UYK262214 UYK327673:UYK327750 UYK393209:UYK393286 UYK458745:UYK458822 UYK524281:UYK524358 UYK589817:UYK589894 UYK655353:UYK655430 UYK720889:UYK720966 UYK786425:UYK786502 UYK851961:UYK852038 UYK917497:UYK917574 UYK983033:UYK983110 VIG2:VIG70 VIG65529:VIG65606 VIG131065:VIG131142 VIG196601:VIG196678 VIG262137:VIG262214 VIG327673:VIG327750 VIG393209:VIG393286 VIG458745:VIG458822 VIG524281:VIG524358 VIG589817:VIG589894 VIG655353:VIG655430 VIG720889:VIG720966 VIG786425:VIG786502 VIG851961:VIG852038 VIG917497:VIG917574 VIG983033:VIG983110 VSC2:VSC70 VSC65529:VSC65606 VSC131065:VSC131142 VSC196601:VSC196678 VSC262137:VSC262214 VSC327673:VSC327750 VSC393209:VSC393286 VSC458745:VSC458822 VSC524281:VSC524358 VSC589817:VSC589894 VSC655353:VSC655430 VSC720889:VSC720966 VSC786425:VSC786502 VSC851961:VSC852038 VSC917497:VSC917574 VSC983033:VSC983110 WBY2:WBY70 WBY65529:WBY65606 WBY131065:WBY131142 WBY196601:WBY196678 WBY262137:WBY262214 WBY327673:WBY327750 WBY393209:WBY393286 WBY458745:WBY458822 WBY524281:WBY524358 WBY589817:WBY589894 WBY655353:WBY655430 WBY720889:WBY720966 WBY786425:WBY786502 WBY851961:WBY852038 WBY917497:WBY917574 WBY983033:WBY983110 WLU2:WLU70 WLU65529:WLU65606 WLU131065:WLU131142 WLU196601:WLU196678 WLU262137:WLU262214 WLU327673:WLU327750 WLU393209:WLU393286 WLU458745:WLU458822 WLU524281:WLU524358 WLU589817:WLU589894 WLU655353:WLU655430 WLU720889:WLU720966 WLU786425:WLU786502 WLU851961:WLU852038 WLU917497:WLU917574 WLU983033:WLU983110 WVQ2:WVQ70 WVQ65529:WVQ65606 WVQ131065:WVQ131142 WVQ196601:WVQ196678 WVQ262137:WVQ262214 WVQ327673:WVQ327750 WVQ393209:WVQ393286 WVQ458745:WVQ458822 WVQ524281:WVQ524358 WVQ589817:WVQ589894 WVQ655353:WVQ655430 WVQ720889:WVQ720966 WVQ786425:WVQ786502 WVQ851961:WVQ852038 WVQ917497:WVQ917574 WVQ983033:WVQ983110">
      <formula1>#REF!</formula1>
    </dataValidation>
    <dataValidation type="list" allowBlank="1" showInputMessage="1" showErrorMessage="1" sqref="H2:H491">
      <formula1>$AL$2:$AL$5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29 IX65529 ST65529 ACP65529 AML65529 AWH65529 BGD65529 BPZ65529 BZV65529 CJR65529 CTN65529 DDJ65529 DNF65529 DXB65529 EGX65529 EQT65529 FAP65529 FKL65529 FUH65529 GED65529 GNZ65529 GXV65529 HHR65529 HRN65529 IBJ65529 ILF65529 IVB65529 JEX65529 JOT65529 JYP65529 KIL65529 KSH65529 LCD65529 LLZ65529 LVV65529 MFR65529 MPN65529 MZJ65529 NJF65529 NTB65529 OCX65529 OMT65529 OWP65529 PGL65529 PQH65529 QAD65529 QJZ65529 QTV65529 RDR65529 RNN65529 RXJ65529 SHF65529 SRB65529 TAX65529 TKT65529 TUP65529 UEL65529 UOH65529 UYD65529 VHZ65529 VRV65529 WBR65529 WLN65529 WVJ65529 B131065 IX131065 ST131065 ACP131065 AML131065 AWH131065 BGD131065 BPZ131065 BZV131065 CJR131065 CTN131065 DDJ131065 DNF131065 DXB131065 EGX131065 EQT131065 FAP131065 FKL131065 FUH131065 GED131065 GNZ131065 GXV131065 HHR131065 HRN131065 IBJ131065 ILF131065 IVB131065 JEX131065 JOT131065 JYP131065 KIL131065 KSH131065 LCD131065 LLZ131065 LVV131065 MFR131065 MPN131065 MZJ131065 NJF131065 NTB131065 OCX131065 OMT131065 OWP131065 PGL131065 PQH131065 QAD131065 QJZ131065 QTV131065 RDR131065 RNN131065 RXJ131065 SHF131065 SRB131065 TAX131065 TKT131065 TUP131065 UEL131065 UOH131065 UYD131065 VHZ131065 VRV131065 WBR131065 WLN131065 WVJ131065 B196601 IX196601 ST196601 ACP196601 AML196601 AWH196601 BGD196601 BPZ196601 BZV196601 CJR196601 CTN196601 DDJ196601 DNF196601 DXB196601 EGX196601 EQT196601 FAP196601 FKL196601 FUH196601 GED196601 GNZ196601 GXV196601 HHR196601 HRN196601 IBJ196601 ILF196601 IVB196601 JEX196601 JOT196601 JYP196601 KIL196601 KSH196601 LCD196601 LLZ196601 LVV196601 MFR196601 MPN196601 MZJ196601 NJF196601 NTB196601 OCX196601 OMT196601 OWP196601 PGL196601 PQH196601 QAD196601 QJZ196601 QTV196601 RDR196601 RNN196601 RXJ196601 SHF196601 SRB196601 TAX196601 TKT196601 TUP196601 UEL196601 UOH196601 UYD196601 VHZ196601 VRV196601 WBR196601 WLN196601 WVJ196601 B262137 IX262137 ST262137 ACP262137 AML262137 AWH262137 BGD262137 BPZ262137 BZV262137 CJR262137 CTN262137 DDJ262137 DNF262137 DXB262137 EGX262137 EQT262137 FAP262137 FKL262137 FUH262137 GED262137 GNZ262137 GXV262137 HHR262137 HRN262137 IBJ262137 ILF262137 IVB262137 JEX262137 JOT262137 JYP262137 KIL262137 KSH262137 LCD262137 LLZ262137 LVV262137 MFR262137 MPN262137 MZJ262137 NJF262137 NTB262137 OCX262137 OMT262137 OWP262137 PGL262137 PQH262137 QAD262137 QJZ262137 QTV262137 RDR262137 RNN262137 RXJ262137 SHF262137 SRB262137 TAX262137 TKT262137 TUP262137 UEL262137 UOH262137 UYD262137 VHZ262137 VRV262137 WBR262137 WLN262137 WVJ262137 B327673 IX327673 ST327673 ACP327673 AML327673 AWH327673 BGD327673 BPZ327673 BZV327673 CJR327673 CTN327673 DDJ327673 DNF327673 DXB327673 EGX327673 EQT327673 FAP327673 FKL327673 FUH327673 GED327673 GNZ327673 GXV327673 HHR327673 HRN327673 IBJ327673 ILF327673 IVB327673 JEX327673 JOT327673 JYP327673 KIL327673 KSH327673 LCD327673 LLZ327673 LVV327673 MFR327673 MPN327673 MZJ327673 NJF327673 NTB327673 OCX327673 OMT327673 OWP327673 PGL327673 PQH327673 QAD327673 QJZ327673 QTV327673 RDR327673 RNN327673 RXJ327673 SHF327673 SRB327673 TAX327673 TKT327673 TUP327673 UEL327673 UOH327673 UYD327673 VHZ327673 VRV327673 WBR327673 WLN327673 WVJ327673 B393209 IX393209 ST393209 ACP393209 AML393209 AWH393209 BGD393209 BPZ393209 BZV393209 CJR393209 CTN393209 DDJ393209 DNF393209 DXB393209 EGX393209 EQT393209 FAP393209 FKL393209 FUH393209 GED393209 GNZ393209 GXV393209 HHR393209 HRN393209 IBJ393209 ILF393209 IVB393209 JEX393209 JOT393209 JYP393209 KIL393209 KSH393209 LCD393209 LLZ393209 LVV393209 MFR393209 MPN393209 MZJ393209 NJF393209 NTB393209 OCX393209 OMT393209 OWP393209 PGL393209 PQH393209 QAD393209 QJZ393209 QTV393209 RDR393209 RNN393209 RXJ393209 SHF393209 SRB393209 TAX393209 TKT393209 TUP393209 UEL393209 UOH393209 UYD393209 VHZ393209 VRV393209 WBR393209 WLN393209 WVJ393209 B458745 IX458745 ST458745 ACP458745 AML458745 AWH458745 BGD458745 BPZ458745 BZV458745 CJR458745 CTN458745 DDJ458745 DNF458745 DXB458745 EGX458745 EQT458745 FAP458745 FKL458745 FUH458745 GED458745 GNZ458745 GXV458745 HHR458745 HRN458745 IBJ458745 ILF458745 IVB458745 JEX458745 JOT458745 JYP458745 KIL458745 KSH458745 LCD458745 LLZ458745 LVV458745 MFR458745 MPN458745 MZJ458745 NJF458745 NTB458745 OCX458745 OMT458745 OWP458745 PGL458745 PQH458745 QAD458745 QJZ458745 QTV458745 RDR458745 RNN458745 RXJ458745 SHF458745 SRB458745 TAX458745 TKT458745 TUP458745 UEL458745 UOH458745 UYD458745 VHZ458745 VRV458745 WBR458745 WLN458745 WVJ458745 B524281 IX524281 ST524281 ACP524281 AML524281 AWH524281 BGD524281 BPZ524281 BZV524281 CJR524281 CTN524281 DDJ524281 DNF524281 DXB524281 EGX524281 EQT524281 FAP524281 FKL524281 FUH524281 GED524281 GNZ524281 GXV524281 HHR524281 HRN524281 IBJ524281 ILF524281 IVB524281 JEX524281 JOT524281 JYP524281 KIL524281 KSH524281 LCD524281 LLZ524281 LVV524281 MFR524281 MPN524281 MZJ524281 NJF524281 NTB524281 OCX524281 OMT524281 OWP524281 PGL524281 PQH524281 QAD524281 QJZ524281 QTV524281 RDR524281 RNN524281 RXJ524281 SHF524281 SRB524281 TAX524281 TKT524281 TUP524281 UEL524281 UOH524281 UYD524281 VHZ524281 VRV524281 WBR524281 WLN524281 WVJ524281 B589817 IX589817 ST589817 ACP589817 AML589817 AWH589817 BGD589817 BPZ589817 BZV589817 CJR589817 CTN589817 DDJ589817 DNF589817 DXB589817 EGX589817 EQT589817 FAP589817 FKL589817 FUH589817 GED589817 GNZ589817 GXV589817 HHR589817 HRN589817 IBJ589817 ILF589817 IVB589817 JEX589817 JOT589817 JYP589817 KIL589817 KSH589817 LCD589817 LLZ589817 LVV589817 MFR589817 MPN589817 MZJ589817 NJF589817 NTB589817 OCX589817 OMT589817 OWP589817 PGL589817 PQH589817 QAD589817 QJZ589817 QTV589817 RDR589817 RNN589817 RXJ589817 SHF589817 SRB589817 TAX589817 TKT589817 TUP589817 UEL589817 UOH589817 UYD589817 VHZ589817 VRV589817 WBR589817 WLN589817 WVJ589817 B655353 IX655353 ST655353 ACP655353 AML655353 AWH655353 BGD655353 BPZ655353 BZV655353 CJR655353 CTN655353 DDJ655353 DNF655353 DXB655353 EGX655353 EQT655353 FAP655353 FKL655353 FUH655353 GED655353 GNZ655353 GXV655353 HHR655353 HRN655353 IBJ655353 ILF655353 IVB655353 JEX655353 JOT655353 JYP655353 KIL655353 KSH655353 LCD655353 LLZ655353 LVV655353 MFR655353 MPN655353 MZJ655353 NJF655353 NTB655353 OCX655353 OMT655353 OWP655353 PGL655353 PQH655353 QAD655353 QJZ655353 QTV655353 RDR655353 RNN655353 RXJ655353 SHF655353 SRB655353 TAX655353 TKT655353 TUP655353 UEL655353 UOH655353 UYD655353 VHZ655353 VRV655353 WBR655353 WLN655353 WVJ655353 B720889 IX720889 ST720889 ACP720889 AML720889 AWH720889 BGD720889 BPZ720889 BZV720889 CJR720889 CTN720889 DDJ720889 DNF720889 DXB720889 EGX720889 EQT720889 FAP720889 FKL720889 FUH720889 GED720889 GNZ720889 GXV720889 HHR720889 HRN720889 IBJ720889 ILF720889 IVB720889 JEX720889 JOT720889 JYP720889 KIL720889 KSH720889 LCD720889 LLZ720889 LVV720889 MFR720889 MPN720889 MZJ720889 NJF720889 NTB720889 OCX720889 OMT720889 OWP720889 PGL720889 PQH720889 QAD720889 QJZ720889 QTV720889 RDR720889 RNN720889 RXJ720889 SHF720889 SRB720889 TAX720889 TKT720889 TUP720889 UEL720889 UOH720889 UYD720889 VHZ720889 VRV720889 WBR720889 WLN720889 WVJ720889 B786425 IX786425 ST786425 ACP786425 AML786425 AWH786425 BGD786425 BPZ786425 BZV786425 CJR786425 CTN786425 DDJ786425 DNF786425 DXB786425 EGX786425 EQT786425 FAP786425 FKL786425 FUH786425 GED786425 GNZ786425 GXV786425 HHR786425 HRN786425 IBJ786425 ILF786425 IVB786425 JEX786425 JOT786425 JYP786425 KIL786425 KSH786425 LCD786425 LLZ786425 LVV786425 MFR786425 MPN786425 MZJ786425 NJF786425 NTB786425 OCX786425 OMT786425 OWP786425 PGL786425 PQH786425 QAD786425 QJZ786425 QTV786425 RDR786425 RNN786425 RXJ786425 SHF786425 SRB786425 TAX786425 TKT786425 TUP786425 UEL786425 UOH786425 UYD786425 VHZ786425 VRV786425 WBR786425 WLN786425 WVJ786425 B851961 IX851961 ST851961 ACP851961 AML851961 AWH851961 BGD851961 BPZ851961 BZV851961 CJR851961 CTN851961 DDJ851961 DNF851961 DXB851961 EGX851961 EQT851961 FAP851961 FKL851961 FUH851961 GED851961 GNZ851961 GXV851961 HHR851961 HRN851961 IBJ851961 ILF851961 IVB851961 JEX851961 JOT851961 JYP851961 KIL851961 KSH851961 LCD851961 LLZ851961 LVV851961 MFR851961 MPN851961 MZJ851961 NJF851961 NTB851961 OCX851961 OMT851961 OWP851961 PGL851961 PQH851961 QAD851961 QJZ851961 QTV851961 RDR851961 RNN851961 RXJ851961 SHF851961 SRB851961 TAX851961 TKT851961 TUP851961 UEL851961 UOH851961 UYD851961 VHZ851961 VRV851961 WBR851961 WLN851961 WVJ851961 B917497 IX917497 ST917497 ACP917497 AML917497 AWH917497 BGD917497 BPZ917497 BZV917497 CJR917497 CTN917497 DDJ917497 DNF917497 DXB917497 EGX917497 EQT917497 FAP917497 FKL917497 FUH917497 GED917497 GNZ917497 GXV917497 HHR917497 HRN917497 IBJ917497 ILF917497 IVB917497 JEX917497 JOT917497 JYP917497 KIL917497 KSH917497 LCD917497 LLZ917497 LVV917497 MFR917497 MPN917497 MZJ917497 NJF917497 NTB917497 OCX917497 OMT917497 OWP917497 PGL917497 PQH917497 QAD917497 QJZ917497 QTV917497 RDR917497 RNN917497 RXJ917497 SHF917497 SRB917497 TAX917497 TKT917497 TUP917497 UEL917497 UOH917497 UYD917497 VHZ917497 VRV917497 WBR917497 WLN917497 WVJ917497 B983033 IX983033 ST983033 ACP983033 AML983033 AWH983033 BGD983033 BPZ983033 BZV983033 CJR983033 CTN983033 DDJ983033 DNF983033 DXB983033 EGX983033 EQT983033 FAP983033 FKL983033 FUH983033 GED983033 GNZ983033 GXV983033 HHR983033 HRN983033 IBJ983033 ILF983033 IVB983033 JEX983033 JOT983033 JYP983033 KIL983033 KSH983033 LCD983033 LLZ983033 LVV983033 MFR983033 MPN983033 MZJ983033 NJF983033 NTB983033 OCX983033 OMT983033 OWP983033 PGL983033 PQH983033 QAD983033 QJZ983033 QTV983033 RDR983033 RNN983033 RXJ983033 SHF983033 SRB983033 TAX983033 TKT983033 TUP983033 UEL983033 UOH983033 UYD983033 VHZ983033 VRV983033 WBR983033 WLN983033 WVJ983033"/>
    <dataValidation type="list" allowBlank="1" showInputMessage="1" showErrorMessage="1" sqref="Y2:AA491">
      <formula1>$AV$2:$AV$18</formula1>
    </dataValidation>
    <dataValidation type="list" allowBlank="1" showInputMessage="1" showErrorMessage="1" sqref="A2:A491 A65529:A65606 A131065:A131142 A196601:A196678 A262137:A262214 A327673:A327750 A393209:A393286 A458745:A458822 A524281:A524358 A589817:A589894 A655353:A655430 A720889:A720966 A786425:A786502 A851961:A852038 A917497:A917574 A983033:A983110 IW2:IW70 IW65529:IW65606 IW131065:IW131142 IW196601:IW196678 IW262137:IW262214 IW327673:IW327750 IW393209:IW393286 IW458745:IW458822 IW524281:IW524358 IW589817:IW589894 IW655353:IW655430 IW720889:IW720966 IW786425:IW786502 IW851961:IW852038 IW917497:IW917574 IW983033:IW983110 SS2:SS70 SS65529:SS65606 SS131065:SS131142 SS196601:SS196678 SS262137:SS262214 SS327673:SS327750 SS393209:SS393286 SS458745:SS458822 SS524281:SS524358 SS589817:SS589894 SS655353:SS655430 SS720889:SS720966 SS786425:SS786502 SS851961:SS852038 SS917497:SS917574 SS983033:SS983110 ACO2:ACO70 ACO65529:ACO65606 ACO131065:ACO131142 ACO196601:ACO196678 ACO262137:ACO262214 ACO327673:ACO327750 ACO393209:ACO393286 ACO458745:ACO458822 ACO524281:ACO524358 ACO589817:ACO589894 ACO655353:ACO655430 ACO720889:ACO720966 ACO786425:ACO786502 ACO851961:ACO852038 ACO917497:ACO917574 ACO983033:ACO983110 AMK2:AMK70 AMK65529:AMK65606 AMK131065:AMK131142 AMK196601:AMK196678 AMK262137:AMK262214 AMK327673:AMK327750 AMK393209:AMK393286 AMK458745:AMK458822 AMK524281:AMK524358 AMK589817:AMK589894 AMK655353:AMK655430 AMK720889:AMK720966 AMK786425:AMK786502 AMK851961:AMK852038 AMK917497:AMK917574 AMK983033:AMK983110 AWG2:AWG70 AWG65529:AWG65606 AWG131065:AWG131142 AWG196601:AWG196678 AWG262137:AWG262214 AWG327673:AWG327750 AWG393209:AWG393286 AWG458745:AWG458822 AWG524281:AWG524358 AWG589817:AWG589894 AWG655353:AWG655430 AWG720889:AWG720966 AWG786425:AWG786502 AWG851961:AWG852038 AWG917497:AWG917574 AWG983033:AWG983110 BGC2:BGC70 BGC65529:BGC65606 BGC131065:BGC131142 BGC196601:BGC196678 BGC262137:BGC262214 BGC327673:BGC327750 BGC393209:BGC393286 BGC458745:BGC458822 BGC524281:BGC524358 BGC589817:BGC589894 BGC655353:BGC655430 BGC720889:BGC720966 BGC786425:BGC786502 BGC851961:BGC852038 BGC917497:BGC917574 BGC983033:BGC983110 BPY2:BPY70 BPY65529:BPY65606 BPY131065:BPY131142 BPY196601:BPY196678 BPY262137:BPY262214 BPY327673:BPY327750 BPY393209:BPY393286 BPY458745:BPY458822 BPY524281:BPY524358 BPY589817:BPY589894 BPY655353:BPY655430 BPY720889:BPY720966 BPY786425:BPY786502 BPY851961:BPY852038 BPY917497:BPY917574 BPY983033:BPY983110 BZU2:BZU70 BZU65529:BZU65606 BZU131065:BZU131142 BZU196601:BZU196678 BZU262137:BZU262214 BZU327673:BZU327750 BZU393209:BZU393286 BZU458745:BZU458822 BZU524281:BZU524358 BZU589817:BZU589894 BZU655353:BZU655430 BZU720889:BZU720966 BZU786425:BZU786502 BZU851961:BZU852038 BZU917497:BZU917574 BZU983033:BZU983110 CJQ2:CJQ70 CJQ65529:CJQ65606 CJQ131065:CJQ131142 CJQ196601:CJQ196678 CJQ262137:CJQ262214 CJQ327673:CJQ327750 CJQ393209:CJQ393286 CJQ458745:CJQ458822 CJQ524281:CJQ524358 CJQ589817:CJQ589894 CJQ655353:CJQ655430 CJQ720889:CJQ720966 CJQ786425:CJQ786502 CJQ851961:CJQ852038 CJQ917497:CJQ917574 CJQ983033:CJQ983110 CTM2:CTM70 CTM65529:CTM65606 CTM131065:CTM131142 CTM196601:CTM196678 CTM262137:CTM262214 CTM327673:CTM327750 CTM393209:CTM393286 CTM458745:CTM458822 CTM524281:CTM524358 CTM589817:CTM589894 CTM655353:CTM655430 CTM720889:CTM720966 CTM786425:CTM786502 CTM851961:CTM852038 CTM917497:CTM917574 CTM983033:CTM983110 DDI2:DDI70 DDI65529:DDI65606 DDI131065:DDI131142 DDI196601:DDI196678 DDI262137:DDI262214 DDI327673:DDI327750 DDI393209:DDI393286 DDI458745:DDI458822 DDI524281:DDI524358 DDI589817:DDI589894 DDI655353:DDI655430 DDI720889:DDI720966 DDI786425:DDI786502 DDI851961:DDI852038 DDI917497:DDI917574 DDI983033:DDI983110 DNE2:DNE70 DNE65529:DNE65606 DNE131065:DNE131142 DNE196601:DNE196678 DNE262137:DNE262214 DNE327673:DNE327750 DNE393209:DNE393286 DNE458745:DNE458822 DNE524281:DNE524358 DNE589817:DNE589894 DNE655353:DNE655430 DNE720889:DNE720966 DNE786425:DNE786502 DNE851961:DNE852038 DNE917497:DNE917574 DNE983033:DNE983110 DXA2:DXA70 DXA65529:DXA65606 DXA131065:DXA131142 DXA196601:DXA196678 DXA262137:DXA262214 DXA327673:DXA327750 DXA393209:DXA393286 DXA458745:DXA458822 DXA524281:DXA524358 DXA589817:DXA589894 DXA655353:DXA655430 DXA720889:DXA720966 DXA786425:DXA786502 DXA851961:DXA852038 DXA917497:DXA917574 DXA983033:DXA983110 EGW2:EGW70 EGW65529:EGW65606 EGW131065:EGW131142 EGW196601:EGW196678 EGW262137:EGW262214 EGW327673:EGW327750 EGW393209:EGW393286 EGW458745:EGW458822 EGW524281:EGW524358 EGW589817:EGW589894 EGW655353:EGW655430 EGW720889:EGW720966 EGW786425:EGW786502 EGW851961:EGW852038 EGW917497:EGW917574 EGW983033:EGW983110 EQS2:EQS70 EQS65529:EQS65606 EQS131065:EQS131142 EQS196601:EQS196678 EQS262137:EQS262214 EQS327673:EQS327750 EQS393209:EQS393286 EQS458745:EQS458822 EQS524281:EQS524358 EQS589817:EQS589894 EQS655353:EQS655430 EQS720889:EQS720966 EQS786425:EQS786502 EQS851961:EQS852038 EQS917497:EQS917574 EQS983033:EQS983110 FAO2:FAO70 FAO65529:FAO65606 FAO131065:FAO131142 FAO196601:FAO196678 FAO262137:FAO262214 FAO327673:FAO327750 FAO393209:FAO393286 FAO458745:FAO458822 FAO524281:FAO524358 FAO589817:FAO589894 FAO655353:FAO655430 FAO720889:FAO720966 FAO786425:FAO786502 FAO851961:FAO852038 FAO917497:FAO917574 FAO983033:FAO983110 FKK2:FKK70 FKK65529:FKK65606 FKK131065:FKK131142 FKK196601:FKK196678 FKK262137:FKK262214 FKK327673:FKK327750 FKK393209:FKK393286 FKK458745:FKK458822 FKK524281:FKK524358 FKK589817:FKK589894 FKK655353:FKK655430 FKK720889:FKK720966 FKK786425:FKK786502 FKK851961:FKK852038 FKK917497:FKK917574 FKK983033:FKK983110 FUG2:FUG70 FUG65529:FUG65606 FUG131065:FUG131142 FUG196601:FUG196678 FUG262137:FUG262214 FUG327673:FUG327750 FUG393209:FUG393286 FUG458745:FUG458822 FUG524281:FUG524358 FUG589817:FUG589894 FUG655353:FUG655430 FUG720889:FUG720966 FUG786425:FUG786502 FUG851961:FUG852038 FUG917497:FUG917574 FUG983033:FUG983110 GEC2:GEC70 GEC65529:GEC65606 GEC131065:GEC131142 GEC196601:GEC196678 GEC262137:GEC262214 GEC327673:GEC327750 GEC393209:GEC393286 GEC458745:GEC458822 GEC524281:GEC524358 GEC589817:GEC589894 GEC655353:GEC655430 GEC720889:GEC720966 GEC786425:GEC786502 GEC851961:GEC852038 GEC917497:GEC917574 GEC983033:GEC983110 GNY2:GNY70 GNY65529:GNY65606 GNY131065:GNY131142 GNY196601:GNY196678 GNY262137:GNY262214 GNY327673:GNY327750 GNY393209:GNY393286 GNY458745:GNY458822 GNY524281:GNY524358 GNY589817:GNY589894 GNY655353:GNY655430 GNY720889:GNY720966 GNY786425:GNY786502 GNY851961:GNY852038 GNY917497:GNY917574 GNY983033:GNY983110 GXU2:GXU70 GXU65529:GXU65606 GXU131065:GXU131142 GXU196601:GXU196678 GXU262137:GXU262214 GXU327673:GXU327750 GXU393209:GXU393286 GXU458745:GXU458822 GXU524281:GXU524358 GXU589817:GXU589894 GXU655353:GXU655430 GXU720889:GXU720966 GXU786425:GXU786502 GXU851961:GXU852038 GXU917497:GXU917574 GXU983033:GXU983110 HHQ2:HHQ70 HHQ65529:HHQ65606 HHQ131065:HHQ131142 HHQ196601:HHQ196678 HHQ262137:HHQ262214 HHQ327673:HHQ327750 HHQ393209:HHQ393286 HHQ458745:HHQ458822 HHQ524281:HHQ524358 HHQ589817:HHQ589894 HHQ655353:HHQ655430 HHQ720889:HHQ720966 HHQ786425:HHQ786502 HHQ851961:HHQ852038 HHQ917497:HHQ917574 HHQ983033:HHQ983110 HRM2:HRM70 HRM65529:HRM65606 HRM131065:HRM131142 HRM196601:HRM196678 HRM262137:HRM262214 HRM327673:HRM327750 HRM393209:HRM393286 HRM458745:HRM458822 HRM524281:HRM524358 HRM589817:HRM589894 HRM655353:HRM655430 HRM720889:HRM720966 HRM786425:HRM786502 HRM851961:HRM852038 HRM917497:HRM917574 HRM983033:HRM983110 IBI2:IBI70 IBI65529:IBI65606 IBI131065:IBI131142 IBI196601:IBI196678 IBI262137:IBI262214 IBI327673:IBI327750 IBI393209:IBI393286 IBI458745:IBI458822 IBI524281:IBI524358 IBI589817:IBI589894 IBI655353:IBI655430 IBI720889:IBI720966 IBI786425:IBI786502 IBI851961:IBI852038 IBI917497:IBI917574 IBI983033:IBI983110 ILE2:ILE70 ILE65529:ILE65606 ILE131065:ILE131142 ILE196601:ILE196678 ILE262137:ILE262214 ILE327673:ILE327750 ILE393209:ILE393286 ILE458745:ILE458822 ILE524281:ILE524358 ILE589817:ILE589894 ILE655353:ILE655430 ILE720889:ILE720966 ILE786425:ILE786502 ILE851961:ILE852038 ILE917497:ILE917574 ILE983033:ILE983110 IVA2:IVA70 IVA65529:IVA65606 IVA131065:IVA131142 IVA196601:IVA196678 IVA262137:IVA262214 IVA327673:IVA327750 IVA393209:IVA393286 IVA458745:IVA458822 IVA524281:IVA524358 IVA589817:IVA589894 IVA655353:IVA655430 IVA720889:IVA720966 IVA786425:IVA786502 IVA851961:IVA852038 IVA917497:IVA917574 IVA983033:IVA983110 JEW2:JEW70 JEW65529:JEW65606 JEW131065:JEW131142 JEW196601:JEW196678 JEW262137:JEW262214 JEW327673:JEW327750 JEW393209:JEW393286 JEW458745:JEW458822 JEW524281:JEW524358 JEW589817:JEW589894 JEW655353:JEW655430 JEW720889:JEW720966 JEW786425:JEW786502 JEW851961:JEW852038 JEW917497:JEW917574 JEW983033:JEW983110 JOS2:JOS70 JOS65529:JOS65606 JOS131065:JOS131142 JOS196601:JOS196678 JOS262137:JOS262214 JOS327673:JOS327750 JOS393209:JOS393286 JOS458745:JOS458822 JOS524281:JOS524358 JOS589817:JOS589894 JOS655353:JOS655430 JOS720889:JOS720966 JOS786425:JOS786502 JOS851961:JOS852038 JOS917497:JOS917574 JOS983033:JOS983110 JYO2:JYO70 JYO65529:JYO65606 JYO131065:JYO131142 JYO196601:JYO196678 JYO262137:JYO262214 JYO327673:JYO327750 JYO393209:JYO393286 JYO458745:JYO458822 JYO524281:JYO524358 JYO589817:JYO589894 JYO655353:JYO655430 JYO720889:JYO720966 JYO786425:JYO786502 JYO851961:JYO852038 JYO917497:JYO917574 JYO983033:JYO983110 KIK2:KIK70 KIK65529:KIK65606 KIK131065:KIK131142 KIK196601:KIK196678 KIK262137:KIK262214 KIK327673:KIK327750 KIK393209:KIK393286 KIK458745:KIK458822 KIK524281:KIK524358 KIK589817:KIK589894 KIK655353:KIK655430 KIK720889:KIK720966 KIK786425:KIK786502 KIK851961:KIK852038 KIK917497:KIK917574 KIK983033:KIK983110 KSG2:KSG70 KSG65529:KSG65606 KSG131065:KSG131142 KSG196601:KSG196678 KSG262137:KSG262214 KSG327673:KSG327750 KSG393209:KSG393286 KSG458745:KSG458822 KSG524281:KSG524358 KSG589817:KSG589894 KSG655353:KSG655430 KSG720889:KSG720966 KSG786425:KSG786502 KSG851961:KSG852038 KSG917497:KSG917574 KSG983033:KSG983110 LCC2:LCC70 LCC65529:LCC65606 LCC131065:LCC131142 LCC196601:LCC196678 LCC262137:LCC262214 LCC327673:LCC327750 LCC393209:LCC393286 LCC458745:LCC458822 LCC524281:LCC524358 LCC589817:LCC589894 LCC655353:LCC655430 LCC720889:LCC720966 LCC786425:LCC786502 LCC851961:LCC852038 LCC917497:LCC917574 LCC983033:LCC983110 LLY2:LLY70 LLY65529:LLY65606 LLY131065:LLY131142 LLY196601:LLY196678 LLY262137:LLY262214 LLY327673:LLY327750 LLY393209:LLY393286 LLY458745:LLY458822 LLY524281:LLY524358 LLY589817:LLY589894 LLY655353:LLY655430 LLY720889:LLY720966 LLY786425:LLY786502 LLY851961:LLY852038 LLY917497:LLY917574 LLY983033:LLY983110 LVU2:LVU70 LVU65529:LVU65606 LVU131065:LVU131142 LVU196601:LVU196678 LVU262137:LVU262214 LVU327673:LVU327750 LVU393209:LVU393286 LVU458745:LVU458822 LVU524281:LVU524358 LVU589817:LVU589894 LVU655353:LVU655430 LVU720889:LVU720966 LVU786425:LVU786502 LVU851961:LVU852038 LVU917497:LVU917574 LVU983033:LVU983110 MFQ2:MFQ70 MFQ65529:MFQ65606 MFQ131065:MFQ131142 MFQ196601:MFQ196678 MFQ262137:MFQ262214 MFQ327673:MFQ327750 MFQ393209:MFQ393286 MFQ458745:MFQ458822 MFQ524281:MFQ524358 MFQ589817:MFQ589894 MFQ655353:MFQ655430 MFQ720889:MFQ720966 MFQ786425:MFQ786502 MFQ851961:MFQ852038 MFQ917497:MFQ917574 MFQ983033:MFQ983110 MPM2:MPM70 MPM65529:MPM65606 MPM131065:MPM131142 MPM196601:MPM196678 MPM262137:MPM262214 MPM327673:MPM327750 MPM393209:MPM393286 MPM458745:MPM458822 MPM524281:MPM524358 MPM589817:MPM589894 MPM655353:MPM655430 MPM720889:MPM720966 MPM786425:MPM786502 MPM851961:MPM852038 MPM917497:MPM917574 MPM983033:MPM983110 MZI2:MZI70 MZI65529:MZI65606 MZI131065:MZI131142 MZI196601:MZI196678 MZI262137:MZI262214 MZI327673:MZI327750 MZI393209:MZI393286 MZI458745:MZI458822 MZI524281:MZI524358 MZI589817:MZI589894 MZI655353:MZI655430 MZI720889:MZI720966 MZI786425:MZI786502 MZI851961:MZI852038 MZI917497:MZI917574 MZI983033:MZI983110 NJE2:NJE70 NJE65529:NJE65606 NJE131065:NJE131142 NJE196601:NJE196678 NJE262137:NJE262214 NJE327673:NJE327750 NJE393209:NJE393286 NJE458745:NJE458822 NJE524281:NJE524358 NJE589817:NJE589894 NJE655353:NJE655430 NJE720889:NJE720966 NJE786425:NJE786502 NJE851961:NJE852038 NJE917497:NJE917574 NJE983033:NJE983110 NTA2:NTA70 NTA65529:NTA65606 NTA131065:NTA131142 NTA196601:NTA196678 NTA262137:NTA262214 NTA327673:NTA327750 NTA393209:NTA393286 NTA458745:NTA458822 NTA524281:NTA524358 NTA589817:NTA589894 NTA655353:NTA655430 NTA720889:NTA720966 NTA786425:NTA786502 NTA851961:NTA852038 NTA917497:NTA917574 NTA983033:NTA983110 OCW2:OCW70 OCW65529:OCW65606 OCW131065:OCW131142 OCW196601:OCW196678 OCW262137:OCW262214 OCW327673:OCW327750 OCW393209:OCW393286 OCW458745:OCW458822 OCW524281:OCW524358 OCW589817:OCW589894 OCW655353:OCW655430 OCW720889:OCW720966 OCW786425:OCW786502 OCW851961:OCW852038 OCW917497:OCW917574 OCW983033:OCW983110 OMS2:OMS70 OMS65529:OMS65606 OMS131065:OMS131142 OMS196601:OMS196678 OMS262137:OMS262214 OMS327673:OMS327750 OMS393209:OMS393286 OMS458745:OMS458822 OMS524281:OMS524358 OMS589817:OMS589894 OMS655353:OMS655430 OMS720889:OMS720966 OMS786425:OMS786502 OMS851961:OMS852038 OMS917497:OMS917574 OMS983033:OMS983110 OWO2:OWO70 OWO65529:OWO65606 OWO131065:OWO131142 OWO196601:OWO196678 OWO262137:OWO262214 OWO327673:OWO327750 OWO393209:OWO393286 OWO458745:OWO458822 OWO524281:OWO524358 OWO589817:OWO589894 OWO655353:OWO655430 OWO720889:OWO720966 OWO786425:OWO786502 OWO851961:OWO852038 OWO917497:OWO917574 OWO983033:OWO983110 PGK2:PGK70 PGK65529:PGK65606 PGK131065:PGK131142 PGK196601:PGK196678 PGK262137:PGK262214 PGK327673:PGK327750 PGK393209:PGK393286 PGK458745:PGK458822 PGK524281:PGK524358 PGK589817:PGK589894 PGK655353:PGK655430 PGK720889:PGK720966 PGK786425:PGK786502 PGK851961:PGK852038 PGK917497:PGK917574 PGK983033:PGK983110 PQG2:PQG70 PQG65529:PQG65606 PQG131065:PQG131142 PQG196601:PQG196678 PQG262137:PQG262214 PQG327673:PQG327750 PQG393209:PQG393286 PQG458745:PQG458822 PQG524281:PQG524358 PQG589817:PQG589894 PQG655353:PQG655430 PQG720889:PQG720966 PQG786425:PQG786502 PQG851961:PQG852038 PQG917497:PQG917574 PQG983033:PQG983110 QAC2:QAC70 QAC65529:QAC65606 QAC131065:QAC131142 QAC196601:QAC196678 QAC262137:QAC262214 QAC327673:QAC327750 QAC393209:QAC393286 QAC458745:QAC458822 QAC524281:QAC524358 QAC589817:QAC589894 QAC655353:QAC655430 QAC720889:QAC720966 QAC786425:QAC786502 QAC851961:QAC852038 QAC917497:QAC917574 QAC983033:QAC983110 QJY2:QJY70 QJY65529:QJY65606 QJY131065:QJY131142 QJY196601:QJY196678 QJY262137:QJY262214 QJY327673:QJY327750 QJY393209:QJY393286 QJY458745:QJY458822 QJY524281:QJY524358 QJY589817:QJY589894 QJY655353:QJY655430 QJY720889:QJY720966 QJY786425:QJY786502 QJY851961:QJY852038 QJY917497:QJY917574 QJY983033:QJY983110 QTU2:QTU70 QTU65529:QTU65606 QTU131065:QTU131142 QTU196601:QTU196678 QTU262137:QTU262214 QTU327673:QTU327750 QTU393209:QTU393286 QTU458745:QTU458822 QTU524281:QTU524358 QTU589817:QTU589894 QTU655353:QTU655430 QTU720889:QTU720966 QTU786425:QTU786502 QTU851961:QTU852038 QTU917497:QTU917574 QTU983033:QTU983110 RDQ2:RDQ70 RDQ65529:RDQ65606 RDQ131065:RDQ131142 RDQ196601:RDQ196678 RDQ262137:RDQ262214 RDQ327673:RDQ327750 RDQ393209:RDQ393286 RDQ458745:RDQ458822 RDQ524281:RDQ524358 RDQ589817:RDQ589894 RDQ655353:RDQ655430 RDQ720889:RDQ720966 RDQ786425:RDQ786502 RDQ851961:RDQ852038 RDQ917497:RDQ917574 RDQ983033:RDQ983110 RNM2:RNM70 RNM65529:RNM65606 RNM131065:RNM131142 RNM196601:RNM196678 RNM262137:RNM262214 RNM327673:RNM327750 RNM393209:RNM393286 RNM458745:RNM458822 RNM524281:RNM524358 RNM589817:RNM589894 RNM655353:RNM655430 RNM720889:RNM720966 RNM786425:RNM786502 RNM851961:RNM852038 RNM917497:RNM917574 RNM983033:RNM983110 RXI2:RXI70 RXI65529:RXI65606 RXI131065:RXI131142 RXI196601:RXI196678 RXI262137:RXI262214 RXI327673:RXI327750 RXI393209:RXI393286 RXI458745:RXI458822 RXI524281:RXI524358 RXI589817:RXI589894 RXI655353:RXI655430 RXI720889:RXI720966 RXI786425:RXI786502 RXI851961:RXI852038 RXI917497:RXI917574 RXI983033:RXI983110 SHE2:SHE70 SHE65529:SHE65606 SHE131065:SHE131142 SHE196601:SHE196678 SHE262137:SHE262214 SHE327673:SHE327750 SHE393209:SHE393286 SHE458745:SHE458822 SHE524281:SHE524358 SHE589817:SHE589894 SHE655353:SHE655430 SHE720889:SHE720966 SHE786425:SHE786502 SHE851961:SHE852038 SHE917497:SHE917574 SHE983033:SHE983110 SRA2:SRA70 SRA65529:SRA65606 SRA131065:SRA131142 SRA196601:SRA196678 SRA262137:SRA262214 SRA327673:SRA327750 SRA393209:SRA393286 SRA458745:SRA458822 SRA524281:SRA524358 SRA589817:SRA589894 SRA655353:SRA655430 SRA720889:SRA720966 SRA786425:SRA786502 SRA851961:SRA852038 SRA917497:SRA917574 SRA983033:SRA983110 TAW2:TAW70 TAW65529:TAW65606 TAW131065:TAW131142 TAW196601:TAW196678 TAW262137:TAW262214 TAW327673:TAW327750 TAW393209:TAW393286 TAW458745:TAW458822 TAW524281:TAW524358 TAW589817:TAW589894 TAW655353:TAW655430 TAW720889:TAW720966 TAW786425:TAW786502 TAW851961:TAW852038 TAW917497:TAW917574 TAW983033:TAW983110 TKS2:TKS70 TKS65529:TKS65606 TKS131065:TKS131142 TKS196601:TKS196678 TKS262137:TKS262214 TKS327673:TKS327750 TKS393209:TKS393286 TKS458745:TKS458822 TKS524281:TKS524358 TKS589817:TKS589894 TKS655353:TKS655430 TKS720889:TKS720966 TKS786425:TKS786502 TKS851961:TKS852038 TKS917497:TKS917574 TKS983033:TKS983110 TUO2:TUO70 TUO65529:TUO65606 TUO131065:TUO131142 TUO196601:TUO196678 TUO262137:TUO262214 TUO327673:TUO327750 TUO393209:TUO393286 TUO458745:TUO458822 TUO524281:TUO524358 TUO589817:TUO589894 TUO655353:TUO655430 TUO720889:TUO720966 TUO786425:TUO786502 TUO851961:TUO852038 TUO917497:TUO917574 TUO983033:TUO983110 UEK2:UEK70 UEK65529:UEK65606 UEK131065:UEK131142 UEK196601:UEK196678 UEK262137:UEK262214 UEK327673:UEK327750 UEK393209:UEK393286 UEK458745:UEK458822 UEK524281:UEK524358 UEK589817:UEK589894 UEK655353:UEK655430 UEK720889:UEK720966 UEK786425:UEK786502 UEK851961:UEK852038 UEK917497:UEK917574 UEK983033:UEK983110 UOG2:UOG70 UOG65529:UOG65606 UOG131065:UOG131142 UOG196601:UOG196678 UOG262137:UOG262214 UOG327673:UOG327750 UOG393209:UOG393286 UOG458745:UOG458822 UOG524281:UOG524358 UOG589817:UOG589894 UOG655353:UOG655430 UOG720889:UOG720966 UOG786425:UOG786502 UOG851961:UOG852038 UOG917497:UOG917574 UOG983033:UOG983110 UYC2:UYC70 UYC65529:UYC65606 UYC131065:UYC131142 UYC196601:UYC196678 UYC262137:UYC262214 UYC327673:UYC327750 UYC393209:UYC393286 UYC458745:UYC458822 UYC524281:UYC524358 UYC589817:UYC589894 UYC655353:UYC655430 UYC720889:UYC720966 UYC786425:UYC786502 UYC851961:UYC852038 UYC917497:UYC917574 UYC983033:UYC983110 VHY2:VHY70 VHY65529:VHY65606 VHY131065:VHY131142 VHY196601:VHY196678 VHY262137:VHY262214 VHY327673:VHY327750 VHY393209:VHY393286 VHY458745:VHY458822 VHY524281:VHY524358 VHY589817:VHY589894 VHY655353:VHY655430 VHY720889:VHY720966 VHY786425:VHY786502 VHY851961:VHY852038 VHY917497:VHY917574 VHY983033:VHY983110 VRU2:VRU70 VRU65529:VRU65606 VRU131065:VRU131142 VRU196601:VRU196678 VRU262137:VRU262214 VRU327673:VRU327750 VRU393209:VRU393286 VRU458745:VRU458822 VRU524281:VRU524358 VRU589817:VRU589894 VRU655353:VRU655430 VRU720889:VRU720966 VRU786425:VRU786502 VRU851961:VRU852038 VRU917497:VRU917574 VRU983033:VRU983110 WBQ2:WBQ70 WBQ65529:WBQ65606 WBQ131065:WBQ131142 WBQ196601:WBQ196678 WBQ262137:WBQ262214 WBQ327673:WBQ327750 WBQ393209:WBQ393286 WBQ458745:WBQ458822 WBQ524281:WBQ524358 WBQ589817:WBQ589894 WBQ655353:WBQ655430 WBQ720889:WBQ720966 WBQ786425:WBQ786502 WBQ851961:WBQ852038 WBQ917497:WBQ917574 WBQ983033:WBQ983110 WLM2:WLM70 WLM65529:WLM65606 WLM131065:WLM131142 WLM196601:WLM196678 WLM262137:WLM262214 WLM327673:WLM327750 WLM393209:WLM393286 WLM458745:WLM458822 WLM524281:WLM524358 WLM589817:WLM589894 WLM655353:WLM655430 WLM720889:WLM720966 WLM786425:WLM786502 WLM851961:WLM852038 WLM917497:WLM917574 WLM983033:WLM983110 WVI2:WVI70 WVI65529:WVI65606 WVI131065:WVI131142 WVI196601:WVI196678 WVI262137:WVI262214 WVI327673:WVI327750 WVI393209:WVI393286 WVI458745:WVI458822 WVI524281:WVI524358 WVI589817:WVI589894 WVI655353:WVI655430 WVI720889:WVI720966 WVI786425:WVI786502 WVI851961:WVI852038 WVI917497:WVI917574 WVI983033:WVI983110">
      <formula1>$AE$2:$AE$16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U62" sqref="U62"/>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246</v>
      </c>
      <c r="B1" s="202" t="s">
        <v>1</v>
      </c>
      <c r="C1" s="202" t="s">
        <v>268</v>
      </c>
      <c r="D1" s="203" t="s">
        <v>3</v>
      </c>
      <c r="E1" s="203" t="s">
        <v>247</v>
      </c>
      <c r="F1" s="203" t="s">
        <v>5</v>
      </c>
      <c r="G1" s="203" t="s">
        <v>6</v>
      </c>
      <c r="H1" s="203" t="s">
        <v>248</v>
      </c>
      <c r="I1" s="203" t="s">
        <v>8</v>
      </c>
      <c r="J1" s="203" t="s">
        <v>9</v>
      </c>
      <c r="K1" s="203" t="s">
        <v>10</v>
      </c>
      <c r="L1" s="203" t="s">
        <v>159</v>
      </c>
      <c r="M1" s="203" t="s">
        <v>12</v>
      </c>
      <c r="N1" s="203" t="s">
        <v>13</v>
      </c>
      <c r="O1" s="203" t="s">
        <v>269</v>
      </c>
      <c r="P1" s="203" t="s">
        <v>15</v>
      </c>
      <c r="Q1" s="204" t="s">
        <v>16</v>
      </c>
      <c r="R1" s="203" t="s">
        <v>160</v>
      </c>
      <c r="S1" s="203" t="s">
        <v>270</v>
      </c>
      <c r="T1" s="204" t="s">
        <v>19</v>
      </c>
      <c r="U1" s="205" t="s">
        <v>108</v>
      </c>
      <c r="V1" s="206" t="s">
        <v>20</v>
      </c>
      <c r="W1" s="203" t="s">
        <v>21</v>
      </c>
      <c r="X1" s="203" t="s">
        <v>22</v>
      </c>
      <c r="Y1" s="203" t="s">
        <v>23</v>
      </c>
      <c r="Z1" s="203" t="s">
        <v>24</v>
      </c>
      <c r="AA1" s="134" t="s">
        <v>25</v>
      </c>
      <c r="AB1" s="135" t="s">
        <v>272</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176</v>
      </c>
      <c r="AZ1" s="214" t="s">
        <v>177</v>
      </c>
      <c r="BA1" s="215" t="s">
        <v>164</v>
      </c>
    </row>
    <row r="2" spans="1:53" s="143" customFormat="1" x14ac:dyDescent="0.15">
      <c r="A2" s="137" t="s">
        <v>61</v>
      </c>
      <c r="B2" s="137" t="s">
        <v>349</v>
      </c>
      <c r="C2" s="137">
        <v>2018</v>
      </c>
      <c r="D2" s="138" t="s">
        <v>415</v>
      </c>
      <c r="E2" s="137" t="s">
        <v>250</v>
      </c>
      <c r="F2" s="137" t="s">
        <v>249</v>
      </c>
      <c r="G2" s="137" t="s">
        <v>42</v>
      </c>
      <c r="H2" s="247" t="s">
        <v>157</v>
      </c>
      <c r="I2" s="247" t="s">
        <v>155</v>
      </c>
      <c r="J2" s="137" t="s">
        <v>38</v>
      </c>
      <c r="K2" s="247" t="s">
        <v>156</v>
      </c>
      <c r="L2" s="247">
        <v>1</v>
      </c>
      <c r="M2" s="247"/>
      <c r="N2" s="247">
        <v>1</v>
      </c>
      <c r="O2" s="247">
        <v>0.5</v>
      </c>
      <c r="P2" s="247">
        <v>0.6</v>
      </c>
      <c r="Q2" s="139">
        <f t="shared" ref="Q2:Q66" si="0">IF(OR(O2="",P2=""),"",AVERAGE(O2,P2))</f>
        <v>0.55000000000000004</v>
      </c>
      <c r="R2" s="247">
        <v>14.8</v>
      </c>
      <c r="S2" s="247">
        <v>112</v>
      </c>
      <c r="T2" s="140">
        <f t="shared" ref="T2:T65" si="1">IF(H2="","",IF(OR(H2="GREEN",H2="GK"),IF(S2&gt;=$AX$2,VLOOKUP(S2,$AX$2:$AY$15,2,1),""),IF(S2&gt;=$AZ$2,VLOOKUP(S2,$AZ$2:$BA$15,2,1),"")))</f>
        <v>33</v>
      </c>
      <c r="U2" s="247">
        <v>148</v>
      </c>
      <c r="V2" s="141">
        <f>IF(OR(N2="",U2="",T2=""),"",U2/N2*T2)</f>
        <v>4884</v>
      </c>
      <c r="W2" s="247">
        <v>4</v>
      </c>
      <c r="X2" s="137" t="s">
        <v>39</v>
      </c>
      <c r="Y2" s="247" t="s">
        <v>86</v>
      </c>
      <c r="Z2" s="247" t="s">
        <v>78</v>
      </c>
      <c r="AA2" s="247" t="s">
        <v>88</v>
      </c>
      <c r="AB2" s="137" t="s">
        <v>351</v>
      </c>
      <c r="AC2" s="142"/>
      <c r="AE2" s="218" t="s">
        <v>35</v>
      </c>
      <c r="AG2" s="49" t="s">
        <v>250</v>
      </c>
      <c r="AH2" s="49" t="s">
        <v>249</v>
      </c>
      <c r="AJ2" s="144" t="s">
        <v>36</v>
      </c>
      <c r="AL2" s="219" t="s">
        <v>127</v>
      </c>
      <c r="AN2" s="144" t="s">
        <v>37</v>
      </c>
      <c r="AP2" s="219" t="s">
        <v>38</v>
      </c>
      <c r="AR2" s="219" t="s">
        <v>165</v>
      </c>
      <c r="AT2" s="144" t="s">
        <v>39</v>
      </c>
      <c r="AV2" s="219" t="s">
        <v>40</v>
      </c>
      <c r="AX2" s="145">
        <v>1</v>
      </c>
      <c r="AY2" s="146">
        <v>50</v>
      </c>
      <c r="AZ2" s="146">
        <v>1</v>
      </c>
      <c r="BA2" s="147">
        <v>50</v>
      </c>
    </row>
    <row r="3" spans="1:53" x14ac:dyDescent="0.15">
      <c r="A3" s="137" t="s">
        <v>61</v>
      </c>
      <c r="B3" s="137" t="s">
        <v>349</v>
      </c>
      <c r="C3" s="137">
        <v>2018</v>
      </c>
      <c r="D3" s="138" t="s">
        <v>415</v>
      </c>
      <c r="E3" s="137" t="s">
        <v>250</v>
      </c>
      <c r="F3" s="137" t="s">
        <v>249</v>
      </c>
      <c r="G3" s="137" t="s">
        <v>42</v>
      </c>
      <c r="H3" s="247" t="s">
        <v>157</v>
      </c>
      <c r="I3" s="247" t="s">
        <v>155</v>
      </c>
      <c r="J3" s="137" t="s">
        <v>38</v>
      </c>
      <c r="K3" s="247" t="s">
        <v>156</v>
      </c>
      <c r="L3" s="247">
        <v>2</v>
      </c>
      <c r="M3" s="247"/>
      <c r="N3" s="247">
        <v>1</v>
      </c>
      <c r="O3" s="247">
        <v>0.8</v>
      </c>
      <c r="P3" s="247">
        <v>0.75</v>
      </c>
      <c r="Q3" s="139">
        <f t="shared" si="0"/>
        <v>0.77500000000000002</v>
      </c>
      <c r="R3" s="247">
        <v>13.4</v>
      </c>
      <c r="S3" s="247">
        <v>110</v>
      </c>
      <c r="T3" s="140">
        <f t="shared" si="1"/>
        <v>33</v>
      </c>
      <c r="U3" s="247">
        <v>148</v>
      </c>
      <c r="V3" s="141">
        <f t="shared" ref="V3:V66" si="2">IF(OR(N3="",U3="",T3=""),"",U3/N3*T3)</f>
        <v>4884</v>
      </c>
      <c r="W3" s="247">
        <v>4</v>
      </c>
      <c r="X3" s="137" t="s">
        <v>39</v>
      </c>
      <c r="Y3" s="247" t="s">
        <v>86</v>
      </c>
      <c r="Z3" s="247" t="s">
        <v>78</v>
      </c>
      <c r="AA3" s="247" t="s">
        <v>88</v>
      </c>
      <c r="AB3" s="137" t="s">
        <v>351</v>
      </c>
      <c r="AC3" s="142"/>
      <c r="AE3" s="223" t="s">
        <v>41</v>
      </c>
      <c r="AG3" s="49" t="s">
        <v>251</v>
      </c>
      <c r="AH3" s="49" t="s">
        <v>252</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349</v>
      </c>
      <c r="C4" s="137">
        <v>2018</v>
      </c>
      <c r="D4" s="138" t="s">
        <v>415</v>
      </c>
      <c r="E4" s="137" t="s">
        <v>250</v>
      </c>
      <c r="F4" s="137" t="s">
        <v>249</v>
      </c>
      <c r="G4" s="137" t="s">
        <v>42</v>
      </c>
      <c r="H4" s="247" t="s">
        <v>157</v>
      </c>
      <c r="I4" s="247" t="s">
        <v>155</v>
      </c>
      <c r="J4" s="137" t="s">
        <v>38</v>
      </c>
      <c r="K4" s="247" t="s">
        <v>156</v>
      </c>
      <c r="L4" s="247">
        <v>3</v>
      </c>
      <c r="M4" s="247"/>
      <c r="N4" s="247">
        <v>1</v>
      </c>
      <c r="O4" s="247">
        <v>0.8</v>
      </c>
      <c r="P4" s="247">
        <v>0.8</v>
      </c>
      <c r="Q4" s="139">
        <f t="shared" si="0"/>
        <v>0.8</v>
      </c>
      <c r="R4" s="247">
        <v>12.9</v>
      </c>
      <c r="S4" s="247">
        <v>111</v>
      </c>
      <c r="T4" s="140">
        <f t="shared" si="1"/>
        <v>33</v>
      </c>
      <c r="U4" s="247">
        <v>148</v>
      </c>
      <c r="V4" s="141">
        <f t="shared" si="2"/>
        <v>4884</v>
      </c>
      <c r="W4" s="247">
        <v>4</v>
      </c>
      <c r="X4" s="137" t="s">
        <v>39</v>
      </c>
      <c r="Y4" s="247" t="s">
        <v>86</v>
      </c>
      <c r="Z4" s="247" t="s">
        <v>78</v>
      </c>
      <c r="AA4" s="247" t="s">
        <v>88</v>
      </c>
      <c r="AB4" s="137" t="s">
        <v>351</v>
      </c>
      <c r="AC4" s="142"/>
      <c r="AE4" s="223" t="s">
        <v>34</v>
      </c>
      <c r="AG4" s="49" t="s">
        <v>253</v>
      </c>
      <c r="AH4" s="49" t="s">
        <v>254</v>
      </c>
      <c r="AJ4" s="228" t="s">
        <v>48</v>
      </c>
      <c r="AL4" s="228" t="s">
        <v>129</v>
      </c>
      <c r="AN4" s="229" t="s">
        <v>49</v>
      </c>
      <c r="AP4" s="224" t="s">
        <v>181</v>
      </c>
      <c r="AR4" s="238" t="s">
        <v>167</v>
      </c>
      <c r="AT4" s="229"/>
      <c r="AV4" s="238" t="s">
        <v>50</v>
      </c>
      <c r="AX4" s="225">
        <v>75</v>
      </c>
      <c r="AY4" s="226">
        <v>42</v>
      </c>
      <c r="AZ4" s="226">
        <v>76</v>
      </c>
      <c r="BA4" s="227">
        <v>39</v>
      </c>
    </row>
    <row r="5" spans="1:53" x14ac:dyDescent="0.15">
      <c r="A5" s="137" t="s">
        <v>61</v>
      </c>
      <c r="B5" s="137" t="s">
        <v>349</v>
      </c>
      <c r="C5" s="137">
        <v>2018</v>
      </c>
      <c r="D5" s="138" t="s">
        <v>415</v>
      </c>
      <c r="E5" s="137" t="s">
        <v>250</v>
      </c>
      <c r="F5" s="137" t="s">
        <v>249</v>
      </c>
      <c r="G5" s="137" t="s">
        <v>42</v>
      </c>
      <c r="H5" s="247" t="s">
        <v>168</v>
      </c>
      <c r="I5" s="247" t="s">
        <v>155</v>
      </c>
      <c r="J5" s="137" t="s">
        <v>38</v>
      </c>
      <c r="K5" s="247" t="s">
        <v>156</v>
      </c>
      <c r="L5" s="247">
        <v>1</v>
      </c>
      <c r="M5" s="247"/>
      <c r="N5" s="247">
        <v>1</v>
      </c>
      <c r="O5" s="247">
        <v>0.5</v>
      </c>
      <c r="P5" s="247">
        <v>0.6</v>
      </c>
      <c r="Q5" s="139">
        <f t="shared" si="0"/>
        <v>0.55000000000000004</v>
      </c>
      <c r="R5" s="247">
        <v>17.2</v>
      </c>
      <c r="S5" s="247">
        <v>145</v>
      </c>
      <c r="T5" s="140">
        <f t="shared" si="1"/>
        <v>22</v>
      </c>
      <c r="U5" s="247">
        <v>166</v>
      </c>
      <c r="V5" s="141">
        <f t="shared" si="2"/>
        <v>3652</v>
      </c>
      <c r="W5" s="247">
        <v>4</v>
      </c>
      <c r="X5" s="137" t="s">
        <v>39</v>
      </c>
      <c r="Y5" s="247" t="s">
        <v>86</v>
      </c>
      <c r="Z5" s="247" t="s">
        <v>78</v>
      </c>
      <c r="AA5" s="247" t="s">
        <v>88</v>
      </c>
      <c r="AB5" s="137" t="s">
        <v>351</v>
      </c>
      <c r="AC5" s="142"/>
      <c r="AE5" s="223" t="s">
        <v>51</v>
      </c>
      <c r="AG5" s="49" t="s">
        <v>255</v>
      </c>
      <c r="AH5" s="49" t="s">
        <v>256</v>
      </c>
      <c r="AJ5" s="228"/>
      <c r="AL5" s="230" t="s">
        <v>169</v>
      </c>
      <c r="AN5" s="230" t="s">
        <v>170</v>
      </c>
      <c r="AP5" s="224" t="s">
        <v>171</v>
      </c>
      <c r="AR5" s="238" t="s">
        <v>54</v>
      </c>
      <c r="AT5" s="247"/>
      <c r="AV5" s="238" t="s">
        <v>55</v>
      </c>
      <c r="AX5" s="225">
        <v>84</v>
      </c>
      <c r="AY5" s="226">
        <v>39</v>
      </c>
      <c r="AZ5" s="226">
        <v>84</v>
      </c>
      <c r="BA5" s="227">
        <v>36</v>
      </c>
    </row>
    <row r="6" spans="1:53" x14ac:dyDescent="0.15">
      <c r="A6" s="137" t="s">
        <v>61</v>
      </c>
      <c r="B6" s="137" t="s">
        <v>349</v>
      </c>
      <c r="C6" s="137">
        <v>2018</v>
      </c>
      <c r="D6" s="138" t="s">
        <v>415</v>
      </c>
      <c r="E6" s="137" t="s">
        <v>250</v>
      </c>
      <c r="F6" s="137" t="s">
        <v>249</v>
      </c>
      <c r="G6" s="137" t="s">
        <v>42</v>
      </c>
      <c r="H6" s="247" t="s">
        <v>168</v>
      </c>
      <c r="I6" s="247" t="s">
        <v>155</v>
      </c>
      <c r="J6" s="137" t="s">
        <v>38</v>
      </c>
      <c r="K6" s="247" t="s">
        <v>156</v>
      </c>
      <c r="L6" s="247">
        <v>2</v>
      </c>
      <c r="M6" s="247"/>
      <c r="N6" s="247">
        <v>1</v>
      </c>
      <c r="O6" s="247">
        <v>0.5</v>
      </c>
      <c r="P6" s="247">
        <v>0.5</v>
      </c>
      <c r="Q6" s="139">
        <f t="shared" si="0"/>
        <v>0.5</v>
      </c>
      <c r="R6" s="247">
        <v>16.3</v>
      </c>
      <c r="S6" s="247">
        <v>140</v>
      </c>
      <c r="T6" s="140">
        <f t="shared" si="1"/>
        <v>22</v>
      </c>
      <c r="U6" s="247">
        <v>166</v>
      </c>
      <c r="V6" s="141">
        <f t="shared" si="2"/>
        <v>3652</v>
      </c>
      <c r="W6" s="247">
        <v>4</v>
      </c>
      <c r="X6" s="137" t="s">
        <v>39</v>
      </c>
      <c r="Y6" s="247" t="s">
        <v>86</v>
      </c>
      <c r="Z6" s="247" t="s">
        <v>78</v>
      </c>
      <c r="AA6" s="247" t="s">
        <v>88</v>
      </c>
      <c r="AB6" s="137" t="s">
        <v>351</v>
      </c>
      <c r="AC6" s="142"/>
      <c r="AE6" s="223" t="s">
        <v>56</v>
      </c>
      <c r="AG6" s="49" t="s">
        <v>257</v>
      </c>
      <c r="AH6" s="49" t="s">
        <v>258</v>
      </c>
      <c r="AJ6" s="228"/>
      <c r="AL6" s="230" t="s">
        <v>259</v>
      </c>
      <c r="AN6" s="230" t="s">
        <v>183</v>
      </c>
      <c r="AP6" s="224" t="s">
        <v>53</v>
      </c>
      <c r="AR6" s="238" t="s">
        <v>59</v>
      </c>
      <c r="AT6" s="247"/>
      <c r="AV6" s="238" t="s">
        <v>60</v>
      </c>
      <c r="AX6" s="225">
        <v>97</v>
      </c>
      <c r="AY6" s="226">
        <v>36</v>
      </c>
      <c r="AZ6" s="226">
        <v>99</v>
      </c>
      <c r="BA6" s="227">
        <v>33</v>
      </c>
    </row>
    <row r="7" spans="1:53" x14ac:dyDescent="0.15">
      <c r="A7" s="137" t="s">
        <v>61</v>
      </c>
      <c r="B7" s="137" t="s">
        <v>349</v>
      </c>
      <c r="C7" s="137">
        <v>2018</v>
      </c>
      <c r="D7" s="138" t="s">
        <v>415</v>
      </c>
      <c r="E7" s="137" t="s">
        <v>250</v>
      </c>
      <c r="F7" s="137" t="s">
        <v>249</v>
      </c>
      <c r="G7" s="137" t="s">
        <v>42</v>
      </c>
      <c r="H7" s="247" t="s">
        <v>168</v>
      </c>
      <c r="I7" s="247" t="s">
        <v>155</v>
      </c>
      <c r="J7" s="137" t="s">
        <v>38</v>
      </c>
      <c r="K7" s="247" t="s">
        <v>156</v>
      </c>
      <c r="L7" s="247">
        <v>3</v>
      </c>
      <c r="M7" s="247"/>
      <c r="N7" s="247">
        <v>1</v>
      </c>
      <c r="O7" s="247">
        <v>0.5</v>
      </c>
      <c r="P7" s="247">
        <v>0.8</v>
      </c>
      <c r="Q7" s="139">
        <f t="shared" si="0"/>
        <v>0.65</v>
      </c>
      <c r="R7" s="247">
        <v>16.2</v>
      </c>
      <c r="S7" s="247">
        <v>141</v>
      </c>
      <c r="T7" s="140">
        <f t="shared" si="1"/>
        <v>22</v>
      </c>
      <c r="U7" s="247">
        <v>166</v>
      </c>
      <c r="V7" s="141">
        <f t="shared" si="2"/>
        <v>3652</v>
      </c>
      <c r="W7" s="247">
        <v>4</v>
      </c>
      <c r="X7" s="137" t="s">
        <v>39</v>
      </c>
      <c r="Y7" s="247" t="s">
        <v>86</v>
      </c>
      <c r="Z7" s="247" t="s">
        <v>78</v>
      </c>
      <c r="AA7" s="247" t="s">
        <v>88</v>
      </c>
      <c r="AB7" s="137" t="s">
        <v>351</v>
      </c>
      <c r="AC7" s="142"/>
      <c r="AE7" s="223" t="s">
        <v>61</v>
      </c>
      <c r="AG7" s="49" t="s">
        <v>260</v>
      </c>
      <c r="AH7" s="49" t="s">
        <v>261</v>
      </c>
      <c r="AJ7" s="228"/>
      <c r="AL7" s="235" t="s">
        <v>172</v>
      </c>
      <c r="AN7" s="148"/>
      <c r="AP7" s="224" t="s">
        <v>58</v>
      </c>
      <c r="AR7" s="231" t="s">
        <v>122</v>
      </c>
      <c r="AT7" s="247"/>
      <c r="AV7" s="238" t="s">
        <v>64</v>
      </c>
      <c r="AX7" s="225">
        <v>109</v>
      </c>
      <c r="AY7" s="226">
        <v>33</v>
      </c>
      <c r="AZ7" s="226">
        <v>113</v>
      </c>
      <c r="BA7" s="227">
        <v>30</v>
      </c>
    </row>
    <row r="8" spans="1:53" x14ac:dyDescent="0.15">
      <c r="A8" s="137" t="s">
        <v>61</v>
      </c>
      <c r="B8" s="137" t="s">
        <v>385</v>
      </c>
      <c r="C8" s="137">
        <v>2018</v>
      </c>
      <c r="D8" s="138" t="s">
        <v>416</v>
      </c>
      <c r="E8" s="137" t="s">
        <v>251</v>
      </c>
      <c r="F8" s="137" t="s">
        <v>252</v>
      </c>
      <c r="G8" s="137" t="s">
        <v>42</v>
      </c>
      <c r="H8" s="247" t="s">
        <v>157</v>
      </c>
      <c r="I8" s="247" t="s">
        <v>155</v>
      </c>
      <c r="J8" s="137" t="s">
        <v>38</v>
      </c>
      <c r="K8" s="247" t="s">
        <v>156</v>
      </c>
      <c r="L8" s="247">
        <v>1</v>
      </c>
      <c r="M8" s="247"/>
      <c r="N8" s="247">
        <v>4</v>
      </c>
      <c r="O8" s="247">
        <v>0.8</v>
      </c>
      <c r="P8" s="247">
        <v>0.7</v>
      </c>
      <c r="Q8" s="139">
        <f t="shared" si="0"/>
        <v>0.75</v>
      </c>
      <c r="R8" s="247">
        <v>12.9</v>
      </c>
      <c r="S8" s="247">
        <v>112</v>
      </c>
      <c r="T8" s="140">
        <f t="shared" si="1"/>
        <v>33</v>
      </c>
      <c r="U8" s="247">
        <v>398</v>
      </c>
      <c r="V8" s="141">
        <f t="shared" si="2"/>
        <v>3283.5</v>
      </c>
      <c r="W8" s="247">
        <v>6</v>
      </c>
      <c r="X8" s="137" t="s">
        <v>46</v>
      </c>
      <c r="Y8" s="247" t="s">
        <v>97</v>
      </c>
      <c r="Z8" s="247" t="s">
        <v>88</v>
      </c>
      <c r="AA8" s="247" t="s">
        <v>102</v>
      </c>
      <c r="AB8" s="137" t="s">
        <v>417</v>
      </c>
      <c r="AC8" s="142"/>
      <c r="AE8" s="223" t="s">
        <v>59</v>
      </c>
      <c r="AG8" s="49" t="s">
        <v>262</v>
      </c>
      <c r="AH8" s="49" t="s">
        <v>263</v>
      </c>
      <c r="AJ8" s="229"/>
      <c r="AL8" s="235" t="s">
        <v>374</v>
      </c>
      <c r="AN8" s="230"/>
      <c r="AP8" s="224" t="s">
        <v>62</v>
      </c>
      <c r="AR8" s="238" t="s">
        <v>81</v>
      </c>
      <c r="AV8" s="238" t="s">
        <v>97</v>
      </c>
      <c r="AX8" s="225">
        <v>119</v>
      </c>
      <c r="AY8" s="226">
        <v>30</v>
      </c>
      <c r="AZ8" s="226">
        <v>121</v>
      </c>
      <c r="BA8" s="227">
        <v>27</v>
      </c>
    </row>
    <row r="9" spans="1:53" x14ac:dyDescent="0.15">
      <c r="A9" s="137" t="s">
        <v>61</v>
      </c>
      <c r="B9" s="137" t="s">
        <v>385</v>
      </c>
      <c r="C9" s="137">
        <v>2018</v>
      </c>
      <c r="D9" s="138" t="s">
        <v>416</v>
      </c>
      <c r="E9" s="137" t="s">
        <v>251</v>
      </c>
      <c r="F9" s="137" t="s">
        <v>252</v>
      </c>
      <c r="G9" s="137" t="s">
        <v>42</v>
      </c>
      <c r="H9" s="247" t="s">
        <v>157</v>
      </c>
      <c r="I9" s="247" t="s">
        <v>155</v>
      </c>
      <c r="J9" s="137" t="s">
        <v>38</v>
      </c>
      <c r="K9" s="247" t="s">
        <v>156</v>
      </c>
      <c r="L9" s="247">
        <v>2</v>
      </c>
      <c r="M9" s="247"/>
      <c r="N9" s="247">
        <v>4</v>
      </c>
      <c r="O9" s="247">
        <v>0.6</v>
      </c>
      <c r="P9" s="247">
        <v>0.5</v>
      </c>
      <c r="Q9" s="139">
        <f t="shared" si="0"/>
        <v>0.55000000000000004</v>
      </c>
      <c r="R9" s="247">
        <v>13.9</v>
      </c>
      <c r="S9" s="247">
        <v>113</v>
      </c>
      <c r="T9" s="140">
        <f t="shared" si="1"/>
        <v>30</v>
      </c>
      <c r="U9" s="247">
        <v>398</v>
      </c>
      <c r="V9" s="141">
        <f t="shared" si="2"/>
        <v>2985</v>
      </c>
      <c r="W9" s="247">
        <v>6</v>
      </c>
      <c r="X9" s="137" t="s">
        <v>46</v>
      </c>
      <c r="Y9" s="247" t="s">
        <v>97</v>
      </c>
      <c r="Z9" s="247" t="s">
        <v>88</v>
      </c>
      <c r="AA9" s="247" t="s">
        <v>102</v>
      </c>
      <c r="AB9" s="137" t="s">
        <v>417</v>
      </c>
      <c r="AC9" s="142"/>
      <c r="AE9" s="223" t="s">
        <v>98</v>
      </c>
      <c r="AG9" s="49" t="s">
        <v>133</v>
      </c>
      <c r="AH9" s="49" t="s">
        <v>264</v>
      </c>
      <c r="AL9" s="230"/>
      <c r="AN9" s="230"/>
      <c r="AP9" s="224" t="s">
        <v>95</v>
      </c>
      <c r="AR9" s="231" t="s">
        <v>89</v>
      </c>
      <c r="AV9" s="238" t="s">
        <v>102</v>
      </c>
      <c r="AX9" s="225">
        <v>128</v>
      </c>
      <c r="AY9" s="226">
        <v>27</v>
      </c>
      <c r="AZ9" s="226">
        <v>129</v>
      </c>
      <c r="BA9" s="227">
        <v>25</v>
      </c>
    </row>
    <row r="10" spans="1:53" x14ac:dyDescent="0.15">
      <c r="A10" s="137" t="s">
        <v>61</v>
      </c>
      <c r="B10" s="137" t="s">
        <v>388</v>
      </c>
      <c r="C10" s="137">
        <v>2018</v>
      </c>
      <c r="D10" s="138" t="s">
        <v>418</v>
      </c>
      <c r="E10" s="137" t="s">
        <v>251</v>
      </c>
      <c r="F10" s="137" t="s">
        <v>252</v>
      </c>
      <c r="G10" s="137" t="s">
        <v>42</v>
      </c>
      <c r="H10" s="247" t="s">
        <v>157</v>
      </c>
      <c r="I10" s="247" t="s">
        <v>155</v>
      </c>
      <c r="J10" s="137" t="s">
        <v>38</v>
      </c>
      <c r="K10" s="247" t="s">
        <v>156</v>
      </c>
      <c r="L10" s="247">
        <v>3</v>
      </c>
      <c r="M10" s="247"/>
      <c r="N10" s="247">
        <v>4</v>
      </c>
      <c r="O10" s="247">
        <v>0.5</v>
      </c>
      <c r="P10" s="247">
        <v>0.5</v>
      </c>
      <c r="Q10" s="139">
        <f t="shared" si="0"/>
        <v>0.5</v>
      </c>
      <c r="R10" s="247">
        <v>14.5</v>
      </c>
      <c r="S10" s="247">
        <v>113</v>
      </c>
      <c r="T10" s="140">
        <f t="shared" si="1"/>
        <v>30</v>
      </c>
      <c r="U10" s="247">
        <v>398</v>
      </c>
      <c r="V10" s="141">
        <f t="shared" si="2"/>
        <v>2985</v>
      </c>
      <c r="W10" s="247">
        <v>6</v>
      </c>
      <c r="X10" s="137" t="s">
        <v>46</v>
      </c>
      <c r="Y10" s="247" t="s">
        <v>97</v>
      </c>
      <c r="Z10" s="247" t="s">
        <v>88</v>
      </c>
      <c r="AA10" s="247" t="s">
        <v>102</v>
      </c>
      <c r="AB10" s="137" t="s">
        <v>419</v>
      </c>
      <c r="AC10" s="142"/>
      <c r="AE10" s="223" t="s">
        <v>103</v>
      </c>
      <c r="AG10" s="49" t="s">
        <v>265</v>
      </c>
      <c r="AH10" s="49" t="s">
        <v>266</v>
      </c>
      <c r="AL10" s="228"/>
      <c r="AP10" s="224" t="s">
        <v>100</v>
      </c>
      <c r="AR10" s="231" t="s">
        <v>123</v>
      </c>
      <c r="AV10" s="238" t="s">
        <v>106</v>
      </c>
      <c r="AX10" s="225">
        <v>138</v>
      </c>
      <c r="AY10" s="226">
        <v>25</v>
      </c>
      <c r="AZ10" s="226">
        <v>138</v>
      </c>
      <c r="BA10" s="227">
        <v>22</v>
      </c>
    </row>
    <row r="11" spans="1:53" x14ac:dyDescent="0.15">
      <c r="A11" s="137" t="s">
        <v>420</v>
      </c>
      <c r="B11" s="137" t="s">
        <v>388</v>
      </c>
      <c r="C11" s="137">
        <v>2018</v>
      </c>
      <c r="D11" s="138" t="s">
        <v>418</v>
      </c>
      <c r="E11" s="137" t="s">
        <v>251</v>
      </c>
      <c r="F11" s="137" t="s">
        <v>252</v>
      </c>
      <c r="G11" s="137" t="s">
        <v>42</v>
      </c>
      <c r="H11" s="247" t="s">
        <v>168</v>
      </c>
      <c r="I11" s="247" t="s">
        <v>155</v>
      </c>
      <c r="J11" s="137" t="s">
        <v>38</v>
      </c>
      <c r="K11" s="247" t="s">
        <v>156</v>
      </c>
      <c r="L11" s="247">
        <v>1</v>
      </c>
      <c r="M11" s="247"/>
      <c r="N11" s="247">
        <v>4</v>
      </c>
      <c r="O11" s="247">
        <v>0.5</v>
      </c>
      <c r="P11" s="247">
        <v>0.6</v>
      </c>
      <c r="Q11" s="139">
        <f t="shared" si="0"/>
        <v>0.55000000000000004</v>
      </c>
      <c r="R11" s="247">
        <v>16.5</v>
      </c>
      <c r="S11" s="247">
        <v>132</v>
      </c>
      <c r="T11" s="140">
        <f t="shared" si="1"/>
        <v>25</v>
      </c>
      <c r="U11" s="247">
        <v>498</v>
      </c>
      <c r="V11" s="141">
        <f t="shared" si="2"/>
        <v>3112.5</v>
      </c>
      <c r="W11" s="247">
        <v>6</v>
      </c>
      <c r="X11" s="137" t="s">
        <v>46</v>
      </c>
      <c r="Y11" s="247" t="s">
        <v>97</v>
      </c>
      <c r="Z11" s="247" t="s">
        <v>88</v>
      </c>
      <c r="AA11" s="247" t="s">
        <v>102</v>
      </c>
      <c r="AB11" s="137" t="s">
        <v>419</v>
      </c>
      <c r="AC11" s="142"/>
      <c r="AE11" s="223" t="s">
        <v>65</v>
      </c>
      <c r="AG11" s="49" t="s">
        <v>267</v>
      </c>
      <c r="AH11" s="49" t="s">
        <v>266</v>
      </c>
      <c r="AL11" s="149"/>
      <c r="AP11" s="224" t="s">
        <v>104</v>
      </c>
      <c r="AR11" s="231" t="s">
        <v>87</v>
      </c>
      <c r="AV11" s="150" t="s">
        <v>421</v>
      </c>
      <c r="AX11" s="225">
        <v>151</v>
      </c>
      <c r="AY11" s="226">
        <v>22</v>
      </c>
      <c r="AZ11" s="226">
        <v>152</v>
      </c>
      <c r="BA11" s="227">
        <v>18</v>
      </c>
    </row>
    <row r="12" spans="1:53" x14ac:dyDescent="0.15">
      <c r="A12" s="137" t="s">
        <v>61</v>
      </c>
      <c r="B12" s="137" t="s">
        <v>393</v>
      </c>
      <c r="C12" s="137">
        <v>2018</v>
      </c>
      <c r="D12" s="138" t="s">
        <v>422</v>
      </c>
      <c r="E12" s="137" t="s">
        <v>251</v>
      </c>
      <c r="F12" s="137" t="s">
        <v>252</v>
      </c>
      <c r="G12" s="137" t="s">
        <v>42</v>
      </c>
      <c r="H12" s="247" t="s">
        <v>168</v>
      </c>
      <c r="I12" s="247" t="s">
        <v>155</v>
      </c>
      <c r="J12" s="137" t="s">
        <v>38</v>
      </c>
      <c r="K12" s="247" t="s">
        <v>156</v>
      </c>
      <c r="L12" s="247">
        <v>2</v>
      </c>
      <c r="M12" s="247"/>
      <c r="N12" s="247">
        <v>4</v>
      </c>
      <c r="O12" s="247">
        <v>0.65</v>
      </c>
      <c r="P12" s="247">
        <v>0.7</v>
      </c>
      <c r="Q12" s="139">
        <f t="shared" si="0"/>
        <v>0.67500000000000004</v>
      </c>
      <c r="R12" s="247">
        <v>16</v>
      </c>
      <c r="S12" s="247">
        <v>133</v>
      </c>
      <c r="T12" s="140">
        <f t="shared" si="1"/>
        <v>25</v>
      </c>
      <c r="U12" s="247">
        <v>498</v>
      </c>
      <c r="V12" s="141">
        <f t="shared" si="2"/>
        <v>3112.5</v>
      </c>
      <c r="W12" s="247">
        <v>6</v>
      </c>
      <c r="X12" s="137" t="s">
        <v>46</v>
      </c>
      <c r="Y12" s="247" t="s">
        <v>97</v>
      </c>
      <c r="Z12" s="247" t="s">
        <v>88</v>
      </c>
      <c r="AA12" s="247" t="s">
        <v>102</v>
      </c>
      <c r="AB12" s="137" t="s">
        <v>423</v>
      </c>
      <c r="AC12" s="142"/>
      <c r="AE12" s="223" t="s">
        <v>70</v>
      </c>
      <c r="AG12" s="224"/>
      <c r="AH12" s="223"/>
      <c r="AL12" s="149"/>
      <c r="AP12" s="224" t="s">
        <v>67</v>
      </c>
      <c r="AR12" s="231" t="s">
        <v>124</v>
      </c>
      <c r="AV12" s="150" t="s">
        <v>424</v>
      </c>
      <c r="AX12" s="225">
        <v>180</v>
      </c>
      <c r="AY12" s="226">
        <v>18</v>
      </c>
      <c r="AZ12" s="226">
        <v>181</v>
      </c>
      <c r="BA12" s="227">
        <v>16</v>
      </c>
    </row>
    <row r="13" spans="1:53" x14ac:dyDescent="0.15">
      <c r="A13" s="137" t="s">
        <v>61</v>
      </c>
      <c r="B13" s="137" t="s">
        <v>397</v>
      </c>
      <c r="C13" s="137">
        <v>2018</v>
      </c>
      <c r="D13" s="138" t="s">
        <v>425</v>
      </c>
      <c r="E13" s="137" t="s">
        <v>251</v>
      </c>
      <c r="F13" s="137" t="s">
        <v>252</v>
      </c>
      <c r="G13" s="137" t="s">
        <v>42</v>
      </c>
      <c r="H13" s="247" t="s">
        <v>168</v>
      </c>
      <c r="I13" s="247" t="s">
        <v>155</v>
      </c>
      <c r="J13" s="137" t="s">
        <v>38</v>
      </c>
      <c r="K13" s="247" t="s">
        <v>156</v>
      </c>
      <c r="L13" s="247">
        <v>3</v>
      </c>
      <c r="M13" s="247"/>
      <c r="N13" s="247">
        <v>4</v>
      </c>
      <c r="O13" s="247">
        <v>0.8</v>
      </c>
      <c r="P13" s="247">
        <v>0.7</v>
      </c>
      <c r="Q13" s="139">
        <f t="shared" si="0"/>
        <v>0.75</v>
      </c>
      <c r="R13" s="247">
        <v>14.9</v>
      </c>
      <c r="S13" s="247">
        <v>132</v>
      </c>
      <c r="T13" s="140">
        <f t="shared" si="1"/>
        <v>25</v>
      </c>
      <c r="U13" s="247">
        <v>498</v>
      </c>
      <c r="V13" s="141">
        <f t="shared" si="2"/>
        <v>3112.5</v>
      </c>
      <c r="W13" s="247">
        <v>6</v>
      </c>
      <c r="X13" s="137" t="s">
        <v>46</v>
      </c>
      <c r="Y13" s="247" t="s">
        <v>97</v>
      </c>
      <c r="Z13" s="247" t="s">
        <v>88</v>
      </c>
      <c r="AA13" s="247" t="s">
        <v>102</v>
      </c>
      <c r="AB13" s="137" t="s">
        <v>426</v>
      </c>
      <c r="AC13" s="142"/>
      <c r="AE13" s="223" t="s">
        <v>73</v>
      </c>
      <c r="AG13" s="224"/>
      <c r="AH13" s="223"/>
      <c r="AL13" s="151"/>
      <c r="AP13" s="224" t="s">
        <v>71</v>
      </c>
      <c r="AR13" s="231" t="s">
        <v>103</v>
      </c>
      <c r="AV13" s="150" t="s">
        <v>427</v>
      </c>
      <c r="AX13" s="225"/>
      <c r="AY13" s="226"/>
      <c r="AZ13" s="226"/>
      <c r="BA13" s="227"/>
    </row>
    <row r="14" spans="1:53" x14ac:dyDescent="0.15">
      <c r="A14" s="137" t="s">
        <v>61</v>
      </c>
      <c r="B14" s="137" t="s">
        <v>399</v>
      </c>
      <c r="C14" s="137">
        <v>2018</v>
      </c>
      <c r="D14" s="138" t="s">
        <v>428</v>
      </c>
      <c r="E14" s="137" t="s">
        <v>253</v>
      </c>
      <c r="F14" s="137" t="s">
        <v>254</v>
      </c>
      <c r="G14" s="137" t="s">
        <v>42</v>
      </c>
      <c r="H14" s="247" t="s">
        <v>157</v>
      </c>
      <c r="I14" s="247" t="s">
        <v>155</v>
      </c>
      <c r="J14" s="137" t="s">
        <v>38</v>
      </c>
      <c r="K14" s="247" t="s">
        <v>156</v>
      </c>
      <c r="L14" s="247">
        <v>1</v>
      </c>
      <c r="M14" s="247"/>
      <c r="N14" s="247">
        <v>1</v>
      </c>
      <c r="O14" s="247">
        <v>0.7</v>
      </c>
      <c r="P14" s="247">
        <v>0.6</v>
      </c>
      <c r="Q14" s="139">
        <f t="shared" si="0"/>
        <v>0.64999999999999991</v>
      </c>
      <c r="R14" s="247">
        <v>14.2</v>
      </c>
      <c r="S14" s="247">
        <v>110</v>
      </c>
      <c r="T14" s="140">
        <f t="shared" si="1"/>
        <v>33</v>
      </c>
      <c r="U14" s="247">
        <v>138</v>
      </c>
      <c r="V14" s="141">
        <f t="shared" si="2"/>
        <v>4554</v>
      </c>
      <c r="W14" s="247">
        <v>11</v>
      </c>
      <c r="X14" s="137" t="s">
        <v>46</v>
      </c>
      <c r="Y14" s="247" t="s">
        <v>55</v>
      </c>
      <c r="Z14" s="247" t="s">
        <v>69</v>
      </c>
      <c r="AA14" s="247" t="s">
        <v>88</v>
      </c>
      <c r="AB14" s="137" t="s">
        <v>429</v>
      </c>
      <c r="AC14" s="142"/>
      <c r="AE14" s="223" t="s">
        <v>76</v>
      </c>
      <c r="AG14" s="224"/>
      <c r="AH14" s="223"/>
      <c r="AL14" s="235"/>
      <c r="AP14" s="224" t="s">
        <v>74</v>
      </c>
      <c r="AR14" s="231" t="s">
        <v>125</v>
      </c>
      <c r="AV14" s="150" t="s">
        <v>430</v>
      </c>
      <c r="AX14" s="225"/>
      <c r="AY14" s="226"/>
      <c r="AZ14" s="226"/>
      <c r="BA14" s="227"/>
    </row>
    <row r="15" spans="1:53" x14ac:dyDescent="0.15">
      <c r="A15" s="137" t="s">
        <v>61</v>
      </c>
      <c r="B15" s="137" t="s">
        <v>399</v>
      </c>
      <c r="C15" s="137">
        <v>2018</v>
      </c>
      <c r="D15" s="138" t="s">
        <v>428</v>
      </c>
      <c r="E15" s="137" t="s">
        <v>253</v>
      </c>
      <c r="F15" s="137" t="s">
        <v>254</v>
      </c>
      <c r="G15" s="137" t="s">
        <v>42</v>
      </c>
      <c r="H15" s="247" t="s">
        <v>157</v>
      </c>
      <c r="I15" s="247" t="s">
        <v>155</v>
      </c>
      <c r="J15" s="137" t="s">
        <v>38</v>
      </c>
      <c r="K15" s="247" t="s">
        <v>156</v>
      </c>
      <c r="L15" s="247">
        <v>2</v>
      </c>
      <c r="M15" s="247"/>
      <c r="N15" s="247">
        <v>1</v>
      </c>
      <c r="O15" s="247">
        <v>0.8</v>
      </c>
      <c r="P15" s="247">
        <v>0.7</v>
      </c>
      <c r="Q15" s="139">
        <f t="shared" si="0"/>
        <v>0.75</v>
      </c>
      <c r="R15" s="142">
        <v>13.8</v>
      </c>
      <c r="S15" s="247">
        <v>115</v>
      </c>
      <c r="T15" s="140">
        <f t="shared" si="1"/>
        <v>30</v>
      </c>
      <c r="U15" s="247">
        <v>138</v>
      </c>
      <c r="V15" s="141">
        <f t="shared" si="2"/>
        <v>4140</v>
      </c>
      <c r="W15" s="247">
        <v>11</v>
      </c>
      <c r="X15" s="137" t="s">
        <v>46</v>
      </c>
      <c r="Y15" s="247" t="s">
        <v>55</v>
      </c>
      <c r="Z15" s="247" t="s">
        <v>69</v>
      </c>
      <c r="AA15" s="247" t="s">
        <v>88</v>
      </c>
      <c r="AB15" s="137" t="s">
        <v>429</v>
      </c>
      <c r="AC15" s="142"/>
      <c r="AE15" s="223" t="s">
        <v>79</v>
      </c>
      <c r="AG15" s="224"/>
      <c r="AH15" s="224"/>
      <c r="AL15" s="235"/>
      <c r="AP15" s="224" t="s">
        <v>77</v>
      </c>
      <c r="AR15" s="231" t="s">
        <v>94</v>
      </c>
      <c r="AV15" s="150" t="s">
        <v>431</v>
      </c>
      <c r="AX15" s="232"/>
      <c r="AY15" s="233"/>
      <c r="AZ15" s="233"/>
      <c r="BA15" s="234"/>
    </row>
    <row r="16" spans="1:53" x14ac:dyDescent="0.15">
      <c r="A16" s="137" t="s">
        <v>61</v>
      </c>
      <c r="B16" s="137" t="s">
        <v>403</v>
      </c>
      <c r="C16" s="137">
        <v>2018</v>
      </c>
      <c r="D16" s="138" t="s">
        <v>432</v>
      </c>
      <c r="E16" s="137" t="s">
        <v>253</v>
      </c>
      <c r="F16" s="137" t="s">
        <v>254</v>
      </c>
      <c r="G16" s="137" t="s">
        <v>42</v>
      </c>
      <c r="H16" s="247" t="s">
        <v>157</v>
      </c>
      <c r="I16" s="247" t="s">
        <v>155</v>
      </c>
      <c r="J16" s="137" t="s">
        <v>38</v>
      </c>
      <c r="K16" s="247" t="s">
        <v>156</v>
      </c>
      <c r="L16" s="247">
        <v>3</v>
      </c>
      <c r="M16" s="247"/>
      <c r="N16" s="247">
        <v>1</v>
      </c>
      <c r="O16" s="247">
        <v>0.8</v>
      </c>
      <c r="P16" s="247">
        <v>0.7</v>
      </c>
      <c r="Q16" s="139">
        <f t="shared" si="0"/>
        <v>0.75</v>
      </c>
      <c r="R16" s="247">
        <v>13.2</v>
      </c>
      <c r="S16" s="247">
        <v>120</v>
      </c>
      <c r="T16" s="140">
        <f t="shared" si="1"/>
        <v>30</v>
      </c>
      <c r="U16" s="247">
        <v>138</v>
      </c>
      <c r="V16" s="141">
        <f t="shared" si="2"/>
        <v>4140</v>
      </c>
      <c r="W16" s="247">
        <v>11</v>
      </c>
      <c r="X16" s="137" t="s">
        <v>46</v>
      </c>
      <c r="Y16" s="247" t="s">
        <v>55</v>
      </c>
      <c r="Z16" s="247" t="s">
        <v>69</v>
      </c>
      <c r="AA16" s="247" t="s">
        <v>88</v>
      </c>
      <c r="AB16" s="137" t="s">
        <v>433</v>
      </c>
      <c r="AC16" s="142"/>
      <c r="AE16" s="223" t="s">
        <v>82</v>
      </c>
      <c r="AG16" s="224"/>
      <c r="AH16" s="224"/>
      <c r="AP16" s="224" t="s">
        <v>80</v>
      </c>
      <c r="AR16" s="238" t="s">
        <v>63</v>
      </c>
      <c r="AV16" s="150" t="s">
        <v>434</v>
      </c>
    </row>
    <row r="17" spans="1:48" x14ac:dyDescent="0.15">
      <c r="A17" s="137" t="s">
        <v>61</v>
      </c>
      <c r="B17" s="137" t="s">
        <v>403</v>
      </c>
      <c r="C17" s="137">
        <v>2018</v>
      </c>
      <c r="D17" s="138" t="s">
        <v>432</v>
      </c>
      <c r="E17" s="137" t="s">
        <v>253</v>
      </c>
      <c r="F17" s="137" t="s">
        <v>254</v>
      </c>
      <c r="G17" s="137" t="s">
        <v>42</v>
      </c>
      <c r="H17" s="247" t="s">
        <v>168</v>
      </c>
      <c r="I17" s="247" t="s">
        <v>155</v>
      </c>
      <c r="J17" s="137" t="s">
        <v>38</v>
      </c>
      <c r="K17" s="247" t="s">
        <v>156</v>
      </c>
      <c r="L17" s="247">
        <v>1</v>
      </c>
      <c r="M17" s="247"/>
      <c r="N17" s="247">
        <v>1</v>
      </c>
      <c r="O17" s="247">
        <v>0.5</v>
      </c>
      <c r="P17" s="247">
        <v>0.5</v>
      </c>
      <c r="Q17" s="139">
        <f t="shared" si="0"/>
        <v>0.5</v>
      </c>
      <c r="R17" s="247">
        <v>16.8</v>
      </c>
      <c r="S17" s="247">
        <v>130</v>
      </c>
      <c r="T17" s="140">
        <f t="shared" si="1"/>
        <v>25</v>
      </c>
      <c r="U17" s="247">
        <v>158</v>
      </c>
      <c r="V17" s="141">
        <f t="shared" si="2"/>
        <v>3950</v>
      </c>
      <c r="W17" s="247">
        <v>11</v>
      </c>
      <c r="X17" s="137" t="s">
        <v>46</v>
      </c>
      <c r="Y17" s="247" t="s">
        <v>55</v>
      </c>
      <c r="Z17" s="247" t="s">
        <v>69</v>
      </c>
      <c r="AA17" s="247" t="s">
        <v>88</v>
      </c>
      <c r="AB17" s="137" t="s">
        <v>433</v>
      </c>
      <c r="AC17" s="142"/>
      <c r="AE17" s="223" t="s">
        <v>85</v>
      </c>
      <c r="AP17" s="239" t="s">
        <v>110</v>
      </c>
      <c r="AR17" s="238" t="s">
        <v>96</v>
      </c>
      <c r="AV17" s="150" t="s">
        <v>435</v>
      </c>
    </row>
    <row r="18" spans="1:48" x14ac:dyDescent="0.15">
      <c r="A18" s="137" t="s">
        <v>61</v>
      </c>
      <c r="B18" s="137" t="s">
        <v>403</v>
      </c>
      <c r="C18" s="137">
        <v>2018</v>
      </c>
      <c r="D18" s="138" t="s">
        <v>432</v>
      </c>
      <c r="E18" s="137" t="s">
        <v>253</v>
      </c>
      <c r="F18" s="137" t="s">
        <v>254</v>
      </c>
      <c r="G18" s="137" t="s">
        <v>42</v>
      </c>
      <c r="H18" s="247" t="s">
        <v>168</v>
      </c>
      <c r="I18" s="247" t="s">
        <v>155</v>
      </c>
      <c r="J18" s="137" t="s">
        <v>38</v>
      </c>
      <c r="K18" s="247" t="s">
        <v>156</v>
      </c>
      <c r="L18" s="247">
        <v>2</v>
      </c>
      <c r="M18" s="247"/>
      <c r="N18" s="247">
        <v>1</v>
      </c>
      <c r="O18" s="247">
        <v>0.5</v>
      </c>
      <c r="P18" s="247">
        <v>0.5</v>
      </c>
      <c r="Q18" s="139">
        <f t="shared" si="0"/>
        <v>0.5</v>
      </c>
      <c r="R18" s="247">
        <v>15.5</v>
      </c>
      <c r="S18" s="247">
        <v>131</v>
      </c>
      <c r="T18" s="140">
        <f t="shared" si="1"/>
        <v>25</v>
      </c>
      <c r="U18" s="247">
        <v>158</v>
      </c>
      <c r="V18" s="141">
        <f t="shared" si="2"/>
        <v>3950</v>
      </c>
      <c r="W18" s="247">
        <v>11</v>
      </c>
      <c r="X18" s="137" t="s">
        <v>46</v>
      </c>
      <c r="Y18" s="247" t="s">
        <v>55</v>
      </c>
      <c r="Z18" s="247" t="s">
        <v>69</v>
      </c>
      <c r="AA18" s="247" t="s">
        <v>88</v>
      </c>
      <c r="AB18" s="137" t="s">
        <v>433</v>
      </c>
      <c r="AC18" s="142"/>
      <c r="AE18" s="223" t="s">
        <v>87</v>
      </c>
      <c r="AP18" s="239" t="s">
        <v>111</v>
      </c>
      <c r="AR18" s="238" t="s">
        <v>101</v>
      </c>
      <c r="AV18" s="150" t="s">
        <v>375</v>
      </c>
    </row>
    <row r="19" spans="1:48" x14ac:dyDescent="0.15">
      <c r="A19" s="137" t="s">
        <v>61</v>
      </c>
      <c r="B19" s="137" t="s">
        <v>393</v>
      </c>
      <c r="C19" s="137">
        <v>2018</v>
      </c>
      <c r="D19" s="138" t="s">
        <v>422</v>
      </c>
      <c r="E19" s="137" t="s">
        <v>253</v>
      </c>
      <c r="F19" s="137" t="s">
        <v>254</v>
      </c>
      <c r="G19" s="137" t="s">
        <v>42</v>
      </c>
      <c r="H19" s="247" t="s">
        <v>168</v>
      </c>
      <c r="I19" s="247" t="s">
        <v>155</v>
      </c>
      <c r="J19" s="137" t="s">
        <v>38</v>
      </c>
      <c r="K19" s="247" t="s">
        <v>156</v>
      </c>
      <c r="L19" s="247">
        <v>3</v>
      </c>
      <c r="M19" s="247"/>
      <c r="N19" s="247">
        <v>1</v>
      </c>
      <c r="O19" s="247">
        <v>0.5</v>
      </c>
      <c r="P19" s="247">
        <v>0.5</v>
      </c>
      <c r="Q19" s="139">
        <f t="shared" si="0"/>
        <v>0.5</v>
      </c>
      <c r="R19" s="247">
        <v>17.2</v>
      </c>
      <c r="S19" s="247">
        <v>131</v>
      </c>
      <c r="T19" s="140">
        <f t="shared" si="1"/>
        <v>25</v>
      </c>
      <c r="U19" s="247">
        <v>158</v>
      </c>
      <c r="V19" s="141">
        <f t="shared" si="2"/>
        <v>3950</v>
      </c>
      <c r="W19" s="247">
        <v>11</v>
      </c>
      <c r="X19" s="137" t="s">
        <v>46</v>
      </c>
      <c r="Y19" s="247" t="s">
        <v>55</v>
      </c>
      <c r="Z19" s="247" t="s">
        <v>69</v>
      </c>
      <c r="AA19" s="247" t="s">
        <v>88</v>
      </c>
      <c r="AB19" s="137" t="s">
        <v>423</v>
      </c>
      <c r="AC19" s="142"/>
      <c r="AE19" s="236" t="s">
        <v>89</v>
      </c>
      <c r="AP19" s="239" t="s">
        <v>112</v>
      </c>
      <c r="AR19" s="231" t="s">
        <v>126</v>
      </c>
      <c r="AV19" s="150" t="s">
        <v>436</v>
      </c>
    </row>
    <row r="20" spans="1:48" x14ac:dyDescent="0.15">
      <c r="A20" s="137" t="s">
        <v>61</v>
      </c>
      <c r="B20" s="137" t="s">
        <v>393</v>
      </c>
      <c r="C20" s="137">
        <v>2018</v>
      </c>
      <c r="D20" s="138" t="s">
        <v>422</v>
      </c>
      <c r="E20" s="137" t="s">
        <v>255</v>
      </c>
      <c r="F20" s="137" t="s">
        <v>256</v>
      </c>
      <c r="G20" s="137" t="s">
        <v>42</v>
      </c>
      <c r="H20" s="247" t="s">
        <v>157</v>
      </c>
      <c r="I20" s="247" t="s">
        <v>155</v>
      </c>
      <c r="J20" s="137" t="s">
        <v>38</v>
      </c>
      <c r="K20" s="247" t="s">
        <v>156</v>
      </c>
      <c r="L20" s="247">
        <v>1</v>
      </c>
      <c r="M20" s="247"/>
      <c r="N20" s="247">
        <v>1</v>
      </c>
      <c r="O20" s="247">
        <v>0.75</v>
      </c>
      <c r="P20" s="247">
        <v>0.8</v>
      </c>
      <c r="Q20" s="139">
        <f t="shared" si="0"/>
        <v>0.77500000000000002</v>
      </c>
      <c r="R20" s="247">
        <v>14</v>
      </c>
      <c r="S20" s="247">
        <v>111</v>
      </c>
      <c r="T20" s="140">
        <f t="shared" si="1"/>
        <v>33</v>
      </c>
      <c r="U20" s="247">
        <v>138</v>
      </c>
      <c r="V20" s="141">
        <f t="shared" si="2"/>
        <v>4554</v>
      </c>
      <c r="W20" s="247">
        <v>7</v>
      </c>
      <c r="X20" s="137" t="s">
        <v>39</v>
      </c>
      <c r="Y20" s="247" t="s">
        <v>88</v>
      </c>
      <c r="Z20" s="247" t="s">
        <v>78</v>
      </c>
      <c r="AA20" s="247" t="s">
        <v>86</v>
      </c>
      <c r="AB20" s="137" t="s">
        <v>423</v>
      </c>
      <c r="AC20" s="142"/>
      <c r="AE20" s="223"/>
      <c r="AP20" s="239" t="s">
        <v>113</v>
      </c>
      <c r="AR20" s="238" t="s">
        <v>105</v>
      </c>
      <c r="AV20" s="150" t="s">
        <v>437</v>
      </c>
    </row>
    <row r="21" spans="1:48" x14ac:dyDescent="0.15">
      <c r="A21" s="137" t="s">
        <v>61</v>
      </c>
      <c r="B21" s="137" t="s">
        <v>393</v>
      </c>
      <c r="C21" s="137">
        <v>2018</v>
      </c>
      <c r="D21" s="138" t="s">
        <v>422</v>
      </c>
      <c r="E21" s="137" t="s">
        <v>255</v>
      </c>
      <c r="F21" s="137" t="s">
        <v>256</v>
      </c>
      <c r="G21" s="137" t="s">
        <v>42</v>
      </c>
      <c r="H21" s="247" t="s">
        <v>157</v>
      </c>
      <c r="I21" s="247" t="s">
        <v>155</v>
      </c>
      <c r="J21" s="137" t="s">
        <v>38</v>
      </c>
      <c r="K21" s="247" t="s">
        <v>156</v>
      </c>
      <c r="L21" s="247">
        <v>2</v>
      </c>
      <c r="M21" s="247"/>
      <c r="N21" s="247">
        <v>1</v>
      </c>
      <c r="O21" s="247">
        <v>0.5</v>
      </c>
      <c r="P21" s="247">
        <v>0.5</v>
      </c>
      <c r="Q21" s="139">
        <f t="shared" si="0"/>
        <v>0.5</v>
      </c>
      <c r="R21" s="247">
        <v>14.3</v>
      </c>
      <c r="S21" s="247">
        <v>120</v>
      </c>
      <c r="T21" s="140">
        <f t="shared" si="1"/>
        <v>30</v>
      </c>
      <c r="U21" s="247">
        <v>138</v>
      </c>
      <c r="V21" s="141">
        <f t="shared" si="2"/>
        <v>4140</v>
      </c>
      <c r="W21" s="247">
        <v>7</v>
      </c>
      <c r="X21" s="137" t="s">
        <v>39</v>
      </c>
      <c r="Y21" s="247" t="s">
        <v>88</v>
      </c>
      <c r="Z21" s="247" t="s">
        <v>78</v>
      </c>
      <c r="AA21" s="247" t="s">
        <v>86</v>
      </c>
      <c r="AB21" s="137" t="s">
        <v>423</v>
      </c>
      <c r="AC21" s="142"/>
      <c r="AE21" s="223"/>
      <c r="AP21" s="239" t="s">
        <v>114</v>
      </c>
      <c r="AR21" s="238" t="s">
        <v>68</v>
      </c>
      <c r="AV21" s="150" t="s">
        <v>438</v>
      </c>
    </row>
    <row r="22" spans="1:48" x14ac:dyDescent="0.15">
      <c r="A22" s="137" t="s">
        <v>61</v>
      </c>
      <c r="B22" s="137" t="s">
        <v>393</v>
      </c>
      <c r="C22" s="137">
        <v>2018</v>
      </c>
      <c r="D22" s="138" t="s">
        <v>422</v>
      </c>
      <c r="E22" s="137" t="s">
        <v>255</v>
      </c>
      <c r="F22" s="137" t="s">
        <v>256</v>
      </c>
      <c r="G22" s="137" t="s">
        <v>42</v>
      </c>
      <c r="H22" s="247" t="s">
        <v>157</v>
      </c>
      <c r="I22" s="247" t="s">
        <v>155</v>
      </c>
      <c r="J22" s="137" t="s">
        <v>38</v>
      </c>
      <c r="K22" s="247" t="s">
        <v>156</v>
      </c>
      <c r="L22" s="247">
        <v>3</v>
      </c>
      <c r="M22" s="247"/>
      <c r="N22" s="247">
        <v>1</v>
      </c>
      <c r="O22" s="142">
        <v>0.6</v>
      </c>
      <c r="P22" s="247">
        <v>0.7</v>
      </c>
      <c r="Q22" s="139">
        <f t="shared" si="0"/>
        <v>0.64999999999999991</v>
      </c>
      <c r="R22" s="247">
        <v>13.9</v>
      </c>
      <c r="S22" s="247">
        <v>113</v>
      </c>
      <c r="T22" s="140">
        <f t="shared" si="1"/>
        <v>30</v>
      </c>
      <c r="U22" s="247">
        <v>138</v>
      </c>
      <c r="V22" s="141">
        <f t="shared" si="2"/>
        <v>4140</v>
      </c>
      <c r="W22" s="247">
        <v>7</v>
      </c>
      <c r="X22" s="137" t="s">
        <v>39</v>
      </c>
      <c r="Y22" s="247" t="s">
        <v>88</v>
      </c>
      <c r="Z22" s="247" t="s">
        <v>78</v>
      </c>
      <c r="AA22" s="247" t="s">
        <v>86</v>
      </c>
      <c r="AB22" s="137" t="s">
        <v>423</v>
      </c>
      <c r="AC22" s="142"/>
      <c r="AE22" s="236"/>
      <c r="AP22" s="239" t="s">
        <v>115</v>
      </c>
      <c r="AR22" s="238" t="s">
        <v>83</v>
      </c>
      <c r="AV22" s="224"/>
    </row>
    <row r="23" spans="1:48" x14ac:dyDescent="0.15">
      <c r="A23" s="137" t="s">
        <v>61</v>
      </c>
      <c r="B23" s="137" t="s">
        <v>393</v>
      </c>
      <c r="C23" s="137">
        <v>2018</v>
      </c>
      <c r="D23" s="138" t="s">
        <v>422</v>
      </c>
      <c r="E23" s="137" t="s">
        <v>255</v>
      </c>
      <c r="F23" s="137" t="s">
        <v>256</v>
      </c>
      <c r="G23" s="137" t="s">
        <v>42</v>
      </c>
      <c r="H23" s="247" t="s">
        <v>168</v>
      </c>
      <c r="I23" s="247" t="s">
        <v>155</v>
      </c>
      <c r="J23" s="137" t="s">
        <v>38</v>
      </c>
      <c r="K23" s="247" t="s">
        <v>156</v>
      </c>
      <c r="L23" s="247">
        <v>1</v>
      </c>
      <c r="M23" s="247"/>
      <c r="N23" s="247">
        <v>1</v>
      </c>
      <c r="O23" s="247">
        <v>0.5</v>
      </c>
      <c r="P23" s="247">
        <v>0.5</v>
      </c>
      <c r="Q23" s="139">
        <f t="shared" si="0"/>
        <v>0.5</v>
      </c>
      <c r="R23" s="247">
        <v>17.899999999999999</v>
      </c>
      <c r="S23" s="247">
        <v>130</v>
      </c>
      <c r="T23" s="140">
        <f t="shared" si="1"/>
        <v>25</v>
      </c>
      <c r="U23" s="247">
        <v>149</v>
      </c>
      <c r="V23" s="141">
        <f t="shared" si="2"/>
        <v>3725</v>
      </c>
      <c r="W23" s="247">
        <v>7</v>
      </c>
      <c r="X23" s="137" t="s">
        <v>39</v>
      </c>
      <c r="Y23" s="247" t="s">
        <v>88</v>
      </c>
      <c r="Z23" s="247" t="s">
        <v>78</v>
      </c>
      <c r="AA23" s="247" t="s">
        <v>86</v>
      </c>
      <c r="AB23" s="137" t="s">
        <v>423</v>
      </c>
      <c r="AC23" s="142"/>
      <c r="AE23" s="223"/>
      <c r="AP23" s="239" t="s">
        <v>408</v>
      </c>
      <c r="AR23" s="238" t="s">
        <v>61</v>
      </c>
    </row>
    <row r="24" spans="1:48" x14ac:dyDescent="0.15">
      <c r="A24" s="137" t="s">
        <v>61</v>
      </c>
      <c r="B24" s="137" t="s">
        <v>393</v>
      </c>
      <c r="C24" s="137">
        <v>2018</v>
      </c>
      <c r="D24" s="138" t="s">
        <v>422</v>
      </c>
      <c r="E24" s="137" t="s">
        <v>255</v>
      </c>
      <c r="F24" s="137" t="s">
        <v>256</v>
      </c>
      <c r="G24" s="137" t="s">
        <v>42</v>
      </c>
      <c r="H24" s="247" t="s">
        <v>168</v>
      </c>
      <c r="I24" s="247" t="s">
        <v>155</v>
      </c>
      <c r="J24" s="137" t="s">
        <v>38</v>
      </c>
      <c r="K24" s="247" t="s">
        <v>156</v>
      </c>
      <c r="L24" s="247">
        <v>2</v>
      </c>
      <c r="M24" s="247"/>
      <c r="N24" s="247">
        <v>1</v>
      </c>
      <c r="O24" s="247">
        <v>0.6</v>
      </c>
      <c r="P24" s="247">
        <v>0.7</v>
      </c>
      <c r="Q24" s="139">
        <f t="shared" si="0"/>
        <v>0.64999999999999991</v>
      </c>
      <c r="R24" s="247">
        <v>16.899999999999999</v>
      </c>
      <c r="S24" s="247">
        <v>130</v>
      </c>
      <c r="T24" s="140">
        <f t="shared" si="1"/>
        <v>25</v>
      </c>
      <c r="U24" s="247">
        <v>149</v>
      </c>
      <c r="V24" s="141">
        <f t="shared" si="2"/>
        <v>3725</v>
      </c>
      <c r="W24" s="247">
        <v>7</v>
      </c>
      <c r="X24" s="137" t="s">
        <v>39</v>
      </c>
      <c r="Y24" s="247" t="s">
        <v>88</v>
      </c>
      <c r="Z24" s="247" t="s">
        <v>78</v>
      </c>
      <c r="AA24" s="247" t="s">
        <v>86</v>
      </c>
      <c r="AB24" s="137" t="s">
        <v>423</v>
      </c>
      <c r="AC24" s="142"/>
      <c r="AE24" s="223"/>
      <c r="AP24" s="239" t="s">
        <v>409</v>
      </c>
      <c r="AR24" s="238" t="s">
        <v>91</v>
      </c>
    </row>
    <row r="25" spans="1:48" x14ac:dyDescent="0.15">
      <c r="A25" s="137" t="s">
        <v>61</v>
      </c>
      <c r="B25" s="137" t="s">
        <v>393</v>
      </c>
      <c r="C25" s="137">
        <v>2018</v>
      </c>
      <c r="D25" s="138" t="s">
        <v>422</v>
      </c>
      <c r="E25" s="137" t="s">
        <v>255</v>
      </c>
      <c r="F25" s="137" t="s">
        <v>256</v>
      </c>
      <c r="G25" s="137" t="s">
        <v>42</v>
      </c>
      <c r="H25" s="247" t="s">
        <v>168</v>
      </c>
      <c r="I25" s="247" t="s">
        <v>155</v>
      </c>
      <c r="J25" s="137" t="s">
        <v>38</v>
      </c>
      <c r="K25" s="247" t="s">
        <v>156</v>
      </c>
      <c r="L25" s="247">
        <v>3</v>
      </c>
      <c r="M25" s="247"/>
      <c r="N25" s="247">
        <v>1</v>
      </c>
      <c r="O25" s="247">
        <v>0.6</v>
      </c>
      <c r="P25" s="247">
        <v>0.75</v>
      </c>
      <c r="Q25" s="139">
        <f t="shared" si="0"/>
        <v>0.67500000000000004</v>
      </c>
      <c r="R25" s="247">
        <v>15.3</v>
      </c>
      <c r="S25" s="247">
        <v>131</v>
      </c>
      <c r="T25" s="140">
        <f t="shared" si="1"/>
        <v>25</v>
      </c>
      <c r="U25" s="247">
        <v>149</v>
      </c>
      <c r="V25" s="141">
        <f t="shared" si="2"/>
        <v>3725</v>
      </c>
      <c r="W25" s="247">
        <v>7</v>
      </c>
      <c r="X25" s="137" t="s">
        <v>39</v>
      </c>
      <c r="Y25" s="247" t="s">
        <v>88</v>
      </c>
      <c r="Z25" s="247" t="s">
        <v>78</v>
      </c>
      <c r="AA25" s="247" t="s">
        <v>86</v>
      </c>
      <c r="AB25" s="137" t="s">
        <v>423</v>
      </c>
      <c r="AC25" s="142"/>
      <c r="AE25" s="236"/>
      <c r="AP25" s="239" t="s">
        <v>116</v>
      </c>
      <c r="AR25" s="42" t="s">
        <v>92</v>
      </c>
    </row>
    <row r="26" spans="1:48" x14ac:dyDescent="0.15">
      <c r="A26" s="137" t="s">
        <v>61</v>
      </c>
      <c r="B26" s="137" t="s">
        <v>393</v>
      </c>
      <c r="C26" s="137">
        <v>2018</v>
      </c>
      <c r="D26" s="138" t="s">
        <v>422</v>
      </c>
      <c r="E26" s="137" t="s">
        <v>257</v>
      </c>
      <c r="F26" s="137" t="s">
        <v>258</v>
      </c>
      <c r="G26" s="137" t="s">
        <v>42</v>
      </c>
      <c r="H26" s="247" t="s">
        <v>157</v>
      </c>
      <c r="I26" s="247" t="s">
        <v>155</v>
      </c>
      <c r="J26" s="137" t="s">
        <v>38</v>
      </c>
      <c r="K26" s="247" t="s">
        <v>156</v>
      </c>
      <c r="L26" s="247">
        <v>1</v>
      </c>
      <c r="M26" s="247"/>
      <c r="N26" s="247">
        <v>1</v>
      </c>
      <c r="O26" s="247">
        <v>0.7</v>
      </c>
      <c r="P26" s="142">
        <v>0.8</v>
      </c>
      <c r="Q26" s="139">
        <f t="shared" si="0"/>
        <v>0.75</v>
      </c>
      <c r="R26" s="247">
        <v>13.6</v>
      </c>
      <c r="S26" s="247">
        <v>110</v>
      </c>
      <c r="T26" s="140">
        <f t="shared" si="1"/>
        <v>33</v>
      </c>
      <c r="U26" s="247">
        <v>105</v>
      </c>
      <c r="V26" s="141">
        <f t="shared" si="2"/>
        <v>3465</v>
      </c>
      <c r="W26" s="247">
        <v>7</v>
      </c>
      <c r="X26" s="137" t="s">
        <v>39</v>
      </c>
      <c r="Y26" s="247" t="s">
        <v>88</v>
      </c>
      <c r="Z26" s="247" t="s">
        <v>78</v>
      </c>
      <c r="AA26" s="247" t="s">
        <v>69</v>
      </c>
      <c r="AB26" s="137" t="s">
        <v>423</v>
      </c>
      <c r="AC26" s="142"/>
      <c r="AD26" s="235"/>
      <c r="AE26" s="236"/>
      <c r="AP26" s="239" t="s">
        <v>117</v>
      </c>
      <c r="AR26" s="224" t="s">
        <v>300</v>
      </c>
    </row>
    <row r="27" spans="1:48" x14ac:dyDescent="0.15">
      <c r="A27" s="137" t="s">
        <v>61</v>
      </c>
      <c r="B27" s="137" t="s">
        <v>393</v>
      </c>
      <c r="C27" s="137">
        <v>2018</v>
      </c>
      <c r="D27" s="138" t="s">
        <v>422</v>
      </c>
      <c r="E27" s="137" t="s">
        <v>257</v>
      </c>
      <c r="F27" s="137" t="s">
        <v>258</v>
      </c>
      <c r="G27" s="137" t="s">
        <v>42</v>
      </c>
      <c r="H27" s="247" t="s">
        <v>157</v>
      </c>
      <c r="I27" s="247" t="s">
        <v>155</v>
      </c>
      <c r="J27" s="137" t="s">
        <v>38</v>
      </c>
      <c r="K27" s="247" t="s">
        <v>156</v>
      </c>
      <c r="L27" s="247">
        <v>2</v>
      </c>
      <c r="M27" s="247"/>
      <c r="N27" s="247">
        <v>1</v>
      </c>
      <c r="O27" s="247">
        <v>0.8</v>
      </c>
      <c r="P27" s="142">
        <v>0.9</v>
      </c>
      <c r="Q27" s="139">
        <f t="shared" si="0"/>
        <v>0.85000000000000009</v>
      </c>
      <c r="R27" s="247">
        <v>13.2</v>
      </c>
      <c r="S27" s="247">
        <v>110</v>
      </c>
      <c r="T27" s="140">
        <f t="shared" si="1"/>
        <v>33</v>
      </c>
      <c r="U27" s="247">
        <v>105</v>
      </c>
      <c r="V27" s="141">
        <f t="shared" si="2"/>
        <v>3465</v>
      </c>
      <c r="W27" s="247">
        <v>7</v>
      </c>
      <c r="X27" s="137" t="s">
        <v>39</v>
      </c>
      <c r="Y27" s="247" t="s">
        <v>88</v>
      </c>
      <c r="Z27" s="247" t="s">
        <v>78</v>
      </c>
      <c r="AA27" s="247" t="s">
        <v>69</v>
      </c>
      <c r="AB27" s="137" t="s">
        <v>423</v>
      </c>
      <c r="AC27" s="142"/>
      <c r="AD27" s="235"/>
      <c r="AE27" s="229"/>
      <c r="AP27" s="239" t="s">
        <v>118</v>
      </c>
      <c r="AR27" s="224"/>
    </row>
    <row r="28" spans="1:48" x14ac:dyDescent="0.15">
      <c r="A28" s="137" t="s">
        <v>61</v>
      </c>
      <c r="B28" s="137" t="s">
        <v>393</v>
      </c>
      <c r="C28" s="137">
        <v>2018</v>
      </c>
      <c r="D28" s="138" t="s">
        <v>422</v>
      </c>
      <c r="E28" s="137" t="s">
        <v>257</v>
      </c>
      <c r="F28" s="137" t="s">
        <v>258</v>
      </c>
      <c r="G28" s="137" t="s">
        <v>42</v>
      </c>
      <c r="H28" s="247" t="s">
        <v>157</v>
      </c>
      <c r="I28" s="247" t="s">
        <v>155</v>
      </c>
      <c r="J28" s="137" t="s">
        <v>38</v>
      </c>
      <c r="K28" s="247" t="s">
        <v>156</v>
      </c>
      <c r="L28" s="247">
        <v>3</v>
      </c>
      <c r="M28" s="247"/>
      <c r="N28" s="247">
        <v>1</v>
      </c>
      <c r="O28" s="247">
        <v>0.6</v>
      </c>
      <c r="P28" s="142">
        <v>0.7</v>
      </c>
      <c r="Q28" s="139">
        <f t="shared" si="0"/>
        <v>0.64999999999999991</v>
      </c>
      <c r="R28" s="247">
        <v>14.3</v>
      </c>
      <c r="S28" s="247">
        <v>111</v>
      </c>
      <c r="T28" s="140">
        <f t="shared" si="1"/>
        <v>33</v>
      </c>
      <c r="U28" s="247">
        <v>105</v>
      </c>
      <c r="V28" s="141">
        <f t="shared" si="2"/>
        <v>3465</v>
      </c>
      <c r="W28" s="247">
        <v>7</v>
      </c>
      <c r="X28" s="137" t="s">
        <v>39</v>
      </c>
      <c r="Y28" s="247" t="s">
        <v>88</v>
      </c>
      <c r="Z28" s="247" t="s">
        <v>78</v>
      </c>
      <c r="AA28" s="247" t="s">
        <v>69</v>
      </c>
      <c r="AB28" s="137" t="s">
        <v>423</v>
      </c>
      <c r="AC28" s="142"/>
      <c r="AD28" s="235"/>
      <c r="AP28" s="228"/>
      <c r="AR28" s="224"/>
    </row>
    <row r="29" spans="1:48" x14ac:dyDescent="0.15">
      <c r="A29" s="137" t="s">
        <v>61</v>
      </c>
      <c r="B29" s="137" t="s">
        <v>393</v>
      </c>
      <c r="C29" s="137">
        <v>2018</v>
      </c>
      <c r="D29" s="138" t="s">
        <v>422</v>
      </c>
      <c r="E29" s="137" t="s">
        <v>257</v>
      </c>
      <c r="F29" s="137" t="s">
        <v>258</v>
      </c>
      <c r="G29" s="137" t="s">
        <v>42</v>
      </c>
      <c r="H29" s="247" t="s">
        <v>168</v>
      </c>
      <c r="I29" s="247" t="s">
        <v>155</v>
      </c>
      <c r="J29" s="137" t="s">
        <v>38</v>
      </c>
      <c r="K29" s="247" t="s">
        <v>156</v>
      </c>
      <c r="L29" s="247">
        <v>1</v>
      </c>
      <c r="M29" s="247"/>
      <c r="N29" s="247">
        <v>1</v>
      </c>
      <c r="O29" s="247">
        <v>0.5</v>
      </c>
      <c r="P29" s="247">
        <v>0.6</v>
      </c>
      <c r="Q29" s="139">
        <f t="shared" si="0"/>
        <v>0.55000000000000004</v>
      </c>
      <c r="R29" s="247">
        <v>16.899999999999999</v>
      </c>
      <c r="S29" s="247">
        <v>130</v>
      </c>
      <c r="T29" s="140">
        <f t="shared" si="1"/>
        <v>25</v>
      </c>
      <c r="U29" s="247">
        <v>138</v>
      </c>
      <c r="V29" s="141">
        <f t="shared" si="2"/>
        <v>3450</v>
      </c>
      <c r="W29" s="247">
        <v>7</v>
      </c>
      <c r="X29" s="137" t="s">
        <v>39</v>
      </c>
      <c r="Y29" s="247" t="s">
        <v>88</v>
      </c>
      <c r="Z29" s="247" t="s">
        <v>78</v>
      </c>
      <c r="AA29" s="247" t="s">
        <v>69</v>
      </c>
      <c r="AB29" s="137" t="s">
        <v>423</v>
      </c>
      <c r="AC29" s="142"/>
    </row>
    <row r="30" spans="1:48" x14ac:dyDescent="0.15">
      <c r="A30" s="137" t="s">
        <v>61</v>
      </c>
      <c r="B30" s="137" t="s">
        <v>393</v>
      </c>
      <c r="C30" s="137">
        <v>2018</v>
      </c>
      <c r="D30" s="138" t="s">
        <v>422</v>
      </c>
      <c r="E30" s="137" t="s">
        <v>257</v>
      </c>
      <c r="F30" s="137" t="s">
        <v>258</v>
      </c>
      <c r="G30" s="137" t="s">
        <v>42</v>
      </c>
      <c r="H30" s="247" t="s">
        <v>168</v>
      </c>
      <c r="I30" s="247" t="s">
        <v>155</v>
      </c>
      <c r="J30" s="137" t="s">
        <v>38</v>
      </c>
      <c r="K30" s="247" t="s">
        <v>156</v>
      </c>
      <c r="L30" s="247">
        <v>2</v>
      </c>
      <c r="M30" s="247"/>
      <c r="N30" s="247">
        <v>1</v>
      </c>
      <c r="O30" s="247">
        <v>0.5</v>
      </c>
      <c r="P30" s="142">
        <v>0.6</v>
      </c>
      <c r="Q30" s="139">
        <f t="shared" si="0"/>
        <v>0.55000000000000004</v>
      </c>
      <c r="R30" s="247">
        <v>18.2</v>
      </c>
      <c r="S30" s="247">
        <v>135</v>
      </c>
      <c r="T30" s="140">
        <f t="shared" si="1"/>
        <v>25</v>
      </c>
      <c r="U30" s="247">
        <v>138</v>
      </c>
      <c r="V30" s="141">
        <f t="shared" si="2"/>
        <v>3450</v>
      </c>
      <c r="W30" s="247">
        <v>7</v>
      </c>
      <c r="X30" s="137" t="s">
        <v>39</v>
      </c>
      <c r="Y30" s="247" t="s">
        <v>88</v>
      </c>
      <c r="Z30" s="247" t="s">
        <v>78</v>
      </c>
      <c r="AA30" s="247" t="s">
        <v>69</v>
      </c>
      <c r="AB30" s="137" t="s">
        <v>423</v>
      </c>
      <c r="AC30" s="142"/>
    </row>
    <row r="31" spans="1:48" x14ac:dyDescent="0.15">
      <c r="A31" s="137" t="s">
        <v>61</v>
      </c>
      <c r="B31" s="137" t="s">
        <v>393</v>
      </c>
      <c r="C31" s="137">
        <v>2018</v>
      </c>
      <c r="D31" s="138" t="s">
        <v>422</v>
      </c>
      <c r="E31" s="137" t="s">
        <v>257</v>
      </c>
      <c r="F31" s="137" t="s">
        <v>258</v>
      </c>
      <c r="G31" s="137" t="s">
        <v>42</v>
      </c>
      <c r="H31" s="247" t="s">
        <v>168</v>
      </c>
      <c r="I31" s="247" t="s">
        <v>155</v>
      </c>
      <c r="J31" s="137" t="s">
        <v>38</v>
      </c>
      <c r="K31" s="247" t="s">
        <v>156</v>
      </c>
      <c r="L31" s="247">
        <v>3</v>
      </c>
      <c r="M31" s="247"/>
      <c r="N31" s="247">
        <v>1</v>
      </c>
      <c r="O31" s="247">
        <v>0.6</v>
      </c>
      <c r="P31" s="247">
        <v>0.65</v>
      </c>
      <c r="Q31" s="139">
        <f t="shared" si="0"/>
        <v>0.625</v>
      </c>
      <c r="R31" s="247">
        <v>16.100000000000001</v>
      </c>
      <c r="S31" s="247">
        <v>132</v>
      </c>
      <c r="T31" s="140">
        <f t="shared" si="1"/>
        <v>25</v>
      </c>
      <c r="U31" s="247">
        <v>138</v>
      </c>
      <c r="V31" s="141">
        <f t="shared" si="2"/>
        <v>3450</v>
      </c>
      <c r="W31" s="247">
        <v>7</v>
      </c>
      <c r="X31" s="137" t="s">
        <v>39</v>
      </c>
      <c r="Y31" s="247" t="s">
        <v>88</v>
      </c>
      <c r="Z31" s="247" t="s">
        <v>78</v>
      </c>
      <c r="AA31" s="247" t="s">
        <v>69</v>
      </c>
      <c r="AB31" s="137" t="s">
        <v>423</v>
      </c>
      <c r="AC31" s="142"/>
    </row>
    <row r="32" spans="1:48" x14ac:dyDescent="0.15">
      <c r="A32" s="137" t="s">
        <v>61</v>
      </c>
      <c r="B32" s="137" t="s">
        <v>393</v>
      </c>
      <c r="C32" s="137">
        <v>2018</v>
      </c>
      <c r="D32" s="138" t="s">
        <v>422</v>
      </c>
      <c r="E32" s="137" t="s">
        <v>260</v>
      </c>
      <c r="F32" s="137" t="s">
        <v>261</v>
      </c>
      <c r="G32" s="137" t="s">
        <v>42</v>
      </c>
      <c r="H32" s="247" t="s">
        <v>157</v>
      </c>
      <c r="I32" s="247" t="s">
        <v>155</v>
      </c>
      <c r="J32" s="137" t="s">
        <v>38</v>
      </c>
      <c r="K32" s="247" t="s">
        <v>156</v>
      </c>
      <c r="L32" s="247">
        <v>1</v>
      </c>
      <c r="M32" s="247"/>
      <c r="N32" s="247">
        <v>1</v>
      </c>
      <c r="O32" s="247">
        <v>0.7</v>
      </c>
      <c r="P32" s="247">
        <v>0.8</v>
      </c>
      <c r="Q32" s="139">
        <f t="shared" si="0"/>
        <v>0.75</v>
      </c>
      <c r="R32" s="247">
        <v>13.4</v>
      </c>
      <c r="S32" s="247">
        <v>111</v>
      </c>
      <c r="T32" s="140">
        <f t="shared" si="1"/>
        <v>33</v>
      </c>
      <c r="U32" s="247">
        <v>98</v>
      </c>
      <c r="V32" s="141">
        <f t="shared" si="2"/>
        <v>3234</v>
      </c>
      <c r="W32" s="247">
        <v>10</v>
      </c>
      <c r="X32" s="137" t="s">
        <v>46</v>
      </c>
      <c r="Y32" s="247" t="s">
        <v>78</v>
      </c>
      <c r="Z32" s="247" t="s">
        <v>97</v>
      </c>
      <c r="AA32" s="247" t="s">
        <v>88</v>
      </c>
      <c r="AB32" s="137" t="s">
        <v>423</v>
      </c>
      <c r="AC32" s="142"/>
    </row>
    <row r="33" spans="1:29" x14ac:dyDescent="0.15">
      <c r="A33" s="137" t="s">
        <v>61</v>
      </c>
      <c r="B33" s="137" t="s">
        <v>393</v>
      </c>
      <c r="C33" s="137">
        <v>2018</v>
      </c>
      <c r="D33" s="138" t="s">
        <v>422</v>
      </c>
      <c r="E33" s="137" t="s">
        <v>260</v>
      </c>
      <c r="F33" s="137" t="s">
        <v>261</v>
      </c>
      <c r="G33" s="137" t="s">
        <v>42</v>
      </c>
      <c r="H33" s="247" t="s">
        <v>157</v>
      </c>
      <c r="I33" s="247" t="s">
        <v>155</v>
      </c>
      <c r="J33" s="137" t="s">
        <v>38</v>
      </c>
      <c r="K33" s="247" t="s">
        <v>156</v>
      </c>
      <c r="L33" s="247">
        <v>2</v>
      </c>
      <c r="M33" s="247"/>
      <c r="N33" s="247">
        <v>1</v>
      </c>
      <c r="O33" s="247">
        <v>0.8</v>
      </c>
      <c r="P33" s="247">
        <v>0.75</v>
      </c>
      <c r="Q33" s="139">
        <f t="shared" si="0"/>
        <v>0.77500000000000002</v>
      </c>
      <c r="R33" s="247">
        <v>14.3</v>
      </c>
      <c r="S33" s="247">
        <v>115</v>
      </c>
      <c r="T33" s="140">
        <f t="shared" si="1"/>
        <v>30</v>
      </c>
      <c r="U33" s="247">
        <v>98</v>
      </c>
      <c r="V33" s="141">
        <f t="shared" si="2"/>
        <v>2940</v>
      </c>
      <c r="W33" s="247">
        <v>10</v>
      </c>
      <c r="X33" s="137" t="s">
        <v>46</v>
      </c>
      <c r="Y33" s="247" t="s">
        <v>78</v>
      </c>
      <c r="Z33" s="247" t="s">
        <v>97</v>
      </c>
      <c r="AA33" s="247" t="s">
        <v>88</v>
      </c>
      <c r="AB33" s="137" t="s">
        <v>423</v>
      </c>
      <c r="AC33" s="142"/>
    </row>
    <row r="34" spans="1:29" x14ac:dyDescent="0.15">
      <c r="A34" s="137" t="s">
        <v>61</v>
      </c>
      <c r="B34" s="137" t="s">
        <v>393</v>
      </c>
      <c r="C34" s="137">
        <v>2018</v>
      </c>
      <c r="D34" s="138" t="s">
        <v>422</v>
      </c>
      <c r="E34" s="137" t="s">
        <v>260</v>
      </c>
      <c r="F34" s="137" t="s">
        <v>261</v>
      </c>
      <c r="G34" s="137" t="s">
        <v>42</v>
      </c>
      <c r="H34" s="247" t="s">
        <v>157</v>
      </c>
      <c r="I34" s="247" t="s">
        <v>155</v>
      </c>
      <c r="J34" s="137" t="s">
        <v>38</v>
      </c>
      <c r="K34" s="247" t="s">
        <v>156</v>
      </c>
      <c r="L34" s="247">
        <v>3</v>
      </c>
      <c r="M34" s="247"/>
      <c r="N34" s="247">
        <v>1</v>
      </c>
      <c r="O34" s="247">
        <v>0.6</v>
      </c>
      <c r="P34" s="247">
        <v>0.6</v>
      </c>
      <c r="Q34" s="139">
        <f t="shared" si="0"/>
        <v>0.6</v>
      </c>
      <c r="R34" s="247">
        <v>14.2</v>
      </c>
      <c r="S34" s="247">
        <v>110</v>
      </c>
      <c r="T34" s="140">
        <f t="shared" si="1"/>
        <v>33</v>
      </c>
      <c r="U34" s="247">
        <v>98</v>
      </c>
      <c r="V34" s="141">
        <f t="shared" si="2"/>
        <v>3234</v>
      </c>
      <c r="W34" s="247">
        <v>10</v>
      </c>
      <c r="X34" s="137" t="s">
        <v>46</v>
      </c>
      <c r="Y34" s="247" t="s">
        <v>78</v>
      </c>
      <c r="Z34" s="247" t="s">
        <v>97</v>
      </c>
      <c r="AA34" s="247" t="s">
        <v>88</v>
      </c>
      <c r="AB34" s="137" t="s">
        <v>423</v>
      </c>
      <c r="AC34" s="142"/>
    </row>
    <row r="35" spans="1:29" x14ac:dyDescent="0.15">
      <c r="A35" s="137" t="s">
        <v>61</v>
      </c>
      <c r="B35" s="137" t="s">
        <v>393</v>
      </c>
      <c r="C35" s="137">
        <v>2018</v>
      </c>
      <c r="D35" s="138" t="s">
        <v>422</v>
      </c>
      <c r="E35" s="137" t="s">
        <v>260</v>
      </c>
      <c r="F35" s="137" t="s">
        <v>261</v>
      </c>
      <c r="G35" s="137" t="s">
        <v>42</v>
      </c>
      <c r="H35" s="247" t="s">
        <v>168</v>
      </c>
      <c r="I35" s="247" t="s">
        <v>155</v>
      </c>
      <c r="J35" s="137" t="s">
        <v>38</v>
      </c>
      <c r="K35" s="247" t="s">
        <v>156</v>
      </c>
      <c r="L35" s="247">
        <v>1</v>
      </c>
      <c r="M35" s="247"/>
      <c r="N35" s="247">
        <v>1</v>
      </c>
      <c r="O35" s="247">
        <v>0.5</v>
      </c>
      <c r="P35" s="247">
        <v>0.5</v>
      </c>
      <c r="Q35" s="139">
        <f t="shared" si="0"/>
        <v>0.5</v>
      </c>
      <c r="R35" s="247">
        <v>16.8</v>
      </c>
      <c r="S35" s="247">
        <v>133</v>
      </c>
      <c r="T35" s="140">
        <f t="shared" si="1"/>
        <v>25</v>
      </c>
      <c r="U35" s="247">
        <v>128</v>
      </c>
      <c r="V35" s="141">
        <f t="shared" si="2"/>
        <v>3200</v>
      </c>
      <c r="W35" s="247">
        <v>10</v>
      </c>
      <c r="X35" s="137" t="s">
        <v>46</v>
      </c>
      <c r="Y35" s="247" t="s">
        <v>78</v>
      </c>
      <c r="Z35" s="247" t="s">
        <v>97</v>
      </c>
      <c r="AA35" s="247" t="s">
        <v>88</v>
      </c>
      <c r="AB35" s="137" t="s">
        <v>423</v>
      </c>
      <c r="AC35" s="142"/>
    </row>
    <row r="36" spans="1:29" x14ac:dyDescent="0.15">
      <c r="A36" s="137" t="s">
        <v>61</v>
      </c>
      <c r="B36" s="137" t="s">
        <v>393</v>
      </c>
      <c r="C36" s="137">
        <v>2018</v>
      </c>
      <c r="D36" s="138" t="s">
        <v>422</v>
      </c>
      <c r="E36" s="137" t="s">
        <v>260</v>
      </c>
      <c r="F36" s="137" t="s">
        <v>261</v>
      </c>
      <c r="G36" s="137" t="s">
        <v>42</v>
      </c>
      <c r="H36" s="247" t="s">
        <v>168</v>
      </c>
      <c r="I36" s="247" t="s">
        <v>155</v>
      </c>
      <c r="J36" s="137" t="s">
        <v>38</v>
      </c>
      <c r="K36" s="247" t="s">
        <v>156</v>
      </c>
      <c r="L36" s="247">
        <v>2</v>
      </c>
      <c r="M36" s="247"/>
      <c r="N36" s="247">
        <v>1</v>
      </c>
      <c r="O36" s="247">
        <v>0.6</v>
      </c>
      <c r="P36" s="247">
        <v>0.7</v>
      </c>
      <c r="Q36" s="139">
        <f t="shared" si="0"/>
        <v>0.64999999999999991</v>
      </c>
      <c r="R36" s="247">
        <v>16.2</v>
      </c>
      <c r="S36" s="247">
        <v>130</v>
      </c>
      <c r="T36" s="140">
        <f t="shared" si="1"/>
        <v>25</v>
      </c>
      <c r="U36" s="247">
        <v>128</v>
      </c>
      <c r="V36" s="141">
        <f t="shared" si="2"/>
        <v>3200</v>
      </c>
      <c r="W36" s="247">
        <v>10</v>
      </c>
      <c r="X36" s="137" t="s">
        <v>46</v>
      </c>
      <c r="Y36" s="247" t="s">
        <v>78</v>
      </c>
      <c r="Z36" s="247" t="s">
        <v>97</v>
      </c>
      <c r="AA36" s="247" t="s">
        <v>88</v>
      </c>
      <c r="AB36" s="137" t="s">
        <v>423</v>
      </c>
      <c r="AC36" s="142"/>
    </row>
    <row r="37" spans="1:29" x14ac:dyDescent="0.15">
      <c r="A37" s="137" t="s">
        <v>61</v>
      </c>
      <c r="B37" s="137" t="s">
        <v>393</v>
      </c>
      <c r="C37" s="137">
        <v>2018</v>
      </c>
      <c r="D37" s="138" t="s">
        <v>422</v>
      </c>
      <c r="E37" s="137" t="s">
        <v>260</v>
      </c>
      <c r="F37" s="137" t="s">
        <v>261</v>
      </c>
      <c r="G37" s="137" t="s">
        <v>42</v>
      </c>
      <c r="H37" s="247" t="s">
        <v>168</v>
      </c>
      <c r="I37" s="247" t="s">
        <v>155</v>
      </c>
      <c r="J37" s="137" t="s">
        <v>38</v>
      </c>
      <c r="K37" s="247" t="s">
        <v>156</v>
      </c>
      <c r="L37" s="247">
        <v>3</v>
      </c>
      <c r="M37" s="247"/>
      <c r="N37" s="247">
        <v>1</v>
      </c>
      <c r="O37" s="247">
        <v>0.5</v>
      </c>
      <c r="P37" s="247">
        <v>0.6</v>
      </c>
      <c r="Q37" s="139">
        <f t="shared" si="0"/>
        <v>0.55000000000000004</v>
      </c>
      <c r="R37" s="247">
        <v>17.899999999999999</v>
      </c>
      <c r="S37" s="247">
        <v>141</v>
      </c>
      <c r="T37" s="140">
        <f t="shared" si="1"/>
        <v>22</v>
      </c>
      <c r="U37" s="247">
        <v>128</v>
      </c>
      <c r="V37" s="141">
        <f t="shared" si="2"/>
        <v>2816</v>
      </c>
      <c r="W37" s="247">
        <v>10</v>
      </c>
      <c r="X37" s="137" t="s">
        <v>46</v>
      </c>
      <c r="Y37" s="247" t="s">
        <v>78</v>
      </c>
      <c r="Z37" s="247" t="s">
        <v>97</v>
      </c>
      <c r="AA37" s="247" t="s">
        <v>88</v>
      </c>
      <c r="AB37" s="137" t="s">
        <v>423</v>
      </c>
      <c r="AC37" s="142"/>
    </row>
    <row r="38" spans="1:29" x14ac:dyDescent="0.15">
      <c r="A38" s="137" t="s">
        <v>61</v>
      </c>
      <c r="B38" s="137" t="s">
        <v>393</v>
      </c>
      <c r="C38" s="137">
        <v>2018</v>
      </c>
      <c r="D38" s="138" t="s">
        <v>422</v>
      </c>
      <c r="E38" s="137" t="s">
        <v>262</v>
      </c>
      <c r="F38" s="137" t="s">
        <v>263</v>
      </c>
      <c r="G38" s="137" t="s">
        <v>42</v>
      </c>
      <c r="H38" s="247" t="s">
        <v>157</v>
      </c>
      <c r="I38" s="247" t="s">
        <v>155</v>
      </c>
      <c r="J38" s="137" t="s">
        <v>38</v>
      </c>
      <c r="K38" s="247" t="s">
        <v>156</v>
      </c>
      <c r="L38" s="247">
        <v>1</v>
      </c>
      <c r="M38" s="247"/>
      <c r="N38" s="247">
        <v>1</v>
      </c>
      <c r="O38" s="247">
        <v>0.6</v>
      </c>
      <c r="P38" s="247">
        <v>0.75</v>
      </c>
      <c r="Q38" s="139">
        <f t="shared" si="0"/>
        <v>0.67500000000000004</v>
      </c>
      <c r="R38" s="247">
        <v>13.8</v>
      </c>
      <c r="S38" s="247">
        <v>111</v>
      </c>
      <c r="T38" s="140">
        <f t="shared" si="1"/>
        <v>33</v>
      </c>
      <c r="U38" s="247">
        <v>105</v>
      </c>
      <c r="V38" s="141">
        <f t="shared" si="2"/>
        <v>3465</v>
      </c>
      <c r="W38" s="247">
        <v>8</v>
      </c>
      <c r="X38" s="137" t="s">
        <v>39</v>
      </c>
      <c r="Y38" s="247" t="s">
        <v>102</v>
      </c>
      <c r="Z38" s="247" t="s">
        <v>78</v>
      </c>
      <c r="AA38" s="247" t="s">
        <v>88</v>
      </c>
      <c r="AB38" s="137" t="s">
        <v>423</v>
      </c>
      <c r="AC38" s="142"/>
    </row>
    <row r="39" spans="1:29" x14ac:dyDescent="0.15">
      <c r="A39" s="137" t="s">
        <v>61</v>
      </c>
      <c r="B39" s="137" t="s">
        <v>393</v>
      </c>
      <c r="C39" s="137">
        <v>2018</v>
      </c>
      <c r="D39" s="138" t="s">
        <v>422</v>
      </c>
      <c r="E39" s="137" t="s">
        <v>262</v>
      </c>
      <c r="F39" s="137" t="s">
        <v>263</v>
      </c>
      <c r="G39" s="137" t="s">
        <v>42</v>
      </c>
      <c r="H39" s="247" t="s">
        <v>157</v>
      </c>
      <c r="I39" s="247" t="s">
        <v>155</v>
      </c>
      <c r="J39" s="137" t="s">
        <v>38</v>
      </c>
      <c r="K39" s="247" t="s">
        <v>156</v>
      </c>
      <c r="L39" s="247">
        <v>2</v>
      </c>
      <c r="M39" s="247"/>
      <c r="N39" s="247">
        <v>1</v>
      </c>
      <c r="O39" s="247">
        <v>0.6</v>
      </c>
      <c r="P39" s="247">
        <v>0.8</v>
      </c>
      <c r="Q39" s="139">
        <f t="shared" si="0"/>
        <v>0.7</v>
      </c>
      <c r="R39" s="247">
        <v>13.6</v>
      </c>
      <c r="S39" s="247">
        <v>112</v>
      </c>
      <c r="T39" s="140">
        <f t="shared" si="1"/>
        <v>33</v>
      </c>
      <c r="U39" s="247">
        <v>105</v>
      </c>
      <c r="V39" s="141">
        <f t="shared" si="2"/>
        <v>3465</v>
      </c>
      <c r="W39" s="247">
        <v>8</v>
      </c>
      <c r="X39" s="137" t="s">
        <v>39</v>
      </c>
      <c r="Y39" s="247" t="s">
        <v>102</v>
      </c>
      <c r="Z39" s="247" t="s">
        <v>78</v>
      </c>
      <c r="AA39" s="247" t="s">
        <v>88</v>
      </c>
      <c r="AB39" s="137" t="s">
        <v>423</v>
      </c>
      <c r="AC39" s="142"/>
    </row>
    <row r="40" spans="1:29" x14ac:dyDescent="0.15">
      <c r="A40" s="137" t="s">
        <v>61</v>
      </c>
      <c r="B40" s="137" t="s">
        <v>393</v>
      </c>
      <c r="C40" s="137">
        <v>2018</v>
      </c>
      <c r="D40" s="138" t="s">
        <v>422</v>
      </c>
      <c r="E40" s="137" t="s">
        <v>262</v>
      </c>
      <c r="F40" s="137" t="s">
        <v>263</v>
      </c>
      <c r="G40" s="137" t="s">
        <v>42</v>
      </c>
      <c r="H40" s="247" t="s">
        <v>157</v>
      </c>
      <c r="I40" s="247" t="s">
        <v>155</v>
      </c>
      <c r="J40" s="137" t="s">
        <v>38</v>
      </c>
      <c r="K40" s="247" t="s">
        <v>156</v>
      </c>
      <c r="L40" s="247">
        <v>3</v>
      </c>
      <c r="M40" s="247"/>
      <c r="N40" s="247">
        <v>1</v>
      </c>
      <c r="O40" s="247">
        <v>0.8</v>
      </c>
      <c r="P40" s="247">
        <v>0.75</v>
      </c>
      <c r="Q40" s="139">
        <f t="shared" si="0"/>
        <v>0.77500000000000002</v>
      </c>
      <c r="R40" s="247">
        <v>11.8</v>
      </c>
      <c r="S40" s="247">
        <v>121</v>
      </c>
      <c r="T40" s="140">
        <f t="shared" si="1"/>
        <v>27</v>
      </c>
      <c r="U40" s="247">
        <v>105</v>
      </c>
      <c r="V40" s="141">
        <f t="shared" si="2"/>
        <v>2835</v>
      </c>
      <c r="W40" s="247">
        <v>8</v>
      </c>
      <c r="X40" s="137" t="s">
        <v>39</v>
      </c>
      <c r="Y40" s="247" t="s">
        <v>102</v>
      </c>
      <c r="Z40" s="247" t="s">
        <v>78</v>
      </c>
      <c r="AA40" s="247" t="s">
        <v>88</v>
      </c>
      <c r="AB40" s="137" t="s">
        <v>423</v>
      </c>
      <c r="AC40" s="142"/>
    </row>
    <row r="41" spans="1:29" x14ac:dyDescent="0.15">
      <c r="A41" s="137" t="s">
        <v>61</v>
      </c>
      <c r="B41" s="137" t="s">
        <v>393</v>
      </c>
      <c r="C41" s="137">
        <v>2018</v>
      </c>
      <c r="D41" s="138" t="s">
        <v>422</v>
      </c>
      <c r="E41" s="137" t="s">
        <v>262</v>
      </c>
      <c r="F41" s="137" t="s">
        <v>263</v>
      </c>
      <c r="G41" s="137" t="s">
        <v>42</v>
      </c>
      <c r="H41" s="247" t="s">
        <v>168</v>
      </c>
      <c r="I41" s="247" t="s">
        <v>155</v>
      </c>
      <c r="J41" s="137" t="s">
        <v>38</v>
      </c>
      <c r="K41" s="247" t="s">
        <v>156</v>
      </c>
      <c r="L41" s="247">
        <v>1</v>
      </c>
      <c r="M41" s="247"/>
      <c r="N41" s="247">
        <v>1</v>
      </c>
      <c r="O41" s="247">
        <v>0.7</v>
      </c>
      <c r="P41" s="247">
        <v>0.65</v>
      </c>
      <c r="Q41" s="139">
        <f t="shared" si="0"/>
        <v>0.67500000000000004</v>
      </c>
      <c r="R41" s="247">
        <v>15.5</v>
      </c>
      <c r="S41" s="247">
        <v>132</v>
      </c>
      <c r="T41" s="140">
        <f t="shared" si="1"/>
        <v>25</v>
      </c>
      <c r="U41" s="247">
        <v>105</v>
      </c>
      <c r="V41" s="141">
        <f t="shared" si="2"/>
        <v>2625</v>
      </c>
      <c r="W41" s="247">
        <v>8</v>
      </c>
      <c r="X41" s="137" t="s">
        <v>39</v>
      </c>
      <c r="Y41" s="247" t="s">
        <v>102</v>
      </c>
      <c r="Z41" s="247" t="s">
        <v>78</v>
      </c>
      <c r="AA41" s="247" t="s">
        <v>88</v>
      </c>
      <c r="AB41" s="137" t="s">
        <v>423</v>
      </c>
      <c r="AC41" s="142"/>
    </row>
    <row r="42" spans="1:29" x14ac:dyDescent="0.15">
      <c r="A42" s="137" t="s">
        <v>61</v>
      </c>
      <c r="B42" s="137" t="s">
        <v>393</v>
      </c>
      <c r="C42" s="137">
        <v>2018</v>
      </c>
      <c r="D42" s="138" t="s">
        <v>422</v>
      </c>
      <c r="E42" s="137" t="s">
        <v>262</v>
      </c>
      <c r="F42" s="137" t="s">
        <v>263</v>
      </c>
      <c r="G42" s="137" t="s">
        <v>42</v>
      </c>
      <c r="H42" s="247" t="s">
        <v>168</v>
      </c>
      <c r="I42" s="247" t="s">
        <v>155</v>
      </c>
      <c r="J42" s="137" t="s">
        <v>38</v>
      </c>
      <c r="K42" s="247" t="s">
        <v>156</v>
      </c>
      <c r="L42" s="247">
        <v>2</v>
      </c>
      <c r="M42" s="247"/>
      <c r="N42" s="247">
        <v>1</v>
      </c>
      <c r="O42" s="247">
        <v>0.5</v>
      </c>
      <c r="P42" s="247">
        <v>0.5</v>
      </c>
      <c r="Q42" s="139">
        <f t="shared" si="0"/>
        <v>0.5</v>
      </c>
      <c r="R42" s="247">
        <v>16</v>
      </c>
      <c r="S42" s="247">
        <v>134</v>
      </c>
      <c r="T42" s="140">
        <f t="shared" si="1"/>
        <v>25</v>
      </c>
      <c r="U42" s="247">
        <v>105</v>
      </c>
      <c r="V42" s="141">
        <f t="shared" si="2"/>
        <v>2625</v>
      </c>
      <c r="W42" s="247">
        <v>8</v>
      </c>
      <c r="X42" s="137" t="s">
        <v>39</v>
      </c>
      <c r="Y42" s="247" t="s">
        <v>102</v>
      </c>
      <c r="Z42" s="247" t="s">
        <v>78</v>
      </c>
      <c r="AA42" s="247" t="s">
        <v>88</v>
      </c>
      <c r="AB42" s="137" t="s">
        <v>423</v>
      </c>
      <c r="AC42" s="142"/>
    </row>
    <row r="43" spans="1:29" x14ac:dyDescent="0.15">
      <c r="A43" s="137" t="s">
        <v>61</v>
      </c>
      <c r="B43" s="137" t="s">
        <v>393</v>
      </c>
      <c r="C43" s="137">
        <v>2018</v>
      </c>
      <c r="D43" s="138" t="s">
        <v>422</v>
      </c>
      <c r="E43" s="137" t="s">
        <v>262</v>
      </c>
      <c r="F43" s="137" t="s">
        <v>263</v>
      </c>
      <c r="G43" s="137" t="s">
        <v>42</v>
      </c>
      <c r="H43" s="247" t="s">
        <v>168</v>
      </c>
      <c r="I43" s="247" t="s">
        <v>155</v>
      </c>
      <c r="J43" s="137" t="s">
        <v>38</v>
      </c>
      <c r="K43" s="247" t="s">
        <v>156</v>
      </c>
      <c r="L43" s="247">
        <v>3</v>
      </c>
      <c r="M43" s="247"/>
      <c r="N43" s="247">
        <v>1</v>
      </c>
      <c r="O43" s="247">
        <v>0.5</v>
      </c>
      <c r="P43" s="247">
        <v>0.5</v>
      </c>
      <c r="Q43" s="139">
        <f t="shared" si="0"/>
        <v>0.5</v>
      </c>
      <c r="R43" s="247">
        <v>15.9</v>
      </c>
      <c r="S43" s="247">
        <v>130</v>
      </c>
      <c r="T43" s="140">
        <f t="shared" si="1"/>
        <v>25</v>
      </c>
      <c r="U43" s="247">
        <v>105</v>
      </c>
      <c r="V43" s="141">
        <f t="shared" si="2"/>
        <v>2625</v>
      </c>
      <c r="W43" s="247">
        <v>8</v>
      </c>
      <c r="X43" s="137" t="s">
        <v>39</v>
      </c>
      <c r="Y43" s="247" t="s">
        <v>102</v>
      </c>
      <c r="Z43" s="247" t="s">
        <v>78</v>
      </c>
      <c r="AA43" s="247" t="s">
        <v>88</v>
      </c>
      <c r="AB43" s="137" t="s">
        <v>423</v>
      </c>
      <c r="AC43" s="142"/>
    </row>
    <row r="44" spans="1:29" x14ac:dyDescent="0.15">
      <c r="A44" s="137" t="s">
        <v>61</v>
      </c>
      <c r="B44" s="137" t="s">
        <v>393</v>
      </c>
      <c r="C44" s="137">
        <v>2018</v>
      </c>
      <c r="D44" s="138" t="s">
        <v>422</v>
      </c>
      <c r="E44" s="137" t="s">
        <v>265</v>
      </c>
      <c r="F44" s="137" t="s">
        <v>266</v>
      </c>
      <c r="G44" s="137" t="s">
        <v>42</v>
      </c>
      <c r="H44" s="247" t="s">
        <v>157</v>
      </c>
      <c r="I44" s="247" t="s">
        <v>155</v>
      </c>
      <c r="J44" s="137" t="s">
        <v>38</v>
      </c>
      <c r="K44" s="247" t="s">
        <v>156</v>
      </c>
      <c r="L44" s="247">
        <v>1</v>
      </c>
      <c r="M44" s="247"/>
      <c r="N44" s="247">
        <v>1</v>
      </c>
      <c r="O44" s="247">
        <v>0.8</v>
      </c>
      <c r="P44" s="247">
        <v>0.75</v>
      </c>
      <c r="Q44" s="139">
        <f t="shared" si="0"/>
        <v>0.77500000000000002</v>
      </c>
      <c r="R44" s="247">
        <v>13.8</v>
      </c>
      <c r="S44" s="247">
        <v>123</v>
      </c>
      <c r="T44" s="140">
        <f t="shared" si="1"/>
        <v>27</v>
      </c>
      <c r="U44" s="247">
        <v>398</v>
      </c>
      <c r="V44" s="141">
        <f t="shared" si="2"/>
        <v>10746</v>
      </c>
      <c r="W44" s="247">
        <v>9</v>
      </c>
      <c r="X44" s="137" t="s">
        <v>46</v>
      </c>
      <c r="Y44" s="247" t="s">
        <v>78</v>
      </c>
      <c r="Z44" s="247" t="s">
        <v>97</v>
      </c>
      <c r="AA44" s="247" t="s">
        <v>86</v>
      </c>
      <c r="AB44" s="137" t="s">
        <v>423</v>
      </c>
      <c r="AC44" s="247"/>
    </row>
    <row r="45" spans="1:29" x14ac:dyDescent="0.15">
      <c r="A45" s="137" t="s">
        <v>61</v>
      </c>
      <c r="B45" s="137" t="s">
        <v>393</v>
      </c>
      <c r="C45" s="137">
        <v>2018</v>
      </c>
      <c r="D45" s="138" t="s">
        <v>422</v>
      </c>
      <c r="E45" s="137" t="s">
        <v>265</v>
      </c>
      <c r="F45" s="137" t="s">
        <v>266</v>
      </c>
      <c r="G45" s="137" t="s">
        <v>42</v>
      </c>
      <c r="H45" s="247" t="s">
        <v>157</v>
      </c>
      <c r="I45" s="247" t="s">
        <v>155</v>
      </c>
      <c r="J45" s="137" t="s">
        <v>38</v>
      </c>
      <c r="K45" s="247" t="s">
        <v>156</v>
      </c>
      <c r="L45" s="247">
        <v>2</v>
      </c>
      <c r="M45" s="247"/>
      <c r="N45" s="247">
        <v>1</v>
      </c>
      <c r="O45" s="247">
        <v>0.65</v>
      </c>
      <c r="P45" s="247">
        <v>0.65</v>
      </c>
      <c r="Q45" s="139">
        <f t="shared" si="0"/>
        <v>0.65</v>
      </c>
      <c r="R45" s="247">
        <v>13.9</v>
      </c>
      <c r="S45" s="247">
        <v>121</v>
      </c>
      <c r="T45" s="140">
        <f t="shared" si="1"/>
        <v>27</v>
      </c>
      <c r="U45" s="247">
        <v>398</v>
      </c>
      <c r="V45" s="141">
        <f t="shared" si="2"/>
        <v>10746</v>
      </c>
      <c r="W45" s="247">
        <v>9</v>
      </c>
      <c r="X45" s="137" t="s">
        <v>46</v>
      </c>
      <c r="Y45" s="247" t="s">
        <v>78</v>
      </c>
      <c r="Z45" s="247" t="s">
        <v>97</v>
      </c>
      <c r="AA45" s="247" t="s">
        <v>86</v>
      </c>
      <c r="AB45" s="137" t="s">
        <v>423</v>
      </c>
      <c r="AC45" s="247"/>
    </row>
    <row r="46" spans="1:29" x14ac:dyDescent="0.15">
      <c r="A46" s="137" t="s">
        <v>61</v>
      </c>
      <c r="B46" s="137" t="s">
        <v>393</v>
      </c>
      <c r="C46" s="137">
        <v>2018</v>
      </c>
      <c r="D46" s="138" t="s">
        <v>422</v>
      </c>
      <c r="E46" s="137" t="s">
        <v>265</v>
      </c>
      <c r="F46" s="137" t="s">
        <v>266</v>
      </c>
      <c r="G46" s="137" t="s">
        <v>42</v>
      </c>
      <c r="H46" s="247" t="s">
        <v>157</v>
      </c>
      <c r="I46" s="247" t="s">
        <v>155</v>
      </c>
      <c r="J46" s="137" t="s">
        <v>38</v>
      </c>
      <c r="K46" s="247" t="s">
        <v>156</v>
      </c>
      <c r="L46" s="247">
        <v>3</v>
      </c>
      <c r="M46" s="247"/>
      <c r="N46" s="247">
        <v>1</v>
      </c>
      <c r="O46" s="247">
        <v>0.6</v>
      </c>
      <c r="P46" s="247">
        <v>0.6</v>
      </c>
      <c r="Q46" s="139">
        <f t="shared" si="0"/>
        <v>0.6</v>
      </c>
      <c r="R46" s="247">
        <v>12.8</v>
      </c>
      <c r="S46" s="247">
        <v>116</v>
      </c>
      <c r="T46" s="140">
        <f t="shared" si="1"/>
        <v>30</v>
      </c>
      <c r="U46" s="247">
        <v>398</v>
      </c>
      <c r="V46" s="141">
        <f t="shared" si="2"/>
        <v>11940</v>
      </c>
      <c r="W46" s="247">
        <v>9</v>
      </c>
      <c r="X46" s="137" t="s">
        <v>46</v>
      </c>
      <c r="Y46" s="247" t="s">
        <v>78</v>
      </c>
      <c r="Z46" s="247" t="s">
        <v>97</v>
      </c>
      <c r="AA46" s="247" t="s">
        <v>86</v>
      </c>
      <c r="AB46" s="137" t="s">
        <v>423</v>
      </c>
      <c r="AC46" s="247"/>
    </row>
    <row r="47" spans="1:29" x14ac:dyDescent="0.15">
      <c r="A47" s="137" t="s">
        <v>61</v>
      </c>
      <c r="B47" s="137" t="s">
        <v>393</v>
      </c>
      <c r="C47" s="137">
        <v>2018</v>
      </c>
      <c r="D47" s="138" t="s">
        <v>422</v>
      </c>
      <c r="E47" s="137" t="s">
        <v>265</v>
      </c>
      <c r="F47" s="137" t="s">
        <v>266</v>
      </c>
      <c r="G47" s="137" t="s">
        <v>42</v>
      </c>
      <c r="H47" s="247" t="s">
        <v>168</v>
      </c>
      <c r="I47" s="247" t="s">
        <v>155</v>
      </c>
      <c r="J47" s="137" t="s">
        <v>38</v>
      </c>
      <c r="K47" s="247" t="s">
        <v>156</v>
      </c>
      <c r="L47" s="247">
        <v>1</v>
      </c>
      <c r="M47" s="247"/>
      <c r="N47" s="247">
        <v>3</v>
      </c>
      <c r="O47" s="247">
        <v>0.5</v>
      </c>
      <c r="P47" s="247">
        <v>0.5</v>
      </c>
      <c r="Q47" s="139">
        <f t="shared" si="0"/>
        <v>0.5</v>
      </c>
      <c r="R47" s="247">
        <v>16.399999999999999</v>
      </c>
      <c r="S47" s="247">
        <v>132</v>
      </c>
      <c r="T47" s="140">
        <f t="shared" si="1"/>
        <v>25</v>
      </c>
      <c r="U47" s="247">
        <v>138</v>
      </c>
      <c r="V47" s="141">
        <f t="shared" si="2"/>
        <v>1150</v>
      </c>
      <c r="W47" s="247">
        <v>9</v>
      </c>
      <c r="X47" s="137" t="s">
        <v>46</v>
      </c>
      <c r="Y47" s="247" t="s">
        <v>78</v>
      </c>
      <c r="Z47" s="247" t="s">
        <v>97</v>
      </c>
      <c r="AA47" s="247" t="s">
        <v>86</v>
      </c>
      <c r="AB47" s="137" t="s">
        <v>423</v>
      </c>
      <c r="AC47" s="142"/>
    </row>
    <row r="48" spans="1:29" x14ac:dyDescent="0.15">
      <c r="A48" s="137" t="s">
        <v>61</v>
      </c>
      <c r="B48" s="137" t="s">
        <v>393</v>
      </c>
      <c r="C48" s="137">
        <v>2018</v>
      </c>
      <c r="D48" s="138" t="s">
        <v>422</v>
      </c>
      <c r="E48" s="137" t="s">
        <v>265</v>
      </c>
      <c r="F48" s="137" t="s">
        <v>266</v>
      </c>
      <c r="G48" s="137" t="s">
        <v>42</v>
      </c>
      <c r="H48" s="247" t="s">
        <v>168</v>
      </c>
      <c r="I48" s="247" t="s">
        <v>155</v>
      </c>
      <c r="J48" s="137" t="s">
        <v>38</v>
      </c>
      <c r="K48" s="247" t="s">
        <v>156</v>
      </c>
      <c r="L48" s="247">
        <v>2</v>
      </c>
      <c r="M48" s="247"/>
      <c r="N48" s="247">
        <v>3</v>
      </c>
      <c r="O48" s="247">
        <v>0.5</v>
      </c>
      <c r="P48" s="247">
        <v>0.55000000000000004</v>
      </c>
      <c r="Q48" s="139">
        <f t="shared" si="0"/>
        <v>0.52500000000000002</v>
      </c>
      <c r="R48" s="247">
        <v>15.9</v>
      </c>
      <c r="S48" s="247">
        <v>134</v>
      </c>
      <c r="T48" s="140">
        <f t="shared" si="1"/>
        <v>25</v>
      </c>
      <c r="U48" s="247">
        <v>138</v>
      </c>
      <c r="V48" s="141">
        <f t="shared" si="2"/>
        <v>1150</v>
      </c>
      <c r="W48" s="247">
        <v>9</v>
      </c>
      <c r="X48" s="137" t="s">
        <v>46</v>
      </c>
      <c r="Y48" s="247" t="s">
        <v>78</v>
      </c>
      <c r="Z48" s="247" t="s">
        <v>97</v>
      </c>
      <c r="AA48" s="247" t="s">
        <v>86</v>
      </c>
      <c r="AB48" s="137" t="s">
        <v>423</v>
      </c>
      <c r="AC48" s="142"/>
    </row>
    <row r="49" spans="1:29" x14ac:dyDescent="0.15">
      <c r="A49" s="137" t="s">
        <v>61</v>
      </c>
      <c r="B49" s="137" t="s">
        <v>393</v>
      </c>
      <c r="C49" s="137">
        <v>2018</v>
      </c>
      <c r="D49" s="138" t="s">
        <v>422</v>
      </c>
      <c r="E49" s="137" t="s">
        <v>265</v>
      </c>
      <c r="F49" s="137" t="s">
        <v>266</v>
      </c>
      <c r="G49" s="137" t="s">
        <v>42</v>
      </c>
      <c r="H49" s="247" t="s">
        <v>168</v>
      </c>
      <c r="I49" s="247" t="s">
        <v>155</v>
      </c>
      <c r="J49" s="137" t="s">
        <v>38</v>
      </c>
      <c r="K49" s="247" t="s">
        <v>156</v>
      </c>
      <c r="L49" s="247">
        <v>3</v>
      </c>
      <c r="M49" s="247"/>
      <c r="N49" s="247">
        <v>3</v>
      </c>
      <c r="O49" s="247">
        <v>0.65</v>
      </c>
      <c r="P49" s="247">
        <v>0.6</v>
      </c>
      <c r="Q49" s="139">
        <f t="shared" si="0"/>
        <v>0.625</v>
      </c>
      <c r="R49" s="247">
        <v>16.8</v>
      </c>
      <c r="S49" s="247">
        <v>130</v>
      </c>
      <c r="T49" s="140">
        <f t="shared" si="1"/>
        <v>25</v>
      </c>
      <c r="U49" s="247">
        <v>138</v>
      </c>
      <c r="V49" s="141">
        <f t="shared" si="2"/>
        <v>1150</v>
      </c>
      <c r="W49" s="247">
        <v>9</v>
      </c>
      <c r="X49" s="137" t="s">
        <v>46</v>
      </c>
      <c r="Y49" s="247" t="s">
        <v>78</v>
      </c>
      <c r="Z49" s="247" t="s">
        <v>97</v>
      </c>
      <c r="AA49" s="247" t="s">
        <v>86</v>
      </c>
      <c r="AB49" s="137" t="s">
        <v>423</v>
      </c>
      <c r="AC49" s="142"/>
    </row>
    <row r="50" spans="1:29" x14ac:dyDescent="0.15">
      <c r="A50" s="137" t="s">
        <v>61</v>
      </c>
      <c r="B50" s="137" t="s">
        <v>393</v>
      </c>
      <c r="C50" s="137">
        <v>2018</v>
      </c>
      <c r="D50" s="138" t="s">
        <v>422</v>
      </c>
      <c r="E50" s="137" t="s">
        <v>267</v>
      </c>
      <c r="F50" s="137" t="s">
        <v>266</v>
      </c>
      <c r="G50" s="137" t="s">
        <v>42</v>
      </c>
      <c r="H50" s="247" t="s">
        <v>157</v>
      </c>
      <c r="I50" s="247" t="s">
        <v>155</v>
      </c>
      <c r="J50" s="137" t="s">
        <v>38</v>
      </c>
      <c r="K50" s="247" t="s">
        <v>156</v>
      </c>
      <c r="L50" s="247">
        <v>1</v>
      </c>
      <c r="M50" s="247"/>
      <c r="N50" s="247">
        <v>1</v>
      </c>
      <c r="O50" s="247">
        <v>0.8</v>
      </c>
      <c r="P50" s="247">
        <v>1</v>
      </c>
      <c r="Q50" s="139">
        <f t="shared" si="0"/>
        <v>0.9</v>
      </c>
      <c r="R50" s="247">
        <v>11.2</v>
      </c>
      <c r="S50" s="247">
        <v>11</v>
      </c>
      <c r="T50" s="140">
        <f t="shared" si="1"/>
        <v>50</v>
      </c>
      <c r="U50" s="247">
        <v>149</v>
      </c>
      <c r="V50" s="141">
        <f t="shared" si="2"/>
        <v>7450</v>
      </c>
      <c r="W50" s="247">
        <v>11</v>
      </c>
      <c r="X50" s="137" t="s">
        <v>46</v>
      </c>
      <c r="Y50" s="247" t="s">
        <v>78</v>
      </c>
      <c r="Z50" s="247" t="s">
        <v>97</v>
      </c>
      <c r="AA50" s="247" t="s">
        <v>88</v>
      </c>
      <c r="AB50" s="137" t="s">
        <v>423</v>
      </c>
      <c r="AC50" s="142"/>
    </row>
    <row r="51" spans="1:29" x14ac:dyDescent="0.15">
      <c r="A51" s="137" t="s">
        <v>61</v>
      </c>
      <c r="B51" s="137" t="s">
        <v>393</v>
      </c>
      <c r="C51" s="137">
        <v>2018</v>
      </c>
      <c r="D51" s="138" t="s">
        <v>422</v>
      </c>
      <c r="E51" s="137" t="s">
        <v>267</v>
      </c>
      <c r="F51" s="137" t="s">
        <v>266</v>
      </c>
      <c r="G51" s="137" t="s">
        <v>42</v>
      </c>
      <c r="H51" s="247" t="s">
        <v>157</v>
      </c>
      <c r="I51" s="247" t="s">
        <v>155</v>
      </c>
      <c r="J51" s="137" t="s">
        <v>38</v>
      </c>
      <c r="K51" s="247" t="s">
        <v>156</v>
      </c>
      <c r="L51" s="247">
        <v>2</v>
      </c>
      <c r="M51" s="247"/>
      <c r="N51" s="247">
        <v>1</v>
      </c>
      <c r="O51" s="247">
        <v>0.7</v>
      </c>
      <c r="P51" s="247">
        <v>0.75</v>
      </c>
      <c r="Q51" s="139">
        <f t="shared" si="0"/>
        <v>0.72499999999999998</v>
      </c>
      <c r="R51" s="247">
        <v>13.4</v>
      </c>
      <c r="S51" s="247">
        <v>110</v>
      </c>
      <c r="T51" s="140">
        <f t="shared" si="1"/>
        <v>33</v>
      </c>
      <c r="U51" s="247">
        <v>149</v>
      </c>
      <c r="V51" s="141">
        <f t="shared" si="2"/>
        <v>4917</v>
      </c>
      <c r="W51" s="247">
        <v>11</v>
      </c>
      <c r="X51" s="137" t="s">
        <v>46</v>
      </c>
      <c r="Y51" s="247" t="s">
        <v>78</v>
      </c>
      <c r="Z51" s="247" t="s">
        <v>97</v>
      </c>
      <c r="AA51" s="247" t="s">
        <v>88</v>
      </c>
      <c r="AB51" s="137" t="s">
        <v>423</v>
      </c>
      <c r="AC51" s="142"/>
    </row>
    <row r="52" spans="1:29" x14ac:dyDescent="0.15">
      <c r="A52" s="137" t="s">
        <v>61</v>
      </c>
      <c r="B52" s="137" t="s">
        <v>393</v>
      </c>
      <c r="C52" s="137">
        <v>2018</v>
      </c>
      <c r="D52" s="138" t="s">
        <v>422</v>
      </c>
      <c r="E52" s="137" t="s">
        <v>267</v>
      </c>
      <c r="F52" s="137" t="s">
        <v>266</v>
      </c>
      <c r="G52" s="137" t="s">
        <v>42</v>
      </c>
      <c r="H52" s="247" t="s">
        <v>157</v>
      </c>
      <c r="I52" s="247" t="s">
        <v>155</v>
      </c>
      <c r="J52" s="137" t="s">
        <v>38</v>
      </c>
      <c r="K52" s="247" t="s">
        <v>156</v>
      </c>
      <c r="L52" s="247">
        <v>3</v>
      </c>
      <c r="M52" s="247"/>
      <c r="N52" s="247">
        <v>1</v>
      </c>
      <c r="O52" s="247">
        <v>0.6</v>
      </c>
      <c r="P52" s="247">
        <v>0.6</v>
      </c>
      <c r="Q52" s="139">
        <f t="shared" si="0"/>
        <v>0.6</v>
      </c>
      <c r="R52" s="247">
        <v>15.4</v>
      </c>
      <c r="S52" s="247">
        <v>112</v>
      </c>
      <c r="T52" s="140">
        <f t="shared" si="1"/>
        <v>33</v>
      </c>
      <c r="U52" s="247">
        <v>149</v>
      </c>
      <c r="V52" s="141">
        <f t="shared" si="2"/>
        <v>4917</v>
      </c>
      <c r="W52" s="247">
        <v>11</v>
      </c>
      <c r="X52" s="137" t="s">
        <v>46</v>
      </c>
      <c r="Y52" s="247" t="s">
        <v>78</v>
      </c>
      <c r="Z52" s="247" t="s">
        <v>97</v>
      </c>
      <c r="AA52" s="247" t="s">
        <v>88</v>
      </c>
      <c r="AB52" s="137" t="s">
        <v>423</v>
      </c>
      <c r="AC52" s="142"/>
    </row>
    <row r="53" spans="1:29" x14ac:dyDescent="0.15">
      <c r="A53" s="137" t="s">
        <v>61</v>
      </c>
      <c r="B53" s="137" t="s">
        <v>393</v>
      </c>
      <c r="C53" s="137">
        <v>2018</v>
      </c>
      <c r="D53" s="138" t="s">
        <v>422</v>
      </c>
      <c r="E53" s="137" t="s">
        <v>267</v>
      </c>
      <c r="F53" s="137" t="s">
        <v>266</v>
      </c>
      <c r="G53" s="137" t="s">
        <v>42</v>
      </c>
      <c r="H53" s="247" t="s">
        <v>168</v>
      </c>
      <c r="I53" s="247" t="s">
        <v>155</v>
      </c>
      <c r="J53" s="137" t="s">
        <v>38</v>
      </c>
      <c r="K53" s="247" t="s">
        <v>156</v>
      </c>
      <c r="L53" s="247">
        <v>1</v>
      </c>
      <c r="M53" s="247"/>
      <c r="N53" s="247">
        <v>1</v>
      </c>
      <c r="O53" s="247">
        <v>0.5</v>
      </c>
      <c r="P53" s="247">
        <v>0.55000000000000004</v>
      </c>
      <c r="Q53" s="139">
        <f t="shared" si="0"/>
        <v>0.52500000000000002</v>
      </c>
      <c r="R53" s="247">
        <v>16.2</v>
      </c>
      <c r="S53" s="247">
        <v>130</v>
      </c>
      <c r="T53" s="140">
        <f t="shared" si="1"/>
        <v>25</v>
      </c>
      <c r="U53" s="247">
        <v>159</v>
      </c>
      <c r="V53" s="141">
        <f t="shared" si="2"/>
        <v>3975</v>
      </c>
      <c r="W53" s="247">
        <v>11</v>
      </c>
      <c r="X53" s="137" t="s">
        <v>46</v>
      </c>
      <c r="Y53" s="247" t="s">
        <v>78</v>
      </c>
      <c r="Z53" s="247" t="s">
        <v>97</v>
      </c>
      <c r="AA53" s="247" t="s">
        <v>88</v>
      </c>
      <c r="AB53" s="137" t="s">
        <v>423</v>
      </c>
      <c r="AC53" s="142"/>
    </row>
    <row r="54" spans="1:29" x14ac:dyDescent="0.15">
      <c r="A54" s="137" t="s">
        <v>61</v>
      </c>
      <c r="B54" s="137" t="s">
        <v>393</v>
      </c>
      <c r="C54" s="137">
        <v>2018</v>
      </c>
      <c r="D54" s="138" t="s">
        <v>422</v>
      </c>
      <c r="E54" s="137" t="s">
        <v>267</v>
      </c>
      <c r="F54" s="137" t="s">
        <v>266</v>
      </c>
      <c r="G54" s="137" t="s">
        <v>42</v>
      </c>
      <c r="H54" s="247" t="s">
        <v>168</v>
      </c>
      <c r="I54" s="247" t="s">
        <v>155</v>
      </c>
      <c r="J54" s="137" t="s">
        <v>38</v>
      </c>
      <c r="K54" s="247" t="s">
        <v>156</v>
      </c>
      <c r="L54" s="247">
        <v>2</v>
      </c>
      <c r="M54" s="247"/>
      <c r="N54" s="247">
        <v>1</v>
      </c>
      <c r="O54" s="247">
        <v>0.5</v>
      </c>
      <c r="P54" s="247">
        <v>0.55000000000000004</v>
      </c>
      <c r="Q54" s="139">
        <f t="shared" si="0"/>
        <v>0.52500000000000002</v>
      </c>
      <c r="R54" s="247">
        <v>16.8</v>
      </c>
      <c r="S54" s="247">
        <v>137</v>
      </c>
      <c r="T54" s="140">
        <f t="shared" si="1"/>
        <v>25</v>
      </c>
      <c r="U54" s="247">
        <v>159</v>
      </c>
      <c r="V54" s="141">
        <f t="shared" si="2"/>
        <v>3975</v>
      </c>
      <c r="W54" s="247">
        <v>11</v>
      </c>
      <c r="X54" s="137" t="s">
        <v>46</v>
      </c>
      <c r="Y54" s="247" t="s">
        <v>78</v>
      </c>
      <c r="Z54" s="247" t="s">
        <v>97</v>
      </c>
      <c r="AA54" s="247" t="s">
        <v>88</v>
      </c>
      <c r="AB54" s="137" t="s">
        <v>423</v>
      </c>
      <c r="AC54" s="142"/>
    </row>
    <row r="55" spans="1:29" x14ac:dyDescent="0.15">
      <c r="A55" s="137" t="s">
        <v>61</v>
      </c>
      <c r="B55" s="137" t="s">
        <v>393</v>
      </c>
      <c r="C55" s="137">
        <v>2018</v>
      </c>
      <c r="D55" s="138" t="s">
        <v>422</v>
      </c>
      <c r="E55" s="137" t="s">
        <v>267</v>
      </c>
      <c r="F55" s="137" t="s">
        <v>266</v>
      </c>
      <c r="G55" s="137" t="s">
        <v>42</v>
      </c>
      <c r="H55" s="247" t="s">
        <v>168</v>
      </c>
      <c r="I55" s="247" t="s">
        <v>155</v>
      </c>
      <c r="J55" s="137" t="s">
        <v>38</v>
      </c>
      <c r="K55" s="247" t="s">
        <v>156</v>
      </c>
      <c r="L55" s="247">
        <v>3</v>
      </c>
      <c r="M55" s="247"/>
      <c r="N55" s="247">
        <v>1</v>
      </c>
      <c r="O55" s="247">
        <v>0.5</v>
      </c>
      <c r="P55" s="247">
        <v>0.5</v>
      </c>
      <c r="Q55" s="139">
        <f t="shared" si="0"/>
        <v>0.5</v>
      </c>
      <c r="R55" s="247">
        <v>17</v>
      </c>
      <c r="S55" s="247">
        <v>135</v>
      </c>
      <c r="T55" s="140">
        <f t="shared" si="1"/>
        <v>25</v>
      </c>
      <c r="U55" s="247">
        <v>159</v>
      </c>
      <c r="V55" s="141">
        <f t="shared" si="2"/>
        <v>3975</v>
      </c>
      <c r="W55" s="247">
        <v>11</v>
      </c>
      <c r="X55" s="137" t="s">
        <v>46</v>
      </c>
      <c r="Y55" s="247" t="s">
        <v>78</v>
      </c>
      <c r="Z55" s="247" t="s">
        <v>97</v>
      </c>
      <c r="AA55" s="247" t="s">
        <v>88</v>
      </c>
      <c r="AB55" s="137" t="s">
        <v>423</v>
      </c>
      <c r="AC55" s="142"/>
    </row>
    <row r="56" spans="1:29" x14ac:dyDescent="0.15">
      <c r="A56" s="137"/>
      <c r="B56" s="137"/>
      <c r="C56" s="137"/>
      <c r="D56" s="138"/>
      <c r="E56" s="137"/>
      <c r="F56" s="137"/>
      <c r="G56" s="137"/>
      <c r="H56" s="247"/>
      <c r="I56" s="247"/>
      <c r="J56" s="137"/>
      <c r="K56" s="247"/>
      <c r="L56" s="247"/>
      <c r="M56" s="247"/>
      <c r="N56" s="247"/>
      <c r="O56" s="247"/>
      <c r="P56" s="247"/>
      <c r="Q56" s="139" t="str">
        <f t="shared" si="0"/>
        <v/>
      </c>
      <c r="R56" s="247"/>
      <c r="S56" s="247"/>
      <c r="T56" s="140" t="str">
        <f t="shared" si="1"/>
        <v/>
      </c>
      <c r="U56" s="247"/>
      <c r="V56" s="141" t="str">
        <f t="shared" si="2"/>
        <v/>
      </c>
      <c r="W56" s="247"/>
      <c r="X56" s="137"/>
      <c r="Y56" s="247"/>
      <c r="Z56" s="247"/>
      <c r="AA56" s="247"/>
      <c r="AB56" s="137"/>
      <c r="AC56" s="142"/>
    </row>
    <row r="57" spans="1:29" x14ac:dyDescent="0.15">
      <c r="A57" s="137"/>
      <c r="B57" s="137"/>
      <c r="C57" s="137"/>
      <c r="D57" s="138"/>
      <c r="E57" s="137"/>
      <c r="F57" s="137"/>
      <c r="G57" s="137"/>
      <c r="H57" s="247"/>
      <c r="I57" s="247"/>
      <c r="J57" s="137"/>
      <c r="K57" s="247"/>
      <c r="L57" s="247"/>
      <c r="M57" s="247"/>
      <c r="N57" s="247"/>
      <c r="O57" s="247"/>
      <c r="P57" s="247"/>
      <c r="Q57" s="139" t="str">
        <f t="shared" si="0"/>
        <v/>
      </c>
      <c r="R57" s="247"/>
      <c r="S57" s="247"/>
      <c r="T57" s="140" t="str">
        <f t="shared" si="1"/>
        <v/>
      </c>
      <c r="U57" s="247"/>
      <c r="V57" s="141" t="str">
        <f t="shared" si="2"/>
        <v/>
      </c>
      <c r="W57" s="247"/>
      <c r="X57" s="137"/>
      <c r="Y57" s="247"/>
      <c r="Z57" s="247"/>
      <c r="AA57" s="247"/>
      <c r="AB57" s="137"/>
      <c r="AC57" s="142"/>
    </row>
    <row r="58" spans="1:29" x14ac:dyDescent="0.15">
      <c r="A58" s="137"/>
      <c r="B58" s="137"/>
      <c r="C58" s="137"/>
      <c r="D58" s="138"/>
      <c r="E58" s="137"/>
      <c r="F58" s="137"/>
      <c r="G58" s="137"/>
      <c r="H58" s="247"/>
      <c r="I58" s="247"/>
      <c r="J58" s="137"/>
      <c r="K58" s="247"/>
      <c r="L58" s="247"/>
      <c r="M58" s="247"/>
      <c r="N58" s="247"/>
      <c r="O58" s="247"/>
      <c r="P58" s="247"/>
      <c r="Q58" s="139" t="str">
        <f t="shared" si="0"/>
        <v/>
      </c>
      <c r="R58" s="247"/>
      <c r="S58" s="247"/>
      <c r="T58" s="140" t="str">
        <f t="shared" si="1"/>
        <v/>
      </c>
      <c r="U58" s="247"/>
      <c r="V58" s="141" t="str">
        <f t="shared" si="2"/>
        <v/>
      </c>
      <c r="W58" s="247"/>
      <c r="X58" s="137"/>
      <c r="Y58" s="247"/>
      <c r="Z58" s="247"/>
      <c r="AA58" s="247"/>
      <c r="AB58" s="137"/>
      <c r="AC58" s="142"/>
    </row>
    <row r="59" spans="1:29" x14ac:dyDescent="0.15">
      <c r="A59" s="137"/>
      <c r="B59" s="137"/>
      <c r="C59" s="137"/>
      <c r="D59" s="138"/>
      <c r="E59" s="137"/>
      <c r="F59" s="137"/>
      <c r="G59" s="137"/>
      <c r="H59" s="247"/>
      <c r="I59" s="247"/>
      <c r="J59" s="137"/>
      <c r="K59" s="247"/>
      <c r="L59" s="247"/>
      <c r="M59" s="247"/>
      <c r="N59" s="247"/>
      <c r="O59" s="247"/>
      <c r="P59" s="247"/>
      <c r="Q59" s="139" t="str">
        <f t="shared" si="0"/>
        <v/>
      </c>
      <c r="R59" s="247"/>
      <c r="S59" s="247"/>
      <c r="T59" s="140" t="str">
        <f t="shared" si="1"/>
        <v/>
      </c>
      <c r="U59" s="247"/>
      <c r="V59" s="141" t="str">
        <f t="shared" si="2"/>
        <v/>
      </c>
      <c r="W59" s="247"/>
      <c r="X59" s="137"/>
      <c r="Y59" s="247"/>
      <c r="Z59" s="247"/>
      <c r="AA59" s="247"/>
      <c r="AB59" s="137"/>
      <c r="AC59" s="247"/>
    </row>
    <row r="60" spans="1:29" x14ac:dyDescent="0.15">
      <c r="A60" s="137"/>
      <c r="B60" s="137"/>
      <c r="C60" s="137"/>
      <c r="D60" s="138"/>
      <c r="E60" s="137"/>
      <c r="F60" s="137"/>
      <c r="G60" s="137"/>
      <c r="H60" s="247"/>
      <c r="I60" s="247"/>
      <c r="J60" s="137"/>
      <c r="K60" s="247"/>
      <c r="L60" s="247"/>
      <c r="M60" s="247"/>
      <c r="N60" s="247"/>
      <c r="O60" s="247"/>
      <c r="P60" s="247"/>
      <c r="Q60" s="139" t="str">
        <f t="shared" si="0"/>
        <v/>
      </c>
      <c r="R60" s="247"/>
      <c r="S60" s="247"/>
      <c r="T60" s="140" t="str">
        <f t="shared" si="1"/>
        <v/>
      </c>
      <c r="U60" s="247"/>
      <c r="V60" s="141" t="str">
        <f t="shared" si="2"/>
        <v/>
      </c>
      <c r="W60" s="247"/>
      <c r="X60" s="137"/>
      <c r="Y60" s="247"/>
      <c r="Z60" s="247"/>
      <c r="AA60" s="247"/>
      <c r="AB60" s="137"/>
      <c r="AC60" s="247"/>
    </row>
    <row r="61" spans="1:29" x14ac:dyDescent="0.15">
      <c r="A61" s="137"/>
      <c r="B61" s="137"/>
      <c r="C61" s="137"/>
      <c r="D61" s="138"/>
      <c r="E61" s="137"/>
      <c r="F61" s="137"/>
      <c r="G61" s="137"/>
      <c r="H61" s="247"/>
      <c r="I61" s="247"/>
      <c r="J61" s="137"/>
      <c r="K61" s="247"/>
      <c r="L61" s="247"/>
      <c r="M61" s="247"/>
      <c r="N61" s="247"/>
      <c r="O61" s="247"/>
      <c r="P61" s="247"/>
      <c r="Q61" s="139" t="str">
        <f t="shared" si="0"/>
        <v/>
      </c>
      <c r="R61" s="247"/>
      <c r="S61" s="247"/>
      <c r="T61" s="140" t="str">
        <f t="shared" si="1"/>
        <v/>
      </c>
      <c r="U61" s="247"/>
      <c r="V61" s="141" t="str">
        <f t="shared" si="2"/>
        <v/>
      </c>
      <c r="W61" s="247"/>
      <c r="X61" s="137"/>
      <c r="Y61" s="247"/>
      <c r="Z61" s="247"/>
      <c r="AA61" s="247"/>
      <c r="AB61" s="137"/>
      <c r="AC61" s="247"/>
    </row>
    <row r="62" spans="1:29" x14ac:dyDescent="0.15">
      <c r="A62" s="137"/>
      <c r="B62" s="137"/>
      <c r="C62" s="137"/>
      <c r="D62" s="138"/>
      <c r="E62" s="137"/>
      <c r="F62" s="137"/>
      <c r="G62" s="137"/>
      <c r="H62" s="247"/>
      <c r="I62" s="247"/>
      <c r="J62" s="137"/>
      <c r="K62" s="247"/>
      <c r="L62" s="247"/>
      <c r="M62" s="247"/>
      <c r="N62" s="247"/>
      <c r="O62" s="247"/>
      <c r="P62" s="247"/>
      <c r="Q62" s="139" t="str">
        <f>IF(OR(O62="",P62=""),"",AVERAGE(O62,P62))</f>
        <v/>
      </c>
      <c r="R62" s="247"/>
      <c r="S62" s="247"/>
      <c r="T62" s="140" t="str">
        <f t="shared" si="1"/>
        <v/>
      </c>
      <c r="U62" s="247"/>
      <c r="V62" s="141" t="str">
        <f t="shared" si="2"/>
        <v/>
      </c>
      <c r="W62" s="247"/>
      <c r="X62" s="137"/>
      <c r="Y62" s="247"/>
      <c r="Z62" s="247"/>
      <c r="AA62" s="247"/>
      <c r="AB62" s="137"/>
      <c r="AC62" s="247"/>
    </row>
    <row r="63" spans="1:29" x14ac:dyDescent="0.15">
      <c r="A63" s="137"/>
      <c r="B63" s="137"/>
      <c r="C63" s="137"/>
      <c r="D63" s="138"/>
      <c r="E63" s="137"/>
      <c r="F63" s="137"/>
      <c r="G63" s="137"/>
      <c r="H63" s="247"/>
      <c r="I63" s="247"/>
      <c r="J63" s="137"/>
      <c r="K63" s="247"/>
      <c r="L63" s="247"/>
      <c r="M63" s="247"/>
      <c r="N63" s="247"/>
      <c r="O63" s="247"/>
      <c r="P63" s="247"/>
      <c r="Q63" s="139" t="str">
        <f t="shared" si="0"/>
        <v/>
      </c>
      <c r="R63" s="247"/>
      <c r="S63" s="247"/>
      <c r="T63" s="140" t="str">
        <f t="shared" si="1"/>
        <v/>
      </c>
      <c r="U63" s="247"/>
      <c r="V63" s="141" t="str">
        <f t="shared" si="2"/>
        <v/>
      </c>
      <c r="W63" s="247"/>
      <c r="X63" s="137"/>
      <c r="Y63" s="247"/>
      <c r="Z63" s="247"/>
      <c r="AA63" s="247"/>
      <c r="AB63" s="137"/>
      <c r="AC63" s="247"/>
    </row>
    <row r="64" spans="1:29" x14ac:dyDescent="0.15">
      <c r="A64" s="137"/>
      <c r="B64" s="137"/>
      <c r="C64" s="137"/>
      <c r="D64" s="138"/>
      <c r="E64" s="137"/>
      <c r="F64" s="137"/>
      <c r="G64" s="137"/>
      <c r="H64" s="247"/>
      <c r="I64" s="247"/>
      <c r="J64" s="137"/>
      <c r="K64" s="247"/>
      <c r="L64" s="247"/>
      <c r="M64" s="247"/>
      <c r="N64" s="247"/>
      <c r="O64" s="247"/>
      <c r="P64" s="247"/>
      <c r="Q64" s="139" t="str">
        <f t="shared" si="0"/>
        <v/>
      </c>
      <c r="R64" s="247"/>
      <c r="S64" s="247"/>
      <c r="T64" s="140" t="str">
        <f t="shared" si="1"/>
        <v/>
      </c>
      <c r="U64" s="247"/>
      <c r="V64" s="141" t="str">
        <f t="shared" si="2"/>
        <v/>
      </c>
      <c r="W64" s="247"/>
      <c r="X64" s="137"/>
      <c r="Y64" s="247"/>
      <c r="Z64" s="247"/>
      <c r="AA64" s="247"/>
      <c r="AB64" s="137"/>
      <c r="AC64" s="247"/>
    </row>
    <row r="65" spans="1:29" x14ac:dyDescent="0.15">
      <c r="A65" s="137"/>
      <c r="B65" s="137"/>
      <c r="C65" s="137"/>
      <c r="D65" s="138"/>
      <c r="E65" s="137"/>
      <c r="F65" s="137"/>
      <c r="G65" s="137"/>
      <c r="H65" s="247"/>
      <c r="I65" s="247"/>
      <c r="J65" s="137"/>
      <c r="K65" s="247"/>
      <c r="L65" s="247"/>
      <c r="M65" s="247"/>
      <c r="N65" s="247"/>
      <c r="O65" s="247"/>
      <c r="P65" s="247"/>
      <c r="Q65" s="139" t="str">
        <f t="shared" si="0"/>
        <v/>
      </c>
      <c r="R65" s="247"/>
      <c r="S65" s="247"/>
      <c r="T65" s="140" t="str">
        <f t="shared" si="1"/>
        <v/>
      </c>
      <c r="U65" s="247"/>
      <c r="V65" s="141" t="str">
        <f t="shared" si="2"/>
        <v/>
      </c>
      <c r="W65" s="247"/>
      <c r="X65" s="137"/>
      <c r="Y65" s="247"/>
      <c r="Z65" s="247"/>
      <c r="AA65" s="247"/>
      <c r="AB65" s="137"/>
      <c r="AC65" s="142"/>
    </row>
    <row r="66" spans="1:29" x14ac:dyDescent="0.15">
      <c r="A66" s="137"/>
      <c r="B66" s="137"/>
      <c r="C66" s="137"/>
      <c r="D66" s="138"/>
      <c r="E66" s="137"/>
      <c r="F66" s="137"/>
      <c r="G66" s="137"/>
      <c r="H66" s="247"/>
      <c r="I66" s="247"/>
      <c r="J66" s="137"/>
      <c r="K66" s="247"/>
      <c r="L66" s="247"/>
      <c r="M66" s="247"/>
      <c r="N66" s="247"/>
      <c r="O66" s="247"/>
      <c r="P66" s="247"/>
      <c r="Q66" s="139" t="str">
        <f t="shared" si="0"/>
        <v/>
      </c>
      <c r="R66" s="247"/>
      <c r="S66" s="247"/>
      <c r="T66" s="140" t="str">
        <f t="shared" ref="T66:T85" si="3">IF(H66="","",IF(OR(H66="GREEN",H66="GK"),IF(S66&gt;=$AX$2,VLOOKUP(S66,$AX$2:$AY$15,2,1),""),IF(S66&gt;=$AZ$2,VLOOKUP(S66,$AZ$2:$BA$15,2,1),"")))</f>
        <v/>
      </c>
      <c r="U66" s="247"/>
      <c r="V66" s="141" t="str">
        <f t="shared" si="2"/>
        <v/>
      </c>
      <c r="W66" s="247"/>
      <c r="X66" s="137"/>
      <c r="Y66" s="247"/>
      <c r="Z66" s="247"/>
      <c r="AA66" s="247"/>
      <c r="AB66" s="137"/>
      <c r="AC66" s="142"/>
    </row>
    <row r="67" spans="1:29" x14ac:dyDescent="0.15">
      <c r="A67" s="137"/>
      <c r="B67" s="137"/>
      <c r="C67" s="137"/>
      <c r="D67" s="138"/>
      <c r="E67" s="137"/>
      <c r="F67" s="137"/>
      <c r="G67" s="137"/>
      <c r="H67" s="247"/>
      <c r="I67" s="247"/>
      <c r="J67" s="137"/>
      <c r="K67" s="247"/>
      <c r="L67" s="247"/>
      <c r="M67" s="247"/>
      <c r="N67" s="247"/>
      <c r="O67" s="247"/>
      <c r="P67" s="247"/>
      <c r="Q67" s="139" t="str">
        <f t="shared" ref="Q67:Q85" si="4">IF(OR(O67="",P67=""),"",AVERAGE(O67,P67))</f>
        <v/>
      </c>
      <c r="R67" s="247"/>
      <c r="S67" s="247"/>
      <c r="T67" s="140" t="str">
        <f t="shared" si="3"/>
        <v/>
      </c>
      <c r="U67" s="247"/>
      <c r="V67" s="141" t="str">
        <f t="shared" ref="V67:V85" si="5">IF(OR(N67="",U67="",T67=""),"",U67/N67*T67)</f>
        <v/>
      </c>
      <c r="W67" s="247"/>
      <c r="X67" s="137"/>
      <c r="Y67" s="247"/>
      <c r="Z67" s="247"/>
      <c r="AA67" s="247"/>
      <c r="AB67" s="137"/>
      <c r="AC67" s="142"/>
    </row>
    <row r="68" spans="1:29" x14ac:dyDescent="0.15">
      <c r="A68" s="137"/>
      <c r="B68" s="137"/>
      <c r="C68" s="137"/>
      <c r="D68" s="138"/>
      <c r="E68" s="137"/>
      <c r="F68" s="137"/>
      <c r="G68" s="137"/>
      <c r="H68" s="247"/>
      <c r="I68" s="247"/>
      <c r="J68" s="137"/>
      <c r="K68" s="247"/>
      <c r="L68" s="247"/>
      <c r="M68" s="247"/>
      <c r="N68" s="247"/>
      <c r="O68" s="247"/>
      <c r="P68" s="247"/>
      <c r="Q68" s="139" t="str">
        <f t="shared" si="4"/>
        <v/>
      </c>
      <c r="R68" s="247"/>
      <c r="S68" s="247"/>
      <c r="T68" s="140" t="str">
        <f t="shared" si="3"/>
        <v/>
      </c>
      <c r="U68" s="247"/>
      <c r="V68" s="141" t="str">
        <f t="shared" si="5"/>
        <v/>
      </c>
      <c r="W68" s="247"/>
      <c r="X68" s="137"/>
      <c r="Y68" s="247"/>
      <c r="Z68" s="247"/>
      <c r="AA68" s="247"/>
      <c r="AB68" s="137"/>
      <c r="AC68" s="142"/>
    </row>
    <row r="69" spans="1:29" x14ac:dyDescent="0.15">
      <c r="A69" s="137"/>
      <c r="B69" s="137"/>
      <c r="C69" s="137"/>
      <c r="D69" s="138"/>
      <c r="E69" s="137"/>
      <c r="F69" s="137"/>
      <c r="G69" s="137"/>
      <c r="H69" s="247"/>
      <c r="I69" s="247"/>
      <c r="J69" s="137"/>
      <c r="K69" s="247"/>
      <c r="L69" s="247"/>
      <c r="M69" s="247"/>
      <c r="N69" s="247"/>
      <c r="O69" s="247"/>
      <c r="P69" s="247"/>
      <c r="Q69" s="139" t="str">
        <f t="shared" si="4"/>
        <v/>
      </c>
      <c r="R69" s="247"/>
      <c r="S69" s="247"/>
      <c r="T69" s="140" t="str">
        <f t="shared" si="3"/>
        <v/>
      </c>
      <c r="U69" s="247"/>
      <c r="V69" s="141" t="str">
        <f t="shared" si="5"/>
        <v/>
      </c>
      <c r="W69" s="247"/>
      <c r="X69" s="137"/>
      <c r="Y69" s="247"/>
      <c r="Z69" s="247"/>
      <c r="AA69" s="247"/>
      <c r="AB69" s="137"/>
      <c r="AC69" s="142"/>
    </row>
    <row r="70" spans="1:29" x14ac:dyDescent="0.15">
      <c r="A70" s="137"/>
      <c r="B70" s="137"/>
      <c r="C70" s="137"/>
      <c r="D70" s="138"/>
      <c r="E70" s="137"/>
      <c r="F70" s="137"/>
      <c r="G70" s="137"/>
      <c r="H70" s="247"/>
      <c r="I70" s="247"/>
      <c r="J70" s="137"/>
      <c r="K70" s="247"/>
      <c r="L70" s="247"/>
      <c r="M70" s="247"/>
      <c r="N70" s="247"/>
      <c r="O70" s="247"/>
      <c r="P70" s="247"/>
      <c r="Q70" s="139" t="str">
        <f t="shared" si="4"/>
        <v/>
      </c>
      <c r="R70" s="247"/>
      <c r="S70" s="247"/>
      <c r="T70" s="140" t="str">
        <f t="shared" si="3"/>
        <v/>
      </c>
      <c r="U70" s="247"/>
      <c r="V70" s="141" t="str">
        <f t="shared" si="5"/>
        <v/>
      </c>
      <c r="W70" s="247"/>
      <c r="X70" s="137"/>
      <c r="Y70" s="247"/>
      <c r="Z70" s="247"/>
      <c r="AA70" s="247"/>
      <c r="AB70" s="137"/>
      <c r="AC70" s="142"/>
    </row>
    <row r="71" spans="1:29" x14ac:dyDescent="0.15">
      <c r="A71" s="137"/>
      <c r="B71" s="137"/>
      <c r="C71" s="137"/>
      <c r="D71" s="138"/>
      <c r="E71" s="137"/>
      <c r="F71" s="137"/>
      <c r="G71" s="137"/>
      <c r="H71" s="247"/>
      <c r="I71" s="247"/>
      <c r="J71" s="137"/>
      <c r="K71" s="247"/>
      <c r="L71" s="247"/>
      <c r="M71" s="247"/>
      <c r="N71" s="247"/>
      <c r="O71" s="247"/>
      <c r="P71" s="247"/>
      <c r="Q71" s="139"/>
      <c r="R71" s="247"/>
      <c r="S71" s="247"/>
      <c r="T71" s="140"/>
      <c r="U71" s="247"/>
      <c r="V71" s="141"/>
      <c r="W71" s="247"/>
      <c r="X71" s="137"/>
      <c r="Y71" s="247"/>
      <c r="Z71" s="247"/>
      <c r="AA71" s="247"/>
      <c r="AB71" s="137"/>
      <c r="AC71" s="142"/>
    </row>
    <row r="72" spans="1:29" x14ac:dyDescent="0.15">
      <c r="A72" s="137"/>
      <c r="B72" s="137"/>
      <c r="C72" s="137"/>
      <c r="D72" s="138"/>
      <c r="E72" s="137"/>
      <c r="F72" s="137"/>
      <c r="G72" s="137"/>
      <c r="H72" s="247"/>
      <c r="I72" s="247"/>
      <c r="J72" s="137"/>
      <c r="K72" s="247"/>
      <c r="L72" s="247"/>
      <c r="M72" s="247"/>
      <c r="N72" s="247"/>
      <c r="O72" s="247"/>
      <c r="P72" s="247"/>
      <c r="Q72" s="139"/>
      <c r="R72" s="247"/>
      <c r="S72" s="247"/>
      <c r="T72" s="140"/>
      <c r="U72" s="247"/>
      <c r="V72" s="141"/>
      <c r="W72" s="247"/>
      <c r="X72" s="137"/>
      <c r="Y72" s="247"/>
      <c r="Z72" s="247"/>
      <c r="AA72" s="247"/>
      <c r="AB72" s="137"/>
      <c r="AC72" s="142"/>
    </row>
    <row r="73" spans="1:29" x14ac:dyDescent="0.15">
      <c r="A73" s="137"/>
      <c r="B73" s="137"/>
      <c r="C73" s="137"/>
      <c r="D73" s="138"/>
      <c r="E73" s="137"/>
      <c r="F73" s="137"/>
      <c r="G73" s="137"/>
      <c r="H73" s="247"/>
      <c r="I73" s="247"/>
      <c r="J73" s="137"/>
      <c r="K73" s="247"/>
      <c r="L73" s="247"/>
      <c r="M73" s="247"/>
      <c r="N73" s="247"/>
      <c r="O73" s="247"/>
      <c r="P73" s="247"/>
      <c r="Q73" s="139"/>
      <c r="R73" s="247"/>
      <c r="S73" s="247"/>
      <c r="T73" s="140"/>
      <c r="U73" s="247"/>
      <c r="V73" s="141"/>
      <c r="W73" s="247"/>
      <c r="X73" s="137"/>
      <c r="Y73" s="247"/>
      <c r="Z73" s="247"/>
      <c r="AA73" s="247"/>
      <c r="AB73" s="137"/>
      <c r="AC73" s="142"/>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439</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14:P19 O5:O7 P20:P40 P5:P13 O20:O22 O41:P9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B16" zoomScale="85" zoomScaleNormal="85" workbookViewId="0">
      <selection activeCell="M18" sqref="M18"/>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440</v>
      </c>
      <c r="D1" s="203" t="s">
        <v>3</v>
      </c>
      <c r="E1" s="241" t="s">
        <v>4</v>
      </c>
      <c r="F1" s="241" t="s">
        <v>5</v>
      </c>
      <c r="G1" s="241" t="s">
        <v>6</v>
      </c>
      <c r="H1" s="241" t="s">
        <v>7</v>
      </c>
      <c r="I1" s="241" t="s">
        <v>8</v>
      </c>
      <c r="J1" s="241" t="s">
        <v>9</v>
      </c>
      <c r="K1" s="241" t="s">
        <v>10</v>
      </c>
      <c r="L1" s="203" t="s">
        <v>441</v>
      </c>
      <c r="M1" s="203" t="s">
        <v>12</v>
      </c>
      <c r="N1" s="203" t="s">
        <v>442</v>
      </c>
      <c r="O1" s="203" t="s">
        <v>443</v>
      </c>
      <c r="P1" s="203" t="s">
        <v>444</v>
      </c>
      <c r="Q1" s="204" t="s">
        <v>16</v>
      </c>
      <c r="R1" s="203" t="s">
        <v>445</v>
      </c>
      <c r="S1" s="203" t="s">
        <v>446</v>
      </c>
      <c r="T1" s="204" t="s">
        <v>19</v>
      </c>
      <c r="U1" s="205" t="s">
        <v>271</v>
      </c>
      <c r="V1" s="206" t="s">
        <v>20</v>
      </c>
      <c r="W1" s="203" t="s">
        <v>21</v>
      </c>
      <c r="X1" s="241" t="s">
        <v>22</v>
      </c>
      <c r="Y1" s="241" t="s">
        <v>23</v>
      </c>
      <c r="Z1" s="241" t="s">
        <v>24</v>
      </c>
      <c r="AA1" s="242" t="s">
        <v>25</v>
      </c>
      <c r="AB1" s="207" t="s">
        <v>272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176</v>
      </c>
      <c r="AZ1" s="214" t="s">
        <v>177</v>
      </c>
      <c r="BA1" s="215" t="s">
        <v>164</v>
      </c>
    </row>
    <row r="2" spans="1:53" x14ac:dyDescent="0.15">
      <c r="A2" s="208" t="s">
        <v>59</v>
      </c>
      <c r="B2" s="237" t="s">
        <v>349</v>
      </c>
      <c r="C2" s="152">
        <v>2018</v>
      </c>
      <c r="D2" s="153" t="s">
        <v>448</v>
      </c>
      <c r="E2" s="208" t="s">
        <v>449</v>
      </c>
      <c r="F2" s="208" t="s">
        <v>314</v>
      </c>
      <c r="G2" s="208" t="s">
        <v>36</v>
      </c>
      <c r="H2" s="208" t="s">
        <v>157</v>
      </c>
      <c r="I2" s="208" t="s">
        <v>155</v>
      </c>
      <c r="J2" s="208" t="s">
        <v>38</v>
      </c>
      <c r="K2" s="208" t="s">
        <v>156</v>
      </c>
      <c r="L2" s="208">
        <v>1</v>
      </c>
      <c r="N2" s="208">
        <v>5</v>
      </c>
      <c r="O2" s="208">
        <v>0.86</v>
      </c>
      <c r="P2" s="208">
        <v>0.85</v>
      </c>
      <c r="Q2" s="245">
        <f>IF(OR(O2="",P2=""),"",AVERAGE(O2,P2))</f>
        <v>0.85499999999999998</v>
      </c>
      <c r="R2" s="208">
        <v>16.2</v>
      </c>
      <c r="S2" s="208">
        <v>98</v>
      </c>
      <c r="T2" s="217">
        <f t="shared" ref="T2:T73" si="0">IF(H2="","",IF(OR(H2="GREEN",H2="GK"),IF(S2&gt;=$AX$2,VLOOKUP(S2,$AX$2:$AY$12,2,1),""),IF(S2&gt;=$AZ$2,VLOOKUP(S2,$AZ$2:$BA$12,2,1),"")))</f>
        <v>36</v>
      </c>
      <c r="U2" s="208">
        <v>398</v>
      </c>
      <c r="V2" s="217">
        <f t="shared" ref="V2:V70" si="1">IF(J2="","",IF(OR(J2="GREEN",J2="GK"),IF(U2&gt;=$AX$2,VLOOKUP(U2,$AX$2:$AY$12,2,1),""),IF(U2&gt;=$AZ$2,VLOOKUP(U2,$AZ$2:$BA$12,2,1),"")))</f>
        <v>16</v>
      </c>
      <c r="W2" s="208">
        <v>4</v>
      </c>
      <c r="X2" s="208" t="s">
        <v>39</v>
      </c>
      <c r="Y2" s="208" t="s">
        <v>78</v>
      </c>
      <c r="Z2" s="208" t="s">
        <v>88</v>
      </c>
      <c r="AA2" s="208" t="s">
        <v>102</v>
      </c>
      <c r="AB2" s="237" t="s">
        <v>450</v>
      </c>
      <c r="AE2" s="218" t="s">
        <v>35</v>
      </c>
      <c r="AG2" s="154" t="s">
        <v>321</v>
      </c>
      <c r="AH2" s="155" t="s">
        <v>313</v>
      </c>
      <c r="AJ2" s="248" t="s">
        <v>36</v>
      </c>
      <c r="AL2" s="219" t="s">
        <v>127</v>
      </c>
      <c r="AN2" s="156" t="s">
        <v>451</v>
      </c>
      <c r="AP2" s="219" t="s">
        <v>38</v>
      </c>
      <c r="AR2" s="219" t="s">
        <v>452</v>
      </c>
      <c r="AT2" s="248" t="s">
        <v>39</v>
      </c>
      <c r="AV2" s="224" t="s">
        <v>55</v>
      </c>
      <c r="AX2" s="157">
        <v>1</v>
      </c>
      <c r="AY2" s="158">
        <v>50</v>
      </c>
      <c r="AZ2" s="158">
        <v>1</v>
      </c>
      <c r="BA2" s="159">
        <v>50</v>
      </c>
    </row>
    <row r="3" spans="1:53" x14ac:dyDescent="0.15">
      <c r="A3" s="208" t="s">
        <v>59</v>
      </c>
      <c r="B3" s="237" t="s">
        <v>453</v>
      </c>
      <c r="C3" s="152">
        <v>2018</v>
      </c>
      <c r="D3" s="153" t="s">
        <v>454</v>
      </c>
      <c r="E3" s="208" t="s">
        <v>455</v>
      </c>
      <c r="F3" s="208" t="s">
        <v>314</v>
      </c>
      <c r="G3" s="208" t="s">
        <v>36</v>
      </c>
      <c r="H3" s="208" t="s">
        <v>157</v>
      </c>
      <c r="I3" s="208" t="s">
        <v>155</v>
      </c>
      <c r="J3" s="208" t="s">
        <v>38</v>
      </c>
      <c r="K3" s="208" t="s">
        <v>156</v>
      </c>
      <c r="L3" s="208">
        <v>2</v>
      </c>
      <c r="N3" s="208">
        <v>5</v>
      </c>
      <c r="O3" s="208">
        <v>0.45</v>
      </c>
      <c r="P3" s="208">
        <v>0.4</v>
      </c>
      <c r="Q3" s="245">
        <f t="shared" ref="Q3:Q73" si="2">IF(OR(O3="",P3=""),"",AVERAGE(O3,P3))</f>
        <v>0.42500000000000004</v>
      </c>
      <c r="R3" s="208">
        <v>15.6</v>
      </c>
      <c r="S3" s="208">
        <v>90</v>
      </c>
      <c r="T3" s="217">
        <f t="shared" si="0"/>
        <v>36</v>
      </c>
      <c r="U3" s="208">
        <v>398</v>
      </c>
      <c r="V3" s="217">
        <f t="shared" si="1"/>
        <v>16</v>
      </c>
      <c r="W3" s="208">
        <v>4</v>
      </c>
      <c r="X3" s="208" t="s">
        <v>39</v>
      </c>
      <c r="Y3" s="208" t="s">
        <v>78</v>
      </c>
      <c r="Z3" s="208" t="s">
        <v>88</v>
      </c>
      <c r="AA3" s="208" t="s">
        <v>102</v>
      </c>
      <c r="AB3" s="237" t="s">
        <v>456</v>
      </c>
      <c r="AE3" s="223" t="s">
        <v>41</v>
      </c>
      <c r="AG3" s="154" t="s">
        <v>322</v>
      </c>
      <c r="AH3" s="155" t="s">
        <v>314</v>
      </c>
      <c r="AJ3" s="224" t="s">
        <v>42</v>
      </c>
      <c r="AL3" s="224" t="s">
        <v>128</v>
      </c>
      <c r="AN3" s="224" t="s">
        <v>43</v>
      </c>
      <c r="AP3" s="224" t="s">
        <v>44</v>
      </c>
      <c r="AR3" s="238" t="s">
        <v>45</v>
      </c>
      <c r="AT3" s="224" t="s">
        <v>46</v>
      </c>
      <c r="AV3" s="224" t="s">
        <v>457</v>
      </c>
      <c r="AX3" s="225">
        <v>72</v>
      </c>
      <c r="AY3" s="226">
        <v>46</v>
      </c>
      <c r="AZ3" s="226">
        <v>71</v>
      </c>
      <c r="BA3" s="227">
        <v>42</v>
      </c>
    </row>
    <row r="4" spans="1:53" x14ac:dyDescent="0.15">
      <c r="A4" s="208" t="s">
        <v>59</v>
      </c>
      <c r="B4" s="237" t="s">
        <v>453</v>
      </c>
      <c r="C4" s="152">
        <v>2018</v>
      </c>
      <c r="D4" s="153" t="s">
        <v>454</v>
      </c>
      <c r="E4" s="208" t="s">
        <v>455</v>
      </c>
      <c r="F4" s="208" t="s">
        <v>314</v>
      </c>
      <c r="G4" s="208" t="s">
        <v>36</v>
      </c>
      <c r="H4" s="208" t="s">
        <v>157</v>
      </c>
      <c r="I4" s="208" t="s">
        <v>458</v>
      </c>
      <c r="J4" s="208" t="s">
        <v>38</v>
      </c>
      <c r="K4" s="208" t="s">
        <v>156</v>
      </c>
      <c r="L4" s="208">
        <v>3</v>
      </c>
      <c r="N4" s="208">
        <v>5</v>
      </c>
      <c r="O4" s="208">
        <v>0.44</v>
      </c>
      <c r="P4" s="208">
        <v>0.51</v>
      </c>
      <c r="Q4" s="245">
        <f t="shared" si="2"/>
        <v>0.47499999999999998</v>
      </c>
      <c r="R4" s="208">
        <v>16.600000000000001</v>
      </c>
      <c r="S4" s="208">
        <v>96</v>
      </c>
      <c r="T4" s="217">
        <f t="shared" si="0"/>
        <v>36</v>
      </c>
      <c r="U4" s="208">
        <v>398</v>
      </c>
      <c r="V4" s="217">
        <f t="shared" si="1"/>
        <v>16</v>
      </c>
      <c r="W4" s="208">
        <v>4</v>
      </c>
      <c r="X4" s="208" t="s">
        <v>39</v>
      </c>
      <c r="Y4" s="208" t="s">
        <v>78</v>
      </c>
      <c r="Z4" s="208" t="s">
        <v>88</v>
      </c>
      <c r="AA4" s="208" t="s">
        <v>102</v>
      </c>
      <c r="AB4" s="237" t="s">
        <v>456</v>
      </c>
      <c r="AE4" s="223" t="s">
        <v>34</v>
      </c>
      <c r="AG4" s="154" t="s">
        <v>323</v>
      </c>
      <c r="AH4" s="155" t="s">
        <v>315</v>
      </c>
      <c r="AJ4" s="228" t="s">
        <v>48</v>
      </c>
      <c r="AL4" s="228" t="s">
        <v>129</v>
      </c>
      <c r="AN4" s="229" t="s">
        <v>49</v>
      </c>
      <c r="AP4" s="224" t="s">
        <v>459</v>
      </c>
      <c r="AR4" s="238" t="s">
        <v>273</v>
      </c>
      <c r="AT4" s="229"/>
      <c r="AV4" s="224" t="s">
        <v>460</v>
      </c>
      <c r="AX4" s="225">
        <v>75</v>
      </c>
      <c r="AY4" s="226">
        <v>42</v>
      </c>
      <c r="AZ4" s="226">
        <v>76</v>
      </c>
      <c r="BA4" s="227">
        <v>39</v>
      </c>
    </row>
    <row r="5" spans="1:53" x14ac:dyDescent="0.15">
      <c r="A5" s="208" t="s">
        <v>59</v>
      </c>
      <c r="B5" s="237" t="s">
        <v>453</v>
      </c>
      <c r="C5" s="152">
        <v>2018</v>
      </c>
      <c r="D5" s="153" t="s">
        <v>454</v>
      </c>
      <c r="E5" s="208" t="s">
        <v>321</v>
      </c>
      <c r="F5" s="208" t="s">
        <v>313</v>
      </c>
      <c r="G5" s="208" t="s">
        <v>36</v>
      </c>
      <c r="H5" s="208" t="s">
        <v>168</v>
      </c>
      <c r="I5" s="208" t="s">
        <v>155</v>
      </c>
      <c r="J5" s="208" t="s">
        <v>38</v>
      </c>
      <c r="K5" s="208" t="s">
        <v>156</v>
      </c>
      <c r="L5" s="208">
        <v>1</v>
      </c>
      <c r="N5" s="208">
        <v>4</v>
      </c>
      <c r="O5" s="208">
        <v>0.49</v>
      </c>
      <c r="P5" s="208">
        <v>0.44</v>
      </c>
      <c r="Q5" s="245">
        <f t="shared" si="2"/>
        <v>0.46499999999999997</v>
      </c>
      <c r="R5" s="208">
        <v>15.2</v>
      </c>
      <c r="S5" s="208">
        <v>104</v>
      </c>
      <c r="T5" s="217">
        <f t="shared" si="0"/>
        <v>33</v>
      </c>
      <c r="U5" s="208">
        <v>437</v>
      </c>
      <c r="V5" s="217">
        <f t="shared" si="1"/>
        <v>16</v>
      </c>
      <c r="W5" s="208">
        <v>6</v>
      </c>
      <c r="X5" s="208" t="s">
        <v>39</v>
      </c>
      <c r="Y5" s="208" t="s">
        <v>86</v>
      </c>
      <c r="Z5" s="208" t="s">
        <v>102</v>
      </c>
      <c r="AA5" s="208" t="s">
        <v>88</v>
      </c>
      <c r="AB5" s="237" t="s">
        <v>456</v>
      </c>
      <c r="AE5" s="223" t="s">
        <v>51</v>
      </c>
      <c r="AG5" s="154" t="s">
        <v>274</v>
      </c>
      <c r="AH5" s="155" t="s">
        <v>316</v>
      </c>
      <c r="AJ5" s="229"/>
      <c r="AL5" s="230" t="s">
        <v>461</v>
      </c>
      <c r="AN5" s="72" t="s">
        <v>462</v>
      </c>
      <c r="AP5" s="224" t="s">
        <v>463</v>
      </c>
      <c r="AR5" s="238" t="s">
        <v>54</v>
      </c>
      <c r="AV5" s="224" t="s">
        <v>464</v>
      </c>
      <c r="AX5" s="225">
        <v>84</v>
      </c>
      <c r="AY5" s="226">
        <v>39</v>
      </c>
      <c r="AZ5" s="226">
        <v>84</v>
      </c>
      <c r="BA5" s="227">
        <v>36</v>
      </c>
    </row>
    <row r="6" spans="1:53" x14ac:dyDescent="0.15">
      <c r="A6" s="208" t="s">
        <v>59</v>
      </c>
      <c r="B6" s="237" t="s">
        <v>453</v>
      </c>
      <c r="C6" s="152">
        <v>2018</v>
      </c>
      <c r="D6" s="153" t="s">
        <v>454</v>
      </c>
      <c r="E6" s="208" t="s">
        <v>321</v>
      </c>
      <c r="F6" s="208" t="s">
        <v>313</v>
      </c>
      <c r="G6" s="208" t="s">
        <v>36</v>
      </c>
      <c r="H6" s="208" t="s">
        <v>168</v>
      </c>
      <c r="I6" s="208" t="s">
        <v>155</v>
      </c>
      <c r="J6" s="208" t="s">
        <v>38</v>
      </c>
      <c r="K6" s="208" t="s">
        <v>156</v>
      </c>
      <c r="L6" s="208">
        <v>2</v>
      </c>
      <c r="N6" s="208">
        <v>4</v>
      </c>
      <c r="O6" s="208">
        <v>0.62</v>
      </c>
      <c r="P6" s="208">
        <v>0.56999999999999995</v>
      </c>
      <c r="Q6" s="245">
        <f t="shared" si="2"/>
        <v>0.59499999999999997</v>
      </c>
      <c r="R6" s="208">
        <v>16.2</v>
      </c>
      <c r="S6" s="208">
        <v>100</v>
      </c>
      <c r="T6" s="217">
        <f t="shared" si="0"/>
        <v>33</v>
      </c>
      <c r="U6" s="208">
        <v>437</v>
      </c>
      <c r="V6" s="217">
        <f t="shared" si="1"/>
        <v>16</v>
      </c>
      <c r="W6" s="208">
        <v>6</v>
      </c>
      <c r="X6" s="208" t="s">
        <v>39</v>
      </c>
      <c r="Y6" s="208" t="s">
        <v>86</v>
      </c>
      <c r="Z6" s="208" t="s">
        <v>102</v>
      </c>
      <c r="AA6" s="208" t="s">
        <v>88</v>
      </c>
      <c r="AB6" s="237" t="s">
        <v>456</v>
      </c>
      <c r="AE6" s="223" t="s">
        <v>56</v>
      </c>
      <c r="AG6" s="154" t="s">
        <v>324</v>
      </c>
      <c r="AH6" s="155" t="s">
        <v>317</v>
      </c>
      <c r="AL6" s="230" t="s">
        <v>465</v>
      </c>
      <c r="AN6" s="230" t="s">
        <v>466</v>
      </c>
      <c r="AP6" s="224" t="s">
        <v>53</v>
      </c>
      <c r="AR6" s="238" t="s">
        <v>173</v>
      </c>
      <c r="AV6" s="224" t="s">
        <v>60</v>
      </c>
      <c r="AX6" s="225">
        <v>97</v>
      </c>
      <c r="AY6" s="226">
        <v>36</v>
      </c>
      <c r="AZ6" s="226">
        <v>99</v>
      </c>
      <c r="BA6" s="227">
        <v>33</v>
      </c>
    </row>
    <row r="7" spans="1:53" x14ac:dyDescent="0.15">
      <c r="A7" s="208" t="s">
        <v>59</v>
      </c>
      <c r="B7" s="237" t="s">
        <v>393</v>
      </c>
      <c r="C7" s="152">
        <v>2018</v>
      </c>
      <c r="D7" s="153" t="s">
        <v>467</v>
      </c>
      <c r="E7" s="208" t="s">
        <v>321</v>
      </c>
      <c r="F7" s="208" t="s">
        <v>313</v>
      </c>
      <c r="G7" s="208" t="s">
        <v>36</v>
      </c>
      <c r="H7" s="208" t="s">
        <v>168</v>
      </c>
      <c r="I7" s="208" t="s">
        <v>155</v>
      </c>
      <c r="J7" s="208" t="s">
        <v>38</v>
      </c>
      <c r="K7" s="208" t="s">
        <v>156</v>
      </c>
      <c r="L7" s="208">
        <v>3</v>
      </c>
      <c r="N7" s="208">
        <v>4</v>
      </c>
      <c r="O7" s="208">
        <v>0.65</v>
      </c>
      <c r="P7" s="208">
        <v>0.56000000000000005</v>
      </c>
      <c r="Q7" s="245">
        <f t="shared" si="2"/>
        <v>0.60499999999999998</v>
      </c>
      <c r="R7" s="208">
        <v>16.899999999999999</v>
      </c>
      <c r="S7" s="208">
        <v>106</v>
      </c>
      <c r="T7" s="217">
        <f t="shared" si="0"/>
        <v>33</v>
      </c>
      <c r="U7" s="208">
        <v>437</v>
      </c>
      <c r="V7" s="217">
        <f t="shared" si="1"/>
        <v>16</v>
      </c>
      <c r="W7" s="208">
        <v>6</v>
      </c>
      <c r="X7" s="208" t="s">
        <v>39</v>
      </c>
      <c r="Y7" s="208" t="s">
        <v>86</v>
      </c>
      <c r="Z7" s="208" t="s">
        <v>102</v>
      </c>
      <c r="AA7" s="208" t="s">
        <v>88</v>
      </c>
      <c r="AB7" s="237" t="s">
        <v>456</v>
      </c>
      <c r="AE7" s="223" t="s">
        <v>61</v>
      </c>
      <c r="AG7" s="154" t="s">
        <v>325</v>
      </c>
      <c r="AH7" s="155" t="s">
        <v>318</v>
      </c>
      <c r="AL7" s="235" t="s">
        <v>468</v>
      </c>
      <c r="AP7" s="224" t="s">
        <v>58</v>
      </c>
      <c r="AR7" s="231" t="s">
        <v>276</v>
      </c>
      <c r="AV7" s="224" t="s">
        <v>64</v>
      </c>
      <c r="AX7" s="225">
        <v>109</v>
      </c>
      <c r="AY7" s="226">
        <v>33</v>
      </c>
      <c r="AZ7" s="226">
        <v>113</v>
      </c>
      <c r="BA7" s="227">
        <v>30</v>
      </c>
    </row>
    <row r="8" spans="1:53" x14ac:dyDescent="0.15">
      <c r="A8" s="208" t="s">
        <v>59</v>
      </c>
      <c r="B8" s="237" t="s">
        <v>469</v>
      </c>
      <c r="C8" s="152">
        <v>2018</v>
      </c>
      <c r="D8" s="153" t="s">
        <v>470</v>
      </c>
      <c r="E8" s="208" t="s">
        <v>321</v>
      </c>
      <c r="F8" s="208" t="s">
        <v>313</v>
      </c>
      <c r="G8" s="208" t="s">
        <v>36</v>
      </c>
      <c r="H8" s="208" t="s">
        <v>157</v>
      </c>
      <c r="I8" s="208" t="s">
        <v>155</v>
      </c>
      <c r="J8" s="208" t="s">
        <v>38</v>
      </c>
      <c r="K8" s="208" t="s">
        <v>156</v>
      </c>
      <c r="L8" s="208">
        <v>1</v>
      </c>
      <c r="N8" s="208">
        <v>2</v>
      </c>
      <c r="O8" s="208">
        <v>0.53</v>
      </c>
      <c r="P8" s="208">
        <v>0.47</v>
      </c>
      <c r="Q8" s="245">
        <f t="shared" si="2"/>
        <v>0.5</v>
      </c>
      <c r="R8" s="208">
        <v>15</v>
      </c>
      <c r="S8" s="208">
        <v>168</v>
      </c>
      <c r="T8" s="217">
        <f t="shared" si="0"/>
        <v>18</v>
      </c>
      <c r="U8" s="208">
        <v>277</v>
      </c>
      <c r="V8" s="217">
        <f t="shared" si="1"/>
        <v>16</v>
      </c>
      <c r="W8" s="208">
        <v>2</v>
      </c>
      <c r="X8" s="208" t="s">
        <v>39</v>
      </c>
      <c r="Y8" s="208" t="s">
        <v>86</v>
      </c>
      <c r="Z8" s="208" t="s">
        <v>102</v>
      </c>
      <c r="AA8" s="208" t="s">
        <v>88</v>
      </c>
      <c r="AB8" s="237" t="s">
        <v>456</v>
      </c>
      <c r="AE8" s="223" t="s">
        <v>59</v>
      </c>
      <c r="AG8" s="160" t="s">
        <v>326</v>
      </c>
      <c r="AH8" s="155" t="s">
        <v>319</v>
      </c>
      <c r="AL8" s="235" t="s">
        <v>471</v>
      </c>
      <c r="AP8" s="224" t="s">
        <v>62</v>
      </c>
      <c r="AR8" s="238" t="s">
        <v>81</v>
      </c>
      <c r="AV8" s="224" t="s">
        <v>97</v>
      </c>
      <c r="AX8" s="225">
        <v>119</v>
      </c>
      <c r="AY8" s="226">
        <v>30</v>
      </c>
      <c r="AZ8" s="226">
        <v>121</v>
      </c>
      <c r="BA8" s="227">
        <v>27</v>
      </c>
    </row>
    <row r="9" spans="1:53" x14ac:dyDescent="0.15">
      <c r="A9" s="208" t="s">
        <v>59</v>
      </c>
      <c r="B9" s="237" t="s">
        <v>453</v>
      </c>
      <c r="C9" s="152">
        <v>2018</v>
      </c>
      <c r="D9" s="153" t="s">
        <v>454</v>
      </c>
      <c r="E9" s="208" t="s">
        <v>321</v>
      </c>
      <c r="F9" s="208" t="s">
        <v>313</v>
      </c>
      <c r="G9" s="208" t="s">
        <v>36</v>
      </c>
      <c r="H9" s="208" t="s">
        <v>157</v>
      </c>
      <c r="I9" s="208" t="s">
        <v>155</v>
      </c>
      <c r="J9" s="208" t="s">
        <v>38</v>
      </c>
      <c r="K9" s="208" t="s">
        <v>156</v>
      </c>
      <c r="L9" s="208">
        <v>2</v>
      </c>
      <c r="N9" s="208">
        <v>2</v>
      </c>
      <c r="O9" s="208">
        <v>0.56000000000000005</v>
      </c>
      <c r="P9" s="208">
        <v>0.68</v>
      </c>
      <c r="Q9" s="245">
        <f t="shared" si="2"/>
        <v>0.62000000000000011</v>
      </c>
      <c r="R9" s="208">
        <v>14.8</v>
      </c>
      <c r="S9" s="208">
        <v>150</v>
      </c>
      <c r="T9" s="217">
        <f t="shared" si="0"/>
        <v>22</v>
      </c>
      <c r="U9" s="208">
        <v>277</v>
      </c>
      <c r="V9" s="217">
        <f t="shared" si="1"/>
        <v>16</v>
      </c>
      <c r="W9" s="208">
        <v>2</v>
      </c>
      <c r="X9" s="208" t="s">
        <v>39</v>
      </c>
      <c r="Y9" s="208" t="s">
        <v>86</v>
      </c>
      <c r="Z9" s="208" t="s">
        <v>102</v>
      </c>
      <c r="AA9" s="208" t="s">
        <v>88</v>
      </c>
      <c r="AB9" s="237" t="s">
        <v>456</v>
      </c>
      <c r="AE9" s="223" t="s">
        <v>98</v>
      </c>
      <c r="AG9" s="160" t="s">
        <v>327</v>
      </c>
      <c r="AH9" s="155" t="s">
        <v>319</v>
      </c>
      <c r="AL9" s="230"/>
      <c r="AP9" s="224" t="s">
        <v>278</v>
      </c>
      <c r="AR9" s="231" t="s">
        <v>89</v>
      </c>
      <c r="AV9" s="224" t="s">
        <v>102</v>
      </c>
      <c r="AX9" s="225">
        <v>128</v>
      </c>
      <c r="AY9" s="226">
        <v>27</v>
      </c>
      <c r="AZ9" s="226">
        <v>129</v>
      </c>
      <c r="BA9" s="227">
        <v>25</v>
      </c>
    </row>
    <row r="10" spans="1:53" x14ac:dyDescent="0.15">
      <c r="A10" s="208" t="s">
        <v>59</v>
      </c>
      <c r="B10" s="237" t="s">
        <v>388</v>
      </c>
      <c r="C10" s="152">
        <v>2018</v>
      </c>
      <c r="D10" s="153" t="s">
        <v>472</v>
      </c>
      <c r="E10" s="208" t="s">
        <v>321</v>
      </c>
      <c r="F10" s="208" t="s">
        <v>313</v>
      </c>
      <c r="G10" s="208" t="s">
        <v>36</v>
      </c>
      <c r="H10" s="208" t="s">
        <v>157</v>
      </c>
      <c r="I10" s="208" t="s">
        <v>155</v>
      </c>
      <c r="J10" s="208" t="s">
        <v>38</v>
      </c>
      <c r="K10" s="208" t="s">
        <v>156</v>
      </c>
      <c r="L10" s="208">
        <v>3</v>
      </c>
      <c r="N10" s="208">
        <v>2</v>
      </c>
      <c r="O10" s="208">
        <v>0.56999999999999995</v>
      </c>
      <c r="P10" s="208">
        <v>0.66</v>
      </c>
      <c r="Q10" s="245">
        <f t="shared" si="2"/>
        <v>0.61499999999999999</v>
      </c>
      <c r="R10" s="208">
        <v>14.6</v>
      </c>
      <c r="S10" s="208">
        <v>150</v>
      </c>
      <c r="T10" s="217">
        <f t="shared" si="0"/>
        <v>22</v>
      </c>
      <c r="U10" s="208">
        <v>277</v>
      </c>
      <c r="V10" s="217">
        <f t="shared" si="1"/>
        <v>16</v>
      </c>
      <c r="W10" s="208">
        <v>2</v>
      </c>
      <c r="X10" s="208" t="s">
        <v>39</v>
      </c>
      <c r="Y10" s="208" t="s">
        <v>86</v>
      </c>
      <c r="Z10" s="208" t="s">
        <v>102</v>
      </c>
      <c r="AA10" s="208" t="s">
        <v>88</v>
      </c>
      <c r="AB10" s="237" t="s">
        <v>456</v>
      </c>
      <c r="AE10" s="223" t="s">
        <v>103</v>
      </c>
      <c r="AG10" s="154" t="s">
        <v>328</v>
      </c>
      <c r="AH10" s="155" t="s">
        <v>316</v>
      </c>
      <c r="AL10" s="88"/>
      <c r="AP10" s="224" t="s">
        <v>100</v>
      </c>
      <c r="AR10" s="231" t="s">
        <v>123</v>
      </c>
      <c r="AV10" s="224" t="s">
        <v>106</v>
      </c>
      <c r="AX10" s="225">
        <v>138</v>
      </c>
      <c r="AY10" s="226">
        <v>25</v>
      </c>
      <c r="AZ10" s="226">
        <v>138</v>
      </c>
      <c r="BA10" s="227">
        <v>22</v>
      </c>
    </row>
    <row r="11" spans="1:53" x14ac:dyDescent="0.15">
      <c r="A11" s="208" t="s">
        <v>59</v>
      </c>
      <c r="B11" s="237" t="s">
        <v>453</v>
      </c>
      <c r="C11" s="152">
        <v>2018</v>
      </c>
      <c r="D11" s="153" t="s">
        <v>454</v>
      </c>
      <c r="E11" s="208" t="s">
        <v>274</v>
      </c>
      <c r="F11" s="208" t="s">
        <v>316</v>
      </c>
      <c r="G11" s="208" t="s">
        <v>36</v>
      </c>
      <c r="H11" s="208" t="s">
        <v>168</v>
      </c>
      <c r="I11" s="208" t="s">
        <v>155</v>
      </c>
      <c r="J11" s="208" t="s">
        <v>38</v>
      </c>
      <c r="K11" s="208" t="s">
        <v>156</v>
      </c>
      <c r="L11" s="208">
        <v>1</v>
      </c>
      <c r="N11" s="208">
        <v>3</v>
      </c>
      <c r="O11" s="208">
        <v>0.46</v>
      </c>
      <c r="P11" s="208">
        <v>0.45</v>
      </c>
      <c r="Q11" s="245">
        <f t="shared" si="2"/>
        <v>0.45500000000000002</v>
      </c>
      <c r="R11" s="208">
        <v>17.2</v>
      </c>
      <c r="S11" s="208">
        <v>121</v>
      </c>
      <c r="T11" s="217">
        <f t="shared" si="0"/>
        <v>27</v>
      </c>
      <c r="U11" s="208">
        <v>399</v>
      </c>
      <c r="V11" s="217">
        <f t="shared" si="1"/>
        <v>16</v>
      </c>
      <c r="W11" s="208">
        <v>4</v>
      </c>
      <c r="X11" s="208" t="s">
        <v>46</v>
      </c>
      <c r="Y11" s="208" t="s">
        <v>78</v>
      </c>
      <c r="Z11" s="208" t="s">
        <v>88</v>
      </c>
      <c r="AA11" s="208" t="s">
        <v>102</v>
      </c>
      <c r="AB11" s="237" t="s">
        <v>456</v>
      </c>
      <c r="AE11" s="223" t="s">
        <v>65</v>
      </c>
      <c r="AG11" s="160" t="s">
        <v>329</v>
      </c>
      <c r="AH11" s="155" t="s">
        <v>320</v>
      </c>
      <c r="AL11" s="88"/>
      <c r="AP11" s="224" t="s">
        <v>277</v>
      </c>
      <c r="AR11" s="231" t="s">
        <v>279</v>
      </c>
      <c r="AV11" s="224" t="s">
        <v>473</v>
      </c>
      <c r="AX11" s="225">
        <v>151</v>
      </c>
      <c r="AY11" s="226">
        <v>22</v>
      </c>
      <c r="AZ11" s="226">
        <v>152</v>
      </c>
      <c r="BA11" s="227">
        <v>18</v>
      </c>
    </row>
    <row r="12" spans="1:53" x14ac:dyDescent="0.15">
      <c r="A12" s="208" t="s">
        <v>59</v>
      </c>
      <c r="B12" s="237" t="s">
        <v>474</v>
      </c>
      <c r="C12" s="152">
        <v>2018</v>
      </c>
      <c r="D12" s="153" t="s">
        <v>475</v>
      </c>
      <c r="E12" s="208" t="s">
        <v>274</v>
      </c>
      <c r="F12" s="208" t="s">
        <v>316</v>
      </c>
      <c r="G12" s="208" t="s">
        <v>36</v>
      </c>
      <c r="H12" s="208" t="s">
        <v>168</v>
      </c>
      <c r="I12" s="208" t="s">
        <v>155</v>
      </c>
      <c r="J12" s="208" t="s">
        <v>38</v>
      </c>
      <c r="K12" s="208" t="s">
        <v>156</v>
      </c>
      <c r="L12" s="208">
        <v>2</v>
      </c>
      <c r="N12" s="208">
        <v>3</v>
      </c>
      <c r="O12" s="208">
        <v>0.48</v>
      </c>
      <c r="P12" s="208">
        <v>0.35</v>
      </c>
      <c r="Q12" s="245">
        <f t="shared" si="2"/>
        <v>0.41499999999999998</v>
      </c>
      <c r="R12" s="208">
        <v>15.9</v>
      </c>
      <c r="S12" s="208">
        <v>120</v>
      </c>
      <c r="T12" s="217">
        <f t="shared" si="0"/>
        <v>30</v>
      </c>
      <c r="U12" s="208">
        <v>399</v>
      </c>
      <c r="V12" s="217">
        <f t="shared" si="1"/>
        <v>16</v>
      </c>
      <c r="W12" s="208">
        <v>4</v>
      </c>
      <c r="X12" s="208" t="s">
        <v>46</v>
      </c>
      <c r="Y12" s="208" t="s">
        <v>78</v>
      </c>
      <c r="Z12" s="208" t="s">
        <v>88</v>
      </c>
      <c r="AA12" s="208" t="s">
        <v>102</v>
      </c>
      <c r="AB12" s="237" t="s">
        <v>476</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397</v>
      </c>
      <c r="C13" s="152">
        <v>2018</v>
      </c>
      <c r="D13" s="153" t="s">
        <v>477</v>
      </c>
      <c r="E13" s="208" t="s">
        <v>274</v>
      </c>
      <c r="F13" s="208" t="s">
        <v>316</v>
      </c>
      <c r="G13" s="208" t="s">
        <v>36</v>
      </c>
      <c r="H13" s="208" t="s">
        <v>168</v>
      </c>
      <c r="I13" s="208" t="s">
        <v>155</v>
      </c>
      <c r="J13" s="208" t="s">
        <v>38</v>
      </c>
      <c r="K13" s="208" t="s">
        <v>156</v>
      </c>
      <c r="L13" s="208">
        <v>3</v>
      </c>
      <c r="N13" s="208">
        <v>3</v>
      </c>
      <c r="O13" s="208">
        <v>0.52</v>
      </c>
      <c r="P13" s="208">
        <v>0.45</v>
      </c>
      <c r="Q13" s="245">
        <f t="shared" si="2"/>
        <v>0.48499999999999999</v>
      </c>
      <c r="R13" s="208">
        <v>17.7</v>
      </c>
      <c r="S13" s="208">
        <v>123</v>
      </c>
      <c r="T13" s="217">
        <f t="shared" si="0"/>
        <v>27</v>
      </c>
      <c r="U13" s="208">
        <v>399</v>
      </c>
      <c r="V13" s="217">
        <f t="shared" si="1"/>
        <v>16</v>
      </c>
      <c r="W13" s="208">
        <v>4</v>
      </c>
      <c r="X13" s="208" t="s">
        <v>46</v>
      </c>
      <c r="Y13" s="208" t="s">
        <v>78</v>
      </c>
      <c r="Z13" s="208" t="s">
        <v>88</v>
      </c>
      <c r="AA13" s="208" t="s">
        <v>102</v>
      </c>
      <c r="AB13" s="237" t="s">
        <v>478</v>
      </c>
      <c r="AE13" s="223" t="s">
        <v>73</v>
      </c>
      <c r="AG13" s="224"/>
      <c r="AH13" s="224"/>
      <c r="AP13" s="224" t="s">
        <v>71</v>
      </c>
      <c r="AR13" s="231" t="s">
        <v>103</v>
      </c>
      <c r="AV13" s="224" t="s">
        <v>75</v>
      </c>
    </row>
    <row r="14" spans="1:53" x14ac:dyDescent="0.15">
      <c r="A14" s="208" t="s">
        <v>59</v>
      </c>
      <c r="B14" s="237" t="s">
        <v>399</v>
      </c>
      <c r="C14" s="152">
        <v>2018</v>
      </c>
      <c r="D14" s="153" t="s">
        <v>479</v>
      </c>
      <c r="E14" s="208" t="s">
        <v>274</v>
      </c>
      <c r="F14" s="208" t="s">
        <v>316</v>
      </c>
      <c r="G14" s="208" t="s">
        <v>36</v>
      </c>
      <c r="H14" s="208" t="s">
        <v>157</v>
      </c>
      <c r="I14" s="208" t="s">
        <v>155</v>
      </c>
      <c r="J14" s="208" t="s">
        <v>38</v>
      </c>
      <c r="K14" s="208" t="s">
        <v>156</v>
      </c>
      <c r="L14" s="208">
        <v>1</v>
      </c>
      <c r="N14" s="208">
        <v>4</v>
      </c>
      <c r="O14" s="208">
        <v>0.6</v>
      </c>
      <c r="P14" s="208">
        <v>0.47</v>
      </c>
      <c r="Q14" s="245">
        <f t="shared" si="2"/>
        <v>0.53499999999999992</v>
      </c>
      <c r="R14" s="208">
        <v>14.1</v>
      </c>
      <c r="S14" s="208">
        <v>105</v>
      </c>
      <c r="T14" s="217">
        <f t="shared" si="0"/>
        <v>33</v>
      </c>
      <c r="U14" s="208">
        <v>399</v>
      </c>
      <c r="V14" s="217">
        <f t="shared" si="1"/>
        <v>16</v>
      </c>
      <c r="W14" s="208">
        <v>1</v>
      </c>
      <c r="X14" s="208" t="s">
        <v>46</v>
      </c>
      <c r="Y14" s="208" t="s">
        <v>78</v>
      </c>
      <c r="Z14" s="208" t="s">
        <v>88</v>
      </c>
      <c r="AA14" s="208" t="s">
        <v>102</v>
      </c>
      <c r="AB14" s="237" t="s">
        <v>480</v>
      </c>
      <c r="AE14" s="223" t="s">
        <v>76</v>
      </c>
      <c r="AG14" s="224"/>
      <c r="AH14" s="224"/>
      <c r="AP14" s="224" t="s">
        <v>280</v>
      </c>
      <c r="AR14" s="231" t="s">
        <v>125</v>
      </c>
      <c r="AV14" s="224" t="s">
        <v>78</v>
      </c>
    </row>
    <row r="15" spans="1:53" x14ac:dyDescent="0.15">
      <c r="A15" s="208" t="s">
        <v>59</v>
      </c>
      <c r="B15" s="237" t="s">
        <v>399</v>
      </c>
      <c r="C15" s="152">
        <v>2018</v>
      </c>
      <c r="D15" s="153" t="s">
        <v>479</v>
      </c>
      <c r="E15" s="208" t="s">
        <v>274</v>
      </c>
      <c r="F15" s="208" t="s">
        <v>316</v>
      </c>
      <c r="G15" s="208" t="s">
        <v>36</v>
      </c>
      <c r="H15" s="208" t="s">
        <v>157</v>
      </c>
      <c r="I15" s="208" t="s">
        <v>155</v>
      </c>
      <c r="J15" s="208" t="s">
        <v>38</v>
      </c>
      <c r="K15" s="208" t="s">
        <v>156</v>
      </c>
      <c r="L15" s="208">
        <v>2</v>
      </c>
      <c r="N15" s="208">
        <v>4</v>
      </c>
      <c r="O15" s="208">
        <v>0.4</v>
      </c>
      <c r="P15" s="208">
        <v>0.45</v>
      </c>
      <c r="Q15" s="245">
        <f t="shared" si="2"/>
        <v>0.42500000000000004</v>
      </c>
      <c r="R15" s="208">
        <v>14.3</v>
      </c>
      <c r="S15" s="208">
        <v>95</v>
      </c>
      <c r="T15" s="217">
        <f t="shared" si="0"/>
        <v>36</v>
      </c>
      <c r="U15" s="208">
        <v>399</v>
      </c>
      <c r="V15" s="217">
        <f t="shared" si="1"/>
        <v>16</v>
      </c>
      <c r="W15" s="208">
        <v>1</v>
      </c>
      <c r="X15" s="208" t="s">
        <v>46</v>
      </c>
      <c r="Y15" s="208" t="s">
        <v>78</v>
      </c>
      <c r="Z15" s="208" t="s">
        <v>88</v>
      </c>
      <c r="AA15" s="208" t="s">
        <v>102</v>
      </c>
      <c r="AB15" s="237" t="s">
        <v>480</v>
      </c>
      <c r="AE15" s="223" t="s">
        <v>79</v>
      </c>
      <c r="AG15" s="224"/>
      <c r="AH15" s="224"/>
      <c r="AP15" s="224" t="s">
        <v>281</v>
      </c>
      <c r="AR15" s="231" t="s">
        <v>94</v>
      </c>
      <c r="AV15" s="224" t="s">
        <v>107</v>
      </c>
    </row>
    <row r="16" spans="1:53" x14ac:dyDescent="0.15">
      <c r="A16" s="208" t="s">
        <v>59</v>
      </c>
      <c r="B16" s="237" t="s">
        <v>403</v>
      </c>
      <c r="C16" s="152">
        <v>2018</v>
      </c>
      <c r="D16" s="153" t="s">
        <v>481</v>
      </c>
      <c r="E16" s="208" t="s">
        <v>274</v>
      </c>
      <c r="F16" s="208" t="s">
        <v>316</v>
      </c>
      <c r="G16" s="208" t="s">
        <v>36</v>
      </c>
      <c r="H16" s="208" t="s">
        <v>157</v>
      </c>
      <c r="I16" s="208" t="s">
        <v>155</v>
      </c>
      <c r="J16" s="208" t="s">
        <v>38</v>
      </c>
      <c r="K16" s="208" t="s">
        <v>156</v>
      </c>
      <c r="L16" s="208">
        <v>3</v>
      </c>
      <c r="N16" s="208">
        <v>4</v>
      </c>
      <c r="O16" s="208">
        <v>0.63</v>
      </c>
      <c r="P16" s="208">
        <v>0.54</v>
      </c>
      <c r="Q16" s="245">
        <f t="shared" si="2"/>
        <v>0.58499999999999996</v>
      </c>
      <c r="R16" s="208">
        <v>14.2</v>
      </c>
      <c r="S16" s="208">
        <v>107</v>
      </c>
      <c r="T16" s="217">
        <f t="shared" si="0"/>
        <v>33</v>
      </c>
      <c r="U16" s="208">
        <v>399</v>
      </c>
      <c r="V16" s="217">
        <f t="shared" si="1"/>
        <v>16</v>
      </c>
      <c r="W16" s="208">
        <v>1</v>
      </c>
      <c r="X16" s="208" t="s">
        <v>46</v>
      </c>
      <c r="Y16" s="208" t="s">
        <v>78</v>
      </c>
      <c r="Z16" s="208" t="s">
        <v>88</v>
      </c>
      <c r="AA16" s="208" t="s">
        <v>102</v>
      </c>
      <c r="AB16" s="237" t="s">
        <v>482</v>
      </c>
      <c r="AE16" s="223" t="s">
        <v>82</v>
      </c>
      <c r="AG16" s="229"/>
      <c r="AH16" s="229"/>
      <c r="AP16" s="224" t="s">
        <v>80</v>
      </c>
      <c r="AR16" s="238" t="s">
        <v>63</v>
      </c>
      <c r="AV16" s="224" t="s">
        <v>84</v>
      </c>
    </row>
    <row r="17" spans="1:48" x14ac:dyDescent="0.15">
      <c r="A17" s="208" t="s">
        <v>59</v>
      </c>
      <c r="B17" s="237" t="s">
        <v>403</v>
      </c>
      <c r="C17" s="152">
        <v>2018</v>
      </c>
      <c r="D17" s="153" t="s">
        <v>481</v>
      </c>
      <c r="E17" s="208" t="s">
        <v>328</v>
      </c>
      <c r="F17" s="208" t="s">
        <v>316</v>
      </c>
      <c r="G17" s="208" t="s">
        <v>36</v>
      </c>
      <c r="H17" s="208" t="s">
        <v>168</v>
      </c>
      <c r="I17" s="208" t="s">
        <v>155</v>
      </c>
      <c r="J17" s="208" t="s">
        <v>38</v>
      </c>
      <c r="K17" s="208" t="s">
        <v>156</v>
      </c>
      <c r="L17" s="208">
        <v>1</v>
      </c>
      <c r="N17" s="208">
        <v>2</v>
      </c>
      <c r="O17" s="208">
        <v>0.4</v>
      </c>
      <c r="P17" s="208">
        <v>0.34</v>
      </c>
      <c r="Q17" s="245">
        <f t="shared" si="2"/>
        <v>0.37</v>
      </c>
      <c r="R17" s="208">
        <v>16.3</v>
      </c>
      <c r="S17" s="208">
        <v>176</v>
      </c>
      <c r="T17" s="217">
        <f t="shared" si="0"/>
        <v>18</v>
      </c>
      <c r="U17" s="208">
        <v>410</v>
      </c>
      <c r="V17" s="217">
        <f t="shared" si="1"/>
        <v>16</v>
      </c>
      <c r="W17" s="208">
        <v>4</v>
      </c>
      <c r="X17" s="208" t="s">
        <v>46</v>
      </c>
      <c r="Y17" s="208" t="s">
        <v>78</v>
      </c>
      <c r="Z17" s="208" t="s">
        <v>88</v>
      </c>
      <c r="AA17" s="208" t="s">
        <v>102</v>
      </c>
      <c r="AB17" s="237" t="s">
        <v>482</v>
      </c>
      <c r="AE17" s="223" t="s">
        <v>85</v>
      </c>
      <c r="AP17" s="239" t="s">
        <v>110</v>
      </c>
      <c r="AR17" s="238" t="s">
        <v>96</v>
      </c>
      <c r="AV17" s="224" t="s">
        <v>86</v>
      </c>
    </row>
    <row r="18" spans="1:48" x14ac:dyDescent="0.15">
      <c r="A18" s="208" t="s">
        <v>59</v>
      </c>
      <c r="B18" s="237" t="s">
        <v>403</v>
      </c>
      <c r="C18" s="152">
        <v>2018</v>
      </c>
      <c r="D18" s="153" t="s">
        <v>481</v>
      </c>
      <c r="E18" s="208" t="s">
        <v>328</v>
      </c>
      <c r="F18" s="208" t="s">
        <v>316</v>
      </c>
      <c r="G18" s="208" t="s">
        <v>36</v>
      </c>
      <c r="H18" s="208" t="s">
        <v>168</v>
      </c>
      <c r="I18" s="208" t="s">
        <v>155</v>
      </c>
      <c r="J18" s="208" t="s">
        <v>38</v>
      </c>
      <c r="K18" s="208" t="s">
        <v>156</v>
      </c>
      <c r="L18" s="208">
        <v>2</v>
      </c>
      <c r="N18" s="208">
        <v>2</v>
      </c>
      <c r="O18" s="208">
        <v>0.25</v>
      </c>
      <c r="P18" s="208">
        <v>0.25</v>
      </c>
      <c r="Q18" s="245">
        <f t="shared" si="2"/>
        <v>0.25</v>
      </c>
      <c r="R18" s="208">
        <v>15.8</v>
      </c>
      <c r="S18" s="208">
        <v>150</v>
      </c>
      <c r="T18" s="217">
        <f t="shared" si="0"/>
        <v>22</v>
      </c>
      <c r="U18" s="208">
        <v>410</v>
      </c>
      <c r="V18" s="217">
        <f t="shared" si="1"/>
        <v>16</v>
      </c>
      <c r="W18" s="208">
        <v>4</v>
      </c>
      <c r="X18" s="208" t="s">
        <v>46</v>
      </c>
      <c r="Y18" s="208" t="s">
        <v>78</v>
      </c>
      <c r="Z18" s="208" t="s">
        <v>88</v>
      </c>
      <c r="AA18" s="208" t="s">
        <v>102</v>
      </c>
      <c r="AB18" s="237" t="s">
        <v>482</v>
      </c>
      <c r="AE18" s="223" t="s">
        <v>87</v>
      </c>
      <c r="AP18" s="239" t="s">
        <v>283</v>
      </c>
      <c r="AR18" s="238" t="s">
        <v>101</v>
      </c>
      <c r="AV18" s="224" t="s">
        <v>88</v>
      </c>
    </row>
    <row r="19" spans="1:48" x14ac:dyDescent="0.15">
      <c r="A19" s="208" t="s">
        <v>59</v>
      </c>
      <c r="B19" s="237" t="s">
        <v>393</v>
      </c>
      <c r="C19" s="152">
        <v>2018</v>
      </c>
      <c r="D19" s="153" t="s">
        <v>467</v>
      </c>
      <c r="E19" s="208" t="s">
        <v>328</v>
      </c>
      <c r="F19" s="208" t="s">
        <v>316</v>
      </c>
      <c r="G19" s="208" t="s">
        <v>36</v>
      </c>
      <c r="H19" s="208" t="s">
        <v>168</v>
      </c>
      <c r="I19" s="208" t="s">
        <v>155</v>
      </c>
      <c r="J19" s="208" t="s">
        <v>38</v>
      </c>
      <c r="K19" s="208" t="s">
        <v>156</v>
      </c>
      <c r="L19" s="208">
        <v>3</v>
      </c>
      <c r="N19" s="208">
        <v>2</v>
      </c>
      <c r="O19" s="208">
        <v>0.33</v>
      </c>
      <c r="P19" s="208">
        <v>0.42</v>
      </c>
      <c r="Q19" s="245">
        <f t="shared" si="2"/>
        <v>0.375</v>
      </c>
      <c r="R19" s="208">
        <v>16.100000000000001</v>
      </c>
      <c r="S19" s="208">
        <v>170</v>
      </c>
      <c r="T19" s="217">
        <f t="shared" si="0"/>
        <v>18</v>
      </c>
      <c r="U19" s="208">
        <v>410</v>
      </c>
      <c r="V19" s="217">
        <f t="shared" si="1"/>
        <v>16</v>
      </c>
      <c r="W19" s="208">
        <v>4</v>
      </c>
      <c r="X19" s="208" t="s">
        <v>46</v>
      </c>
      <c r="Y19" s="208" t="s">
        <v>78</v>
      </c>
      <c r="Z19" s="208" t="s">
        <v>88</v>
      </c>
      <c r="AA19" s="208" t="s">
        <v>102</v>
      </c>
      <c r="AB19" s="237" t="s">
        <v>483</v>
      </c>
      <c r="AD19" s="237"/>
      <c r="AE19" s="236" t="s">
        <v>89</v>
      </c>
      <c r="AP19" s="239" t="s">
        <v>112</v>
      </c>
      <c r="AR19" s="231" t="s">
        <v>126</v>
      </c>
      <c r="AV19" s="224" t="s">
        <v>284</v>
      </c>
    </row>
    <row r="20" spans="1:48" x14ac:dyDescent="0.15">
      <c r="A20" s="208" t="s">
        <v>59</v>
      </c>
      <c r="B20" s="237" t="s">
        <v>484</v>
      </c>
      <c r="C20" s="152">
        <v>2018</v>
      </c>
      <c r="D20" s="153" t="s">
        <v>447</v>
      </c>
      <c r="E20" s="208" t="s">
        <v>328</v>
      </c>
      <c r="F20" s="208" t="s">
        <v>316</v>
      </c>
      <c r="G20" s="208" t="s">
        <v>36</v>
      </c>
      <c r="H20" s="208" t="s">
        <v>157</v>
      </c>
      <c r="I20" s="208" t="s">
        <v>155</v>
      </c>
      <c r="J20" s="208" t="s">
        <v>38</v>
      </c>
      <c r="K20" s="208" t="s">
        <v>156</v>
      </c>
      <c r="L20" s="208">
        <v>1</v>
      </c>
      <c r="N20" s="208">
        <v>1</v>
      </c>
      <c r="O20" s="208">
        <v>0.25</v>
      </c>
      <c r="P20" s="208">
        <v>0.25</v>
      </c>
      <c r="Q20" s="245">
        <f t="shared" si="2"/>
        <v>0.25</v>
      </c>
      <c r="R20" s="208">
        <v>15.2</v>
      </c>
      <c r="S20" s="208">
        <v>124</v>
      </c>
      <c r="T20" s="217">
        <f t="shared" si="0"/>
        <v>27</v>
      </c>
      <c r="U20" s="208">
        <v>108</v>
      </c>
      <c r="V20" s="217">
        <f t="shared" si="1"/>
        <v>33</v>
      </c>
      <c r="W20" s="208">
        <v>1</v>
      </c>
      <c r="X20" s="208" t="s">
        <v>46</v>
      </c>
      <c r="Y20" s="208" t="s">
        <v>78</v>
      </c>
      <c r="Z20" s="208" t="s">
        <v>88</v>
      </c>
      <c r="AA20" s="208" t="s">
        <v>102</v>
      </c>
      <c r="AB20" s="237" t="s">
        <v>485</v>
      </c>
      <c r="AD20" s="237"/>
      <c r="AE20" s="236"/>
      <c r="AP20" s="239" t="s">
        <v>113</v>
      </c>
      <c r="AR20" s="238" t="s">
        <v>105</v>
      </c>
      <c r="AV20" s="228" t="s">
        <v>486</v>
      </c>
    </row>
    <row r="21" spans="1:48" x14ac:dyDescent="0.15">
      <c r="A21" s="208" t="s">
        <v>59</v>
      </c>
      <c r="B21" s="237" t="s">
        <v>484</v>
      </c>
      <c r="C21" s="152">
        <v>2018</v>
      </c>
      <c r="D21" s="153" t="s">
        <v>447</v>
      </c>
      <c r="E21" s="208" t="s">
        <v>328</v>
      </c>
      <c r="F21" s="208" t="s">
        <v>316</v>
      </c>
      <c r="G21" s="208" t="s">
        <v>36</v>
      </c>
      <c r="H21" s="208" t="s">
        <v>157</v>
      </c>
      <c r="I21" s="208" t="s">
        <v>155</v>
      </c>
      <c r="J21" s="208" t="s">
        <v>38</v>
      </c>
      <c r="K21" s="208" t="s">
        <v>156</v>
      </c>
      <c r="L21" s="208">
        <v>2</v>
      </c>
      <c r="N21" s="208">
        <v>1</v>
      </c>
      <c r="O21" s="208">
        <v>0.45</v>
      </c>
      <c r="P21" s="208">
        <v>0.38</v>
      </c>
      <c r="Q21" s="245">
        <f t="shared" si="2"/>
        <v>0.41500000000000004</v>
      </c>
      <c r="R21" s="208">
        <v>15.1</v>
      </c>
      <c r="S21" s="208">
        <v>132</v>
      </c>
      <c r="T21" s="217">
        <f t="shared" si="0"/>
        <v>25</v>
      </c>
      <c r="U21" s="208">
        <v>108</v>
      </c>
      <c r="V21" s="217">
        <f t="shared" si="1"/>
        <v>33</v>
      </c>
      <c r="W21" s="208">
        <v>1</v>
      </c>
      <c r="X21" s="208" t="s">
        <v>46</v>
      </c>
      <c r="Y21" s="208" t="s">
        <v>78</v>
      </c>
      <c r="Z21" s="208" t="s">
        <v>88</v>
      </c>
      <c r="AA21" s="208" t="s">
        <v>102</v>
      </c>
      <c r="AB21" s="237" t="s">
        <v>485</v>
      </c>
      <c r="AD21" s="237"/>
      <c r="AE21" s="229"/>
      <c r="AP21" s="239" t="s">
        <v>285</v>
      </c>
      <c r="AR21" s="238" t="s">
        <v>68</v>
      </c>
      <c r="AV21" s="228" t="s">
        <v>487</v>
      </c>
    </row>
    <row r="22" spans="1:48" x14ac:dyDescent="0.15">
      <c r="A22" s="208" t="s">
        <v>59</v>
      </c>
      <c r="B22" s="237" t="s">
        <v>484</v>
      </c>
      <c r="C22" s="152">
        <v>2018</v>
      </c>
      <c r="D22" s="153" t="s">
        <v>447</v>
      </c>
      <c r="E22" s="208" t="s">
        <v>328</v>
      </c>
      <c r="F22" s="208" t="s">
        <v>316</v>
      </c>
      <c r="G22" s="208" t="s">
        <v>36</v>
      </c>
      <c r="H22" s="208" t="s">
        <v>157</v>
      </c>
      <c r="I22" s="208" t="s">
        <v>155</v>
      </c>
      <c r="J22" s="208" t="s">
        <v>38</v>
      </c>
      <c r="K22" s="208" t="s">
        <v>156</v>
      </c>
      <c r="L22" s="208">
        <v>3</v>
      </c>
      <c r="N22" s="208">
        <v>1</v>
      </c>
      <c r="O22" s="208">
        <v>0.37</v>
      </c>
      <c r="P22" s="208">
        <v>0.44</v>
      </c>
      <c r="Q22" s="245">
        <f t="shared" si="2"/>
        <v>0.40500000000000003</v>
      </c>
      <c r="R22" s="208">
        <v>15.4</v>
      </c>
      <c r="S22" s="208">
        <v>125</v>
      </c>
      <c r="T22" s="217">
        <f t="shared" si="0"/>
        <v>27</v>
      </c>
      <c r="U22" s="208">
        <v>108</v>
      </c>
      <c r="V22" s="217">
        <f t="shared" si="1"/>
        <v>33</v>
      </c>
      <c r="W22" s="208">
        <v>1</v>
      </c>
      <c r="X22" s="208" t="s">
        <v>46</v>
      </c>
      <c r="Y22" s="208" t="s">
        <v>78</v>
      </c>
      <c r="Z22" s="208" t="s">
        <v>88</v>
      </c>
      <c r="AA22" s="208" t="s">
        <v>102</v>
      </c>
      <c r="AB22" s="237" t="s">
        <v>485</v>
      </c>
      <c r="AD22" s="237"/>
      <c r="AP22" s="239" t="s">
        <v>282</v>
      </c>
      <c r="AR22" s="238" t="s">
        <v>83</v>
      </c>
      <c r="AV22" s="228" t="s">
        <v>286</v>
      </c>
    </row>
    <row r="23" spans="1:48" x14ac:dyDescent="0.15">
      <c r="A23" s="208" t="s">
        <v>59</v>
      </c>
      <c r="B23" s="237" t="s">
        <v>484</v>
      </c>
      <c r="C23" s="152">
        <v>2018</v>
      </c>
      <c r="D23" s="153" t="s">
        <v>447</v>
      </c>
      <c r="E23" s="208" t="s">
        <v>327</v>
      </c>
      <c r="F23" s="208" t="s">
        <v>319</v>
      </c>
      <c r="G23" s="208" t="s">
        <v>36</v>
      </c>
      <c r="H23" s="208" t="s">
        <v>168</v>
      </c>
      <c r="I23" s="208" t="s">
        <v>155</v>
      </c>
      <c r="J23" s="208" t="s">
        <v>38</v>
      </c>
      <c r="K23" s="208" t="s">
        <v>156</v>
      </c>
      <c r="L23" s="208">
        <v>1</v>
      </c>
      <c r="N23" s="208">
        <v>1</v>
      </c>
      <c r="O23" s="208">
        <v>0.44</v>
      </c>
      <c r="P23" s="208">
        <v>0.44</v>
      </c>
      <c r="Q23" s="245">
        <f t="shared" si="2"/>
        <v>0.44</v>
      </c>
      <c r="R23" s="208">
        <v>14.6</v>
      </c>
      <c r="S23" s="208">
        <v>128</v>
      </c>
      <c r="T23" s="217">
        <f t="shared" si="0"/>
        <v>27</v>
      </c>
      <c r="U23" s="208">
        <v>128</v>
      </c>
      <c r="V23" s="217">
        <f t="shared" si="1"/>
        <v>27</v>
      </c>
      <c r="W23" s="208">
        <v>4</v>
      </c>
      <c r="X23" s="208" t="s">
        <v>39</v>
      </c>
      <c r="Y23" s="208" t="s">
        <v>88</v>
      </c>
      <c r="Z23" s="208" t="s">
        <v>78</v>
      </c>
      <c r="AA23" s="208" t="s">
        <v>102</v>
      </c>
      <c r="AB23" s="237" t="s">
        <v>485</v>
      </c>
      <c r="AP23" s="239" t="s">
        <v>488</v>
      </c>
      <c r="AR23" s="238" t="s">
        <v>61</v>
      </c>
      <c r="AV23" s="228" t="s">
        <v>489</v>
      </c>
    </row>
    <row r="24" spans="1:48" x14ac:dyDescent="0.15">
      <c r="A24" s="208" t="s">
        <v>59</v>
      </c>
      <c r="B24" s="237" t="s">
        <v>484</v>
      </c>
      <c r="C24" s="152">
        <v>2018</v>
      </c>
      <c r="D24" s="153" t="s">
        <v>447</v>
      </c>
      <c r="E24" s="208" t="s">
        <v>327</v>
      </c>
      <c r="F24" s="208" t="s">
        <v>319</v>
      </c>
      <c r="G24" s="208" t="s">
        <v>36</v>
      </c>
      <c r="H24" s="208" t="s">
        <v>168</v>
      </c>
      <c r="I24" s="208" t="s">
        <v>155</v>
      </c>
      <c r="J24" s="208" t="s">
        <v>38</v>
      </c>
      <c r="K24" s="208" t="s">
        <v>156</v>
      </c>
      <c r="L24" s="208">
        <v>2</v>
      </c>
      <c r="N24" s="208">
        <v>1</v>
      </c>
      <c r="O24" s="208">
        <v>0.56999999999999995</v>
      </c>
      <c r="P24" s="208">
        <v>0.63</v>
      </c>
      <c r="Q24" s="245">
        <f t="shared" si="2"/>
        <v>0.6</v>
      </c>
      <c r="R24" s="208">
        <v>17.3</v>
      </c>
      <c r="S24" s="208">
        <v>124</v>
      </c>
      <c r="T24" s="217">
        <f t="shared" si="0"/>
        <v>27</v>
      </c>
      <c r="U24" s="208">
        <v>128</v>
      </c>
      <c r="V24" s="217">
        <f t="shared" si="1"/>
        <v>27</v>
      </c>
      <c r="W24" s="208">
        <v>4</v>
      </c>
      <c r="X24" s="208" t="s">
        <v>39</v>
      </c>
      <c r="Y24" s="208" t="s">
        <v>88</v>
      </c>
      <c r="Z24" s="208" t="s">
        <v>78</v>
      </c>
      <c r="AA24" s="208" t="s">
        <v>102</v>
      </c>
      <c r="AB24" s="237" t="s">
        <v>485</v>
      </c>
      <c r="AP24" s="239" t="s">
        <v>490</v>
      </c>
      <c r="AR24" s="238" t="s">
        <v>91</v>
      </c>
      <c r="AV24" s="228" t="s">
        <v>491</v>
      </c>
    </row>
    <row r="25" spans="1:48" x14ac:dyDescent="0.15">
      <c r="A25" s="208" t="s">
        <v>59</v>
      </c>
      <c r="B25" s="237" t="s">
        <v>484</v>
      </c>
      <c r="C25" s="152">
        <v>2018</v>
      </c>
      <c r="D25" s="153" t="s">
        <v>447</v>
      </c>
      <c r="E25" s="208" t="s">
        <v>327</v>
      </c>
      <c r="F25" s="208" t="s">
        <v>319</v>
      </c>
      <c r="G25" s="208" t="s">
        <v>36</v>
      </c>
      <c r="H25" s="208" t="s">
        <v>168</v>
      </c>
      <c r="I25" s="208" t="s">
        <v>155</v>
      </c>
      <c r="J25" s="208" t="s">
        <v>38</v>
      </c>
      <c r="K25" s="208" t="s">
        <v>156</v>
      </c>
      <c r="L25" s="208">
        <v>3</v>
      </c>
      <c r="N25" s="208">
        <v>1</v>
      </c>
      <c r="O25" s="208">
        <v>0.55000000000000004</v>
      </c>
      <c r="P25" s="208">
        <v>0.62</v>
      </c>
      <c r="Q25" s="245">
        <f t="shared" si="2"/>
        <v>0.58499999999999996</v>
      </c>
      <c r="R25" s="208">
        <v>17.5</v>
      </c>
      <c r="S25" s="208">
        <v>136</v>
      </c>
      <c r="T25" s="217">
        <f t="shared" si="0"/>
        <v>25</v>
      </c>
      <c r="U25" s="208">
        <v>128</v>
      </c>
      <c r="V25" s="217">
        <f t="shared" si="1"/>
        <v>27</v>
      </c>
      <c r="W25" s="208">
        <v>4</v>
      </c>
      <c r="X25" s="208" t="s">
        <v>39</v>
      </c>
      <c r="Y25" s="208" t="s">
        <v>88</v>
      </c>
      <c r="Z25" s="208" t="s">
        <v>78</v>
      </c>
      <c r="AA25" s="208" t="s">
        <v>102</v>
      </c>
      <c r="AB25" s="237" t="s">
        <v>485</v>
      </c>
      <c r="AD25" s="237"/>
      <c r="AP25" s="239" t="s">
        <v>116</v>
      </c>
      <c r="AR25" s="42" t="s">
        <v>92</v>
      </c>
      <c r="AV25" s="228" t="s">
        <v>492</v>
      </c>
    </row>
    <row r="26" spans="1:48" x14ac:dyDescent="0.15">
      <c r="A26" s="208" t="s">
        <v>59</v>
      </c>
      <c r="B26" s="237" t="s">
        <v>484</v>
      </c>
      <c r="C26" s="152">
        <v>2018</v>
      </c>
      <c r="D26" s="153" t="s">
        <v>447</v>
      </c>
      <c r="E26" s="208" t="s">
        <v>327</v>
      </c>
      <c r="F26" s="208" t="s">
        <v>319</v>
      </c>
      <c r="G26" s="208" t="s">
        <v>36</v>
      </c>
      <c r="H26" s="208" t="s">
        <v>157</v>
      </c>
      <c r="I26" s="208" t="s">
        <v>155</v>
      </c>
      <c r="J26" s="208" t="s">
        <v>38</v>
      </c>
      <c r="K26" s="208" t="s">
        <v>156</v>
      </c>
      <c r="L26" s="208">
        <v>1</v>
      </c>
      <c r="N26" s="208">
        <v>1</v>
      </c>
      <c r="O26" s="208">
        <v>0.47</v>
      </c>
      <c r="P26" s="208">
        <v>0.45</v>
      </c>
      <c r="Q26" s="245">
        <f t="shared" si="2"/>
        <v>0.45999999999999996</v>
      </c>
      <c r="R26" s="208">
        <v>15.6</v>
      </c>
      <c r="S26" s="208">
        <v>135</v>
      </c>
      <c r="T26" s="217">
        <f t="shared" si="0"/>
        <v>25</v>
      </c>
      <c r="U26" s="208">
        <v>128</v>
      </c>
      <c r="V26" s="217">
        <f t="shared" si="1"/>
        <v>27</v>
      </c>
      <c r="W26" s="208">
        <v>2</v>
      </c>
      <c r="X26" s="208" t="s">
        <v>39</v>
      </c>
      <c r="Y26" s="208" t="s">
        <v>88</v>
      </c>
      <c r="Z26" s="208" t="s">
        <v>78</v>
      </c>
      <c r="AA26" s="208" t="s">
        <v>102</v>
      </c>
      <c r="AB26" s="237" t="s">
        <v>485</v>
      </c>
      <c r="AD26" s="237"/>
      <c r="AP26" s="239" t="s">
        <v>117</v>
      </c>
      <c r="AR26" s="228" t="s">
        <v>287</v>
      </c>
      <c r="AV26" s="228"/>
    </row>
    <row r="27" spans="1:48" x14ac:dyDescent="0.15">
      <c r="A27" s="208" t="s">
        <v>59</v>
      </c>
      <c r="B27" s="237" t="s">
        <v>484</v>
      </c>
      <c r="C27" s="152">
        <v>2018</v>
      </c>
      <c r="D27" s="153" t="s">
        <v>447</v>
      </c>
      <c r="E27" s="208" t="s">
        <v>327</v>
      </c>
      <c r="F27" s="208" t="s">
        <v>319</v>
      </c>
      <c r="G27" s="208" t="s">
        <v>36</v>
      </c>
      <c r="H27" s="208" t="s">
        <v>157</v>
      </c>
      <c r="I27" s="208" t="s">
        <v>155</v>
      </c>
      <c r="J27" s="208" t="s">
        <v>38</v>
      </c>
      <c r="K27" s="208" t="s">
        <v>156</v>
      </c>
      <c r="L27" s="208">
        <v>2</v>
      </c>
      <c r="N27" s="208">
        <v>1</v>
      </c>
      <c r="O27" s="208">
        <v>0.65</v>
      </c>
      <c r="P27" s="208">
        <v>0.68</v>
      </c>
      <c r="Q27" s="245">
        <f t="shared" si="2"/>
        <v>0.66500000000000004</v>
      </c>
      <c r="R27" s="208">
        <v>15.1</v>
      </c>
      <c r="S27" s="208">
        <v>140</v>
      </c>
      <c r="T27" s="217">
        <f t="shared" si="0"/>
        <v>22</v>
      </c>
      <c r="U27" s="208">
        <v>128</v>
      </c>
      <c r="V27" s="217">
        <f t="shared" si="1"/>
        <v>27</v>
      </c>
      <c r="W27" s="208">
        <v>2</v>
      </c>
      <c r="X27" s="208" t="s">
        <v>39</v>
      </c>
      <c r="Y27" s="208" t="s">
        <v>88</v>
      </c>
      <c r="Z27" s="208" t="s">
        <v>78</v>
      </c>
      <c r="AA27" s="208" t="s">
        <v>102</v>
      </c>
      <c r="AB27" s="237" t="s">
        <v>485</v>
      </c>
      <c r="AD27" s="237"/>
      <c r="AP27" s="239" t="s">
        <v>118</v>
      </c>
      <c r="AR27" s="229" t="s">
        <v>300</v>
      </c>
      <c r="AV27" s="228"/>
    </row>
    <row r="28" spans="1:48" x14ac:dyDescent="0.15">
      <c r="A28" s="208" t="s">
        <v>59</v>
      </c>
      <c r="B28" s="237" t="s">
        <v>484</v>
      </c>
      <c r="C28" s="152">
        <v>2018</v>
      </c>
      <c r="D28" s="153" t="s">
        <v>447</v>
      </c>
      <c r="E28" s="208" t="s">
        <v>327</v>
      </c>
      <c r="F28" s="208" t="s">
        <v>319</v>
      </c>
      <c r="G28" s="208" t="s">
        <v>36</v>
      </c>
      <c r="H28" s="208" t="s">
        <v>157</v>
      </c>
      <c r="I28" s="208" t="s">
        <v>155</v>
      </c>
      <c r="J28" s="208" t="s">
        <v>38</v>
      </c>
      <c r="K28" s="208" t="s">
        <v>156</v>
      </c>
      <c r="L28" s="208">
        <v>3</v>
      </c>
      <c r="N28" s="208">
        <v>1</v>
      </c>
      <c r="O28" s="208">
        <v>0.44</v>
      </c>
      <c r="P28" s="208">
        <v>0.5</v>
      </c>
      <c r="Q28" s="245">
        <f t="shared" si="2"/>
        <v>0.47</v>
      </c>
      <c r="R28" s="208">
        <v>15.3</v>
      </c>
      <c r="S28" s="208">
        <v>145</v>
      </c>
      <c r="T28" s="217">
        <f t="shared" si="0"/>
        <v>22</v>
      </c>
      <c r="U28" s="208">
        <v>128</v>
      </c>
      <c r="V28" s="217">
        <f t="shared" si="1"/>
        <v>27</v>
      </c>
      <c r="W28" s="208">
        <v>2</v>
      </c>
      <c r="X28" s="208" t="s">
        <v>39</v>
      </c>
      <c r="Y28" s="208" t="s">
        <v>88</v>
      </c>
      <c r="Z28" s="208" t="s">
        <v>78</v>
      </c>
      <c r="AA28" s="208" t="s">
        <v>102</v>
      </c>
      <c r="AB28" s="237" t="s">
        <v>485</v>
      </c>
      <c r="AD28" s="237"/>
      <c r="AV28" s="228"/>
    </row>
    <row r="29" spans="1:48" x14ac:dyDescent="0.15">
      <c r="A29" s="208" t="s">
        <v>59</v>
      </c>
      <c r="B29" s="237" t="s">
        <v>484</v>
      </c>
      <c r="C29" s="152">
        <v>2018</v>
      </c>
      <c r="D29" s="153" t="s">
        <v>447</v>
      </c>
      <c r="E29" s="208" t="s">
        <v>326</v>
      </c>
      <c r="F29" s="208" t="s">
        <v>319</v>
      </c>
      <c r="G29" s="208" t="s">
        <v>36</v>
      </c>
      <c r="H29" s="208" t="s">
        <v>168</v>
      </c>
      <c r="I29" s="208" t="s">
        <v>155</v>
      </c>
      <c r="J29" s="208" t="s">
        <v>38</v>
      </c>
      <c r="K29" s="208" t="s">
        <v>156</v>
      </c>
      <c r="L29" s="208">
        <v>1</v>
      </c>
      <c r="N29" s="208">
        <v>1</v>
      </c>
      <c r="O29" s="208">
        <v>0.55000000000000004</v>
      </c>
      <c r="P29" s="208">
        <v>0.45</v>
      </c>
      <c r="Q29" s="245">
        <f t="shared" si="2"/>
        <v>0.5</v>
      </c>
      <c r="R29" s="208">
        <v>15.8</v>
      </c>
      <c r="S29" s="208">
        <v>180</v>
      </c>
      <c r="T29" s="217">
        <f t="shared" si="0"/>
        <v>18</v>
      </c>
      <c r="U29" s="208">
        <v>170</v>
      </c>
      <c r="V29" s="217">
        <f t="shared" si="1"/>
        <v>18</v>
      </c>
      <c r="W29" s="208">
        <v>4</v>
      </c>
      <c r="X29" s="208" t="s">
        <v>46</v>
      </c>
      <c r="Y29" s="208" t="s">
        <v>78</v>
      </c>
      <c r="Z29" s="208" t="s">
        <v>69</v>
      </c>
      <c r="AA29" s="208" t="s">
        <v>102</v>
      </c>
      <c r="AB29" s="237" t="s">
        <v>485</v>
      </c>
      <c r="AV29" s="228"/>
    </row>
    <row r="30" spans="1:48" x14ac:dyDescent="0.15">
      <c r="A30" s="208" t="s">
        <v>59</v>
      </c>
      <c r="B30" s="237" t="s">
        <v>484</v>
      </c>
      <c r="C30" s="152">
        <v>2018</v>
      </c>
      <c r="D30" s="153" t="s">
        <v>447</v>
      </c>
      <c r="E30" s="208" t="s">
        <v>326</v>
      </c>
      <c r="F30" s="208" t="s">
        <v>319</v>
      </c>
      <c r="G30" s="208" t="s">
        <v>36</v>
      </c>
      <c r="H30" s="208" t="s">
        <v>168</v>
      </c>
      <c r="I30" s="208" t="s">
        <v>155</v>
      </c>
      <c r="J30" s="208" t="s">
        <v>38</v>
      </c>
      <c r="K30" s="208" t="s">
        <v>156</v>
      </c>
      <c r="L30" s="208">
        <v>2</v>
      </c>
      <c r="N30" s="208">
        <v>1</v>
      </c>
      <c r="O30" s="208">
        <v>0.5</v>
      </c>
      <c r="P30" s="208">
        <v>0.5</v>
      </c>
      <c r="Q30" s="245">
        <f t="shared" si="2"/>
        <v>0.5</v>
      </c>
      <c r="R30" s="208">
        <v>15.5</v>
      </c>
      <c r="S30" s="208">
        <v>162</v>
      </c>
      <c r="T30" s="217">
        <f t="shared" si="0"/>
        <v>18</v>
      </c>
      <c r="U30" s="208">
        <v>170</v>
      </c>
      <c r="V30" s="217">
        <f t="shared" si="1"/>
        <v>18</v>
      </c>
      <c r="W30" s="208">
        <v>4</v>
      </c>
      <c r="X30" s="208" t="s">
        <v>46</v>
      </c>
      <c r="Y30" s="208" t="s">
        <v>78</v>
      </c>
      <c r="Z30" s="208" t="s">
        <v>69</v>
      </c>
      <c r="AA30" s="208" t="s">
        <v>102</v>
      </c>
      <c r="AB30" s="237" t="s">
        <v>485</v>
      </c>
      <c r="AV30" s="228"/>
    </row>
    <row r="31" spans="1:48" x14ac:dyDescent="0.15">
      <c r="A31" s="208" t="s">
        <v>59</v>
      </c>
      <c r="B31" s="237" t="s">
        <v>484</v>
      </c>
      <c r="C31" s="152">
        <v>2018</v>
      </c>
      <c r="D31" s="153" t="s">
        <v>447</v>
      </c>
      <c r="E31" s="208" t="s">
        <v>326</v>
      </c>
      <c r="F31" s="208" t="s">
        <v>319</v>
      </c>
      <c r="G31" s="208" t="s">
        <v>36</v>
      </c>
      <c r="H31" s="208" t="s">
        <v>168</v>
      </c>
      <c r="I31" s="208" t="s">
        <v>155</v>
      </c>
      <c r="J31" s="208" t="s">
        <v>38</v>
      </c>
      <c r="K31" s="208" t="s">
        <v>156</v>
      </c>
      <c r="L31" s="208">
        <v>3</v>
      </c>
      <c r="N31" s="208">
        <v>1</v>
      </c>
      <c r="O31" s="208">
        <v>0.55000000000000004</v>
      </c>
      <c r="P31" s="208">
        <v>0.42</v>
      </c>
      <c r="Q31" s="245">
        <f t="shared" si="2"/>
        <v>0.48499999999999999</v>
      </c>
      <c r="R31" s="208">
        <v>15.7</v>
      </c>
      <c r="S31" s="208">
        <v>168</v>
      </c>
      <c r="T31" s="217">
        <f t="shared" si="0"/>
        <v>18</v>
      </c>
      <c r="U31" s="208">
        <v>170</v>
      </c>
      <c r="V31" s="217">
        <f t="shared" si="1"/>
        <v>18</v>
      </c>
      <c r="W31" s="208">
        <v>4</v>
      </c>
      <c r="X31" s="208" t="s">
        <v>46</v>
      </c>
      <c r="Y31" s="208" t="s">
        <v>78</v>
      </c>
      <c r="Z31" s="208" t="s">
        <v>69</v>
      </c>
      <c r="AA31" s="208" t="s">
        <v>102</v>
      </c>
      <c r="AB31" s="237" t="s">
        <v>485</v>
      </c>
      <c r="AV31" s="228"/>
    </row>
    <row r="32" spans="1:48" x14ac:dyDescent="0.15">
      <c r="A32" s="208" t="s">
        <v>59</v>
      </c>
      <c r="B32" s="237" t="s">
        <v>484</v>
      </c>
      <c r="C32" s="152">
        <v>2018</v>
      </c>
      <c r="D32" s="153" t="s">
        <v>447</v>
      </c>
      <c r="E32" s="208" t="s">
        <v>326</v>
      </c>
      <c r="F32" s="208" t="s">
        <v>319</v>
      </c>
      <c r="G32" s="208" t="s">
        <v>36</v>
      </c>
      <c r="H32" s="208" t="s">
        <v>157</v>
      </c>
      <c r="I32" s="208" t="s">
        <v>155</v>
      </c>
      <c r="J32" s="208" t="s">
        <v>38</v>
      </c>
      <c r="K32" s="208" t="s">
        <v>156</v>
      </c>
      <c r="L32" s="208">
        <v>1</v>
      </c>
      <c r="N32" s="208">
        <v>1</v>
      </c>
      <c r="O32" s="208">
        <v>0.65</v>
      </c>
      <c r="P32" s="208">
        <v>0.72</v>
      </c>
      <c r="Q32" s="245">
        <f t="shared" si="2"/>
        <v>0.68500000000000005</v>
      </c>
      <c r="R32" s="208">
        <v>15.4</v>
      </c>
      <c r="S32" s="208">
        <v>175</v>
      </c>
      <c r="T32" s="217">
        <f t="shared" si="0"/>
        <v>18</v>
      </c>
      <c r="U32" s="208">
        <v>170</v>
      </c>
      <c r="V32" s="217">
        <f t="shared" si="1"/>
        <v>18</v>
      </c>
      <c r="W32" s="208">
        <v>4</v>
      </c>
      <c r="X32" s="208" t="s">
        <v>46</v>
      </c>
      <c r="Y32" s="208" t="s">
        <v>78</v>
      </c>
      <c r="Z32" s="208" t="s">
        <v>69</v>
      </c>
      <c r="AA32" s="208" t="s">
        <v>102</v>
      </c>
      <c r="AB32" s="237" t="s">
        <v>485</v>
      </c>
      <c r="AV32" s="228"/>
    </row>
    <row r="33" spans="1:48" x14ac:dyDescent="0.15">
      <c r="A33" s="208" t="s">
        <v>59</v>
      </c>
      <c r="B33" s="237" t="s">
        <v>484</v>
      </c>
      <c r="C33" s="152">
        <v>2018</v>
      </c>
      <c r="D33" s="153" t="s">
        <v>447</v>
      </c>
      <c r="E33" s="208" t="s">
        <v>326</v>
      </c>
      <c r="F33" s="208" t="s">
        <v>319</v>
      </c>
      <c r="G33" s="208" t="s">
        <v>36</v>
      </c>
      <c r="H33" s="208" t="s">
        <v>157</v>
      </c>
      <c r="I33" s="208" t="s">
        <v>155</v>
      </c>
      <c r="J33" s="208" t="s">
        <v>38</v>
      </c>
      <c r="K33" s="208" t="s">
        <v>156</v>
      </c>
      <c r="L33" s="208">
        <v>2</v>
      </c>
      <c r="N33" s="208">
        <v>1</v>
      </c>
      <c r="O33" s="208">
        <v>0.73</v>
      </c>
      <c r="P33" s="208">
        <v>0.67</v>
      </c>
      <c r="Q33" s="245">
        <f t="shared" si="2"/>
        <v>0.7</v>
      </c>
      <c r="R33" s="208">
        <v>15.1</v>
      </c>
      <c r="S33" s="208">
        <v>160</v>
      </c>
      <c r="T33" s="217">
        <f t="shared" si="0"/>
        <v>18</v>
      </c>
      <c r="U33" s="208">
        <v>170</v>
      </c>
      <c r="V33" s="217">
        <f t="shared" si="1"/>
        <v>18</v>
      </c>
      <c r="W33" s="208">
        <v>4</v>
      </c>
      <c r="X33" s="208" t="s">
        <v>46</v>
      </c>
      <c r="Y33" s="208" t="s">
        <v>78</v>
      </c>
      <c r="Z33" s="208" t="s">
        <v>69</v>
      </c>
      <c r="AA33" s="208" t="s">
        <v>102</v>
      </c>
      <c r="AB33" s="237" t="s">
        <v>485</v>
      </c>
      <c r="AV33" s="228"/>
    </row>
    <row r="34" spans="1:48" x14ac:dyDescent="0.15">
      <c r="A34" s="208" t="s">
        <v>59</v>
      </c>
      <c r="B34" s="237" t="s">
        <v>484</v>
      </c>
      <c r="C34" s="152">
        <v>2018</v>
      </c>
      <c r="D34" s="153" t="s">
        <v>447</v>
      </c>
      <c r="E34" s="208" t="s">
        <v>326</v>
      </c>
      <c r="F34" s="208" t="s">
        <v>319</v>
      </c>
      <c r="G34" s="208" t="s">
        <v>36</v>
      </c>
      <c r="H34" s="208" t="s">
        <v>157</v>
      </c>
      <c r="I34" s="208" t="s">
        <v>155</v>
      </c>
      <c r="J34" s="208" t="s">
        <v>38</v>
      </c>
      <c r="K34" s="208" t="s">
        <v>156</v>
      </c>
      <c r="L34" s="208">
        <v>3</v>
      </c>
      <c r="N34" s="208">
        <v>1</v>
      </c>
      <c r="O34" s="208">
        <v>0.7</v>
      </c>
      <c r="P34" s="208">
        <v>0.65</v>
      </c>
      <c r="Q34" s="245">
        <f t="shared" si="2"/>
        <v>0.67500000000000004</v>
      </c>
      <c r="R34" s="208">
        <v>15</v>
      </c>
      <c r="S34" s="208">
        <v>158</v>
      </c>
      <c r="T34" s="217">
        <f t="shared" si="0"/>
        <v>18</v>
      </c>
      <c r="U34" s="208">
        <v>170</v>
      </c>
      <c r="V34" s="217">
        <f t="shared" si="1"/>
        <v>18</v>
      </c>
      <c r="W34" s="208">
        <v>4</v>
      </c>
      <c r="X34" s="208" t="s">
        <v>46</v>
      </c>
      <c r="Y34" s="208" t="s">
        <v>78</v>
      </c>
      <c r="Z34" s="208" t="s">
        <v>69</v>
      </c>
      <c r="AA34" s="208" t="s">
        <v>102</v>
      </c>
      <c r="AB34" s="237" t="s">
        <v>485</v>
      </c>
      <c r="AV34" s="228"/>
    </row>
    <row r="35" spans="1:48" x14ac:dyDescent="0.15">
      <c r="A35" s="208" t="s">
        <v>59</v>
      </c>
      <c r="B35" s="237" t="s">
        <v>484</v>
      </c>
      <c r="C35" s="152">
        <v>2018</v>
      </c>
      <c r="D35" s="153" t="s">
        <v>447</v>
      </c>
      <c r="E35" s="208" t="s">
        <v>325</v>
      </c>
      <c r="F35" s="208" t="s">
        <v>318</v>
      </c>
      <c r="G35" s="208" t="s">
        <v>36</v>
      </c>
      <c r="H35" s="208" t="s">
        <v>168</v>
      </c>
      <c r="I35" s="208" t="s">
        <v>155</v>
      </c>
      <c r="J35" s="208" t="s">
        <v>38</v>
      </c>
      <c r="K35" s="208" t="s">
        <v>156</v>
      </c>
      <c r="L35" s="208">
        <v>1</v>
      </c>
      <c r="N35" s="208">
        <v>3</v>
      </c>
      <c r="O35" s="208">
        <v>0.52</v>
      </c>
      <c r="P35" s="208">
        <v>0.46</v>
      </c>
      <c r="Q35" s="245">
        <f t="shared" si="2"/>
        <v>0.49</v>
      </c>
      <c r="R35" s="208">
        <v>16</v>
      </c>
      <c r="S35" s="208">
        <v>135</v>
      </c>
      <c r="T35" s="217">
        <f t="shared" si="0"/>
        <v>25</v>
      </c>
      <c r="U35" s="208">
        <v>380</v>
      </c>
      <c r="V35" s="217">
        <f t="shared" si="1"/>
        <v>16</v>
      </c>
      <c r="W35" s="208">
        <v>17</v>
      </c>
      <c r="X35" s="208" t="s">
        <v>46</v>
      </c>
      <c r="Y35" s="208" t="s">
        <v>55</v>
      </c>
      <c r="Z35" s="208" t="s">
        <v>69</v>
      </c>
      <c r="AA35" s="208" t="s">
        <v>97</v>
      </c>
      <c r="AB35" s="237" t="s">
        <v>493</v>
      </c>
      <c r="AV35" s="228"/>
    </row>
    <row r="36" spans="1:48" x14ac:dyDescent="0.15">
      <c r="A36" s="208" t="s">
        <v>59</v>
      </c>
      <c r="B36" s="237" t="s">
        <v>469</v>
      </c>
      <c r="C36" s="152">
        <v>2018</v>
      </c>
      <c r="D36" s="153" t="s">
        <v>470</v>
      </c>
      <c r="E36" s="208" t="s">
        <v>325</v>
      </c>
      <c r="F36" s="208" t="s">
        <v>318</v>
      </c>
      <c r="G36" s="208" t="s">
        <v>36</v>
      </c>
      <c r="H36" s="208" t="s">
        <v>168</v>
      </c>
      <c r="I36" s="208" t="s">
        <v>155</v>
      </c>
      <c r="J36" s="208" t="s">
        <v>38</v>
      </c>
      <c r="K36" s="208" t="s">
        <v>156</v>
      </c>
      <c r="L36" s="208">
        <v>2</v>
      </c>
      <c r="N36" s="208">
        <v>3</v>
      </c>
      <c r="O36" s="208">
        <v>0.68</v>
      </c>
      <c r="P36" s="208">
        <v>0.55000000000000004</v>
      </c>
      <c r="Q36" s="245">
        <f t="shared" si="2"/>
        <v>0.61499999999999999</v>
      </c>
      <c r="R36" s="208">
        <v>15.8</v>
      </c>
      <c r="S36" s="208">
        <v>130</v>
      </c>
      <c r="T36" s="217">
        <f t="shared" si="0"/>
        <v>25</v>
      </c>
      <c r="U36" s="208">
        <v>380</v>
      </c>
      <c r="V36" s="217">
        <f t="shared" si="1"/>
        <v>16</v>
      </c>
      <c r="W36" s="208">
        <v>17</v>
      </c>
      <c r="X36" s="208" t="s">
        <v>46</v>
      </c>
      <c r="Y36" s="208" t="s">
        <v>55</v>
      </c>
      <c r="Z36" s="208" t="s">
        <v>69</v>
      </c>
      <c r="AA36" s="208" t="s">
        <v>97</v>
      </c>
      <c r="AB36" s="237" t="s">
        <v>493</v>
      </c>
      <c r="AV36" s="228"/>
    </row>
    <row r="37" spans="1:48" x14ac:dyDescent="0.15">
      <c r="A37" s="208" t="s">
        <v>59</v>
      </c>
      <c r="B37" s="237" t="s">
        <v>469</v>
      </c>
      <c r="C37" s="152">
        <v>2018</v>
      </c>
      <c r="D37" s="153" t="s">
        <v>470</v>
      </c>
      <c r="E37" s="208" t="s">
        <v>325</v>
      </c>
      <c r="F37" s="208" t="s">
        <v>318</v>
      </c>
      <c r="G37" s="208" t="s">
        <v>36</v>
      </c>
      <c r="H37" s="208" t="s">
        <v>168</v>
      </c>
      <c r="I37" s="208" t="s">
        <v>155</v>
      </c>
      <c r="J37" s="208" t="s">
        <v>38</v>
      </c>
      <c r="K37" s="208" t="s">
        <v>156</v>
      </c>
      <c r="L37" s="208">
        <v>3</v>
      </c>
      <c r="N37" s="208">
        <v>3</v>
      </c>
      <c r="O37" s="208">
        <v>0.49</v>
      </c>
      <c r="P37" s="208">
        <v>0.56999999999999995</v>
      </c>
      <c r="Q37" s="245">
        <f t="shared" si="2"/>
        <v>0.53</v>
      </c>
      <c r="R37" s="208">
        <v>16.3</v>
      </c>
      <c r="S37" s="208">
        <v>140</v>
      </c>
      <c r="T37" s="217">
        <f t="shared" si="0"/>
        <v>22</v>
      </c>
      <c r="U37" s="208">
        <v>380</v>
      </c>
      <c r="V37" s="217">
        <f t="shared" si="1"/>
        <v>16</v>
      </c>
      <c r="W37" s="208">
        <v>17</v>
      </c>
      <c r="X37" s="208" t="s">
        <v>46</v>
      </c>
      <c r="Y37" s="208" t="s">
        <v>55</v>
      </c>
      <c r="Z37" s="208" t="s">
        <v>69</v>
      </c>
      <c r="AA37" s="208" t="s">
        <v>97</v>
      </c>
      <c r="AB37" s="237" t="s">
        <v>493</v>
      </c>
      <c r="AV37" s="228"/>
    </row>
    <row r="38" spans="1:48" x14ac:dyDescent="0.15">
      <c r="A38" s="208" t="s">
        <v>59</v>
      </c>
      <c r="B38" s="237" t="s">
        <v>469</v>
      </c>
      <c r="C38" s="152">
        <v>2018</v>
      </c>
      <c r="D38" s="153" t="s">
        <v>470</v>
      </c>
      <c r="E38" s="208" t="s">
        <v>325</v>
      </c>
      <c r="F38" s="208" t="s">
        <v>318</v>
      </c>
      <c r="G38" s="208" t="s">
        <v>36</v>
      </c>
      <c r="H38" s="208" t="s">
        <v>157</v>
      </c>
      <c r="I38" s="208" t="s">
        <v>155</v>
      </c>
      <c r="J38" s="208" t="s">
        <v>38</v>
      </c>
      <c r="K38" s="208" t="s">
        <v>156</v>
      </c>
      <c r="L38" s="208">
        <v>1</v>
      </c>
      <c r="N38" s="208">
        <v>3</v>
      </c>
      <c r="O38" s="208">
        <v>0.75</v>
      </c>
      <c r="P38" s="208">
        <v>0.73</v>
      </c>
      <c r="Q38" s="245">
        <f t="shared" si="2"/>
        <v>0.74</v>
      </c>
      <c r="R38" s="208">
        <v>15.7</v>
      </c>
      <c r="S38" s="208">
        <v>130</v>
      </c>
      <c r="T38" s="217">
        <f t="shared" si="0"/>
        <v>25</v>
      </c>
      <c r="U38" s="208">
        <v>399</v>
      </c>
      <c r="V38" s="217">
        <f t="shared" si="1"/>
        <v>16</v>
      </c>
      <c r="W38" s="208">
        <v>12</v>
      </c>
      <c r="X38" s="208" t="s">
        <v>46</v>
      </c>
      <c r="Y38" s="208" t="s">
        <v>55</v>
      </c>
      <c r="Z38" s="208" t="s">
        <v>69</v>
      </c>
      <c r="AA38" s="208" t="s">
        <v>97</v>
      </c>
      <c r="AB38" s="237" t="s">
        <v>493</v>
      </c>
      <c r="AV38" s="229"/>
    </row>
    <row r="39" spans="1:48" x14ac:dyDescent="0.15">
      <c r="A39" s="208" t="s">
        <v>59</v>
      </c>
      <c r="B39" s="237" t="s">
        <v>469</v>
      </c>
      <c r="C39" s="152">
        <v>2018</v>
      </c>
      <c r="D39" s="153" t="s">
        <v>470</v>
      </c>
      <c r="E39" s="208" t="s">
        <v>325</v>
      </c>
      <c r="F39" s="208" t="s">
        <v>318</v>
      </c>
      <c r="G39" s="208" t="s">
        <v>36</v>
      </c>
      <c r="H39" s="208" t="s">
        <v>157</v>
      </c>
      <c r="I39" s="208" t="s">
        <v>155</v>
      </c>
      <c r="J39" s="208" t="s">
        <v>38</v>
      </c>
      <c r="K39" s="208" t="s">
        <v>156</v>
      </c>
      <c r="L39" s="208">
        <v>2</v>
      </c>
      <c r="N39" s="208">
        <v>3</v>
      </c>
      <c r="O39" s="208">
        <v>0.73</v>
      </c>
      <c r="P39" s="208">
        <v>0.62</v>
      </c>
      <c r="Q39" s="245">
        <f t="shared" si="2"/>
        <v>0.67500000000000004</v>
      </c>
      <c r="R39" s="208">
        <v>15.3</v>
      </c>
      <c r="S39" s="208">
        <v>130</v>
      </c>
      <c r="T39" s="217">
        <f t="shared" si="0"/>
        <v>25</v>
      </c>
      <c r="U39" s="208">
        <v>399</v>
      </c>
      <c r="V39" s="217">
        <f t="shared" si="1"/>
        <v>16</v>
      </c>
      <c r="W39" s="208">
        <v>12</v>
      </c>
      <c r="X39" s="208" t="s">
        <v>46</v>
      </c>
      <c r="Y39" s="208" t="s">
        <v>55</v>
      </c>
      <c r="Z39" s="208" t="s">
        <v>69</v>
      </c>
      <c r="AA39" s="208" t="s">
        <v>97</v>
      </c>
      <c r="AB39" s="237" t="s">
        <v>493</v>
      </c>
    </row>
    <row r="40" spans="1:48" x14ac:dyDescent="0.15">
      <c r="A40" s="208" t="s">
        <v>59</v>
      </c>
      <c r="B40" s="237" t="s">
        <v>469</v>
      </c>
      <c r="C40" s="152">
        <v>2018</v>
      </c>
      <c r="D40" s="153" t="s">
        <v>470</v>
      </c>
      <c r="E40" s="208" t="s">
        <v>325</v>
      </c>
      <c r="F40" s="208" t="s">
        <v>318</v>
      </c>
      <c r="G40" s="208" t="s">
        <v>36</v>
      </c>
      <c r="H40" s="208" t="s">
        <v>157</v>
      </c>
      <c r="I40" s="208" t="s">
        <v>155</v>
      </c>
      <c r="J40" s="208" t="s">
        <v>38</v>
      </c>
      <c r="K40" s="208" t="s">
        <v>156</v>
      </c>
      <c r="L40" s="208">
        <v>3</v>
      </c>
      <c r="N40" s="208">
        <v>3</v>
      </c>
      <c r="O40" s="208">
        <v>0.75</v>
      </c>
      <c r="P40" s="208">
        <v>0.81</v>
      </c>
      <c r="Q40" s="245">
        <f t="shared" si="2"/>
        <v>0.78</v>
      </c>
      <c r="R40" s="208">
        <v>15.1</v>
      </c>
      <c r="S40" s="208">
        <v>136</v>
      </c>
      <c r="T40" s="217">
        <f t="shared" si="0"/>
        <v>25</v>
      </c>
      <c r="U40" s="208">
        <v>399</v>
      </c>
      <c r="V40" s="217">
        <f t="shared" si="1"/>
        <v>16</v>
      </c>
      <c r="W40" s="208">
        <v>12</v>
      </c>
      <c r="X40" s="208" t="s">
        <v>46</v>
      </c>
      <c r="Y40" s="208" t="s">
        <v>55</v>
      </c>
      <c r="Z40" s="208" t="s">
        <v>69</v>
      </c>
      <c r="AA40" s="208" t="s">
        <v>97</v>
      </c>
      <c r="AB40" s="237" t="s">
        <v>493</v>
      </c>
    </row>
    <row r="41" spans="1:48" x14ac:dyDescent="0.15">
      <c r="A41" s="208" t="s">
        <v>59</v>
      </c>
      <c r="B41" s="237" t="s">
        <v>469</v>
      </c>
      <c r="C41" s="152">
        <v>2018</v>
      </c>
      <c r="D41" s="153" t="s">
        <v>470</v>
      </c>
      <c r="E41" s="208" t="s">
        <v>323</v>
      </c>
      <c r="F41" s="208" t="s">
        <v>315</v>
      </c>
      <c r="G41" s="208" t="s">
        <v>36</v>
      </c>
      <c r="H41" s="208" t="s">
        <v>168</v>
      </c>
      <c r="I41" s="208" t="s">
        <v>155</v>
      </c>
      <c r="J41" s="208" t="s">
        <v>38</v>
      </c>
      <c r="K41" s="208" t="s">
        <v>156</v>
      </c>
      <c r="L41" s="208">
        <v>1</v>
      </c>
      <c r="N41" s="208">
        <v>4</v>
      </c>
      <c r="O41" s="208">
        <v>0.45</v>
      </c>
      <c r="P41" s="208">
        <v>0.48</v>
      </c>
      <c r="Q41" s="245">
        <f t="shared" si="2"/>
        <v>0.46499999999999997</v>
      </c>
      <c r="R41" s="208">
        <v>17.899999999999999</v>
      </c>
      <c r="S41" s="208">
        <v>100</v>
      </c>
      <c r="T41" s="217">
        <f t="shared" si="0"/>
        <v>33</v>
      </c>
      <c r="U41" s="208">
        <v>518</v>
      </c>
      <c r="V41" s="217">
        <f t="shared" si="1"/>
        <v>16</v>
      </c>
      <c r="W41" s="208">
        <v>1</v>
      </c>
      <c r="X41" s="208" t="s">
        <v>39</v>
      </c>
      <c r="Y41" s="208" t="s">
        <v>97</v>
      </c>
      <c r="Z41" s="208" t="s">
        <v>69</v>
      </c>
      <c r="AA41" s="208" t="s">
        <v>102</v>
      </c>
      <c r="AB41" s="237" t="s">
        <v>493</v>
      </c>
    </row>
    <row r="42" spans="1:48" x14ac:dyDescent="0.15">
      <c r="A42" s="208" t="s">
        <v>59</v>
      </c>
      <c r="B42" s="237" t="s">
        <v>469</v>
      </c>
      <c r="C42" s="152">
        <v>2018</v>
      </c>
      <c r="D42" s="153" t="s">
        <v>470</v>
      </c>
      <c r="E42" s="208" t="s">
        <v>323</v>
      </c>
      <c r="F42" s="208" t="s">
        <v>315</v>
      </c>
      <c r="G42" s="208" t="s">
        <v>36</v>
      </c>
      <c r="H42" s="208" t="s">
        <v>168</v>
      </c>
      <c r="I42" s="208" t="s">
        <v>155</v>
      </c>
      <c r="J42" s="208" t="s">
        <v>38</v>
      </c>
      <c r="K42" s="208" t="s">
        <v>156</v>
      </c>
      <c r="L42" s="208">
        <v>2</v>
      </c>
      <c r="N42" s="208">
        <v>4</v>
      </c>
      <c r="O42" s="208">
        <v>0.45</v>
      </c>
      <c r="P42" s="208">
        <v>0.38</v>
      </c>
      <c r="Q42" s="245">
        <f t="shared" si="2"/>
        <v>0.41500000000000004</v>
      </c>
      <c r="R42" s="208">
        <v>16.2</v>
      </c>
      <c r="S42" s="208">
        <v>94</v>
      </c>
      <c r="T42" s="217">
        <f t="shared" si="0"/>
        <v>36</v>
      </c>
      <c r="U42" s="208">
        <v>518</v>
      </c>
      <c r="V42" s="217">
        <f t="shared" si="1"/>
        <v>16</v>
      </c>
      <c r="W42" s="208">
        <v>1</v>
      </c>
      <c r="X42" s="208" t="s">
        <v>39</v>
      </c>
      <c r="Y42" s="208" t="s">
        <v>97</v>
      </c>
      <c r="Z42" s="208" t="s">
        <v>69</v>
      </c>
      <c r="AA42" s="208" t="s">
        <v>102</v>
      </c>
      <c r="AB42" s="237" t="s">
        <v>493</v>
      </c>
    </row>
    <row r="43" spans="1:48" x14ac:dyDescent="0.15">
      <c r="A43" s="208" t="s">
        <v>59</v>
      </c>
      <c r="B43" s="237" t="s">
        <v>469</v>
      </c>
      <c r="C43" s="152">
        <v>2018</v>
      </c>
      <c r="D43" s="153" t="s">
        <v>470</v>
      </c>
      <c r="E43" s="208" t="s">
        <v>323</v>
      </c>
      <c r="F43" s="208" t="s">
        <v>315</v>
      </c>
      <c r="G43" s="208" t="s">
        <v>36</v>
      </c>
      <c r="H43" s="208" t="s">
        <v>168</v>
      </c>
      <c r="I43" s="208" t="s">
        <v>155</v>
      </c>
      <c r="J43" s="208" t="s">
        <v>38</v>
      </c>
      <c r="K43" s="208" t="s">
        <v>156</v>
      </c>
      <c r="L43" s="208">
        <v>3</v>
      </c>
      <c r="N43" s="208">
        <v>4</v>
      </c>
      <c r="O43" s="208">
        <v>0.25</v>
      </c>
      <c r="P43" s="208">
        <v>0.25</v>
      </c>
      <c r="Q43" s="245">
        <f t="shared" si="2"/>
        <v>0.25</v>
      </c>
      <c r="R43" s="208">
        <v>16</v>
      </c>
      <c r="S43" s="208">
        <v>103</v>
      </c>
      <c r="T43" s="217">
        <f t="shared" si="0"/>
        <v>33</v>
      </c>
      <c r="U43" s="208">
        <v>518</v>
      </c>
      <c r="V43" s="217">
        <f t="shared" si="1"/>
        <v>16</v>
      </c>
      <c r="W43" s="208">
        <v>1</v>
      </c>
      <c r="X43" s="208" t="s">
        <v>39</v>
      </c>
      <c r="Y43" s="208" t="s">
        <v>97</v>
      </c>
      <c r="Z43" s="208" t="s">
        <v>69</v>
      </c>
      <c r="AA43" s="208" t="s">
        <v>102</v>
      </c>
      <c r="AB43" s="237" t="s">
        <v>493</v>
      </c>
    </row>
    <row r="44" spans="1:48" x14ac:dyDescent="0.15">
      <c r="A44" s="208" t="s">
        <v>59</v>
      </c>
      <c r="B44" s="237" t="s">
        <v>469</v>
      </c>
      <c r="C44" s="152">
        <v>2018</v>
      </c>
      <c r="D44" s="153" t="s">
        <v>470</v>
      </c>
      <c r="E44" s="208" t="s">
        <v>329</v>
      </c>
      <c r="F44" s="208" t="s">
        <v>320</v>
      </c>
      <c r="G44" s="208" t="s">
        <v>36</v>
      </c>
      <c r="H44" s="208" t="s">
        <v>168</v>
      </c>
      <c r="I44" s="208" t="s">
        <v>155</v>
      </c>
      <c r="J44" s="208" t="s">
        <v>38</v>
      </c>
      <c r="K44" s="208" t="s">
        <v>156</v>
      </c>
      <c r="L44" s="208">
        <v>1</v>
      </c>
      <c r="N44" s="208">
        <v>4</v>
      </c>
      <c r="O44" s="208">
        <v>0.68</v>
      </c>
      <c r="P44" s="208">
        <v>0.6</v>
      </c>
      <c r="Q44" s="245">
        <f t="shared" si="2"/>
        <v>0.64</v>
      </c>
      <c r="R44" s="208">
        <v>15.7</v>
      </c>
      <c r="S44" s="208">
        <v>112</v>
      </c>
      <c r="T44" s="217">
        <f t="shared" si="0"/>
        <v>33</v>
      </c>
      <c r="U44" s="208">
        <v>480</v>
      </c>
      <c r="V44" s="217">
        <f t="shared" si="1"/>
        <v>16</v>
      </c>
      <c r="W44" s="208">
        <v>5</v>
      </c>
      <c r="X44" s="208" t="s">
        <v>46</v>
      </c>
      <c r="Y44" s="208" t="s">
        <v>97</v>
      </c>
      <c r="Z44" s="208" t="s">
        <v>55</v>
      </c>
      <c r="AA44" s="208" t="s">
        <v>78</v>
      </c>
      <c r="AB44" s="237" t="s">
        <v>493</v>
      </c>
    </row>
    <row r="45" spans="1:48" x14ac:dyDescent="0.15">
      <c r="A45" s="208" t="s">
        <v>59</v>
      </c>
      <c r="B45" s="237" t="s">
        <v>469</v>
      </c>
      <c r="C45" s="152">
        <v>2018</v>
      </c>
      <c r="D45" s="153" t="s">
        <v>470</v>
      </c>
      <c r="E45" s="208" t="s">
        <v>329</v>
      </c>
      <c r="F45" s="208" t="s">
        <v>320</v>
      </c>
      <c r="G45" s="208" t="s">
        <v>36</v>
      </c>
      <c r="H45" s="208" t="s">
        <v>168</v>
      </c>
      <c r="I45" s="208" t="s">
        <v>155</v>
      </c>
      <c r="J45" s="208" t="s">
        <v>38</v>
      </c>
      <c r="K45" s="208" t="s">
        <v>156</v>
      </c>
      <c r="L45" s="208">
        <v>2</v>
      </c>
      <c r="N45" s="208">
        <v>4</v>
      </c>
      <c r="O45" s="208">
        <v>0.45</v>
      </c>
      <c r="P45" s="208">
        <v>0.37</v>
      </c>
      <c r="Q45" s="245">
        <f t="shared" si="2"/>
        <v>0.41000000000000003</v>
      </c>
      <c r="R45" s="208">
        <v>16.600000000000001</v>
      </c>
      <c r="S45" s="208">
        <v>115</v>
      </c>
      <c r="T45" s="217">
        <f t="shared" si="0"/>
        <v>30</v>
      </c>
      <c r="U45" s="208">
        <v>480</v>
      </c>
      <c r="V45" s="217">
        <f t="shared" si="1"/>
        <v>16</v>
      </c>
      <c r="W45" s="208">
        <v>5</v>
      </c>
      <c r="X45" s="208" t="s">
        <v>46</v>
      </c>
      <c r="Y45" s="208" t="s">
        <v>97</v>
      </c>
      <c r="Z45" s="208" t="s">
        <v>55</v>
      </c>
      <c r="AA45" s="208" t="s">
        <v>78</v>
      </c>
      <c r="AB45" s="237" t="s">
        <v>493</v>
      </c>
    </row>
    <row r="46" spans="1:48" x14ac:dyDescent="0.15">
      <c r="A46" s="208" t="s">
        <v>59</v>
      </c>
      <c r="B46" s="237" t="s">
        <v>469</v>
      </c>
      <c r="C46" s="152">
        <v>2018</v>
      </c>
      <c r="D46" s="153" t="s">
        <v>470</v>
      </c>
      <c r="E46" s="208" t="s">
        <v>329</v>
      </c>
      <c r="F46" s="208" t="s">
        <v>320</v>
      </c>
      <c r="G46" s="208" t="s">
        <v>36</v>
      </c>
      <c r="H46" s="208" t="s">
        <v>168</v>
      </c>
      <c r="I46" s="208" t="s">
        <v>155</v>
      </c>
      <c r="J46" s="208" t="s">
        <v>38</v>
      </c>
      <c r="K46" s="208" t="s">
        <v>156</v>
      </c>
      <c r="L46" s="208">
        <v>3</v>
      </c>
      <c r="N46" s="208">
        <v>4</v>
      </c>
      <c r="O46" s="208">
        <v>0.47</v>
      </c>
      <c r="P46" s="208">
        <v>0.56000000000000005</v>
      </c>
      <c r="Q46" s="245">
        <f t="shared" si="2"/>
        <v>0.51500000000000001</v>
      </c>
      <c r="R46" s="208">
        <v>16.8</v>
      </c>
      <c r="S46" s="208">
        <v>111</v>
      </c>
      <c r="T46" s="217">
        <f t="shared" si="0"/>
        <v>33</v>
      </c>
      <c r="U46" s="208">
        <v>480</v>
      </c>
      <c r="V46" s="217">
        <f t="shared" si="1"/>
        <v>16</v>
      </c>
      <c r="W46" s="208">
        <v>5</v>
      </c>
      <c r="X46" s="208" t="s">
        <v>46</v>
      </c>
      <c r="Y46" s="208" t="s">
        <v>97</v>
      </c>
      <c r="Z46" s="208" t="s">
        <v>55</v>
      </c>
      <c r="AA46" s="208" t="s">
        <v>78</v>
      </c>
      <c r="AB46" s="237" t="s">
        <v>493</v>
      </c>
    </row>
    <row r="47" spans="1:48" x14ac:dyDescent="0.15">
      <c r="A47" s="208" t="s">
        <v>59</v>
      </c>
      <c r="B47" s="237" t="s">
        <v>469</v>
      </c>
      <c r="C47" s="152">
        <v>2018</v>
      </c>
      <c r="D47" s="153" t="s">
        <v>470</v>
      </c>
      <c r="E47" s="208" t="s">
        <v>329</v>
      </c>
      <c r="F47" s="208" t="s">
        <v>320</v>
      </c>
      <c r="G47" s="208" t="s">
        <v>36</v>
      </c>
      <c r="H47" s="208" t="s">
        <v>157</v>
      </c>
      <c r="I47" s="208" t="s">
        <v>155</v>
      </c>
      <c r="J47" s="208" t="s">
        <v>38</v>
      </c>
      <c r="K47" s="208" t="s">
        <v>156</v>
      </c>
      <c r="L47" s="208">
        <v>1</v>
      </c>
      <c r="N47" s="208">
        <v>4</v>
      </c>
      <c r="O47" s="208">
        <v>0.73</v>
      </c>
      <c r="P47" s="208">
        <v>0.6</v>
      </c>
      <c r="Q47" s="245">
        <f t="shared" si="2"/>
        <v>0.66500000000000004</v>
      </c>
      <c r="R47" s="208">
        <v>14.1</v>
      </c>
      <c r="S47" s="208">
        <v>140</v>
      </c>
      <c r="T47" s="217">
        <f t="shared" si="0"/>
        <v>22</v>
      </c>
      <c r="U47" s="208">
        <v>348</v>
      </c>
      <c r="V47" s="217">
        <f t="shared" si="1"/>
        <v>16</v>
      </c>
      <c r="W47" s="208">
        <v>6</v>
      </c>
      <c r="X47" s="208" t="s">
        <v>46</v>
      </c>
      <c r="Y47" s="208" t="s">
        <v>97</v>
      </c>
      <c r="Z47" s="208" t="s">
        <v>55</v>
      </c>
      <c r="AA47" s="208" t="s">
        <v>78</v>
      </c>
      <c r="AB47" s="237" t="s">
        <v>493</v>
      </c>
    </row>
    <row r="48" spans="1:48" x14ac:dyDescent="0.15">
      <c r="A48" s="208" t="s">
        <v>59</v>
      </c>
      <c r="B48" s="237" t="s">
        <v>469</v>
      </c>
      <c r="C48" s="152">
        <v>2018</v>
      </c>
      <c r="D48" s="153" t="s">
        <v>470</v>
      </c>
      <c r="E48" s="208" t="s">
        <v>329</v>
      </c>
      <c r="F48" s="208" t="s">
        <v>320</v>
      </c>
      <c r="G48" s="208" t="s">
        <v>36</v>
      </c>
      <c r="H48" s="208" t="s">
        <v>157</v>
      </c>
      <c r="I48" s="208" t="s">
        <v>155</v>
      </c>
      <c r="J48" s="208" t="s">
        <v>38</v>
      </c>
      <c r="K48" s="208" t="s">
        <v>156</v>
      </c>
      <c r="L48" s="208">
        <v>2</v>
      </c>
      <c r="N48" s="208">
        <v>4</v>
      </c>
      <c r="O48" s="208">
        <v>0.9</v>
      </c>
      <c r="P48" s="208">
        <v>0.8</v>
      </c>
      <c r="Q48" s="245">
        <f t="shared" si="2"/>
        <v>0.85000000000000009</v>
      </c>
      <c r="R48" s="208">
        <v>14.3</v>
      </c>
      <c r="S48" s="208">
        <v>140</v>
      </c>
      <c r="T48" s="217">
        <f t="shared" si="0"/>
        <v>22</v>
      </c>
      <c r="U48" s="208">
        <v>348</v>
      </c>
      <c r="V48" s="217">
        <f t="shared" si="1"/>
        <v>16</v>
      </c>
      <c r="W48" s="208">
        <v>6</v>
      </c>
      <c r="X48" s="208" t="s">
        <v>46</v>
      </c>
      <c r="Y48" s="208" t="s">
        <v>97</v>
      </c>
      <c r="Z48" s="208" t="s">
        <v>55</v>
      </c>
      <c r="AA48" s="208" t="s">
        <v>78</v>
      </c>
      <c r="AB48" s="237" t="s">
        <v>493</v>
      </c>
    </row>
    <row r="49" spans="1:28" x14ac:dyDescent="0.15">
      <c r="A49" s="208" t="s">
        <v>59</v>
      </c>
      <c r="B49" s="237" t="s">
        <v>469</v>
      </c>
      <c r="C49" s="152">
        <v>2018</v>
      </c>
      <c r="D49" s="153" t="s">
        <v>470</v>
      </c>
      <c r="E49" s="208" t="s">
        <v>329</v>
      </c>
      <c r="F49" s="208" t="s">
        <v>320</v>
      </c>
      <c r="G49" s="208" t="s">
        <v>36</v>
      </c>
      <c r="H49" s="208" t="s">
        <v>157</v>
      </c>
      <c r="I49" s="208" t="s">
        <v>155</v>
      </c>
      <c r="J49" s="208" t="s">
        <v>38</v>
      </c>
      <c r="K49" s="208" t="s">
        <v>156</v>
      </c>
      <c r="L49" s="208">
        <v>3</v>
      </c>
      <c r="N49" s="208">
        <v>4</v>
      </c>
      <c r="O49" s="208">
        <v>0.87</v>
      </c>
      <c r="P49" s="208">
        <v>0.8</v>
      </c>
      <c r="Q49" s="245">
        <f t="shared" si="2"/>
        <v>0.83499999999999996</v>
      </c>
      <c r="R49" s="208">
        <v>14.3</v>
      </c>
      <c r="S49" s="208">
        <v>142</v>
      </c>
      <c r="T49" s="217">
        <f t="shared" si="0"/>
        <v>22</v>
      </c>
      <c r="U49" s="208">
        <v>348</v>
      </c>
      <c r="V49" s="217">
        <f t="shared" si="1"/>
        <v>16</v>
      </c>
      <c r="W49" s="208">
        <v>6</v>
      </c>
      <c r="X49" s="208" t="s">
        <v>46</v>
      </c>
      <c r="Y49" s="208" t="s">
        <v>97</v>
      </c>
      <c r="Z49" s="208" t="s">
        <v>55</v>
      </c>
      <c r="AA49" s="208" t="s">
        <v>78</v>
      </c>
      <c r="AB49" s="237" t="s">
        <v>493</v>
      </c>
    </row>
    <row r="50" spans="1:28" x14ac:dyDescent="0.15">
      <c r="A50" s="208" t="s">
        <v>59</v>
      </c>
      <c r="B50" s="237" t="s">
        <v>469</v>
      </c>
      <c r="C50" s="152">
        <v>2018</v>
      </c>
      <c r="D50" s="153" t="s">
        <v>470</v>
      </c>
      <c r="E50" s="208" t="s">
        <v>324</v>
      </c>
      <c r="F50" s="208" t="s">
        <v>317</v>
      </c>
      <c r="G50" s="208" t="s">
        <v>36</v>
      </c>
      <c r="H50" s="208" t="s">
        <v>168</v>
      </c>
      <c r="I50" s="208" t="s">
        <v>155</v>
      </c>
      <c r="J50" s="208" t="s">
        <v>38</v>
      </c>
      <c r="K50" s="208" t="s">
        <v>156</v>
      </c>
      <c r="L50" s="208">
        <v>1</v>
      </c>
      <c r="N50" s="208">
        <v>4</v>
      </c>
      <c r="O50" s="208">
        <v>0.47</v>
      </c>
      <c r="P50" s="208">
        <v>0.5</v>
      </c>
      <c r="Q50" s="245">
        <f t="shared" si="2"/>
        <v>0.48499999999999999</v>
      </c>
      <c r="R50" s="208">
        <v>17.7</v>
      </c>
      <c r="S50" s="208">
        <v>110</v>
      </c>
      <c r="T50" s="217">
        <f t="shared" si="0"/>
        <v>33</v>
      </c>
      <c r="U50" s="208">
        <v>494</v>
      </c>
      <c r="V50" s="217">
        <f t="shared" si="1"/>
        <v>16</v>
      </c>
      <c r="W50" s="208">
        <v>5</v>
      </c>
      <c r="X50" s="208" t="s">
        <v>39</v>
      </c>
      <c r="Y50" s="208" t="s">
        <v>69</v>
      </c>
      <c r="Z50" s="208" t="s">
        <v>88</v>
      </c>
      <c r="AA50" s="208" t="s">
        <v>86</v>
      </c>
      <c r="AB50" s="237" t="s">
        <v>493</v>
      </c>
    </row>
    <row r="51" spans="1:28" x14ac:dyDescent="0.15">
      <c r="A51" s="208" t="s">
        <v>59</v>
      </c>
      <c r="B51" s="237" t="s">
        <v>469</v>
      </c>
      <c r="C51" s="152">
        <v>2018</v>
      </c>
      <c r="D51" s="153" t="s">
        <v>470</v>
      </c>
      <c r="E51" s="208" t="s">
        <v>324</v>
      </c>
      <c r="F51" s="208" t="s">
        <v>317</v>
      </c>
      <c r="G51" s="208" t="s">
        <v>36</v>
      </c>
      <c r="H51" s="208" t="s">
        <v>168</v>
      </c>
      <c r="I51" s="208" t="s">
        <v>155</v>
      </c>
      <c r="J51" s="208" t="s">
        <v>38</v>
      </c>
      <c r="K51" s="208" t="s">
        <v>156</v>
      </c>
      <c r="L51" s="208">
        <v>2</v>
      </c>
      <c r="N51" s="208">
        <v>4</v>
      </c>
      <c r="O51" s="208">
        <v>0.5</v>
      </c>
      <c r="P51" s="208">
        <v>0.44</v>
      </c>
      <c r="Q51" s="245">
        <f t="shared" si="2"/>
        <v>0.47</v>
      </c>
      <c r="R51" s="208">
        <v>17.8</v>
      </c>
      <c r="S51" s="208">
        <v>110</v>
      </c>
      <c r="T51" s="217">
        <f t="shared" si="0"/>
        <v>33</v>
      </c>
      <c r="U51" s="208">
        <v>494</v>
      </c>
      <c r="V51" s="217">
        <f t="shared" si="1"/>
        <v>16</v>
      </c>
      <c r="W51" s="208">
        <v>5</v>
      </c>
      <c r="X51" s="208" t="s">
        <v>39</v>
      </c>
      <c r="Y51" s="208" t="s">
        <v>69</v>
      </c>
      <c r="Z51" s="208" t="s">
        <v>88</v>
      </c>
      <c r="AA51" s="208" t="s">
        <v>86</v>
      </c>
      <c r="AB51" s="237" t="s">
        <v>493</v>
      </c>
    </row>
    <row r="52" spans="1:28" x14ac:dyDescent="0.15">
      <c r="A52" s="208" t="s">
        <v>59</v>
      </c>
      <c r="B52" s="237" t="s">
        <v>469</v>
      </c>
      <c r="C52" s="152">
        <v>2018</v>
      </c>
      <c r="D52" s="153" t="s">
        <v>470</v>
      </c>
      <c r="E52" s="208" t="s">
        <v>324</v>
      </c>
      <c r="F52" s="208" t="s">
        <v>317</v>
      </c>
      <c r="G52" s="208" t="s">
        <v>36</v>
      </c>
      <c r="H52" s="208" t="s">
        <v>168</v>
      </c>
      <c r="I52" s="208" t="s">
        <v>155</v>
      </c>
      <c r="J52" s="208" t="s">
        <v>38</v>
      </c>
      <c r="K52" s="208" t="s">
        <v>156</v>
      </c>
      <c r="L52" s="208">
        <v>3</v>
      </c>
      <c r="N52" s="208">
        <v>4</v>
      </c>
      <c r="O52" s="208">
        <v>0.55000000000000004</v>
      </c>
      <c r="P52" s="208">
        <v>0.46</v>
      </c>
      <c r="Q52" s="245">
        <f t="shared" si="2"/>
        <v>0.505</v>
      </c>
      <c r="R52" s="208">
        <v>17.5</v>
      </c>
      <c r="S52" s="208">
        <v>116</v>
      </c>
      <c r="T52" s="217">
        <f t="shared" si="0"/>
        <v>30</v>
      </c>
      <c r="U52" s="208">
        <v>494</v>
      </c>
      <c r="V52" s="217">
        <f t="shared" si="1"/>
        <v>16</v>
      </c>
      <c r="W52" s="208">
        <v>5</v>
      </c>
      <c r="X52" s="208" t="s">
        <v>39</v>
      </c>
      <c r="Y52" s="208" t="s">
        <v>69</v>
      </c>
      <c r="Z52" s="208" t="s">
        <v>88</v>
      </c>
      <c r="AA52" s="208" t="s">
        <v>86</v>
      </c>
      <c r="AB52" s="237" t="s">
        <v>493</v>
      </c>
    </row>
    <row r="53" spans="1:28" x14ac:dyDescent="0.15">
      <c r="A53" s="208" t="s">
        <v>59</v>
      </c>
      <c r="B53" s="237" t="s">
        <v>469</v>
      </c>
      <c r="C53" s="152">
        <v>2018</v>
      </c>
      <c r="D53" s="153" t="s">
        <v>470</v>
      </c>
      <c r="E53" s="208" t="s">
        <v>324</v>
      </c>
      <c r="F53" s="208" t="s">
        <v>317</v>
      </c>
      <c r="G53" s="208" t="s">
        <v>36</v>
      </c>
      <c r="H53" s="208" t="s">
        <v>157</v>
      </c>
      <c r="I53" s="208" t="s">
        <v>155</v>
      </c>
      <c r="J53" s="208" t="s">
        <v>38</v>
      </c>
      <c r="K53" s="208" t="s">
        <v>156</v>
      </c>
      <c r="L53" s="208">
        <v>1</v>
      </c>
      <c r="N53" s="208">
        <v>1</v>
      </c>
      <c r="O53" s="208">
        <v>0.7</v>
      </c>
      <c r="P53" s="208">
        <v>0.57999999999999996</v>
      </c>
      <c r="Q53" s="245">
        <f t="shared" si="2"/>
        <v>0.6399999999999999</v>
      </c>
      <c r="R53" s="208">
        <v>16.3</v>
      </c>
      <c r="S53" s="208">
        <v>130</v>
      </c>
      <c r="T53" s="217">
        <f t="shared" si="0"/>
        <v>25</v>
      </c>
      <c r="U53" s="208">
        <v>138</v>
      </c>
      <c r="V53" s="217">
        <f t="shared" si="1"/>
        <v>22</v>
      </c>
      <c r="W53" s="208">
        <v>3</v>
      </c>
      <c r="X53" s="208" t="s">
        <v>39</v>
      </c>
      <c r="Y53" s="208" t="s">
        <v>69</v>
      </c>
      <c r="Z53" s="208" t="s">
        <v>88</v>
      </c>
      <c r="AA53" s="208" t="s">
        <v>86</v>
      </c>
      <c r="AB53" s="237" t="s">
        <v>493</v>
      </c>
    </row>
    <row r="54" spans="1:28" x14ac:dyDescent="0.15">
      <c r="A54" s="208" t="s">
        <v>59</v>
      </c>
      <c r="B54" s="237" t="s">
        <v>469</v>
      </c>
      <c r="C54" s="152">
        <v>2018</v>
      </c>
      <c r="D54" s="153" t="s">
        <v>470</v>
      </c>
      <c r="E54" s="208" t="s">
        <v>324</v>
      </c>
      <c r="F54" s="208" t="s">
        <v>317</v>
      </c>
      <c r="G54" s="208" t="s">
        <v>36</v>
      </c>
      <c r="H54" s="208" t="s">
        <v>157</v>
      </c>
      <c r="I54" s="208" t="s">
        <v>155</v>
      </c>
      <c r="J54" s="208" t="s">
        <v>38</v>
      </c>
      <c r="K54" s="208" t="s">
        <v>156</v>
      </c>
      <c r="L54" s="208">
        <v>2</v>
      </c>
      <c r="N54" s="208">
        <v>1</v>
      </c>
      <c r="O54" s="208">
        <v>0.56000000000000005</v>
      </c>
      <c r="P54" s="208">
        <v>0.47</v>
      </c>
      <c r="Q54" s="245">
        <f t="shared" si="2"/>
        <v>0.51500000000000001</v>
      </c>
      <c r="R54" s="208">
        <v>14.9</v>
      </c>
      <c r="S54" s="208">
        <v>133</v>
      </c>
      <c r="T54" s="217">
        <f t="shared" si="0"/>
        <v>25</v>
      </c>
      <c r="U54" s="208">
        <v>138</v>
      </c>
      <c r="V54" s="217">
        <f t="shared" si="1"/>
        <v>22</v>
      </c>
      <c r="W54" s="208">
        <v>3</v>
      </c>
      <c r="X54" s="208" t="s">
        <v>39</v>
      </c>
      <c r="Y54" s="208" t="s">
        <v>69</v>
      </c>
      <c r="Z54" s="208" t="s">
        <v>88</v>
      </c>
      <c r="AA54" s="208" t="s">
        <v>86</v>
      </c>
      <c r="AB54" s="237" t="s">
        <v>493</v>
      </c>
    </row>
    <row r="55" spans="1:28" x14ac:dyDescent="0.15">
      <c r="A55" s="208" t="s">
        <v>59</v>
      </c>
      <c r="B55" s="237" t="s">
        <v>469</v>
      </c>
      <c r="C55" s="152">
        <v>2018</v>
      </c>
      <c r="D55" s="153" t="s">
        <v>470</v>
      </c>
      <c r="E55" s="208" t="s">
        <v>324</v>
      </c>
      <c r="F55" s="208" t="s">
        <v>317</v>
      </c>
      <c r="G55" s="208" t="s">
        <v>36</v>
      </c>
      <c r="H55" s="208" t="s">
        <v>157</v>
      </c>
      <c r="I55" s="208" t="s">
        <v>155</v>
      </c>
      <c r="J55" s="208" t="s">
        <v>38</v>
      </c>
      <c r="K55" s="208" t="s">
        <v>156</v>
      </c>
      <c r="L55" s="208">
        <v>3</v>
      </c>
      <c r="N55" s="208">
        <v>1</v>
      </c>
      <c r="O55" s="208">
        <v>0.66</v>
      </c>
      <c r="P55" s="208">
        <v>0.72</v>
      </c>
      <c r="Q55" s="245">
        <f t="shared" si="2"/>
        <v>0.69</v>
      </c>
      <c r="R55" s="208">
        <v>15.7</v>
      </c>
      <c r="S55" s="208">
        <v>128</v>
      </c>
      <c r="T55" s="217">
        <f t="shared" si="0"/>
        <v>27</v>
      </c>
      <c r="U55" s="208">
        <v>138</v>
      </c>
      <c r="V55" s="217">
        <f t="shared" si="1"/>
        <v>22</v>
      </c>
      <c r="W55" s="208">
        <v>3</v>
      </c>
      <c r="X55" s="208" t="s">
        <v>39</v>
      </c>
      <c r="Y55" s="208" t="s">
        <v>69</v>
      </c>
      <c r="Z55" s="208" t="s">
        <v>88</v>
      </c>
      <c r="AA55" s="208" t="s">
        <v>86</v>
      </c>
      <c r="AB55" s="237" t="s">
        <v>493</v>
      </c>
    </row>
    <row r="56" spans="1:28" x14ac:dyDescent="0.15">
      <c r="B56" s="237"/>
      <c r="C56" s="152"/>
      <c r="D56" s="153"/>
      <c r="Q56" s="245"/>
      <c r="T56" s="217" t="str">
        <f t="shared" si="0"/>
        <v/>
      </c>
      <c r="AB56" s="237"/>
    </row>
    <row r="57" spans="1:28" x14ac:dyDescent="0.15">
      <c r="B57" s="237"/>
      <c r="C57" s="152"/>
      <c r="D57" s="153"/>
      <c r="Q57" s="245"/>
      <c r="T57" s="217" t="str">
        <f t="shared" si="0"/>
        <v/>
      </c>
      <c r="AB57" s="237"/>
    </row>
    <row r="58" spans="1:28" x14ac:dyDescent="0.15">
      <c r="B58" s="237"/>
      <c r="C58" s="152"/>
      <c r="D58" s="153"/>
      <c r="Q58" s="245"/>
      <c r="T58" s="217" t="str">
        <f t="shared" si="0"/>
        <v/>
      </c>
      <c r="AB58" s="237"/>
    </row>
    <row r="59" spans="1:28" x14ac:dyDescent="0.15">
      <c r="B59" s="237"/>
      <c r="C59" s="152"/>
      <c r="D59" s="153"/>
      <c r="Q59" s="245"/>
      <c r="T59" s="217" t="str">
        <f t="shared" si="0"/>
        <v/>
      </c>
      <c r="AB59" s="237"/>
    </row>
    <row r="60" spans="1:28" x14ac:dyDescent="0.15">
      <c r="B60" s="237"/>
      <c r="C60" s="152"/>
      <c r="D60" s="153"/>
      <c r="Q60" s="245"/>
      <c r="T60" s="217" t="str">
        <f t="shared" si="0"/>
        <v/>
      </c>
      <c r="AB60" s="237"/>
    </row>
    <row r="61" spans="1:28" x14ac:dyDescent="0.15">
      <c r="B61" s="237"/>
      <c r="C61" s="152"/>
      <c r="D61" s="153"/>
      <c r="Q61" s="245"/>
      <c r="T61" s="217" t="str">
        <f t="shared" si="0"/>
        <v/>
      </c>
      <c r="AB61" s="237"/>
    </row>
    <row r="62" spans="1:28" x14ac:dyDescent="0.15">
      <c r="B62" s="237"/>
      <c r="C62" s="152"/>
      <c r="D62" s="153"/>
      <c r="Q62" s="245" t="str">
        <f t="shared" si="2"/>
        <v/>
      </c>
      <c r="T62" s="217" t="str">
        <f t="shared" si="0"/>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K65530:K65595">
      <formula1>$AR$2:$AR$25</formula1>
    </dataValidation>
    <dataValidation type="list" allowBlank="1" showInputMessage="1" showErrorMessage="1" sqref="WVR983034:WVR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65530:J65595">
      <formula1>$AP$2:$AP$27</formula1>
    </dataValidation>
    <dataValidation type="list" allowBlank="1" showInputMessage="1" showErrorMessage="1" sqref="WVP983034:WVP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H65530:H65595">
      <formula1>$AL$4:$AL$12</formula1>
    </dataValidation>
    <dataValidation type="list" allowBlank="1" showInputMessage="1" showErrorMessage="1" sqref="A64355:A64420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64355:IW64420">
      <formula1>$AE$2:$AE$19</formula1>
    </dataValidation>
    <dataValidation type="list" allowBlank="1" showInputMessage="1" showErrorMessage="1" sqref="X64355:X64420 JT64355:JT64420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JT2:JT59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X2:X492">
      <formula1>$AT$2:$AT$3</formula1>
    </dataValidation>
    <dataValidation type="list" allowBlank="1" showInputMessage="1" showErrorMessage="1" sqref="G64355:G64422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64355:JC64422">
      <formula1>$AJ$2:$AJ$4</formula1>
    </dataValidation>
    <dataValidation type="list" allowBlank="1" showInputMessage="1" showErrorMessage="1" sqref="I64355:I64420 JE64355:JE64420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64355:JW64420">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WVM983034:WVN98310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36"/>
  <sheetViews>
    <sheetView zoomScale="85" zoomScaleNormal="85" zoomScaleSheetLayoutView="100" workbookViewId="0">
      <selection activeCell="O63" sqref="O63"/>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494</v>
      </c>
      <c r="D1" s="203" t="s">
        <v>3</v>
      </c>
      <c r="E1" s="241" t="s">
        <v>4</v>
      </c>
      <c r="F1" s="241" t="s">
        <v>5</v>
      </c>
      <c r="G1" s="241" t="s">
        <v>6</v>
      </c>
      <c r="H1" s="241" t="s">
        <v>7</v>
      </c>
      <c r="I1" s="241" t="s">
        <v>8</v>
      </c>
      <c r="J1" s="241" t="s">
        <v>9</v>
      </c>
      <c r="K1" s="201" t="s">
        <v>10</v>
      </c>
      <c r="L1" s="203" t="s">
        <v>495</v>
      </c>
      <c r="M1" s="203" t="s">
        <v>12</v>
      </c>
      <c r="N1" s="203" t="s">
        <v>13</v>
      </c>
      <c r="O1" s="203" t="s">
        <v>496</v>
      </c>
      <c r="P1" s="203" t="s">
        <v>497</v>
      </c>
      <c r="Q1" s="204" t="s">
        <v>16</v>
      </c>
      <c r="R1" s="203" t="s">
        <v>498</v>
      </c>
      <c r="S1" s="203" t="s">
        <v>499</v>
      </c>
      <c r="T1" s="204" t="s">
        <v>19</v>
      </c>
      <c r="U1" s="205" t="s">
        <v>108</v>
      </c>
      <c r="V1" s="206" t="s">
        <v>20</v>
      </c>
      <c r="W1" s="203" t="s">
        <v>21</v>
      </c>
      <c r="X1" s="241" t="s">
        <v>22</v>
      </c>
      <c r="Y1" s="241" t="s">
        <v>23</v>
      </c>
      <c r="Z1" s="241" t="s">
        <v>24</v>
      </c>
      <c r="AA1" s="242" t="s">
        <v>25</v>
      </c>
      <c r="AB1" s="207" t="s">
        <v>500</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501</v>
      </c>
      <c r="AY1" s="214" t="s">
        <v>502</v>
      </c>
      <c r="AZ1" s="214" t="s">
        <v>503</v>
      </c>
      <c r="BA1" s="215" t="s">
        <v>504</v>
      </c>
    </row>
    <row r="2" spans="1:53" x14ac:dyDescent="0.15">
      <c r="A2" s="165" t="s">
        <v>34</v>
      </c>
      <c r="B2" s="165" t="s">
        <v>505</v>
      </c>
      <c r="C2" s="165">
        <v>2018</v>
      </c>
      <c r="D2" s="166" t="s">
        <v>506</v>
      </c>
      <c r="E2" s="165" t="s">
        <v>507</v>
      </c>
      <c r="F2" s="165" t="s">
        <v>288</v>
      </c>
      <c r="G2" s="167" t="s">
        <v>36</v>
      </c>
      <c r="H2" s="168" t="s">
        <v>157</v>
      </c>
      <c r="I2" s="137" t="s">
        <v>155</v>
      </c>
      <c r="J2" s="200" t="s">
        <v>38</v>
      </c>
      <c r="K2" s="137" t="s">
        <v>156</v>
      </c>
      <c r="L2" s="169">
        <v>1</v>
      </c>
      <c r="M2" s="170"/>
      <c r="N2" s="170">
        <v>1</v>
      </c>
      <c r="O2" s="170">
        <v>0.6</v>
      </c>
      <c r="P2" s="170">
        <v>0.55000000000000004</v>
      </c>
      <c r="Q2" s="171">
        <f t="shared" ref="Q2:Q58" si="0">IF(OR(O2="",P2=""),"",AVERAGE(O2,P2))</f>
        <v>0.57499999999999996</v>
      </c>
      <c r="R2" s="172">
        <v>16.100000000000001</v>
      </c>
      <c r="S2" s="168">
        <v>120</v>
      </c>
      <c r="T2" s="173">
        <f t="shared" ref="T2:T58" si="1">IF(H2="","",IF(OR(H2="GREEN",H2="GK"),IF(S2&gt;=$AX$2,VLOOKUP(S2,$AX$2:$AY$7,2,1),""),IF(S2&gt;=$AZ$2,VLOOKUP(S2,$AZ$2:$BA$7,2,1),"")))</f>
        <v>30</v>
      </c>
      <c r="U2" s="137">
        <v>128</v>
      </c>
      <c r="V2" s="173">
        <f t="shared" ref="V2:V58" si="2">IF(OR(N2="",U2="",T2=""),"",U2/N2*T2)</f>
        <v>3840</v>
      </c>
      <c r="W2" s="174">
        <v>2</v>
      </c>
      <c r="X2" s="175" t="s">
        <v>46</v>
      </c>
      <c r="Y2" s="175" t="s">
        <v>102</v>
      </c>
      <c r="Z2" s="175" t="s">
        <v>88</v>
      </c>
      <c r="AA2" s="176" t="s">
        <v>78</v>
      </c>
      <c r="AB2" s="55" t="s">
        <v>508</v>
      </c>
      <c r="AE2" s="218" t="s">
        <v>35</v>
      </c>
      <c r="AG2" s="243" t="s">
        <v>509</v>
      </c>
      <c r="AH2" s="243" t="s">
        <v>289</v>
      </c>
      <c r="AJ2" s="144" t="s">
        <v>36</v>
      </c>
      <c r="AL2" s="219" t="s">
        <v>127</v>
      </c>
      <c r="AN2" s="219" t="s">
        <v>37</v>
      </c>
      <c r="AO2" s="216"/>
      <c r="AP2" s="219" t="s">
        <v>38</v>
      </c>
      <c r="AQ2" s="216"/>
      <c r="AR2" s="219" t="s">
        <v>510</v>
      </c>
      <c r="AS2" s="216"/>
      <c r="AT2" s="219" t="s">
        <v>39</v>
      </c>
      <c r="AU2" s="216"/>
      <c r="AV2" s="248" t="s">
        <v>40</v>
      </c>
      <c r="AW2" s="216"/>
      <c r="AX2" s="220">
        <v>1</v>
      </c>
      <c r="AY2" s="221">
        <v>50</v>
      </c>
      <c r="AZ2" s="221">
        <v>1</v>
      </c>
      <c r="BA2" s="222">
        <v>50</v>
      </c>
    </row>
    <row r="3" spans="1:53" x14ac:dyDescent="0.15">
      <c r="A3" s="177" t="s">
        <v>34</v>
      </c>
      <c r="B3" s="177" t="s">
        <v>348</v>
      </c>
      <c r="C3" s="178">
        <v>2018</v>
      </c>
      <c r="D3" s="260" t="s">
        <v>511</v>
      </c>
      <c r="E3" s="177" t="s">
        <v>507</v>
      </c>
      <c r="F3" s="177" t="s">
        <v>288</v>
      </c>
      <c r="G3" s="180" t="s">
        <v>36</v>
      </c>
      <c r="H3" s="137" t="s">
        <v>157</v>
      </c>
      <c r="I3" s="137" t="s">
        <v>155</v>
      </c>
      <c r="J3" s="137" t="s">
        <v>38</v>
      </c>
      <c r="K3" s="137" t="s">
        <v>156</v>
      </c>
      <c r="L3" s="208">
        <v>2</v>
      </c>
      <c r="N3" s="208">
        <v>1</v>
      </c>
      <c r="O3" s="208">
        <v>0.55000000000000004</v>
      </c>
      <c r="P3" s="235">
        <v>0.55000000000000004</v>
      </c>
      <c r="Q3" s="181">
        <f t="shared" si="0"/>
        <v>0.55000000000000004</v>
      </c>
      <c r="R3" s="182">
        <v>16.600000000000001</v>
      </c>
      <c r="S3" s="182">
        <v>116</v>
      </c>
      <c r="T3" s="217">
        <f t="shared" si="1"/>
        <v>30</v>
      </c>
      <c r="U3" s="183">
        <v>128</v>
      </c>
      <c r="V3" s="184">
        <f t="shared" si="2"/>
        <v>3840</v>
      </c>
      <c r="W3" s="185">
        <v>2</v>
      </c>
      <c r="X3" s="186" t="s">
        <v>46</v>
      </c>
      <c r="Y3" s="186" t="s">
        <v>102</v>
      </c>
      <c r="Z3" s="186" t="s">
        <v>88</v>
      </c>
      <c r="AA3" s="176" t="s">
        <v>78</v>
      </c>
      <c r="AB3" s="55" t="s">
        <v>350</v>
      </c>
      <c r="AE3" s="223" t="s">
        <v>41</v>
      </c>
      <c r="AG3" s="243" t="s">
        <v>290</v>
      </c>
      <c r="AH3" s="243" t="s">
        <v>291</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348</v>
      </c>
      <c r="C4" s="177">
        <v>2018</v>
      </c>
      <c r="D4" s="261" t="s">
        <v>511</v>
      </c>
      <c r="E4" s="177" t="s">
        <v>507</v>
      </c>
      <c r="F4" s="177" t="s">
        <v>288</v>
      </c>
      <c r="G4" s="180" t="s">
        <v>36</v>
      </c>
      <c r="H4" s="137" t="s">
        <v>157</v>
      </c>
      <c r="I4" s="137" t="s">
        <v>155</v>
      </c>
      <c r="J4" s="137" t="s">
        <v>38</v>
      </c>
      <c r="K4" s="137" t="s">
        <v>156</v>
      </c>
      <c r="L4" s="208">
        <v>3</v>
      </c>
      <c r="N4" s="208">
        <v>1</v>
      </c>
      <c r="O4" s="208">
        <v>0.6</v>
      </c>
      <c r="P4" s="235">
        <v>0.5</v>
      </c>
      <c r="Q4" s="245">
        <f t="shared" si="0"/>
        <v>0.55000000000000004</v>
      </c>
      <c r="R4" s="188">
        <v>15.8</v>
      </c>
      <c r="S4" s="188">
        <v>116</v>
      </c>
      <c r="T4" s="217">
        <f t="shared" si="1"/>
        <v>30</v>
      </c>
      <c r="U4" s="189">
        <v>128</v>
      </c>
      <c r="V4" s="184">
        <f t="shared" si="2"/>
        <v>3840</v>
      </c>
      <c r="W4" s="190">
        <v>2</v>
      </c>
      <c r="X4" s="186" t="s">
        <v>46</v>
      </c>
      <c r="Y4" s="186" t="s">
        <v>102</v>
      </c>
      <c r="Z4" s="186" t="s">
        <v>88</v>
      </c>
      <c r="AA4" s="176" t="s">
        <v>78</v>
      </c>
      <c r="AB4" s="55" t="s">
        <v>350</v>
      </c>
      <c r="AE4" s="223" t="s">
        <v>34</v>
      </c>
      <c r="AG4" s="243" t="s">
        <v>512</v>
      </c>
      <c r="AH4" s="243" t="s">
        <v>292</v>
      </c>
      <c r="AJ4" s="191" t="s">
        <v>48</v>
      </c>
      <c r="AL4" s="228" t="s">
        <v>129</v>
      </c>
      <c r="AN4" s="229" t="s">
        <v>49</v>
      </c>
      <c r="AP4" s="224" t="s">
        <v>513</v>
      </c>
      <c r="AR4" s="238" t="s">
        <v>514</v>
      </c>
      <c r="AT4" s="229"/>
      <c r="AV4" s="224" t="s">
        <v>50</v>
      </c>
      <c r="AX4" s="225">
        <v>75</v>
      </c>
      <c r="AY4" s="226">
        <v>42</v>
      </c>
      <c r="AZ4" s="226">
        <v>76</v>
      </c>
      <c r="BA4" s="227">
        <v>39</v>
      </c>
    </row>
    <row r="5" spans="1:53" x14ac:dyDescent="0.15">
      <c r="A5" s="177" t="s">
        <v>34</v>
      </c>
      <c r="B5" s="177" t="s">
        <v>348</v>
      </c>
      <c r="C5" s="178">
        <v>2018</v>
      </c>
      <c r="D5" s="261" t="s">
        <v>511</v>
      </c>
      <c r="E5" s="177" t="s">
        <v>507</v>
      </c>
      <c r="F5" s="177" t="s">
        <v>288</v>
      </c>
      <c r="G5" s="180" t="s">
        <v>36</v>
      </c>
      <c r="H5" s="137" t="s">
        <v>168</v>
      </c>
      <c r="I5" s="137" t="s">
        <v>155</v>
      </c>
      <c r="J5" s="137" t="s">
        <v>38</v>
      </c>
      <c r="K5" s="137" t="s">
        <v>156</v>
      </c>
      <c r="L5" s="208">
        <v>1</v>
      </c>
      <c r="N5" s="208">
        <v>1</v>
      </c>
      <c r="O5" s="208">
        <v>0.5</v>
      </c>
      <c r="P5" s="237">
        <v>0.45</v>
      </c>
      <c r="Q5" s="245">
        <f t="shared" si="0"/>
        <v>0.47499999999999998</v>
      </c>
      <c r="R5" s="188">
        <v>14</v>
      </c>
      <c r="S5" s="188">
        <v>126</v>
      </c>
      <c r="T5" s="217">
        <f t="shared" si="1"/>
        <v>30</v>
      </c>
      <c r="U5" s="189">
        <v>138</v>
      </c>
      <c r="V5" s="184">
        <f t="shared" si="2"/>
        <v>4140</v>
      </c>
      <c r="W5" s="190">
        <v>2</v>
      </c>
      <c r="X5" s="186" t="s">
        <v>46</v>
      </c>
      <c r="Y5" s="186" t="s">
        <v>102</v>
      </c>
      <c r="Z5" s="186" t="s">
        <v>88</v>
      </c>
      <c r="AA5" s="176" t="s">
        <v>78</v>
      </c>
      <c r="AB5" s="55" t="s">
        <v>350</v>
      </c>
      <c r="AE5" s="223" t="s">
        <v>51</v>
      </c>
      <c r="AG5" s="243" t="s">
        <v>515</v>
      </c>
      <c r="AH5" s="243" t="s">
        <v>295</v>
      </c>
      <c r="AJ5" s="192"/>
      <c r="AL5" s="230" t="s">
        <v>516</v>
      </c>
      <c r="AN5" s="230" t="s">
        <v>517</v>
      </c>
      <c r="AP5" s="224" t="s">
        <v>518</v>
      </c>
      <c r="AR5" s="238" t="s">
        <v>54</v>
      </c>
      <c r="AT5" s="247"/>
      <c r="AV5" s="224" t="s">
        <v>55</v>
      </c>
      <c r="AX5" s="225">
        <v>84</v>
      </c>
      <c r="AY5" s="226">
        <v>39</v>
      </c>
      <c r="AZ5" s="226">
        <v>84</v>
      </c>
      <c r="BA5" s="227">
        <v>36</v>
      </c>
    </row>
    <row r="6" spans="1:53" x14ac:dyDescent="0.15">
      <c r="A6" s="177" t="s">
        <v>34</v>
      </c>
      <c r="B6" s="177" t="s">
        <v>348</v>
      </c>
      <c r="C6" s="177">
        <v>2018</v>
      </c>
      <c r="D6" s="261" t="s">
        <v>511</v>
      </c>
      <c r="E6" s="177" t="s">
        <v>507</v>
      </c>
      <c r="F6" s="177" t="s">
        <v>288</v>
      </c>
      <c r="G6" s="180" t="s">
        <v>36</v>
      </c>
      <c r="H6" s="137" t="s">
        <v>168</v>
      </c>
      <c r="I6" s="137" t="s">
        <v>155</v>
      </c>
      <c r="J6" s="137" t="s">
        <v>38</v>
      </c>
      <c r="K6" s="137" t="s">
        <v>156</v>
      </c>
      <c r="L6" s="208">
        <v>2</v>
      </c>
      <c r="N6" s="208">
        <v>1</v>
      </c>
      <c r="O6" s="208">
        <v>0.55000000000000004</v>
      </c>
      <c r="P6" s="237">
        <v>0.4</v>
      </c>
      <c r="Q6" s="245">
        <f t="shared" si="0"/>
        <v>0.47500000000000003</v>
      </c>
      <c r="R6" s="188">
        <v>15.2</v>
      </c>
      <c r="S6" s="188">
        <v>126</v>
      </c>
      <c r="T6" s="217">
        <f t="shared" si="1"/>
        <v>30</v>
      </c>
      <c r="U6" s="189">
        <v>138</v>
      </c>
      <c r="V6" s="184">
        <f t="shared" si="2"/>
        <v>4140</v>
      </c>
      <c r="W6" s="190">
        <v>2</v>
      </c>
      <c r="X6" s="186" t="s">
        <v>46</v>
      </c>
      <c r="Y6" s="186" t="s">
        <v>102</v>
      </c>
      <c r="Z6" s="186" t="s">
        <v>88</v>
      </c>
      <c r="AA6" s="176" t="s">
        <v>78</v>
      </c>
      <c r="AB6" s="55" t="s">
        <v>350</v>
      </c>
      <c r="AE6" s="223" t="s">
        <v>56</v>
      </c>
      <c r="AG6" s="243" t="s">
        <v>519</v>
      </c>
      <c r="AH6" s="243" t="s">
        <v>294</v>
      </c>
      <c r="AL6" s="230" t="s">
        <v>520</v>
      </c>
      <c r="AN6" s="230" t="s">
        <v>521</v>
      </c>
      <c r="AP6" s="224" t="s">
        <v>53</v>
      </c>
      <c r="AR6" s="238" t="s">
        <v>59</v>
      </c>
      <c r="AV6" s="224" t="s">
        <v>60</v>
      </c>
      <c r="AX6" s="225">
        <v>97</v>
      </c>
      <c r="AY6" s="226">
        <v>36</v>
      </c>
      <c r="AZ6" s="226">
        <v>99</v>
      </c>
      <c r="BA6" s="227">
        <v>33</v>
      </c>
    </row>
    <row r="7" spans="1:53" x14ac:dyDescent="0.15">
      <c r="A7" s="177" t="s">
        <v>34</v>
      </c>
      <c r="B7" s="177" t="s">
        <v>348</v>
      </c>
      <c r="C7" s="178">
        <v>2018</v>
      </c>
      <c r="D7" s="261" t="s">
        <v>511</v>
      </c>
      <c r="E7" s="177" t="s">
        <v>507</v>
      </c>
      <c r="F7" s="177" t="s">
        <v>288</v>
      </c>
      <c r="G7" s="180" t="s">
        <v>36</v>
      </c>
      <c r="H7" s="137" t="s">
        <v>168</v>
      </c>
      <c r="I7" s="137" t="s">
        <v>155</v>
      </c>
      <c r="J7" s="137" t="s">
        <v>38</v>
      </c>
      <c r="K7" s="137" t="s">
        <v>156</v>
      </c>
      <c r="L7" s="208">
        <v>3</v>
      </c>
      <c r="N7" s="208">
        <v>1</v>
      </c>
      <c r="O7" s="208">
        <v>0.45</v>
      </c>
      <c r="P7" s="237">
        <v>0.45</v>
      </c>
      <c r="Q7" s="245">
        <f t="shared" si="0"/>
        <v>0.45</v>
      </c>
      <c r="R7" s="188">
        <v>14.9</v>
      </c>
      <c r="S7" s="188">
        <v>120</v>
      </c>
      <c r="T7" s="217">
        <f t="shared" si="1"/>
        <v>30</v>
      </c>
      <c r="U7" s="189">
        <v>138</v>
      </c>
      <c r="V7" s="184">
        <f t="shared" si="2"/>
        <v>4140</v>
      </c>
      <c r="W7" s="190">
        <v>2</v>
      </c>
      <c r="X7" s="186" t="s">
        <v>46</v>
      </c>
      <c r="Y7" s="186" t="s">
        <v>102</v>
      </c>
      <c r="Z7" s="186" t="s">
        <v>88</v>
      </c>
      <c r="AA7" s="176" t="s">
        <v>78</v>
      </c>
      <c r="AB7" s="55" t="s">
        <v>350</v>
      </c>
      <c r="AE7" s="223" t="s">
        <v>61</v>
      </c>
      <c r="AG7" s="243" t="s">
        <v>293</v>
      </c>
      <c r="AH7" s="243" t="s">
        <v>288</v>
      </c>
      <c r="AL7" s="235" t="s">
        <v>522</v>
      </c>
      <c r="AP7" s="224" t="s">
        <v>58</v>
      </c>
      <c r="AR7" s="231" t="s">
        <v>122</v>
      </c>
      <c r="AV7" s="224" t="s">
        <v>64</v>
      </c>
      <c r="AX7" s="225">
        <v>109</v>
      </c>
      <c r="AY7" s="226">
        <v>33</v>
      </c>
      <c r="AZ7" s="226">
        <v>113</v>
      </c>
      <c r="BA7" s="227">
        <v>30</v>
      </c>
    </row>
    <row r="8" spans="1:53" x14ac:dyDescent="0.15">
      <c r="A8" s="177" t="s">
        <v>34</v>
      </c>
      <c r="B8" s="177" t="s">
        <v>348</v>
      </c>
      <c r="C8" s="177">
        <v>2018</v>
      </c>
      <c r="D8" s="261" t="s">
        <v>511</v>
      </c>
      <c r="E8" s="178" t="s">
        <v>293</v>
      </c>
      <c r="F8" s="177" t="s">
        <v>294</v>
      </c>
      <c r="G8" s="180" t="s">
        <v>36</v>
      </c>
      <c r="H8" s="137" t="s">
        <v>157</v>
      </c>
      <c r="I8" s="137" t="s">
        <v>155</v>
      </c>
      <c r="J8" s="137" t="s">
        <v>38</v>
      </c>
      <c r="K8" s="137" t="s">
        <v>156</v>
      </c>
      <c r="L8" s="208">
        <v>1</v>
      </c>
      <c r="N8" s="208">
        <v>1</v>
      </c>
      <c r="O8" s="208">
        <v>0.4</v>
      </c>
      <c r="P8" s="208">
        <v>0.5</v>
      </c>
      <c r="Q8" s="245">
        <f t="shared" si="0"/>
        <v>0.45</v>
      </c>
      <c r="R8" s="188">
        <v>15.4</v>
      </c>
      <c r="S8" s="188">
        <v>127</v>
      </c>
      <c r="T8" s="217">
        <f t="shared" si="1"/>
        <v>30</v>
      </c>
      <c r="U8" s="193">
        <v>138</v>
      </c>
      <c r="V8" s="184">
        <f t="shared" si="2"/>
        <v>4140</v>
      </c>
      <c r="W8" s="190">
        <v>4</v>
      </c>
      <c r="X8" s="186" t="s">
        <v>46</v>
      </c>
      <c r="Y8" s="194" t="s">
        <v>88</v>
      </c>
      <c r="Z8" s="186" t="s">
        <v>78</v>
      </c>
      <c r="AA8" s="176" t="s">
        <v>102</v>
      </c>
      <c r="AB8" s="55" t="s">
        <v>350</v>
      </c>
      <c r="AE8" s="223" t="s">
        <v>59</v>
      </c>
      <c r="AG8" s="243" t="s">
        <v>523</v>
      </c>
      <c r="AH8" s="243" t="s">
        <v>297</v>
      </c>
      <c r="AL8" s="235" t="s">
        <v>374</v>
      </c>
      <c r="AP8" s="224" t="s">
        <v>62</v>
      </c>
      <c r="AR8" s="238" t="s">
        <v>81</v>
      </c>
      <c r="AV8" s="224" t="s">
        <v>97</v>
      </c>
      <c r="AX8" s="225">
        <v>151</v>
      </c>
      <c r="AY8" s="226">
        <v>22</v>
      </c>
      <c r="AZ8" s="226">
        <v>152</v>
      </c>
      <c r="BA8" s="227">
        <v>18</v>
      </c>
    </row>
    <row r="9" spans="1:53" x14ac:dyDescent="0.15">
      <c r="A9" s="177" t="s">
        <v>34</v>
      </c>
      <c r="B9" s="177" t="s">
        <v>348</v>
      </c>
      <c r="C9" s="178">
        <v>2018</v>
      </c>
      <c r="D9" s="261" t="s">
        <v>511</v>
      </c>
      <c r="E9" s="178" t="s">
        <v>293</v>
      </c>
      <c r="F9" s="177" t="s">
        <v>294</v>
      </c>
      <c r="G9" s="180" t="s">
        <v>36</v>
      </c>
      <c r="H9" s="137" t="s">
        <v>157</v>
      </c>
      <c r="I9" s="137" t="s">
        <v>155</v>
      </c>
      <c r="J9" s="137" t="s">
        <v>38</v>
      </c>
      <c r="K9" s="137" t="s">
        <v>156</v>
      </c>
      <c r="L9" s="208">
        <v>2</v>
      </c>
      <c r="N9" s="208">
        <v>1</v>
      </c>
      <c r="O9" s="208">
        <v>0.45</v>
      </c>
      <c r="P9" s="208">
        <v>0.55000000000000004</v>
      </c>
      <c r="Q9" s="245">
        <f t="shared" si="0"/>
        <v>0.5</v>
      </c>
      <c r="R9" s="188">
        <v>15.9</v>
      </c>
      <c r="S9" s="188">
        <v>119</v>
      </c>
      <c r="T9" s="217">
        <f t="shared" si="1"/>
        <v>30</v>
      </c>
      <c r="U9" s="193">
        <v>138</v>
      </c>
      <c r="V9" s="184">
        <f t="shared" si="2"/>
        <v>4140</v>
      </c>
      <c r="W9" s="190">
        <v>4</v>
      </c>
      <c r="X9" s="186" t="s">
        <v>46</v>
      </c>
      <c r="Y9" s="194" t="s">
        <v>88</v>
      </c>
      <c r="Z9" s="186" t="s">
        <v>78</v>
      </c>
      <c r="AA9" s="176" t="s">
        <v>102</v>
      </c>
      <c r="AB9" s="55" t="s">
        <v>350</v>
      </c>
      <c r="AE9" s="223" t="s">
        <v>98</v>
      </c>
      <c r="AG9" s="243" t="s">
        <v>524</v>
      </c>
      <c r="AH9" s="243" t="s">
        <v>298</v>
      </c>
      <c r="AL9" s="230"/>
      <c r="AP9" s="224" t="s">
        <v>95</v>
      </c>
      <c r="AR9" s="231" t="s">
        <v>89</v>
      </c>
      <c r="AV9" s="224" t="s">
        <v>102</v>
      </c>
      <c r="AX9" s="232">
        <v>180</v>
      </c>
      <c r="AY9" s="233">
        <v>18</v>
      </c>
      <c r="AZ9" s="233">
        <v>181</v>
      </c>
      <c r="BA9" s="234">
        <v>16</v>
      </c>
    </row>
    <row r="10" spans="1:53" x14ac:dyDescent="0.15">
      <c r="A10" s="177" t="s">
        <v>34</v>
      </c>
      <c r="B10" s="177" t="s">
        <v>348</v>
      </c>
      <c r="C10" s="177">
        <v>2018</v>
      </c>
      <c r="D10" s="261" t="s">
        <v>511</v>
      </c>
      <c r="E10" s="178" t="s">
        <v>293</v>
      </c>
      <c r="F10" s="177" t="s">
        <v>294</v>
      </c>
      <c r="G10" s="180" t="s">
        <v>36</v>
      </c>
      <c r="H10" s="137" t="s">
        <v>157</v>
      </c>
      <c r="I10" s="137" t="s">
        <v>155</v>
      </c>
      <c r="J10" s="137" t="s">
        <v>38</v>
      </c>
      <c r="K10" s="137" t="s">
        <v>156</v>
      </c>
      <c r="L10" s="208">
        <v>3</v>
      </c>
      <c r="N10" s="208">
        <v>1</v>
      </c>
      <c r="O10" s="208">
        <v>0.45</v>
      </c>
      <c r="P10" s="208">
        <v>0.4</v>
      </c>
      <c r="Q10" s="245">
        <f t="shared" si="0"/>
        <v>0.42500000000000004</v>
      </c>
      <c r="R10" s="188">
        <v>15.5</v>
      </c>
      <c r="S10" s="188">
        <v>126</v>
      </c>
      <c r="T10" s="217">
        <f t="shared" si="1"/>
        <v>30</v>
      </c>
      <c r="U10" s="193">
        <v>138</v>
      </c>
      <c r="V10" s="184">
        <f t="shared" si="2"/>
        <v>4140</v>
      </c>
      <c r="W10" s="190">
        <v>4</v>
      </c>
      <c r="X10" s="186" t="s">
        <v>46</v>
      </c>
      <c r="Y10" s="194" t="s">
        <v>88</v>
      </c>
      <c r="Z10" s="186" t="s">
        <v>78</v>
      </c>
      <c r="AA10" s="176" t="s">
        <v>102</v>
      </c>
      <c r="AB10" s="55" t="s">
        <v>350</v>
      </c>
      <c r="AE10" s="223" t="s">
        <v>103</v>
      </c>
      <c r="AG10" s="243" t="s">
        <v>525</v>
      </c>
      <c r="AH10" s="243" t="s">
        <v>526</v>
      </c>
      <c r="AL10" s="235"/>
      <c r="AP10" s="224" t="s">
        <v>100</v>
      </c>
      <c r="AR10" s="231" t="s">
        <v>123</v>
      </c>
      <c r="AV10" s="224" t="s">
        <v>106</v>
      </c>
    </row>
    <row r="11" spans="1:53" x14ac:dyDescent="0.15">
      <c r="A11" s="177" t="s">
        <v>34</v>
      </c>
      <c r="B11" s="177" t="s">
        <v>348</v>
      </c>
      <c r="C11" s="178">
        <v>2018</v>
      </c>
      <c r="D11" s="261" t="s">
        <v>511</v>
      </c>
      <c r="E11" s="178" t="s">
        <v>293</v>
      </c>
      <c r="F11" s="177" t="s">
        <v>294</v>
      </c>
      <c r="G11" s="180" t="s">
        <v>36</v>
      </c>
      <c r="H11" s="137" t="s">
        <v>168</v>
      </c>
      <c r="I11" s="137" t="s">
        <v>155</v>
      </c>
      <c r="J11" s="137" t="s">
        <v>38</v>
      </c>
      <c r="K11" s="137" t="s">
        <v>156</v>
      </c>
      <c r="L11" s="208">
        <v>1</v>
      </c>
      <c r="N11" s="208">
        <v>1</v>
      </c>
      <c r="O11" s="208">
        <v>0.5</v>
      </c>
      <c r="P11" s="208">
        <v>0.45</v>
      </c>
      <c r="Q11" s="245">
        <f t="shared" si="0"/>
        <v>0.47499999999999998</v>
      </c>
      <c r="R11" s="188">
        <v>15.6</v>
      </c>
      <c r="S11" s="188">
        <v>139</v>
      </c>
      <c r="T11" s="217">
        <f t="shared" si="1"/>
        <v>30</v>
      </c>
      <c r="U11" s="193">
        <v>148</v>
      </c>
      <c r="V11" s="184">
        <f t="shared" si="2"/>
        <v>4440</v>
      </c>
      <c r="W11" s="190">
        <v>4</v>
      </c>
      <c r="X11" s="186" t="s">
        <v>46</v>
      </c>
      <c r="Y11" s="194" t="s">
        <v>88</v>
      </c>
      <c r="Z11" s="186" t="s">
        <v>78</v>
      </c>
      <c r="AA11" s="195" t="s">
        <v>102</v>
      </c>
      <c r="AB11" s="55" t="s">
        <v>350</v>
      </c>
      <c r="AE11" s="223" t="s">
        <v>65</v>
      </c>
      <c r="AG11" s="238"/>
      <c r="AH11" s="238"/>
      <c r="AL11" s="235"/>
      <c r="AP11" s="224" t="s">
        <v>104</v>
      </c>
      <c r="AR11" s="231" t="s">
        <v>87</v>
      </c>
      <c r="AV11" s="224" t="s">
        <v>69</v>
      </c>
    </row>
    <row r="12" spans="1:53" x14ac:dyDescent="0.15">
      <c r="A12" s="177" t="s">
        <v>34</v>
      </c>
      <c r="B12" s="177" t="s">
        <v>348</v>
      </c>
      <c r="C12" s="177">
        <v>2018</v>
      </c>
      <c r="D12" s="261" t="s">
        <v>511</v>
      </c>
      <c r="E12" s="178" t="s">
        <v>293</v>
      </c>
      <c r="F12" s="177" t="s">
        <v>294</v>
      </c>
      <c r="G12" s="180" t="s">
        <v>36</v>
      </c>
      <c r="H12" s="137" t="s">
        <v>168</v>
      </c>
      <c r="I12" s="137" t="s">
        <v>155</v>
      </c>
      <c r="J12" s="137" t="s">
        <v>38</v>
      </c>
      <c r="K12" s="137" t="s">
        <v>156</v>
      </c>
      <c r="L12" s="208">
        <v>2</v>
      </c>
      <c r="N12" s="208">
        <v>1</v>
      </c>
      <c r="O12" s="208">
        <v>0.4</v>
      </c>
      <c r="P12" s="208">
        <v>0.5</v>
      </c>
      <c r="Q12" s="245">
        <f t="shared" si="0"/>
        <v>0.45</v>
      </c>
      <c r="R12" s="188">
        <v>15.2</v>
      </c>
      <c r="S12" s="188">
        <v>134</v>
      </c>
      <c r="T12" s="217">
        <f t="shared" si="1"/>
        <v>30</v>
      </c>
      <c r="U12" s="193">
        <v>148</v>
      </c>
      <c r="V12" s="184">
        <f t="shared" si="2"/>
        <v>4440</v>
      </c>
      <c r="W12" s="190">
        <v>4</v>
      </c>
      <c r="X12" s="186" t="s">
        <v>46</v>
      </c>
      <c r="Y12" s="194" t="s">
        <v>88</v>
      </c>
      <c r="Z12" s="186" t="s">
        <v>78</v>
      </c>
      <c r="AA12" s="195" t="s">
        <v>102</v>
      </c>
      <c r="AB12" s="55" t="s">
        <v>350</v>
      </c>
      <c r="AE12" s="223" t="s">
        <v>70</v>
      </c>
      <c r="AG12" s="238"/>
      <c r="AH12" s="238"/>
      <c r="AL12" s="235"/>
      <c r="AP12" s="224" t="s">
        <v>67</v>
      </c>
      <c r="AR12" s="231" t="s">
        <v>124</v>
      </c>
      <c r="AV12" s="224" t="s">
        <v>72</v>
      </c>
    </row>
    <row r="13" spans="1:53" x14ac:dyDescent="0.15">
      <c r="A13" s="177" t="s">
        <v>34</v>
      </c>
      <c r="B13" s="177" t="s">
        <v>348</v>
      </c>
      <c r="C13" s="178">
        <v>2018</v>
      </c>
      <c r="D13" s="261" t="s">
        <v>511</v>
      </c>
      <c r="E13" s="178" t="s">
        <v>293</v>
      </c>
      <c r="F13" s="177" t="s">
        <v>294</v>
      </c>
      <c r="G13" s="180" t="s">
        <v>36</v>
      </c>
      <c r="H13" s="137" t="s">
        <v>168</v>
      </c>
      <c r="I13" s="137" t="s">
        <v>155</v>
      </c>
      <c r="J13" s="137" t="s">
        <v>38</v>
      </c>
      <c r="K13" s="137" t="s">
        <v>156</v>
      </c>
      <c r="L13" s="208">
        <v>3</v>
      </c>
      <c r="N13" s="208">
        <v>1</v>
      </c>
      <c r="O13" s="208">
        <v>0.4</v>
      </c>
      <c r="P13" s="208">
        <v>0.45</v>
      </c>
      <c r="Q13" s="245">
        <f t="shared" si="0"/>
        <v>0.42500000000000004</v>
      </c>
      <c r="R13" s="188">
        <v>15.8</v>
      </c>
      <c r="S13" s="188">
        <v>133</v>
      </c>
      <c r="T13" s="217">
        <f t="shared" si="1"/>
        <v>30</v>
      </c>
      <c r="U13" s="193">
        <v>148</v>
      </c>
      <c r="V13" s="184">
        <f t="shared" si="2"/>
        <v>4440</v>
      </c>
      <c r="W13" s="190">
        <v>4</v>
      </c>
      <c r="X13" s="186" t="s">
        <v>46</v>
      </c>
      <c r="Y13" s="194" t="s">
        <v>88</v>
      </c>
      <c r="Z13" s="186" t="s">
        <v>78</v>
      </c>
      <c r="AA13" s="195" t="s">
        <v>102</v>
      </c>
      <c r="AB13" s="55" t="s">
        <v>350</v>
      </c>
      <c r="AE13" s="223" t="s">
        <v>73</v>
      </c>
      <c r="AG13" s="196"/>
      <c r="AH13" s="196"/>
      <c r="AP13" s="224" t="s">
        <v>71</v>
      </c>
      <c r="AR13" s="231" t="s">
        <v>103</v>
      </c>
      <c r="AV13" s="224" t="s">
        <v>75</v>
      </c>
    </row>
    <row r="14" spans="1:53" x14ac:dyDescent="0.15">
      <c r="A14" s="177" t="s">
        <v>34</v>
      </c>
      <c r="B14" s="177" t="s">
        <v>348</v>
      </c>
      <c r="C14" s="177">
        <v>2018</v>
      </c>
      <c r="D14" s="261" t="s">
        <v>511</v>
      </c>
      <c r="E14" s="178" t="s">
        <v>296</v>
      </c>
      <c r="F14" s="177" t="s">
        <v>294</v>
      </c>
      <c r="G14" s="180" t="s">
        <v>36</v>
      </c>
      <c r="H14" s="137" t="s">
        <v>168</v>
      </c>
      <c r="I14" s="137" t="s">
        <v>155</v>
      </c>
      <c r="J14" s="137" t="s">
        <v>38</v>
      </c>
      <c r="K14" s="137" t="s">
        <v>156</v>
      </c>
      <c r="L14" s="208">
        <v>1</v>
      </c>
      <c r="N14" s="208">
        <v>1</v>
      </c>
      <c r="O14" s="208">
        <v>0.85</v>
      </c>
      <c r="P14" s="208">
        <v>0.9</v>
      </c>
      <c r="Q14" s="245">
        <f t="shared" si="0"/>
        <v>0.875</v>
      </c>
      <c r="R14" s="188">
        <v>15</v>
      </c>
      <c r="S14" s="188">
        <v>123</v>
      </c>
      <c r="T14" s="217">
        <f t="shared" si="1"/>
        <v>30</v>
      </c>
      <c r="U14" s="193">
        <v>158</v>
      </c>
      <c r="V14" s="184">
        <v>3582</v>
      </c>
      <c r="W14" s="190">
        <v>2</v>
      </c>
      <c r="X14" s="186" t="s">
        <v>46</v>
      </c>
      <c r="Y14" s="194" t="s">
        <v>97</v>
      </c>
      <c r="Z14" s="194" t="s">
        <v>78</v>
      </c>
      <c r="AA14" s="195" t="s">
        <v>88</v>
      </c>
      <c r="AB14" s="55" t="s">
        <v>350</v>
      </c>
      <c r="AC14" s="235"/>
      <c r="AE14" s="223" t="s">
        <v>76</v>
      </c>
      <c r="AG14" s="247"/>
      <c r="AH14" s="247"/>
      <c r="AP14" s="224" t="s">
        <v>74</v>
      </c>
      <c r="AR14" s="231" t="s">
        <v>125</v>
      </c>
      <c r="AV14" s="224" t="s">
        <v>78</v>
      </c>
    </row>
    <row r="15" spans="1:53" x14ac:dyDescent="0.15">
      <c r="A15" s="177" t="s">
        <v>34</v>
      </c>
      <c r="B15" s="177" t="s">
        <v>348</v>
      </c>
      <c r="C15" s="178">
        <v>2018</v>
      </c>
      <c r="D15" s="261" t="s">
        <v>511</v>
      </c>
      <c r="E15" s="178" t="s">
        <v>296</v>
      </c>
      <c r="F15" s="177" t="s">
        <v>294</v>
      </c>
      <c r="G15" s="180" t="s">
        <v>36</v>
      </c>
      <c r="H15" s="137" t="s">
        <v>168</v>
      </c>
      <c r="I15" s="137" t="s">
        <v>155</v>
      </c>
      <c r="J15" s="137" t="s">
        <v>38</v>
      </c>
      <c r="K15" s="137" t="s">
        <v>156</v>
      </c>
      <c r="L15" s="208">
        <v>2</v>
      </c>
      <c r="N15" s="208">
        <v>1</v>
      </c>
      <c r="O15" s="208">
        <v>0.6</v>
      </c>
      <c r="P15" s="208">
        <v>0.55000000000000004</v>
      </c>
      <c r="Q15" s="245">
        <f t="shared" si="0"/>
        <v>0.57499999999999996</v>
      </c>
      <c r="R15" s="188">
        <v>15.3</v>
      </c>
      <c r="S15" s="188">
        <v>122</v>
      </c>
      <c r="T15" s="217">
        <f t="shared" si="1"/>
        <v>30</v>
      </c>
      <c r="U15" s="193">
        <v>158</v>
      </c>
      <c r="V15" s="184">
        <f t="shared" si="2"/>
        <v>4740</v>
      </c>
      <c r="W15" s="190">
        <v>2</v>
      </c>
      <c r="X15" s="186" t="s">
        <v>46</v>
      </c>
      <c r="Y15" s="194" t="s">
        <v>97</v>
      </c>
      <c r="Z15" s="194" t="s">
        <v>78</v>
      </c>
      <c r="AA15" s="195" t="s">
        <v>88</v>
      </c>
      <c r="AB15" s="55" t="s">
        <v>350</v>
      </c>
      <c r="AC15" s="235"/>
      <c r="AE15" s="223" t="s">
        <v>79</v>
      </c>
      <c r="AP15" s="224" t="s">
        <v>77</v>
      </c>
      <c r="AR15" s="231" t="s">
        <v>94</v>
      </c>
      <c r="AV15" s="224" t="s">
        <v>107</v>
      </c>
    </row>
    <row r="16" spans="1:53" x14ac:dyDescent="0.15">
      <c r="A16" s="177" t="s">
        <v>34</v>
      </c>
      <c r="B16" s="177" t="s">
        <v>348</v>
      </c>
      <c r="C16" s="177">
        <v>2018</v>
      </c>
      <c r="D16" s="261" t="s">
        <v>511</v>
      </c>
      <c r="E16" s="178" t="s">
        <v>296</v>
      </c>
      <c r="F16" s="177" t="s">
        <v>294</v>
      </c>
      <c r="G16" s="180" t="s">
        <v>36</v>
      </c>
      <c r="H16" s="137" t="s">
        <v>168</v>
      </c>
      <c r="I16" s="137" t="s">
        <v>155</v>
      </c>
      <c r="J16" s="137" t="s">
        <v>38</v>
      </c>
      <c r="K16" s="137" t="s">
        <v>156</v>
      </c>
      <c r="L16" s="208">
        <v>3</v>
      </c>
      <c r="N16" s="208">
        <v>1</v>
      </c>
      <c r="O16" s="208">
        <v>0.65</v>
      </c>
      <c r="P16" s="208">
        <v>0.6</v>
      </c>
      <c r="Q16" s="245">
        <f t="shared" si="0"/>
        <v>0.625</v>
      </c>
      <c r="R16" s="188">
        <v>14.9</v>
      </c>
      <c r="S16" s="188">
        <v>121</v>
      </c>
      <c r="T16" s="217">
        <f t="shared" si="1"/>
        <v>30</v>
      </c>
      <c r="U16" s="193">
        <v>158</v>
      </c>
      <c r="V16" s="184">
        <f t="shared" si="2"/>
        <v>4740</v>
      </c>
      <c r="W16" s="190">
        <v>2</v>
      </c>
      <c r="X16" s="186" t="s">
        <v>46</v>
      </c>
      <c r="Y16" s="194" t="s">
        <v>97</v>
      </c>
      <c r="Z16" s="194" t="s">
        <v>78</v>
      </c>
      <c r="AA16" s="195" t="s">
        <v>88</v>
      </c>
      <c r="AB16" s="55" t="s">
        <v>350</v>
      </c>
      <c r="AC16" s="235"/>
      <c r="AE16" s="223" t="s">
        <v>82</v>
      </c>
      <c r="AP16" s="224" t="s">
        <v>80</v>
      </c>
      <c r="AR16" s="238" t="s">
        <v>63</v>
      </c>
      <c r="AV16" s="224" t="s">
        <v>84</v>
      </c>
    </row>
    <row r="17" spans="1:48" x14ac:dyDescent="0.15">
      <c r="A17" s="177" t="s">
        <v>34</v>
      </c>
      <c r="B17" s="177" t="s">
        <v>348</v>
      </c>
      <c r="C17" s="178">
        <v>2018</v>
      </c>
      <c r="D17" s="261" t="s">
        <v>511</v>
      </c>
      <c r="E17" s="178" t="s">
        <v>507</v>
      </c>
      <c r="F17" s="177" t="s">
        <v>527</v>
      </c>
      <c r="G17" s="180" t="s">
        <v>36</v>
      </c>
      <c r="H17" s="137" t="s">
        <v>157</v>
      </c>
      <c r="I17" s="137" t="s">
        <v>155</v>
      </c>
      <c r="J17" s="137" t="s">
        <v>38</v>
      </c>
      <c r="K17" s="137" t="s">
        <v>156</v>
      </c>
      <c r="L17" s="208">
        <v>1</v>
      </c>
      <c r="N17" s="208">
        <v>1</v>
      </c>
      <c r="O17" s="208">
        <v>0.55000000000000004</v>
      </c>
      <c r="P17" s="208">
        <v>0.5</v>
      </c>
      <c r="Q17" s="245">
        <f t="shared" si="0"/>
        <v>0.52500000000000002</v>
      </c>
      <c r="R17" s="188">
        <v>16.3</v>
      </c>
      <c r="S17" s="188">
        <v>123</v>
      </c>
      <c r="T17" s="217">
        <f t="shared" si="1"/>
        <v>30</v>
      </c>
      <c r="U17" s="193">
        <v>98</v>
      </c>
      <c r="V17" s="184">
        <f t="shared" si="2"/>
        <v>2940</v>
      </c>
      <c r="W17" s="190">
        <v>4</v>
      </c>
      <c r="X17" s="186" t="s">
        <v>46</v>
      </c>
      <c r="Y17" s="194" t="s">
        <v>97</v>
      </c>
      <c r="Z17" s="194" t="s">
        <v>86</v>
      </c>
      <c r="AA17" s="195" t="s">
        <v>90</v>
      </c>
      <c r="AB17" s="55" t="s">
        <v>350</v>
      </c>
      <c r="AC17" s="235"/>
      <c r="AE17" s="223" t="s">
        <v>85</v>
      </c>
      <c r="AP17" s="239" t="s">
        <v>110</v>
      </c>
      <c r="AR17" s="238" t="s">
        <v>96</v>
      </c>
      <c r="AV17" s="224" t="s">
        <v>86</v>
      </c>
    </row>
    <row r="18" spans="1:48" x14ac:dyDescent="0.15">
      <c r="A18" s="177" t="s">
        <v>34</v>
      </c>
      <c r="B18" s="177" t="s">
        <v>348</v>
      </c>
      <c r="C18" s="177">
        <v>2018</v>
      </c>
      <c r="D18" s="261" t="s">
        <v>511</v>
      </c>
      <c r="E18" s="178" t="s">
        <v>507</v>
      </c>
      <c r="F18" s="177" t="s">
        <v>527</v>
      </c>
      <c r="G18" s="180" t="s">
        <v>36</v>
      </c>
      <c r="H18" s="137" t="s">
        <v>157</v>
      </c>
      <c r="I18" s="137" t="s">
        <v>155</v>
      </c>
      <c r="J18" s="137" t="s">
        <v>38</v>
      </c>
      <c r="K18" s="137" t="s">
        <v>156</v>
      </c>
      <c r="L18" s="208">
        <v>2</v>
      </c>
      <c r="N18" s="208">
        <v>1</v>
      </c>
      <c r="O18" s="208">
        <v>0.6</v>
      </c>
      <c r="P18" s="208">
        <v>0.55000000000000004</v>
      </c>
      <c r="Q18" s="245">
        <f t="shared" si="0"/>
        <v>0.57499999999999996</v>
      </c>
      <c r="R18" s="188">
        <v>16.8</v>
      </c>
      <c r="S18" s="188">
        <v>112</v>
      </c>
      <c r="T18" s="217">
        <f t="shared" si="1"/>
        <v>33</v>
      </c>
      <c r="U18" s="193">
        <v>98</v>
      </c>
      <c r="V18" s="184">
        <f t="shared" si="2"/>
        <v>3234</v>
      </c>
      <c r="W18" s="190">
        <v>4</v>
      </c>
      <c r="X18" s="186" t="s">
        <v>46</v>
      </c>
      <c r="Y18" s="194" t="s">
        <v>97</v>
      </c>
      <c r="Z18" s="194" t="s">
        <v>86</v>
      </c>
      <c r="AA18" s="195" t="s">
        <v>90</v>
      </c>
      <c r="AB18" s="55" t="s">
        <v>350</v>
      </c>
      <c r="AC18" s="235"/>
      <c r="AE18" s="223" t="s">
        <v>87</v>
      </c>
      <c r="AP18" s="239" t="s">
        <v>111</v>
      </c>
      <c r="AR18" s="238" t="s">
        <v>101</v>
      </c>
      <c r="AV18" s="224" t="s">
        <v>88</v>
      </c>
    </row>
    <row r="19" spans="1:48" x14ac:dyDescent="0.15">
      <c r="A19" s="177" t="s">
        <v>34</v>
      </c>
      <c r="B19" s="177" t="s">
        <v>348</v>
      </c>
      <c r="C19" s="178">
        <v>2018</v>
      </c>
      <c r="D19" s="261" t="s">
        <v>511</v>
      </c>
      <c r="E19" s="178" t="s">
        <v>507</v>
      </c>
      <c r="F19" s="177" t="s">
        <v>527</v>
      </c>
      <c r="G19" s="180" t="s">
        <v>36</v>
      </c>
      <c r="H19" s="137" t="s">
        <v>157</v>
      </c>
      <c r="I19" s="137" t="s">
        <v>155</v>
      </c>
      <c r="J19" s="137" t="s">
        <v>38</v>
      </c>
      <c r="K19" s="137" t="s">
        <v>156</v>
      </c>
      <c r="L19" s="208">
        <v>3</v>
      </c>
      <c r="N19" s="208">
        <v>1</v>
      </c>
      <c r="O19" s="208">
        <v>0.55000000000000004</v>
      </c>
      <c r="P19" s="208">
        <v>0.6</v>
      </c>
      <c r="Q19" s="245">
        <f t="shared" si="0"/>
        <v>0.57499999999999996</v>
      </c>
      <c r="R19" s="188">
        <v>16.100000000000001</v>
      </c>
      <c r="S19" s="188">
        <v>118</v>
      </c>
      <c r="T19" s="217">
        <f t="shared" si="1"/>
        <v>30</v>
      </c>
      <c r="U19" s="193">
        <v>98</v>
      </c>
      <c r="V19" s="184">
        <f t="shared" si="2"/>
        <v>2940</v>
      </c>
      <c r="W19" s="190">
        <v>4</v>
      </c>
      <c r="X19" s="186" t="s">
        <v>46</v>
      </c>
      <c r="Y19" s="194" t="s">
        <v>97</v>
      </c>
      <c r="Z19" s="194" t="s">
        <v>86</v>
      </c>
      <c r="AA19" s="195" t="s">
        <v>90</v>
      </c>
      <c r="AB19" s="55" t="s">
        <v>350</v>
      </c>
      <c r="AC19" s="235"/>
      <c r="AE19" s="236" t="s">
        <v>89</v>
      </c>
      <c r="AP19" s="239" t="s">
        <v>112</v>
      </c>
      <c r="AR19" s="231" t="s">
        <v>126</v>
      </c>
      <c r="AV19" s="224" t="s">
        <v>90</v>
      </c>
    </row>
    <row r="20" spans="1:48" x14ac:dyDescent="0.15">
      <c r="A20" s="177" t="s">
        <v>34</v>
      </c>
      <c r="B20" s="177" t="s">
        <v>348</v>
      </c>
      <c r="C20" s="177">
        <v>2018</v>
      </c>
      <c r="D20" s="261" t="s">
        <v>511</v>
      </c>
      <c r="E20" s="178" t="s">
        <v>507</v>
      </c>
      <c r="F20" s="177" t="s">
        <v>527</v>
      </c>
      <c r="G20" s="180" t="s">
        <v>36</v>
      </c>
      <c r="H20" s="137" t="s">
        <v>168</v>
      </c>
      <c r="I20" s="137" t="s">
        <v>155</v>
      </c>
      <c r="J20" s="137" t="s">
        <v>38</v>
      </c>
      <c r="K20" s="137" t="s">
        <v>156</v>
      </c>
      <c r="L20" s="208">
        <v>1</v>
      </c>
      <c r="N20" s="208">
        <v>1</v>
      </c>
      <c r="O20" s="208">
        <v>0.5</v>
      </c>
      <c r="P20" s="208">
        <v>0.5</v>
      </c>
      <c r="Q20" s="245">
        <f t="shared" si="0"/>
        <v>0.5</v>
      </c>
      <c r="R20" s="188">
        <v>14.4</v>
      </c>
      <c r="S20" s="197">
        <v>128</v>
      </c>
      <c r="T20" s="217">
        <f t="shared" si="1"/>
        <v>30</v>
      </c>
      <c r="U20" s="193">
        <v>98</v>
      </c>
      <c r="V20" s="184">
        <f t="shared" si="2"/>
        <v>2940</v>
      </c>
      <c r="W20" s="190">
        <v>4</v>
      </c>
      <c r="X20" s="186" t="s">
        <v>46</v>
      </c>
      <c r="Y20" s="194" t="s">
        <v>97</v>
      </c>
      <c r="Z20" s="194" t="s">
        <v>86</v>
      </c>
      <c r="AA20" s="195" t="s">
        <v>90</v>
      </c>
      <c r="AB20" s="55" t="s">
        <v>350</v>
      </c>
      <c r="AE20" s="236"/>
      <c r="AP20" s="239" t="s">
        <v>113</v>
      </c>
      <c r="AR20" s="238" t="s">
        <v>105</v>
      </c>
      <c r="AV20" s="228" t="s">
        <v>375</v>
      </c>
    </row>
    <row r="21" spans="1:48" x14ac:dyDescent="0.15">
      <c r="A21" s="177" t="s">
        <v>34</v>
      </c>
      <c r="B21" s="177" t="s">
        <v>348</v>
      </c>
      <c r="C21" s="178">
        <v>2018</v>
      </c>
      <c r="D21" s="261" t="s">
        <v>511</v>
      </c>
      <c r="E21" s="178" t="s">
        <v>507</v>
      </c>
      <c r="F21" s="177" t="s">
        <v>527</v>
      </c>
      <c r="G21" s="180" t="s">
        <v>36</v>
      </c>
      <c r="H21" s="137" t="s">
        <v>168</v>
      </c>
      <c r="I21" s="137" t="s">
        <v>155</v>
      </c>
      <c r="J21" s="137" t="s">
        <v>38</v>
      </c>
      <c r="K21" s="137" t="s">
        <v>156</v>
      </c>
      <c r="L21" s="208">
        <v>2</v>
      </c>
      <c r="N21" s="208">
        <v>1</v>
      </c>
      <c r="O21" s="208">
        <v>0.5</v>
      </c>
      <c r="P21" s="208">
        <v>0.45</v>
      </c>
      <c r="Q21" s="245">
        <f t="shared" si="0"/>
        <v>0.47499999999999998</v>
      </c>
      <c r="R21" s="197">
        <v>15.2</v>
      </c>
      <c r="S21" s="188">
        <v>125</v>
      </c>
      <c r="T21" s="217">
        <f t="shared" si="1"/>
        <v>30</v>
      </c>
      <c r="U21" s="193">
        <v>98</v>
      </c>
      <c r="V21" s="184">
        <f t="shared" si="2"/>
        <v>2940</v>
      </c>
      <c r="W21" s="190">
        <v>4</v>
      </c>
      <c r="X21" s="186" t="s">
        <v>46</v>
      </c>
      <c r="Y21" s="194" t="s">
        <v>97</v>
      </c>
      <c r="Z21" s="194" t="s">
        <v>86</v>
      </c>
      <c r="AA21" s="195" t="s">
        <v>90</v>
      </c>
      <c r="AB21" s="55" t="s">
        <v>350</v>
      </c>
      <c r="AE21" s="229"/>
      <c r="AP21" s="239" t="s">
        <v>114</v>
      </c>
      <c r="AR21" s="238" t="s">
        <v>68</v>
      </c>
      <c r="AV21" s="228" t="s">
        <v>376</v>
      </c>
    </row>
    <row r="22" spans="1:48" x14ac:dyDescent="0.15">
      <c r="A22" s="177" t="s">
        <v>34</v>
      </c>
      <c r="B22" s="177" t="s">
        <v>348</v>
      </c>
      <c r="C22" s="177">
        <v>2018</v>
      </c>
      <c r="D22" s="261" t="s">
        <v>511</v>
      </c>
      <c r="E22" s="178" t="s">
        <v>507</v>
      </c>
      <c r="F22" s="177" t="s">
        <v>527</v>
      </c>
      <c r="G22" s="180" t="s">
        <v>36</v>
      </c>
      <c r="H22" s="137" t="s">
        <v>168</v>
      </c>
      <c r="I22" s="137" t="s">
        <v>155</v>
      </c>
      <c r="J22" s="137" t="s">
        <v>38</v>
      </c>
      <c r="K22" s="137" t="s">
        <v>156</v>
      </c>
      <c r="L22" s="208">
        <v>3</v>
      </c>
      <c r="N22" s="208">
        <v>1</v>
      </c>
      <c r="O22" s="208">
        <v>0.45</v>
      </c>
      <c r="P22" s="235">
        <v>0.4</v>
      </c>
      <c r="Q22" s="245">
        <f t="shared" si="0"/>
        <v>0.42500000000000004</v>
      </c>
      <c r="R22" s="188">
        <v>15.5</v>
      </c>
      <c r="S22" s="188">
        <v>123</v>
      </c>
      <c r="T22" s="217">
        <f t="shared" si="1"/>
        <v>30</v>
      </c>
      <c r="U22" s="193">
        <v>98</v>
      </c>
      <c r="V22" s="184">
        <f t="shared" si="2"/>
        <v>2940</v>
      </c>
      <c r="W22" s="190">
        <v>4</v>
      </c>
      <c r="X22" s="186" t="s">
        <v>46</v>
      </c>
      <c r="Y22" s="194" t="s">
        <v>97</v>
      </c>
      <c r="Z22" s="194" t="s">
        <v>86</v>
      </c>
      <c r="AA22" s="195" t="s">
        <v>90</v>
      </c>
      <c r="AB22" s="55" t="s">
        <v>350</v>
      </c>
      <c r="AP22" s="239" t="s">
        <v>115</v>
      </c>
      <c r="AR22" s="238" t="s">
        <v>83</v>
      </c>
      <c r="AV22" s="224"/>
    </row>
    <row r="23" spans="1:48" x14ac:dyDescent="0.15">
      <c r="A23" s="177" t="s">
        <v>34</v>
      </c>
      <c r="B23" s="177" t="s">
        <v>348</v>
      </c>
      <c r="C23" s="178">
        <v>2018</v>
      </c>
      <c r="D23" s="261" t="s">
        <v>511</v>
      </c>
      <c r="E23" s="178" t="s">
        <v>290</v>
      </c>
      <c r="F23" s="177" t="s">
        <v>291</v>
      </c>
      <c r="G23" s="180" t="s">
        <v>42</v>
      </c>
      <c r="H23" s="137" t="s">
        <v>157</v>
      </c>
      <c r="I23" s="137" t="s">
        <v>155</v>
      </c>
      <c r="J23" s="137" t="s">
        <v>38</v>
      </c>
      <c r="K23" s="137" t="s">
        <v>156</v>
      </c>
      <c r="L23" s="208">
        <v>1</v>
      </c>
      <c r="N23" s="208">
        <v>1</v>
      </c>
      <c r="O23" s="208">
        <v>0.6</v>
      </c>
      <c r="P23" s="235">
        <v>0.55000000000000004</v>
      </c>
      <c r="Q23" s="245">
        <f t="shared" si="0"/>
        <v>0.57499999999999996</v>
      </c>
      <c r="R23" s="188">
        <v>14.8</v>
      </c>
      <c r="S23" s="188">
        <v>139</v>
      </c>
      <c r="T23" s="217">
        <f t="shared" si="1"/>
        <v>30</v>
      </c>
      <c r="U23" s="193">
        <v>127</v>
      </c>
      <c r="V23" s="184">
        <f t="shared" si="2"/>
        <v>3810</v>
      </c>
      <c r="W23" s="190">
        <v>4</v>
      </c>
      <c r="X23" s="186" t="s">
        <v>46</v>
      </c>
      <c r="Y23" s="194" t="s">
        <v>88</v>
      </c>
      <c r="Z23" s="194" t="s">
        <v>102</v>
      </c>
      <c r="AA23" s="195" t="s">
        <v>78</v>
      </c>
      <c r="AB23" s="55" t="s">
        <v>350</v>
      </c>
      <c r="AP23" s="239" t="s">
        <v>408</v>
      </c>
      <c r="AR23" s="238" t="s">
        <v>61</v>
      </c>
      <c r="AV23" s="224"/>
    </row>
    <row r="24" spans="1:48" x14ac:dyDescent="0.15">
      <c r="A24" s="177" t="s">
        <v>34</v>
      </c>
      <c r="B24" s="177" t="s">
        <v>348</v>
      </c>
      <c r="C24" s="177">
        <v>2018</v>
      </c>
      <c r="D24" s="261" t="s">
        <v>511</v>
      </c>
      <c r="E24" s="178" t="s">
        <v>290</v>
      </c>
      <c r="F24" s="177" t="s">
        <v>291</v>
      </c>
      <c r="G24" s="180" t="s">
        <v>42</v>
      </c>
      <c r="H24" s="137" t="s">
        <v>157</v>
      </c>
      <c r="I24" s="137" t="s">
        <v>155</v>
      </c>
      <c r="J24" s="137" t="s">
        <v>38</v>
      </c>
      <c r="K24" s="137" t="s">
        <v>156</v>
      </c>
      <c r="L24" s="208">
        <v>2</v>
      </c>
      <c r="N24" s="208">
        <v>1</v>
      </c>
      <c r="O24" s="208">
        <v>0.5</v>
      </c>
      <c r="P24" s="235">
        <v>0.45</v>
      </c>
      <c r="Q24" s="245">
        <f t="shared" si="0"/>
        <v>0.47499999999999998</v>
      </c>
      <c r="R24" s="188">
        <v>15.3</v>
      </c>
      <c r="S24" s="188">
        <v>136</v>
      </c>
      <c r="T24" s="217">
        <f t="shared" si="1"/>
        <v>30</v>
      </c>
      <c r="U24" s="193">
        <v>127</v>
      </c>
      <c r="V24" s="184">
        <f t="shared" si="2"/>
        <v>3810</v>
      </c>
      <c r="W24" s="190">
        <v>4</v>
      </c>
      <c r="X24" s="186" t="s">
        <v>46</v>
      </c>
      <c r="Y24" s="194" t="s">
        <v>88</v>
      </c>
      <c r="Z24" s="194" t="s">
        <v>102</v>
      </c>
      <c r="AA24" s="195" t="s">
        <v>78</v>
      </c>
      <c r="AB24" s="55" t="s">
        <v>350</v>
      </c>
      <c r="AP24" s="239" t="s">
        <v>409</v>
      </c>
      <c r="AR24" s="238" t="s">
        <v>91</v>
      </c>
      <c r="AV24" s="224"/>
    </row>
    <row r="25" spans="1:48" x14ac:dyDescent="0.15">
      <c r="A25" s="177" t="s">
        <v>34</v>
      </c>
      <c r="B25" s="177" t="s">
        <v>348</v>
      </c>
      <c r="C25" s="178">
        <v>2018</v>
      </c>
      <c r="D25" s="261" t="s">
        <v>511</v>
      </c>
      <c r="E25" s="178" t="s">
        <v>290</v>
      </c>
      <c r="F25" s="177" t="s">
        <v>291</v>
      </c>
      <c r="G25" s="180" t="s">
        <v>42</v>
      </c>
      <c r="H25" s="137" t="s">
        <v>157</v>
      </c>
      <c r="I25" s="137" t="s">
        <v>155</v>
      </c>
      <c r="J25" s="137" t="s">
        <v>38</v>
      </c>
      <c r="K25" s="137" t="s">
        <v>156</v>
      </c>
      <c r="L25" s="208">
        <v>3</v>
      </c>
      <c r="N25" s="208">
        <v>1</v>
      </c>
      <c r="O25" s="208">
        <v>0.55000000000000004</v>
      </c>
      <c r="P25" s="235">
        <v>0.6</v>
      </c>
      <c r="Q25" s="245">
        <f t="shared" si="0"/>
        <v>0.57499999999999996</v>
      </c>
      <c r="R25" s="188">
        <v>15.5</v>
      </c>
      <c r="S25" s="188">
        <v>135</v>
      </c>
      <c r="T25" s="217">
        <f t="shared" si="1"/>
        <v>30</v>
      </c>
      <c r="U25" s="193">
        <v>127</v>
      </c>
      <c r="V25" s="184">
        <f t="shared" si="2"/>
        <v>3810</v>
      </c>
      <c r="W25" s="190">
        <v>4</v>
      </c>
      <c r="X25" s="186" t="s">
        <v>46</v>
      </c>
      <c r="Y25" s="194" t="s">
        <v>88</v>
      </c>
      <c r="Z25" s="194" t="s">
        <v>102</v>
      </c>
      <c r="AA25" s="195" t="s">
        <v>78</v>
      </c>
      <c r="AB25" s="55" t="s">
        <v>350</v>
      </c>
      <c r="AP25" s="239" t="s">
        <v>116</v>
      </c>
      <c r="AR25" s="42" t="s">
        <v>92</v>
      </c>
      <c r="AV25" s="224"/>
    </row>
    <row r="26" spans="1:48" x14ac:dyDescent="0.15">
      <c r="A26" s="177" t="s">
        <v>34</v>
      </c>
      <c r="B26" s="177" t="s">
        <v>348</v>
      </c>
      <c r="C26" s="177">
        <v>2018</v>
      </c>
      <c r="D26" s="261" t="s">
        <v>511</v>
      </c>
      <c r="E26" s="178" t="s">
        <v>290</v>
      </c>
      <c r="F26" s="177" t="s">
        <v>291</v>
      </c>
      <c r="G26" s="180" t="s">
        <v>42</v>
      </c>
      <c r="H26" s="137" t="s">
        <v>168</v>
      </c>
      <c r="I26" s="137" t="s">
        <v>155</v>
      </c>
      <c r="J26" s="137" t="s">
        <v>38</v>
      </c>
      <c r="K26" s="137" t="s">
        <v>156</v>
      </c>
      <c r="L26" s="208">
        <v>1</v>
      </c>
      <c r="N26" s="208">
        <v>1</v>
      </c>
      <c r="O26" s="208">
        <v>0.45</v>
      </c>
      <c r="P26" s="237">
        <v>0.5</v>
      </c>
      <c r="Q26" s="245">
        <f t="shared" si="0"/>
        <v>0.47499999999999998</v>
      </c>
      <c r="R26" s="188">
        <v>14.6</v>
      </c>
      <c r="S26" s="188">
        <v>157</v>
      </c>
      <c r="T26" s="217">
        <f t="shared" si="1"/>
        <v>30</v>
      </c>
      <c r="U26" s="193">
        <v>127</v>
      </c>
      <c r="V26" s="184">
        <f t="shared" si="2"/>
        <v>3810</v>
      </c>
      <c r="W26" s="190">
        <v>4</v>
      </c>
      <c r="X26" s="186" t="s">
        <v>46</v>
      </c>
      <c r="Y26" s="195" t="s">
        <v>88</v>
      </c>
      <c r="Z26" s="194" t="s">
        <v>102</v>
      </c>
      <c r="AA26" s="195" t="s">
        <v>78</v>
      </c>
      <c r="AB26" s="55" t="s">
        <v>350</v>
      </c>
      <c r="AP26" s="239" t="s">
        <v>117</v>
      </c>
      <c r="AR26" s="224" t="s">
        <v>300</v>
      </c>
      <c r="AV26" s="228"/>
    </row>
    <row r="27" spans="1:48" x14ac:dyDescent="0.15">
      <c r="A27" s="177" t="s">
        <v>34</v>
      </c>
      <c r="B27" s="177" t="s">
        <v>348</v>
      </c>
      <c r="C27" s="178">
        <v>2018</v>
      </c>
      <c r="D27" s="261" t="s">
        <v>511</v>
      </c>
      <c r="E27" s="178" t="s">
        <v>290</v>
      </c>
      <c r="F27" s="177" t="s">
        <v>291</v>
      </c>
      <c r="G27" s="180" t="s">
        <v>42</v>
      </c>
      <c r="H27" s="137" t="s">
        <v>168</v>
      </c>
      <c r="I27" s="137" t="s">
        <v>155</v>
      </c>
      <c r="J27" s="137" t="s">
        <v>38</v>
      </c>
      <c r="K27" s="137" t="s">
        <v>156</v>
      </c>
      <c r="L27" s="208">
        <v>2</v>
      </c>
      <c r="N27" s="208">
        <v>1</v>
      </c>
      <c r="O27" s="235">
        <v>0.5</v>
      </c>
      <c r="P27" s="237">
        <v>0.5</v>
      </c>
      <c r="Q27" s="245">
        <f t="shared" si="0"/>
        <v>0.5</v>
      </c>
      <c r="R27" s="188">
        <v>15.2</v>
      </c>
      <c r="S27" s="188">
        <v>150</v>
      </c>
      <c r="T27" s="217">
        <f t="shared" si="1"/>
        <v>30</v>
      </c>
      <c r="U27" s="193">
        <v>127</v>
      </c>
      <c r="V27" s="184">
        <f t="shared" si="2"/>
        <v>3810</v>
      </c>
      <c r="W27" s="190">
        <v>4</v>
      </c>
      <c r="X27" s="186" t="s">
        <v>46</v>
      </c>
      <c r="Y27" s="195" t="s">
        <v>88</v>
      </c>
      <c r="Z27" s="194" t="s">
        <v>102</v>
      </c>
      <c r="AA27" s="195" t="s">
        <v>78</v>
      </c>
      <c r="AB27" s="55" t="s">
        <v>350</v>
      </c>
      <c r="AP27" s="239" t="s">
        <v>118</v>
      </c>
      <c r="AR27" s="224"/>
    </row>
    <row r="28" spans="1:48" x14ac:dyDescent="0.15">
      <c r="A28" s="177" t="s">
        <v>34</v>
      </c>
      <c r="B28" s="177" t="s">
        <v>348</v>
      </c>
      <c r="C28" s="177">
        <v>2018</v>
      </c>
      <c r="D28" s="261" t="s">
        <v>511</v>
      </c>
      <c r="E28" s="178" t="s">
        <v>290</v>
      </c>
      <c r="F28" s="177" t="s">
        <v>291</v>
      </c>
      <c r="G28" s="180" t="s">
        <v>42</v>
      </c>
      <c r="H28" s="137" t="s">
        <v>168</v>
      </c>
      <c r="I28" s="137" t="s">
        <v>155</v>
      </c>
      <c r="J28" s="137" t="s">
        <v>38</v>
      </c>
      <c r="K28" s="137" t="s">
        <v>156</v>
      </c>
      <c r="L28" s="208">
        <v>3</v>
      </c>
      <c r="N28" s="208">
        <v>1</v>
      </c>
      <c r="O28" s="235">
        <v>0.45</v>
      </c>
      <c r="P28" s="208">
        <v>0.4</v>
      </c>
      <c r="Q28" s="245">
        <f t="shared" si="0"/>
        <v>0.42500000000000004</v>
      </c>
      <c r="R28" s="188">
        <v>15.3</v>
      </c>
      <c r="S28" s="188">
        <v>157</v>
      </c>
      <c r="T28" s="217">
        <f t="shared" si="1"/>
        <v>30</v>
      </c>
      <c r="U28" s="193">
        <v>127</v>
      </c>
      <c r="V28" s="184">
        <f t="shared" si="2"/>
        <v>3810</v>
      </c>
      <c r="W28" s="190">
        <v>4</v>
      </c>
      <c r="X28" s="186" t="s">
        <v>46</v>
      </c>
      <c r="Y28" s="195" t="s">
        <v>88</v>
      </c>
      <c r="Z28" s="194" t="s">
        <v>102</v>
      </c>
      <c r="AA28" s="195" t="s">
        <v>78</v>
      </c>
      <c r="AB28" s="55" t="s">
        <v>350</v>
      </c>
      <c r="AR28" s="224"/>
    </row>
    <row r="29" spans="1:48" x14ac:dyDescent="0.15">
      <c r="A29" s="177" t="s">
        <v>34</v>
      </c>
      <c r="B29" s="177" t="s">
        <v>348</v>
      </c>
      <c r="C29" s="177">
        <v>2018</v>
      </c>
      <c r="D29" s="261" t="s">
        <v>511</v>
      </c>
      <c r="E29" s="178" t="s">
        <v>528</v>
      </c>
      <c r="F29" s="177" t="s">
        <v>291</v>
      </c>
      <c r="G29" s="180" t="s">
        <v>42</v>
      </c>
      <c r="H29" s="137" t="s">
        <v>157</v>
      </c>
      <c r="I29" s="137" t="s">
        <v>155</v>
      </c>
      <c r="J29" s="137" t="s">
        <v>38</v>
      </c>
      <c r="K29" s="137" t="s">
        <v>156</v>
      </c>
      <c r="L29" s="208">
        <v>1</v>
      </c>
      <c r="N29" s="208">
        <v>1</v>
      </c>
      <c r="O29" s="208">
        <v>0.8</v>
      </c>
      <c r="P29" s="208">
        <v>0.9</v>
      </c>
      <c r="Q29" s="245">
        <f t="shared" si="0"/>
        <v>0.85000000000000009</v>
      </c>
      <c r="R29" s="188">
        <v>14.9</v>
      </c>
      <c r="S29" s="188">
        <v>135</v>
      </c>
      <c r="T29" s="217">
        <f t="shared" si="1"/>
        <v>30</v>
      </c>
      <c r="U29" s="193">
        <v>129</v>
      </c>
      <c r="V29" s="184">
        <f t="shared" si="2"/>
        <v>3870</v>
      </c>
      <c r="W29" s="190">
        <v>2</v>
      </c>
      <c r="X29" s="186" t="s">
        <v>46</v>
      </c>
      <c r="Y29" s="195" t="s">
        <v>88</v>
      </c>
      <c r="Z29" s="194" t="s">
        <v>78</v>
      </c>
      <c r="AA29" s="195" t="s">
        <v>86</v>
      </c>
      <c r="AB29" s="55" t="s">
        <v>350</v>
      </c>
      <c r="AR29" s="229"/>
    </row>
    <row r="30" spans="1:48" x14ac:dyDescent="0.15">
      <c r="A30" s="177" t="s">
        <v>34</v>
      </c>
      <c r="B30" s="177" t="s">
        <v>348</v>
      </c>
      <c r="C30" s="178">
        <v>2018</v>
      </c>
      <c r="D30" s="261" t="s">
        <v>511</v>
      </c>
      <c r="E30" s="178" t="s">
        <v>528</v>
      </c>
      <c r="F30" s="177" t="s">
        <v>291</v>
      </c>
      <c r="G30" s="180" t="s">
        <v>42</v>
      </c>
      <c r="H30" s="137" t="s">
        <v>157</v>
      </c>
      <c r="I30" s="137" t="s">
        <v>155</v>
      </c>
      <c r="J30" s="137" t="s">
        <v>38</v>
      </c>
      <c r="K30" s="137" t="s">
        <v>156</v>
      </c>
      <c r="L30" s="208">
        <v>2</v>
      </c>
      <c r="N30" s="208">
        <v>1</v>
      </c>
      <c r="O30" s="208">
        <v>0.7</v>
      </c>
      <c r="P30" s="208">
        <v>0.65</v>
      </c>
      <c r="Q30" s="245">
        <f t="shared" si="0"/>
        <v>0.67500000000000004</v>
      </c>
      <c r="R30" s="188">
        <v>15.2</v>
      </c>
      <c r="S30" s="188">
        <v>133</v>
      </c>
      <c r="T30" s="217">
        <f t="shared" si="1"/>
        <v>30</v>
      </c>
      <c r="U30" s="193">
        <v>129</v>
      </c>
      <c r="V30" s="184">
        <f t="shared" si="2"/>
        <v>3870</v>
      </c>
      <c r="W30" s="190">
        <v>2</v>
      </c>
      <c r="X30" s="186" t="s">
        <v>46</v>
      </c>
      <c r="Y30" s="195" t="s">
        <v>88</v>
      </c>
      <c r="Z30" s="194" t="s">
        <v>78</v>
      </c>
      <c r="AA30" s="195" t="s">
        <v>86</v>
      </c>
      <c r="AB30" s="55" t="s">
        <v>350</v>
      </c>
    </row>
    <row r="31" spans="1:48" x14ac:dyDescent="0.15">
      <c r="A31" s="177" t="s">
        <v>34</v>
      </c>
      <c r="B31" s="177" t="s">
        <v>348</v>
      </c>
      <c r="C31" s="177">
        <v>2018</v>
      </c>
      <c r="D31" s="261" t="s">
        <v>511</v>
      </c>
      <c r="E31" s="178" t="s">
        <v>528</v>
      </c>
      <c r="F31" s="177" t="s">
        <v>291</v>
      </c>
      <c r="G31" s="180" t="s">
        <v>42</v>
      </c>
      <c r="H31" s="137" t="s">
        <v>157</v>
      </c>
      <c r="I31" s="137" t="s">
        <v>155</v>
      </c>
      <c r="J31" s="137" t="s">
        <v>38</v>
      </c>
      <c r="K31" s="137" t="s">
        <v>156</v>
      </c>
      <c r="L31" s="208">
        <v>3</v>
      </c>
      <c r="N31" s="208">
        <v>1</v>
      </c>
      <c r="O31" s="208">
        <v>0.75</v>
      </c>
      <c r="P31" s="208">
        <v>0.6</v>
      </c>
      <c r="Q31" s="245">
        <f t="shared" si="0"/>
        <v>0.67500000000000004</v>
      </c>
      <c r="R31" s="188">
        <v>15.7</v>
      </c>
      <c r="S31" s="188">
        <v>133</v>
      </c>
      <c r="T31" s="217">
        <f t="shared" si="1"/>
        <v>30</v>
      </c>
      <c r="U31" s="193">
        <v>129</v>
      </c>
      <c r="V31" s="184">
        <f t="shared" si="2"/>
        <v>3870</v>
      </c>
      <c r="W31" s="190">
        <v>2</v>
      </c>
      <c r="X31" s="186" t="s">
        <v>46</v>
      </c>
      <c r="Y31" s="195" t="s">
        <v>88</v>
      </c>
      <c r="Z31" s="194" t="s">
        <v>78</v>
      </c>
      <c r="AA31" s="195" t="s">
        <v>86</v>
      </c>
      <c r="AB31" s="55" t="s">
        <v>350</v>
      </c>
    </row>
    <row r="32" spans="1:48" ht="14.25" customHeight="1" x14ac:dyDescent="0.15">
      <c r="A32" s="177" t="s">
        <v>34</v>
      </c>
      <c r="B32" s="177" t="s">
        <v>348</v>
      </c>
      <c r="C32" s="178">
        <v>2018</v>
      </c>
      <c r="D32" s="261" t="s">
        <v>511</v>
      </c>
      <c r="E32" s="178" t="s">
        <v>528</v>
      </c>
      <c r="F32" s="177" t="s">
        <v>291</v>
      </c>
      <c r="G32" s="180" t="s">
        <v>42</v>
      </c>
      <c r="H32" s="137" t="s">
        <v>168</v>
      </c>
      <c r="I32" s="137" t="s">
        <v>155</v>
      </c>
      <c r="J32" s="137" t="s">
        <v>38</v>
      </c>
      <c r="K32" s="137" t="s">
        <v>156</v>
      </c>
      <c r="L32" s="208">
        <v>1</v>
      </c>
      <c r="N32" s="208">
        <v>1</v>
      </c>
      <c r="O32" s="208">
        <v>0.5</v>
      </c>
      <c r="P32" s="208">
        <v>0.55000000000000004</v>
      </c>
      <c r="Q32" s="245">
        <f t="shared" si="0"/>
        <v>0.52500000000000002</v>
      </c>
      <c r="R32" s="188">
        <v>15.9</v>
      </c>
      <c r="S32" s="188">
        <v>136</v>
      </c>
      <c r="T32" s="217">
        <f t="shared" si="1"/>
        <v>30</v>
      </c>
      <c r="U32" s="193">
        <v>129</v>
      </c>
      <c r="V32" s="184">
        <f t="shared" si="2"/>
        <v>3870</v>
      </c>
      <c r="W32" s="190">
        <v>2</v>
      </c>
      <c r="X32" s="186" t="s">
        <v>46</v>
      </c>
      <c r="Y32" s="195" t="s">
        <v>88</v>
      </c>
      <c r="Z32" s="194" t="s">
        <v>78</v>
      </c>
      <c r="AA32" s="194" t="s">
        <v>86</v>
      </c>
      <c r="AB32" s="55" t="s">
        <v>350</v>
      </c>
    </row>
    <row r="33" spans="1:28" x14ac:dyDescent="0.15">
      <c r="A33" s="177" t="s">
        <v>34</v>
      </c>
      <c r="B33" s="177" t="s">
        <v>348</v>
      </c>
      <c r="C33" s="177">
        <v>2018</v>
      </c>
      <c r="D33" s="261" t="s">
        <v>511</v>
      </c>
      <c r="E33" s="178" t="s">
        <v>528</v>
      </c>
      <c r="F33" s="177" t="s">
        <v>291</v>
      </c>
      <c r="G33" s="180" t="s">
        <v>42</v>
      </c>
      <c r="H33" s="137" t="s">
        <v>168</v>
      </c>
      <c r="I33" s="137" t="s">
        <v>155</v>
      </c>
      <c r="J33" s="137" t="s">
        <v>38</v>
      </c>
      <c r="K33" s="137" t="s">
        <v>156</v>
      </c>
      <c r="L33" s="208">
        <v>2</v>
      </c>
      <c r="N33" s="208">
        <v>1</v>
      </c>
      <c r="O33" s="208">
        <v>0.5</v>
      </c>
      <c r="P33" s="208">
        <v>0.4</v>
      </c>
      <c r="Q33" s="245">
        <f t="shared" si="0"/>
        <v>0.45</v>
      </c>
      <c r="R33" s="188">
        <v>16.2</v>
      </c>
      <c r="S33" s="188">
        <v>143</v>
      </c>
      <c r="T33" s="217">
        <f t="shared" si="1"/>
        <v>30</v>
      </c>
      <c r="U33" s="193">
        <v>129</v>
      </c>
      <c r="V33" s="184">
        <f t="shared" si="2"/>
        <v>3870</v>
      </c>
      <c r="W33" s="190">
        <v>2</v>
      </c>
      <c r="X33" s="186" t="s">
        <v>46</v>
      </c>
      <c r="Y33" s="195" t="s">
        <v>88</v>
      </c>
      <c r="Z33" s="194" t="s">
        <v>78</v>
      </c>
      <c r="AA33" s="194" t="s">
        <v>86</v>
      </c>
      <c r="AB33" s="55" t="s">
        <v>350</v>
      </c>
    </row>
    <row r="34" spans="1:28" x14ac:dyDescent="0.15">
      <c r="A34" s="177" t="s">
        <v>34</v>
      </c>
      <c r="B34" s="177" t="s">
        <v>348</v>
      </c>
      <c r="C34" s="178">
        <v>2018</v>
      </c>
      <c r="D34" s="261" t="s">
        <v>511</v>
      </c>
      <c r="E34" s="178" t="s">
        <v>528</v>
      </c>
      <c r="F34" s="177" t="s">
        <v>291</v>
      </c>
      <c r="G34" s="180" t="s">
        <v>42</v>
      </c>
      <c r="H34" s="137" t="s">
        <v>168</v>
      </c>
      <c r="I34" s="137" t="s">
        <v>155</v>
      </c>
      <c r="J34" s="137" t="s">
        <v>38</v>
      </c>
      <c r="K34" s="137" t="s">
        <v>156</v>
      </c>
      <c r="L34" s="208">
        <v>3</v>
      </c>
      <c r="N34" s="208">
        <v>1</v>
      </c>
      <c r="O34" s="208">
        <v>0.4</v>
      </c>
      <c r="P34" s="235">
        <v>0.45</v>
      </c>
      <c r="Q34" s="245">
        <f t="shared" si="0"/>
        <v>0.42500000000000004</v>
      </c>
      <c r="R34" s="188">
        <v>15.7</v>
      </c>
      <c r="S34" s="188">
        <v>150</v>
      </c>
      <c r="T34" s="217">
        <f t="shared" si="1"/>
        <v>30</v>
      </c>
      <c r="U34" s="193">
        <v>129</v>
      </c>
      <c r="V34" s="184">
        <f t="shared" si="2"/>
        <v>3870</v>
      </c>
      <c r="W34" s="190">
        <v>2</v>
      </c>
      <c r="X34" s="186" t="s">
        <v>46</v>
      </c>
      <c r="Y34" s="195" t="s">
        <v>88</v>
      </c>
      <c r="Z34" s="194" t="s">
        <v>78</v>
      </c>
      <c r="AA34" s="194" t="s">
        <v>86</v>
      </c>
      <c r="AB34" s="55" t="s">
        <v>350</v>
      </c>
    </row>
    <row r="35" spans="1:28" x14ac:dyDescent="0.15">
      <c r="A35" s="177" t="s">
        <v>34</v>
      </c>
      <c r="B35" s="177" t="s">
        <v>348</v>
      </c>
      <c r="C35" s="177">
        <v>2018</v>
      </c>
      <c r="D35" s="261" t="s">
        <v>511</v>
      </c>
      <c r="E35" s="178" t="s">
        <v>290</v>
      </c>
      <c r="F35" s="177" t="s">
        <v>298</v>
      </c>
      <c r="G35" s="180" t="s">
        <v>42</v>
      </c>
      <c r="H35" s="137" t="s">
        <v>157</v>
      </c>
      <c r="I35" s="137" t="s">
        <v>155</v>
      </c>
      <c r="J35" s="137" t="s">
        <v>38</v>
      </c>
      <c r="K35" s="137" t="s">
        <v>156</v>
      </c>
      <c r="L35" s="208">
        <v>1</v>
      </c>
      <c r="N35" s="208">
        <v>8</v>
      </c>
      <c r="O35" s="208">
        <v>0.3</v>
      </c>
      <c r="P35" s="208">
        <v>0.25</v>
      </c>
      <c r="Q35" s="245">
        <f t="shared" si="0"/>
        <v>0.27500000000000002</v>
      </c>
      <c r="R35" s="188">
        <v>13.3</v>
      </c>
      <c r="S35" s="188">
        <v>81</v>
      </c>
      <c r="T35" s="217">
        <f t="shared" si="1"/>
        <v>39</v>
      </c>
      <c r="U35" s="193">
        <v>397</v>
      </c>
      <c r="V35" s="184">
        <f t="shared" si="2"/>
        <v>1935.375</v>
      </c>
      <c r="W35" s="190">
        <v>6</v>
      </c>
      <c r="X35" s="186" t="s">
        <v>46</v>
      </c>
      <c r="Y35" s="194" t="s">
        <v>102</v>
      </c>
      <c r="Z35" s="194" t="s">
        <v>78</v>
      </c>
      <c r="AA35" s="194" t="s">
        <v>102</v>
      </c>
      <c r="AB35" s="55" t="s">
        <v>350</v>
      </c>
    </row>
    <row r="36" spans="1:28" x14ac:dyDescent="0.15">
      <c r="A36" s="177" t="s">
        <v>34</v>
      </c>
      <c r="B36" s="177" t="s">
        <v>348</v>
      </c>
      <c r="C36" s="178">
        <v>2018</v>
      </c>
      <c r="D36" s="261" t="s">
        <v>511</v>
      </c>
      <c r="E36" s="178" t="s">
        <v>290</v>
      </c>
      <c r="F36" s="177" t="s">
        <v>298</v>
      </c>
      <c r="G36" s="180" t="s">
        <v>42</v>
      </c>
      <c r="H36" s="137" t="s">
        <v>157</v>
      </c>
      <c r="I36" s="137" t="s">
        <v>155</v>
      </c>
      <c r="J36" s="137" t="s">
        <v>38</v>
      </c>
      <c r="K36" s="137" t="s">
        <v>156</v>
      </c>
      <c r="L36" s="208">
        <v>2</v>
      </c>
      <c r="N36" s="208">
        <v>8</v>
      </c>
      <c r="O36" s="208">
        <v>0.25</v>
      </c>
      <c r="P36" s="208">
        <v>0.3</v>
      </c>
      <c r="Q36" s="245">
        <f t="shared" si="0"/>
        <v>0.27500000000000002</v>
      </c>
      <c r="R36" s="188">
        <v>12.7</v>
      </c>
      <c r="S36" s="188">
        <v>79</v>
      </c>
      <c r="T36" s="217">
        <f t="shared" si="1"/>
        <v>39</v>
      </c>
      <c r="U36" s="193">
        <v>397</v>
      </c>
      <c r="V36" s="184">
        <f t="shared" si="2"/>
        <v>1935.375</v>
      </c>
      <c r="W36" s="190">
        <v>6</v>
      </c>
      <c r="X36" s="186" t="s">
        <v>46</v>
      </c>
      <c r="Y36" s="194" t="s">
        <v>102</v>
      </c>
      <c r="Z36" s="194" t="s">
        <v>78</v>
      </c>
      <c r="AA36" s="194" t="s">
        <v>102</v>
      </c>
      <c r="AB36" s="55" t="s">
        <v>350</v>
      </c>
    </row>
    <row r="37" spans="1:28" x14ac:dyDescent="0.15">
      <c r="A37" s="177" t="s">
        <v>34</v>
      </c>
      <c r="B37" s="177" t="s">
        <v>348</v>
      </c>
      <c r="C37" s="177">
        <v>2018</v>
      </c>
      <c r="D37" s="261" t="s">
        <v>511</v>
      </c>
      <c r="E37" s="178" t="s">
        <v>290</v>
      </c>
      <c r="F37" s="177" t="s">
        <v>298</v>
      </c>
      <c r="G37" s="180" t="s">
        <v>42</v>
      </c>
      <c r="H37" s="137" t="s">
        <v>157</v>
      </c>
      <c r="I37" s="137" t="s">
        <v>155</v>
      </c>
      <c r="J37" s="137" t="s">
        <v>38</v>
      </c>
      <c r="K37" s="137" t="s">
        <v>156</v>
      </c>
      <c r="L37" s="208">
        <v>3</v>
      </c>
      <c r="N37" s="208">
        <v>8</v>
      </c>
      <c r="O37" s="208">
        <v>0.4</v>
      </c>
      <c r="P37" s="208">
        <v>0.4</v>
      </c>
      <c r="Q37" s="245">
        <f t="shared" si="0"/>
        <v>0.4</v>
      </c>
      <c r="R37" s="188">
        <v>13.9</v>
      </c>
      <c r="S37" s="188">
        <v>84</v>
      </c>
      <c r="T37" s="217">
        <f t="shared" si="1"/>
        <v>36</v>
      </c>
      <c r="U37" s="193">
        <v>397</v>
      </c>
      <c r="V37" s="184">
        <f t="shared" si="2"/>
        <v>1786.5</v>
      </c>
      <c r="W37" s="190">
        <v>6</v>
      </c>
      <c r="X37" s="186" t="s">
        <v>46</v>
      </c>
      <c r="Y37" s="194" t="s">
        <v>102</v>
      </c>
      <c r="Z37" s="194" t="s">
        <v>78</v>
      </c>
      <c r="AA37" s="194" t="s">
        <v>102</v>
      </c>
      <c r="AB37" s="55" t="s">
        <v>350</v>
      </c>
    </row>
    <row r="38" spans="1:28" x14ac:dyDescent="0.15">
      <c r="A38" s="177" t="s">
        <v>34</v>
      </c>
      <c r="B38" s="177" t="s">
        <v>348</v>
      </c>
      <c r="C38" s="178">
        <v>2018</v>
      </c>
      <c r="D38" s="261" t="s">
        <v>511</v>
      </c>
      <c r="E38" s="178" t="s">
        <v>290</v>
      </c>
      <c r="F38" s="177" t="s">
        <v>298</v>
      </c>
      <c r="G38" s="180" t="s">
        <v>42</v>
      </c>
      <c r="H38" s="137" t="s">
        <v>168</v>
      </c>
      <c r="I38" s="137" t="s">
        <v>155</v>
      </c>
      <c r="J38" s="137" t="s">
        <v>38</v>
      </c>
      <c r="K38" s="137" t="s">
        <v>156</v>
      </c>
      <c r="L38" s="208">
        <v>1</v>
      </c>
      <c r="N38" s="208">
        <v>1</v>
      </c>
      <c r="O38" s="208">
        <v>0.45</v>
      </c>
      <c r="P38" s="208">
        <v>0.45</v>
      </c>
      <c r="Q38" s="245">
        <f t="shared" si="0"/>
        <v>0.45</v>
      </c>
      <c r="R38" s="188">
        <v>15.1</v>
      </c>
      <c r="S38" s="188">
        <v>155</v>
      </c>
      <c r="T38" s="217">
        <f t="shared" si="1"/>
        <v>30</v>
      </c>
      <c r="U38" s="193">
        <v>127</v>
      </c>
      <c r="V38" s="184">
        <f t="shared" si="2"/>
        <v>3810</v>
      </c>
      <c r="W38" s="190">
        <v>6</v>
      </c>
      <c r="X38" s="186" t="s">
        <v>46</v>
      </c>
      <c r="Y38" s="194" t="s">
        <v>102</v>
      </c>
      <c r="Z38" s="194" t="s">
        <v>78</v>
      </c>
      <c r="AA38" s="194" t="s">
        <v>102</v>
      </c>
      <c r="AB38" s="55" t="s">
        <v>350</v>
      </c>
    </row>
    <row r="39" spans="1:28" x14ac:dyDescent="0.15">
      <c r="A39" s="177" t="s">
        <v>34</v>
      </c>
      <c r="B39" s="177" t="s">
        <v>348</v>
      </c>
      <c r="C39" s="177">
        <v>2018</v>
      </c>
      <c r="D39" s="261" t="s">
        <v>511</v>
      </c>
      <c r="E39" s="178" t="s">
        <v>290</v>
      </c>
      <c r="F39" s="177" t="s">
        <v>298</v>
      </c>
      <c r="G39" s="180" t="s">
        <v>42</v>
      </c>
      <c r="H39" s="137" t="s">
        <v>168</v>
      </c>
      <c r="I39" s="137" t="s">
        <v>155</v>
      </c>
      <c r="J39" s="137" t="s">
        <v>38</v>
      </c>
      <c r="K39" s="137" t="s">
        <v>156</v>
      </c>
      <c r="L39" s="208">
        <v>2</v>
      </c>
      <c r="N39" s="208">
        <v>1</v>
      </c>
      <c r="O39" s="208">
        <v>0.5</v>
      </c>
      <c r="P39" s="208">
        <v>0.45</v>
      </c>
      <c r="Q39" s="245">
        <f t="shared" si="0"/>
        <v>0.47499999999999998</v>
      </c>
      <c r="R39" s="188">
        <v>14.9</v>
      </c>
      <c r="S39" s="188">
        <v>149</v>
      </c>
      <c r="T39" s="217">
        <f t="shared" si="1"/>
        <v>30</v>
      </c>
      <c r="U39" s="193">
        <v>127</v>
      </c>
      <c r="V39" s="184">
        <f t="shared" si="2"/>
        <v>3810</v>
      </c>
      <c r="W39" s="190">
        <v>6</v>
      </c>
      <c r="X39" s="186" t="s">
        <v>46</v>
      </c>
      <c r="Y39" s="194" t="s">
        <v>102</v>
      </c>
      <c r="Z39" s="194" t="s">
        <v>78</v>
      </c>
      <c r="AA39" s="194" t="s">
        <v>102</v>
      </c>
      <c r="AB39" s="55" t="s">
        <v>350</v>
      </c>
    </row>
    <row r="40" spans="1:28" ht="12.75" customHeight="1" x14ac:dyDescent="0.15">
      <c r="A40" s="177" t="s">
        <v>34</v>
      </c>
      <c r="B40" s="177" t="s">
        <v>348</v>
      </c>
      <c r="C40" s="178">
        <v>2018</v>
      </c>
      <c r="D40" s="261" t="s">
        <v>511</v>
      </c>
      <c r="E40" s="178" t="s">
        <v>290</v>
      </c>
      <c r="F40" s="177" t="s">
        <v>298</v>
      </c>
      <c r="G40" s="180" t="s">
        <v>42</v>
      </c>
      <c r="H40" s="137" t="s">
        <v>168</v>
      </c>
      <c r="I40" s="137" t="s">
        <v>155</v>
      </c>
      <c r="J40" s="137" t="s">
        <v>38</v>
      </c>
      <c r="K40" s="137" t="s">
        <v>156</v>
      </c>
      <c r="L40" s="208">
        <v>3</v>
      </c>
      <c r="N40" s="208">
        <v>1</v>
      </c>
      <c r="O40" s="208">
        <v>0.6</v>
      </c>
      <c r="P40" s="208">
        <v>0.55000000000000004</v>
      </c>
      <c r="Q40" s="245">
        <f t="shared" si="0"/>
        <v>0.57499999999999996</v>
      </c>
      <c r="R40" s="188">
        <v>14.7</v>
      </c>
      <c r="S40" s="188">
        <v>159</v>
      </c>
      <c r="T40" s="217">
        <f t="shared" si="1"/>
        <v>30</v>
      </c>
      <c r="U40" s="193">
        <v>127</v>
      </c>
      <c r="V40" s="184">
        <f t="shared" si="2"/>
        <v>3810</v>
      </c>
      <c r="W40" s="190">
        <v>6</v>
      </c>
      <c r="X40" s="186" t="s">
        <v>46</v>
      </c>
      <c r="Y40" s="194" t="s">
        <v>102</v>
      </c>
      <c r="Z40" s="194" t="s">
        <v>78</v>
      </c>
      <c r="AA40" s="194" t="s">
        <v>102</v>
      </c>
      <c r="AB40" s="55" t="s">
        <v>350</v>
      </c>
    </row>
    <row r="41" spans="1:28" ht="12.75" customHeight="1" x14ac:dyDescent="0.15">
      <c r="A41" s="137" t="s">
        <v>34</v>
      </c>
      <c r="B41" s="177" t="s">
        <v>348</v>
      </c>
      <c r="C41" s="178">
        <v>2018</v>
      </c>
      <c r="D41" s="261" t="s">
        <v>511</v>
      </c>
      <c r="E41" s="178" t="s">
        <v>139</v>
      </c>
      <c r="F41" s="177" t="s">
        <v>298</v>
      </c>
      <c r="G41" s="180" t="s">
        <v>36</v>
      </c>
      <c r="H41" s="137" t="s">
        <v>157</v>
      </c>
      <c r="I41" s="137" t="s">
        <v>155</v>
      </c>
      <c r="J41" s="137" t="s">
        <v>38</v>
      </c>
      <c r="K41" s="137" t="s">
        <v>156</v>
      </c>
      <c r="L41" s="208">
        <v>1</v>
      </c>
      <c r="N41" s="208">
        <v>1</v>
      </c>
      <c r="O41" s="208">
        <v>0.45</v>
      </c>
      <c r="P41" s="208">
        <v>0.5</v>
      </c>
      <c r="Q41" s="245">
        <f t="shared" si="0"/>
        <v>0.47499999999999998</v>
      </c>
      <c r="R41" s="188">
        <v>15.3</v>
      </c>
      <c r="S41" s="188">
        <v>141</v>
      </c>
      <c r="T41" s="217">
        <f t="shared" si="1"/>
        <v>30</v>
      </c>
      <c r="U41" s="193">
        <v>108</v>
      </c>
      <c r="V41" s="184">
        <f t="shared" si="2"/>
        <v>3240</v>
      </c>
      <c r="W41" s="247">
        <v>10</v>
      </c>
      <c r="X41" s="186" t="s">
        <v>46</v>
      </c>
      <c r="Y41" s="198" t="s">
        <v>102</v>
      </c>
      <c r="Z41" s="198" t="s">
        <v>88</v>
      </c>
      <c r="AA41" s="198" t="s">
        <v>97</v>
      </c>
      <c r="AB41" s="55" t="s">
        <v>350</v>
      </c>
    </row>
    <row r="42" spans="1:28" ht="12.75" customHeight="1" x14ac:dyDescent="0.15">
      <c r="A42" s="137" t="s">
        <v>34</v>
      </c>
      <c r="B42" s="177" t="s">
        <v>348</v>
      </c>
      <c r="C42" s="178">
        <v>2018</v>
      </c>
      <c r="D42" s="261" t="s">
        <v>511</v>
      </c>
      <c r="E42" s="178" t="s">
        <v>139</v>
      </c>
      <c r="F42" s="177" t="s">
        <v>298</v>
      </c>
      <c r="G42" s="180" t="s">
        <v>36</v>
      </c>
      <c r="H42" s="137" t="s">
        <v>157</v>
      </c>
      <c r="I42" s="137" t="s">
        <v>155</v>
      </c>
      <c r="J42" s="137" t="s">
        <v>38</v>
      </c>
      <c r="K42" s="137" t="s">
        <v>156</v>
      </c>
      <c r="L42" s="208">
        <v>2</v>
      </c>
      <c r="N42" s="208">
        <v>1</v>
      </c>
      <c r="O42" s="208">
        <v>0.55000000000000004</v>
      </c>
      <c r="P42" s="208">
        <v>0.5</v>
      </c>
      <c r="Q42" s="245">
        <f t="shared" si="0"/>
        <v>0.52500000000000002</v>
      </c>
      <c r="R42" s="188">
        <v>15.6</v>
      </c>
      <c r="S42" s="188">
        <v>173</v>
      </c>
      <c r="T42" s="217">
        <f t="shared" si="1"/>
        <v>30</v>
      </c>
      <c r="U42" s="193">
        <v>108</v>
      </c>
      <c r="V42" s="184">
        <f t="shared" si="2"/>
        <v>3240</v>
      </c>
      <c r="W42" s="247">
        <v>10</v>
      </c>
      <c r="X42" s="186" t="s">
        <v>46</v>
      </c>
      <c r="Y42" s="198" t="s">
        <v>102</v>
      </c>
      <c r="Z42" s="198" t="s">
        <v>88</v>
      </c>
      <c r="AA42" s="198" t="s">
        <v>97</v>
      </c>
      <c r="AB42" s="55" t="s">
        <v>350</v>
      </c>
    </row>
    <row r="43" spans="1:28" ht="12.75" customHeight="1" x14ac:dyDescent="0.15">
      <c r="A43" s="137" t="s">
        <v>34</v>
      </c>
      <c r="B43" s="177" t="s">
        <v>348</v>
      </c>
      <c r="C43" s="178">
        <v>2018</v>
      </c>
      <c r="D43" s="261" t="s">
        <v>511</v>
      </c>
      <c r="E43" s="178" t="s">
        <v>139</v>
      </c>
      <c r="F43" s="177" t="s">
        <v>298</v>
      </c>
      <c r="G43" s="180" t="s">
        <v>36</v>
      </c>
      <c r="H43" s="137" t="s">
        <v>157</v>
      </c>
      <c r="I43" s="137" t="s">
        <v>155</v>
      </c>
      <c r="J43" s="137" t="s">
        <v>38</v>
      </c>
      <c r="K43" s="137" t="s">
        <v>156</v>
      </c>
      <c r="L43" s="208">
        <v>3</v>
      </c>
      <c r="N43" s="208">
        <v>1</v>
      </c>
      <c r="O43" s="208">
        <v>0.45</v>
      </c>
      <c r="P43" s="208">
        <v>0.5</v>
      </c>
      <c r="Q43" s="245">
        <f t="shared" si="0"/>
        <v>0.47499999999999998</v>
      </c>
      <c r="R43" s="188">
        <v>15.4</v>
      </c>
      <c r="S43" s="188">
        <v>147</v>
      </c>
      <c r="T43" s="217">
        <f t="shared" si="1"/>
        <v>30</v>
      </c>
      <c r="U43" s="193">
        <v>108</v>
      </c>
      <c r="V43" s="184">
        <f t="shared" si="2"/>
        <v>3240</v>
      </c>
      <c r="W43" s="247">
        <v>10</v>
      </c>
      <c r="X43" s="186" t="s">
        <v>46</v>
      </c>
      <c r="Y43" s="198" t="s">
        <v>102</v>
      </c>
      <c r="Z43" s="198" t="s">
        <v>88</v>
      </c>
      <c r="AA43" s="198" t="s">
        <v>97</v>
      </c>
      <c r="AB43" s="55" t="s">
        <v>350</v>
      </c>
    </row>
    <row r="44" spans="1:28" x14ac:dyDescent="0.15">
      <c r="A44" s="208" t="s">
        <v>34</v>
      </c>
      <c r="B44" s="177" t="s">
        <v>348</v>
      </c>
      <c r="C44" s="178">
        <v>2018</v>
      </c>
      <c r="D44" s="261" t="s">
        <v>511</v>
      </c>
      <c r="E44" s="178" t="s">
        <v>139</v>
      </c>
      <c r="F44" s="177" t="s">
        <v>298</v>
      </c>
      <c r="G44" s="180" t="s">
        <v>36</v>
      </c>
      <c r="H44" s="137" t="s">
        <v>168</v>
      </c>
      <c r="I44" s="137" t="s">
        <v>155</v>
      </c>
      <c r="J44" s="247" t="s">
        <v>38</v>
      </c>
      <c r="K44" s="137" t="s">
        <v>156</v>
      </c>
      <c r="L44" s="208">
        <v>1</v>
      </c>
      <c r="N44" s="208">
        <v>1</v>
      </c>
      <c r="O44" s="208">
        <v>0.85</v>
      </c>
      <c r="P44" s="208">
        <v>0.9</v>
      </c>
      <c r="Q44" s="245">
        <f t="shared" si="0"/>
        <v>0.875</v>
      </c>
      <c r="R44" s="188">
        <v>14.8</v>
      </c>
      <c r="S44" s="188">
        <v>118</v>
      </c>
      <c r="T44" s="217">
        <f t="shared" si="1"/>
        <v>30</v>
      </c>
      <c r="U44" s="193">
        <v>105</v>
      </c>
      <c r="V44" s="217">
        <f t="shared" si="2"/>
        <v>3150</v>
      </c>
      <c r="W44" s="208">
        <v>10</v>
      </c>
      <c r="X44" s="186" t="s">
        <v>46</v>
      </c>
      <c r="Y44" s="198" t="s">
        <v>102</v>
      </c>
      <c r="Z44" s="198" t="s">
        <v>88</v>
      </c>
      <c r="AA44" s="198" t="s">
        <v>97</v>
      </c>
      <c r="AB44" s="55" t="s">
        <v>350</v>
      </c>
    </row>
    <row r="45" spans="1:28" x14ac:dyDescent="0.15">
      <c r="A45" s="208" t="s">
        <v>34</v>
      </c>
      <c r="B45" s="177" t="s">
        <v>348</v>
      </c>
      <c r="C45" s="177">
        <v>2018</v>
      </c>
      <c r="D45" s="261" t="s">
        <v>511</v>
      </c>
      <c r="E45" s="178" t="s">
        <v>139</v>
      </c>
      <c r="F45" s="177" t="s">
        <v>298</v>
      </c>
      <c r="G45" s="180" t="s">
        <v>36</v>
      </c>
      <c r="H45" s="137" t="s">
        <v>168</v>
      </c>
      <c r="I45" s="137" t="s">
        <v>155</v>
      </c>
      <c r="J45" s="247" t="s">
        <v>38</v>
      </c>
      <c r="K45" s="137" t="s">
        <v>156</v>
      </c>
      <c r="L45" s="208">
        <v>2</v>
      </c>
      <c r="N45" s="208">
        <v>1</v>
      </c>
      <c r="O45" s="208">
        <v>0.7</v>
      </c>
      <c r="P45" s="208">
        <v>0.85</v>
      </c>
      <c r="Q45" s="245">
        <f t="shared" si="0"/>
        <v>0.77499999999999991</v>
      </c>
      <c r="R45" s="188">
        <v>15.2</v>
      </c>
      <c r="S45" s="188">
        <v>121</v>
      </c>
      <c r="T45" s="217">
        <f t="shared" si="1"/>
        <v>30</v>
      </c>
      <c r="U45" s="193">
        <v>105</v>
      </c>
      <c r="V45" s="217">
        <f t="shared" si="2"/>
        <v>3150</v>
      </c>
      <c r="W45" s="208">
        <v>10</v>
      </c>
      <c r="X45" s="186" t="s">
        <v>46</v>
      </c>
      <c r="Y45" s="198" t="s">
        <v>102</v>
      </c>
      <c r="Z45" s="198" t="s">
        <v>88</v>
      </c>
      <c r="AA45" s="198" t="s">
        <v>97</v>
      </c>
      <c r="AB45" s="55" t="s">
        <v>350</v>
      </c>
    </row>
    <row r="46" spans="1:28" x14ac:dyDescent="0.15">
      <c r="A46" s="208" t="s">
        <v>34</v>
      </c>
      <c r="B46" s="177" t="s">
        <v>348</v>
      </c>
      <c r="C46" s="178">
        <v>2018</v>
      </c>
      <c r="D46" s="261" t="s">
        <v>511</v>
      </c>
      <c r="E46" s="178" t="s">
        <v>139</v>
      </c>
      <c r="F46" s="177" t="s">
        <v>298</v>
      </c>
      <c r="G46" s="180" t="s">
        <v>36</v>
      </c>
      <c r="H46" s="137" t="s">
        <v>168</v>
      </c>
      <c r="I46" s="137" t="s">
        <v>155</v>
      </c>
      <c r="J46" s="247" t="s">
        <v>38</v>
      </c>
      <c r="K46" s="137" t="s">
        <v>156</v>
      </c>
      <c r="L46" s="208">
        <v>3</v>
      </c>
      <c r="N46" s="208">
        <v>1</v>
      </c>
      <c r="O46" s="208">
        <v>0.7</v>
      </c>
      <c r="P46" s="208">
        <v>0.75</v>
      </c>
      <c r="Q46" s="245">
        <f t="shared" si="0"/>
        <v>0.72499999999999998</v>
      </c>
      <c r="R46" s="188">
        <v>15.2</v>
      </c>
      <c r="S46" s="188">
        <v>122</v>
      </c>
      <c r="T46" s="217">
        <f t="shared" si="1"/>
        <v>30</v>
      </c>
      <c r="U46" s="193">
        <v>105</v>
      </c>
      <c r="V46" s="217">
        <f t="shared" si="2"/>
        <v>3150</v>
      </c>
      <c r="W46" s="208">
        <v>10</v>
      </c>
      <c r="X46" s="186" t="s">
        <v>46</v>
      </c>
      <c r="Y46" s="198" t="s">
        <v>102</v>
      </c>
      <c r="Z46" s="198" t="s">
        <v>88</v>
      </c>
      <c r="AA46" s="198" t="s">
        <v>97</v>
      </c>
      <c r="AB46" s="55" t="s">
        <v>350</v>
      </c>
    </row>
    <row r="47" spans="1:28" x14ac:dyDescent="0.15">
      <c r="A47" s="208" t="s">
        <v>34</v>
      </c>
      <c r="B47" s="235" t="s">
        <v>348</v>
      </c>
      <c r="C47" s="208">
        <v>2018</v>
      </c>
      <c r="D47" s="261" t="s">
        <v>511</v>
      </c>
      <c r="E47" s="208" t="s">
        <v>216</v>
      </c>
      <c r="F47" s="177" t="s">
        <v>295</v>
      </c>
      <c r="G47" s="180" t="s">
        <v>36</v>
      </c>
      <c r="H47" s="137" t="s">
        <v>157</v>
      </c>
      <c r="I47" s="137" t="s">
        <v>155</v>
      </c>
      <c r="J47" s="247" t="s">
        <v>38</v>
      </c>
      <c r="K47" s="137" t="s">
        <v>156</v>
      </c>
      <c r="L47" s="208">
        <v>1</v>
      </c>
      <c r="N47" s="208">
        <v>1</v>
      </c>
      <c r="O47" s="208">
        <v>0.65</v>
      </c>
      <c r="P47" s="208">
        <v>0.65</v>
      </c>
      <c r="Q47" s="245">
        <f t="shared" si="0"/>
        <v>0.65</v>
      </c>
      <c r="R47" s="188">
        <v>14.9</v>
      </c>
      <c r="S47" s="188">
        <v>124</v>
      </c>
      <c r="T47" s="217">
        <f t="shared" si="1"/>
        <v>30</v>
      </c>
      <c r="U47" s="208">
        <v>138</v>
      </c>
      <c r="V47" s="217">
        <f t="shared" si="2"/>
        <v>4140</v>
      </c>
      <c r="W47" s="208">
        <v>4</v>
      </c>
      <c r="X47" s="186" t="s">
        <v>46</v>
      </c>
      <c r="Y47" s="208" t="s">
        <v>78</v>
      </c>
      <c r="Z47" s="208" t="s">
        <v>102</v>
      </c>
      <c r="AA47" s="208" t="s">
        <v>90</v>
      </c>
      <c r="AB47" s="55" t="s">
        <v>350</v>
      </c>
    </row>
    <row r="48" spans="1:28" x14ac:dyDescent="0.15">
      <c r="A48" s="208" t="s">
        <v>34</v>
      </c>
      <c r="B48" s="235" t="s">
        <v>348</v>
      </c>
      <c r="C48" s="208">
        <v>2018</v>
      </c>
      <c r="D48" s="261" t="s">
        <v>511</v>
      </c>
      <c r="E48" s="208" t="s">
        <v>216</v>
      </c>
      <c r="F48" s="177" t="s">
        <v>295</v>
      </c>
      <c r="G48" s="180" t="s">
        <v>36</v>
      </c>
      <c r="H48" s="137" t="s">
        <v>157</v>
      </c>
      <c r="I48" s="137" t="s">
        <v>155</v>
      </c>
      <c r="J48" s="247" t="s">
        <v>38</v>
      </c>
      <c r="K48" s="137" t="s">
        <v>156</v>
      </c>
      <c r="L48" s="208">
        <v>2</v>
      </c>
      <c r="N48" s="208">
        <v>1</v>
      </c>
      <c r="O48" s="208">
        <v>0.7</v>
      </c>
      <c r="P48" s="208">
        <v>0.65</v>
      </c>
      <c r="Q48" s="245">
        <f t="shared" si="0"/>
        <v>0.67500000000000004</v>
      </c>
      <c r="R48" s="188">
        <v>15.4</v>
      </c>
      <c r="S48" s="188">
        <v>128</v>
      </c>
      <c r="T48" s="217">
        <f t="shared" si="1"/>
        <v>30</v>
      </c>
      <c r="U48" s="208">
        <v>138</v>
      </c>
      <c r="V48" s="217">
        <f t="shared" si="2"/>
        <v>4140</v>
      </c>
      <c r="W48" s="208">
        <v>4</v>
      </c>
      <c r="X48" s="186" t="s">
        <v>46</v>
      </c>
      <c r="Y48" s="208" t="s">
        <v>78</v>
      </c>
      <c r="Z48" s="208" t="s">
        <v>102</v>
      </c>
      <c r="AA48" s="208" t="s">
        <v>90</v>
      </c>
      <c r="AB48" s="55" t="s">
        <v>350</v>
      </c>
    </row>
    <row r="49" spans="1:28" x14ac:dyDescent="0.15">
      <c r="A49" s="208" t="s">
        <v>34</v>
      </c>
      <c r="B49" s="235" t="s">
        <v>348</v>
      </c>
      <c r="C49" s="208">
        <v>2018</v>
      </c>
      <c r="D49" s="261" t="s">
        <v>511</v>
      </c>
      <c r="E49" s="208" t="s">
        <v>216</v>
      </c>
      <c r="F49" s="177" t="s">
        <v>295</v>
      </c>
      <c r="G49" s="180" t="s">
        <v>36</v>
      </c>
      <c r="H49" s="137" t="s">
        <v>157</v>
      </c>
      <c r="I49" s="137" t="s">
        <v>155</v>
      </c>
      <c r="J49" s="247" t="s">
        <v>38</v>
      </c>
      <c r="K49" s="137" t="s">
        <v>156</v>
      </c>
      <c r="L49" s="208">
        <v>3</v>
      </c>
      <c r="N49" s="208">
        <v>1</v>
      </c>
      <c r="O49" s="208">
        <v>0.55000000000000004</v>
      </c>
      <c r="P49" s="208">
        <v>0.6</v>
      </c>
      <c r="Q49" s="245">
        <f t="shared" si="0"/>
        <v>0.57499999999999996</v>
      </c>
      <c r="R49" s="188">
        <v>15.2</v>
      </c>
      <c r="S49" s="188">
        <v>128</v>
      </c>
      <c r="T49" s="217">
        <f t="shared" si="1"/>
        <v>30</v>
      </c>
      <c r="U49" s="208">
        <v>138</v>
      </c>
      <c r="V49" s="217">
        <f t="shared" si="2"/>
        <v>4140</v>
      </c>
      <c r="W49" s="208">
        <v>4</v>
      </c>
      <c r="X49" s="186" t="s">
        <v>46</v>
      </c>
      <c r="Y49" s="208" t="s">
        <v>78</v>
      </c>
      <c r="Z49" s="208" t="s">
        <v>102</v>
      </c>
      <c r="AA49" s="208" t="s">
        <v>90</v>
      </c>
      <c r="AB49" s="55" t="s">
        <v>350</v>
      </c>
    </row>
    <row r="50" spans="1:28" x14ac:dyDescent="0.15">
      <c r="A50" s="208" t="s">
        <v>34</v>
      </c>
      <c r="B50" s="208" t="s">
        <v>348</v>
      </c>
      <c r="C50" s="208">
        <v>2018</v>
      </c>
      <c r="D50" s="261" t="s">
        <v>511</v>
      </c>
      <c r="E50" s="208" t="s">
        <v>216</v>
      </c>
      <c r="F50" s="177" t="s">
        <v>295</v>
      </c>
      <c r="G50" s="180" t="s">
        <v>36</v>
      </c>
      <c r="H50" s="247" t="s">
        <v>168</v>
      </c>
      <c r="I50" s="247" t="s">
        <v>155</v>
      </c>
      <c r="J50" s="247" t="s">
        <v>38</v>
      </c>
      <c r="K50" s="137" t="s">
        <v>156</v>
      </c>
      <c r="L50" s="208">
        <v>1</v>
      </c>
      <c r="N50" s="208">
        <v>1</v>
      </c>
      <c r="O50" s="208">
        <v>0.5</v>
      </c>
      <c r="P50" s="208">
        <v>0.4</v>
      </c>
      <c r="Q50" s="245">
        <f t="shared" si="0"/>
        <v>0.45</v>
      </c>
      <c r="R50" s="208">
        <v>16.899999999999999</v>
      </c>
      <c r="S50" s="208">
        <v>143</v>
      </c>
      <c r="T50" s="217">
        <f t="shared" si="1"/>
        <v>30</v>
      </c>
      <c r="U50" s="208">
        <v>138</v>
      </c>
      <c r="V50" s="217">
        <f t="shared" si="2"/>
        <v>4140</v>
      </c>
      <c r="W50" s="208">
        <v>4</v>
      </c>
      <c r="X50" s="186" t="s">
        <v>46</v>
      </c>
      <c r="Y50" s="208" t="s">
        <v>78</v>
      </c>
      <c r="Z50" s="208" t="s">
        <v>102</v>
      </c>
      <c r="AA50" s="208" t="s">
        <v>90</v>
      </c>
      <c r="AB50" s="208" t="s">
        <v>350</v>
      </c>
    </row>
    <row r="51" spans="1:28" x14ac:dyDescent="0.15">
      <c r="A51" s="208" t="s">
        <v>34</v>
      </c>
      <c r="B51" s="208" t="s">
        <v>348</v>
      </c>
      <c r="C51" s="208">
        <v>2018</v>
      </c>
      <c r="D51" s="261" t="s">
        <v>511</v>
      </c>
      <c r="E51" s="208" t="s">
        <v>216</v>
      </c>
      <c r="F51" s="177" t="s">
        <v>295</v>
      </c>
      <c r="G51" s="180" t="s">
        <v>36</v>
      </c>
      <c r="H51" s="247" t="s">
        <v>168</v>
      </c>
      <c r="I51" s="247" t="s">
        <v>155</v>
      </c>
      <c r="J51" s="247" t="s">
        <v>38</v>
      </c>
      <c r="K51" s="137" t="s">
        <v>156</v>
      </c>
      <c r="L51" s="208">
        <v>2</v>
      </c>
      <c r="N51" s="208">
        <v>1</v>
      </c>
      <c r="O51" s="208">
        <v>0.55000000000000004</v>
      </c>
      <c r="P51" s="208">
        <v>0.55000000000000004</v>
      </c>
      <c r="Q51" s="245">
        <f t="shared" si="0"/>
        <v>0.55000000000000004</v>
      </c>
      <c r="R51" s="208">
        <v>16.399999999999999</v>
      </c>
      <c r="S51" s="208">
        <v>145</v>
      </c>
      <c r="T51" s="217">
        <f t="shared" si="1"/>
        <v>30</v>
      </c>
      <c r="U51" s="208">
        <v>138</v>
      </c>
      <c r="V51" s="217">
        <f t="shared" si="2"/>
        <v>4140</v>
      </c>
      <c r="W51" s="208">
        <v>4</v>
      </c>
      <c r="X51" s="186" t="s">
        <v>46</v>
      </c>
      <c r="Y51" s="208" t="s">
        <v>78</v>
      </c>
      <c r="Z51" s="208" t="s">
        <v>102</v>
      </c>
      <c r="AA51" s="208" t="s">
        <v>90</v>
      </c>
      <c r="AB51" s="208" t="s">
        <v>350</v>
      </c>
    </row>
    <row r="52" spans="1:28" x14ac:dyDescent="0.15">
      <c r="A52" s="208" t="s">
        <v>34</v>
      </c>
      <c r="B52" s="208" t="s">
        <v>348</v>
      </c>
      <c r="C52" s="208">
        <v>2018</v>
      </c>
      <c r="D52" s="262" t="s">
        <v>511</v>
      </c>
      <c r="E52" s="208" t="s">
        <v>216</v>
      </c>
      <c r="F52" s="177" t="s">
        <v>295</v>
      </c>
      <c r="G52" s="180" t="s">
        <v>36</v>
      </c>
      <c r="H52" s="247" t="s">
        <v>168</v>
      </c>
      <c r="I52" s="247" t="s">
        <v>155</v>
      </c>
      <c r="J52" s="247" t="s">
        <v>38</v>
      </c>
      <c r="K52" s="137" t="s">
        <v>156</v>
      </c>
      <c r="L52" s="208">
        <v>3</v>
      </c>
      <c r="N52" s="208">
        <v>1</v>
      </c>
      <c r="O52" s="208">
        <v>0.4</v>
      </c>
      <c r="P52" s="208">
        <v>0.4</v>
      </c>
      <c r="Q52" s="245">
        <f t="shared" si="0"/>
        <v>0.4</v>
      </c>
      <c r="R52" s="208">
        <v>17.100000000000001</v>
      </c>
      <c r="S52" s="208">
        <v>145</v>
      </c>
      <c r="T52" s="217">
        <f t="shared" si="1"/>
        <v>30</v>
      </c>
      <c r="U52" s="208">
        <v>138</v>
      </c>
      <c r="V52" s="217">
        <f t="shared" si="2"/>
        <v>4140</v>
      </c>
      <c r="W52" s="208">
        <v>4</v>
      </c>
      <c r="X52" s="186" t="s">
        <v>46</v>
      </c>
      <c r="Y52" s="208" t="s">
        <v>78</v>
      </c>
      <c r="Z52" s="208" t="s">
        <v>102</v>
      </c>
      <c r="AA52" s="208" t="s">
        <v>90</v>
      </c>
      <c r="AB52" s="208" t="s">
        <v>350</v>
      </c>
    </row>
    <row r="53" spans="1:28" x14ac:dyDescent="0.15">
      <c r="D53" s="179"/>
      <c r="F53" s="177"/>
      <c r="G53" s="180"/>
      <c r="H53" s="247"/>
      <c r="I53" s="247"/>
      <c r="J53" s="247"/>
      <c r="K53" s="137"/>
      <c r="Q53" s="245"/>
      <c r="X53" s="186"/>
    </row>
    <row r="54" spans="1:28" x14ac:dyDescent="0.15">
      <c r="D54" s="179"/>
      <c r="F54" s="177"/>
      <c r="G54" s="180"/>
      <c r="H54" s="247"/>
      <c r="I54" s="247"/>
      <c r="J54" s="247"/>
      <c r="K54" s="137"/>
      <c r="Q54" s="245"/>
      <c r="X54" s="186"/>
    </row>
    <row r="55" spans="1:28" x14ac:dyDescent="0.15">
      <c r="D55" s="199"/>
      <c r="F55" s="177"/>
      <c r="G55" s="180"/>
      <c r="H55" s="247"/>
      <c r="I55" s="247"/>
      <c r="J55" s="247"/>
      <c r="K55" s="137"/>
      <c r="Q55" s="245" t="str">
        <f t="shared" si="0"/>
        <v/>
      </c>
      <c r="T55" s="217" t="str">
        <f t="shared" si="1"/>
        <v/>
      </c>
      <c r="V55" s="217" t="str">
        <f t="shared" si="2"/>
        <v/>
      </c>
      <c r="X55" s="186"/>
    </row>
    <row r="56" spans="1:28" x14ac:dyDescent="0.15">
      <c r="D56" s="199"/>
      <c r="F56" s="177"/>
      <c r="G56" s="180"/>
      <c r="H56" s="247"/>
      <c r="I56" s="247"/>
      <c r="J56" s="247"/>
      <c r="K56" s="137"/>
      <c r="Q56" s="245" t="str">
        <f t="shared" si="0"/>
        <v/>
      </c>
      <c r="T56" s="217" t="str">
        <f t="shared" si="1"/>
        <v/>
      </c>
      <c r="V56" s="217" t="str">
        <f t="shared" si="2"/>
        <v/>
      </c>
      <c r="X56" s="186"/>
    </row>
    <row r="57" spans="1:28" x14ac:dyDescent="0.15">
      <c r="D57" s="199"/>
      <c r="F57" s="177"/>
      <c r="G57" s="180"/>
      <c r="H57" s="247"/>
      <c r="I57" s="247"/>
      <c r="J57" s="247"/>
      <c r="K57" s="137"/>
      <c r="Q57" s="245" t="str">
        <f t="shared" si="0"/>
        <v/>
      </c>
      <c r="T57" s="217" t="str">
        <f t="shared" si="1"/>
        <v/>
      </c>
      <c r="V57" s="217" t="str">
        <f t="shared" si="2"/>
        <v/>
      </c>
      <c r="X57" s="186"/>
    </row>
    <row r="58" spans="1:28" x14ac:dyDescent="0.15">
      <c r="D58" s="199"/>
      <c r="F58" s="177"/>
      <c r="G58" s="180"/>
      <c r="H58" s="247"/>
      <c r="I58" s="247"/>
      <c r="J58" s="247"/>
      <c r="K58" s="137"/>
      <c r="Q58" s="245" t="str">
        <f t="shared" si="0"/>
        <v/>
      </c>
      <c r="T58" s="217" t="str">
        <f t="shared" si="1"/>
        <v/>
      </c>
      <c r="V58" s="217" t="str">
        <f t="shared" si="2"/>
        <v/>
      </c>
      <c r="X58" s="186"/>
    </row>
    <row r="59" spans="1:28" x14ac:dyDescent="0.15">
      <c r="D59" s="199"/>
      <c r="F59" s="177"/>
      <c r="G59" s="180"/>
      <c r="H59" s="247"/>
      <c r="I59" s="247"/>
      <c r="J59" s="247"/>
      <c r="K59" s="137"/>
      <c r="Q59" s="245" t="str">
        <f t="shared" ref="Q59:Q84" si="3">IF(OR(O59="",P59=""),"",AVERAGE(O59,P59))</f>
        <v/>
      </c>
      <c r="T59" s="217" t="str">
        <f t="shared" ref="T59:T84" si="4">IF(H59="","",IF(OR(H59="GREEN",H59="GK"),IF(S59&gt;=$AX$2,VLOOKUP(S59,$AX$2:$AY$7,2,1),""),IF(S59&gt;=$AZ$2,VLOOKUP(S59,$AZ$2:$BA$7,2,1),"")))</f>
        <v/>
      </c>
      <c r="V59" s="217" t="str">
        <f t="shared" ref="V59:V84" si="5">IF(OR(N59="",U59="",T59=""),"",U59/N59*T59)</f>
        <v/>
      </c>
      <c r="X59" s="186"/>
    </row>
    <row r="60" spans="1:28" x14ac:dyDescent="0.15">
      <c r="D60" s="199"/>
      <c r="F60" s="177"/>
      <c r="G60" s="180"/>
      <c r="H60" s="247"/>
      <c r="I60" s="247"/>
      <c r="J60" s="247"/>
      <c r="K60" s="137"/>
      <c r="Q60" s="245" t="str">
        <f t="shared" si="3"/>
        <v/>
      </c>
      <c r="T60" s="217" t="str">
        <f t="shared" si="4"/>
        <v/>
      </c>
      <c r="V60" s="217" t="str">
        <f t="shared" si="5"/>
        <v/>
      </c>
      <c r="X60" s="186"/>
    </row>
    <row r="61" spans="1:28" x14ac:dyDescent="0.15">
      <c r="D61" s="199"/>
      <c r="F61" s="177"/>
      <c r="G61" s="180"/>
      <c r="H61" s="247"/>
      <c r="I61" s="247"/>
      <c r="J61" s="247"/>
      <c r="K61" s="137"/>
      <c r="Q61" s="245" t="str">
        <f t="shared" si="3"/>
        <v/>
      </c>
      <c r="T61" s="217" t="str">
        <f t="shared" si="4"/>
        <v/>
      </c>
      <c r="V61" s="217" t="str">
        <f t="shared" si="5"/>
        <v/>
      </c>
      <c r="X61" s="186"/>
    </row>
    <row r="62" spans="1:28" x14ac:dyDescent="0.15">
      <c r="D62" s="199"/>
      <c r="F62" s="177"/>
      <c r="G62" s="180"/>
      <c r="H62" s="247"/>
      <c r="I62" s="247"/>
      <c r="J62" s="247"/>
      <c r="K62" s="137"/>
      <c r="Q62" s="245" t="str">
        <f t="shared" si="3"/>
        <v/>
      </c>
      <c r="T62" s="217" t="str">
        <f t="shared" si="4"/>
        <v/>
      </c>
      <c r="V62" s="217" t="str">
        <f t="shared" si="5"/>
        <v/>
      </c>
      <c r="X62" s="186"/>
    </row>
    <row r="63" spans="1:28" x14ac:dyDescent="0.15">
      <c r="D63" s="199"/>
      <c r="F63" s="177"/>
      <c r="G63" s="180"/>
      <c r="H63" s="247"/>
      <c r="I63" s="247"/>
      <c r="J63" s="247"/>
      <c r="K63" s="137"/>
      <c r="Q63" s="245" t="str">
        <f t="shared" si="3"/>
        <v/>
      </c>
      <c r="T63" s="217" t="str">
        <f t="shared" si="4"/>
        <v/>
      </c>
      <c r="V63" s="217" t="str">
        <f t="shared" si="5"/>
        <v/>
      </c>
      <c r="X63" s="186"/>
    </row>
    <row r="64" spans="1:28" x14ac:dyDescent="0.15">
      <c r="D64" s="199"/>
      <c r="F64" s="177"/>
      <c r="G64" s="180"/>
      <c r="H64" s="247"/>
      <c r="I64" s="247"/>
      <c r="J64" s="247"/>
      <c r="K64" s="137"/>
      <c r="Q64" s="245" t="str">
        <f t="shared" si="3"/>
        <v/>
      </c>
      <c r="T64" s="217" t="str">
        <f t="shared" si="4"/>
        <v/>
      </c>
      <c r="V64" s="217" t="str">
        <f t="shared" si="5"/>
        <v/>
      </c>
      <c r="X64" s="186"/>
    </row>
    <row r="65" spans="4:24" x14ac:dyDescent="0.15">
      <c r="D65" s="199"/>
      <c r="F65" s="177"/>
      <c r="G65" s="180"/>
      <c r="H65" s="247"/>
      <c r="I65" s="247"/>
      <c r="J65" s="247"/>
      <c r="K65" s="137"/>
      <c r="Q65" s="245" t="str">
        <f t="shared" si="3"/>
        <v/>
      </c>
      <c r="T65" s="217" t="str">
        <f t="shared" si="4"/>
        <v/>
      </c>
      <c r="V65" s="217" t="str">
        <f t="shared" si="5"/>
        <v/>
      </c>
      <c r="X65" s="186"/>
    </row>
    <row r="66" spans="4:24" x14ac:dyDescent="0.15">
      <c r="D66" s="199"/>
      <c r="F66" s="177"/>
      <c r="G66" s="180"/>
      <c r="H66" s="247"/>
      <c r="I66" s="247"/>
      <c r="J66" s="247"/>
      <c r="K66" s="137"/>
      <c r="Q66" s="245" t="str">
        <f t="shared" si="3"/>
        <v/>
      </c>
      <c r="T66" s="217" t="str">
        <f t="shared" si="4"/>
        <v/>
      </c>
      <c r="V66" s="217" t="str">
        <f t="shared" si="5"/>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H73" s="247"/>
      <c r="I73" s="247"/>
      <c r="J73" s="247"/>
      <c r="K73" s="137"/>
      <c r="Q73" s="245" t="str">
        <f t="shared" si="3"/>
        <v/>
      </c>
      <c r="T73" s="217" t="str">
        <f t="shared" si="4"/>
        <v/>
      </c>
      <c r="V73" s="217" t="str">
        <f t="shared" si="5"/>
        <v/>
      </c>
    </row>
    <row r="74" spans="4:24" x14ac:dyDescent="0.15">
      <c r="H74" s="247"/>
      <c r="I74" s="247"/>
      <c r="J74" s="247"/>
      <c r="K74" s="137"/>
      <c r="Q74" s="245" t="str">
        <f t="shared" si="3"/>
        <v/>
      </c>
      <c r="T74" s="217" t="str">
        <f t="shared" si="4"/>
        <v/>
      </c>
      <c r="V74" s="217" t="str">
        <f t="shared" si="5"/>
        <v/>
      </c>
    </row>
    <row r="75" spans="4:24" x14ac:dyDescent="0.15">
      <c r="H75" s="247"/>
      <c r="I75" s="247"/>
      <c r="J75" s="247"/>
      <c r="K75" s="137"/>
      <c r="Q75" s="245" t="str">
        <f t="shared" si="3"/>
        <v/>
      </c>
      <c r="T75" s="217" t="str">
        <f t="shared" si="4"/>
        <v/>
      </c>
      <c r="V75" s="217" t="str">
        <f t="shared" si="5"/>
        <v/>
      </c>
    </row>
    <row r="76" spans="4:24" x14ac:dyDescent="0.15">
      <c r="H76" s="247"/>
      <c r="I76" s="247"/>
      <c r="J76" s="247"/>
      <c r="K76" s="137"/>
      <c r="Q76" s="245" t="str">
        <f t="shared" si="3"/>
        <v/>
      </c>
      <c r="T76" s="217" t="str">
        <f t="shared" si="4"/>
        <v/>
      </c>
      <c r="V76" s="217" t="str">
        <f t="shared" si="5"/>
        <v/>
      </c>
    </row>
    <row r="77" spans="4:24" x14ac:dyDescent="0.15">
      <c r="H77" s="247"/>
      <c r="I77" s="247"/>
      <c r="J77" s="247"/>
      <c r="K77" s="137"/>
      <c r="Q77" s="245" t="str">
        <f t="shared" si="3"/>
        <v/>
      </c>
      <c r="T77" s="217" t="str">
        <f t="shared" si="4"/>
        <v/>
      </c>
      <c r="V77" s="217" t="str">
        <f t="shared" si="5"/>
        <v/>
      </c>
    </row>
    <row r="78" spans="4:24" x14ac:dyDescent="0.15">
      <c r="H78" s="247"/>
      <c r="I78" s="247"/>
      <c r="J78" s="247"/>
      <c r="K78" s="137"/>
      <c r="Q78" s="245" t="str">
        <f t="shared" si="3"/>
        <v/>
      </c>
      <c r="T78" s="217" t="str">
        <f t="shared" si="4"/>
        <v/>
      </c>
      <c r="V78" s="217" t="str">
        <f t="shared" si="5"/>
        <v/>
      </c>
    </row>
    <row r="79" spans="4:24" x14ac:dyDescent="0.15">
      <c r="H79" s="247"/>
      <c r="I79" s="247"/>
      <c r="J79" s="247"/>
      <c r="K79" s="137"/>
      <c r="Q79" s="245" t="str">
        <f t="shared" si="3"/>
        <v/>
      </c>
      <c r="T79" s="217" t="str">
        <f t="shared" si="4"/>
        <v/>
      </c>
      <c r="V79" s="217" t="str">
        <f t="shared" si="5"/>
        <v/>
      </c>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row>
    <row r="86" spans="8:22" x14ac:dyDescent="0.15">
      <c r="H86" s="247"/>
      <c r="I86" s="247"/>
      <c r="J86" s="247"/>
      <c r="K86" s="137"/>
      <c r="Q86" s="245"/>
    </row>
    <row r="87" spans="8:22" x14ac:dyDescent="0.15">
      <c r="H87" s="247"/>
      <c r="I87" s="247"/>
      <c r="J87" s="247"/>
      <c r="K87" s="137"/>
      <c r="Q87" s="245"/>
    </row>
    <row r="88" spans="8:22" x14ac:dyDescent="0.15">
      <c r="H88" s="247"/>
      <c r="I88" s="247"/>
      <c r="J88" s="247"/>
      <c r="K88" s="137"/>
      <c r="Q88" s="245"/>
    </row>
    <row r="89" spans="8:22" x14ac:dyDescent="0.15">
      <c r="H89" s="247"/>
      <c r="I89" s="247"/>
      <c r="J89" s="247"/>
      <c r="K89" s="137"/>
      <c r="Q89" s="245"/>
    </row>
    <row r="90" spans="8:22" x14ac:dyDescent="0.15">
      <c r="H90" s="247"/>
      <c r="I90" s="247"/>
      <c r="J90" s="247"/>
      <c r="K90" s="137"/>
      <c r="Q90" s="245"/>
    </row>
    <row r="91" spans="8:22" x14ac:dyDescent="0.15">
      <c r="H91" s="247"/>
      <c r="I91" s="247"/>
      <c r="J91" s="247"/>
      <c r="K91" s="137"/>
      <c r="Q91" s="245"/>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K135" s="137"/>
      <c r="Q135" s="245"/>
    </row>
    <row r="136" spans="8:17" x14ac:dyDescent="0.15">
      <c r="K136" s="137"/>
      <c r="Q136" s="245"/>
    </row>
    <row r="137" spans="8:17" x14ac:dyDescent="0.15">
      <c r="K137" s="137"/>
      <c r="Q137" s="245"/>
    </row>
    <row r="138" spans="8:17" x14ac:dyDescent="0.15">
      <c r="K138" s="137"/>
      <c r="Q138" s="245"/>
    </row>
    <row r="139" spans="8:17" x14ac:dyDescent="0.15">
      <c r="K139" s="137"/>
      <c r="Q139" s="245"/>
    </row>
    <row r="140" spans="8:17" x14ac:dyDescent="0.15">
      <c r="K140" s="137"/>
      <c r="Q140" s="245"/>
    </row>
    <row r="141" spans="8:17" x14ac:dyDescent="0.15">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row>
    <row r="286" spans="11:17" x14ac:dyDescent="0.15">
      <c r="K286" s="137"/>
    </row>
    <row r="287" spans="11:17" x14ac:dyDescent="0.15">
      <c r="K287" s="137"/>
    </row>
    <row r="288" spans="11:17" x14ac:dyDescent="0.15">
      <c r="K288" s="137"/>
    </row>
    <row r="289" spans="11:11" x14ac:dyDescent="0.15">
      <c r="K289" s="137"/>
    </row>
    <row r="290" spans="11:11" x14ac:dyDescent="0.15">
      <c r="K290" s="137"/>
    </row>
    <row r="291" spans="11:11" x14ac:dyDescent="0.15">
      <c r="K291" s="137"/>
    </row>
    <row r="292" spans="11:11" x14ac:dyDescent="0.15">
      <c r="K292" s="137"/>
    </row>
    <row r="293" spans="11:11" x14ac:dyDescent="0.15">
      <c r="K293" s="137"/>
    </row>
    <row r="294" spans="11:11" x14ac:dyDescent="0.15">
      <c r="K294" s="137"/>
    </row>
    <row r="295" spans="11:11" x14ac:dyDescent="0.15">
      <c r="K295" s="137"/>
    </row>
    <row r="296" spans="11:11" x14ac:dyDescent="0.15">
      <c r="K296" s="137"/>
    </row>
    <row r="297" spans="11:11" x14ac:dyDescent="0.15">
      <c r="K297" s="137"/>
    </row>
    <row r="298" spans="11:11" x14ac:dyDescent="0.15">
      <c r="K298" s="137"/>
    </row>
    <row r="299" spans="11:11" x14ac:dyDescent="0.15">
      <c r="K299" s="137"/>
    </row>
    <row r="300" spans="11:11" x14ac:dyDescent="0.15">
      <c r="K300" s="137"/>
    </row>
    <row r="301" spans="11:11" x14ac:dyDescent="0.15">
      <c r="K301" s="137"/>
    </row>
    <row r="302" spans="11:11" x14ac:dyDescent="0.15">
      <c r="K302" s="137"/>
    </row>
    <row r="303" spans="11:11" x14ac:dyDescent="0.15">
      <c r="K303" s="137"/>
    </row>
    <row r="304" spans="11:11"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sheetData>
  <autoFilter ref="A1:BA1"/>
  <phoneticPr fontId="3"/>
  <dataValidations count="20">
    <dataValidation type="list" allowBlank="1" showInputMessage="1" showErrorMessage="1" sqref="J485:J64235">
      <formula1>$AP$2:$AP$16</formula1>
    </dataValidation>
    <dataValidation type="list" allowBlank="1" showInputMessage="1" showErrorMessage="1" sqref="I485:I64235">
      <formula1>$AN$2:$AN$6</formula1>
    </dataValidation>
    <dataValidation type="list" allowBlank="1" showInputMessage="1" showErrorMessage="1" sqref="Y485:AA64235">
      <formula1>$AV$2:$AV$26</formula1>
    </dataValidation>
    <dataValidation type="list" allowBlank="1" showInputMessage="1" showErrorMessage="1" sqref="K485:K64235">
      <formula1>$AR$2:$AR$28</formula1>
    </dataValidation>
    <dataValidation type="list" allowBlank="1" showInputMessage="1" showErrorMessage="1" sqref="H485:H64235">
      <formula1>$AL$2:$AL$10</formula1>
    </dataValidation>
    <dataValidation type="list" allowBlank="1" showInputMessage="1" showErrorMessage="1" sqref="E485:E64235">
      <formula1>$AG$2:$AG$9</formula1>
    </dataValidation>
    <dataValidation type="list" allowBlank="1" showInputMessage="1" showErrorMessage="1" sqref="F485:F64235">
      <formula1>$AH$2:$AH$8</formula1>
    </dataValidation>
    <dataValidation operator="equal" allowBlank="1" showInputMessage="1" showErrorMessage="1" sqref="B2:B46"/>
    <dataValidation type="list" allowBlank="1" showInputMessage="1" showErrorMessage="1" sqref="K437:K484">
      <formula1>$AR$2:$AR$25</formula1>
    </dataValidation>
    <dataValidation type="list" allowBlank="1" showInputMessage="1" showErrorMessage="1" sqref="K2:K436">
      <formula1>$AR$2:$AR$26</formula1>
    </dataValidation>
    <dataValidation type="list" allowBlank="1" showInputMessage="1" showErrorMessage="1" sqref="J2:J484">
      <formula1>$AP$2:$AP$27</formula1>
    </dataValidation>
    <dataValidation type="list" allowBlank="1" showInputMessage="1" showErrorMessage="1" sqref="G2:G484">
      <formula1>$AJ$2:$AJ$4</formula1>
    </dataValidation>
    <dataValidation type="list" allowBlank="1" showInputMessage="1" showErrorMessage="1" sqref="X2:X484">
      <formula1>$AT$2:$AT$3</formula1>
    </dataValidation>
    <dataValidation type="list" allowBlank="1" showInputMessage="1" showErrorMessage="1" sqref="A2:A484">
      <formula1>$AE$2:$AE$19</formula1>
    </dataValidation>
    <dataValidation type="list" allowBlank="1" showInputMessage="1" showErrorMessage="1" sqref="H2:H484">
      <formula1>$AL$2:$AL$8</formula1>
    </dataValidation>
    <dataValidation type="list" allowBlank="1" showInputMessage="1" showErrorMessage="1" sqref="I2:I484">
      <formula1>$AN$5:$AN$6</formula1>
    </dataValidation>
    <dataValidation type="list" allowBlank="1" showInputMessage="1" showErrorMessage="1" sqref="Y2:AA484">
      <formula1>$AV$2:$AV$21</formula1>
    </dataValidation>
    <dataValidation type="decimal" allowBlank="1" showInputMessage="1" showErrorMessage="1" error="硬度を正しく入力して下さい。" sqref="O2:P484">
      <formula1>0</formula1>
      <formula2>7</formula2>
    </dataValidation>
    <dataValidation type="list" allowBlank="1" showInputMessage="1" showErrorMessage="1" sqref="E2:E484">
      <formula1>$AG$2:$AG$10</formula1>
    </dataValidation>
    <dataValidation type="list" allowBlank="1" showInputMessage="1" showErrorMessage="1" sqref="F2:F484">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4"/>
  <sheetViews>
    <sheetView topLeftCell="A34" zoomScale="70" zoomScaleNormal="70" workbookViewId="0">
      <selection activeCell="Q24" sqref="Q24"/>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268</v>
      </c>
      <c r="D1" s="203" t="s">
        <v>3</v>
      </c>
      <c r="E1" s="241" t="s">
        <v>4</v>
      </c>
      <c r="F1" s="241" t="s">
        <v>5</v>
      </c>
      <c r="G1" s="241" t="s">
        <v>6</v>
      </c>
      <c r="H1" s="241" t="s">
        <v>7</v>
      </c>
      <c r="I1" s="241" t="s">
        <v>8</v>
      </c>
      <c r="J1" s="241" t="s">
        <v>9</v>
      </c>
      <c r="K1" s="241" t="s">
        <v>10</v>
      </c>
      <c r="L1" s="203" t="s">
        <v>159</v>
      </c>
      <c r="M1" s="203" t="s">
        <v>12</v>
      </c>
      <c r="N1" s="203" t="s">
        <v>13</v>
      </c>
      <c r="O1" s="203" t="s">
        <v>269</v>
      </c>
      <c r="P1" s="203" t="s">
        <v>15</v>
      </c>
      <c r="Q1" s="204" t="s">
        <v>16</v>
      </c>
      <c r="R1" s="203" t="s">
        <v>160</v>
      </c>
      <c r="S1" s="203" t="s">
        <v>270</v>
      </c>
      <c r="T1" s="204" t="s">
        <v>19</v>
      </c>
      <c r="U1" s="205" t="s">
        <v>271</v>
      </c>
      <c r="V1" s="206" t="s">
        <v>20</v>
      </c>
      <c r="W1" s="203" t="s">
        <v>21</v>
      </c>
      <c r="X1" s="241" t="s">
        <v>22</v>
      </c>
      <c r="Y1" s="241" t="s">
        <v>23</v>
      </c>
      <c r="Z1" s="241" t="s">
        <v>330</v>
      </c>
      <c r="AA1" s="242" t="s">
        <v>25</v>
      </c>
      <c r="AB1" s="207" t="s">
        <v>272</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161</v>
      </c>
      <c r="AY1" s="214" t="s">
        <v>176</v>
      </c>
      <c r="AZ1" s="214" t="s">
        <v>177</v>
      </c>
      <c r="BA1" s="215" t="s">
        <v>164</v>
      </c>
    </row>
    <row r="2" spans="1:53" s="216" customFormat="1" x14ac:dyDescent="0.15">
      <c r="A2" s="216" t="s">
        <v>34</v>
      </c>
      <c r="B2" s="208" t="s">
        <v>348</v>
      </c>
      <c r="C2" s="208">
        <v>2018</v>
      </c>
      <c r="D2" s="250" t="s">
        <v>529</v>
      </c>
      <c r="E2" s="237" t="s">
        <v>216</v>
      </c>
      <c r="F2" s="237" t="s">
        <v>340</v>
      </c>
      <c r="G2" s="216" t="s">
        <v>36</v>
      </c>
      <c r="H2" s="208" t="s">
        <v>157</v>
      </c>
      <c r="I2" s="216" t="s">
        <v>155</v>
      </c>
      <c r="J2" s="216" t="s">
        <v>38</v>
      </c>
      <c r="K2" s="216" t="s">
        <v>156</v>
      </c>
      <c r="L2" s="216">
        <v>1</v>
      </c>
      <c r="N2" s="216">
        <v>1</v>
      </c>
      <c r="O2" s="216">
        <v>0.6</v>
      </c>
      <c r="P2" s="216">
        <v>0.8</v>
      </c>
      <c r="Q2" s="245">
        <f t="shared" ref="Q2:Q79" si="0">IF(OR(O2="",P2=""),"",AVERAGE(O2,P2))</f>
        <v>0.7</v>
      </c>
      <c r="R2" s="216">
        <v>14.6</v>
      </c>
      <c r="S2" s="216">
        <v>124</v>
      </c>
      <c r="T2" s="217">
        <f t="shared" ref="T2:T79" si="1">IF(H2="","",IF(OR(H2="GREEN",H2="GK"),IF(S2&gt;=$AX$2,VLOOKUP(S2,$AX$2:$AY$9,2,1),""),IF(S2&gt;=$AZ$2,VLOOKUP(S2,$AZ$2:$BA$9,2,1),"")))</f>
        <v>30</v>
      </c>
      <c r="U2" s="216">
        <v>105</v>
      </c>
      <c r="V2" s="217">
        <f t="shared" ref="V2:V79" si="2">IF(OR(N2="",U2="",T2=""),"",U2/N2*T2)</f>
        <v>3150</v>
      </c>
      <c r="W2" s="216">
        <v>4</v>
      </c>
      <c r="X2" s="216" t="s">
        <v>46</v>
      </c>
      <c r="Y2" s="216" t="s">
        <v>102</v>
      </c>
      <c r="Z2" s="216" t="s">
        <v>69</v>
      </c>
      <c r="AA2" s="216" t="s">
        <v>78</v>
      </c>
      <c r="AB2" s="216" t="s">
        <v>350</v>
      </c>
      <c r="AE2" s="218" t="s">
        <v>35</v>
      </c>
      <c r="AG2" s="251" t="s">
        <v>296</v>
      </c>
      <c r="AH2" s="243" t="s">
        <v>331</v>
      </c>
      <c r="AJ2" s="219" t="s">
        <v>36</v>
      </c>
      <c r="AL2" s="219" t="s">
        <v>127</v>
      </c>
      <c r="AN2" s="219" t="s">
        <v>37</v>
      </c>
      <c r="AP2" s="219" t="s">
        <v>38</v>
      </c>
      <c r="AR2" s="219" t="s">
        <v>165</v>
      </c>
      <c r="AT2" s="219" t="s">
        <v>39</v>
      </c>
      <c r="AV2" s="248" t="s">
        <v>40</v>
      </c>
      <c r="AX2" s="220">
        <v>1</v>
      </c>
      <c r="AY2" s="221">
        <v>50</v>
      </c>
      <c r="AZ2" s="221">
        <v>1</v>
      </c>
      <c r="BA2" s="222">
        <v>50</v>
      </c>
    </row>
    <row r="3" spans="1:53" x14ac:dyDescent="0.15">
      <c r="A3" s="216" t="s">
        <v>34</v>
      </c>
      <c r="B3" s="208" t="s">
        <v>348</v>
      </c>
      <c r="C3" s="208">
        <v>2018</v>
      </c>
      <c r="D3" s="250" t="s">
        <v>529</v>
      </c>
      <c r="E3" s="237" t="s">
        <v>216</v>
      </c>
      <c r="F3" s="237" t="s">
        <v>340</v>
      </c>
      <c r="G3" s="216" t="s">
        <v>36</v>
      </c>
      <c r="H3" s="208" t="s">
        <v>157</v>
      </c>
      <c r="I3" s="216" t="s">
        <v>155</v>
      </c>
      <c r="J3" s="216" t="s">
        <v>38</v>
      </c>
      <c r="K3" s="216" t="s">
        <v>156</v>
      </c>
      <c r="L3" s="208">
        <v>2</v>
      </c>
      <c r="N3" s="208">
        <v>1</v>
      </c>
      <c r="O3" s="208">
        <v>0.65</v>
      </c>
      <c r="P3" s="208">
        <v>0.55000000000000004</v>
      </c>
      <c r="Q3" s="245">
        <f t="shared" si="0"/>
        <v>0.60000000000000009</v>
      </c>
      <c r="R3" s="208">
        <v>14</v>
      </c>
      <c r="S3" s="208">
        <v>122</v>
      </c>
      <c r="T3" s="217">
        <f t="shared" si="1"/>
        <v>30</v>
      </c>
      <c r="U3" s="208">
        <v>105</v>
      </c>
      <c r="V3" s="217">
        <f t="shared" si="2"/>
        <v>3150</v>
      </c>
      <c r="W3" s="216">
        <v>4</v>
      </c>
      <c r="X3" s="216" t="s">
        <v>46</v>
      </c>
      <c r="Y3" s="216" t="s">
        <v>102</v>
      </c>
      <c r="Z3" s="216" t="s">
        <v>69</v>
      </c>
      <c r="AA3" s="216" t="s">
        <v>78</v>
      </c>
      <c r="AB3" s="216" t="s">
        <v>350</v>
      </c>
      <c r="AC3" s="216"/>
      <c r="AE3" s="223" t="s">
        <v>41</v>
      </c>
      <c r="AG3" s="252" t="s">
        <v>332</v>
      </c>
      <c r="AH3" s="243" t="s">
        <v>333</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348</v>
      </c>
      <c r="C4" s="208">
        <v>2018</v>
      </c>
      <c r="D4" s="250" t="s">
        <v>529</v>
      </c>
      <c r="E4" s="237" t="s">
        <v>216</v>
      </c>
      <c r="F4" s="237" t="s">
        <v>340</v>
      </c>
      <c r="G4" s="216" t="s">
        <v>36</v>
      </c>
      <c r="H4" s="208" t="s">
        <v>157</v>
      </c>
      <c r="I4" s="216" t="s">
        <v>155</v>
      </c>
      <c r="J4" s="216" t="s">
        <v>38</v>
      </c>
      <c r="K4" s="216" t="s">
        <v>156</v>
      </c>
      <c r="L4" s="208">
        <v>3</v>
      </c>
      <c r="N4" s="208">
        <v>1</v>
      </c>
      <c r="O4" s="208">
        <v>0.65</v>
      </c>
      <c r="P4" s="208">
        <v>0.6</v>
      </c>
      <c r="Q4" s="245">
        <f t="shared" si="0"/>
        <v>0.625</v>
      </c>
      <c r="R4" s="208">
        <v>15</v>
      </c>
      <c r="S4" s="208">
        <v>120</v>
      </c>
      <c r="T4" s="217">
        <f t="shared" si="1"/>
        <v>30</v>
      </c>
      <c r="U4" s="208">
        <v>105</v>
      </c>
      <c r="V4" s="217">
        <f t="shared" si="2"/>
        <v>3150</v>
      </c>
      <c r="W4" s="208">
        <v>4</v>
      </c>
      <c r="X4" s="216" t="s">
        <v>46</v>
      </c>
      <c r="Y4" s="216" t="s">
        <v>102</v>
      </c>
      <c r="Z4" s="216" t="s">
        <v>69</v>
      </c>
      <c r="AA4" s="216" t="s">
        <v>78</v>
      </c>
      <c r="AB4" s="216" t="s">
        <v>350</v>
      </c>
      <c r="AC4" s="216"/>
      <c r="AE4" s="223" t="s">
        <v>34</v>
      </c>
      <c r="AG4" s="252" t="s">
        <v>334</v>
      </c>
      <c r="AH4" s="243" t="s">
        <v>335</v>
      </c>
      <c r="AJ4" s="228" t="s">
        <v>48</v>
      </c>
      <c r="AL4" s="228" t="s">
        <v>129</v>
      </c>
      <c r="AN4" s="229" t="s">
        <v>49</v>
      </c>
      <c r="AP4" s="224" t="s">
        <v>181</v>
      </c>
      <c r="AR4" s="238" t="s">
        <v>167</v>
      </c>
      <c r="AT4" s="229"/>
      <c r="AV4" s="224" t="s">
        <v>50</v>
      </c>
      <c r="AX4" s="225">
        <v>75</v>
      </c>
      <c r="AY4" s="226">
        <v>42</v>
      </c>
      <c r="AZ4" s="226">
        <v>76</v>
      </c>
      <c r="BA4" s="227">
        <v>39</v>
      </c>
    </row>
    <row r="5" spans="1:53" x14ac:dyDescent="0.15">
      <c r="A5" s="216" t="s">
        <v>34</v>
      </c>
      <c r="B5" s="208" t="s">
        <v>348</v>
      </c>
      <c r="C5" s="208">
        <v>2018</v>
      </c>
      <c r="D5" s="250" t="s">
        <v>529</v>
      </c>
      <c r="E5" s="237" t="s">
        <v>216</v>
      </c>
      <c r="F5" s="237" t="s">
        <v>340</v>
      </c>
      <c r="G5" s="216" t="s">
        <v>36</v>
      </c>
      <c r="H5" s="208" t="s">
        <v>157</v>
      </c>
      <c r="I5" s="216" t="s">
        <v>155</v>
      </c>
      <c r="J5" s="216" t="s">
        <v>38</v>
      </c>
      <c r="K5" s="216" t="s">
        <v>156</v>
      </c>
      <c r="L5" s="216">
        <v>1</v>
      </c>
      <c r="N5" s="208">
        <v>5</v>
      </c>
      <c r="O5" s="208">
        <v>0.2</v>
      </c>
      <c r="P5" s="208">
        <v>0.2</v>
      </c>
      <c r="Q5" s="245">
        <f t="shared" si="0"/>
        <v>0.2</v>
      </c>
      <c r="R5" s="208">
        <v>13.8</v>
      </c>
      <c r="S5" s="208">
        <v>90</v>
      </c>
      <c r="T5" s="217">
        <f t="shared" si="1"/>
        <v>36</v>
      </c>
      <c r="U5" s="208">
        <v>429</v>
      </c>
      <c r="V5" s="217">
        <f t="shared" si="2"/>
        <v>3088.7999999999997</v>
      </c>
      <c r="W5" s="208">
        <v>4</v>
      </c>
      <c r="X5" s="216" t="s">
        <v>46</v>
      </c>
      <c r="Y5" s="216" t="s">
        <v>102</v>
      </c>
      <c r="Z5" s="216" t="s">
        <v>69</v>
      </c>
      <c r="AA5" s="216" t="s">
        <v>78</v>
      </c>
      <c r="AB5" s="216" t="s">
        <v>350</v>
      </c>
      <c r="AE5" s="223" t="s">
        <v>51</v>
      </c>
      <c r="AG5" s="252" t="s">
        <v>336</v>
      </c>
      <c r="AH5" s="243" t="s">
        <v>337</v>
      </c>
      <c r="AJ5" s="229"/>
      <c r="AL5" s="230" t="s">
        <v>169</v>
      </c>
      <c r="AN5" s="230" t="s">
        <v>170</v>
      </c>
      <c r="AP5" s="224" t="s">
        <v>171</v>
      </c>
      <c r="AR5" s="238" t="s">
        <v>54</v>
      </c>
      <c r="AV5" s="224" t="s">
        <v>55</v>
      </c>
      <c r="AX5" s="225">
        <v>84</v>
      </c>
      <c r="AY5" s="226">
        <v>39</v>
      </c>
      <c r="AZ5" s="226">
        <v>84</v>
      </c>
      <c r="BA5" s="227">
        <v>36</v>
      </c>
    </row>
    <row r="6" spans="1:53" x14ac:dyDescent="0.15">
      <c r="A6" s="216" t="s">
        <v>34</v>
      </c>
      <c r="B6" s="208" t="s">
        <v>348</v>
      </c>
      <c r="C6" s="208">
        <v>2018</v>
      </c>
      <c r="D6" s="250" t="s">
        <v>529</v>
      </c>
      <c r="E6" s="237" t="s">
        <v>216</v>
      </c>
      <c r="F6" s="237" t="s">
        <v>340</v>
      </c>
      <c r="G6" s="216" t="s">
        <v>36</v>
      </c>
      <c r="H6" s="208" t="s">
        <v>157</v>
      </c>
      <c r="I6" s="216" t="s">
        <v>155</v>
      </c>
      <c r="J6" s="216" t="s">
        <v>38</v>
      </c>
      <c r="K6" s="216" t="s">
        <v>156</v>
      </c>
      <c r="L6" s="208">
        <v>2</v>
      </c>
      <c r="N6" s="208">
        <v>5</v>
      </c>
      <c r="O6" s="208">
        <v>0.5</v>
      </c>
      <c r="P6" s="208">
        <v>0.55000000000000004</v>
      </c>
      <c r="Q6" s="245">
        <f t="shared" si="0"/>
        <v>0.52500000000000002</v>
      </c>
      <c r="R6" s="208">
        <v>15.7</v>
      </c>
      <c r="S6" s="208">
        <v>92</v>
      </c>
      <c r="T6" s="217">
        <f t="shared" si="1"/>
        <v>36</v>
      </c>
      <c r="U6" s="208">
        <v>429</v>
      </c>
      <c r="V6" s="217">
        <f t="shared" si="2"/>
        <v>3088.7999999999997</v>
      </c>
      <c r="W6" s="208">
        <v>4</v>
      </c>
      <c r="X6" s="216" t="s">
        <v>46</v>
      </c>
      <c r="Y6" s="216" t="s">
        <v>102</v>
      </c>
      <c r="Z6" s="216" t="s">
        <v>69</v>
      </c>
      <c r="AA6" s="216" t="s">
        <v>78</v>
      </c>
      <c r="AB6" s="216" t="s">
        <v>350</v>
      </c>
      <c r="AE6" s="223" t="s">
        <v>56</v>
      </c>
      <c r="AG6" s="252" t="s">
        <v>338</v>
      </c>
      <c r="AH6" s="243" t="s">
        <v>339</v>
      </c>
      <c r="AL6" s="230" t="s">
        <v>259</v>
      </c>
      <c r="AN6" s="230" t="s">
        <v>183</v>
      </c>
      <c r="AP6" s="224" t="s">
        <v>53</v>
      </c>
      <c r="AR6" s="238" t="s">
        <v>59</v>
      </c>
      <c r="AV6" s="224" t="s">
        <v>60</v>
      </c>
      <c r="AX6" s="225">
        <v>97</v>
      </c>
      <c r="AY6" s="226">
        <v>36</v>
      </c>
      <c r="AZ6" s="226">
        <v>99</v>
      </c>
      <c r="BA6" s="227">
        <v>33</v>
      </c>
    </row>
    <row r="7" spans="1:53" x14ac:dyDescent="0.15">
      <c r="A7" s="216" t="s">
        <v>34</v>
      </c>
      <c r="B7" s="208" t="s">
        <v>348</v>
      </c>
      <c r="C7" s="208">
        <v>2018</v>
      </c>
      <c r="D7" s="250" t="s">
        <v>529</v>
      </c>
      <c r="E7" s="237" t="s">
        <v>216</v>
      </c>
      <c r="F7" s="237" t="s">
        <v>340</v>
      </c>
      <c r="G7" s="216" t="s">
        <v>36</v>
      </c>
      <c r="H7" s="208" t="s">
        <v>157</v>
      </c>
      <c r="I7" s="216" t="s">
        <v>155</v>
      </c>
      <c r="J7" s="216" t="s">
        <v>38</v>
      </c>
      <c r="K7" s="216" t="s">
        <v>156</v>
      </c>
      <c r="L7" s="208">
        <v>3</v>
      </c>
      <c r="N7" s="208">
        <v>5</v>
      </c>
      <c r="O7" s="208">
        <v>0.5</v>
      </c>
      <c r="P7" s="208">
        <v>0.55000000000000004</v>
      </c>
      <c r="Q7" s="245">
        <f t="shared" si="0"/>
        <v>0.52500000000000002</v>
      </c>
      <c r="R7" s="208">
        <v>16.3</v>
      </c>
      <c r="S7" s="208">
        <v>89</v>
      </c>
      <c r="T7" s="217">
        <f t="shared" si="1"/>
        <v>36</v>
      </c>
      <c r="U7" s="208">
        <v>429</v>
      </c>
      <c r="V7" s="217">
        <f t="shared" si="2"/>
        <v>3088.7999999999997</v>
      </c>
      <c r="W7" s="208">
        <v>4</v>
      </c>
      <c r="X7" s="216" t="s">
        <v>46</v>
      </c>
      <c r="Y7" s="216" t="s">
        <v>102</v>
      </c>
      <c r="Z7" s="216" t="s">
        <v>69</v>
      </c>
      <c r="AA7" s="216" t="s">
        <v>78</v>
      </c>
      <c r="AB7" s="216" t="s">
        <v>350</v>
      </c>
      <c r="AE7" s="223" t="s">
        <v>61</v>
      </c>
      <c r="AG7" s="252" t="s">
        <v>216</v>
      </c>
      <c r="AH7" s="243" t="s">
        <v>340</v>
      </c>
      <c r="AL7" s="235" t="s">
        <v>172</v>
      </c>
      <c r="AP7" s="224" t="s">
        <v>58</v>
      </c>
      <c r="AR7" s="231" t="s">
        <v>122</v>
      </c>
      <c r="AV7" s="224" t="s">
        <v>64</v>
      </c>
      <c r="AX7" s="225">
        <v>109</v>
      </c>
      <c r="AY7" s="226">
        <v>33</v>
      </c>
      <c r="AZ7" s="226">
        <v>113</v>
      </c>
      <c r="BA7" s="227">
        <v>30</v>
      </c>
    </row>
    <row r="8" spans="1:53" x14ac:dyDescent="0.15">
      <c r="A8" s="216" t="s">
        <v>34</v>
      </c>
      <c r="B8" s="208" t="s">
        <v>348</v>
      </c>
      <c r="C8" s="208">
        <v>2018</v>
      </c>
      <c r="D8" s="250" t="s">
        <v>530</v>
      </c>
      <c r="E8" s="237" t="s">
        <v>216</v>
      </c>
      <c r="F8" s="237" t="s">
        <v>340</v>
      </c>
      <c r="G8" s="216" t="s">
        <v>36</v>
      </c>
      <c r="H8" s="208" t="s">
        <v>168</v>
      </c>
      <c r="I8" s="216" t="s">
        <v>155</v>
      </c>
      <c r="J8" s="216" t="s">
        <v>38</v>
      </c>
      <c r="K8" s="216" t="s">
        <v>156</v>
      </c>
      <c r="L8" s="216">
        <v>1</v>
      </c>
      <c r="N8" s="208">
        <v>1</v>
      </c>
      <c r="O8" s="208">
        <v>0.5</v>
      </c>
      <c r="P8" s="208">
        <v>0.5</v>
      </c>
      <c r="Q8" s="245">
        <f t="shared" si="0"/>
        <v>0.5</v>
      </c>
      <c r="R8" s="208">
        <v>15.1</v>
      </c>
      <c r="S8" s="208">
        <v>139</v>
      </c>
      <c r="T8" s="217">
        <f t="shared" si="1"/>
        <v>30</v>
      </c>
      <c r="U8" s="208">
        <v>138</v>
      </c>
      <c r="V8" s="217">
        <f t="shared" si="2"/>
        <v>4140</v>
      </c>
      <c r="W8" s="208">
        <v>2</v>
      </c>
      <c r="X8" s="216" t="s">
        <v>46</v>
      </c>
      <c r="Y8" s="216" t="s">
        <v>102</v>
      </c>
      <c r="Z8" s="216" t="s">
        <v>69</v>
      </c>
      <c r="AA8" s="216" t="s">
        <v>78</v>
      </c>
      <c r="AB8" s="216" t="s">
        <v>350</v>
      </c>
      <c r="AE8" s="223" t="s">
        <v>59</v>
      </c>
      <c r="AG8" s="252" t="s">
        <v>341</v>
      </c>
      <c r="AH8" s="243" t="s">
        <v>342</v>
      </c>
      <c r="AL8" s="235" t="s">
        <v>374</v>
      </c>
      <c r="AP8" s="224" t="s">
        <v>62</v>
      </c>
      <c r="AR8" s="238" t="s">
        <v>81</v>
      </c>
      <c r="AV8" s="224" t="s">
        <v>97</v>
      </c>
      <c r="AX8" s="225">
        <v>151</v>
      </c>
      <c r="AY8" s="226">
        <v>22</v>
      </c>
      <c r="AZ8" s="226">
        <v>152</v>
      </c>
      <c r="BA8" s="227">
        <v>18</v>
      </c>
    </row>
    <row r="9" spans="1:53" x14ac:dyDescent="0.15">
      <c r="A9" s="216" t="s">
        <v>34</v>
      </c>
      <c r="B9" s="208" t="s">
        <v>348</v>
      </c>
      <c r="C9" s="208">
        <v>2018</v>
      </c>
      <c r="D9" s="250" t="s">
        <v>530</v>
      </c>
      <c r="E9" s="237" t="s">
        <v>216</v>
      </c>
      <c r="F9" s="237" t="s">
        <v>340</v>
      </c>
      <c r="G9" s="216" t="s">
        <v>36</v>
      </c>
      <c r="H9" s="208" t="s">
        <v>168</v>
      </c>
      <c r="I9" s="216" t="s">
        <v>155</v>
      </c>
      <c r="J9" s="216" t="s">
        <v>38</v>
      </c>
      <c r="K9" s="216" t="s">
        <v>156</v>
      </c>
      <c r="L9" s="208">
        <v>2</v>
      </c>
      <c r="N9" s="208">
        <v>1</v>
      </c>
      <c r="O9" s="208">
        <v>0.45</v>
      </c>
      <c r="P9" s="208">
        <v>0.5</v>
      </c>
      <c r="Q9" s="245">
        <f t="shared" si="0"/>
        <v>0.47499999999999998</v>
      </c>
      <c r="R9" s="208">
        <v>16.2</v>
      </c>
      <c r="S9" s="208">
        <v>139</v>
      </c>
      <c r="T9" s="217">
        <f t="shared" si="1"/>
        <v>30</v>
      </c>
      <c r="U9" s="208">
        <v>138</v>
      </c>
      <c r="V9" s="217">
        <f t="shared" si="2"/>
        <v>4140</v>
      </c>
      <c r="W9" s="208">
        <v>2</v>
      </c>
      <c r="X9" s="216" t="s">
        <v>46</v>
      </c>
      <c r="Y9" s="216" t="s">
        <v>102</v>
      </c>
      <c r="Z9" s="216" t="s">
        <v>69</v>
      </c>
      <c r="AA9" s="216" t="s">
        <v>78</v>
      </c>
      <c r="AB9" s="216" t="s">
        <v>350</v>
      </c>
      <c r="AE9" s="223" t="s">
        <v>98</v>
      </c>
      <c r="AG9" s="252" t="s">
        <v>299</v>
      </c>
      <c r="AH9" s="243" t="s">
        <v>343</v>
      </c>
      <c r="AL9" s="230"/>
      <c r="AP9" s="224" t="s">
        <v>95</v>
      </c>
      <c r="AR9" s="231" t="s">
        <v>89</v>
      </c>
      <c r="AV9" s="224" t="s">
        <v>102</v>
      </c>
      <c r="AX9" s="232">
        <v>180</v>
      </c>
      <c r="AY9" s="233">
        <v>18</v>
      </c>
      <c r="AZ9" s="233">
        <v>181</v>
      </c>
      <c r="BA9" s="234">
        <v>16</v>
      </c>
    </row>
    <row r="10" spans="1:53" x14ac:dyDescent="0.15">
      <c r="A10" s="216" t="s">
        <v>34</v>
      </c>
      <c r="B10" s="208" t="s">
        <v>348</v>
      </c>
      <c r="C10" s="208">
        <v>2018</v>
      </c>
      <c r="D10" s="250" t="s">
        <v>531</v>
      </c>
      <c r="E10" s="237" t="s">
        <v>216</v>
      </c>
      <c r="F10" s="237" t="s">
        <v>340</v>
      </c>
      <c r="G10" s="216" t="s">
        <v>36</v>
      </c>
      <c r="H10" s="208" t="s">
        <v>168</v>
      </c>
      <c r="I10" s="216" t="s">
        <v>155</v>
      </c>
      <c r="J10" s="216" t="s">
        <v>38</v>
      </c>
      <c r="K10" s="216" t="s">
        <v>156</v>
      </c>
      <c r="L10" s="208">
        <v>3</v>
      </c>
      <c r="N10" s="208">
        <v>1</v>
      </c>
      <c r="O10" s="208">
        <v>0.2</v>
      </c>
      <c r="P10" s="208">
        <v>0.5</v>
      </c>
      <c r="Q10" s="245">
        <f t="shared" si="0"/>
        <v>0.35</v>
      </c>
      <c r="R10" s="208">
        <v>14.7</v>
      </c>
      <c r="S10" s="208">
        <v>145</v>
      </c>
      <c r="T10" s="217">
        <f t="shared" si="1"/>
        <v>30</v>
      </c>
      <c r="U10" s="208">
        <v>138</v>
      </c>
      <c r="V10" s="217">
        <f t="shared" si="2"/>
        <v>4140</v>
      </c>
      <c r="W10" s="208">
        <v>2</v>
      </c>
      <c r="X10" s="216" t="s">
        <v>46</v>
      </c>
      <c r="Y10" s="216" t="s">
        <v>102</v>
      </c>
      <c r="Z10" s="216" t="s">
        <v>69</v>
      </c>
      <c r="AA10" s="216" t="s">
        <v>78</v>
      </c>
      <c r="AB10" s="216" t="s">
        <v>350</v>
      </c>
      <c r="AE10" s="223" t="s">
        <v>103</v>
      </c>
      <c r="AG10" s="252" t="s">
        <v>344</v>
      </c>
      <c r="AH10" s="243" t="s">
        <v>345</v>
      </c>
      <c r="AL10" s="235"/>
      <c r="AP10" s="224" t="s">
        <v>100</v>
      </c>
      <c r="AR10" s="231" t="s">
        <v>123</v>
      </c>
      <c r="AV10" s="224" t="s">
        <v>106</v>
      </c>
    </row>
    <row r="11" spans="1:53" x14ac:dyDescent="0.15">
      <c r="A11" s="216" t="s">
        <v>34</v>
      </c>
      <c r="B11" s="208" t="s">
        <v>348</v>
      </c>
      <c r="C11" s="208">
        <v>2018</v>
      </c>
      <c r="D11" s="250" t="s">
        <v>531</v>
      </c>
      <c r="E11" s="237" t="s">
        <v>299</v>
      </c>
      <c r="F11" s="237" t="s">
        <v>343</v>
      </c>
      <c r="G11" s="216" t="s">
        <v>36</v>
      </c>
      <c r="H11" s="208" t="s">
        <v>157</v>
      </c>
      <c r="I11" s="216" t="s">
        <v>155</v>
      </c>
      <c r="J11" s="216" t="s">
        <v>38</v>
      </c>
      <c r="K11" s="216" t="s">
        <v>156</v>
      </c>
      <c r="L11" s="216">
        <v>1</v>
      </c>
      <c r="N11" s="208">
        <v>1</v>
      </c>
      <c r="O11" s="208">
        <v>0.55000000000000004</v>
      </c>
      <c r="P11" s="208">
        <v>0.65</v>
      </c>
      <c r="Q11" s="245">
        <f t="shared" si="0"/>
        <v>0.60000000000000009</v>
      </c>
      <c r="R11" s="208">
        <v>13.7</v>
      </c>
      <c r="S11" s="208">
        <v>121</v>
      </c>
      <c r="T11" s="217">
        <f t="shared" si="1"/>
        <v>30</v>
      </c>
      <c r="U11" s="208">
        <v>108</v>
      </c>
      <c r="V11" s="217">
        <f t="shared" si="2"/>
        <v>3240</v>
      </c>
      <c r="W11" s="208">
        <v>4</v>
      </c>
      <c r="X11" s="216" t="s">
        <v>46</v>
      </c>
      <c r="Y11" s="216" t="s">
        <v>102</v>
      </c>
      <c r="Z11" s="216" t="s">
        <v>69</v>
      </c>
      <c r="AA11" s="216" t="s">
        <v>78</v>
      </c>
      <c r="AB11" s="216" t="s">
        <v>350</v>
      </c>
      <c r="AE11" s="223" t="s">
        <v>65</v>
      </c>
      <c r="AG11" s="252" t="s">
        <v>175</v>
      </c>
      <c r="AH11" s="243" t="s">
        <v>346</v>
      </c>
      <c r="AL11" s="235"/>
      <c r="AP11" s="224" t="s">
        <v>104</v>
      </c>
      <c r="AR11" s="231" t="s">
        <v>87</v>
      </c>
      <c r="AV11" s="224" t="s">
        <v>69</v>
      </c>
    </row>
    <row r="12" spans="1:53" x14ac:dyDescent="0.15">
      <c r="A12" s="216" t="s">
        <v>34</v>
      </c>
      <c r="B12" s="208" t="s">
        <v>348</v>
      </c>
      <c r="C12" s="208">
        <v>2018</v>
      </c>
      <c r="D12" s="250" t="s">
        <v>532</v>
      </c>
      <c r="E12" s="237" t="s">
        <v>299</v>
      </c>
      <c r="F12" s="237" t="s">
        <v>343</v>
      </c>
      <c r="G12" s="216" t="s">
        <v>36</v>
      </c>
      <c r="H12" s="208" t="s">
        <v>157</v>
      </c>
      <c r="I12" s="216" t="s">
        <v>155</v>
      </c>
      <c r="J12" s="216" t="s">
        <v>38</v>
      </c>
      <c r="K12" s="216" t="s">
        <v>156</v>
      </c>
      <c r="L12" s="208">
        <v>2</v>
      </c>
      <c r="N12" s="208">
        <v>1</v>
      </c>
      <c r="O12" s="208">
        <v>0.9</v>
      </c>
      <c r="P12" s="208">
        <v>1</v>
      </c>
      <c r="Q12" s="245">
        <f t="shared" si="0"/>
        <v>0.95</v>
      </c>
      <c r="R12" s="208">
        <v>12.1</v>
      </c>
      <c r="S12" s="208">
        <v>119</v>
      </c>
      <c r="T12" s="217">
        <f t="shared" si="1"/>
        <v>30</v>
      </c>
      <c r="U12" s="208">
        <v>108</v>
      </c>
      <c r="V12" s="217">
        <f t="shared" si="2"/>
        <v>3240</v>
      </c>
      <c r="W12" s="208">
        <v>4</v>
      </c>
      <c r="X12" s="216" t="s">
        <v>46</v>
      </c>
      <c r="Y12" s="216" t="s">
        <v>102</v>
      </c>
      <c r="Z12" s="216" t="s">
        <v>69</v>
      </c>
      <c r="AA12" s="216" t="s">
        <v>78</v>
      </c>
      <c r="AB12" s="216" t="s">
        <v>350</v>
      </c>
      <c r="AE12" s="223" t="s">
        <v>70</v>
      </c>
      <c r="AG12" s="244"/>
      <c r="AH12" s="224"/>
      <c r="AL12" s="235"/>
      <c r="AP12" s="224" t="s">
        <v>67</v>
      </c>
      <c r="AR12" s="231" t="s">
        <v>124</v>
      </c>
      <c r="AV12" s="224" t="s">
        <v>72</v>
      </c>
    </row>
    <row r="13" spans="1:53" x14ac:dyDescent="0.15">
      <c r="A13" s="216" t="s">
        <v>34</v>
      </c>
      <c r="B13" s="208" t="s">
        <v>348</v>
      </c>
      <c r="C13" s="208">
        <v>2018</v>
      </c>
      <c r="D13" s="250" t="s">
        <v>533</v>
      </c>
      <c r="E13" s="237" t="s">
        <v>299</v>
      </c>
      <c r="F13" s="237" t="s">
        <v>343</v>
      </c>
      <c r="G13" s="216" t="s">
        <v>36</v>
      </c>
      <c r="H13" s="208" t="s">
        <v>157</v>
      </c>
      <c r="I13" s="216" t="s">
        <v>155</v>
      </c>
      <c r="J13" s="216" t="s">
        <v>38</v>
      </c>
      <c r="K13" s="216" t="s">
        <v>156</v>
      </c>
      <c r="L13" s="208">
        <v>3</v>
      </c>
      <c r="N13" s="208">
        <v>1</v>
      </c>
      <c r="O13" s="208">
        <v>0.8</v>
      </c>
      <c r="P13" s="208">
        <v>0.8</v>
      </c>
      <c r="Q13" s="245">
        <f t="shared" si="0"/>
        <v>0.8</v>
      </c>
      <c r="R13" s="208">
        <v>14.6</v>
      </c>
      <c r="S13" s="208">
        <v>117</v>
      </c>
      <c r="T13" s="217">
        <f t="shared" si="1"/>
        <v>30</v>
      </c>
      <c r="U13" s="208">
        <v>108</v>
      </c>
      <c r="V13" s="217">
        <f t="shared" si="2"/>
        <v>3240</v>
      </c>
      <c r="W13" s="208">
        <v>4</v>
      </c>
      <c r="X13" s="216" t="s">
        <v>46</v>
      </c>
      <c r="Y13" s="216" t="s">
        <v>102</v>
      </c>
      <c r="Z13" s="216" t="s">
        <v>69</v>
      </c>
      <c r="AA13" s="216" t="s">
        <v>78</v>
      </c>
      <c r="AB13" s="216" t="s">
        <v>350</v>
      </c>
      <c r="AE13" s="223" t="s">
        <v>73</v>
      </c>
      <c r="AG13" s="253"/>
      <c r="AH13" s="229"/>
      <c r="AP13" s="224" t="s">
        <v>71</v>
      </c>
      <c r="AR13" s="231" t="s">
        <v>103</v>
      </c>
      <c r="AV13" s="224" t="s">
        <v>75</v>
      </c>
    </row>
    <row r="14" spans="1:53" x14ac:dyDescent="0.15">
      <c r="A14" s="216" t="s">
        <v>34</v>
      </c>
      <c r="B14" s="208" t="s">
        <v>348</v>
      </c>
      <c r="C14" s="208">
        <v>2018</v>
      </c>
      <c r="D14" s="250" t="s">
        <v>534</v>
      </c>
      <c r="E14" s="237" t="s">
        <v>299</v>
      </c>
      <c r="F14" s="237" t="s">
        <v>343</v>
      </c>
      <c r="G14" s="216" t="s">
        <v>36</v>
      </c>
      <c r="H14" s="208" t="s">
        <v>168</v>
      </c>
      <c r="I14" s="216" t="s">
        <v>155</v>
      </c>
      <c r="J14" s="216" t="s">
        <v>38</v>
      </c>
      <c r="K14" s="216" t="s">
        <v>156</v>
      </c>
      <c r="L14" s="216">
        <v>1</v>
      </c>
      <c r="N14" s="208">
        <v>1</v>
      </c>
      <c r="O14" s="208">
        <v>0.75</v>
      </c>
      <c r="P14" s="208">
        <v>0.6</v>
      </c>
      <c r="Q14" s="245">
        <f t="shared" si="0"/>
        <v>0.67500000000000004</v>
      </c>
      <c r="R14" s="208">
        <v>15</v>
      </c>
      <c r="S14" s="208">
        <v>133</v>
      </c>
      <c r="T14" s="217">
        <f t="shared" si="1"/>
        <v>30</v>
      </c>
      <c r="U14" s="208">
        <v>108</v>
      </c>
      <c r="V14" s="217">
        <f t="shared" si="2"/>
        <v>3240</v>
      </c>
      <c r="W14" s="208">
        <v>2</v>
      </c>
      <c r="X14" s="216" t="s">
        <v>46</v>
      </c>
      <c r="Y14" s="216" t="s">
        <v>102</v>
      </c>
      <c r="Z14" s="216" t="s">
        <v>69</v>
      </c>
      <c r="AA14" s="216" t="s">
        <v>78</v>
      </c>
      <c r="AB14" s="216" t="s">
        <v>350</v>
      </c>
      <c r="AE14" s="223" t="s">
        <v>76</v>
      </c>
      <c r="AG14" s="254"/>
      <c r="AL14" s="247"/>
      <c r="AP14" s="224" t="s">
        <v>74</v>
      </c>
      <c r="AR14" s="231" t="s">
        <v>125</v>
      </c>
      <c r="AV14" s="224" t="s">
        <v>78</v>
      </c>
    </row>
    <row r="15" spans="1:53" x14ac:dyDescent="0.15">
      <c r="A15" s="216" t="s">
        <v>34</v>
      </c>
      <c r="B15" s="208" t="s">
        <v>348</v>
      </c>
      <c r="C15" s="208">
        <v>2018</v>
      </c>
      <c r="D15" s="250" t="s">
        <v>534</v>
      </c>
      <c r="E15" s="237" t="s">
        <v>299</v>
      </c>
      <c r="F15" s="237" t="s">
        <v>343</v>
      </c>
      <c r="G15" s="216" t="s">
        <v>36</v>
      </c>
      <c r="H15" s="208" t="s">
        <v>168</v>
      </c>
      <c r="I15" s="216" t="s">
        <v>155</v>
      </c>
      <c r="J15" s="216" t="s">
        <v>38</v>
      </c>
      <c r="K15" s="216" t="s">
        <v>156</v>
      </c>
      <c r="L15" s="208">
        <v>2</v>
      </c>
      <c r="N15" s="208">
        <v>1</v>
      </c>
      <c r="O15" s="208">
        <v>0.5</v>
      </c>
      <c r="P15" s="208">
        <v>0.55000000000000004</v>
      </c>
      <c r="Q15" s="245">
        <f t="shared" si="0"/>
        <v>0.52500000000000002</v>
      </c>
      <c r="R15" s="208">
        <v>15.1</v>
      </c>
      <c r="S15" s="208">
        <v>123</v>
      </c>
      <c r="T15" s="217">
        <f t="shared" si="1"/>
        <v>30</v>
      </c>
      <c r="U15" s="208">
        <v>108</v>
      </c>
      <c r="V15" s="217">
        <f t="shared" si="2"/>
        <v>3240</v>
      </c>
      <c r="W15" s="208">
        <v>2</v>
      </c>
      <c r="X15" s="216" t="s">
        <v>46</v>
      </c>
      <c r="Y15" s="216" t="s">
        <v>102</v>
      </c>
      <c r="Z15" s="216" t="s">
        <v>69</v>
      </c>
      <c r="AA15" s="216" t="s">
        <v>78</v>
      </c>
      <c r="AB15" s="216" t="s">
        <v>350</v>
      </c>
      <c r="AE15" s="223" t="s">
        <v>79</v>
      </c>
      <c r="AL15" s="255"/>
      <c r="AP15" s="224" t="s">
        <v>77</v>
      </c>
      <c r="AR15" s="231" t="s">
        <v>94</v>
      </c>
      <c r="AV15" s="224" t="s">
        <v>107</v>
      </c>
    </row>
    <row r="16" spans="1:53" x14ac:dyDescent="0.15">
      <c r="A16" s="216" t="s">
        <v>34</v>
      </c>
      <c r="B16" s="208" t="s">
        <v>348</v>
      </c>
      <c r="C16" s="208">
        <v>2018</v>
      </c>
      <c r="D16" s="250" t="s">
        <v>535</v>
      </c>
      <c r="E16" s="237" t="s">
        <v>299</v>
      </c>
      <c r="F16" s="237" t="s">
        <v>343</v>
      </c>
      <c r="G16" s="216" t="s">
        <v>36</v>
      </c>
      <c r="H16" s="208" t="s">
        <v>168</v>
      </c>
      <c r="I16" s="216" t="s">
        <v>155</v>
      </c>
      <c r="J16" s="216" t="s">
        <v>38</v>
      </c>
      <c r="K16" s="216" t="s">
        <v>156</v>
      </c>
      <c r="L16" s="208">
        <v>3</v>
      </c>
      <c r="N16" s="208">
        <v>1</v>
      </c>
      <c r="O16" s="208">
        <v>0.55000000000000004</v>
      </c>
      <c r="P16" s="208">
        <v>0.55000000000000004</v>
      </c>
      <c r="Q16" s="245">
        <f t="shared" si="0"/>
        <v>0.55000000000000004</v>
      </c>
      <c r="R16" s="208">
        <v>14.7</v>
      </c>
      <c r="S16" s="208">
        <v>125</v>
      </c>
      <c r="T16" s="217">
        <f t="shared" si="1"/>
        <v>30</v>
      </c>
      <c r="U16" s="208">
        <v>108</v>
      </c>
      <c r="V16" s="217">
        <f t="shared" si="2"/>
        <v>3240</v>
      </c>
      <c r="W16" s="208">
        <v>2</v>
      </c>
      <c r="X16" s="216" t="s">
        <v>46</v>
      </c>
      <c r="Y16" s="216" t="s">
        <v>102</v>
      </c>
      <c r="Z16" s="216" t="s">
        <v>69</v>
      </c>
      <c r="AA16" s="216" t="s">
        <v>78</v>
      </c>
      <c r="AB16" s="216" t="s">
        <v>350</v>
      </c>
      <c r="AE16" s="223" t="s">
        <v>82</v>
      </c>
      <c r="AL16" s="255"/>
      <c r="AP16" s="224" t="s">
        <v>80</v>
      </c>
      <c r="AR16" s="238" t="s">
        <v>63</v>
      </c>
      <c r="AV16" s="224" t="s">
        <v>84</v>
      </c>
    </row>
    <row r="17" spans="1:48" x14ac:dyDescent="0.15">
      <c r="A17" s="216" t="s">
        <v>34</v>
      </c>
      <c r="B17" s="208" t="s">
        <v>348</v>
      </c>
      <c r="C17" s="208">
        <v>2018</v>
      </c>
      <c r="D17" s="250" t="s">
        <v>535</v>
      </c>
      <c r="E17" s="237" t="s">
        <v>344</v>
      </c>
      <c r="F17" s="237" t="s">
        <v>345</v>
      </c>
      <c r="G17" s="216" t="s">
        <v>36</v>
      </c>
      <c r="H17" s="208" t="s">
        <v>157</v>
      </c>
      <c r="I17" s="216" t="s">
        <v>155</v>
      </c>
      <c r="J17" s="216" t="s">
        <v>38</v>
      </c>
      <c r="K17" s="216" t="s">
        <v>156</v>
      </c>
      <c r="L17" s="216">
        <v>1</v>
      </c>
      <c r="N17" s="208">
        <v>1</v>
      </c>
      <c r="O17" s="208">
        <v>0.6</v>
      </c>
      <c r="P17" s="208">
        <v>0.6</v>
      </c>
      <c r="Q17" s="245">
        <f t="shared" si="0"/>
        <v>0.6</v>
      </c>
      <c r="R17" s="208">
        <v>14.4</v>
      </c>
      <c r="S17" s="208">
        <v>130</v>
      </c>
      <c r="T17" s="217">
        <f t="shared" si="1"/>
        <v>30</v>
      </c>
      <c r="U17" s="208">
        <v>103</v>
      </c>
      <c r="V17" s="217">
        <f t="shared" si="2"/>
        <v>3090</v>
      </c>
      <c r="W17" s="208">
        <v>2</v>
      </c>
      <c r="X17" s="216" t="s">
        <v>46</v>
      </c>
      <c r="Y17" s="216" t="s">
        <v>69</v>
      </c>
      <c r="Z17" s="216" t="s">
        <v>90</v>
      </c>
      <c r="AA17" s="216" t="s">
        <v>88</v>
      </c>
      <c r="AB17" s="216" t="s">
        <v>350</v>
      </c>
      <c r="AE17" s="223" t="s">
        <v>85</v>
      </c>
      <c r="AL17" s="255"/>
      <c r="AP17" s="239" t="s">
        <v>110</v>
      </c>
      <c r="AR17" s="238" t="s">
        <v>96</v>
      </c>
      <c r="AV17" s="224" t="s">
        <v>86</v>
      </c>
    </row>
    <row r="18" spans="1:48" x14ac:dyDescent="0.15">
      <c r="A18" s="216" t="s">
        <v>34</v>
      </c>
      <c r="B18" s="208" t="s">
        <v>348</v>
      </c>
      <c r="C18" s="208">
        <v>2018</v>
      </c>
      <c r="D18" s="250" t="s">
        <v>535</v>
      </c>
      <c r="E18" s="237" t="s">
        <v>344</v>
      </c>
      <c r="F18" s="237" t="s">
        <v>345</v>
      </c>
      <c r="G18" s="216" t="s">
        <v>36</v>
      </c>
      <c r="H18" s="208" t="s">
        <v>157</v>
      </c>
      <c r="I18" s="216" t="s">
        <v>155</v>
      </c>
      <c r="J18" s="216" t="s">
        <v>38</v>
      </c>
      <c r="K18" s="216" t="s">
        <v>156</v>
      </c>
      <c r="L18" s="208">
        <v>2</v>
      </c>
      <c r="N18" s="208">
        <v>1</v>
      </c>
      <c r="O18" s="208">
        <v>0.55000000000000004</v>
      </c>
      <c r="P18" s="208">
        <v>0.45</v>
      </c>
      <c r="Q18" s="245">
        <f t="shared" si="0"/>
        <v>0.5</v>
      </c>
      <c r="R18" s="208">
        <v>14.2</v>
      </c>
      <c r="S18" s="208">
        <v>132</v>
      </c>
      <c r="T18" s="217">
        <f t="shared" si="1"/>
        <v>30</v>
      </c>
      <c r="U18" s="208">
        <v>103</v>
      </c>
      <c r="V18" s="217">
        <f t="shared" si="2"/>
        <v>3090</v>
      </c>
      <c r="W18" s="208">
        <v>2</v>
      </c>
      <c r="X18" s="216" t="s">
        <v>46</v>
      </c>
      <c r="Y18" s="216" t="s">
        <v>69</v>
      </c>
      <c r="Z18" s="216" t="s">
        <v>90</v>
      </c>
      <c r="AA18" s="216" t="s">
        <v>88</v>
      </c>
      <c r="AB18" s="216" t="s">
        <v>350</v>
      </c>
      <c r="AE18" s="223" t="s">
        <v>87</v>
      </c>
      <c r="AL18" s="216"/>
      <c r="AP18" s="239" t="s">
        <v>111</v>
      </c>
      <c r="AR18" s="238" t="s">
        <v>101</v>
      </c>
      <c r="AV18" s="224" t="s">
        <v>88</v>
      </c>
    </row>
    <row r="19" spans="1:48" x14ac:dyDescent="0.15">
      <c r="A19" s="216" t="s">
        <v>34</v>
      </c>
      <c r="B19" s="208" t="s">
        <v>348</v>
      </c>
      <c r="C19" s="208">
        <v>2018</v>
      </c>
      <c r="D19" s="250" t="s">
        <v>532</v>
      </c>
      <c r="E19" s="237" t="s">
        <v>344</v>
      </c>
      <c r="F19" s="237" t="s">
        <v>345</v>
      </c>
      <c r="G19" s="216" t="s">
        <v>36</v>
      </c>
      <c r="H19" s="208" t="s">
        <v>157</v>
      </c>
      <c r="I19" s="216" t="s">
        <v>155</v>
      </c>
      <c r="J19" s="216" t="s">
        <v>38</v>
      </c>
      <c r="K19" s="216" t="s">
        <v>156</v>
      </c>
      <c r="L19" s="208">
        <v>3</v>
      </c>
      <c r="N19" s="208">
        <v>1</v>
      </c>
      <c r="O19" s="208">
        <v>0.85</v>
      </c>
      <c r="P19" s="208">
        <v>0.85</v>
      </c>
      <c r="Q19" s="245">
        <f t="shared" si="0"/>
        <v>0.85</v>
      </c>
      <c r="R19" s="208">
        <v>14</v>
      </c>
      <c r="S19" s="208">
        <v>129</v>
      </c>
      <c r="T19" s="217">
        <f t="shared" si="1"/>
        <v>30</v>
      </c>
      <c r="U19" s="208">
        <v>103</v>
      </c>
      <c r="V19" s="217">
        <f t="shared" si="2"/>
        <v>3090</v>
      </c>
      <c r="W19" s="208">
        <v>2</v>
      </c>
      <c r="X19" s="216" t="s">
        <v>46</v>
      </c>
      <c r="Y19" s="216" t="s">
        <v>69</v>
      </c>
      <c r="Z19" s="216" t="s">
        <v>90</v>
      </c>
      <c r="AA19" s="216" t="s">
        <v>88</v>
      </c>
      <c r="AB19" s="216" t="s">
        <v>350</v>
      </c>
      <c r="AE19" s="236" t="s">
        <v>89</v>
      </c>
      <c r="AP19" s="239" t="s">
        <v>112</v>
      </c>
      <c r="AR19" s="231" t="s">
        <v>126</v>
      </c>
      <c r="AV19" s="224" t="s">
        <v>90</v>
      </c>
    </row>
    <row r="20" spans="1:48" x14ac:dyDescent="0.15">
      <c r="A20" s="216" t="s">
        <v>34</v>
      </c>
      <c r="B20" s="208" t="s">
        <v>348</v>
      </c>
      <c r="C20" s="208">
        <v>2018</v>
      </c>
      <c r="D20" s="250" t="s">
        <v>532</v>
      </c>
      <c r="E20" s="237" t="s">
        <v>536</v>
      </c>
      <c r="F20" s="237" t="s">
        <v>345</v>
      </c>
      <c r="G20" s="216" t="s">
        <v>36</v>
      </c>
      <c r="H20" s="208" t="s">
        <v>157</v>
      </c>
      <c r="I20" s="216" t="s">
        <v>155</v>
      </c>
      <c r="J20" s="216" t="s">
        <v>38</v>
      </c>
      <c r="K20" s="216" t="s">
        <v>156</v>
      </c>
      <c r="L20" s="216">
        <v>1</v>
      </c>
      <c r="N20" s="208">
        <v>5</v>
      </c>
      <c r="O20" s="208">
        <v>0.2</v>
      </c>
      <c r="P20" s="208">
        <v>0.5</v>
      </c>
      <c r="Q20" s="245">
        <f t="shared" si="0"/>
        <v>0.35</v>
      </c>
      <c r="R20" s="208">
        <v>11.8</v>
      </c>
      <c r="S20" s="208">
        <v>93</v>
      </c>
      <c r="T20" s="217">
        <f t="shared" si="1"/>
        <v>36</v>
      </c>
      <c r="U20" s="208">
        <v>319</v>
      </c>
      <c r="V20" s="217">
        <f t="shared" si="2"/>
        <v>2296.7999999999997</v>
      </c>
      <c r="W20" s="208">
        <v>2</v>
      </c>
      <c r="X20" s="216" t="s">
        <v>46</v>
      </c>
      <c r="Y20" s="216" t="s">
        <v>69</v>
      </c>
      <c r="Z20" s="216" t="s">
        <v>90</v>
      </c>
      <c r="AA20" s="216" t="s">
        <v>88</v>
      </c>
      <c r="AB20" s="216" t="s">
        <v>350</v>
      </c>
      <c r="AP20" s="239" t="s">
        <v>113</v>
      </c>
      <c r="AR20" s="238" t="s">
        <v>105</v>
      </c>
      <c r="AV20" s="228" t="s">
        <v>375</v>
      </c>
    </row>
    <row r="21" spans="1:48" x14ac:dyDescent="0.15">
      <c r="A21" s="216" t="s">
        <v>34</v>
      </c>
      <c r="B21" s="208" t="s">
        <v>348</v>
      </c>
      <c r="C21" s="208">
        <v>2018</v>
      </c>
      <c r="D21" s="250" t="s">
        <v>532</v>
      </c>
      <c r="E21" s="237" t="s">
        <v>344</v>
      </c>
      <c r="F21" s="237" t="s">
        <v>345</v>
      </c>
      <c r="G21" s="216" t="s">
        <v>36</v>
      </c>
      <c r="H21" s="208" t="s">
        <v>157</v>
      </c>
      <c r="I21" s="216" t="s">
        <v>155</v>
      </c>
      <c r="J21" s="216" t="s">
        <v>38</v>
      </c>
      <c r="K21" s="216" t="s">
        <v>156</v>
      </c>
      <c r="L21" s="208">
        <v>2</v>
      </c>
      <c r="N21" s="208">
        <v>5</v>
      </c>
      <c r="O21" s="208">
        <v>0.6</v>
      </c>
      <c r="P21" s="208">
        <v>0.55000000000000004</v>
      </c>
      <c r="Q21" s="245">
        <f t="shared" si="0"/>
        <v>0.57499999999999996</v>
      </c>
      <c r="R21" s="208">
        <v>9.6</v>
      </c>
      <c r="S21" s="208">
        <v>90</v>
      </c>
      <c r="T21" s="217">
        <f t="shared" si="1"/>
        <v>36</v>
      </c>
      <c r="U21" s="208">
        <v>319</v>
      </c>
      <c r="V21" s="217">
        <f t="shared" si="2"/>
        <v>2296.7999999999997</v>
      </c>
      <c r="W21" s="208">
        <v>2</v>
      </c>
      <c r="X21" s="216" t="s">
        <v>46</v>
      </c>
      <c r="Y21" s="216" t="s">
        <v>69</v>
      </c>
      <c r="Z21" s="216" t="s">
        <v>90</v>
      </c>
      <c r="AA21" s="216" t="s">
        <v>88</v>
      </c>
      <c r="AB21" s="216" t="s">
        <v>350</v>
      </c>
      <c r="AP21" s="239" t="s">
        <v>114</v>
      </c>
      <c r="AR21" s="238" t="s">
        <v>68</v>
      </c>
      <c r="AV21" s="228" t="s">
        <v>376</v>
      </c>
    </row>
    <row r="22" spans="1:48" x14ac:dyDescent="0.15">
      <c r="A22" s="216" t="s">
        <v>34</v>
      </c>
      <c r="B22" s="208" t="s">
        <v>348</v>
      </c>
      <c r="C22" s="208">
        <v>2018</v>
      </c>
      <c r="D22" s="250" t="s">
        <v>532</v>
      </c>
      <c r="E22" s="237" t="s">
        <v>344</v>
      </c>
      <c r="F22" s="237" t="s">
        <v>345</v>
      </c>
      <c r="G22" s="216" t="s">
        <v>36</v>
      </c>
      <c r="H22" s="208" t="s">
        <v>157</v>
      </c>
      <c r="I22" s="216" t="s">
        <v>155</v>
      </c>
      <c r="J22" s="216" t="s">
        <v>38</v>
      </c>
      <c r="K22" s="216" t="s">
        <v>156</v>
      </c>
      <c r="L22" s="208">
        <v>3</v>
      </c>
      <c r="N22" s="208">
        <v>5</v>
      </c>
      <c r="O22" s="208">
        <v>0.7</v>
      </c>
      <c r="P22" s="208">
        <v>0.55000000000000004</v>
      </c>
      <c r="Q22" s="245">
        <f t="shared" si="0"/>
        <v>0.625</v>
      </c>
      <c r="R22" s="208">
        <v>11.6</v>
      </c>
      <c r="S22" s="208">
        <v>94</v>
      </c>
      <c r="T22" s="217">
        <f t="shared" si="1"/>
        <v>36</v>
      </c>
      <c r="U22" s="208">
        <v>319</v>
      </c>
      <c r="V22" s="217">
        <f t="shared" si="2"/>
        <v>2296.7999999999997</v>
      </c>
      <c r="W22" s="208">
        <v>2</v>
      </c>
      <c r="X22" s="216" t="s">
        <v>46</v>
      </c>
      <c r="Y22" s="216" t="s">
        <v>69</v>
      </c>
      <c r="Z22" s="216" t="s">
        <v>90</v>
      </c>
      <c r="AA22" s="216" t="s">
        <v>88</v>
      </c>
      <c r="AB22" s="216" t="s">
        <v>350</v>
      </c>
      <c r="AP22" s="239" t="s">
        <v>115</v>
      </c>
      <c r="AR22" s="238" t="s">
        <v>83</v>
      </c>
      <c r="AV22" s="228"/>
    </row>
    <row r="23" spans="1:48" x14ac:dyDescent="0.15">
      <c r="A23" s="216" t="s">
        <v>34</v>
      </c>
      <c r="B23" s="208" t="s">
        <v>348</v>
      </c>
      <c r="C23" s="208">
        <v>2018</v>
      </c>
      <c r="D23" s="250" t="s">
        <v>532</v>
      </c>
      <c r="E23" s="237" t="s">
        <v>344</v>
      </c>
      <c r="F23" s="237" t="s">
        <v>345</v>
      </c>
      <c r="G23" s="216" t="s">
        <v>36</v>
      </c>
      <c r="H23" s="208" t="s">
        <v>168</v>
      </c>
      <c r="I23" s="216" t="s">
        <v>155</v>
      </c>
      <c r="J23" s="216" t="s">
        <v>38</v>
      </c>
      <c r="K23" s="216" t="s">
        <v>156</v>
      </c>
      <c r="L23" s="216">
        <v>1</v>
      </c>
      <c r="N23" s="208">
        <v>1</v>
      </c>
      <c r="O23" s="208">
        <v>0.7</v>
      </c>
      <c r="P23" s="208">
        <v>0.75</v>
      </c>
      <c r="Q23" s="245">
        <f t="shared" si="0"/>
        <v>0.72499999999999998</v>
      </c>
      <c r="R23" s="208">
        <v>14</v>
      </c>
      <c r="S23" s="208">
        <v>132</v>
      </c>
      <c r="T23" s="217">
        <f t="shared" si="1"/>
        <v>30</v>
      </c>
      <c r="U23" s="208">
        <v>103</v>
      </c>
      <c r="V23" s="217">
        <f t="shared" si="2"/>
        <v>3090</v>
      </c>
      <c r="W23" s="208">
        <v>2</v>
      </c>
      <c r="X23" s="216" t="s">
        <v>46</v>
      </c>
      <c r="Y23" s="216" t="s">
        <v>69</v>
      </c>
      <c r="Z23" s="216" t="s">
        <v>90</v>
      </c>
      <c r="AA23" s="216" t="s">
        <v>88</v>
      </c>
      <c r="AB23" s="216" t="s">
        <v>350</v>
      </c>
      <c r="AP23" s="239" t="s">
        <v>117</v>
      </c>
      <c r="AR23" s="238" t="s">
        <v>300</v>
      </c>
    </row>
    <row r="24" spans="1:48" x14ac:dyDescent="0.15">
      <c r="A24" s="216" t="s">
        <v>34</v>
      </c>
      <c r="B24" s="208" t="s">
        <v>348</v>
      </c>
      <c r="C24" s="208">
        <v>2018</v>
      </c>
      <c r="D24" s="250" t="s">
        <v>532</v>
      </c>
      <c r="E24" s="237" t="s">
        <v>344</v>
      </c>
      <c r="F24" s="237" t="s">
        <v>345</v>
      </c>
      <c r="G24" s="216" t="s">
        <v>36</v>
      </c>
      <c r="H24" s="208" t="s">
        <v>168</v>
      </c>
      <c r="I24" s="216" t="s">
        <v>155</v>
      </c>
      <c r="J24" s="216" t="s">
        <v>38</v>
      </c>
      <c r="K24" s="216" t="s">
        <v>156</v>
      </c>
      <c r="L24" s="208">
        <v>2</v>
      </c>
      <c r="N24" s="208">
        <v>1</v>
      </c>
      <c r="O24" s="208">
        <v>0.85</v>
      </c>
      <c r="P24" s="208">
        <v>0.65</v>
      </c>
      <c r="Q24" s="245">
        <f t="shared" si="0"/>
        <v>0.75</v>
      </c>
      <c r="R24" s="208">
        <v>14.4</v>
      </c>
      <c r="S24" s="208">
        <v>136</v>
      </c>
      <c r="T24" s="217">
        <f t="shared" si="1"/>
        <v>30</v>
      </c>
      <c r="U24" s="208">
        <v>103</v>
      </c>
      <c r="V24" s="217">
        <f t="shared" si="2"/>
        <v>3090</v>
      </c>
      <c r="W24" s="208">
        <v>2</v>
      </c>
      <c r="X24" s="216" t="s">
        <v>46</v>
      </c>
      <c r="Y24" s="216" t="s">
        <v>69</v>
      </c>
      <c r="Z24" s="216" t="s">
        <v>90</v>
      </c>
      <c r="AA24" s="216" t="s">
        <v>88</v>
      </c>
      <c r="AB24" s="216" t="s">
        <v>350</v>
      </c>
      <c r="AP24" s="239" t="s">
        <v>118</v>
      </c>
    </row>
    <row r="25" spans="1:48" x14ac:dyDescent="0.15">
      <c r="A25" s="216" t="s">
        <v>34</v>
      </c>
      <c r="B25" s="208" t="s">
        <v>348</v>
      </c>
      <c r="C25" s="208">
        <v>2018</v>
      </c>
      <c r="D25" s="250" t="s">
        <v>532</v>
      </c>
      <c r="E25" s="237" t="s">
        <v>344</v>
      </c>
      <c r="F25" s="237" t="s">
        <v>345</v>
      </c>
      <c r="G25" s="216" t="s">
        <v>36</v>
      </c>
      <c r="H25" s="208" t="s">
        <v>168</v>
      </c>
      <c r="I25" s="216" t="s">
        <v>155</v>
      </c>
      <c r="J25" s="216" t="s">
        <v>38</v>
      </c>
      <c r="K25" s="216" t="s">
        <v>156</v>
      </c>
      <c r="L25" s="208">
        <v>3</v>
      </c>
      <c r="N25" s="208">
        <v>1</v>
      </c>
      <c r="O25" s="208">
        <v>0.55000000000000004</v>
      </c>
      <c r="P25" s="208">
        <v>0.6</v>
      </c>
      <c r="Q25" s="245">
        <f t="shared" si="0"/>
        <v>0.57499999999999996</v>
      </c>
      <c r="R25" s="208">
        <v>13.9</v>
      </c>
      <c r="S25" s="208">
        <v>127</v>
      </c>
      <c r="T25" s="217">
        <f t="shared" si="1"/>
        <v>30</v>
      </c>
      <c r="U25" s="208">
        <v>103</v>
      </c>
      <c r="V25" s="217">
        <f t="shared" si="2"/>
        <v>3090</v>
      </c>
      <c r="W25" s="208">
        <v>2</v>
      </c>
      <c r="X25" s="216" t="s">
        <v>46</v>
      </c>
      <c r="Y25" s="216" t="s">
        <v>69</v>
      </c>
      <c r="Z25" s="216" t="s">
        <v>90</v>
      </c>
      <c r="AA25" s="216" t="s">
        <v>88</v>
      </c>
      <c r="AB25" s="216" t="s">
        <v>350</v>
      </c>
    </row>
    <row r="26" spans="1:48" x14ac:dyDescent="0.15">
      <c r="A26" s="216" t="s">
        <v>34</v>
      </c>
      <c r="B26" s="208" t="s">
        <v>348</v>
      </c>
      <c r="C26" s="208">
        <v>2018</v>
      </c>
      <c r="D26" s="250" t="s">
        <v>532</v>
      </c>
      <c r="E26" s="237" t="s">
        <v>341</v>
      </c>
      <c r="F26" s="237" t="s">
        <v>342</v>
      </c>
      <c r="G26" s="216" t="s">
        <v>36</v>
      </c>
      <c r="H26" s="208" t="s">
        <v>157</v>
      </c>
      <c r="I26" s="216" t="s">
        <v>158</v>
      </c>
      <c r="J26" s="216" t="s">
        <v>38</v>
      </c>
      <c r="K26" s="216" t="s">
        <v>156</v>
      </c>
      <c r="L26" s="216">
        <v>1</v>
      </c>
      <c r="N26" s="208">
        <v>1</v>
      </c>
      <c r="O26" s="208">
        <v>0.7</v>
      </c>
      <c r="P26" s="208">
        <v>0.55000000000000004</v>
      </c>
      <c r="Q26" s="245">
        <f t="shared" si="0"/>
        <v>0.625</v>
      </c>
      <c r="R26" s="208">
        <v>13.7</v>
      </c>
      <c r="S26" s="208">
        <v>127</v>
      </c>
      <c r="T26" s="217">
        <f t="shared" si="1"/>
        <v>30</v>
      </c>
      <c r="U26" s="208">
        <v>105</v>
      </c>
      <c r="V26" s="217">
        <f t="shared" si="2"/>
        <v>3150</v>
      </c>
      <c r="W26" s="208">
        <v>3</v>
      </c>
      <c r="X26" s="216" t="s">
        <v>46</v>
      </c>
      <c r="Y26" s="216" t="s">
        <v>102</v>
      </c>
      <c r="Z26" s="216" t="s">
        <v>69</v>
      </c>
      <c r="AA26" s="216" t="s">
        <v>55</v>
      </c>
      <c r="AB26" s="216" t="s">
        <v>350</v>
      </c>
    </row>
    <row r="27" spans="1:48" x14ac:dyDescent="0.15">
      <c r="A27" s="216" t="s">
        <v>34</v>
      </c>
      <c r="B27" s="208" t="s">
        <v>348</v>
      </c>
      <c r="C27" s="208">
        <v>2018</v>
      </c>
      <c r="D27" s="250" t="s">
        <v>532</v>
      </c>
      <c r="E27" s="237" t="s">
        <v>341</v>
      </c>
      <c r="F27" s="237" t="s">
        <v>342</v>
      </c>
      <c r="G27" s="216" t="s">
        <v>36</v>
      </c>
      <c r="H27" s="208" t="s">
        <v>157</v>
      </c>
      <c r="I27" s="216" t="s">
        <v>158</v>
      </c>
      <c r="J27" s="216" t="s">
        <v>38</v>
      </c>
      <c r="K27" s="216" t="s">
        <v>156</v>
      </c>
      <c r="L27" s="208">
        <v>2</v>
      </c>
      <c r="N27" s="208">
        <v>1</v>
      </c>
      <c r="O27" s="208">
        <v>0.8</v>
      </c>
      <c r="P27" s="208">
        <v>0.85</v>
      </c>
      <c r="Q27" s="245">
        <f t="shared" si="0"/>
        <v>0.82499999999999996</v>
      </c>
      <c r="R27" s="208">
        <v>14</v>
      </c>
      <c r="S27" s="208">
        <v>132</v>
      </c>
      <c r="T27" s="217">
        <f t="shared" si="1"/>
        <v>30</v>
      </c>
      <c r="U27" s="208">
        <v>105</v>
      </c>
      <c r="V27" s="217">
        <f t="shared" si="2"/>
        <v>3150</v>
      </c>
      <c r="W27" s="208">
        <v>3</v>
      </c>
      <c r="X27" s="216" t="s">
        <v>46</v>
      </c>
      <c r="Y27" s="216" t="s">
        <v>102</v>
      </c>
      <c r="Z27" s="216" t="s">
        <v>69</v>
      </c>
      <c r="AA27" s="216" t="s">
        <v>55</v>
      </c>
      <c r="AB27" s="216" t="s">
        <v>350</v>
      </c>
    </row>
    <row r="28" spans="1:48" x14ac:dyDescent="0.15">
      <c r="A28" s="216" t="s">
        <v>34</v>
      </c>
      <c r="B28" s="208" t="s">
        <v>348</v>
      </c>
      <c r="C28" s="208">
        <v>2018</v>
      </c>
      <c r="D28" s="250" t="s">
        <v>532</v>
      </c>
      <c r="E28" s="237" t="s">
        <v>341</v>
      </c>
      <c r="F28" s="237" t="s">
        <v>342</v>
      </c>
      <c r="G28" s="216" t="s">
        <v>36</v>
      </c>
      <c r="H28" s="208" t="s">
        <v>157</v>
      </c>
      <c r="I28" s="216" t="s">
        <v>158</v>
      </c>
      <c r="J28" s="216" t="s">
        <v>38</v>
      </c>
      <c r="K28" s="216" t="s">
        <v>156</v>
      </c>
      <c r="L28" s="208">
        <v>3</v>
      </c>
      <c r="N28" s="208">
        <v>1</v>
      </c>
      <c r="O28" s="208">
        <v>0.5</v>
      </c>
      <c r="P28" s="208">
        <v>0.55000000000000004</v>
      </c>
      <c r="Q28" s="245">
        <f t="shared" si="0"/>
        <v>0.52500000000000002</v>
      </c>
      <c r="R28" s="208">
        <v>13.3</v>
      </c>
      <c r="S28" s="208">
        <v>136</v>
      </c>
      <c r="T28" s="217">
        <f t="shared" si="1"/>
        <v>30</v>
      </c>
      <c r="U28" s="208">
        <v>105</v>
      </c>
      <c r="V28" s="217">
        <f t="shared" si="2"/>
        <v>3150</v>
      </c>
      <c r="W28" s="208">
        <v>3</v>
      </c>
      <c r="X28" s="216" t="s">
        <v>46</v>
      </c>
      <c r="Y28" s="216" t="s">
        <v>102</v>
      </c>
      <c r="Z28" s="216" t="s">
        <v>69</v>
      </c>
      <c r="AA28" s="216" t="s">
        <v>55</v>
      </c>
      <c r="AB28" s="216" t="s">
        <v>350</v>
      </c>
    </row>
    <row r="29" spans="1:48" x14ac:dyDescent="0.15">
      <c r="A29" s="216" t="s">
        <v>34</v>
      </c>
      <c r="B29" s="208" t="s">
        <v>348</v>
      </c>
      <c r="C29" s="208">
        <v>2018</v>
      </c>
      <c r="D29" s="250" t="s">
        <v>532</v>
      </c>
      <c r="E29" s="237" t="s">
        <v>341</v>
      </c>
      <c r="F29" s="237" t="s">
        <v>342</v>
      </c>
      <c r="G29" s="216" t="s">
        <v>36</v>
      </c>
      <c r="H29" s="208" t="s">
        <v>157</v>
      </c>
      <c r="I29" s="216" t="s">
        <v>155</v>
      </c>
      <c r="J29" s="216" t="s">
        <v>38</v>
      </c>
      <c r="K29" s="216" t="s">
        <v>156</v>
      </c>
      <c r="L29" s="216">
        <v>1</v>
      </c>
      <c r="N29" s="208">
        <v>8</v>
      </c>
      <c r="O29" s="208">
        <v>0.5</v>
      </c>
      <c r="P29" s="208">
        <v>0.6</v>
      </c>
      <c r="Q29" s="245">
        <f t="shared" si="0"/>
        <v>0.55000000000000004</v>
      </c>
      <c r="R29" s="208">
        <v>11</v>
      </c>
      <c r="S29" s="208">
        <v>95</v>
      </c>
      <c r="T29" s="217">
        <f t="shared" si="1"/>
        <v>36</v>
      </c>
      <c r="U29" s="208">
        <v>537</v>
      </c>
      <c r="V29" s="217">
        <f t="shared" si="2"/>
        <v>2416.5</v>
      </c>
      <c r="W29" s="208">
        <v>3</v>
      </c>
      <c r="X29" s="216" t="s">
        <v>39</v>
      </c>
      <c r="Y29" s="216" t="s">
        <v>102</v>
      </c>
      <c r="Z29" s="216" t="s">
        <v>69</v>
      </c>
      <c r="AA29" s="216" t="s">
        <v>55</v>
      </c>
      <c r="AB29" s="216" t="s">
        <v>350</v>
      </c>
    </row>
    <row r="30" spans="1:48" x14ac:dyDescent="0.15">
      <c r="A30" s="216" t="s">
        <v>34</v>
      </c>
      <c r="B30" s="208" t="s">
        <v>348</v>
      </c>
      <c r="C30" s="208">
        <v>2018</v>
      </c>
      <c r="D30" s="250" t="s">
        <v>532</v>
      </c>
      <c r="E30" s="237" t="s">
        <v>341</v>
      </c>
      <c r="F30" s="237" t="s">
        <v>342</v>
      </c>
      <c r="G30" s="216" t="s">
        <v>36</v>
      </c>
      <c r="H30" s="208" t="s">
        <v>157</v>
      </c>
      <c r="I30" s="216" t="s">
        <v>155</v>
      </c>
      <c r="J30" s="216" t="s">
        <v>38</v>
      </c>
      <c r="K30" s="216" t="s">
        <v>156</v>
      </c>
      <c r="L30" s="208">
        <v>2</v>
      </c>
      <c r="N30" s="208">
        <v>8</v>
      </c>
      <c r="O30" s="208">
        <v>0.6</v>
      </c>
      <c r="P30" s="208">
        <v>0.65</v>
      </c>
      <c r="Q30" s="245">
        <f t="shared" si="0"/>
        <v>0.625</v>
      </c>
      <c r="R30" s="208">
        <v>10.6</v>
      </c>
      <c r="S30" s="208">
        <v>86</v>
      </c>
      <c r="T30" s="217">
        <f t="shared" si="1"/>
        <v>36</v>
      </c>
      <c r="U30" s="208">
        <v>537</v>
      </c>
      <c r="V30" s="217">
        <f t="shared" si="2"/>
        <v>2416.5</v>
      </c>
      <c r="W30" s="208">
        <v>3</v>
      </c>
      <c r="X30" s="216" t="s">
        <v>39</v>
      </c>
      <c r="Y30" s="216" t="s">
        <v>102</v>
      </c>
      <c r="Z30" s="216" t="s">
        <v>69</v>
      </c>
      <c r="AA30" s="216" t="s">
        <v>55</v>
      </c>
      <c r="AB30" s="216" t="s">
        <v>350</v>
      </c>
    </row>
    <row r="31" spans="1:48" x14ac:dyDescent="0.15">
      <c r="A31" s="216" t="s">
        <v>34</v>
      </c>
      <c r="B31" s="208" t="s">
        <v>348</v>
      </c>
      <c r="C31" s="208">
        <v>2018</v>
      </c>
      <c r="D31" s="250" t="s">
        <v>532</v>
      </c>
      <c r="E31" s="237" t="s">
        <v>341</v>
      </c>
      <c r="F31" s="237" t="s">
        <v>342</v>
      </c>
      <c r="G31" s="216" t="s">
        <v>36</v>
      </c>
      <c r="H31" s="208" t="s">
        <v>157</v>
      </c>
      <c r="I31" s="216" t="s">
        <v>155</v>
      </c>
      <c r="J31" s="216" t="s">
        <v>38</v>
      </c>
      <c r="K31" s="216" t="s">
        <v>156</v>
      </c>
      <c r="L31" s="208">
        <v>3</v>
      </c>
      <c r="N31" s="208">
        <v>8</v>
      </c>
      <c r="O31" s="208">
        <v>0.45</v>
      </c>
      <c r="P31" s="208">
        <v>0.45</v>
      </c>
      <c r="Q31" s="245">
        <f t="shared" si="0"/>
        <v>0.45</v>
      </c>
      <c r="R31" s="208">
        <v>11.5</v>
      </c>
      <c r="S31" s="208">
        <v>90</v>
      </c>
      <c r="T31" s="217">
        <f t="shared" si="1"/>
        <v>36</v>
      </c>
      <c r="U31" s="208">
        <v>537</v>
      </c>
      <c r="V31" s="217">
        <f t="shared" si="2"/>
        <v>2416.5</v>
      </c>
      <c r="W31" s="208">
        <v>3</v>
      </c>
      <c r="X31" s="216" t="s">
        <v>39</v>
      </c>
      <c r="Y31" s="216" t="s">
        <v>102</v>
      </c>
      <c r="Z31" s="216" t="s">
        <v>69</v>
      </c>
      <c r="AA31" s="216" t="s">
        <v>55</v>
      </c>
      <c r="AB31" s="216" t="s">
        <v>350</v>
      </c>
    </row>
    <row r="32" spans="1:48" x14ac:dyDescent="0.15">
      <c r="A32" s="216" t="s">
        <v>34</v>
      </c>
      <c r="B32" s="208" t="s">
        <v>348</v>
      </c>
      <c r="C32" s="208">
        <v>2018</v>
      </c>
      <c r="D32" s="250" t="s">
        <v>532</v>
      </c>
      <c r="E32" s="237" t="s">
        <v>341</v>
      </c>
      <c r="F32" s="237" t="s">
        <v>342</v>
      </c>
      <c r="G32" s="216" t="s">
        <v>36</v>
      </c>
      <c r="H32" s="208" t="s">
        <v>168</v>
      </c>
      <c r="I32" s="216" t="s">
        <v>158</v>
      </c>
      <c r="J32" s="216" t="s">
        <v>38</v>
      </c>
      <c r="K32" s="216" t="s">
        <v>156</v>
      </c>
      <c r="L32" s="216">
        <v>1</v>
      </c>
      <c r="N32" s="208">
        <v>1</v>
      </c>
      <c r="O32" s="208">
        <v>0.6</v>
      </c>
      <c r="P32" s="208">
        <v>0.65</v>
      </c>
      <c r="Q32" s="245">
        <f t="shared" si="0"/>
        <v>0.625</v>
      </c>
      <c r="R32" s="208">
        <v>15</v>
      </c>
      <c r="S32" s="208">
        <v>132</v>
      </c>
      <c r="T32" s="217">
        <f t="shared" si="1"/>
        <v>30</v>
      </c>
      <c r="U32" s="208">
        <v>105</v>
      </c>
      <c r="V32" s="217">
        <f t="shared" si="2"/>
        <v>3150</v>
      </c>
      <c r="W32" s="208">
        <v>6</v>
      </c>
      <c r="X32" s="216" t="s">
        <v>46</v>
      </c>
      <c r="Y32" s="216" t="s">
        <v>102</v>
      </c>
      <c r="Z32" s="216" t="s">
        <v>69</v>
      </c>
      <c r="AA32" s="216" t="s">
        <v>55</v>
      </c>
      <c r="AB32" s="216" t="s">
        <v>350</v>
      </c>
    </row>
    <row r="33" spans="1:28" x14ac:dyDescent="0.15">
      <c r="A33" s="216" t="s">
        <v>34</v>
      </c>
      <c r="B33" s="208" t="s">
        <v>348</v>
      </c>
      <c r="C33" s="208">
        <v>2018</v>
      </c>
      <c r="D33" s="250" t="s">
        <v>532</v>
      </c>
      <c r="E33" s="237" t="s">
        <v>341</v>
      </c>
      <c r="F33" s="237" t="s">
        <v>342</v>
      </c>
      <c r="G33" s="216" t="s">
        <v>36</v>
      </c>
      <c r="H33" s="208" t="s">
        <v>168</v>
      </c>
      <c r="I33" s="216" t="s">
        <v>158</v>
      </c>
      <c r="J33" s="216" t="s">
        <v>38</v>
      </c>
      <c r="K33" s="216" t="s">
        <v>156</v>
      </c>
      <c r="L33" s="208">
        <v>2</v>
      </c>
      <c r="N33" s="208">
        <v>1</v>
      </c>
      <c r="O33" s="208">
        <v>0.45</v>
      </c>
      <c r="P33" s="208">
        <v>0.45</v>
      </c>
      <c r="Q33" s="245">
        <f t="shared" si="0"/>
        <v>0.45</v>
      </c>
      <c r="R33" s="208">
        <v>18.3</v>
      </c>
      <c r="S33" s="208">
        <v>135</v>
      </c>
      <c r="T33" s="217">
        <f t="shared" si="1"/>
        <v>30</v>
      </c>
      <c r="U33" s="208">
        <v>105</v>
      </c>
      <c r="V33" s="217">
        <f t="shared" si="2"/>
        <v>3150</v>
      </c>
      <c r="W33" s="208">
        <v>6</v>
      </c>
      <c r="X33" s="216" t="s">
        <v>46</v>
      </c>
      <c r="Y33" s="216" t="s">
        <v>102</v>
      </c>
      <c r="Z33" s="216" t="s">
        <v>69</v>
      </c>
      <c r="AA33" s="216" t="s">
        <v>55</v>
      </c>
      <c r="AB33" s="216" t="s">
        <v>350</v>
      </c>
    </row>
    <row r="34" spans="1:28" x14ac:dyDescent="0.15">
      <c r="A34" s="216" t="s">
        <v>34</v>
      </c>
      <c r="B34" s="208" t="s">
        <v>348</v>
      </c>
      <c r="C34" s="208">
        <v>2018</v>
      </c>
      <c r="D34" s="250" t="s">
        <v>532</v>
      </c>
      <c r="E34" s="237" t="s">
        <v>341</v>
      </c>
      <c r="F34" s="237" t="s">
        <v>342</v>
      </c>
      <c r="G34" s="216" t="s">
        <v>36</v>
      </c>
      <c r="H34" s="208" t="s">
        <v>168</v>
      </c>
      <c r="I34" s="216" t="s">
        <v>158</v>
      </c>
      <c r="J34" s="216" t="s">
        <v>38</v>
      </c>
      <c r="K34" s="216" t="s">
        <v>156</v>
      </c>
      <c r="L34" s="208">
        <v>3</v>
      </c>
      <c r="N34" s="208">
        <v>1</v>
      </c>
      <c r="O34" s="208">
        <v>0.45</v>
      </c>
      <c r="P34" s="208">
        <v>0.6</v>
      </c>
      <c r="Q34" s="245">
        <f>IF(OR(O34="",P34=""),"",AVERAGE(O34,P34))</f>
        <v>0.52500000000000002</v>
      </c>
      <c r="R34" s="208">
        <v>14.1</v>
      </c>
      <c r="S34" s="208">
        <v>126</v>
      </c>
      <c r="T34" s="217">
        <f t="shared" si="1"/>
        <v>30</v>
      </c>
      <c r="U34" s="208">
        <v>105</v>
      </c>
      <c r="V34" s="217">
        <f t="shared" si="2"/>
        <v>3150</v>
      </c>
      <c r="W34" s="208">
        <v>6</v>
      </c>
      <c r="X34" s="216" t="s">
        <v>46</v>
      </c>
      <c r="Y34" s="216" t="s">
        <v>102</v>
      </c>
      <c r="Z34" s="216" t="s">
        <v>69</v>
      </c>
      <c r="AA34" s="216" t="s">
        <v>55</v>
      </c>
      <c r="AB34" s="216" t="s">
        <v>350</v>
      </c>
    </row>
    <row r="35" spans="1:28" x14ac:dyDescent="0.15">
      <c r="A35" s="216" t="s">
        <v>34</v>
      </c>
      <c r="B35" s="208" t="s">
        <v>348</v>
      </c>
      <c r="C35" s="208">
        <v>2018</v>
      </c>
      <c r="D35" s="250" t="s">
        <v>532</v>
      </c>
      <c r="E35" s="237" t="s">
        <v>341</v>
      </c>
      <c r="F35" s="237" t="s">
        <v>342</v>
      </c>
      <c r="G35" s="216" t="s">
        <v>36</v>
      </c>
      <c r="H35" s="208" t="s">
        <v>168</v>
      </c>
      <c r="I35" s="216" t="s">
        <v>155</v>
      </c>
      <c r="J35" s="216" t="s">
        <v>38</v>
      </c>
      <c r="K35" s="216" t="s">
        <v>156</v>
      </c>
      <c r="L35" s="216">
        <v>1</v>
      </c>
      <c r="N35" s="208">
        <v>4</v>
      </c>
      <c r="O35" s="208">
        <v>0.45</v>
      </c>
      <c r="P35" s="208">
        <v>0.45</v>
      </c>
      <c r="Q35" s="245">
        <f t="shared" ref="Q35:Q36" si="3">IF(OR(O35="",P35=""),"",AVERAGE(O35,P35))</f>
        <v>0.45</v>
      </c>
      <c r="R35" s="208">
        <v>14.9</v>
      </c>
      <c r="S35" s="208">
        <v>93</v>
      </c>
      <c r="T35" s="217">
        <f t="shared" si="1"/>
        <v>36</v>
      </c>
      <c r="U35" s="208">
        <v>429</v>
      </c>
      <c r="V35" s="217">
        <f t="shared" si="2"/>
        <v>3861</v>
      </c>
      <c r="W35" s="208">
        <v>6</v>
      </c>
      <c r="X35" s="216" t="s">
        <v>39</v>
      </c>
      <c r="Y35" s="216" t="s">
        <v>102</v>
      </c>
      <c r="Z35" s="216" t="s">
        <v>69</v>
      </c>
      <c r="AA35" s="216" t="s">
        <v>55</v>
      </c>
      <c r="AB35" s="216" t="s">
        <v>350</v>
      </c>
    </row>
    <row r="36" spans="1:28" x14ac:dyDescent="0.15">
      <c r="A36" s="216" t="s">
        <v>34</v>
      </c>
      <c r="B36" s="208" t="s">
        <v>348</v>
      </c>
      <c r="C36" s="208">
        <v>2018</v>
      </c>
      <c r="D36" s="250" t="s">
        <v>532</v>
      </c>
      <c r="E36" s="237" t="s">
        <v>341</v>
      </c>
      <c r="F36" s="237" t="s">
        <v>342</v>
      </c>
      <c r="G36" s="216" t="s">
        <v>36</v>
      </c>
      <c r="H36" s="208" t="s">
        <v>168</v>
      </c>
      <c r="I36" s="216" t="s">
        <v>155</v>
      </c>
      <c r="J36" s="216" t="s">
        <v>38</v>
      </c>
      <c r="K36" s="216" t="s">
        <v>156</v>
      </c>
      <c r="L36" s="208">
        <v>2</v>
      </c>
      <c r="N36" s="208">
        <v>4</v>
      </c>
      <c r="O36" s="208">
        <v>0.45</v>
      </c>
      <c r="P36" s="208">
        <v>0.45</v>
      </c>
      <c r="Q36" s="245">
        <f t="shared" si="3"/>
        <v>0.45</v>
      </c>
      <c r="R36" s="208">
        <v>14.6</v>
      </c>
      <c r="S36" s="208">
        <v>87</v>
      </c>
      <c r="T36" s="217">
        <f t="shared" si="1"/>
        <v>36</v>
      </c>
      <c r="U36" s="208">
        <v>429</v>
      </c>
      <c r="V36" s="217">
        <f t="shared" si="2"/>
        <v>3861</v>
      </c>
      <c r="W36" s="208">
        <v>6</v>
      </c>
      <c r="X36" s="216" t="s">
        <v>39</v>
      </c>
      <c r="Y36" s="216" t="s">
        <v>102</v>
      </c>
      <c r="Z36" s="216" t="s">
        <v>69</v>
      </c>
      <c r="AA36" s="216" t="s">
        <v>55</v>
      </c>
      <c r="AB36" s="216" t="s">
        <v>350</v>
      </c>
    </row>
    <row r="37" spans="1:28" x14ac:dyDescent="0.15">
      <c r="A37" s="216" t="s">
        <v>34</v>
      </c>
      <c r="B37" s="208" t="s">
        <v>348</v>
      </c>
      <c r="C37" s="208">
        <v>2018</v>
      </c>
      <c r="D37" s="250" t="s">
        <v>532</v>
      </c>
      <c r="E37" s="237" t="s">
        <v>341</v>
      </c>
      <c r="F37" s="237" t="s">
        <v>342</v>
      </c>
      <c r="G37" s="216" t="s">
        <v>36</v>
      </c>
      <c r="H37" s="208" t="s">
        <v>168</v>
      </c>
      <c r="I37" s="216" t="s">
        <v>155</v>
      </c>
      <c r="J37" s="216" t="s">
        <v>38</v>
      </c>
      <c r="K37" s="216" t="s">
        <v>156</v>
      </c>
      <c r="L37" s="208">
        <v>3</v>
      </c>
      <c r="N37" s="208">
        <v>4</v>
      </c>
      <c r="O37" s="208">
        <v>0.45</v>
      </c>
      <c r="P37" s="208">
        <v>0.45</v>
      </c>
      <c r="Q37" s="245">
        <f>IF(OR(O37="",P37=""),"",AVERAGE(O37,P37))</f>
        <v>0.45</v>
      </c>
      <c r="R37" s="208">
        <v>14.8</v>
      </c>
      <c r="S37" s="208">
        <v>89</v>
      </c>
      <c r="T37" s="217">
        <f t="shared" si="1"/>
        <v>36</v>
      </c>
      <c r="U37" s="208">
        <v>429</v>
      </c>
      <c r="V37" s="217">
        <f t="shared" si="2"/>
        <v>3861</v>
      </c>
      <c r="W37" s="208">
        <v>6</v>
      </c>
      <c r="X37" s="216" t="s">
        <v>39</v>
      </c>
      <c r="Y37" s="216" t="s">
        <v>102</v>
      </c>
      <c r="Z37" s="216" t="s">
        <v>69</v>
      </c>
      <c r="AA37" s="216" t="s">
        <v>55</v>
      </c>
      <c r="AB37" s="216" t="s">
        <v>350</v>
      </c>
    </row>
    <row r="38" spans="1:28" x14ac:dyDescent="0.15">
      <c r="A38" s="216" t="s">
        <v>34</v>
      </c>
      <c r="B38" s="208" t="s">
        <v>348</v>
      </c>
      <c r="C38" s="208">
        <v>2018</v>
      </c>
      <c r="D38" s="250" t="s">
        <v>532</v>
      </c>
      <c r="E38" s="237" t="s">
        <v>175</v>
      </c>
      <c r="F38" s="237" t="s">
        <v>346</v>
      </c>
      <c r="G38" s="216" t="s">
        <v>36</v>
      </c>
      <c r="H38" s="208" t="s">
        <v>168</v>
      </c>
      <c r="I38" s="216" t="s">
        <v>155</v>
      </c>
      <c r="J38" s="216" t="s">
        <v>38</v>
      </c>
      <c r="K38" s="216" t="s">
        <v>156</v>
      </c>
      <c r="L38" s="216">
        <v>1</v>
      </c>
      <c r="N38" s="208">
        <v>1</v>
      </c>
      <c r="O38" s="208">
        <v>0.6</v>
      </c>
      <c r="P38" s="208">
        <v>0.5</v>
      </c>
      <c r="Q38" s="245">
        <f t="shared" ref="Q38:Q39" si="4">IF(OR(O38="",P38=""),"",AVERAGE(O38,P38))</f>
        <v>0.55000000000000004</v>
      </c>
      <c r="R38" s="208">
        <v>15.3</v>
      </c>
      <c r="S38" s="208">
        <v>148</v>
      </c>
      <c r="T38" s="217">
        <f t="shared" si="1"/>
        <v>30</v>
      </c>
      <c r="U38" s="208">
        <v>137</v>
      </c>
      <c r="V38" s="217">
        <f t="shared" si="2"/>
        <v>4110</v>
      </c>
      <c r="W38" s="208">
        <v>3</v>
      </c>
      <c r="X38" s="216" t="s">
        <v>46</v>
      </c>
      <c r="Y38" s="216" t="s">
        <v>102</v>
      </c>
      <c r="Z38" s="216" t="s">
        <v>69</v>
      </c>
      <c r="AA38" s="216" t="s">
        <v>78</v>
      </c>
      <c r="AB38" s="216" t="s">
        <v>350</v>
      </c>
    </row>
    <row r="39" spans="1:28" x14ac:dyDescent="0.15">
      <c r="A39" s="216" t="s">
        <v>34</v>
      </c>
      <c r="B39" s="208" t="s">
        <v>348</v>
      </c>
      <c r="C39" s="208">
        <v>2018</v>
      </c>
      <c r="D39" s="250" t="s">
        <v>532</v>
      </c>
      <c r="E39" s="237" t="s">
        <v>175</v>
      </c>
      <c r="F39" s="237" t="s">
        <v>346</v>
      </c>
      <c r="G39" s="216" t="s">
        <v>36</v>
      </c>
      <c r="H39" s="208" t="s">
        <v>168</v>
      </c>
      <c r="I39" s="216" t="s">
        <v>155</v>
      </c>
      <c r="J39" s="216" t="s">
        <v>38</v>
      </c>
      <c r="K39" s="216" t="s">
        <v>156</v>
      </c>
      <c r="L39" s="208">
        <v>2</v>
      </c>
      <c r="N39" s="208">
        <v>1</v>
      </c>
      <c r="O39" s="208">
        <v>0.55000000000000004</v>
      </c>
      <c r="P39" s="208">
        <v>0.45</v>
      </c>
      <c r="Q39" s="245">
        <f t="shared" si="4"/>
        <v>0.5</v>
      </c>
      <c r="R39" s="208">
        <v>15.7</v>
      </c>
      <c r="S39" s="208">
        <v>151</v>
      </c>
      <c r="T39" s="217">
        <f t="shared" si="1"/>
        <v>30</v>
      </c>
      <c r="U39" s="208">
        <v>137</v>
      </c>
      <c r="V39" s="217">
        <f t="shared" si="2"/>
        <v>4110</v>
      </c>
      <c r="W39" s="208">
        <v>3</v>
      </c>
      <c r="X39" s="216" t="s">
        <v>46</v>
      </c>
      <c r="Y39" s="216" t="s">
        <v>102</v>
      </c>
      <c r="Z39" s="216" t="s">
        <v>69</v>
      </c>
      <c r="AA39" s="216" t="s">
        <v>78</v>
      </c>
      <c r="AB39" s="216" t="s">
        <v>350</v>
      </c>
    </row>
    <row r="40" spans="1:28" x14ac:dyDescent="0.15">
      <c r="A40" s="216" t="s">
        <v>34</v>
      </c>
      <c r="B40" s="208" t="s">
        <v>348</v>
      </c>
      <c r="C40" s="208">
        <v>2018</v>
      </c>
      <c r="D40" s="250" t="s">
        <v>532</v>
      </c>
      <c r="E40" s="237" t="s">
        <v>175</v>
      </c>
      <c r="F40" s="237" t="s">
        <v>346</v>
      </c>
      <c r="G40" s="216" t="s">
        <v>36</v>
      </c>
      <c r="H40" s="208" t="s">
        <v>168</v>
      </c>
      <c r="I40" s="216" t="s">
        <v>155</v>
      </c>
      <c r="J40" s="216" t="s">
        <v>38</v>
      </c>
      <c r="K40" s="216" t="s">
        <v>156</v>
      </c>
      <c r="L40" s="208">
        <v>3</v>
      </c>
      <c r="N40" s="208">
        <v>1</v>
      </c>
      <c r="O40" s="208">
        <v>0.8</v>
      </c>
      <c r="P40" s="208">
        <v>0.65</v>
      </c>
      <c r="Q40" s="245">
        <f>IF(OR(O40="",P40=""),"",AVERAGE(O40,P40))</f>
        <v>0.72500000000000009</v>
      </c>
      <c r="R40" s="208">
        <v>15.1</v>
      </c>
      <c r="S40" s="208">
        <v>154</v>
      </c>
      <c r="T40" s="217">
        <f t="shared" si="1"/>
        <v>18</v>
      </c>
      <c r="U40" s="208">
        <v>137</v>
      </c>
      <c r="V40" s="217">
        <f t="shared" si="2"/>
        <v>2466</v>
      </c>
      <c r="W40" s="208">
        <v>3</v>
      </c>
      <c r="X40" s="216" t="s">
        <v>46</v>
      </c>
      <c r="Y40" s="216" t="s">
        <v>102</v>
      </c>
      <c r="Z40" s="216" t="s">
        <v>69</v>
      </c>
      <c r="AA40" s="216" t="s">
        <v>78</v>
      </c>
      <c r="AB40" s="216" t="s">
        <v>350</v>
      </c>
    </row>
    <row r="41" spans="1:28" x14ac:dyDescent="0.15">
      <c r="A41" s="216" t="s">
        <v>34</v>
      </c>
      <c r="B41" s="208" t="s">
        <v>348</v>
      </c>
      <c r="C41" s="208">
        <v>2018</v>
      </c>
      <c r="D41" s="250" t="s">
        <v>532</v>
      </c>
      <c r="E41" s="237" t="s">
        <v>296</v>
      </c>
      <c r="F41" s="237" t="s">
        <v>331</v>
      </c>
      <c r="G41" s="216" t="s">
        <v>36</v>
      </c>
      <c r="H41" s="208" t="s">
        <v>157</v>
      </c>
      <c r="I41" s="216" t="s">
        <v>155</v>
      </c>
      <c r="J41" s="216" t="s">
        <v>38</v>
      </c>
      <c r="K41" s="216" t="s">
        <v>156</v>
      </c>
      <c r="L41" s="216">
        <v>1</v>
      </c>
      <c r="N41" s="208">
        <v>1</v>
      </c>
      <c r="O41" s="208">
        <v>1</v>
      </c>
      <c r="P41" s="208">
        <v>1.1499999999999999</v>
      </c>
      <c r="Q41" s="245">
        <f t="shared" si="0"/>
        <v>1.075</v>
      </c>
      <c r="R41" s="208">
        <v>15.7</v>
      </c>
      <c r="S41" s="208">
        <v>133</v>
      </c>
      <c r="T41" s="217">
        <f t="shared" si="1"/>
        <v>30</v>
      </c>
      <c r="U41" s="208">
        <v>85</v>
      </c>
      <c r="V41" s="217">
        <f t="shared" si="2"/>
        <v>2550</v>
      </c>
      <c r="W41" s="208">
        <v>2</v>
      </c>
      <c r="X41" s="216" t="s">
        <v>46</v>
      </c>
      <c r="Y41" s="216" t="s">
        <v>97</v>
      </c>
      <c r="Z41" s="216" t="s">
        <v>69</v>
      </c>
      <c r="AA41" s="216" t="s">
        <v>78</v>
      </c>
      <c r="AB41" s="216" t="s">
        <v>350</v>
      </c>
    </row>
    <row r="42" spans="1:28" x14ac:dyDescent="0.15">
      <c r="A42" s="216" t="s">
        <v>34</v>
      </c>
      <c r="B42" s="208" t="s">
        <v>348</v>
      </c>
      <c r="C42" s="208">
        <v>2018</v>
      </c>
      <c r="D42" s="250" t="s">
        <v>532</v>
      </c>
      <c r="E42" s="237" t="s">
        <v>296</v>
      </c>
      <c r="F42" s="237" t="s">
        <v>331</v>
      </c>
      <c r="G42" s="216" t="s">
        <v>36</v>
      </c>
      <c r="H42" s="208" t="s">
        <v>157</v>
      </c>
      <c r="I42" s="216" t="s">
        <v>155</v>
      </c>
      <c r="J42" s="216" t="s">
        <v>38</v>
      </c>
      <c r="K42" s="216" t="s">
        <v>156</v>
      </c>
      <c r="L42" s="208">
        <v>2</v>
      </c>
      <c r="N42" s="208">
        <v>1</v>
      </c>
      <c r="O42" s="208">
        <v>1.1499999999999999</v>
      </c>
      <c r="P42" s="208">
        <v>1.05</v>
      </c>
      <c r="Q42" s="245">
        <f t="shared" si="0"/>
        <v>1.1000000000000001</v>
      </c>
      <c r="R42" s="208">
        <v>14.8</v>
      </c>
      <c r="S42" s="208">
        <v>130</v>
      </c>
      <c r="T42" s="217">
        <f t="shared" si="1"/>
        <v>30</v>
      </c>
      <c r="U42" s="208">
        <v>85</v>
      </c>
      <c r="V42" s="217">
        <f t="shared" si="2"/>
        <v>2550</v>
      </c>
      <c r="W42" s="208">
        <v>2</v>
      </c>
      <c r="X42" s="216" t="s">
        <v>46</v>
      </c>
      <c r="Y42" s="216" t="s">
        <v>97</v>
      </c>
      <c r="Z42" s="216" t="s">
        <v>69</v>
      </c>
      <c r="AA42" s="216" t="s">
        <v>78</v>
      </c>
      <c r="AB42" s="216" t="s">
        <v>350</v>
      </c>
    </row>
    <row r="43" spans="1:28" x14ac:dyDescent="0.15">
      <c r="A43" s="216" t="s">
        <v>34</v>
      </c>
      <c r="B43" s="208" t="s">
        <v>348</v>
      </c>
      <c r="C43" s="208">
        <v>2018</v>
      </c>
      <c r="D43" s="250" t="s">
        <v>532</v>
      </c>
      <c r="E43" s="237" t="s">
        <v>296</v>
      </c>
      <c r="F43" s="237" t="s">
        <v>331</v>
      </c>
      <c r="G43" s="216" t="s">
        <v>36</v>
      </c>
      <c r="H43" s="208" t="s">
        <v>157</v>
      </c>
      <c r="I43" s="216" t="s">
        <v>155</v>
      </c>
      <c r="J43" s="216" t="s">
        <v>38</v>
      </c>
      <c r="K43" s="216" t="s">
        <v>156</v>
      </c>
      <c r="L43" s="208">
        <v>3</v>
      </c>
      <c r="N43" s="208">
        <v>1</v>
      </c>
      <c r="O43" s="208">
        <v>1</v>
      </c>
      <c r="P43" s="208">
        <v>0.9</v>
      </c>
      <c r="Q43" s="245">
        <f t="shared" si="0"/>
        <v>0.95</v>
      </c>
      <c r="R43" s="208">
        <v>13.6</v>
      </c>
      <c r="S43" s="208">
        <v>129</v>
      </c>
      <c r="T43" s="217">
        <f t="shared" si="1"/>
        <v>30</v>
      </c>
      <c r="U43" s="208">
        <v>85</v>
      </c>
      <c r="V43" s="217">
        <f t="shared" si="2"/>
        <v>2550</v>
      </c>
      <c r="W43" s="208">
        <v>2</v>
      </c>
      <c r="X43" s="216" t="s">
        <v>46</v>
      </c>
      <c r="Y43" s="216" t="s">
        <v>97</v>
      </c>
      <c r="Z43" s="216" t="s">
        <v>69</v>
      </c>
      <c r="AA43" s="216" t="s">
        <v>78</v>
      </c>
      <c r="AB43" s="216" t="s">
        <v>350</v>
      </c>
    </row>
    <row r="44" spans="1:28" x14ac:dyDescent="0.15">
      <c r="A44" s="216" t="s">
        <v>34</v>
      </c>
      <c r="B44" s="208" t="s">
        <v>348</v>
      </c>
      <c r="C44" s="208">
        <v>2018</v>
      </c>
      <c r="D44" s="250" t="s">
        <v>532</v>
      </c>
      <c r="E44" s="237" t="s">
        <v>296</v>
      </c>
      <c r="F44" s="237" t="s">
        <v>331</v>
      </c>
      <c r="G44" s="216" t="s">
        <v>36</v>
      </c>
      <c r="H44" s="208" t="s">
        <v>168</v>
      </c>
      <c r="I44" s="216" t="s">
        <v>155</v>
      </c>
      <c r="J44" s="216" t="s">
        <v>38</v>
      </c>
      <c r="K44" s="216" t="s">
        <v>156</v>
      </c>
      <c r="L44" s="216">
        <v>1</v>
      </c>
      <c r="N44" s="208">
        <v>1</v>
      </c>
      <c r="O44" s="208">
        <v>0.45</v>
      </c>
      <c r="P44" s="208">
        <v>0.55000000000000004</v>
      </c>
      <c r="Q44" s="245">
        <f t="shared" si="0"/>
        <v>0.5</v>
      </c>
      <c r="R44" s="208">
        <v>15.9</v>
      </c>
      <c r="S44" s="208">
        <v>165</v>
      </c>
      <c r="T44" s="217">
        <f t="shared" si="1"/>
        <v>18</v>
      </c>
      <c r="U44" s="208">
        <v>85</v>
      </c>
      <c r="V44" s="217">
        <f t="shared" si="2"/>
        <v>1530</v>
      </c>
      <c r="W44" s="208">
        <v>1</v>
      </c>
      <c r="X44" s="216" t="s">
        <v>39</v>
      </c>
      <c r="Y44" s="216" t="s">
        <v>97</v>
      </c>
      <c r="Z44" s="216" t="s">
        <v>69</v>
      </c>
      <c r="AA44" s="216" t="s">
        <v>78</v>
      </c>
      <c r="AB44" s="216" t="s">
        <v>350</v>
      </c>
    </row>
    <row r="45" spans="1:28" x14ac:dyDescent="0.15">
      <c r="A45" s="216" t="s">
        <v>34</v>
      </c>
      <c r="B45" s="208" t="s">
        <v>348</v>
      </c>
      <c r="C45" s="208">
        <v>2018</v>
      </c>
      <c r="D45" s="250" t="s">
        <v>532</v>
      </c>
      <c r="E45" s="237" t="s">
        <v>296</v>
      </c>
      <c r="F45" s="237" t="s">
        <v>331</v>
      </c>
      <c r="G45" s="216" t="s">
        <v>36</v>
      </c>
      <c r="H45" s="208" t="s">
        <v>168</v>
      </c>
      <c r="I45" s="216" t="s">
        <v>155</v>
      </c>
      <c r="J45" s="216" t="s">
        <v>38</v>
      </c>
      <c r="K45" s="216" t="s">
        <v>156</v>
      </c>
      <c r="L45" s="208">
        <v>2</v>
      </c>
      <c r="N45" s="208">
        <v>1</v>
      </c>
      <c r="O45" s="208">
        <v>0.5</v>
      </c>
      <c r="P45" s="208">
        <v>0.5</v>
      </c>
      <c r="Q45" s="245">
        <f t="shared" si="0"/>
        <v>0.5</v>
      </c>
      <c r="R45" s="208">
        <v>15.2</v>
      </c>
      <c r="S45" s="208">
        <v>159</v>
      </c>
      <c r="T45" s="217">
        <f t="shared" si="1"/>
        <v>18</v>
      </c>
      <c r="U45" s="208">
        <v>85</v>
      </c>
      <c r="V45" s="217">
        <f t="shared" si="2"/>
        <v>1530</v>
      </c>
      <c r="W45" s="208">
        <v>1</v>
      </c>
      <c r="X45" s="216" t="s">
        <v>39</v>
      </c>
      <c r="Y45" s="216" t="s">
        <v>97</v>
      </c>
      <c r="Z45" s="216" t="s">
        <v>69</v>
      </c>
      <c r="AA45" s="216" t="s">
        <v>78</v>
      </c>
      <c r="AB45" s="216" t="s">
        <v>350</v>
      </c>
    </row>
    <row r="46" spans="1:28" x14ac:dyDescent="0.15">
      <c r="A46" s="216" t="s">
        <v>34</v>
      </c>
      <c r="B46" s="208" t="s">
        <v>348</v>
      </c>
      <c r="C46" s="208">
        <v>2018</v>
      </c>
      <c r="D46" s="250" t="s">
        <v>532</v>
      </c>
      <c r="E46" s="237" t="s">
        <v>296</v>
      </c>
      <c r="F46" s="237" t="s">
        <v>331</v>
      </c>
      <c r="G46" s="216" t="s">
        <v>36</v>
      </c>
      <c r="H46" s="208" t="s">
        <v>168</v>
      </c>
      <c r="I46" s="216" t="s">
        <v>155</v>
      </c>
      <c r="J46" s="216" t="s">
        <v>38</v>
      </c>
      <c r="K46" s="216" t="s">
        <v>156</v>
      </c>
      <c r="L46" s="208">
        <v>3</v>
      </c>
      <c r="N46" s="208">
        <v>1</v>
      </c>
      <c r="O46" s="208">
        <v>0.6</v>
      </c>
      <c r="P46" s="208">
        <v>0.45</v>
      </c>
      <c r="Q46" s="245">
        <f t="shared" si="0"/>
        <v>0.52500000000000002</v>
      </c>
      <c r="R46" s="208">
        <v>16.399999999999999</v>
      </c>
      <c r="S46" s="208">
        <v>178</v>
      </c>
      <c r="T46" s="217">
        <f t="shared" si="1"/>
        <v>18</v>
      </c>
      <c r="U46" s="208">
        <v>85</v>
      </c>
      <c r="V46" s="217">
        <f t="shared" si="2"/>
        <v>1530</v>
      </c>
      <c r="W46" s="208">
        <v>1</v>
      </c>
      <c r="X46" s="216" t="s">
        <v>39</v>
      </c>
      <c r="Y46" s="216" t="s">
        <v>97</v>
      </c>
      <c r="Z46" s="216" t="s">
        <v>69</v>
      </c>
      <c r="AA46" s="216" t="s">
        <v>78</v>
      </c>
      <c r="AB46" s="216" t="s">
        <v>350</v>
      </c>
    </row>
    <row r="47" spans="1:28" x14ac:dyDescent="0.15">
      <c r="A47" s="216" t="s">
        <v>34</v>
      </c>
      <c r="B47" s="208" t="s">
        <v>348</v>
      </c>
      <c r="C47" s="208">
        <v>2018</v>
      </c>
      <c r="D47" s="250" t="s">
        <v>532</v>
      </c>
      <c r="E47" s="237" t="s">
        <v>332</v>
      </c>
      <c r="F47" s="237" t="s">
        <v>333</v>
      </c>
      <c r="G47" s="216" t="s">
        <v>36</v>
      </c>
      <c r="H47" s="208" t="s">
        <v>157</v>
      </c>
      <c r="I47" s="216" t="s">
        <v>155</v>
      </c>
      <c r="J47" s="216" t="s">
        <v>38</v>
      </c>
      <c r="K47" s="216" t="s">
        <v>156</v>
      </c>
      <c r="L47" s="216">
        <v>1</v>
      </c>
      <c r="N47" s="208">
        <v>1</v>
      </c>
      <c r="O47" s="208">
        <v>0.9</v>
      </c>
      <c r="P47" s="208">
        <v>0.75</v>
      </c>
      <c r="Q47" s="245">
        <f t="shared" si="0"/>
        <v>0.82499999999999996</v>
      </c>
      <c r="R47" s="208">
        <v>15.4</v>
      </c>
      <c r="S47" s="208">
        <v>121</v>
      </c>
      <c r="T47" s="217">
        <f t="shared" si="1"/>
        <v>30</v>
      </c>
      <c r="U47" s="208">
        <v>138</v>
      </c>
      <c r="V47" s="217">
        <f t="shared" si="2"/>
        <v>4140</v>
      </c>
      <c r="W47" s="208">
        <v>3</v>
      </c>
      <c r="X47" s="216" t="s">
        <v>46</v>
      </c>
      <c r="Y47" s="216" t="s">
        <v>69</v>
      </c>
      <c r="Z47" s="216" t="s">
        <v>78</v>
      </c>
      <c r="AA47" s="216" t="s">
        <v>55</v>
      </c>
      <c r="AB47" s="216" t="s">
        <v>350</v>
      </c>
    </row>
    <row r="48" spans="1:28" x14ac:dyDescent="0.15">
      <c r="A48" s="216" t="s">
        <v>34</v>
      </c>
      <c r="B48" s="208" t="s">
        <v>348</v>
      </c>
      <c r="C48" s="208">
        <v>2018</v>
      </c>
      <c r="D48" s="250" t="s">
        <v>532</v>
      </c>
      <c r="E48" s="237" t="s">
        <v>332</v>
      </c>
      <c r="F48" s="237" t="s">
        <v>333</v>
      </c>
      <c r="G48" s="216" t="s">
        <v>36</v>
      </c>
      <c r="H48" s="208" t="s">
        <v>157</v>
      </c>
      <c r="I48" s="216" t="s">
        <v>155</v>
      </c>
      <c r="J48" s="216" t="s">
        <v>38</v>
      </c>
      <c r="K48" s="216" t="s">
        <v>156</v>
      </c>
      <c r="L48" s="208">
        <v>2</v>
      </c>
      <c r="N48" s="208">
        <v>1</v>
      </c>
      <c r="O48" s="208">
        <v>0.9</v>
      </c>
      <c r="P48" s="208">
        <v>0.8</v>
      </c>
      <c r="Q48" s="245">
        <f t="shared" si="0"/>
        <v>0.85000000000000009</v>
      </c>
      <c r="R48" s="208">
        <v>13.8</v>
      </c>
      <c r="S48" s="208">
        <v>129</v>
      </c>
      <c r="T48" s="217">
        <f t="shared" si="1"/>
        <v>30</v>
      </c>
      <c r="U48" s="208">
        <v>138</v>
      </c>
      <c r="V48" s="217">
        <f t="shared" si="2"/>
        <v>4140</v>
      </c>
      <c r="W48" s="208">
        <v>3</v>
      </c>
      <c r="X48" s="216" t="s">
        <v>46</v>
      </c>
      <c r="Y48" s="216" t="s">
        <v>69</v>
      </c>
      <c r="Z48" s="216" t="s">
        <v>78</v>
      </c>
      <c r="AA48" s="216" t="s">
        <v>55</v>
      </c>
      <c r="AB48" s="216" t="s">
        <v>350</v>
      </c>
    </row>
    <row r="49" spans="1:28" x14ac:dyDescent="0.15">
      <c r="A49" s="216" t="s">
        <v>34</v>
      </c>
      <c r="B49" s="208" t="s">
        <v>348</v>
      </c>
      <c r="C49" s="208">
        <v>2018</v>
      </c>
      <c r="D49" s="250" t="s">
        <v>532</v>
      </c>
      <c r="E49" s="237" t="s">
        <v>332</v>
      </c>
      <c r="F49" s="237" t="s">
        <v>333</v>
      </c>
      <c r="G49" s="216" t="s">
        <v>36</v>
      </c>
      <c r="H49" s="208" t="s">
        <v>157</v>
      </c>
      <c r="I49" s="216" t="s">
        <v>155</v>
      </c>
      <c r="J49" s="216" t="s">
        <v>38</v>
      </c>
      <c r="K49" s="216" t="s">
        <v>156</v>
      </c>
      <c r="L49" s="208">
        <v>3</v>
      </c>
      <c r="N49" s="208">
        <v>1</v>
      </c>
      <c r="O49" s="208">
        <v>0.65</v>
      </c>
      <c r="P49" s="208">
        <v>0.6</v>
      </c>
      <c r="Q49" s="245">
        <f t="shared" si="0"/>
        <v>0.625</v>
      </c>
      <c r="R49" s="208">
        <v>14.2</v>
      </c>
      <c r="S49" s="208">
        <v>126</v>
      </c>
      <c r="T49" s="217">
        <f t="shared" si="1"/>
        <v>30</v>
      </c>
      <c r="U49" s="208">
        <v>138</v>
      </c>
      <c r="V49" s="217">
        <f t="shared" si="2"/>
        <v>4140</v>
      </c>
      <c r="W49" s="208">
        <v>3</v>
      </c>
      <c r="X49" s="216" t="s">
        <v>46</v>
      </c>
      <c r="Y49" s="216" t="s">
        <v>69</v>
      </c>
      <c r="Z49" s="216" t="s">
        <v>78</v>
      </c>
      <c r="AA49" s="216" t="s">
        <v>55</v>
      </c>
      <c r="AB49" s="216" t="s">
        <v>350</v>
      </c>
    </row>
    <row r="50" spans="1:28" x14ac:dyDescent="0.15">
      <c r="A50" s="216" t="s">
        <v>34</v>
      </c>
      <c r="B50" s="208" t="s">
        <v>348</v>
      </c>
      <c r="C50" s="208">
        <v>2018</v>
      </c>
      <c r="D50" s="250" t="s">
        <v>532</v>
      </c>
      <c r="E50" s="237" t="s">
        <v>332</v>
      </c>
      <c r="F50" s="237" t="s">
        <v>333</v>
      </c>
      <c r="G50" s="216" t="s">
        <v>36</v>
      </c>
      <c r="H50" s="208" t="s">
        <v>157</v>
      </c>
      <c r="I50" s="216" t="s">
        <v>155</v>
      </c>
      <c r="J50" s="216" t="s">
        <v>38</v>
      </c>
      <c r="K50" s="216" t="s">
        <v>156</v>
      </c>
      <c r="L50" s="216">
        <v>1</v>
      </c>
      <c r="N50" s="208">
        <v>3</v>
      </c>
      <c r="O50" s="208">
        <v>0.65</v>
      </c>
      <c r="P50" s="208">
        <v>0.6</v>
      </c>
      <c r="Q50" s="245">
        <f t="shared" si="0"/>
        <v>0.625</v>
      </c>
      <c r="R50" s="208">
        <v>15.8</v>
      </c>
      <c r="S50" s="208">
        <v>151</v>
      </c>
      <c r="T50" s="217">
        <f t="shared" si="1"/>
        <v>30</v>
      </c>
      <c r="U50" s="208">
        <v>430</v>
      </c>
      <c r="V50" s="217">
        <f t="shared" si="2"/>
        <v>4300</v>
      </c>
      <c r="W50" s="208">
        <v>3</v>
      </c>
      <c r="X50" s="216" t="s">
        <v>46</v>
      </c>
      <c r="Y50" s="216" t="s">
        <v>69</v>
      </c>
      <c r="Z50" s="216" t="s">
        <v>78</v>
      </c>
      <c r="AA50" s="216" t="s">
        <v>55</v>
      </c>
      <c r="AB50" s="216" t="s">
        <v>350</v>
      </c>
    </row>
    <row r="51" spans="1:28" x14ac:dyDescent="0.15">
      <c r="A51" s="216" t="s">
        <v>34</v>
      </c>
      <c r="B51" s="208" t="s">
        <v>348</v>
      </c>
      <c r="C51" s="208">
        <v>2018</v>
      </c>
      <c r="D51" s="250" t="s">
        <v>532</v>
      </c>
      <c r="E51" s="237" t="s">
        <v>332</v>
      </c>
      <c r="F51" s="237" t="s">
        <v>333</v>
      </c>
      <c r="G51" s="216" t="s">
        <v>36</v>
      </c>
      <c r="H51" s="208" t="s">
        <v>157</v>
      </c>
      <c r="I51" s="216" t="s">
        <v>155</v>
      </c>
      <c r="J51" s="216" t="s">
        <v>38</v>
      </c>
      <c r="K51" s="216" t="s">
        <v>156</v>
      </c>
      <c r="L51" s="208">
        <v>2</v>
      </c>
      <c r="N51" s="208">
        <v>3</v>
      </c>
      <c r="O51" s="208">
        <v>0.7</v>
      </c>
      <c r="P51" s="208">
        <v>0.65</v>
      </c>
      <c r="Q51" s="245">
        <f t="shared" si="0"/>
        <v>0.67500000000000004</v>
      </c>
      <c r="R51" s="208">
        <v>14.6</v>
      </c>
      <c r="S51" s="208">
        <v>157</v>
      </c>
      <c r="T51" s="217">
        <f t="shared" si="1"/>
        <v>18</v>
      </c>
      <c r="U51" s="208">
        <v>430</v>
      </c>
      <c r="V51" s="217">
        <f t="shared" si="2"/>
        <v>2580</v>
      </c>
      <c r="W51" s="208">
        <v>3</v>
      </c>
      <c r="X51" s="216" t="s">
        <v>46</v>
      </c>
      <c r="Y51" s="216" t="s">
        <v>69</v>
      </c>
      <c r="Z51" s="216" t="s">
        <v>78</v>
      </c>
      <c r="AA51" s="216" t="s">
        <v>55</v>
      </c>
      <c r="AB51" s="216" t="s">
        <v>350</v>
      </c>
    </row>
    <row r="52" spans="1:28" x14ac:dyDescent="0.15">
      <c r="A52" s="216" t="s">
        <v>34</v>
      </c>
      <c r="B52" s="208" t="s">
        <v>348</v>
      </c>
      <c r="C52" s="208">
        <v>2018</v>
      </c>
      <c r="D52" s="250" t="s">
        <v>532</v>
      </c>
      <c r="E52" s="237" t="s">
        <v>332</v>
      </c>
      <c r="F52" s="237" t="s">
        <v>333</v>
      </c>
      <c r="G52" s="216" t="s">
        <v>36</v>
      </c>
      <c r="H52" s="208" t="s">
        <v>157</v>
      </c>
      <c r="I52" s="216" t="s">
        <v>155</v>
      </c>
      <c r="J52" s="216" t="s">
        <v>38</v>
      </c>
      <c r="K52" s="216" t="s">
        <v>156</v>
      </c>
      <c r="L52" s="208">
        <v>3</v>
      </c>
      <c r="N52" s="208">
        <v>3</v>
      </c>
      <c r="O52" s="208">
        <v>0.7</v>
      </c>
      <c r="P52" s="208">
        <v>0.8</v>
      </c>
      <c r="Q52" s="245">
        <f t="shared" si="0"/>
        <v>0.75</v>
      </c>
      <c r="R52" s="208">
        <v>14.6</v>
      </c>
      <c r="S52" s="208">
        <v>159</v>
      </c>
      <c r="T52" s="217">
        <f t="shared" si="1"/>
        <v>18</v>
      </c>
      <c r="U52" s="208">
        <v>430</v>
      </c>
      <c r="V52" s="217">
        <f t="shared" si="2"/>
        <v>2580</v>
      </c>
      <c r="W52" s="208">
        <v>3</v>
      </c>
      <c r="X52" s="216" t="s">
        <v>46</v>
      </c>
      <c r="Y52" s="216" t="s">
        <v>69</v>
      </c>
      <c r="Z52" s="216" t="s">
        <v>78</v>
      </c>
      <c r="AA52" s="216" t="s">
        <v>55</v>
      </c>
      <c r="AB52" s="216" t="s">
        <v>350</v>
      </c>
    </row>
    <row r="53" spans="1:28" x14ac:dyDescent="0.15">
      <c r="A53" s="216" t="s">
        <v>34</v>
      </c>
      <c r="B53" s="208" t="s">
        <v>348</v>
      </c>
      <c r="C53" s="208">
        <v>2018</v>
      </c>
      <c r="D53" s="250" t="s">
        <v>532</v>
      </c>
      <c r="E53" s="237" t="s">
        <v>332</v>
      </c>
      <c r="F53" s="237" t="s">
        <v>333</v>
      </c>
      <c r="G53" s="216" t="s">
        <v>36</v>
      </c>
      <c r="H53" s="208" t="s">
        <v>168</v>
      </c>
      <c r="I53" s="216" t="s">
        <v>155</v>
      </c>
      <c r="J53" s="216" t="s">
        <v>38</v>
      </c>
      <c r="K53" s="216" t="s">
        <v>156</v>
      </c>
      <c r="L53" s="216">
        <v>1</v>
      </c>
      <c r="N53" s="208">
        <v>1</v>
      </c>
      <c r="O53" s="208">
        <v>0.55000000000000004</v>
      </c>
      <c r="P53" s="208">
        <v>0.45</v>
      </c>
      <c r="Q53" s="245">
        <f t="shared" si="0"/>
        <v>0.5</v>
      </c>
      <c r="R53" s="208">
        <v>14.5</v>
      </c>
      <c r="S53" s="208">
        <v>137</v>
      </c>
      <c r="T53" s="217">
        <f t="shared" si="1"/>
        <v>30</v>
      </c>
      <c r="U53" s="208">
        <v>138</v>
      </c>
      <c r="V53" s="217">
        <f t="shared" si="2"/>
        <v>4140</v>
      </c>
      <c r="W53" s="208">
        <v>2</v>
      </c>
      <c r="X53" s="216" t="s">
        <v>46</v>
      </c>
      <c r="Y53" s="216" t="s">
        <v>69</v>
      </c>
      <c r="Z53" s="216" t="s">
        <v>78</v>
      </c>
      <c r="AA53" s="216" t="s">
        <v>55</v>
      </c>
      <c r="AB53" s="216" t="s">
        <v>350</v>
      </c>
    </row>
    <row r="54" spans="1:28" x14ac:dyDescent="0.15">
      <c r="A54" s="216" t="s">
        <v>34</v>
      </c>
      <c r="B54" s="208" t="s">
        <v>348</v>
      </c>
      <c r="C54" s="208">
        <v>2018</v>
      </c>
      <c r="D54" s="250" t="s">
        <v>532</v>
      </c>
      <c r="E54" s="237" t="s">
        <v>332</v>
      </c>
      <c r="F54" s="237" t="s">
        <v>333</v>
      </c>
      <c r="G54" s="216" t="s">
        <v>36</v>
      </c>
      <c r="H54" s="208" t="s">
        <v>168</v>
      </c>
      <c r="I54" s="216" t="s">
        <v>155</v>
      </c>
      <c r="J54" s="216" t="s">
        <v>38</v>
      </c>
      <c r="K54" s="216" t="s">
        <v>156</v>
      </c>
      <c r="L54" s="208">
        <v>2</v>
      </c>
      <c r="N54" s="208">
        <v>1</v>
      </c>
      <c r="O54" s="208">
        <v>0.45</v>
      </c>
      <c r="P54" s="208">
        <v>0.2</v>
      </c>
      <c r="Q54" s="245">
        <f t="shared" si="0"/>
        <v>0.32500000000000001</v>
      </c>
      <c r="R54" s="208">
        <v>16.7</v>
      </c>
      <c r="S54" s="208">
        <v>137</v>
      </c>
      <c r="T54" s="217">
        <f t="shared" si="1"/>
        <v>30</v>
      </c>
      <c r="U54" s="208">
        <v>138</v>
      </c>
      <c r="V54" s="217">
        <f t="shared" si="2"/>
        <v>4140</v>
      </c>
      <c r="W54" s="208">
        <v>2</v>
      </c>
      <c r="X54" s="216" t="s">
        <v>46</v>
      </c>
      <c r="Y54" s="216" t="s">
        <v>69</v>
      </c>
      <c r="Z54" s="216" t="s">
        <v>78</v>
      </c>
      <c r="AA54" s="216" t="s">
        <v>55</v>
      </c>
      <c r="AB54" s="216" t="s">
        <v>350</v>
      </c>
    </row>
    <row r="55" spans="1:28" x14ac:dyDescent="0.15">
      <c r="A55" s="216" t="s">
        <v>34</v>
      </c>
      <c r="B55" s="208" t="s">
        <v>348</v>
      </c>
      <c r="C55" s="208">
        <v>2018</v>
      </c>
      <c r="D55" s="250" t="s">
        <v>532</v>
      </c>
      <c r="E55" s="237" t="s">
        <v>332</v>
      </c>
      <c r="F55" s="237" t="s">
        <v>333</v>
      </c>
      <c r="G55" s="216" t="s">
        <v>36</v>
      </c>
      <c r="H55" s="208" t="s">
        <v>168</v>
      </c>
      <c r="I55" s="216" t="s">
        <v>155</v>
      </c>
      <c r="J55" s="216" t="s">
        <v>38</v>
      </c>
      <c r="K55" s="216" t="s">
        <v>156</v>
      </c>
      <c r="L55" s="208">
        <v>3</v>
      </c>
      <c r="N55" s="208">
        <v>1</v>
      </c>
      <c r="O55" s="208">
        <v>0.5</v>
      </c>
      <c r="P55" s="208">
        <v>0.55000000000000004</v>
      </c>
      <c r="Q55" s="245">
        <f t="shared" si="0"/>
        <v>0.52500000000000002</v>
      </c>
      <c r="R55" s="208">
        <v>14.9</v>
      </c>
      <c r="S55" s="208">
        <v>147</v>
      </c>
      <c r="T55" s="217">
        <f t="shared" si="1"/>
        <v>30</v>
      </c>
      <c r="U55" s="208">
        <v>138</v>
      </c>
      <c r="V55" s="217">
        <f t="shared" si="2"/>
        <v>4140</v>
      </c>
      <c r="W55" s="208">
        <v>2</v>
      </c>
      <c r="X55" s="216" t="s">
        <v>46</v>
      </c>
      <c r="Y55" s="216" t="s">
        <v>69</v>
      </c>
      <c r="Z55" s="216" t="s">
        <v>78</v>
      </c>
      <c r="AA55" s="216" t="s">
        <v>55</v>
      </c>
      <c r="AB55" s="216" t="s">
        <v>350</v>
      </c>
    </row>
    <row r="56" spans="1:28" x14ac:dyDescent="0.15">
      <c r="A56" s="216" t="s">
        <v>34</v>
      </c>
      <c r="B56" s="208" t="s">
        <v>348</v>
      </c>
      <c r="C56" s="208">
        <v>2018</v>
      </c>
      <c r="D56" s="250" t="s">
        <v>532</v>
      </c>
      <c r="E56" s="237" t="s">
        <v>537</v>
      </c>
      <c r="F56" s="237" t="s">
        <v>335</v>
      </c>
      <c r="G56" s="216" t="s">
        <v>36</v>
      </c>
      <c r="H56" s="208" t="s">
        <v>157</v>
      </c>
      <c r="I56" s="216" t="s">
        <v>155</v>
      </c>
      <c r="J56" s="216" t="s">
        <v>38</v>
      </c>
      <c r="K56" s="216" t="s">
        <v>156</v>
      </c>
      <c r="L56" s="216">
        <v>1</v>
      </c>
      <c r="N56" s="208">
        <v>1</v>
      </c>
      <c r="O56" s="208">
        <v>0.7</v>
      </c>
      <c r="P56" s="208">
        <v>0.7</v>
      </c>
      <c r="Q56" s="245">
        <f t="shared" si="0"/>
        <v>0.7</v>
      </c>
      <c r="R56" s="208">
        <v>14.3</v>
      </c>
      <c r="S56" s="208">
        <v>135</v>
      </c>
      <c r="T56" s="217">
        <f t="shared" si="1"/>
        <v>30</v>
      </c>
      <c r="U56" s="208">
        <v>108</v>
      </c>
      <c r="V56" s="217">
        <f t="shared" si="2"/>
        <v>3240</v>
      </c>
      <c r="W56" s="208">
        <v>2</v>
      </c>
      <c r="X56" s="216" t="s">
        <v>46</v>
      </c>
      <c r="Y56" s="216" t="s">
        <v>102</v>
      </c>
      <c r="Z56" s="216" t="s">
        <v>88</v>
      </c>
      <c r="AA56" s="216" t="s">
        <v>69</v>
      </c>
      <c r="AB56" s="216" t="s">
        <v>350</v>
      </c>
    </row>
    <row r="57" spans="1:28" x14ac:dyDescent="0.15">
      <c r="A57" s="216" t="s">
        <v>34</v>
      </c>
      <c r="B57" s="208" t="s">
        <v>348</v>
      </c>
      <c r="C57" s="208">
        <v>2018</v>
      </c>
      <c r="D57" s="250" t="s">
        <v>532</v>
      </c>
      <c r="E57" s="237" t="s">
        <v>537</v>
      </c>
      <c r="F57" s="237" t="s">
        <v>335</v>
      </c>
      <c r="G57" s="216" t="s">
        <v>36</v>
      </c>
      <c r="H57" s="208" t="s">
        <v>157</v>
      </c>
      <c r="I57" s="216" t="s">
        <v>155</v>
      </c>
      <c r="J57" s="216" t="s">
        <v>38</v>
      </c>
      <c r="K57" s="216" t="s">
        <v>156</v>
      </c>
      <c r="L57" s="208">
        <v>2</v>
      </c>
      <c r="N57" s="208">
        <v>1</v>
      </c>
      <c r="O57" s="208">
        <v>1</v>
      </c>
      <c r="P57" s="208">
        <v>0.75</v>
      </c>
      <c r="Q57" s="245">
        <f t="shared" si="0"/>
        <v>0.875</v>
      </c>
      <c r="R57" s="208">
        <v>13.8</v>
      </c>
      <c r="S57" s="208">
        <v>135</v>
      </c>
      <c r="T57" s="217">
        <f t="shared" si="1"/>
        <v>30</v>
      </c>
      <c r="U57" s="208">
        <v>108</v>
      </c>
      <c r="V57" s="217">
        <f t="shared" si="2"/>
        <v>3240</v>
      </c>
      <c r="W57" s="208">
        <v>2</v>
      </c>
      <c r="X57" s="216" t="s">
        <v>46</v>
      </c>
      <c r="Y57" s="216" t="s">
        <v>102</v>
      </c>
      <c r="Z57" s="216" t="s">
        <v>88</v>
      </c>
      <c r="AA57" s="216" t="s">
        <v>69</v>
      </c>
      <c r="AB57" s="216" t="s">
        <v>350</v>
      </c>
    </row>
    <row r="58" spans="1:28" x14ac:dyDescent="0.15">
      <c r="A58" s="216" t="s">
        <v>34</v>
      </c>
      <c r="B58" s="208" t="s">
        <v>348</v>
      </c>
      <c r="C58" s="208">
        <v>2018</v>
      </c>
      <c r="D58" s="250" t="s">
        <v>532</v>
      </c>
      <c r="E58" s="237" t="s">
        <v>537</v>
      </c>
      <c r="F58" s="237" t="s">
        <v>335</v>
      </c>
      <c r="G58" s="216" t="s">
        <v>36</v>
      </c>
      <c r="H58" s="208" t="s">
        <v>157</v>
      </c>
      <c r="I58" s="216" t="s">
        <v>155</v>
      </c>
      <c r="J58" s="216" t="s">
        <v>38</v>
      </c>
      <c r="K58" s="216" t="s">
        <v>156</v>
      </c>
      <c r="L58" s="208">
        <v>3</v>
      </c>
      <c r="N58" s="208">
        <v>1</v>
      </c>
      <c r="O58" s="208">
        <v>0.8</v>
      </c>
      <c r="P58" s="208">
        <v>0.75</v>
      </c>
      <c r="Q58" s="245">
        <f t="shared" si="0"/>
        <v>0.77500000000000002</v>
      </c>
      <c r="R58" s="208">
        <v>14.5</v>
      </c>
      <c r="S58" s="208">
        <v>132</v>
      </c>
      <c r="T58" s="217">
        <f t="shared" si="1"/>
        <v>30</v>
      </c>
      <c r="U58" s="208">
        <v>108</v>
      </c>
      <c r="V58" s="217">
        <f t="shared" si="2"/>
        <v>3240</v>
      </c>
      <c r="W58" s="208">
        <v>2</v>
      </c>
      <c r="X58" s="216" t="s">
        <v>46</v>
      </c>
      <c r="Y58" s="216" t="s">
        <v>102</v>
      </c>
      <c r="Z58" s="216" t="s">
        <v>88</v>
      </c>
      <c r="AA58" s="216" t="s">
        <v>69</v>
      </c>
      <c r="AB58" s="216" t="s">
        <v>350</v>
      </c>
    </row>
    <row r="59" spans="1:28" x14ac:dyDescent="0.15">
      <c r="A59" s="216" t="s">
        <v>34</v>
      </c>
      <c r="B59" s="208" t="s">
        <v>348</v>
      </c>
      <c r="C59" s="208">
        <v>2018</v>
      </c>
      <c r="D59" s="250" t="s">
        <v>532</v>
      </c>
      <c r="E59" s="237" t="s">
        <v>537</v>
      </c>
      <c r="F59" s="237" t="s">
        <v>335</v>
      </c>
      <c r="G59" s="216" t="s">
        <v>36</v>
      </c>
      <c r="H59" s="208" t="s">
        <v>168</v>
      </c>
      <c r="I59" s="216" t="s">
        <v>155</v>
      </c>
      <c r="J59" s="216" t="s">
        <v>38</v>
      </c>
      <c r="K59" s="216" t="s">
        <v>156</v>
      </c>
      <c r="L59" s="216">
        <v>1</v>
      </c>
      <c r="N59" s="208">
        <v>1</v>
      </c>
      <c r="O59" s="208">
        <v>0.65</v>
      </c>
      <c r="P59" s="208">
        <v>0.65</v>
      </c>
      <c r="Q59" s="245">
        <f t="shared" si="0"/>
        <v>0.65</v>
      </c>
      <c r="R59" s="208">
        <v>14.6</v>
      </c>
      <c r="S59" s="208">
        <v>137</v>
      </c>
      <c r="T59" s="217">
        <f t="shared" si="1"/>
        <v>30</v>
      </c>
      <c r="U59" s="208">
        <v>138</v>
      </c>
      <c r="V59" s="217">
        <f t="shared" si="2"/>
        <v>4140</v>
      </c>
      <c r="W59" s="208">
        <v>2</v>
      </c>
      <c r="X59" s="216" t="s">
        <v>46</v>
      </c>
      <c r="Y59" s="216" t="s">
        <v>102</v>
      </c>
      <c r="Z59" s="216" t="s">
        <v>88</v>
      </c>
      <c r="AA59" s="216" t="s">
        <v>69</v>
      </c>
      <c r="AB59" s="216" t="s">
        <v>350</v>
      </c>
    </row>
    <row r="60" spans="1:28" x14ac:dyDescent="0.15">
      <c r="A60" s="216" t="s">
        <v>34</v>
      </c>
      <c r="B60" s="208" t="s">
        <v>348</v>
      </c>
      <c r="C60" s="208">
        <v>2018</v>
      </c>
      <c r="D60" s="250" t="s">
        <v>532</v>
      </c>
      <c r="E60" s="237" t="s">
        <v>537</v>
      </c>
      <c r="F60" s="237" t="s">
        <v>335</v>
      </c>
      <c r="G60" s="216" t="s">
        <v>36</v>
      </c>
      <c r="H60" s="208" t="s">
        <v>168</v>
      </c>
      <c r="I60" s="216" t="s">
        <v>155</v>
      </c>
      <c r="J60" s="216" t="s">
        <v>38</v>
      </c>
      <c r="K60" s="216" t="s">
        <v>156</v>
      </c>
      <c r="L60" s="208">
        <v>2</v>
      </c>
      <c r="N60" s="208">
        <v>1</v>
      </c>
      <c r="O60" s="208">
        <v>0.5</v>
      </c>
      <c r="P60" s="208">
        <v>0.2</v>
      </c>
      <c r="Q60" s="245">
        <f t="shared" si="0"/>
        <v>0.35</v>
      </c>
      <c r="R60" s="208">
        <v>15.7</v>
      </c>
      <c r="S60" s="208">
        <v>143</v>
      </c>
      <c r="T60" s="217">
        <f t="shared" si="1"/>
        <v>30</v>
      </c>
      <c r="U60" s="208">
        <v>138</v>
      </c>
      <c r="V60" s="217">
        <f t="shared" si="2"/>
        <v>4140</v>
      </c>
      <c r="W60" s="208">
        <v>2</v>
      </c>
      <c r="X60" s="216" t="s">
        <v>46</v>
      </c>
      <c r="Y60" s="216" t="s">
        <v>102</v>
      </c>
      <c r="Z60" s="216" t="s">
        <v>88</v>
      </c>
      <c r="AA60" s="216" t="s">
        <v>69</v>
      </c>
      <c r="AB60" s="216" t="s">
        <v>350</v>
      </c>
    </row>
    <row r="61" spans="1:28" x14ac:dyDescent="0.15">
      <c r="A61" s="216" t="s">
        <v>34</v>
      </c>
      <c r="B61" s="208" t="s">
        <v>348</v>
      </c>
      <c r="C61" s="208">
        <v>2018</v>
      </c>
      <c r="D61" s="250" t="s">
        <v>532</v>
      </c>
      <c r="E61" s="237" t="s">
        <v>537</v>
      </c>
      <c r="F61" s="237" t="s">
        <v>335</v>
      </c>
      <c r="G61" s="216" t="s">
        <v>36</v>
      </c>
      <c r="H61" s="208" t="s">
        <v>168</v>
      </c>
      <c r="I61" s="216" t="s">
        <v>155</v>
      </c>
      <c r="J61" s="216" t="s">
        <v>38</v>
      </c>
      <c r="K61" s="216" t="s">
        <v>156</v>
      </c>
      <c r="L61" s="208">
        <v>3</v>
      </c>
      <c r="N61" s="208">
        <v>1</v>
      </c>
      <c r="O61" s="208">
        <v>0.6</v>
      </c>
      <c r="P61" s="208">
        <v>0.65</v>
      </c>
      <c r="Q61" s="245">
        <f t="shared" si="0"/>
        <v>0.625</v>
      </c>
      <c r="R61" s="208">
        <v>15.1</v>
      </c>
      <c r="S61" s="208">
        <v>142</v>
      </c>
      <c r="T61" s="217">
        <f t="shared" si="1"/>
        <v>30</v>
      </c>
      <c r="U61" s="208">
        <v>138</v>
      </c>
      <c r="V61" s="217">
        <f t="shared" si="2"/>
        <v>4140</v>
      </c>
      <c r="W61" s="208">
        <v>2</v>
      </c>
      <c r="X61" s="216" t="s">
        <v>46</v>
      </c>
      <c r="Y61" s="216" t="s">
        <v>102</v>
      </c>
      <c r="Z61" s="216" t="s">
        <v>88</v>
      </c>
      <c r="AA61" s="216" t="s">
        <v>69</v>
      </c>
      <c r="AB61" s="216" t="s">
        <v>350</v>
      </c>
    </row>
    <row r="62" spans="1:28" x14ac:dyDescent="0.15">
      <c r="A62" s="216" t="s">
        <v>34</v>
      </c>
      <c r="B62" s="208" t="s">
        <v>348</v>
      </c>
      <c r="C62" s="208">
        <v>2018</v>
      </c>
      <c r="D62" s="250" t="s">
        <v>532</v>
      </c>
      <c r="E62" s="237" t="s">
        <v>336</v>
      </c>
      <c r="F62" s="237" t="s">
        <v>339</v>
      </c>
      <c r="G62" s="216" t="s">
        <v>36</v>
      </c>
      <c r="H62" s="208" t="s">
        <v>157</v>
      </c>
      <c r="I62" s="216" t="s">
        <v>155</v>
      </c>
      <c r="J62" s="216" t="s">
        <v>38</v>
      </c>
      <c r="K62" s="216" t="s">
        <v>156</v>
      </c>
      <c r="L62" s="216">
        <v>1</v>
      </c>
      <c r="N62" s="208">
        <v>4</v>
      </c>
      <c r="O62" s="208">
        <v>0.6</v>
      </c>
      <c r="P62" s="208">
        <v>0.6</v>
      </c>
      <c r="Q62" s="245">
        <f t="shared" si="0"/>
        <v>0.6</v>
      </c>
      <c r="R62" s="208">
        <v>14.1</v>
      </c>
      <c r="S62" s="208">
        <v>84</v>
      </c>
      <c r="T62" s="217">
        <f t="shared" si="1"/>
        <v>36</v>
      </c>
      <c r="U62" s="208">
        <v>430</v>
      </c>
      <c r="V62" s="217">
        <f t="shared" si="2"/>
        <v>3870</v>
      </c>
      <c r="W62" s="208">
        <v>1</v>
      </c>
      <c r="X62" s="216" t="s">
        <v>46</v>
      </c>
      <c r="Y62" s="216" t="s">
        <v>78</v>
      </c>
      <c r="Z62" s="216" t="s">
        <v>88</v>
      </c>
      <c r="AA62" s="216" t="s">
        <v>69</v>
      </c>
      <c r="AB62" s="216" t="s">
        <v>350</v>
      </c>
    </row>
    <row r="63" spans="1:28" x14ac:dyDescent="0.15">
      <c r="A63" s="216" t="s">
        <v>34</v>
      </c>
      <c r="B63" s="208" t="s">
        <v>348</v>
      </c>
      <c r="C63" s="208">
        <v>2018</v>
      </c>
      <c r="D63" s="250" t="s">
        <v>532</v>
      </c>
      <c r="E63" s="237" t="s">
        <v>336</v>
      </c>
      <c r="F63" s="237" t="s">
        <v>339</v>
      </c>
      <c r="G63" s="216" t="s">
        <v>36</v>
      </c>
      <c r="H63" s="208" t="s">
        <v>157</v>
      </c>
      <c r="I63" s="216" t="s">
        <v>155</v>
      </c>
      <c r="J63" s="216" t="s">
        <v>38</v>
      </c>
      <c r="K63" s="216" t="s">
        <v>156</v>
      </c>
      <c r="L63" s="208">
        <v>2</v>
      </c>
      <c r="N63" s="208">
        <v>4</v>
      </c>
      <c r="O63" s="208">
        <v>0.55000000000000004</v>
      </c>
      <c r="P63" s="208">
        <v>0.55000000000000004</v>
      </c>
      <c r="Q63" s="245">
        <f t="shared" si="0"/>
        <v>0.55000000000000004</v>
      </c>
      <c r="R63" s="208">
        <v>14.6</v>
      </c>
      <c r="S63" s="208">
        <v>82</v>
      </c>
      <c r="T63" s="217">
        <f t="shared" si="1"/>
        <v>39</v>
      </c>
      <c r="U63" s="208">
        <v>430</v>
      </c>
      <c r="V63" s="217">
        <f t="shared" si="2"/>
        <v>4192.5</v>
      </c>
      <c r="W63" s="208">
        <v>1</v>
      </c>
      <c r="X63" s="216" t="s">
        <v>46</v>
      </c>
      <c r="Y63" s="216" t="s">
        <v>78</v>
      </c>
      <c r="Z63" s="216" t="s">
        <v>88</v>
      </c>
      <c r="AA63" s="216" t="s">
        <v>69</v>
      </c>
      <c r="AB63" s="216" t="s">
        <v>350</v>
      </c>
    </row>
    <row r="64" spans="1:28" x14ac:dyDescent="0.15">
      <c r="A64" s="216" t="s">
        <v>34</v>
      </c>
      <c r="B64" s="208" t="s">
        <v>348</v>
      </c>
      <c r="C64" s="208">
        <v>2018</v>
      </c>
      <c r="D64" s="250" t="s">
        <v>532</v>
      </c>
      <c r="E64" s="237" t="s">
        <v>336</v>
      </c>
      <c r="F64" s="237" t="s">
        <v>339</v>
      </c>
      <c r="G64" s="216" t="s">
        <v>36</v>
      </c>
      <c r="H64" s="208" t="s">
        <v>157</v>
      </c>
      <c r="I64" s="216" t="s">
        <v>155</v>
      </c>
      <c r="J64" s="216" t="s">
        <v>38</v>
      </c>
      <c r="K64" s="216" t="s">
        <v>156</v>
      </c>
      <c r="L64" s="208">
        <v>3</v>
      </c>
      <c r="N64" s="208">
        <v>4</v>
      </c>
      <c r="O64" s="208">
        <v>0.9</v>
      </c>
      <c r="P64" s="208">
        <v>0.9</v>
      </c>
      <c r="Q64" s="245">
        <f t="shared" si="0"/>
        <v>0.9</v>
      </c>
      <c r="R64" s="208">
        <v>14.5</v>
      </c>
      <c r="S64" s="208">
        <v>88</v>
      </c>
      <c r="T64" s="217">
        <f t="shared" si="1"/>
        <v>36</v>
      </c>
      <c r="U64" s="208">
        <v>430</v>
      </c>
      <c r="V64" s="217">
        <f t="shared" si="2"/>
        <v>3870</v>
      </c>
      <c r="W64" s="208">
        <v>1</v>
      </c>
      <c r="X64" s="216" t="s">
        <v>46</v>
      </c>
      <c r="Y64" s="216" t="s">
        <v>78</v>
      </c>
      <c r="Z64" s="216" t="s">
        <v>88</v>
      </c>
      <c r="AA64" s="216" t="s">
        <v>69</v>
      </c>
      <c r="AB64" s="216" t="s">
        <v>350</v>
      </c>
    </row>
    <row r="65" spans="1:28" x14ac:dyDescent="0.15">
      <c r="A65" s="216" t="s">
        <v>34</v>
      </c>
      <c r="B65" s="208" t="s">
        <v>348</v>
      </c>
      <c r="C65" s="208">
        <v>2018</v>
      </c>
      <c r="D65" s="250" t="s">
        <v>532</v>
      </c>
      <c r="E65" s="237" t="s">
        <v>336</v>
      </c>
      <c r="F65" s="237" t="s">
        <v>339</v>
      </c>
      <c r="G65" s="216" t="s">
        <v>36</v>
      </c>
      <c r="H65" s="208" t="s">
        <v>168</v>
      </c>
      <c r="I65" s="216" t="s">
        <v>155</v>
      </c>
      <c r="J65" s="216" t="s">
        <v>38</v>
      </c>
      <c r="K65" s="216" t="s">
        <v>156</v>
      </c>
      <c r="L65" s="216">
        <v>1</v>
      </c>
      <c r="N65" s="208">
        <v>1</v>
      </c>
      <c r="O65" s="208">
        <v>0.55000000000000004</v>
      </c>
      <c r="P65" s="208">
        <v>0.5</v>
      </c>
      <c r="Q65" s="245">
        <f t="shared" si="0"/>
        <v>0.52500000000000002</v>
      </c>
      <c r="R65" s="208">
        <v>15.4</v>
      </c>
      <c r="S65" s="208">
        <v>143</v>
      </c>
      <c r="T65" s="217">
        <f t="shared" si="1"/>
        <v>30</v>
      </c>
      <c r="U65" s="208">
        <v>138</v>
      </c>
      <c r="V65" s="217">
        <f t="shared" si="2"/>
        <v>4140</v>
      </c>
      <c r="W65" s="208">
        <v>1</v>
      </c>
      <c r="X65" s="216" t="s">
        <v>46</v>
      </c>
      <c r="Y65" s="216" t="s">
        <v>78</v>
      </c>
      <c r="Z65" s="216" t="s">
        <v>88</v>
      </c>
      <c r="AA65" s="216" t="s">
        <v>69</v>
      </c>
      <c r="AB65" s="216" t="s">
        <v>350</v>
      </c>
    </row>
    <row r="66" spans="1:28" x14ac:dyDescent="0.15">
      <c r="A66" s="216" t="s">
        <v>34</v>
      </c>
      <c r="B66" s="208" t="s">
        <v>348</v>
      </c>
      <c r="C66" s="208">
        <v>2018</v>
      </c>
      <c r="D66" s="250" t="s">
        <v>532</v>
      </c>
      <c r="E66" s="237" t="s">
        <v>336</v>
      </c>
      <c r="F66" s="237" t="s">
        <v>339</v>
      </c>
      <c r="G66" s="216" t="s">
        <v>36</v>
      </c>
      <c r="H66" s="208" t="s">
        <v>168</v>
      </c>
      <c r="I66" s="216" t="s">
        <v>155</v>
      </c>
      <c r="J66" s="216" t="s">
        <v>38</v>
      </c>
      <c r="K66" s="216" t="s">
        <v>156</v>
      </c>
      <c r="L66" s="208">
        <v>2</v>
      </c>
      <c r="N66" s="208">
        <v>1</v>
      </c>
      <c r="O66" s="208">
        <v>0.2</v>
      </c>
      <c r="P66" s="208">
        <v>0.5</v>
      </c>
      <c r="Q66" s="245">
        <f t="shared" si="0"/>
        <v>0.35</v>
      </c>
      <c r="R66" s="208">
        <v>14.6</v>
      </c>
      <c r="S66" s="208">
        <v>145</v>
      </c>
      <c r="T66" s="217">
        <f t="shared" si="1"/>
        <v>30</v>
      </c>
      <c r="U66" s="208">
        <v>138</v>
      </c>
      <c r="V66" s="217">
        <f t="shared" si="2"/>
        <v>4140</v>
      </c>
      <c r="W66" s="208">
        <v>1</v>
      </c>
      <c r="X66" s="216" t="s">
        <v>46</v>
      </c>
      <c r="Y66" s="216" t="s">
        <v>78</v>
      </c>
      <c r="Z66" s="216" t="s">
        <v>88</v>
      </c>
      <c r="AA66" s="216" t="s">
        <v>69</v>
      </c>
      <c r="AB66" s="216" t="s">
        <v>350</v>
      </c>
    </row>
    <row r="67" spans="1:28" x14ac:dyDescent="0.15">
      <c r="A67" s="216" t="s">
        <v>34</v>
      </c>
      <c r="B67" s="208" t="s">
        <v>348</v>
      </c>
      <c r="C67" s="208">
        <v>2018</v>
      </c>
      <c r="D67" s="250" t="s">
        <v>532</v>
      </c>
      <c r="E67" s="237" t="s">
        <v>336</v>
      </c>
      <c r="F67" s="237" t="s">
        <v>339</v>
      </c>
      <c r="G67" s="216" t="s">
        <v>36</v>
      </c>
      <c r="H67" s="208" t="s">
        <v>168</v>
      </c>
      <c r="I67" s="216" t="s">
        <v>155</v>
      </c>
      <c r="J67" s="216" t="s">
        <v>38</v>
      </c>
      <c r="K67" s="216" t="s">
        <v>156</v>
      </c>
      <c r="L67" s="208">
        <v>3</v>
      </c>
      <c r="N67" s="208">
        <v>1</v>
      </c>
      <c r="O67" s="208">
        <v>0.6</v>
      </c>
      <c r="P67" s="208">
        <v>0.6</v>
      </c>
      <c r="Q67" s="245">
        <f t="shared" si="0"/>
        <v>0.6</v>
      </c>
      <c r="R67" s="208">
        <v>14.4</v>
      </c>
      <c r="S67" s="208">
        <v>137</v>
      </c>
      <c r="T67" s="217">
        <f t="shared" si="1"/>
        <v>30</v>
      </c>
      <c r="U67" s="208">
        <v>138</v>
      </c>
      <c r="V67" s="217">
        <f t="shared" si="2"/>
        <v>4140</v>
      </c>
      <c r="W67" s="208">
        <v>1</v>
      </c>
      <c r="X67" s="216" t="s">
        <v>46</v>
      </c>
      <c r="Y67" s="216" t="s">
        <v>78</v>
      </c>
      <c r="Z67" s="216" t="s">
        <v>88</v>
      </c>
      <c r="AA67" s="216" t="s">
        <v>69</v>
      </c>
      <c r="AB67" s="216" t="s">
        <v>350</v>
      </c>
    </row>
    <row r="68" spans="1:28" x14ac:dyDescent="0.15">
      <c r="A68" s="216" t="s">
        <v>34</v>
      </c>
      <c r="B68" s="208" t="s">
        <v>348</v>
      </c>
      <c r="C68" s="208">
        <v>2018</v>
      </c>
      <c r="D68" s="250" t="s">
        <v>532</v>
      </c>
      <c r="E68" s="237" t="s">
        <v>338</v>
      </c>
      <c r="F68" s="237" t="s">
        <v>339</v>
      </c>
      <c r="G68" s="216" t="s">
        <v>36</v>
      </c>
      <c r="H68" s="208" t="s">
        <v>157</v>
      </c>
      <c r="I68" s="216" t="s">
        <v>155</v>
      </c>
      <c r="J68" s="216" t="s">
        <v>38</v>
      </c>
      <c r="K68" s="216" t="s">
        <v>156</v>
      </c>
      <c r="L68" s="216">
        <v>1</v>
      </c>
      <c r="N68" s="208">
        <v>1</v>
      </c>
      <c r="O68" s="208">
        <v>0.95</v>
      </c>
      <c r="P68" s="208">
        <v>0.9</v>
      </c>
      <c r="Q68" s="245">
        <f t="shared" si="0"/>
        <v>0.92500000000000004</v>
      </c>
      <c r="R68" s="208">
        <v>15</v>
      </c>
      <c r="S68" s="208">
        <v>134</v>
      </c>
      <c r="T68" s="217">
        <f t="shared" si="1"/>
        <v>30</v>
      </c>
      <c r="U68" s="208">
        <v>170</v>
      </c>
      <c r="V68" s="217">
        <f t="shared" si="2"/>
        <v>5100</v>
      </c>
      <c r="W68" s="208">
        <v>5</v>
      </c>
      <c r="X68" s="216" t="s">
        <v>46</v>
      </c>
      <c r="Y68" s="216" t="s">
        <v>102</v>
      </c>
      <c r="Z68" s="216" t="s">
        <v>55</v>
      </c>
      <c r="AA68" s="216" t="s">
        <v>69</v>
      </c>
      <c r="AB68" s="216" t="s">
        <v>350</v>
      </c>
    </row>
    <row r="69" spans="1:28" x14ac:dyDescent="0.15">
      <c r="A69" s="216" t="s">
        <v>34</v>
      </c>
      <c r="B69" s="208" t="s">
        <v>348</v>
      </c>
      <c r="C69" s="208">
        <v>2018</v>
      </c>
      <c r="D69" s="250" t="s">
        <v>532</v>
      </c>
      <c r="E69" s="237" t="s">
        <v>338</v>
      </c>
      <c r="F69" s="237" t="s">
        <v>339</v>
      </c>
      <c r="G69" s="216" t="s">
        <v>36</v>
      </c>
      <c r="H69" s="208" t="s">
        <v>157</v>
      </c>
      <c r="I69" s="216" t="s">
        <v>155</v>
      </c>
      <c r="J69" s="216" t="s">
        <v>38</v>
      </c>
      <c r="K69" s="216" t="s">
        <v>156</v>
      </c>
      <c r="L69" s="208">
        <v>2</v>
      </c>
      <c r="N69" s="208">
        <v>1</v>
      </c>
      <c r="O69" s="208">
        <v>1</v>
      </c>
      <c r="P69" s="208">
        <v>0.85</v>
      </c>
      <c r="Q69" s="245">
        <f t="shared" si="0"/>
        <v>0.92500000000000004</v>
      </c>
      <c r="R69" s="208">
        <v>14.7</v>
      </c>
      <c r="S69" s="208">
        <v>132</v>
      </c>
      <c r="T69" s="217">
        <f t="shared" si="1"/>
        <v>30</v>
      </c>
      <c r="U69" s="208">
        <v>170</v>
      </c>
      <c r="V69" s="217">
        <f t="shared" si="2"/>
        <v>5100</v>
      </c>
      <c r="W69" s="208">
        <v>5</v>
      </c>
      <c r="X69" s="216" t="s">
        <v>46</v>
      </c>
      <c r="Y69" s="216" t="s">
        <v>102</v>
      </c>
      <c r="Z69" s="216" t="s">
        <v>55</v>
      </c>
      <c r="AA69" s="216" t="s">
        <v>69</v>
      </c>
      <c r="AB69" s="216" t="s">
        <v>350</v>
      </c>
    </row>
    <row r="70" spans="1:28" x14ac:dyDescent="0.15">
      <c r="A70" s="216" t="s">
        <v>34</v>
      </c>
      <c r="B70" s="208" t="s">
        <v>348</v>
      </c>
      <c r="C70" s="208">
        <v>2018</v>
      </c>
      <c r="D70" s="250" t="s">
        <v>532</v>
      </c>
      <c r="E70" s="237" t="s">
        <v>338</v>
      </c>
      <c r="F70" s="237" t="s">
        <v>339</v>
      </c>
      <c r="G70" s="216" t="s">
        <v>36</v>
      </c>
      <c r="H70" s="208" t="s">
        <v>157</v>
      </c>
      <c r="I70" s="216" t="s">
        <v>155</v>
      </c>
      <c r="J70" s="216" t="s">
        <v>38</v>
      </c>
      <c r="K70" s="216" t="s">
        <v>156</v>
      </c>
      <c r="L70" s="208">
        <v>3</v>
      </c>
      <c r="N70" s="208">
        <v>1</v>
      </c>
      <c r="O70" s="208">
        <v>0.95</v>
      </c>
      <c r="P70" s="208">
        <v>0.95</v>
      </c>
      <c r="Q70" s="245">
        <f t="shared" si="0"/>
        <v>0.95</v>
      </c>
      <c r="R70" s="208">
        <v>15.1</v>
      </c>
      <c r="S70" s="208">
        <v>129</v>
      </c>
      <c r="T70" s="217">
        <f t="shared" si="1"/>
        <v>30</v>
      </c>
      <c r="U70" s="208">
        <v>170</v>
      </c>
      <c r="V70" s="217">
        <f t="shared" si="2"/>
        <v>5100</v>
      </c>
      <c r="W70" s="208">
        <v>5</v>
      </c>
      <c r="X70" s="216" t="s">
        <v>46</v>
      </c>
      <c r="Y70" s="216" t="s">
        <v>102</v>
      </c>
      <c r="Z70" s="216" t="s">
        <v>55</v>
      </c>
      <c r="AA70" s="216" t="s">
        <v>69</v>
      </c>
      <c r="AB70" s="216" t="s">
        <v>350</v>
      </c>
    </row>
    <row r="71" spans="1:28" x14ac:dyDescent="0.15">
      <c r="A71" s="216" t="s">
        <v>34</v>
      </c>
      <c r="B71" s="208" t="s">
        <v>348</v>
      </c>
      <c r="C71" s="208">
        <v>2018</v>
      </c>
      <c r="D71" s="250" t="s">
        <v>532</v>
      </c>
      <c r="E71" s="237" t="s">
        <v>338</v>
      </c>
      <c r="F71" s="237" t="s">
        <v>339</v>
      </c>
      <c r="G71" s="216" t="s">
        <v>36</v>
      </c>
      <c r="H71" s="208" t="s">
        <v>157</v>
      </c>
      <c r="I71" s="216" t="s">
        <v>155</v>
      </c>
      <c r="J71" s="216" t="s">
        <v>38</v>
      </c>
      <c r="K71" s="216" t="s">
        <v>156</v>
      </c>
      <c r="L71" s="216">
        <v>1</v>
      </c>
      <c r="N71" s="208">
        <v>3</v>
      </c>
      <c r="O71" s="208">
        <v>0.5</v>
      </c>
      <c r="P71" s="208">
        <v>0.55000000000000004</v>
      </c>
      <c r="Q71" s="245">
        <f t="shared" si="0"/>
        <v>0.52500000000000002</v>
      </c>
      <c r="R71" s="208">
        <v>14.3</v>
      </c>
      <c r="S71" s="208">
        <v>132</v>
      </c>
      <c r="T71" s="217">
        <f t="shared" si="1"/>
        <v>30</v>
      </c>
      <c r="U71" s="208">
        <v>450</v>
      </c>
      <c r="V71" s="217">
        <f t="shared" si="2"/>
        <v>4500</v>
      </c>
      <c r="W71" s="208">
        <v>5</v>
      </c>
      <c r="X71" s="216" t="s">
        <v>46</v>
      </c>
      <c r="Y71" s="216" t="s">
        <v>102</v>
      </c>
      <c r="Z71" s="216" t="s">
        <v>55</v>
      </c>
      <c r="AA71" s="216" t="s">
        <v>69</v>
      </c>
      <c r="AB71" s="216" t="s">
        <v>350</v>
      </c>
    </row>
    <row r="72" spans="1:28" x14ac:dyDescent="0.15">
      <c r="A72" s="216" t="s">
        <v>34</v>
      </c>
      <c r="B72" s="208" t="s">
        <v>348</v>
      </c>
      <c r="C72" s="208">
        <v>2018</v>
      </c>
      <c r="D72" s="250" t="s">
        <v>532</v>
      </c>
      <c r="E72" s="237" t="s">
        <v>338</v>
      </c>
      <c r="F72" s="237" t="s">
        <v>339</v>
      </c>
      <c r="G72" s="216" t="s">
        <v>36</v>
      </c>
      <c r="H72" s="208" t="s">
        <v>157</v>
      </c>
      <c r="I72" s="216" t="s">
        <v>155</v>
      </c>
      <c r="J72" s="216" t="s">
        <v>38</v>
      </c>
      <c r="K72" s="216" t="s">
        <v>156</v>
      </c>
      <c r="L72" s="208">
        <v>2</v>
      </c>
      <c r="N72" s="208">
        <v>3</v>
      </c>
      <c r="O72" s="208">
        <v>0.95</v>
      </c>
      <c r="P72" s="208">
        <v>0.8</v>
      </c>
      <c r="Q72" s="245">
        <f t="shared" si="0"/>
        <v>0.875</v>
      </c>
      <c r="R72" s="208">
        <v>14</v>
      </c>
      <c r="S72" s="208">
        <v>129</v>
      </c>
      <c r="T72" s="217">
        <f t="shared" si="1"/>
        <v>30</v>
      </c>
      <c r="U72" s="208">
        <v>450</v>
      </c>
      <c r="V72" s="217">
        <f t="shared" si="2"/>
        <v>4500</v>
      </c>
      <c r="W72" s="208">
        <v>5</v>
      </c>
      <c r="X72" s="216" t="s">
        <v>46</v>
      </c>
      <c r="Y72" s="216" t="s">
        <v>102</v>
      </c>
      <c r="Z72" s="216" t="s">
        <v>55</v>
      </c>
      <c r="AA72" s="216" t="s">
        <v>69</v>
      </c>
      <c r="AB72" s="216" t="s">
        <v>350</v>
      </c>
    </row>
    <row r="73" spans="1:28" x14ac:dyDescent="0.15">
      <c r="A73" s="216" t="s">
        <v>34</v>
      </c>
      <c r="B73" s="208" t="s">
        <v>348</v>
      </c>
      <c r="C73" s="208">
        <v>2018</v>
      </c>
      <c r="D73" s="250" t="s">
        <v>532</v>
      </c>
      <c r="E73" s="237" t="s">
        <v>338</v>
      </c>
      <c r="F73" s="237" t="s">
        <v>339</v>
      </c>
      <c r="G73" s="216" t="s">
        <v>36</v>
      </c>
      <c r="H73" s="208" t="s">
        <v>157</v>
      </c>
      <c r="I73" s="216" t="s">
        <v>155</v>
      </c>
      <c r="J73" s="216" t="s">
        <v>38</v>
      </c>
      <c r="K73" s="216" t="s">
        <v>156</v>
      </c>
      <c r="L73" s="208">
        <v>3</v>
      </c>
      <c r="N73" s="208">
        <v>3</v>
      </c>
      <c r="O73" s="208">
        <v>0.7</v>
      </c>
      <c r="P73" s="208">
        <v>0.7</v>
      </c>
      <c r="Q73" s="245">
        <f t="shared" si="0"/>
        <v>0.7</v>
      </c>
      <c r="R73" s="208">
        <v>14.8</v>
      </c>
      <c r="S73" s="208">
        <v>134</v>
      </c>
      <c r="T73" s="217">
        <f t="shared" si="1"/>
        <v>30</v>
      </c>
      <c r="U73" s="208">
        <v>450</v>
      </c>
      <c r="V73" s="217">
        <f t="shared" si="2"/>
        <v>4500</v>
      </c>
      <c r="W73" s="208">
        <v>5</v>
      </c>
      <c r="X73" s="216" t="s">
        <v>46</v>
      </c>
      <c r="Y73" s="216" t="s">
        <v>102</v>
      </c>
      <c r="Z73" s="216" t="s">
        <v>55</v>
      </c>
      <c r="AA73" s="216" t="s">
        <v>69</v>
      </c>
      <c r="AB73" s="216" t="s">
        <v>350</v>
      </c>
    </row>
    <row r="74" spans="1:28" x14ac:dyDescent="0.15">
      <c r="A74" s="216" t="s">
        <v>34</v>
      </c>
      <c r="B74" s="208" t="s">
        <v>348</v>
      </c>
      <c r="C74" s="208">
        <v>2018</v>
      </c>
      <c r="D74" s="250" t="s">
        <v>532</v>
      </c>
      <c r="E74" s="237" t="s">
        <v>338</v>
      </c>
      <c r="F74" s="237" t="s">
        <v>339</v>
      </c>
      <c r="G74" s="216" t="s">
        <v>36</v>
      </c>
      <c r="H74" s="208" t="s">
        <v>157</v>
      </c>
      <c r="I74" s="216" t="s">
        <v>158</v>
      </c>
      <c r="J74" s="216" t="s">
        <v>38</v>
      </c>
      <c r="K74" s="216" t="s">
        <v>156</v>
      </c>
      <c r="L74" s="216">
        <v>1</v>
      </c>
      <c r="N74" s="208">
        <v>4</v>
      </c>
      <c r="O74" s="208">
        <v>0.65</v>
      </c>
      <c r="P74" s="208">
        <v>0.75</v>
      </c>
      <c r="Q74" s="245">
        <f t="shared" si="0"/>
        <v>0.7</v>
      </c>
      <c r="R74" s="208">
        <v>14</v>
      </c>
      <c r="S74" s="208">
        <v>108</v>
      </c>
      <c r="T74" s="217">
        <f t="shared" si="1"/>
        <v>33</v>
      </c>
      <c r="U74" s="208">
        <v>429</v>
      </c>
      <c r="V74" s="217">
        <f t="shared" si="2"/>
        <v>3539.25</v>
      </c>
      <c r="W74" s="208">
        <v>5</v>
      </c>
      <c r="X74" s="216" t="s">
        <v>46</v>
      </c>
      <c r="Y74" s="216" t="s">
        <v>102</v>
      </c>
      <c r="Z74" s="216" t="s">
        <v>55</v>
      </c>
      <c r="AA74" s="216" t="s">
        <v>69</v>
      </c>
      <c r="AB74" s="216" t="s">
        <v>350</v>
      </c>
    </row>
    <row r="75" spans="1:28" x14ac:dyDescent="0.15">
      <c r="A75" s="216" t="s">
        <v>34</v>
      </c>
      <c r="B75" s="208" t="s">
        <v>348</v>
      </c>
      <c r="C75" s="208">
        <v>2018</v>
      </c>
      <c r="D75" s="250" t="s">
        <v>532</v>
      </c>
      <c r="E75" s="237" t="s">
        <v>338</v>
      </c>
      <c r="F75" s="237" t="s">
        <v>339</v>
      </c>
      <c r="G75" s="216" t="s">
        <v>36</v>
      </c>
      <c r="H75" s="208" t="s">
        <v>157</v>
      </c>
      <c r="I75" s="216" t="s">
        <v>158</v>
      </c>
      <c r="J75" s="216" t="s">
        <v>38</v>
      </c>
      <c r="K75" s="216" t="s">
        <v>156</v>
      </c>
      <c r="L75" s="208">
        <v>2</v>
      </c>
      <c r="N75" s="208">
        <v>4</v>
      </c>
      <c r="O75" s="208">
        <v>0.6</v>
      </c>
      <c r="P75" s="208">
        <v>0.8</v>
      </c>
      <c r="Q75" s="245">
        <f t="shared" si="0"/>
        <v>0.7</v>
      </c>
      <c r="R75" s="208">
        <v>15.1</v>
      </c>
      <c r="S75" s="208">
        <v>114</v>
      </c>
      <c r="T75" s="217">
        <f t="shared" si="1"/>
        <v>30</v>
      </c>
      <c r="U75" s="208">
        <v>429</v>
      </c>
      <c r="V75" s="217">
        <f t="shared" si="2"/>
        <v>3217.5</v>
      </c>
      <c r="W75" s="208">
        <v>5</v>
      </c>
      <c r="X75" s="216" t="s">
        <v>46</v>
      </c>
      <c r="Y75" s="216" t="s">
        <v>102</v>
      </c>
      <c r="Z75" s="216" t="s">
        <v>55</v>
      </c>
      <c r="AA75" s="216" t="s">
        <v>69</v>
      </c>
      <c r="AB75" s="216" t="s">
        <v>350</v>
      </c>
    </row>
    <row r="76" spans="1:28" x14ac:dyDescent="0.15">
      <c r="A76" s="216" t="s">
        <v>34</v>
      </c>
      <c r="B76" s="208" t="s">
        <v>348</v>
      </c>
      <c r="C76" s="208">
        <v>2018</v>
      </c>
      <c r="D76" s="250" t="s">
        <v>532</v>
      </c>
      <c r="E76" s="237" t="s">
        <v>338</v>
      </c>
      <c r="F76" s="237" t="s">
        <v>339</v>
      </c>
      <c r="G76" s="216" t="s">
        <v>36</v>
      </c>
      <c r="H76" s="208" t="s">
        <v>157</v>
      </c>
      <c r="I76" s="216" t="s">
        <v>158</v>
      </c>
      <c r="J76" s="216" t="s">
        <v>38</v>
      </c>
      <c r="K76" s="216" t="s">
        <v>156</v>
      </c>
      <c r="L76" s="208">
        <v>3</v>
      </c>
      <c r="N76" s="208">
        <v>4</v>
      </c>
      <c r="O76" s="208">
        <v>0.65</v>
      </c>
      <c r="P76" s="208">
        <v>0.6</v>
      </c>
      <c r="Q76" s="245">
        <f t="shared" si="0"/>
        <v>0.625</v>
      </c>
      <c r="R76" s="208">
        <v>14.6</v>
      </c>
      <c r="S76" s="208">
        <v>107</v>
      </c>
      <c r="T76" s="217">
        <f t="shared" si="1"/>
        <v>33</v>
      </c>
      <c r="U76" s="208">
        <v>429</v>
      </c>
      <c r="V76" s="217">
        <f t="shared" si="2"/>
        <v>3539.25</v>
      </c>
      <c r="W76" s="208">
        <v>5</v>
      </c>
      <c r="X76" s="216" t="s">
        <v>46</v>
      </c>
      <c r="Y76" s="216" t="s">
        <v>102</v>
      </c>
      <c r="Z76" s="216" t="s">
        <v>55</v>
      </c>
      <c r="AA76" s="216" t="s">
        <v>69</v>
      </c>
      <c r="AB76" s="216" t="s">
        <v>350</v>
      </c>
    </row>
    <row r="77" spans="1:28" x14ac:dyDescent="0.15">
      <c r="A77" s="216" t="s">
        <v>34</v>
      </c>
      <c r="B77" s="208" t="s">
        <v>348</v>
      </c>
      <c r="C77" s="208">
        <v>2018</v>
      </c>
      <c r="D77" s="250" t="s">
        <v>532</v>
      </c>
      <c r="E77" s="237" t="s">
        <v>338</v>
      </c>
      <c r="F77" s="237" t="s">
        <v>339</v>
      </c>
      <c r="G77" s="216" t="s">
        <v>36</v>
      </c>
      <c r="H77" s="208" t="s">
        <v>168</v>
      </c>
      <c r="I77" s="216" t="s">
        <v>155</v>
      </c>
      <c r="J77" s="216" t="s">
        <v>38</v>
      </c>
      <c r="K77" s="216" t="s">
        <v>156</v>
      </c>
      <c r="L77" s="216">
        <v>1</v>
      </c>
      <c r="N77" s="208">
        <v>1</v>
      </c>
      <c r="O77" s="208">
        <v>0.6</v>
      </c>
      <c r="P77" s="208">
        <v>0.6</v>
      </c>
      <c r="Q77" s="245">
        <f t="shared" si="0"/>
        <v>0.6</v>
      </c>
      <c r="R77" s="208">
        <v>14.4</v>
      </c>
      <c r="S77" s="208">
        <v>138</v>
      </c>
      <c r="T77" s="217">
        <f t="shared" si="1"/>
        <v>30</v>
      </c>
      <c r="U77" s="208">
        <v>170</v>
      </c>
      <c r="V77" s="217">
        <f t="shared" si="2"/>
        <v>5100</v>
      </c>
      <c r="W77" s="208">
        <v>1</v>
      </c>
      <c r="X77" s="216" t="s">
        <v>46</v>
      </c>
      <c r="Y77" s="216" t="s">
        <v>102</v>
      </c>
      <c r="Z77" s="216" t="s">
        <v>55</v>
      </c>
      <c r="AA77" s="216" t="s">
        <v>69</v>
      </c>
      <c r="AB77" s="216" t="s">
        <v>350</v>
      </c>
    </row>
    <row r="78" spans="1:28" x14ac:dyDescent="0.15">
      <c r="A78" s="216" t="s">
        <v>34</v>
      </c>
      <c r="B78" s="208" t="s">
        <v>348</v>
      </c>
      <c r="C78" s="208">
        <v>2018</v>
      </c>
      <c r="D78" s="250" t="s">
        <v>532</v>
      </c>
      <c r="E78" s="237" t="s">
        <v>338</v>
      </c>
      <c r="F78" s="237" t="s">
        <v>339</v>
      </c>
      <c r="G78" s="216" t="s">
        <v>36</v>
      </c>
      <c r="H78" s="208" t="s">
        <v>168</v>
      </c>
      <c r="I78" s="216" t="s">
        <v>155</v>
      </c>
      <c r="J78" s="216" t="s">
        <v>38</v>
      </c>
      <c r="K78" s="216" t="s">
        <v>156</v>
      </c>
      <c r="L78" s="208">
        <v>2</v>
      </c>
      <c r="N78" s="208">
        <v>1</v>
      </c>
      <c r="O78" s="208">
        <v>0.5</v>
      </c>
      <c r="P78" s="208">
        <v>0.55000000000000004</v>
      </c>
      <c r="Q78" s="245">
        <f t="shared" si="0"/>
        <v>0.52500000000000002</v>
      </c>
      <c r="R78" s="208">
        <v>14.4</v>
      </c>
      <c r="S78" s="208">
        <v>146</v>
      </c>
      <c r="T78" s="217">
        <f t="shared" si="1"/>
        <v>30</v>
      </c>
      <c r="U78" s="208">
        <v>170</v>
      </c>
      <c r="V78" s="217">
        <f t="shared" si="2"/>
        <v>5100</v>
      </c>
      <c r="W78" s="208">
        <v>1</v>
      </c>
      <c r="X78" s="216" t="s">
        <v>46</v>
      </c>
      <c r="Y78" s="216" t="s">
        <v>102</v>
      </c>
      <c r="Z78" s="216" t="s">
        <v>55</v>
      </c>
      <c r="AA78" s="216" t="s">
        <v>69</v>
      </c>
      <c r="AB78" s="216" t="s">
        <v>350</v>
      </c>
    </row>
    <row r="79" spans="1:28" x14ac:dyDescent="0.15">
      <c r="A79" s="216" t="s">
        <v>34</v>
      </c>
      <c r="B79" s="208" t="s">
        <v>348</v>
      </c>
      <c r="C79" s="208">
        <v>2018</v>
      </c>
      <c r="D79" s="250" t="s">
        <v>532</v>
      </c>
      <c r="E79" s="237" t="s">
        <v>338</v>
      </c>
      <c r="F79" s="237" t="s">
        <v>339</v>
      </c>
      <c r="G79" s="216" t="s">
        <v>36</v>
      </c>
      <c r="H79" s="208" t="s">
        <v>168</v>
      </c>
      <c r="I79" s="216" t="s">
        <v>155</v>
      </c>
      <c r="J79" s="216" t="s">
        <v>38</v>
      </c>
      <c r="K79" s="216" t="s">
        <v>156</v>
      </c>
      <c r="L79" s="208">
        <v>3</v>
      </c>
      <c r="N79" s="208">
        <v>1</v>
      </c>
      <c r="O79" s="208">
        <v>0.65</v>
      </c>
      <c r="P79" s="208">
        <v>0.5</v>
      </c>
      <c r="Q79" s="245">
        <f t="shared" si="0"/>
        <v>0.57499999999999996</v>
      </c>
      <c r="R79" s="208">
        <v>17.899999999999999</v>
      </c>
      <c r="S79" s="208">
        <v>143</v>
      </c>
      <c r="T79" s="217">
        <f t="shared" si="1"/>
        <v>30</v>
      </c>
      <c r="U79" s="208">
        <v>170</v>
      </c>
      <c r="V79" s="217">
        <f t="shared" si="2"/>
        <v>5100</v>
      </c>
      <c r="W79" s="208">
        <v>1</v>
      </c>
      <c r="X79" s="216" t="s">
        <v>46</v>
      </c>
      <c r="Y79" s="216" t="s">
        <v>102</v>
      </c>
      <c r="Z79" s="216" t="s">
        <v>55</v>
      </c>
      <c r="AA79" s="216" t="s">
        <v>69</v>
      </c>
      <c r="AB79" s="216" t="s">
        <v>350</v>
      </c>
    </row>
    <row r="80" spans="1:28" x14ac:dyDescent="0.15">
      <c r="E80" s="237"/>
      <c r="F80" s="237"/>
      <c r="K80" s="216"/>
    </row>
    <row r="81" spans="11:11" x14ac:dyDescent="0.15">
      <c r="K81" s="216"/>
    </row>
    <row r="82" spans="11:11" x14ac:dyDescent="0.15">
      <c r="K82" s="216"/>
    </row>
    <row r="83" spans="11:11" x14ac:dyDescent="0.15">
      <c r="K83" s="216"/>
    </row>
    <row r="84" spans="11:11" x14ac:dyDescent="0.15">
      <c r="K84" s="216"/>
    </row>
    <row r="85" spans="11:11" x14ac:dyDescent="0.15">
      <c r="K85" s="216"/>
    </row>
    <row r="86" spans="11:11" x14ac:dyDescent="0.15">
      <c r="K86" s="216"/>
    </row>
    <row r="87" spans="11:11" x14ac:dyDescent="0.15">
      <c r="K87" s="216"/>
    </row>
    <row r="88" spans="11:11" x14ac:dyDescent="0.15">
      <c r="K88" s="216"/>
    </row>
    <row r="89" spans="11:11" x14ac:dyDescent="0.15">
      <c r="K89" s="216"/>
    </row>
    <row r="90" spans="11:11" x14ac:dyDescent="0.15">
      <c r="K90" s="216"/>
    </row>
    <row r="91" spans="11:11" x14ac:dyDescent="0.15">
      <c r="K91" s="216"/>
    </row>
    <row r="92" spans="11:11" x14ac:dyDescent="0.15">
      <c r="K92" s="216"/>
    </row>
    <row r="93" spans="11:11" x14ac:dyDescent="0.15">
      <c r="K93" s="216"/>
    </row>
    <row r="94" spans="11:11" x14ac:dyDescent="0.15">
      <c r="K94" s="216"/>
    </row>
    <row r="95" spans="11:11" x14ac:dyDescent="0.15">
      <c r="K95" s="216"/>
    </row>
    <row r="96" spans="11:11" x14ac:dyDescent="0.15">
      <c r="K96" s="216"/>
    </row>
    <row r="97" spans="11:11" x14ac:dyDescent="0.15">
      <c r="K97" s="216"/>
    </row>
    <row r="98" spans="11:11" x14ac:dyDescent="0.15">
      <c r="K98" s="216"/>
    </row>
    <row r="99" spans="11:11" x14ac:dyDescent="0.15">
      <c r="K99" s="216"/>
    </row>
    <row r="100" spans="11:11" x14ac:dyDescent="0.15">
      <c r="K100" s="216"/>
    </row>
    <row r="101" spans="11:11" x14ac:dyDescent="0.15">
      <c r="K101" s="216"/>
    </row>
    <row r="102" spans="11:11" x14ac:dyDescent="0.15">
      <c r="K102" s="216"/>
    </row>
    <row r="103" spans="11:11" x14ac:dyDescent="0.15">
      <c r="K103" s="216"/>
    </row>
    <row r="104" spans="11:11" x14ac:dyDescent="0.15">
      <c r="K104" s="216"/>
    </row>
    <row r="105" spans="11:11" x14ac:dyDescent="0.15">
      <c r="K105" s="216"/>
    </row>
    <row r="106" spans="11:11" x14ac:dyDescent="0.15">
      <c r="K106" s="216"/>
    </row>
    <row r="107" spans="11:11" x14ac:dyDescent="0.15">
      <c r="K107" s="216"/>
    </row>
    <row r="108" spans="11:11" x14ac:dyDescent="0.15">
      <c r="K108" s="216"/>
    </row>
    <row r="109" spans="11:11" x14ac:dyDescent="0.15">
      <c r="K109" s="216"/>
    </row>
    <row r="110" spans="11:11" x14ac:dyDescent="0.15">
      <c r="K110" s="216"/>
    </row>
    <row r="111" spans="11:11" x14ac:dyDescent="0.15">
      <c r="K111" s="216"/>
    </row>
    <row r="112" spans="11: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sheetData>
  <autoFilter ref="A1:BA79"/>
  <phoneticPr fontId="3"/>
  <dataValidations count="12">
    <dataValidation type="list" allowBlank="1" showInputMessage="1" showErrorMessage="1" sqref="F2:F422">
      <formula1>$AH$2:$AH$11</formula1>
    </dataValidation>
    <dataValidation type="list" allowBlank="1" showInputMessage="1" showErrorMessage="1" sqref="E2:E422">
      <formula1>$AG$2:$AG$11</formula1>
    </dataValidation>
    <dataValidation type="list" allowBlank="1" showInputMessage="1" showErrorMessage="1" sqref="K2:K734">
      <formula1>$AR$2:$AR$23</formula1>
    </dataValidation>
    <dataValidation type="list" allowBlank="1" showInputMessage="1" showErrorMessage="1" sqref="A2:A421">
      <formula1>$AE$2:$AE$19</formula1>
    </dataValidation>
    <dataValidation type="list" allowBlank="1" showInputMessage="1" showErrorMessage="1" sqref="Y2:AA422">
      <formula1>$AV$2:$AV$21</formula1>
    </dataValidation>
    <dataValidation type="list" allowBlank="1" showInputMessage="1" showErrorMessage="1" sqref="H2:H422">
      <formula1>$AL$2:$AL$8</formula1>
    </dataValidation>
    <dataValidation type="list" allowBlank="1" showInputMessage="1" showErrorMessage="1" sqref="X2:X422">
      <formula1>$AT$2:$AT$3</formula1>
    </dataValidation>
    <dataValidation type="list" allowBlank="1" showInputMessage="1" showErrorMessage="1" sqref="G2:G422">
      <formula1>$AJ$2:$AJ$4</formula1>
    </dataValidation>
    <dataValidation type="list" allowBlank="1" showInputMessage="1" showErrorMessage="1" sqref="I2:I422">
      <formula1>$AN$5:$AN$6</formula1>
    </dataValidation>
    <dataValidation type="list" allowBlank="1" showInputMessage="1" showErrorMessage="1" sqref="J2:J422">
      <formula1>$AP$2:$AP$24</formula1>
    </dataValidation>
    <dataValidation type="decimal" allowBlank="1" showInputMessage="1" showErrorMessage="1" error="硬度を正しく入力して下さい。" sqref="O2:P49 O59:P422">
      <formula1>0</formula1>
      <formula2>7</formula2>
    </dataValidation>
    <dataValidation operator="equal" allowBlank="1" showInputMessage="1" showErrorMessage="1" sqref="B2:B79"/>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F5310E-CC51-4222-8186-9C6B8BAF6FC2}"/>
</file>

<file path=customXml/itemProps2.xml><?xml version="1.0" encoding="utf-8"?>
<ds:datastoreItem xmlns:ds="http://schemas.openxmlformats.org/officeDocument/2006/customXml" ds:itemID="{264276C3-376E-46F2-9646-92CEA539740C}"/>
</file>

<file path=customXml/itemProps3.xml><?xml version="1.0" encoding="utf-8"?>
<ds:datastoreItem xmlns:ds="http://schemas.openxmlformats.org/officeDocument/2006/customXml" ds:itemID="{F8ADF481-5262-4330-92E3-58F2C1BE4C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2018-08-28T02:08:22Z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