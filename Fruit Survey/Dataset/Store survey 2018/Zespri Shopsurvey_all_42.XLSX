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miyagi!$A$1:$BA$130</definedName>
    <definedName name="_xlnm._FilterDatabase" localSheetId="2" hidden="1">nagoya!$A$1:$BA$52</definedName>
    <definedName name="_xlnm._FilterDatabase" localSheetId="3" hidden="1">osaka!$A$1:$BA$64</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hiroshima!$E$1:$S$69</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T106" i="32" l="1"/>
  <c r="T112" i="32"/>
  <c r="V112" i="32" s="1"/>
  <c r="Q112" i="32"/>
  <c r="T111" i="32"/>
  <c r="V111" i="32" s="1"/>
  <c r="Q111" i="32"/>
  <c r="T110" i="32"/>
  <c r="V110" i="32" s="1"/>
  <c r="Q110" i="32"/>
  <c r="V109" i="32"/>
  <c r="T109" i="32"/>
  <c r="Q109" i="32"/>
  <c r="T108" i="32"/>
  <c r="V108" i="32" s="1"/>
  <c r="Q108" i="32"/>
  <c r="V107" i="32"/>
  <c r="T107" i="32"/>
  <c r="Q107" i="32"/>
  <c r="V106" i="32"/>
  <c r="Q106" i="32"/>
  <c r="T105" i="32"/>
  <c r="V105" i="32" s="1"/>
  <c r="Q105" i="32"/>
  <c r="T104" i="32"/>
  <c r="V104" i="32" s="1"/>
  <c r="Q104" i="32"/>
  <c r="T103" i="32"/>
  <c r="V103" i="32" s="1"/>
  <c r="Q103" i="32"/>
  <c r="T102" i="32"/>
  <c r="V102" i="32" s="1"/>
  <c r="Q102" i="32"/>
  <c r="V101" i="32"/>
  <c r="T101" i="32"/>
  <c r="Q101" i="32"/>
  <c r="T100" i="32"/>
  <c r="V100" i="32" s="1"/>
  <c r="Q100" i="32"/>
  <c r="V99" i="32"/>
  <c r="T99" i="32"/>
  <c r="Q99" i="32"/>
  <c r="V98" i="32"/>
  <c r="T98" i="32"/>
  <c r="Q98" i="32"/>
  <c r="T97" i="32"/>
  <c r="V97" i="32" s="1"/>
  <c r="Q97" i="32"/>
  <c r="T96" i="32"/>
  <c r="V96" i="32" s="1"/>
  <c r="Q96" i="32"/>
  <c r="T95" i="32"/>
  <c r="V95" i="32" s="1"/>
  <c r="Q95" i="32"/>
  <c r="T94" i="32"/>
  <c r="V94" i="32" s="1"/>
  <c r="Q94" i="32"/>
  <c r="T93" i="32"/>
  <c r="V93" i="32" s="1"/>
  <c r="Q93" i="32"/>
  <c r="T92" i="32"/>
  <c r="V92" i="32" s="1"/>
  <c r="Q92" i="32"/>
  <c r="V91" i="32"/>
  <c r="T91" i="32"/>
  <c r="Q91" i="32"/>
  <c r="V90" i="32"/>
  <c r="T90" i="32"/>
  <c r="Q90" i="32"/>
  <c r="T89" i="32"/>
  <c r="V89" i="32" s="1"/>
  <c r="Q89" i="32"/>
  <c r="T88" i="32"/>
  <c r="V88" i="32" s="1"/>
  <c r="Q88" i="32"/>
  <c r="T87" i="32"/>
  <c r="V87" i="32" s="1"/>
  <c r="Q87" i="32"/>
  <c r="T86" i="32"/>
  <c r="V86" i="32" s="1"/>
  <c r="Q86" i="32"/>
  <c r="T85" i="32"/>
  <c r="V85" i="32" s="1"/>
  <c r="Q85" i="32"/>
  <c r="T84" i="32"/>
  <c r="V84" i="32" s="1"/>
  <c r="Q84" i="32"/>
  <c r="V83" i="32"/>
  <c r="T83" i="32"/>
  <c r="Q83" i="32"/>
  <c r="V82" i="32"/>
  <c r="T82" i="32"/>
  <c r="Q82" i="32"/>
  <c r="T81" i="32"/>
  <c r="V81" i="32" s="1"/>
  <c r="Q81" i="32"/>
  <c r="T80" i="32"/>
  <c r="V80" i="32" s="1"/>
  <c r="Q80" i="32"/>
  <c r="T79" i="32"/>
  <c r="V79" i="32" s="1"/>
  <c r="Q79" i="32"/>
  <c r="T78" i="32"/>
  <c r="V78" i="32" s="1"/>
  <c r="Q78" i="32"/>
  <c r="T77" i="32"/>
  <c r="V77" i="32" s="1"/>
  <c r="Q77" i="32"/>
  <c r="T76" i="32"/>
  <c r="V76" i="32" s="1"/>
  <c r="Q76" i="32"/>
  <c r="V75" i="32"/>
  <c r="T75" i="32"/>
  <c r="Q75" i="32"/>
  <c r="V74" i="32"/>
  <c r="T74" i="32"/>
  <c r="Q74" i="32"/>
  <c r="T73" i="32"/>
  <c r="V73" i="32" s="1"/>
  <c r="Q73" i="32"/>
  <c r="T72" i="32"/>
  <c r="V72" i="32" s="1"/>
  <c r="Q72" i="32"/>
  <c r="T71" i="32"/>
  <c r="V71" i="32" s="1"/>
  <c r="Q71" i="32"/>
  <c r="T70" i="32"/>
  <c r="V70" i="32" s="1"/>
  <c r="Q70" i="32"/>
  <c r="T69" i="32"/>
  <c r="V69" i="32" s="1"/>
  <c r="Q69" i="32"/>
  <c r="T68" i="32"/>
  <c r="V68" i="32" s="1"/>
  <c r="Q68" i="32"/>
  <c r="V67" i="32"/>
  <c r="T67" i="32"/>
  <c r="Q67" i="32"/>
  <c r="V66" i="32"/>
  <c r="T66" i="32"/>
  <c r="Q66" i="32"/>
  <c r="T65" i="32"/>
  <c r="V65" i="32" s="1"/>
  <c r="Q65" i="32"/>
  <c r="T64" i="32"/>
  <c r="V64" i="32" s="1"/>
  <c r="Q64" i="32"/>
  <c r="T63" i="32"/>
  <c r="V63" i="32" s="1"/>
  <c r="Q63" i="32"/>
  <c r="T62" i="32"/>
  <c r="V62" i="32" s="1"/>
  <c r="Q62" i="32"/>
  <c r="T61" i="32"/>
  <c r="V61" i="32" s="1"/>
  <c r="Q61" i="32"/>
  <c r="T60" i="32"/>
  <c r="V60" i="32" s="1"/>
  <c r="Q60" i="32"/>
  <c r="V59" i="32"/>
  <c r="T59" i="32"/>
  <c r="Q59" i="32"/>
  <c r="V58" i="32"/>
  <c r="T58" i="32"/>
  <c r="Q58" i="32"/>
  <c r="T57" i="32"/>
  <c r="V57" i="32" s="1"/>
  <c r="Q57" i="32"/>
  <c r="T56" i="32"/>
  <c r="V56" i="32" s="1"/>
  <c r="Q56" i="32"/>
  <c r="T55" i="32"/>
  <c r="V55" i="32" s="1"/>
  <c r="Q55" i="32"/>
  <c r="T54" i="32"/>
  <c r="V54" i="32" s="1"/>
  <c r="Q54" i="32"/>
  <c r="T53" i="32"/>
  <c r="V53" i="32" s="1"/>
  <c r="Q53" i="32"/>
  <c r="T52" i="32"/>
  <c r="V52" i="32" s="1"/>
  <c r="Q52" i="32"/>
  <c r="V51" i="32"/>
  <c r="T51" i="32"/>
  <c r="Q51" i="32"/>
  <c r="V50" i="32"/>
  <c r="T50" i="32"/>
  <c r="Q50" i="32"/>
  <c r="T49" i="32"/>
  <c r="V49" i="32" s="1"/>
  <c r="Q49" i="32"/>
  <c r="T48" i="32"/>
  <c r="V48" i="32" s="1"/>
  <c r="Q48" i="32"/>
  <c r="T47" i="32"/>
  <c r="V47" i="32" s="1"/>
  <c r="Q47" i="32"/>
  <c r="T46" i="32"/>
  <c r="V46" i="32" s="1"/>
  <c r="Q46" i="32"/>
  <c r="T45" i="32"/>
  <c r="V45" i="32" s="1"/>
  <c r="Q45" i="32"/>
  <c r="T44" i="32"/>
  <c r="V44" i="32" s="1"/>
  <c r="Q44" i="32"/>
  <c r="V43" i="32"/>
  <c r="T43" i="32"/>
  <c r="Q43" i="32"/>
  <c r="V42" i="32"/>
  <c r="T42" i="32"/>
  <c r="Q42" i="32"/>
  <c r="T41" i="32"/>
  <c r="V41" i="32" s="1"/>
  <c r="Q41" i="32"/>
  <c r="T40" i="32"/>
  <c r="V40" i="32" s="1"/>
  <c r="Q40" i="32"/>
  <c r="T39" i="32"/>
  <c r="V39" i="32" s="1"/>
  <c r="Q39" i="32"/>
  <c r="T38" i="32"/>
  <c r="V38" i="32" s="1"/>
  <c r="Q38" i="32"/>
  <c r="T37" i="32"/>
  <c r="V37" i="32" s="1"/>
  <c r="Q37" i="32"/>
  <c r="T36" i="32"/>
  <c r="V36" i="32" s="1"/>
  <c r="Q36" i="32"/>
  <c r="V35" i="32"/>
  <c r="T35" i="32"/>
  <c r="Q35" i="32"/>
  <c r="V34" i="32"/>
  <c r="T34" i="32"/>
  <c r="Q34" i="32"/>
  <c r="T33" i="32"/>
  <c r="V33" i="32" s="1"/>
  <c r="Q33" i="32"/>
  <c r="T32" i="32"/>
  <c r="V32" i="32" s="1"/>
  <c r="Q32" i="32"/>
  <c r="T31" i="32"/>
  <c r="V31" i="32" s="1"/>
  <c r="Q31" i="32"/>
  <c r="T30" i="32"/>
  <c r="V30" i="32" s="1"/>
  <c r="Q30" i="32"/>
  <c r="T29" i="32"/>
  <c r="V29" i="32" s="1"/>
  <c r="Q29" i="32"/>
  <c r="T28" i="32"/>
  <c r="V28" i="32" s="1"/>
  <c r="Q28" i="32"/>
  <c r="V27" i="32"/>
  <c r="T27" i="32"/>
  <c r="Q27" i="32"/>
  <c r="V26" i="32"/>
  <c r="T26" i="32"/>
  <c r="Q26" i="32"/>
  <c r="T25" i="32"/>
  <c r="V25" i="32" s="1"/>
  <c r="Q25" i="32"/>
  <c r="T24" i="32"/>
  <c r="V24" i="32" s="1"/>
  <c r="Q24" i="32"/>
  <c r="T23" i="32"/>
  <c r="V23" i="32" s="1"/>
  <c r="Q23" i="32"/>
  <c r="T22" i="32"/>
  <c r="V22" i="32" s="1"/>
  <c r="Q22" i="32"/>
  <c r="T21" i="32"/>
  <c r="V21" i="32" s="1"/>
  <c r="Q21" i="32"/>
  <c r="T20" i="32"/>
  <c r="V20" i="32" s="1"/>
  <c r="Q20" i="32"/>
  <c r="V19" i="32"/>
  <c r="T19" i="32"/>
  <c r="Q19" i="32"/>
  <c r="V18" i="32"/>
  <c r="T18" i="32"/>
  <c r="Q18" i="32"/>
  <c r="T17" i="32"/>
  <c r="V17" i="32" s="1"/>
  <c r="Q17" i="32"/>
  <c r="T16" i="32"/>
  <c r="V16" i="32" s="1"/>
  <c r="Q16" i="32"/>
  <c r="T15" i="32"/>
  <c r="V15" i="32" s="1"/>
  <c r="Q15" i="32"/>
  <c r="T14" i="32"/>
  <c r="V14" i="32" s="1"/>
  <c r="Q14" i="32"/>
  <c r="T13" i="32"/>
  <c r="V13" i="32" s="1"/>
  <c r="Q13" i="32"/>
  <c r="T12" i="32"/>
  <c r="V12" i="32" s="1"/>
  <c r="Q12" i="32"/>
  <c r="V11" i="32"/>
  <c r="T11" i="32"/>
  <c r="Q11" i="32"/>
  <c r="V10" i="32"/>
  <c r="T10" i="32"/>
  <c r="Q10" i="32"/>
  <c r="T9" i="32"/>
  <c r="V9" i="32" s="1"/>
  <c r="Q9" i="32"/>
  <c r="T8" i="32"/>
  <c r="V8" i="32" s="1"/>
  <c r="Q8" i="32"/>
  <c r="T7" i="32"/>
  <c r="V7" i="32" s="1"/>
  <c r="Q7" i="32"/>
  <c r="T6" i="32"/>
  <c r="V6" i="32" s="1"/>
  <c r="Q6" i="32"/>
  <c r="T5" i="32"/>
  <c r="V5" i="32" s="1"/>
  <c r="Q5" i="32"/>
  <c r="T4" i="32"/>
  <c r="V4" i="32" s="1"/>
  <c r="Q4" i="32"/>
  <c r="V3" i="32"/>
  <c r="T3" i="32"/>
  <c r="Q3" i="32"/>
  <c r="V2" i="32"/>
  <c r="T2" i="32"/>
  <c r="Q2" i="32"/>
  <c r="T91" i="31" l="1"/>
  <c r="V91" i="31" s="1"/>
  <c r="Q91" i="31"/>
  <c r="V90" i="31"/>
  <c r="T90" i="31"/>
  <c r="Q90" i="31"/>
  <c r="T89" i="31"/>
  <c r="V89" i="31" s="1"/>
  <c r="Q89" i="31"/>
  <c r="T88" i="31"/>
  <c r="V88" i="31" s="1"/>
  <c r="Q88" i="31"/>
  <c r="T87" i="31"/>
  <c r="V87" i="31" s="1"/>
  <c r="Q87" i="31"/>
  <c r="V86" i="31"/>
  <c r="T86" i="31"/>
  <c r="Q86" i="31"/>
  <c r="T85" i="31"/>
  <c r="V85" i="31" s="1"/>
  <c r="Q85" i="31"/>
  <c r="T84" i="31"/>
  <c r="V84" i="31" s="1"/>
  <c r="Q84" i="31"/>
  <c r="T83" i="31"/>
  <c r="V83" i="31" s="1"/>
  <c r="Q83" i="31"/>
  <c r="V82" i="31"/>
  <c r="T82" i="31"/>
  <c r="Q82" i="31"/>
  <c r="T81" i="31"/>
  <c r="V81" i="31" s="1"/>
  <c r="Q81" i="31"/>
  <c r="T80" i="31"/>
  <c r="V80" i="31" s="1"/>
  <c r="Q80" i="31"/>
  <c r="T79" i="31"/>
  <c r="V79" i="31" s="1"/>
  <c r="Q79" i="31"/>
  <c r="V78" i="31"/>
  <c r="T78" i="31"/>
  <c r="Q78" i="31"/>
  <c r="T77" i="31"/>
  <c r="V77" i="31" s="1"/>
  <c r="Q77" i="31"/>
  <c r="T76" i="31"/>
  <c r="V76" i="31" s="1"/>
  <c r="Q76" i="31"/>
  <c r="T75" i="31"/>
  <c r="V75" i="31" s="1"/>
  <c r="Q75" i="31"/>
  <c r="V74" i="31"/>
  <c r="T74" i="31"/>
  <c r="Q74" i="31"/>
  <c r="T73" i="31"/>
  <c r="V73" i="31" s="1"/>
  <c r="Q73" i="31"/>
  <c r="T72" i="31"/>
  <c r="V72" i="31" s="1"/>
  <c r="Q72" i="31"/>
  <c r="T71" i="31"/>
  <c r="V71" i="31" s="1"/>
  <c r="Q71" i="31"/>
  <c r="V70" i="31"/>
  <c r="T70" i="31"/>
  <c r="Q70" i="31"/>
  <c r="T69" i="31"/>
  <c r="V69" i="31" s="1"/>
  <c r="Q69" i="31"/>
  <c r="T68" i="31"/>
  <c r="V68" i="31" s="1"/>
  <c r="Q68" i="31"/>
  <c r="T67" i="31"/>
  <c r="V67" i="31" s="1"/>
  <c r="Q67" i="31"/>
  <c r="V66" i="31"/>
  <c r="T66" i="31"/>
  <c r="Q66" i="31"/>
  <c r="T65" i="31"/>
  <c r="V65" i="31" s="1"/>
  <c r="Q65" i="31"/>
  <c r="T64" i="31"/>
  <c r="V64" i="31" s="1"/>
  <c r="Q64" i="31"/>
  <c r="T63" i="31"/>
  <c r="V63" i="31" s="1"/>
  <c r="Q63" i="31"/>
  <c r="V62" i="31"/>
  <c r="T62" i="31"/>
  <c r="Q62" i="31"/>
  <c r="T58" i="31"/>
  <c r="V58" i="31" s="1"/>
  <c r="Q58" i="31"/>
  <c r="T57" i="31"/>
  <c r="V57" i="31" s="1"/>
  <c r="Q57" i="31"/>
  <c r="T56" i="31"/>
  <c r="V56" i="31" s="1"/>
  <c r="Q56" i="31"/>
  <c r="V55" i="31"/>
  <c r="T55" i="31"/>
  <c r="Q55" i="31"/>
  <c r="T54" i="31"/>
  <c r="V54" i="31" s="1"/>
  <c r="Q54" i="31"/>
  <c r="T53" i="31"/>
  <c r="V53" i="31" s="1"/>
  <c r="Q53" i="31"/>
  <c r="T52" i="31"/>
  <c r="V52" i="31" s="1"/>
  <c r="Q52" i="31"/>
  <c r="V51" i="31"/>
  <c r="T51" i="31"/>
  <c r="Q51" i="31"/>
  <c r="T50" i="31"/>
  <c r="V50" i="31" s="1"/>
  <c r="Q50" i="31"/>
  <c r="T49" i="31"/>
  <c r="V49" i="31" s="1"/>
  <c r="Q49" i="31"/>
  <c r="T48" i="31"/>
  <c r="V48" i="31" s="1"/>
  <c r="Q48" i="31"/>
  <c r="V47" i="31"/>
  <c r="T47" i="31"/>
  <c r="Q47" i="31"/>
  <c r="T46" i="31"/>
  <c r="V46" i="31" s="1"/>
  <c r="Q46" i="31"/>
  <c r="T45" i="31"/>
  <c r="V45" i="31" s="1"/>
  <c r="Q45" i="31"/>
  <c r="T44" i="31"/>
  <c r="V44" i="31" s="1"/>
  <c r="Q44" i="31"/>
  <c r="V43" i="31"/>
  <c r="T43" i="31"/>
  <c r="Q43" i="31"/>
  <c r="T42" i="31"/>
  <c r="V42" i="31" s="1"/>
  <c r="Q42" i="31"/>
  <c r="T41" i="31"/>
  <c r="V41" i="31" s="1"/>
  <c r="Q41" i="31"/>
  <c r="T40" i="31"/>
  <c r="V40" i="31" s="1"/>
  <c r="Q40" i="31"/>
  <c r="V39" i="31"/>
  <c r="T39" i="31"/>
  <c r="Q39" i="31"/>
  <c r="T38" i="31"/>
  <c r="V38" i="31" s="1"/>
  <c r="Q38" i="31"/>
  <c r="T37" i="31"/>
  <c r="V37" i="31" s="1"/>
  <c r="Q37" i="31"/>
  <c r="T36" i="31"/>
  <c r="V36" i="31" s="1"/>
  <c r="Q36" i="31"/>
  <c r="V35" i="31"/>
  <c r="T35" i="31"/>
  <c r="Q35" i="31"/>
  <c r="T34" i="31"/>
  <c r="V34" i="31" s="1"/>
  <c r="Q34" i="31"/>
  <c r="T33" i="31"/>
  <c r="V33" i="31" s="1"/>
  <c r="Q33" i="31"/>
  <c r="T32" i="31"/>
  <c r="V32" i="31" s="1"/>
  <c r="Q32" i="31"/>
  <c r="V31" i="31"/>
  <c r="T31" i="31"/>
  <c r="Q31" i="31"/>
  <c r="T30" i="31"/>
  <c r="V30" i="31" s="1"/>
  <c r="Q30" i="31"/>
  <c r="T29" i="31"/>
  <c r="V29" i="31" s="1"/>
  <c r="Q29" i="31"/>
  <c r="T28" i="31"/>
  <c r="V28" i="31" s="1"/>
  <c r="Q28" i="31"/>
  <c r="V27" i="31"/>
  <c r="T27" i="31"/>
  <c r="Q27" i="31"/>
  <c r="T26" i="31"/>
  <c r="V26" i="31" s="1"/>
  <c r="Q26" i="31"/>
  <c r="T25" i="31"/>
  <c r="V25" i="31" s="1"/>
  <c r="Q25" i="31"/>
  <c r="T24" i="31"/>
  <c r="V24" i="31" s="1"/>
  <c r="Q24" i="31"/>
  <c r="V23" i="31"/>
  <c r="T23" i="31"/>
  <c r="Q23" i="31"/>
  <c r="T22" i="31"/>
  <c r="V22" i="31" s="1"/>
  <c r="Q22" i="31"/>
  <c r="T21" i="31"/>
  <c r="V21" i="31" s="1"/>
  <c r="Q21" i="31"/>
  <c r="T20" i="31"/>
  <c r="V20" i="31" s="1"/>
  <c r="Q20" i="31"/>
  <c r="V19" i="31"/>
  <c r="T19" i="31"/>
  <c r="Q19" i="31"/>
  <c r="T18" i="31"/>
  <c r="V18" i="31" s="1"/>
  <c r="Q18" i="31"/>
  <c r="T17" i="31"/>
  <c r="V17" i="31" s="1"/>
  <c r="Q17" i="31"/>
  <c r="T16" i="31"/>
  <c r="V16" i="31" s="1"/>
  <c r="Q16" i="31"/>
  <c r="V15" i="31"/>
  <c r="T15" i="31"/>
  <c r="Q15" i="31"/>
  <c r="T14" i="31"/>
  <c r="Q14" i="31"/>
  <c r="T13" i="31"/>
  <c r="V13" i="31" s="1"/>
  <c r="Q13" i="31"/>
  <c r="V12" i="31"/>
  <c r="T12" i="31"/>
  <c r="Q12" i="31"/>
  <c r="T11" i="31"/>
  <c r="V11" i="31" s="1"/>
  <c r="Q11" i="31"/>
  <c r="T10" i="31"/>
  <c r="V10" i="31" s="1"/>
  <c r="Q10" i="31"/>
  <c r="T9" i="31"/>
  <c r="V9" i="31" s="1"/>
  <c r="Q9" i="31"/>
  <c r="V8" i="31"/>
  <c r="T8" i="31"/>
  <c r="Q8" i="31"/>
  <c r="T7" i="31"/>
  <c r="V7" i="31" s="1"/>
  <c r="Q7" i="31"/>
  <c r="T6" i="31"/>
  <c r="V6" i="31" s="1"/>
  <c r="Q6" i="31"/>
  <c r="T5" i="31"/>
  <c r="V5" i="31" s="1"/>
  <c r="Q5" i="31"/>
  <c r="V4" i="31"/>
  <c r="T4" i="31"/>
  <c r="Q4" i="31"/>
  <c r="T3" i="31"/>
  <c r="V3" i="31" s="1"/>
  <c r="Q3" i="31"/>
  <c r="T2" i="31"/>
  <c r="V2" i="31" s="1"/>
  <c r="Q2" i="31"/>
  <c r="V152" i="30" l="1"/>
  <c r="T152" i="30"/>
  <c r="Q152" i="30"/>
  <c r="V151" i="30"/>
  <c r="T151" i="30"/>
  <c r="Q151" i="30"/>
  <c r="V150" i="30"/>
  <c r="T150" i="30"/>
  <c r="Q150" i="30"/>
  <c r="V149" i="30"/>
  <c r="T149" i="30"/>
  <c r="Q149" i="30"/>
  <c r="V148" i="30"/>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T73" i="30"/>
  <c r="Q73" i="30"/>
  <c r="T72" i="30"/>
  <c r="Q72" i="30"/>
  <c r="T71" i="30"/>
  <c r="Q71" i="30"/>
  <c r="V70" i="30"/>
  <c r="T70" i="30"/>
  <c r="Q70" i="30"/>
  <c r="V69" i="30"/>
  <c r="T69" i="30"/>
  <c r="Q69" i="30"/>
  <c r="V68" i="30"/>
  <c r="T68" i="30"/>
  <c r="Q68" i="30"/>
  <c r="V67" i="30"/>
  <c r="T67" i="30"/>
  <c r="Q67" i="30"/>
  <c r="V66" i="30"/>
  <c r="T66" i="30"/>
  <c r="Q66" i="30"/>
  <c r="V65" i="30"/>
  <c r="T65" i="30"/>
  <c r="Q65" i="30"/>
  <c r="V64" i="30"/>
  <c r="T64" i="30"/>
  <c r="Q64" i="30"/>
  <c r="V63" i="30"/>
  <c r="T63" i="30"/>
  <c r="Q63" i="30"/>
  <c r="V62"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79" i="29" l="1"/>
  <c r="V79" i="29" s="1"/>
  <c r="Q79" i="29"/>
  <c r="V78" i="29"/>
  <c r="T78" i="29"/>
  <c r="Q78" i="29"/>
  <c r="T77" i="29"/>
  <c r="V77" i="29" s="1"/>
  <c r="Q77" i="29"/>
  <c r="T73" i="29"/>
  <c r="V73" i="29" s="1"/>
  <c r="Q73" i="29"/>
  <c r="T72" i="29"/>
  <c r="V72" i="29" s="1"/>
  <c r="Q72" i="29"/>
  <c r="V71" i="29"/>
  <c r="T71" i="29"/>
  <c r="Q71" i="29"/>
  <c r="T70" i="29"/>
  <c r="V70" i="29" s="1"/>
  <c r="Q70" i="29"/>
  <c r="T69" i="29"/>
  <c r="V69" i="29" s="1"/>
  <c r="Q69" i="29"/>
  <c r="T68" i="29"/>
  <c r="V68" i="29" s="1"/>
  <c r="Q68" i="29"/>
  <c r="V67" i="29"/>
  <c r="T67" i="29"/>
  <c r="Q67" i="29"/>
  <c r="T66" i="29"/>
  <c r="V66" i="29" s="1"/>
  <c r="Q66" i="29"/>
  <c r="T65" i="29"/>
  <c r="V65" i="29" s="1"/>
  <c r="Q65" i="29"/>
  <c r="T64" i="29"/>
  <c r="V64" i="29" s="1"/>
  <c r="Q64" i="29"/>
  <c r="V63" i="29"/>
  <c r="T63" i="29"/>
  <c r="Q63" i="29"/>
  <c r="T62" i="29"/>
  <c r="V62" i="29" s="1"/>
  <c r="Q62" i="29"/>
  <c r="T61" i="29"/>
  <c r="V61" i="29" s="1"/>
  <c r="Q61" i="29"/>
  <c r="T60" i="29"/>
  <c r="V60" i="29" s="1"/>
  <c r="Q60" i="29"/>
  <c r="V59" i="29"/>
  <c r="T59" i="29"/>
  <c r="Q59" i="29"/>
  <c r="T58" i="29"/>
  <c r="V58" i="29" s="1"/>
  <c r="Q58" i="29"/>
  <c r="T57" i="29"/>
  <c r="V57" i="29" s="1"/>
  <c r="Q57" i="29"/>
  <c r="T56" i="29"/>
  <c r="V56" i="29" s="1"/>
  <c r="Q56" i="29"/>
  <c r="V55" i="29"/>
  <c r="T55" i="29"/>
  <c r="Q55" i="29"/>
  <c r="T54" i="29"/>
  <c r="V54" i="29" s="1"/>
  <c r="Q54" i="29"/>
  <c r="T53" i="29"/>
  <c r="V53" i="29" s="1"/>
  <c r="Q53" i="29"/>
  <c r="T52" i="29"/>
  <c r="V52" i="29" s="1"/>
  <c r="Q52" i="29"/>
  <c r="V51" i="29"/>
  <c r="T51" i="29"/>
  <c r="Q51" i="29"/>
  <c r="T50" i="29"/>
  <c r="V50" i="29" s="1"/>
  <c r="Q50" i="29"/>
  <c r="T49" i="29"/>
  <c r="V49" i="29" s="1"/>
  <c r="Q49" i="29"/>
  <c r="T48" i="29"/>
  <c r="V48" i="29" s="1"/>
  <c r="Q48" i="29"/>
  <c r="V47" i="29"/>
  <c r="T47" i="29"/>
  <c r="Q47" i="29"/>
  <c r="T46" i="29"/>
  <c r="V46" i="29" s="1"/>
  <c r="Q46" i="29"/>
  <c r="T45" i="29"/>
  <c r="V45" i="29" s="1"/>
  <c r="Q45" i="29"/>
  <c r="T44" i="29"/>
  <c r="V44" i="29" s="1"/>
  <c r="Q44" i="29"/>
  <c r="V43" i="29"/>
  <c r="T43" i="29"/>
  <c r="Q43" i="29"/>
  <c r="T42" i="29"/>
  <c r="V42" i="29" s="1"/>
  <c r="Q42" i="29"/>
  <c r="T41" i="29"/>
  <c r="V41" i="29" s="1"/>
  <c r="Q41" i="29"/>
  <c r="T40" i="29"/>
  <c r="V40" i="29" s="1"/>
  <c r="Q40" i="29"/>
  <c r="V39" i="29"/>
  <c r="T39" i="29"/>
  <c r="Q39" i="29"/>
  <c r="T38" i="29"/>
  <c r="V38" i="29" s="1"/>
  <c r="Q38" i="29"/>
  <c r="T37" i="29"/>
  <c r="V37" i="29" s="1"/>
  <c r="Q37" i="29"/>
  <c r="T36" i="29"/>
  <c r="V36" i="29" s="1"/>
  <c r="Q36" i="29"/>
  <c r="V35" i="29"/>
  <c r="T35" i="29"/>
  <c r="Q35" i="29"/>
  <c r="T34" i="29"/>
  <c r="V34" i="29" s="1"/>
  <c r="Q34" i="29"/>
  <c r="T33" i="29"/>
  <c r="V33" i="29" s="1"/>
  <c r="Q33" i="29"/>
  <c r="T32" i="29"/>
  <c r="V32" i="29" s="1"/>
  <c r="Q32" i="29"/>
  <c r="V31" i="29"/>
  <c r="T31" i="29"/>
  <c r="Q31" i="29"/>
  <c r="T30" i="29"/>
  <c r="V30" i="29" s="1"/>
  <c r="Q30" i="29"/>
  <c r="T29" i="29"/>
  <c r="V29" i="29" s="1"/>
  <c r="Q29" i="29"/>
  <c r="T28" i="29"/>
  <c r="V28" i="29" s="1"/>
  <c r="Q28" i="29"/>
  <c r="V27" i="29"/>
  <c r="T27" i="29"/>
  <c r="Q27" i="29"/>
  <c r="T26" i="29"/>
  <c r="V26" i="29" s="1"/>
  <c r="Q26" i="29"/>
  <c r="T25" i="29"/>
  <c r="V25" i="29" s="1"/>
  <c r="Q25" i="29"/>
  <c r="T24" i="29"/>
  <c r="V24" i="29" s="1"/>
  <c r="Q24" i="29"/>
  <c r="V23" i="29"/>
  <c r="T23" i="29"/>
  <c r="Q23" i="29"/>
  <c r="T22" i="29"/>
  <c r="V22" i="29" s="1"/>
  <c r="Q22" i="29"/>
  <c r="T21" i="29"/>
  <c r="V21" i="29" s="1"/>
  <c r="Q21" i="29"/>
  <c r="T20" i="29"/>
  <c r="V20" i="29" s="1"/>
  <c r="Q20" i="29"/>
  <c r="V19" i="29"/>
  <c r="T19" i="29"/>
  <c r="Q19" i="29"/>
  <c r="T18" i="29"/>
  <c r="V18" i="29" s="1"/>
  <c r="Q18" i="29"/>
  <c r="T17" i="29"/>
  <c r="V17" i="29" s="1"/>
  <c r="Q17" i="29"/>
  <c r="T16" i="29"/>
  <c r="V16" i="29" s="1"/>
  <c r="Q16" i="29"/>
  <c r="V15" i="29"/>
  <c r="T15" i="29"/>
  <c r="Q15" i="29"/>
  <c r="T14" i="29"/>
  <c r="V14" i="29" s="1"/>
  <c r="Q14" i="29"/>
  <c r="T13" i="29"/>
  <c r="V13" i="29" s="1"/>
  <c r="Q13" i="29"/>
  <c r="T12" i="29"/>
  <c r="V12" i="29" s="1"/>
  <c r="Q12" i="29"/>
  <c r="V11" i="29"/>
  <c r="T11" i="29"/>
  <c r="Q11" i="29"/>
  <c r="T10" i="29"/>
  <c r="V10" i="29" s="1"/>
  <c r="Q10" i="29"/>
  <c r="T9" i="29"/>
  <c r="V9" i="29" s="1"/>
  <c r="Q9" i="29"/>
  <c r="T8" i="29"/>
  <c r="V8" i="29" s="1"/>
  <c r="Q8" i="29"/>
  <c r="V7" i="29"/>
  <c r="T7" i="29"/>
  <c r="Q7" i="29"/>
  <c r="T6" i="29"/>
  <c r="V6" i="29" s="1"/>
  <c r="Q6" i="29"/>
  <c r="T5" i="29"/>
  <c r="V5" i="29" s="1"/>
  <c r="Q5" i="29"/>
  <c r="T4" i="29"/>
  <c r="V4" i="29" s="1"/>
  <c r="Q4" i="29"/>
  <c r="V3" i="29"/>
  <c r="T3" i="29"/>
  <c r="Q3" i="29"/>
  <c r="T2" i="29"/>
  <c r="V2" i="29" s="1"/>
  <c r="Q2" i="29"/>
  <c r="T64" i="28" l="1"/>
  <c r="V64" i="28" s="1"/>
  <c r="Q64" i="28"/>
  <c r="T63" i="28"/>
  <c r="V63" i="28" s="1"/>
  <c r="Q63" i="28"/>
  <c r="T62" i="28"/>
  <c r="V62" i="28" s="1"/>
  <c r="Q62" i="28"/>
  <c r="T61" i="28"/>
  <c r="V61" i="28" s="1"/>
  <c r="Q61" i="28"/>
  <c r="T60" i="28"/>
  <c r="V60" i="28" s="1"/>
  <c r="Q60" i="28"/>
  <c r="V59" i="28"/>
  <c r="T59" i="28"/>
  <c r="Q59" i="28"/>
  <c r="V58" i="28"/>
  <c r="T58" i="28"/>
  <c r="Q58" i="28"/>
  <c r="T57" i="28"/>
  <c r="V57" i="28" s="1"/>
  <c r="Q57" i="28"/>
  <c r="T56" i="28"/>
  <c r="V56" i="28" s="1"/>
  <c r="Q56" i="28"/>
  <c r="T55" i="28"/>
  <c r="V55" i="28" s="1"/>
  <c r="Q55" i="28"/>
  <c r="T54" i="28"/>
  <c r="V54" i="28" s="1"/>
  <c r="Q54" i="28"/>
  <c r="T53" i="28"/>
  <c r="V53" i="28" s="1"/>
  <c r="Q53" i="28"/>
  <c r="T52" i="28"/>
  <c r="V52" i="28" s="1"/>
  <c r="Q52" i="28"/>
  <c r="V51" i="28"/>
  <c r="T51" i="28"/>
  <c r="Q51" i="28"/>
  <c r="V50" i="28"/>
  <c r="T50" i="28"/>
  <c r="Q50" i="28"/>
  <c r="T49" i="28"/>
  <c r="V49" i="28" s="1"/>
  <c r="Q49" i="28"/>
  <c r="T48" i="28"/>
  <c r="V48" i="28" s="1"/>
  <c r="Q48" i="28"/>
  <c r="T47" i="28"/>
  <c r="V47" i="28" s="1"/>
  <c r="Q47" i="28"/>
  <c r="T46" i="28"/>
  <c r="V46" i="28" s="1"/>
  <c r="Q46" i="28"/>
  <c r="T45" i="28"/>
  <c r="V45" i="28" s="1"/>
  <c r="Q45" i="28"/>
  <c r="T44" i="28"/>
  <c r="V44" i="28" s="1"/>
  <c r="Q44" i="28"/>
  <c r="V43" i="28"/>
  <c r="T43" i="28"/>
  <c r="Q43" i="28"/>
  <c r="V42" i="28"/>
  <c r="T42" i="28"/>
  <c r="Q42" i="28"/>
  <c r="T41" i="28"/>
  <c r="V41" i="28" s="1"/>
  <c r="Q41" i="28"/>
  <c r="T40" i="28"/>
  <c r="V40" i="28" s="1"/>
  <c r="Q40" i="28"/>
  <c r="T39" i="28"/>
  <c r="V39" i="28" s="1"/>
  <c r="Q39" i="28"/>
  <c r="T38" i="28"/>
  <c r="V38" i="28" s="1"/>
  <c r="Q38" i="28"/>
  <c r="T37" i="28"/>
  <c r="V37" i="28" s="1"/>
  <c r="Q37" i="28"/>
  <c r="T36" i="28"/>
  <c r="V36" i="28" s="1"/>
  <c r="Q36" i="28"/>
  <c r="V35" i="28"/>
  <c r="T35" i="28"/>
  <c r="Q35" i="28"/>
  <c r="V34" i="28"/>
  <c r="T34" i="28"/>
  <c r="Q34" i="28"/>
  <c r="T33" i="28"/>
  <c r="V33" i="28" s="1"/>
  <c r="Q33" i="28"/>
  <c r="T32" i="28"/>
  <c r="V32" i="28" s="1"/>
  <c r="Q32" i="28"/>
  <c r="T31" i="28"/>
  <c r="V31" i="28" s="1"/>
  <c r="Q31" i="28"/>
  <c r="T30" i="28"/>
  <c r="V30" i="28" s="1"/>
  <c r="Q30" i="28"/>
  <c r="T29" i="28"/>
  <c r="V29" i="28" s="1"/>
  <c r="Q29" i="28"/>
  <c r="T28" i="28"/>
  <c r="V28" i="28" s="1"/>
  <c r="Q28" i="28"/>
  <c r="V27" i="28"/>
  <c r="T27" i="28"/>
  <c r="Q27" i="28"/>
  <c r="V26" i="28"/>
  <c r="T26" i="28"/>
  <c r="Q26" i="28"/>
  <c r="T25" i="28"/>
  <c r="V25" i="28" s="1"/>
  <c r="Q25" i="28"/>
  <c r="T24" i="28"/>
  <c r="V24" i="28" s="1"/>
  <c r="Q24" i="28"/>
  <c r="T23" i="28"/>
  <c r="V23" i="28" s="1"/>
  <c r="Q23" i="28"/>
  <c r="T22" i="28"/>
  <c r="V22" i="28" s="1"/>
  <c r="Q22" i="28"/>
  <c r="T21" i="28"/>
  <c r="V21" i="28" s="1"/>
  <c r="Q21" i="28"/>
  <c r="T20" i="28"/>
  <c r="V20" i="28" s="1"/>
  <c r="Q20" i="28"/>
  <c r="V19" i="28"/>
  <c r="T19" i="28"/>
  <c r="Q19" i="28"/>
  <c r="V18" i="28"/>
  <c r="T18" i="28"/>
  <c r="Q18" i="28"/>
  <c r="T17" i="28"/>
  <c r="V17" i="28" s="1"/>
  <c r="Q17" i="28"/>
  <c r="T16" i="28"/>
  <c r="V16" i="28" s="1"/>
  <c r="Q16" i="28"/>
  <c r="T15" i="28"/>
  <c r="V15" i="28" s="1"/>
  <c r="Q15" i="28"/>
  <c r="T14" i="28"/>
  <c r="V14" i="28" s="1"/>
  <c r="Q14" i="28"/>
  <c r="T13" i="28"/>
  <c r="V13" i="28" s="1"/>
  <c r="Q13" i="28"/>
  <c r="T12" i="28"/>
  <c r="V12" i="28" s="1"/>
  <c r="Q12" i="28"/>
  <c r="V11" i="28"/>
  <c r="T11" i="28"/>
  <c r="Q11" i="28"/>
  <c r="V10" i="28"/>
  <c r="T10" i="28"/>
  <c r="Q10" i="28"/>
  <c r="T9" i="28"/>
  <c r="V9" i="28" s="1"/>
  <c r="Q9" i="28"/>
  <c r="T8" i="28"/>
  <c r="V8" i="28" s="1"/>
  <c r="Q8" i="28"/>
  <c r="T7" i="28"/>
  <c r="V7" i="28" s="1"/>
  <c r="Q7" i="28"/>
  <c r="T6" i="28"/>
  <c r="V6" i="28" s="1"/>
  <c r="Q6" i="28"/>
  <c r="T5" i="28"/>
  <c r="V5" i="28" s="1"/>
  <c r="Q5" i="28"/>
  <c r="T4" i="28"/>
  <c r="V4" i="28" s="1"/>
  <c r="Q4" i="28"/>
  <c r="V3" i="28"/>
  <c r="T3" i="28"/>
  <c r="Q3" i="28"/>
  <c r="V2" i="28"/>
  <c r="T2" i="28"/>
  <c r="Q2" i="28"/>
  <c r="T58" i="27"/>
  <c r="V58" i="27" s="1"/>
  <c r="Q58" i="27"/>
  <c r="V57" i="27"/>
  <c r="T57" i="27"/>
  <c r="Q57" i="27"/>
  <c r="T56" i="27"/>
  <c r="V56" i="27" s="1"/>
  <c r="Q56" i="27"/>
  <c r="T55" i="27"/>
  <c r="V55" i="27" s="1"/>
  <c r="Q55" i="27"/>
  <c r="T54" i="27"/>
  <c r="V54" i="27" s="1"/>
  <c r="Q54" i="27"/>
  <c r="V53" i="27"/>
  <c r="T53" i="27"/>
  <c r="Q53" i="27"/>
  <c r="T52" i="27"/>
  <c r="V52" i="27" s="1"/>
  <c r="Q52" i="27"/>
  <c r="T51" i="27"/>
  <c r="V51" i="27" s="1"/>
  <c r="Q51" i="27"/>
  <c r="T50" i="27"/>
  <c r="V50" i="27" s="1"/>
  <c r="Q50" i="27"/>
  <c r="V49" i="27"/>
  <c r="T49" i="27"/>
  <c r="Q49" i="27"/>
  <c r="T48" i="27"/>
  <c r="V48" i="27" s="1"/>
  <c r="Q48" i="27"/>
  <c r="T47" i="27"/>
  <c r="V47" i="27" s="1"/>
  <c r="Q47" i="27"/>
  <c r="T46" i="27"/>
  <c r="V46" i="27" s="1"/>
  <c r="Q46" i="27"/>
  <c r="V45" i="27"/>
  <c r="T45" i="27"/>
  <c r="Q45" i="27"/>
  <c r="T44" i="27"/>
  <c r="V44" i="27" s="1"/>
  <c r="Q44" i="27"/>
  <c r="T43" i="27"/>
  <c r="V43" i="27" s="1"/>
  <c r="Q43" i="27"/>
  <c r="T42" i="27"/>
  <c r="V42" i="27" s="1"/>
  <c r="Q42" i="27"/>
  <c r="V41" i="27"/>
  <c r="T41" i="27"/>
  <c r="Q41" i="27"/>
  <c r="T40" i="27"/>
  <c r="V40" i="27" s="1"/>
  <c r="Q40" i="27"/>
  <c r="T39" i="27"/>
  <c r="V39" i="27" s="1"/>
  <c r="Q39" i="27"/>
  <c r="T38" i="27"/>
  <c r="V38" i="27" s="1"/>
  <c r="Q38" i="27"/>
  <c r="V37" i="27"/>
  <c r="T37" i="27"/>
  <c r="Q37" i="27"/>
  <c r="T36" i="27"/>
  <c r="V36" i="27" s="1"/>
  <c r="Q36" i="27"/>
  <c r="T35" i="27"/>
  <c r="V35" i="27" s="1"/>
  <c r="Q35" i="27"/>
  <c r="T34" i="27"/>
  <c r="V34" i="27" s="1"/>
  <c r="Q34" i="27"/>
  <c r="V33" i="27"/>
  <c r="T33" i="27"/>
  <c r="Q33" i="27"/>
  <c r="T32" i="27"/>
  <c r="V32" i="27" s="1"/>
  <c r="Q32" i="27"/>
  <c r="T31" i="27"/>
  <c r="V31" i="27" s="1"/>
  <c r="Q31" i="27"/>
  <c r="T30" i="27"/>
  <c r="V30" i="27" s="1"/>
  <c r="Q30" i="27"/>
  <c r="V29" i="27"/>
  <c r="T29" i="27"/>
  <c r="Q29" i="27"/>
  <c r="T28" i="27"/>
  <c r="V28" i="27" s="1"/>
  <c r="Q28" i="27"/>
  <c r="T27" i="27"/>
  <c r="V27" i="27" s="1"/>
  <c r="Q27" i="27"/>
  <c r="T26" i="27"/>
  <c r="V26" i="27" s="1"/>
  <c r="Q26" i="27"/>
  <c r="V25" i="27"/>
  <c r="T25" i="27"/>
  <c r="Q25" i="27"/>
  <c r="T24" i="27"/>
  <c r="V24" i="27" s="1"/>
  <c r="Q24" i="27"/>
  <c r="T23" i="27"/>
  <c r="V23" i="27" s="1"/>
  <c r="Q23" i="27"/>
  <c r="T22" i="27"/>
  <c r="V22" i="27" s="1"/>
  <c r="Q22" i="27"/>
  <c r="V21" i="27"/>
  <c r="T21" i="27"/>
  <c r="Q21" i="27"/>
  <c r="T20" i="27"/>
  <c r="V20" i="27" s="1"/>
  <c r="Q20" i="27"/>
  <c r="T19" i="27"/>
  <c r="V19" i="27" s="1"/>
  <c r="Q19" i="27"/>
  <c r="T18" i="27"/>
  <c r="V18" i="27" s="1"/>
  <c r="Q18" i="27"/>
  <c r="V17" i="27"/>
  <c r="T17" i="27"/>
  <c r="Q17" i="27"/>
  <c r="T16" i="27"/>
  <c r="V16" i="27" s="1"/>
  <c r="Q16" i="27"/>
  <c r="T15" i="27"/>
  <c r="V15" i="27" s="1"/>
  <c r="Q15" i="27"/>
  <c r="T14" i="27"/>
  <c r="V14" i="27" s="1"/>
  <c r="Q14" i="27"/>
  <c r="V13" i="27"/>
  <c r="T13" i="27"/>
  <c r="Q13" i="27"/>
  <c r="T12" i="27"/>
  <c r="V12" i="27" s="1"/>
  <c r="Q12" i="27"/>
  <c r="T11" i="27"/>
  <c r="V11" i="27" s="1"/>
  <c r="Q11" i="27"/>
  <c r="T10" i="27"/>
  <c r="V10" i="27" s="1"/>
  <c r="Q10" i="27"/>
  <c r="V9" i="27"/>
  <c r="T9" i="27"/>
  <c r="Q9" i="27"/>
  <c r="T8" i="27"/>
  <c r="V8" i="27" s="1"/>
  <c r="Q8" i="27"/>
  <c r="T7" i="27"/>
  <c r="V7" i="27" s="1"/>
  <c r="Q7" i="27"/>
  <c r="T6" i="27"/>
  <c r="V6" i="27" s="1"/>
  <c r="Q6" i="27"/>
  <c r="V5" i="27"/>
  <c r="T5" i="27"/>
  <c r="Q5" i="27"/>
  <c r="T4" i="27"/>
  <c r="V4" i="27" s="1"/>
  <c r="Q4" i="27"/>
  <c r="T3" i="27"/>
  <c r="V3" i="27" s="1"/>
  <c r="Q3" i="27"/>
  <c r="T2" i="27"/>
  <c r="V2" i="27" s="1"/>
  <c r="Q2" i="27"/>
  <c r="T130" i="26" l="1"/>
  <c r="V130" i="26" s="1"/>
  <c r="Q130" i="26"/>
  <c r="T129" i="26"/>
  <c r="V129" i="26" s="1"/>
  <c r="Q129" i="26"/>
  <c r="T128" i="26"/>
  <c r="V128" i="26" s="1"/>
  <c r="Q128" i="26"/>
  <c r="T127" i="26"/>
  <c r="V127" i="26" s="1"/>
  <c r="Q127" i="26"/>
  <c r="T126" i="26"/>
  <c r="V126" i="26" s="1"/>
  <c r="Q126" i="26"/>
  <c r="V125" i="26"/>
  <c r="T125" i="26"/>
  <c r="Q125" i="26"/>
  <c r="V124" i="26"/>
  <c r="T124" i="26"/>
  <c r="Q124" i="26"/>
  <c r="T123" i="26"/>
  <c r="V123" i="26" s="1"/>
  <c r="Q123" i="26"/>
  <c r="T122" i="26"/>
  <c r="V122" i="26" s="1"/>
  <c r="Q122" i="26"/>
  <c r="T121" i="26"/>
  <c r="V121" i="26" s="1"/>
  <c r="Q121" i="26"/>
  <c r="T120" i="26"/>
  <c r="V120" i="26" s="1"/>
  <c r="Q120" i="26"/>
  <c r="T119" i="26"/>
  <c r="V119" i="26" s="1"/>
  <c r="Q119" i="26"/>
  <c r="T118" i="26"/>
  <c r="V118" i="26" s="1"/>
  <c r="Q118" i="26"/>
  <c r="V117" i="26"/>
  <c r="T117" i="26"/>
  <c r="Q117" i="26"/>
  <c r="V116" i="26"/>
  <c r="T116" i="26"/>
  <c r="Q116" i="26"/>
  <c r="T115" i="26"/>
  <c r="V115" i="26" s="1"/>
  <c r="Q115" i="26"/>
  <c r="T114" i="26"/>
  <c r="V114" i="26" s="1"/>
  <c r="Q114" i="26"/>
  <c r="T113" i="26"/>
  <c r="V113" i="26" s="1"/>
  <c r="Q113" i="26"/>
  <c r="T112" i="26"/>
  <c r="V112" i="26" s="1"/>
  <c r="Q112" i="26"/>
  <c r="T111" i="26"/>
  <c r="V111" i="26" s="1"/>
  <c r="Q111" i="26"/>
  <c r="T110" i="26"/>
  <c r="V110" i="26" s="1"/>
  <c r="Q110" i="26"/>
  <c r="V109" i="26"/>
  <c r="T109" i="26"/>
  <c r="Q109" i="26"/>
  <c r="V108" i="26"/>
  <c r="T108" i="26"/>
  <c r="Q108" i="26"/>
  <c r="T107" i="26"/>
  <c r="V107" i="26" s="1"/>
  <c r="Q107" i="26"/>
  <c r="T106" i="26"/>
  <c r="V106" i="26" s="1"/>
  <c r="Q106" i="26"/>
  <c r="T105" i="26"/>
  <c r="V105" i="26" s="1"/>
  <c r="Q105" i="26"/>
  <c r="T104" i="26"/>
  <c r="V104" i="26" s="1"/>
  <c r="Q104" i="26"/>
  <c r="T103" i="26"/>
  <c r="V103" i="26" s="1"/>
  <c r="Q103" i="26"/>
  <c r="T102" i="26"/>
  <c r="V102" i="26" s="1"/>
  <c r="Q102" i="26"/>
  <c r="V101" i="26"/>
  <c r="T101" i="26"/>
  <c r="Q101" i="26"/>
  <c r="V100" i="26"/>
  <c r="T100" i="26"/>
  <c r="Q100" i="26"/>
  <c r="T99" i="26"/>
  <c r="V99" i="26" s="1"/>
  <c r="Q99" i="26"/>
  <c r="T98" i="26"/>
  <c r="V98" i="26" s="1"/>
  <c r="Q98" i="26"/>
  <c r="T97" i="26"/>
  <c r="V97" i="26" s="1"/>
  <c r="Q97" i="26"/>
  <c r="T96" i="26"/>
  <c r="V96" i="26" s="1"/>
  <c r="Q96" i="26"/>
  <c r="T95" i="26"/>
  <c r="V95" i="26" s="1"/>
  <c r="Q95" i="26"/>
  <c r="T94" i="26"/>
  <c r="V94" i="26" s="1"/>
  <c r="Q94" i="26"/>
  <c r="V93" i="26"/>
  <c r="T93" i="26"/>
  <c r="Q93" i="26"/>
  <c r="V92" i="26"/>
  <c r="T92" i="26"/>
  <c r="Q92" i="26"/>
  <c r="T91" i="26"/>
  <c r="V91" i="26" s="1"/>
  <c r="Q91" i="26"/>
  <c r="T90" i="26"/>
  <c r="V90" i="26" s="1"/>
  <c r="Q90" i="26"/>
  <c r="T89" i="26"/>
  <c r="V89" i="26" s="1"/>
  <c r="Q89" i="26"/>
  <c r="T88" i="26"/>
  <c r="V88" i="26" s="1"/>
  <c r="Q88" i="26"/>
  <c r="T87" i="26"/>
  <c r="V87" i="26" s="1"/>
  <c r="Q87" i="26"/>
  <c r="T86" i="26"/>
  <c r="V86" i="26" s="1"/>
  <c r="Q86" i="26"/>
  <c r="V85" i="26"/>
  <c r="T85" i="26"/>
  <c r="Q85" i="26"/>
  <c r="V84" i="26"/>
  <c r="T84" i="26"/>
  <c r="Q84" i="26"/>
  <c r="T83" i="26"/>
  <c r="V83" i="26" s="1"/>
  <c r="Q83" i="26"/>
  <c r="T82" i="26"/>
  <c r="V82" i="26" s="1"/>
  <c r="Q82" i="26"/>
  <c r="T81" i="26"/>
  <c r="V81" i="26" s="1"/>
  <c r="Q81" i="26"/>
  <c r="T80" i="26"/>
  <c r="V80" i="26" s="1"/>
  <c r="Q80" i="26"/>
  <c r="T79" i="26"/>
  <c r="V79" i="26" s="1"/>
  <c r="Q79" i="26"/>
  <c r="T78" i="26"/>
  <c r="V78" i="26" s="1"/>
  <c r="Q78" i="26"/>
  <c r="V77" i="26"/>
  <c r="T77" i="26"/>
  <c r="Q77" i="26"/>
  <c r="V76" i="26"/>
  <c r="T76" i="26"/>
  <c r="Q76" i="26"/>
  <c r="T75" i="26"/>
  <c r="V75" i="26" s="1"/>
  <c r="Q75" i="26"/>
  <c r="T74" i="26"/>
  <c r="V74" i="26" s="1"/>
  <c r="Q74" i="26"/>
  <c r="T73" i="26"/>
  <c r="V73" i="26" s="1"/>
  <c r="Q73" i="26"/>
  <c r="T72" i="26"/>
  <c r="V72" i="26" s="1"/>
  <c r="Q72" i="26"/>
  <c r="T71" i="26"/>
  <c r="V71" i="26" s="1"/>
  <c r="Q71" i="26"/>
  <c r="T70" i="26"/>
  <c r="V70" i="26" s="1"/>
  <c r="Q70" i="26"/>
  <c r="V69" i="26"/>
  <c r="T69" i="26"/>
  <c r="Q69" i="26"/>
  <c r="V68" i="26"/>
  <c r="T68" i="26"/>
  <c r="Q68" i="26"/>
  <c r="T67" i="26"/>
  <c r="V67" i="26" s="1"/>
  <c r="Q67" i="26"/>
  <c r="T66" i="26"/>
  <c r="V66" i="26" s="1"/>
  <c r="Q66" i="26"/>
  <c r="T65" i="26"/>
  <c r="V65" i="26" s="1"/>
  <c r="Q65" i="26"/>
  <c r="T64" i="26"/>
  <c r="V64" i="26" s="1"/>
  <c r="Q64" i="26"/>
  <c r="T63" i="26"/>
  <c r="V63" i="26" s="1"/>
  <c r="Q63" i="26"/>
  <c r="T62" i="26"/>
  <c r="V62" i="26" s="1"/>
  <c r="Q62" i="26"/>
  <c r="V61" i="26"/>
  <c r="T61" i="26"/>
  <c r="Q61" i="26"/>
  <c r="V60" i="26"/>
  <c r="T60" i="26"/>
  <c r="Q60" i="26"/>
  <c r="T59" i="26"/>
  <c r="V59" i="26" s="1"/>
  <c r="Q59" i="26"/>
  <c r="T58" i="26"/>
  <c r="V58" i="26" s="1"/>
  <c r="Q58" i="26"/>
  <c r="T57" i="26"/>
  <c r="V57" i="26" s="1"/>
  <c r="Q57" i="26"/>
  <c r="T56" i="26"/>
  <c r="V56" i="26" s="1"/>
  <c r="Q56" i="26"/>
  <c r="T55" i="26"/>
  <c r="V55" i="26" s="1"/>
  <c r="Q55" i="26"/>
  <c r="T54" i="26"/>
  <c r="V54" i="26" s="1"/>
  <c r="Q54" i="26"/>
  <c r="V53" i="26"/>
  <c r="T53" i="26"/>
  <c r="Q53" i="26"/>
  <c r="V52" i="26"/>
  <c r="T52" i="26"/>
  <c r="Q52" i="26"/>
  <c r="T51" i="26"/>
  <c r="V51" i="26" s="1"/>
  <c r="Q51" i="26"/>
  <c r="T50" i="26"/>
  <c r="V50" i="26" s="1"/>
  <c r="Q50" i="26"/>
  <c r="T49" i="26"/>
  <c r="V49" i="26" s="1"/>
  <c r="Q49" i="26"/>
  <c r="T48" i="26"/>
  <c r="V48" i="26" s="1"/>
  <c r="Q48" i="26"/>
  <c r="T47" i="26"/>
  <c r="V47" i="26" s="1"/>
  <c r="Q47" i="26"/>
  <c r="T46" i="26"/>
  <c r="V46" i="26" s="1"/>
  <c r="Q46" i="26"/>
  <c r="V45" i="26"/>
  <c r="T45" i="26"/>
  <c r="Q45" i="26"/>
  <c r="V44" i="26"/>
  <c r="T44" i="26"/>
  <c r="Q44" i="26"/>
  <c r="T43" i="26"/>
  <c r="V43" i="26" s="1"/>
  <c r="Q43" i="26"/>
  <c r="T42" i="26"/>
  <c r="V42" i="26" s="1"/>
  <c r="Q42" i="26"/>
  <c r="T41" i="26"/>
  <c r="V41" i="26" s="1"/>
  <c r="Q41" i="26"/>
  <c r="T40" i="26"/>
  <c r="V40" i="26" s="1"/>
  <c r="Q40" i="26"/>
  <c r="T39" i="26"/>
  <c r="V39" i="26" s="1"/>
  <c r="Q39" i="26"/>
  <c r="T38" i="26"/>
  <c r="V38" i="26" s="1"/>
  <c r="Q38" i="26"/>
  <c r="V37" i="26"/>
  <c r="T37" i="26"/>
  <c r="Q37" i="26"/>
  <c r="V36" i="26"/>
  <c r="T36" i="26"/>
  <c r="Q36" i="26"/>
  <c r="T35" i="26"/>
  <c r="V35" i="26" s="1"/>
  <c r="Q35" i="26"/>
  <c r="T34" i="26"/>
  <c r="V34" i="26" s="1"/>
  <c r="Q34" i="26"/>
  <c r="T33" i="26"/>
  <c r="V33" i="26" s="1"/>
  <c r="Q33" i="26"/>
  <c r="T32" i="26"/>
  <c r="V32" i="26" s="1"/>
  <c r="Q32" i="26"/>
  <c r="T31" i="26"/>
  <c r="V31" i="26" s="1"/>
  <c r="Q31" i="26"/>
  <c r="T30" i="26"/>
  <c r="V30" i="26" s="1"/>
  <c r="Q30" i="26"/>
  <c r="V29" i="26"/>
  <c r="T29" i="26"/>
  <c r="Q29" i="26"/>
  <c r="V28" i="26"/>
  <c r="T28" i="26"/>
  <c r="Q28" i="26"/>
  <c r="T27" i="26"/>
  <c r="V27" i="26" s="1"/>
  <c r="Q27" i="26"/>
  <c r="T26" i="26"/>
  <c r="V26" i="26" s="1"/>
  <c r="Q26" i="26"/>
  <c r="T25" i="26"/>
  <c r="V25" i="26" s="1"/>
  <c r="Q25" i="26"/>
  <c r="T24" i="26"/>
  <c r="V24" i="26" s="1"/>
  <c r="Q24" i="26"/>
  <c r="T23" i="26"/>
  <c r="V23" i="26" s="1"/>
  <c r="Q23" i="26"/>
  <c r="T22" i="26"/>
  <c r="V22" i="26" s="1"/>
  <c r="Q22" i="26"/>
  <c r="V21" i="26"/>
  <c r="T21" i="26"/>
  <c r="Q21" i="26"/>
  <c r="V20" i="26"/>
  <c r="T20" i="26"/>
  <c r="Q20" i="26"/>
  <c r="T19" i="26"/>
  <c r="V19" i="26" s="1"/>
  <c r="Q19" i="26"/>
  <c r="T18" i="26"/>
  <c r="V18" i="26" s="1"/>
  <c r="Q18" i="26"/>
  <c r="T17" i="26"/>
  <c r="V17" i="26" s="1"/>
  <c r="Q17" i="26"/>
  <c r="T16" i="26"/>
  <c r="V16" i="26" s="1"/>
  <c r="Q16" i="26"/>
  <c r="T15" i="26"/>
  <c r="V15" i="26" s="1"/>
  <c r="Q15" i="26"/>
  <c r="T14" i="26"/>
  <c r="V14" i="26" s="1"/>
  <c r="Q14" i="26"/>
  <c r="V13" i="26"/>
  <c r="T13" i="26"/>
  <c r="Q13" i="26"/>
  <c r="V12" i="26"/>
  <c r="T12" i="26"/>
  <c r="Q12" i="26"/>
  <c r="T11" i="26"/>
  <c r="V11" i="26" s="1"/>
  <c r="Q11" i="26"/>
  <c r="T10" i="26"/>
  <c r="V10" i="26" s="1"/>
  <c r="Q10" i="26"/>
  <c r="T9" i="26"/>
  <c r="V9" i="26" s="1"/>
  <c r="Q9" i="26"/>
  <c r="T8" i="26"/>
  <c r="V8" i="26" s="1"/>
  <c r="Q8" i="26"/>
  <c r="T7" i="26"/>
  <c r="V7" i="26" s="1"/>
  <c r="Q7" i="26"/>
  <c r="T6" i="26"/>
  <c r="V6" i="26" s="1"/>
  <c r="Q6" i="26"/>
  <c r="V5" i="26"/>
  <c r="T5" i="26"/>
  <c r="Q5" i="26"/>
  <c r="V4" i="26"/>
  <c r="T4" i="26"/>
  <c r="Q4" i="26"/>
  <c r="T3" i="26"/>
  <c r="V3" i="26" s="1"/>
  <c r="Q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<sst xmlns="http://schemas.openxmlformats.org/spreadsheetml/2006/main" count="10597" uniqueCount="534">
  <si>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</si>
  <si>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</si>
  <si>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</si>
  <si>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</si>
  <si>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</si>
  <si>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</si>
  <si>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</si>
  <si>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</si>
  <si>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</si>
  <si>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</si>
  <si>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</si>
  <si>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</si>
  <si>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</si>
  <si>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</si>
  <si>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</si>
  <si>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</si>
  <si>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</si>
  <si>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</si>
  <si>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</si>
  <si>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</si>
  <si>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</si>
  <si>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</si>
  <si>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</si>
  <si>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</si>
  <si>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</si>
  <si>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</si>
  <si>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</si>
  <si>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</si>
  <si>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</si>
  <si>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</si>
  <si>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</si>
  <si>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</si>
  <si>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</si>
  <si>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</si>
  <si>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</si>
  <si>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</si>
  <si>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</si>
  <si>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</si>
  <si>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</si>
  <si>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</si>
  <si>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</si>
  <si>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</si>
  <si>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</si>
  <si>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</si>
  <si>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</si>
  <si>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</si>
  <si>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</si>
  <si>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</si>
  <si>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</si>
  <si>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</si>
  <si>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</si>
  <si>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</si>
  <si>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</si>
  <si>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</si>
  <si>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</si>
  <si>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</si>
  <si>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</si>
  <si>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</si>
  <si>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</si>
  <si>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</si>
  <si>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</si>
  <si>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</si>
  <si>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</si>
  <si>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</si>
  <si>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</si>
  <si>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</si>
  <si>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</si>
  <si>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</si>
  <si>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</si>
  <si>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</si>
  <si>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</si>
  <si>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</si>
  <si>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</si>
  <si>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</si>
  <si>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</si>
  <si>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</si>
  <si>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</si>
  <si>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</si>
  <si>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</si>
  <si>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</si>
  <si>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</si>
  <si>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</si>
  <si>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</si>
  <si>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</si>
  <si>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</si>
  <si>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</si>
  <si>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</si>
  <si>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</si>
  <si>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</si>
  <si>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</si>
  <si>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</si>
  <si>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</si>
  <si>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</si>
  <si>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</si>
  <si>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</si>
  <si>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</si>
  <si>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</si>
  <si>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</si>
  <si>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</si>
  <si>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</si>
  <si>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</si>
  <si>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</si>
  <si>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</si>
  <si>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</si>
  <si>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</si>
  <si>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</si>
  <si>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</si>
  <si>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</si>
  <si>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</si>
  <si>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</si>
  <si>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</si>
  <si>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</si>
  <si>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</si>
  <si>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</si>
  <si>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</si>
  <si>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</si>
  <si>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</si>
  <si>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</si>
  <si>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</si>
  <si>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</si>
  <si>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</si>
  <si>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</si>
  <si>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</si>
  <si>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</si>
  <si>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</si>
  <si>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</si>
  <si>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</si>
  <si>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</si>
  <si>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</si>
  <si>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</si>
  <si>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</si>
  <si>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</si>
  <si>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</si>
  <si>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</si>
  <si>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</si>
  <si>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</si>
  <si>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</si>
  <si>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</si>
  <si>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</si>
  <si>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</si>
  <si>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</si>
  <si>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</si>
  <si>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</si>
  <si>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</si>
  <si>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</si>
  <si>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</si>
  <si>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</si>
  <si>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</si>
  <si>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</si>
  <si>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</si>
  <si>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</si>
  <si>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</si>
  <si>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</si>
  <si>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</si>
  <si>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</si>
  <si>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</si>
  <si>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</si>
  <si>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GA</t>
  </si>
  <si>
    <t>佐賀</t>
    <rPh sb="0" eb="2">
      <t>サガ</t>
    </rPh>
    <phoneticPr fontId="3"/>
  </si>
  <si>
    <t>西友</t>
  </si>
  <si>
    <t>日進岩藤店</t>
    <rPh sb="0" eb="2">
      <t>ニッシン</t>
    </rPh>
    <phoneticPr fontId="4"/>
  </si>
  <si>
    <t>日進店</t>
    <rPh sb="0" eb="2">
      <t>ニッシン</t>
    </rPh>
    <rPh sb="2" eb="3">
      <t>ミセ</t>
    </rPh>
    <phoneticPr fontId="4"/>
  </si>
  <si>
    <t>その他レッド</t>
    <rPh sb="2" eb="3">
      <t>タ</t>
    </rPh>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</si>
  <si>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</si>
  <si>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</si>
  <si>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</si>
  <si>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</si>
  <si>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</si>
  <si>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</si>
  <si>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</si>
  <si>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</si>
  <si>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</si>
  <si>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</si>
  <si>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</si>
  <si>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</si>
  <si>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</si>
  <si>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</si>
  <si>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</si>
  <si>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</si>
  <si>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</si>
  <si>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</si>
  <si>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</si>
  <si>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</si>
  <si>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</si>
  <si>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</si>
  <si>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</si>
  <si>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</si>
  <si>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</si>
  <si>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</si>
  <si>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</si>
  <si>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</si>
  <si>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</si>
  <si>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</si>
  <si>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</si>
  <si>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</si>
  <si>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</si>
  <si>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</si>
  <si>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</si>
  <si>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</si>
  <si>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</si>
  <si>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</si>
  <si>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</si>
  <si>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</si>
  <si>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</si>
  <si>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</si>
  <si>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</si>
  <si>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</si>
  <si>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</si>
  <si>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</si>
  <si>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</si>
  <si>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</si>
  <si>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</si>
  <si>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</si>
  <si>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</si>
  <si>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</si>
  <si>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</si>
  <si>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</si>
  <si>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</si>
  <si>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</si>
  <si>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</si>
  <si>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</si>
  <si>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キラキラ</t>
  </si>
  <si>
    <t>グリーンアイ</t>
  </si>
  <si>
    <t>ＪＡ大阪</t>
  </si>
  <si>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</si>
  <si>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</si>
  <si>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</si>
  <si>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</si>
  <si>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</si>
  <si>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</si>
  <si>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</si>
  <si>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</si>
  <si>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</si>
  <si>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</si>
  <si>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</si>
  <si>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</si>
  <si>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</si>
  <si>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</si>
  <si>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</si>
  <si>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</si>
  <si>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</si>
  <si>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</si>
  <si>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</si>
  <si>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</si>
  <si>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</si>
  <si>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</si>
  <si>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</si>
  <si>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</si>
  <si>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</si>
  <si>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</si>
  <si>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</si>
  <si>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</si>
  <si>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</si>
  <si>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</si>
  <si>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</si>
  <si>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</si>
  <si>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</si>
  <si>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</si>
  <si>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</si>
  <si>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</si>
  <si>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</si>
  <si>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</si>
  <si>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</si>
  <si>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</si>
  <si>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</si>
  <si>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</si>
  <si>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</si>
  <si>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</si>
  <si>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</si>
  <si>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</si>
  <si>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</si>
  <si>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</si>
  <si>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</si>
  <si>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</si>
  <si>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</si>
  <si>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</si>
  <si>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</si>
  <si>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</si>
  <si>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</si>
  <si>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</si>
  <si>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</si>
  <si>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</si>
  <si>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</si>
  <si>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</si>
  <si>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</si>
  <si>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</si>
  <si>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</si>
  <si>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</si>
  <si>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</si>
  <si>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</si>
  <si>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</si>
  <si>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</si>
  <si>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</si>
  <si>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</si>
  <si>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</si>
  <si>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</si>
  <si>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</si>
  <si>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</si>
  <si>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</si>
  <si>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</si>
  <si>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</si>
  <si>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</si>
  <si>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</si>
  <si>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</si>
  <si>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</si>
  <si>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</si>
  <si>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</si>
  <si>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</si>
  <si>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</si>
  <si>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</si>
  <si>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</si>
  <si>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</si>
  <si>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</si>
  <si>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</si>
  <si>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</si>
  <si>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</si>
  <si>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</si>
  <si>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</si>
  <si>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</si>
  <si>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マックスバリュ</t>
    <phoneticPr fontId="3"/>
  </si>
  <si>
    <t>北40条店</t>
    <rPh sb="4" eb="5">
      <t>テン</t>
    </rPh>
    <phoneticPr fontId="3"/>
  </si>
  <si>
    <t>17.10.2018</t>
  </si>
  <si>
    <t>17.10.2018</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</si>
  <si>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</si>
  <si>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</si>
  <si>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</si>
  <si>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</si>
  <si>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</si>
  <si>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</si>
  <si>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</si>
  <si>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</si>
  <si>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</si>
  <si>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</si>
  <si>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</si>
  <si>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15.10.2018</t>
    <phoneticPr fontId="3"/>
  </si>
  <si>
    <t>ﾆｭｰｼﾞｰﾗﾝﾄﾞ</t>
    <phoneticPr fontId="4"/>
  </si>
  <si>
    <t>D'lish</t>
    <phoneticPr fontId="4"/>
  </si>
  <si>
    <t>中国</t>
    <phoneticPr fontId="4"/>
  </si>
  <si>
    <t>15.10.2018</t>
  </si>
  <si>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</si>
  <si>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</si>
  <si>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</si>
  <si>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</si>
  <si>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</si>
  <si>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</si>
  <si>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</si>
  <si>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</si>
  <si>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</si>
  <si>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</si>
  <si>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JP</t>
    <phoneticPr fontId="3"/>
  </si>
  <si>
    <t>18.10.2018</t>
    <phoneticPr fontId="3"/>
  </si>
  <si>
    <t>アオキスーパー</t>
  </si>
  <si>
    <t>アオキスーパー</t>
    <phoneticPr fontId="4"/>
  </si>
  <si>
    <t>ピアゴ</t>
    <phoneticPr fontId="4"/>
  </si>
  <si>
    <t>長久手南店</t>
    <phoneticPr fontId="4"/>
  </si>
  <si>
    <t>カネスエ</t>
    <phoneticPr fontId="4"/>
  </si>
  <si>
    <t>長久手店</t>
    <phoneticPr fontId="4"/>
  </si>
  <si>
    <t>HW</t>
    <phoneticPr fontId="4"/>
  </si>
  <si>
    <t>CK</t>
    <phoneticPr fontId="4"/>
  </si>
  <si>
    <t>Del Monte</t>
    <phoneticPr fontId="4"/>
  </si>
  <si>
    <t>アピタ</t>
    <phoneticPr fontId="4"/>
  </si>
  <si>
    <t>GK</t>
    <phoneticPr fontId="4"/>
  </si>
  <si>
    <t>OB</t>
    <phoneticPr fontId="4"/>
  </si>
  <si>
    <t>マックスバリュ</t>
    <phoneticPr fontId="4"/>
  </si>
  <si>
    <t>HE</t>
    <phoneticPr fontId="4"/>
  </si>
  <si>
    <t>JP</t>
    <phoneticPr fontId="3"/>
  </si>
  <si>
    <t>18.10.2018</t>
    <phoneticPr fontId="3"/>
  </si>
  <si>
    <t>カネトク</t>
    <phoneticPr fontId="4"/>
  </si>
  <si>
    <t>JP</t>
    <phoneticPr fontId="3"/>
  </si>
  <si>
    <t>18.10.2018</t>
    <phoneticPr fontId="3"/>
  </si>
  <si>
    <t>マックスバリュ</t>
    <phoneticPr fontId="4"/>
  </si>
  <si>
    <t>長久手店</t>
    <phoneticPr fontId="4"/>
  </si>
  <si>
    <t>アピタ</t>
    <phoneticPr fontId="4"/>
  </si>
  <si>
    <t>JP</t>
    <phoneticPr fontId="3"/>
  </si>
  <si>
    <t>18.10.2018</t>
    <phoneticPr fontId="3"/>
  </si>
  <si>
    <t>アオキスーパー</t>
    <phoneticPr fontId="4"/>
  </si>
  <si>
    <t>長久手店</t>
    <phoneticPr fontId="4"/>
  </si>
  <si>
    <t>JP</t>
    <phoneticPr fontId="3"/>
  </si>
  <si>
    <t>18.10.2018</t>
    <phoneticPr fontId="3"/>
  </si>
  <si>
    <t>JP</t>
    <phoneticPr fontId="3"/>
  </si>
  <si>
    <t>18.10.2018</t>
    <phoneticPr fontId="3"/>
  </si>
  <si>
    <t>ピアゴ</t>
  </si>
  <si>
    <t>長久手南店</t>
  </si>
  <si>
    <t>JP</t>
    <phoneticPr fontId="3"/>
  </si>
  <si>
    <t>18.10.2018</t>
    <phoneticPr fontId="3"/>
  </si>
  <si>
    <t>カネスエ</t>
  </si>
  <si>
    <t>長久手店</t>
  </si>
  <si>
    <t>ラフランス</t>
    <phoneticPr fontId="4"/>
  </si>
  <si>
    <t>キラキラ</t>
    <phoneticPr fontId="4"/>
  </si>
  <si>
    <t>グリーンアイ</t>
    <phoneticPr fontId="4"/>
  </si>
  <si>
    <t>カネトク</t>
  </si>
  <si>
    <t>アピタ</t>
  </si>
  <si>
    <t>19.10.2018</t>
  </si>
  <si>
    <t>津久野店</t>
  </si>
  <si>
    <t>県名</t>
    <phoneticPr fontId="3"/>
  </si>
  <si>
    <t>チェーン名</t>
    <phoneticPr fontId="3"/>
  </si>
  <si>
    <t>品種</t>
    <phoneticPr fontId="3"/>
  </si>
  <si>
    <t>JPY</t>
    <phoneticPr fontId="3"/>
  </si>
  <si>
    <t>ﾆｭｰｼﾞｰﾗﾝﾄﾞ</t>
    <phoneticPr fontId="4"/>
  </si>
  <si>
    <t>JP</t>
    <phoneticPr fontId="3"/>
  </si>
  <si>
    <t>15.10.2018</t>
    <phoneticPr fontId="3"/>
  </si>
  <si>
    <t>D'lish</t>
    <phoneticPr fontId="4"/>
  </si>
  <si>
    <t>中国</t>
    <phoneticPr fontId="4"/>
  </si>
  <si>
    <t>HW</t>
    <phoneticPr fontId="4"/>
  </si>
  <si>
    <t>CK</t>
    <phoneticPr fontId="4"/>
  </si>
  <si>
    <t>Del Monte</t>
    <phoneticPr fontId="3"/>
  </si>
  <si>
    <t>GK</t>
    <phoneticPr fontId="4"/>
  </si>
  <si>
    <t>OB</t>
    <phoneticPr fontId="4"/>
  </si>
  <si>
    <t>HE</t>
    <phoneticPr fontId="4"/>
  </si>
  <si>
    <t>15.10.2018</t>
    <phoneticPr fontId="3"/>
  </si>
  <si>
    <t>JPY</t>
    <phoneticPr fontId="3"/>
  </si>
  <si>
    <t>15.10.2018</t>
    <phoneticPr fontId="3"/>
  </si>
  <si>
    <t>JPY</t>
    <phoneticPr fontId="3"/>
  </si>
  <si>
    <t>バナナ</t>
    <phoneticPr fontId="4"/>
  </si>
  <si>
    <t>15.10.2018</t>
    <phoneticPr fontId="3"/>
  </si>
  <si>
    <t>JPY</t>
    <phoneticPr fontId="3"/>
  </si>
  <si>
    <t>パパイヤ</t>
    <phoneticPr fontId="4"/>
  </si>
  <si>
    <t>15.10.2018</t>
    <phoneticPr fontId="3"/>
  </si>
  <si>
    <t>JPY</t>
    <phoneticPr fontId="3"/>
  </si>
  <si>
    <t>びわ</t>
    <phoneticPr fontId="4"/>
  </si>
  <si>
    <t>15.10.2018</t>
    <phoneticPr fontId="3"/>
  </si>
  <si>
    <t>JPY</t>
    <phoneticPr fontId="3"/>
  </si>
  <si>
    <t>メロン</t>
    <phoneticPr fontId="4"/>
  </si>
  <si>
    <t>桃</t>
    <phoneticPr fontId="4"/>
  </si>
  <si>
    <t>15.10.2018</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</si>
  <si>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</si>
  <si>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</si>
  <si>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</si>
  <si>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</si>
  <si>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</si>
  <si>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</si>
  <si>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</si>
  <si>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シーズン</t>
    <phoneticPr fontId="4"/>
  </si>
  <si>
    <t>検体
番号</t>
    <phoneticPr fontId="4"/>
  </si>
  <si>
    <t>販売
ユニット
個数</t>
    <phoneticPr fontId="4"/>
  </si>
  <si>
    <t>硬度
１</t>
    <phoneticPr fontId="4"/>
  </si>
  <si>
    <t>硬度
２</t>
    <phoneticPr fontId="4"/>
  </si>
  <si>
    <t>糖度</t>
    <phoneticPr fontId="4"/>
  </si>
  <si>
    <t>Weight</t>
    <phoneticPr fontId="4"/>
  </si>
  <si>
    <t>U/P JPY</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</si>
  <si>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</si>
  <si>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</si>
  <si>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</si>
  <si>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</si>
  <si>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</si>
  <si>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</si>
  <si>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17.10.2018</t>
    <phoneticPr fontId="3"/>
  </si>
  <si>
    <t>マルショク</t>
    <phoneticPr fontId="3"/>
  </si>
  <si>
    <t>JPY</t>
    <phoneticPr fontId="4"/>
  </si>
  <si>
    <t>一般栽培</t>
    <phoneticPr fontId="4"/>
  </si>
  <si>
    <t>ﾆｭｰｼﾞｰﾗﾝﾄﾞ</t>
    <phoneticPr fontId="4"/>
  </si>
  <si>
    <t>JP</t>
    <phoneticPr fontId="3"/>
  </si>
  <si>
    <t>17.10.2018</t>
    <phoneticPr fontId="3"/>
  </si>
  <si>
    <t>マルショク</t>
    <phoneticPr fontId="3"/>
  </si>
  <si>
    <t>バナナ</t>
    <phoneticPr fontId="3"/>
  </si>
  <si>
    <t>JP</t>
    <phoneticPr fontId="3"/>
  </si>
  <si>
    <t>17.10.2018</t>
    <phoneticPr fontId="3"/>
  </si>
  <si>
    <t>マルショク</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</si>
  <si>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</si>
  <si>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</si>
  <si>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</si>
  <si>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</si>
  <si>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</si>
  <si>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</si>
  <si>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</si>
  <si>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</si>
  <si>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</si>
  <si>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17.10.2018</t>
    <phoneticPr fontId="3"/>
  </si>
  <si>
    <t>マルショク</t>
    <phoneticPr fontId="3"/>
  </si>
  <si>
    <t>HW</t>
    <phoneticPr fontId="3"/>
  </si>
  <si>
    <t>HE</t>
    <phoneticPr fontId="4"/>
  </si>
  <si>
    <t>JP</t>
    <phoneticPr fontId="3"/>
  </si>
  <si>
    <t>17.10.2018</t>
    <phoneticPr fontId="3"/>
  </si>
  <si>
    <t>マルショク</t>
    <phoneticPr fontId="3"/>
  </si>
  <si>
    <t>GA</t>
    <phoneticPr fontId="4"/>
  </si>
  <si>
    <t>17.10.2018</t>
    <phoneticPr fontId="3"/>
  </si>
  <si>
    <t>マルショク</t>
    <phoneticPr fontId="3"/>
  </si>
  <si>
    <t>オレンジ</t>
    <phoneticPr fontId="3"/>
  </si>
  <si>
    <t>JP</t>
    <phoneticPr fontId="3"/>
  </si>
  <si>
    <t>17.10.2018</t>
    <phoneticPr fontId="3"/>
  </si>
  <si>
    <t>17.10.2018</t>
    <phoneticPr fontId="3"/>
  </si>
  <si>
    <t>17.10.2018</t>
    <phoneticPr fontId="3"/>
  </si>
  <si>
    <t>17.10.2018</t>
    <phoneticPr fontId="3"/>
  </si>
  <si>
    <t>HW</t>
    <phoneticPr fontId="3"/>
  </si>
  <si>
    <t>いちじく</t>
    <phoneticPr fontId="4"/>
  </si>
  <si>
    <t>ラフランス</t>
    <phoneticPr fontId="3"/>
  </si>
  <si>
    <t>キラキラ</t>
    <phoneticPr fontId="4"/>
  </si>
  <si>
    <t>プラム</t>
    <phoneticPr fontId="3"/>
  </si>
  <si>
    <t>グリーンアイ</t>
    <phoneticPr fontId="4"/>
  </si>
  <si>
    <t>ぽんかん</t>
    <phoneticPr fontId="3"/>
  </si>
  <si>
    <t>HW</t>
    <phoneticPr fontId="3"/>
  </si>
  <si>
    <t>アメリカンチェリー</t>
    <phoneticPr fontId="3"/>
  </si>
  <si>
    <t>HW</t>
    <phoneticPr fontId="3"/>
  </si>
  <si>
    <t>サミット</t>
  </si>
  <si>
    <t>JPY</t>
    <phoneticPr fontId="3"/>
  </si>
  <si>
    <t>JPY</t>
    <phoneticPr fontId="3"/>
  </si>
  <si>
    <t>カドヤ</t>
    <phoneticPr fontId="4"/>
  </si>
  <si>
    <t>18.10.2018</t>
  </si>
  <si>
    <t>イオン</t>
    <phoneticPr fontId="4"/>
  </si>
  <si>
    <t>ライフ</t>
    <phoneticPr fontId="4"/>
  </si>
  <si>
    <t>Del Monte</t>
    <phoneticPr fontId="3"/>
  </si>
  <si>
    <t>マルエツ</t>
    <phoneticPr fontId="4"/>
  </si>
  <si>
    <t>HE</t>
    <phoneticPr fontId="4"/>
  </si>
  <si>
    <t>サミット</t>
    <phoneticPr fontId="4"/>
  </si>
  <si>
    <t>イトーヨーカドー</t>
    <phoneticPr fontId="4"/>
  </si>
  <si>
    <t>サミット</t>
    <phoneticPr fontId="4"/>
  </si>
  <si>
    <t>大森西店</t>
    <phoneticPr fontId="4"/>
  </si>
  <si>
    <t>大森西店</t>
  </si>
  <si>
    <t>カドヤ</t>
  </si>
  <si>
    <t>シーズン</t>
    <phoneticPr fontId="4"/>
  </si>
  <si>
    <t>検体
番号</t>
    <phoneticPr fontId="4"/>
  </si>
  <si>
    <t>硬度
１</t>
    <phoneticPr fontId="4"/>
  </si>
  <si>
    <t>硬度
２</t>
    <phoneticPr fontId="4"/>
  </si>
  <si>
    <t>糖度</t>
    <phoneticPr fontId="4"/>
  </si>
  <si>
    <t>Weight</t>
    <phoneticPr fontId="4"/>
  </si>
  <si>
    <t>U/P JPY</t>
    <phoneticPr fontId="4"/>
  </si>
  <si>
    <t>２番人気
果実</t>
    <phoneticPr fontId="3"/>
  </si>
  <si>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</si>
  <si>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</si>
  <si>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</si>
  <si>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</si>
  <si>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</si>
  <si>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15.10.2018</t>
    <phoneticPr fontId="3"/>
  </si>
  <si>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</si>
  <si>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</si>
  <si>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</si>
  <si>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</si>
  <si>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</si>
  <si>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</si>
  <si>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</si>
  <si>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</si>
  <si>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</si>
  <si>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JPY</t>
    <phoneticPr fontId="3"/>
  </si>
  <si>
    <t>JPY</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</si>
</sst>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7">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theme="0" tint="-0.14990691854609822"/>
      </top>
      <bottom/>
      <diagonal/>
    </border>
    <border>
      <left style="thin">
        <color theme="0" tint="-0.14993743705557422"/>
      </left>
      <right style="thin">
        <color theme="0" tint="-0.14993743705557422"/>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62">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0" fontId="10" fillId="0" borderId="0" xfId="1" applyFont="1" applyBorder="1"/>
    <xf numFmtId="0" fontId="1" fillId="0" borderId="0" xfId="1" applyFont="1" applyFill="1" applyBorder="1"/>
    <xf numFmtId="0" fontId="14" fillId="0" borderId="0" xfId="1" applyFont="1" applyFill="1"/>
    <xf numFmtId="178" fontId="1" fillId="3" borderId="0" xfId="1" applyNumberFormat="1" applyFont="1" applyFill="1"/>
    <xf numFmtId="14" fontId="0" fillId="4" borderId="45" xfId="1" applyNumberFormat="1" applyFont="1" applyFill="1" applyBorder="1"/>
    <xf numFmtId="14" fontId="0" fillId="4" borderId="46" xfId="1" applyNumberFormat="1" applyFont="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miyagi_4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4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4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4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4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467;&#12500;&#12540;Zespri%20Shopsurvey_ota_4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kato_4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AB6" sqref="AB6"/>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314</v>
      </c>
      <c r="B2" s="15" t="s">
        <v>316</v>
      </c>
      <c r="C2" s="15">
        <v>2018</v>
      </c>
      <c r="D2" s="50" t="s">
        <v>322</v>
      </c>
      <c r="E2" s="15" t="s">
        <v>141</v>
      </c>
      <c r="F2" s="15" t="s">
        <v>149</v>
      </c>
      <c r="G2" s="15" t="s">
        <v>36</v>
      </c>
      <c r="H2" s="15" t="s">
        <v>155</v>
      </c>
      <c r="I2" s="15" t="s">
        <v>153</v>
      </c>
      <c r="J2" s="15" t="s">
        <v>38</v>
      </c>
      <c r="K2" s="7" t="s">
        <v>154</v>
      </c>
      <c r="L2" s="7">
        <v>1</v>
      </c>
      <c r="N2" s="47">
        <v>1</v>
      </c>
      <c r="O2" s="15">
        <v>0.6</v>
      </c>
      <c r="P2" s="15">
        <v>0.5</v>
      </c>
      <c r="Q2" s="51">
        <f t="shared" ref="Q2:Q65" si="0">IF(OR(O2="",P2=""),"",AVERAGE(O2,P2))</f>
        <v>0.55000000000000004</v>
      </c>
      <c r="R2" s="15">
        <v>14.4</v>
      </c>
      <c r="S2" s="15">
        <v>100</v>
      </c>
      <c r="T2" s="38">
        <f t="shared" ref="T2:T59" si="1">IF(H2="","",IF(OR(H2="GREEN",H2="GK"),IF(S2&gt;=$AX$2,VLOOKUP(S2,$AX$2:$AY$12,2,1),""),IF(S2&gt;=$AZ$2,VLOOKUP(S2,$AZ$2:$BA$12,2,1),"")))</f>
        <v>33</v>
      </c>
      <c r="U2" s="15">
        <v>51</v>
      </c>
      <c r="V2" s="38">
        <f t="shared" ref="V2:V65" si="2">IF(OR(N2="",U2="",T2=""),"",U2/N2*T2)</f>
        <v>1683</v>
      </c>
      <c r="W2" s="15">
        <v>4</v>
      </c>
      <c r="X2" s="15" t="s">
        <v>39</v>
      </c>
      <c r="Y2" s="15" t="s">
        <v>50</v>
      </c>
      <c r="Z2" s="15" t="s">
        <v>84</v>
      </c>
      <c r="AA2" s="15" t="s">
        <v>90</v>
      </c>
      <c r="AB2" s="39" t="s">
        <v>318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314</v>
      </c>
      <c r="B3" s="15" t="s">
        <v>315</v>
      </c>
      <c r="C3" s="15">
        <v>2018</v>
      </c>
      <c r="D3" s="37" t="s">
        <v>321</v>
      </c>
      <c r="E3" s="15" t="s">
        <v>141</v>
      </c>
      <c r="F3" s="7" t="s">
        <v>149</v>
      </c>
      <c r="G3" s="7" t="s">
        <v>36</v>
      </c>
      <c r="H3" s="15" t="s">
        <v>155</v>
      </c>
      <c r="I3" s="7" t="s">
        <v>153</v>
      </c>
      <c r="J3" s="15" t="s">
        <v>38</v>
      </c>
      <c r="K3" s="7" t="s">
        <v>154</v>
      </c>
      <c r="L3" s="7">
        <v>2</v>
      </c>
      <c r="N3" s="7">
        <v>1</v>
      </c>
      <c r="O3" s="34">
        <v>0.85</v>
      </c>
      <c r="P3" s="7">
        <v>0.85</v>
      </c>
      <c r="Q3" s="52">
        <f t="shared" si="0"/>
        <v>0.85</v>
      </c>
      <c r="R3" s="7">
        <v>14</v>
      </c>
      <c r="S3" s="7">
        <v>103</v>
      </c>
      <c r="T3" s="16">
        <f t="shared" si="1"/>
        <v>33</v>
      </c>
      <c r="U3" s="15">
        <v>51</v>
      </c>
      <c r="V3" s="16">
        <f t="shared" si="2"/>
        <v>1683</v>
      </c>
      <c r="W3" s="15">
        <v>4</v>
      </c>
      <c r="X3" s="15" t="s">
        <v>39</v>
      </c>
      <c r="Y3" s="216" t="s">
        <v>50</v>
      </c>
      <c r="Z3" s="216" t="s">
        <v>84</v>
      </c>
      <c r="AA3" s="216" t="s">
        <v>90</v>
      </c>
      <c r="AB3" s="39" t="s">
        <v>317</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314</v>
      </c>
      <c r="B4" s="15" t="s">
        <v>315</v>
      </c>
      <c r="C4" s="15">
        <v>2018</v>
      </c>
      <c r="D4" s="37" t="s">
        <v>321</v>
      </c>
      <c r="E4" s="15" t="s">
        <v>141</v>
      </c>
      <c r="F4" s="7" t="s">
        <v>149</v>
      </c>
      <c r="G4" s="7" t="s">
        <v>36</v>
      </c>
      <c r="H4" s="15" t="s">
        <v>155</v>
      </c>
      <c r="I4" s="208" t="s">
        <v>153</v>
      </c>
      <c r="J4" s="15" t="s">
        <v>38</v>
      </c>
      <c r="K4" s="7" t="s">
        <v>154</v>
      </c>
      <c r="L4" s="7">
        <v>3</v>
      </c>
      <c r="N4" s="7">
        <v>1</v>
      </c>
      <c r="O4" s="7">
        <v>0.65</v>
      </c>
      <c r="P4" s="7">
        <v>0.7</v>
      </c>
      <c r="Q4" s="52">
        <f t="shared" si="0"/>
        <v>0.67500000000000004</v>
      </c>
      <c r="R4" s="7">
        <v>13.4</v>
      </c>
      <c r="S4" s="7">
        <v>95</v>
      </c>
      <c r="T4" s="16">
        <f t="shared" si="1"/>
        <v>36</v>
      </c>
      <c r="U4" s="15">
        <v>51</v>
      </c>
      <c r="V4" s="16">
        <f t="shared" si="2"/>
        <v>1836</v>
      </c>
      <c r="W4" s="15">
        <v>4</v>
      </c>
      <c r="X4" s="216" t="s">
        <v>39</v>
      </c>
      <c r="Y4" s="216" t="s">
        <v>50</v>
      </c>
      <c r="Z4" s="216" t="s">
        <v>84</v>
      </c>
      <c r="AA4" s="216" t="s">
        <v>90</v>
      </c>
      <c r="AB4" s="39" t="s">
        <v>317</v>
      </c>
      <c r="AE4" s="22" t="s">
        <v>34</v>
      </c>
      <c r="AG4" s="49" t="s">
        <v>319</v>
      </c>
      <c r="AH4" s="49" t="s">
        <v>320</v>
      </c>
      <c r="AJ4" s="27" t="s">
        <v>48</v>
      </c>
      <c r="AL4" s="27" t="s">
        <v>129</v>
      </c>
      <c r="AN4" s="28" t="s">
        <v>49</v>
      </c>
      <c r="AP4" s="23" t="s">
        <v>93</v>
      </c>
      <c r="AR4" s="41" t="s">
        <v>121</v>
      </c>
      <c r="AT4" s="28"/>
      <c r="AV4" s="23" t="s">
        <v>50</v>
      </c>
      <c r="AX4" s="24">
        <v>75</v>
      </c>
      <c r="AY4" s="25">
        <v>42</v>
      </c>
      <c r="AZ4" s="25">
        <v>76</v>
      </c>
      <c r="BA4" s="26">
        <v>39</v>
      </c>
    </row>
    <row r="5" spans="1:53" x14ac:dyDescent="0.15">
      <c r="A5" s="15" t="s">
        <v>314</v>
      </c>
      <c r="B5" s="15" t="s">
        <v>315</v>
      </c>
      <c r="C5" s="15">
        <v>2018</v>
      </c>
      <c r="D5" s="37" t="s">
        <v>321</v>
      </c>
      <c r="E5" s="15" t="s">
        <v>141</v>
      </c>
      <c r="F5" s="15" t="s">
        <v>149</v>
      </c>
      <c r="G5" s="7" t="s">
        <v>36</v>
      </c>
      <c r="H5" s="15" t="s">
        <v>157</v>
      </c>
      <c r="I5" s="208" t="s">
        <v>153</v>
      </c>
      <c r="J5" s="15" t="s">
        <v>38</v>
      </c>
      <c r="K5" s="7" t="s">
        <v>154</v>
      </c>
      <c r="L5" s="7">
        <v>1</v>
      </c>
      <c r="N5" s="7">
        <v>1</v>
      </c>
      <c r="O5" s="7">
        <v>0.5</v>
      </c>
      <c r="P5" s="7">
        <v>0.5</v>
      </c>
      <c r="Q5" s="52">
        <f t="shared" si="0"/>
        <v>0.5</v>
      </c>
      <c r="R5" s="7">
        <v>17.600000000000001</v>
      </c>
      <c r="S5" s="7">
        <v>129</v>
      </c>
      <c r="T5" s="16">
        <f t="shared" si="1"/>
        <v>25</v>
      </c>
      <c r="U5" s="15">
        <v>145</v>
      </c>
      <c r="V5" s="16">
        <f t="shared" si="2"/>
        <v>3625</v>
      </c>
      <c r="W5" s="15">
        <v>5</v>
      </c>
      <c r="X5" s="216" t="s">
        <v>39</v>
      </c>
      <c r="Y5" s="216" t="s">
        <v>50</v>
      </c>
      <c r="Z5" s="216" t="s">
        <v>84</v>
      </c>
      <c r="AA5" s="216" t="s">
        <v>90</v>
      </c>
      <c r="AB5" s="39" t="s">
        <v>317</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314</v>
      </c>
      <c r="B6" s="15" t="s">
        <v>315</v>
      </c>
      <c r="C6" s="15">
        <v>2018</v>
      </c>
      <c r="D6" s="37" t="s">
        <v>321</v>
      </c>
      <c r="E6" s="15" t="s">
        <v>141</v>
      </c>
      <c r="F6" s="7" t="s">
        <v>149</v>
      </c>
      <c r="G6" s="7" t="s">
        <v>36</v>
      </c>
      <c r="H6" s="216" t="s">
        <v>157</v>
      </c>
      <c r="I6" s="208" t="s">
        <v>153</v>
      </c>
      <c r="J6" s="216" t="s">
        <v>38</v>
      </c>
      <c r="K6" s="208" t="s">
        <v>154</v>
      </c>
      <c r="L6" s="7">
        <v>2</v>
      </c>
      <c r="N6" s="7">
        <v>1</v>
      </c>
      <c r="O6" s="7">
        <v>0.5</v>
      </c>
      <c r="P6" s="7">
        <v>0.5</v>
      </c>
      <c r="Q6" s="52">
        <f t="shared" si="0"/>
        <v>0.5</v>
      </c>
      <c r="R6" s="7">
        <v>15.8</v>
      </c>
      <c r="S6" s="7">
        <v>128</v>
      </c>
      <c r="T6" s="16">
        <f t="shared" si="1"/>
        <v>27</v>
      </c>
      <c r="U6" s="216">
        <v>145</v>
      </c>
      <c r="V6" s="16">
        <f t="shared" si="2"/>
        <v>3915</v>
      </c>
      <c r="W6" s="15">
        <v>5</v>
      </c>
      <c r="X6" s="216" t="s">
        <v>39</v>
      </c>
      <c r="Y6" s="216" t="s">
        <v>50</v>
      </c>
      <c r="Z6" s="216" t="s">
        <v>84</v>
      </c>
      <c r="AA6" s="216" t="s">
        <v>90</v>
      </c>
      <c r="AB6" s="39" t="s">
        <v>532</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314</v>
      </c>
      <c r="B7" s="15" t="s">
        <v>315</v>
      </c>
      <c r="C7" s="15">
        <v>2018</v>
      </c>
      <c r="D7" s="37" t="s">
        <v>321</v>
      </c>
      <c r="E7" s="15" t="s">
        <v>141</v>
      </c>
      <c r="F7" s="7" t="s">
        <v>149</v>
      </c>
      <c r="G7" s="7" t="s">
        <v>36</v>
      </c>
      <c r="H7" s="216" t="s">
        <v>157</v>
      </c>
      <c r="I7" s="208" t="s">
        <v>153</v>
      </c>
      <c r="J7" s="216" t="s">
        <v>38</v>
      </c>
      <c r="K7" s="208" t="s">
        <v>154</v>
      </c>
      <c r="L7" s="7">
        <v>3</v>
      </c>
      <c r="N7" s="7">
        <v>1</v>
      </c>
      <c r="O7" s="7">
        <v>0.5</v>
      </c>
      <c r="P7" s="7">
        <v>0.5</v>
      </c>
      <c r="Q7" s="52">
        <f t="shared" si="0"/>
        <v>0.5</v>
      </c>
      <c r="R7" s="34">
        <v>16</v>
      </c>
      <c r="S7" s="7">
        <v>131</v>
      </c>
      <c r="T7" s="16">
        <f t="shared" si="1"/>
        <v>25</v>
      </c>
      <c r="U7" s="216">
        <v>145</v>
      </c>
      <c r="V7" s="16">
        <f t="shared" si="2"/>
        <v>3625</v>
      </c>
      <c r="W7" s="15">
        <v>5</v>
      </c>
      <c r="X7" s="216" t="s">
        <v>39</v>
      </c>
      <c r="Y7" s="216" t="s">
        <v>50</v>
      </c>
      <c r="Z7" s="216" t="s">
        <v>84</v>
      </c>
      <c r="AA7" s="216" t="s">
        <v>90</v>
      </c>
      <c r="AB7" s="39" t="s">
        <v>317</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314</v>
      </c>
      <c r="B8" s="15" t="s">
        <v>315</v>
      </c>
      <c r="C8" s="15">
        <v>2018</v>
      </c>
      <c r="D8" s="37" t="s">
        <v>321</v>
      </c>
      <c r="E8" s="15" t="s">
        <v>133</v>
      </c>
      <c r="F8" s="7" t="s">
        <v>150</v>
      </c>
      <c r="G8" s="7" t="s">
        <v>36</v>
      </c>
      <c r="H8" s="15" t="s">
        <v>155</v>
      </c>
      <c r="I8" s="208" t="s">
        <v>153</v>
      </c>
      <c r="J8" s="15" t="s">
        <v>38</v>
      </c>
      <c r="K8" s="7" t="s">
        <v>154</v>
      </c>
      <c r="L8" s="7">
        <v>1</v>
      </c>
      <c r="N8" s="208">
        <v>1</v>
      </c>
      <c r="O8" s="7">
        <v>0.5</v>
      </c>
      <c r="P8" s="7">
        <v>0.5</v>
      </c>
      <c r="Q8" s="52">
        <f t="shared" si="0"/>
        <v>0.5</v>
      </c>
      <c r="R8" s="34">
        <v>12.6</v>
      </c>
      <c r="S8" s="7">
        <v>123</v>
      </c>
      <c r="T8" s="16">
        <f t="shared" si="1"/>
        <v>27</v>
      </c>
      <c r="U8" s="15">
        <v>105</v>
      </c>
      <c r="V8" s="16">
        <f t="shared" si="2"/>
        <v>2835</v>
      </c>
      <c r="W8" s="15">
        <v>8</v>
      </c>
      <c r="X8" s="15" t="s">
        <v>46</v>
      </c>
      <c r="Y8" s="216" t="s">
        <v>90</v>
      </c>
      <c r="Z8" s="216" t="s">
        <v>102</v>
      </c>
      <c r="AA8" s="216" t="s">
        <v>50</v>
      </c>
      <c r="AB8" s="39" t="s">
        <v>317</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314</v>
      </c>
      <c r="B9" s="15" t="s">
        <v>315</v>
      </c>
      <c r="C9" s="15">
        <v>2018</v>
      </c>
      <c r="D9" s="37" t="s">
        <v>321</v>
      </c>
      <c r="E9" s="15" t="s">
        <v>133</v>
      </c>
      <c r="F9" s="7" t="s">
        <v>150</v>
      </c>
      <c r="G9" s="7" t="s">
        <v>36</v>
      </c>
      <c r="H9" s="216" t="s">
        <v>155</v>
      </c>
      <c r="I9" s="208" t="s">
        <v>153</v>
      </c>
      <c r="J9" s="216" t="s">
        <v>38</v>
      </c>
      <c r="K9" s="208" t="s">
        <v>154</v>
      </c>
      <c r="L9" s="7">
        <v>2</v>
      </c>
      <c r="N9" s="208">
        <v>1</v>
      </c>
      <c r="O9" s="7">
        <v>0.5</v>
      </c>
      <c r="P9" s="7">
        <v>0.5</v>
      </c>
      <c r="Q9" s="52">
        <f t="shared" si="0"/>
        <v>0.5</v>
      </c>
      <c r="R9" s="7">
        <v>12.9</v>
      </c>
      <c r="S9" s="7">
        <v>121</v>
      </c>
      <c r="T9" s="16">
        <f t="shared" si="1"/>
        <v>27</v>
      </c>
      <c r="U9" s="216">
        <v>105</v>
      </c>
      <c r="V9" s="16">
        <f t="shared" si="2"/>
        <v>2835</v>
      </c>
      <c r="W9" s="15">
        <v>8</v>
      </c>
      <c r="X9" s="15" t="s">
        <v>46</v>
      </c>
      <c r="Y9" s="216" t="s">
        <v>90</v>
      </c>
      <c r="Z9" s="216" t="s">
        <v>102</v>
      </c>
      <c r="AA9" s="216" t="s">
        <v>50</v>
      </c>
      <c r="AB9" s="39" t="s">
        <v>317</v>
      </c>
      <c r="AE9" s="22" t="s">
        <v>98</v>
      </c>
      <c r="AG9" s="49" t="s">
        <v>133</v>
      </c>
      <c r="AH9" s="49" t="s">
        <v>150</v>
      </c>
      <c r="AL9" s="34"/>
      <c r="AP9" s="23" t="s">
        <v>95</v>
      </c>
      <c r="AR9" s="30" t="s">
        <v>89</v>
      </c>
      <c r="AV9" s="23" t="s">
        <v>102</v>
      </c>
      <c r="AX9" s="24">
        <v>128</v>
      </c>
      <c r="AY9" s="25">
        <v>27</v>
      </c>
      <c r="AZ9" s="25">
        <v>129</v>
      </c>
      <c r="BA9" s="26">
        <v>25</v>
      </c>
    </row>
    <row r="10" spans="1:53" x14ac:dyDescent="0.15">
      <c r="A10" s="15" t="s">
        <v>314</v>
      </c>
      <c r="B10" s="15" t="s">
        <v>315</v>
      </c>
      <c r="C10" s="15">
        <v>2018</v>
      </c>
      <c r="D10" s="37" t="s">
        <v>321</v>
      </c>
      <c r="E10" s="15" t="s">
        <v>133</v>
      </c>
      <c r="F10" s="7" t="s">
        <v>150</v>
      </c>
      <c r="G10" s="7" t="s">
        <v>36</v>
      </c>
      <c r="H10" s="216" t="s">
        <v>155</v>
      </c>
      <c r="I10" s="208" t="s">
        <v>153</v>
      </c>
      <c r="J10" s="216" t="s">
        <v>38</v>
      </c>
      <c r="K10" s="208" t="s">
        <v>154</v>
      </c>
      <c r="L10" s="7">
        <v>3</v>
      </c>
      <c r="N10" s="208">
        <v>1</v>
      </c>
      <c r="O10" s="7">
        <v>0.5</v>
      </c>
      <c r="P10" s="7">
        <v>0.5</v>
      </c>
      <c r="Q10" s="52">
        <f t="shared" si="0"/>
        <v>0.5</v>
      </c>
      <c r="R10" s="7">
        <v>14.3</v>
      </c>
      <c r="S10" s="7">
        <v>119</v>
      </c>
      <c r="T10" s="16">
        <f t="shared" si="1"/>
        <v>30</v>
      </c>
      <c r="U10" s="216">
        <v>105</v>
      </c>
      <c r="V10" s="16">
        <f t="shared" si="2"/>
        <v>3150</v>
      </c>
      <c r="W10" s="15">
        <v>8</v>
      </c>
      <c r="X10" s="15" t="s">
        <v>46</v>
      </c>
      <c r="Y10" s="216" t="s">
        <v>90</v>
      </c>
      <c r="Z10" s="216" t="s">
        <v>102</v>
      </c>
      <c r="AA10" s="216" t="s">
        <v>50</v>
      </c>
      <c r="AB10" s="39" t="s">
        <v>317</v>
      </c>
      <c r="AE10" s="22" t="s">
        <v>103</v>
      </c>
      <c r="AG10" s="49" t="s">
        <v>142</v>
      </c>
      <c r="AH10" s="49" t="s">
        <v>151</v>
      </c>
      <c r="AP10" s="23" t="s">
        <v>100</v>
      </c>
      <c r="AR10" s="30" t="s">
        <v>123</v>
      </c>
      <c r="AV10" s="23" t="s">
        <v>106</v>
      </c>
      <c r="AX10" s="24">
        <v>138</v>
      </c>
      <c r="AY10" s="25">
        <v>25</v>
      </c>
      <c r="AZ10" s="25">
        <v>138</v>
      </c>
      <c r="BA10" s="26">
        <v>22</v>
      </c>
    </row>
    <row r="11" spans="1:53" x14ac:dyDescent="0.15">
      <c r="A11" s="15" t="s">
        <v>314</v>
      </c>
      <c r="B11" s="15" t="s">
        <v>315</v>
      </c>
      <c r="C11" s="15">
        <v>2018</v>
      </c>
      <c r="D11" s="37" t="s">
        <v>321</v>
      </c>
      <c r="E11" s="15" t="s">
        <v>133</v>
      </c>
      <c r="F11" s="7" t="s">
        <v>150</v>
      </c>
      <c r="G11" s="7" t="s">
        <v>36</v>
      </c>
      <c r="H11" s="216" t="s">
        <v>157</v>
      </c>
      <c r="I11" s="7" t="s">
        <v>153</v>
      </c>
      <c r="J11" s="15" t="s">
        <v>38</v>
      </c>
      <c r="K11" s="7" t="s">
        <v>154</v>
      </c>
      <c r="L11" s="7">
        <v>1</v>
      </c>
      <c r="N11" s="208">
        <v>1</v>
      </c>
      <c r="O11" s="7">
        <v>0.55000000000000004</v>
      </c>
      <c r="P11" s="7">
        <v>0.6</v>
      </c>
      <c r="Q11" s="52">
        <f t="shared" si="0"/>
        <v>0.57499999999999996</v>
      </c>
      <c r="R11" s="7">
        <v>15.6</v>
      </c>
      <c r="S11" s="7">
        <v>120</v>
      </c>
      <c r="T11" s="16">
        <f t="shared" si="1"/>
        <v>30</v>
      </c>
      <c r="U11" s="7">
        <v>105</v>
      </c>
      <c r="V11" s="16">
        <f t="shared" si="2"/>
        <v>3150</v>
      </c>
      <c r="W11" s="7">
        <v>2</v>
      </c>
      <c r="X11" s="15" t="s">
        <v>46</v>
      </c>
      <c r="Y11" s="216" t="s">
        <v>90</v>
      </c>
      <c r="Z11" s="216" t="s">
        <v>102</v>
      </c>
      <c r="AA11" s="216" t="s">
        <v>50</v>
      </c>
      <c r="AB11" s="39" t="s">
        <v>317</v>
      </c>
      <c r="AE11" s="22" t="s">
        <v>65</v>
      </c>
      <c r="AG11" s="49" t="s">
        <v>143</v>
      </c>
      <c r="AH11" s="49" t="s">
        <v>152</v>
      </c>
      <c r="AP11" s="23" t="s">
        <v>104</v>
      </c>
      <c r="AR11" s="30" t="s">
        <v>87</v>
      </c>
      <c r="AV11" s="23" t="s">
        <v>69</v>
      </c>
      <c r="AX11" s="24">
        <v>151</v>
      </c>
      <c r="AY11" s="25">
        <v>22</v>
      </c>
      <c r="AZ11" s="25">
        <v>152</v>
      </c>
      <c r="BA11" s="26">
        <v>18</v>
      </c>
    </row>
    <row r="12" spans="1:53" x14ac:dyDescent="0.15">
      <c r="A12" s="15" t="s">
        <v>314</v>
      </c>
      <c r="B12" s="15" t="s">
        <v>315</v>
      </c>
      <c r="C12" s="15">
        <v>2018</v>
      </c>
      <c r="D12" s="37" t="s">
        <v>321</v>
      </c>
      <c r="E12" s="15" t="s">
        <v>133</v>
      </c>
      <c r="F12" s="7" t="s">
        <v>150</v>
      </c>
      <c r="G12" s="7" t="s">
        <v>36</v>
      </c>
      <c r="H12" s="216" t="s">
        <v>157</v>
      </c>
      <c r="I12" s="208" t="s">
        <v>153</v>
      </c>
      <c r="J12" s="216" t="s">
        <v>38</v>
      </c>
      <c r="K12" s="208" t="s">
        <v>154</v>
      </c>
      <c r="L12" s="7">
        <v>2</v>
      </c>
      <c r="N12" s="7">
        <v>1</v>
      </c>
      <c r="O12" s="7">
        <v>0.65</v>
      </c>
      <c r="P12" s="7">
        <v>0.55000000000000004</v>
      </c>
      <c r="Q12" s="52">
        <f t="shared" si="0"/>
        <v>0.60000000000000009</v>
      </c>
      <c r="R12" s="34">
        <v>15.5</v>
      </c>
      <c r="S12" s="7">
        <v>120</v>
      </c>
      <c r="T12" s="16">
        <f t="shared" si="1"/>
        <v>30</v>
      </c>
      <c r="U12" s="208">
        <v>105</v>
      </c>
      <c r="V12" s="16">
        <f t="shared" si="2"/>
        <v>3150</v>
      </c>
      <c r="W12" s="7">
        <v>2</v>
      </c>
      <c r="X12" s="15" t="s">
        <v>46</v>
      </c>
      <c r="Y12" s="216" t="s">
        <v>90</v>
      </c>
      <c r="Z12" s="216" t="s">
        <v>102</v>
      </c>
      <c r="AA12" s="216" t="s">
        <v>50</v>
      </c>
      <c r="AB12" s="39" t="s">
        <v>317</v>
      </c>
      <c r="AE12" s="22" t="s">
        <v>70</v>
      </c>
      <c r="AG12" s="40"/>
      <c r="AH12" s="40"/>
      <c r="AP12" s="23" t="s">
        <v>67</v>
      </c>
      <c r="AR12" s="30" t="s">
        <v>124</v>
      </c>
      <c r="AV12" s="23" t="s">
        <v>72</v>
      </c>
      <c r="AX12" s="31">
        <v>180</v>
      </c>
      <c r="AY12" s="32">
        <v>18</v>
      </c>
      <c r="AZ12" s="32">
        <v>181</v>
      </c>
      <c r="BA12" s="33">
        <v>16</v>
      </c>
    </row>
    <row r="13" spans="1:53" x14ac:dyDescent="0.15">
      <c r="A13" s="15" t="s">
        <v>314</v>
      </c>
      <c r="B13" s="15" t="s">
        <v>315</v>
      </c>
      <c r="C13" s="15">
        <v>2018</v>
      </c>
      <c r="D13" s="37" t="s">
        <v>321</v>
      </c>
      <c r="E13" s="15" t="s">
        <v>133</v>
      </c>
      <c r="F13" s="7" t="s">
        <v>150</v>
      </c>
      <c r="G13" s="7" t="s">
        <v>36</v>
      </c>
      <c r="H13" s="216" t="s">
        <v>157</v>
      </c>
      <c r="I13" s="208" t="s">
        <v>153</v>
      </c>
      <c r="J13" s="216" t="s">
        <v>38</v>
      </c>
      <c r="K13" s="208" t="s">
        <v>154</v>
      </c>
      <c r="L13" s="7">
        <v>3</v>
      </c>
      <c r="N13" s="7">
        <v>1</v>
      </c>
      <c r="O13" s="7">
        <v>0.5</v>
      </c>
      <c r="P13" s="7">
        <v>0.55000000000000004</v>
      </c>
      <c r="Q13" s="52">
        <f t="shared" si="0"/>
        <v>0.52500000000000002</v>
      </c>
      <c r="R13" s="7">
        <v>15.6</v>
      </c>
      <c r="S13" s="7">
        <v>118</v>
      </c>
      <c r="T13" s="16">
        <f t="shared" si="1"/>
        <v>30</v>
      </c>
      <c r="U13" s="208">
        <v>105</v>
      </c>
      <c r="V13" s="16">
        <f t="shared" si="2"/>
        <v>3150</v>
      </c>
      <c r="W13" s="7">
        <v>2</v>
      </c>
      <c r="X13" s="15" t="s">
        <v>46</v>
      </c>
      <c r="Y13" s="216" t="s">
        <v>90</v>
      </c>
      <c r="Z13" s="216" t="s">
        <v>102</v>
      </c>
      <c r="AA13" s="216" t="s">
        <v>50</v>
      </c>
      <c r="AB13" s="39" t="s">
        <v>317</v>
      </c>
      <c r="AE13" s="22" t="s">
        <v>73</v>
      </c>
      <c r="AG13" s="23"/>
      <c r="AH13" s="23"/>
      <c r="AP13" s="23" t="s">
        <v>71</v>
      </c>
      <c r="AR13" s="30" t="s">
        <v>103</v>
      </c>
      <c r="AV13" s="23" t="s">
        <v>75</v>
      </c>
    </row>
    <row r="14" spans="1:53" x14ac:dyDescent="0.15">
      <c r="A14" s="15" t="s">
        <v>314</v>
      </c>
      <c r="B14" s="15" t="s">
        <v>315</v>
      </c>
      <c r="C14" s="15">
        <v>2018</v>
      </c>
      <c r="D14" s="37" t="s">
        <v>321</v>
      </c>
      <c r="E14" s="15" t="s">
        <v>142</v>
      </c>
      <c r="F14" s="7" t="s">
        <v>151</v>
      </c>
      <c r="G14" s="7" t="s">
        <v>36</v>
      </c>
      <c r="H14" s="15" t="s">
        <v>155</v>
      </c>
      <c r="I14" s="7" t="s">
        <v>153</v>
      </c>
      <c r="J14" s="15" t="s">
        <v>38</v>
      </c>
      <c r="K14" s="7" t="s">
        <v>154</v>
      </c>
      <c r="L14" s="7">
        <v>1</v>
      </c>
      <c r="N14" s="7">
        <v>1</v>
      </c>
      <c r="O14" s="7">
        <v>0.5</v>
      </c>
      <c r="P14" s="7">
        <v>0.5</v>
      </c>
      <c r="Q14" s="52">
        <f t="shared" si="0"/>
        <v>0.5</v>
      </c>
      <c r="R14" s="7">
        <v>15</v>
      </c>
      <c r="S14" s="7">
        <v>175</v>
      </c>
      <c r="T14" s="16">
        <f t="shared" si="1"/>
        <v>18</v>
      </c>
      <c r="U14" s="7">
        <v>149</v>
      </c>
      <c r="V14" s="16">
        <f t="shared" si="2"/>
        <v>2682</v>
      </c>
      <c r="W14" s="7">
        <v>4</v>
      </c>
      <c r="X14" s="15" t="s">
        <v>46</v>
      </c>
      <c r="Y14" s="216" t="s">
        <v>50</v>
      </c>
      <c r="Z14" s="216" t="s">
        <v>78</v>
      </c>
      <c r="AA14" s="216" t="s">
        <v>90</v>
      </c>
      <c r="AB14" s="39" t="s">
        <v>317</v>
      </c>
      <c r="AE14" s="22" t="s">
        <v>76</v>
      </c>
      <c r="AG14" s="23"/>
      <c r="AH14" s="23"/>
      <c r="AP14" s="23" t="s">
        <v>74</v>
      </c>
      <c r="AR14" s="30" t="s">
        <v>125</v>
      </c>
      <c r="AV14" s="23" t="s">
        <v>78</v>
      </c>
    </row>
    <row r="15" spans="1:53" x14ac:dyDescent="0.15">
      <c r="A15" s="15" t="s">
        <v>314</v>
      </c>
      <c r="B15" s="15" t="s">
        <v>315</v>
      </c>
      <c r="C15" s="15">
        <v>2018</v>
      </c>
      <c r="D15" s="37" t="s">
        <v>321</v>
      </c>
      <c r="E15" s="15" t="s">
        <v>142</v>
      </c>
      <c r="F15" s="7" t="s">
        <v>151</v>
      </c>
      <c r="G15" s="7" t="s">
        <v>36</v>
      </c>
      <c r="H15" s="216" t="s">
        <v>155</v>
      </c>
      <c r="I15" s="208" t="s">
        <v>153</v>
      </c>
      <c r="J15" s="216" t="s">
        <v>38</v>
      </c>
      <c r="K15" s="208" t="s">
        <v>154</v>
      </c>
      <c r="L15" s="7">
        <v>2</v>
      </c>
      <c r="N15" s="7">
        <v>1</v>
      </c>
      <c r="O15" s="7">
        <v>0.55000000000000004</v>
      </c>
      <c r="P15" s="7">
        <v>0.55000000000000004</v>
      </c>
      <c r="Q15" s="52">
        <f t="shared" si="0"/>
        <v>0.55000000000000004</v>
      </c>
      <c r="R15" s="7">
        <v>14.9</v>
      </c>
      <c r="S15" s="7">
        <v>161</v>
      </c>
      <c r="T15" s="16">
        <f t="shared" si="1"/>
        <v>18</v>
      </c>
      <c r="U15" s="208">
        <v>149</v>
      </c>
      <c r="V15" s="16">
        <f t="shared" si="2"/>
        <v>2682</v>
      </c>
      <c r="W15" s="7">
        <v>4</v>
      </c>
      <c r="X15" s="216" t="s">
        <v>46</v>
      </c>
      <c r="Y15" s="216" t="s">
        <v>50</v>
      </c>
      <c r="Z15" s="216" t="s">
        <v>78</v>
      </c>
      <c r="AA15" s="216" t="s">
        <v>90</v>
      </c>
      <c r="AB15" s="39" t="s">
        <v>317</v>
      </c>
      <c r="AE15" s="22" t="s">
        <v>79</v>
      </c>
      <c r="AG15" s="23"/>
      <c r="AH15" s="23"/>
      <c r="AP15" s="23" t="s">
        <v>77</v>
      </c>
      <c r="AR15" s="30" t="s">
        <v>94</v>
      </c>
      <c r="AV15" s="23" t="s">
        <v>107</v>
      </c>
    </row>
    <row r="16" spans="1:53" x14ac:dyDescent="0.15">
      <c r="A16" s="15" t="s">
        <v>314</v>
      </c>
      <c r="B16" s="15" t="s">
        <v>315</v>
      </c>
      <c r="C16" s="15">
        <v>2018</v>
      </c>
      <c r="D16" s="37" t="s">
        <v>321</v>
      </c>
      <c r="E16" s="15" t="s">
        <v>142</v>
      </c>
      <c r="F16" s="7" t="s">
        <v>151</v>
      </c>
      <c r="G16" s="7" t="s">
        <v>36</v>
      </c>
      <c r="H16" s="216" t="s">
        <v>155</v>
      </c>
      <c r="I16" s="208" t="s">
        <v>153</v>
      </c>
      <c r="J16" s="216" t="s">
        <v>38</v>
      </c>
      <c r="K16" s="208" t="s">
        <v>154</v>
      </c>
      <c r="L16" s="7">
        <v>3</v>
      </c>
      <c r="N16" s="7">
        <v>1</v>
      </c>
      <c r="O16" s="7">
        <v>0.6</v>
      </c>
      <c r="P16" s="7">
        <v>0.5</v>
      </c>
      <c r="Q16" s="52">
        <f t="shared" si="0"/>
        <v>0.55000000000000004</v>
      </c>
      <c r="R16" s="7">
        <v>13.8</v>
      </c>
      <c r="S16" s="7">
        <v>164</v>
      </c>
      <c r="T16" s="16">
        <f t="shared" si="1"/>
        <v>18</v>
      </c>
      <c r="U16" s="208">
        <v>149</v>
      </c>
      <c r="V16" s="16">
        <f t="shared" si="2"/>
        <v>2682</v>
      </c>
      <c r="W16" s="7">
        <v>4</v>
      </c>
      <c r="X16" s="216" t="s">
        <v>46</v>
      </c>
      <c r="Y16" s="216" t="s">
        <v>50</v>
      </c>
      <c r="Z16" s="216" t="s">
        <v>78</v>
      </c>
      <c r="AA16" s="216" t="s">
        <v>90</v>
      </c>
      <c r="AB16" s="39" t="s">
        <v>317</v>
      </c>
      <c r="AE16" s="22" t="s">
        <v>82</v>
      </c>
      <c r="AG16" s="28"/>
      <c r="AH16" s="28"/>
      <c r="AP16" s="23" t="s">
        <v>80</v>
      </c>
      <c r="AR16" s="41" t="s">
        <v>63</v>
      </c>
      <c r="AV16" s="23" t="s">
        <v>84</v>
      </c>
    </row>
    <row r="17" spans="1:48" x14ac:dyDescent="0.15">
      <c r="A17" s="15" t="s">
        <v>314</v>
      </c>
      <c r="B17" s="15" t="s">
        <v>315</v>
      </c>
      <c r="C17" s="15">
        <v>2018</v>
      </c>
      <c r="D17" s="37" t="s">
        <v>321</v>
      </c>
      <c r="E17" s="15" t="s">
        <v>142</v>
      </c>
      <c r="F17" s="7" t="s">
        <v>151</v>
      </c>
      <c r="G17" s="7" t="s">
        <v>36</v>
      </c>
      <c r="H17" s="15" t="s">
        <v>157</v>
      </c>
      <c r="I17" s="208" t="s">
        <v>153</v>
      </c>
      <c r="J17" s="216" t="s">
        <v>38</v>
      </c>
      <c r="K17" s="208" t="s">
        <v>154</v>
      </c>
      <c r="L17" s="7">
        <v>1</v>
      </c>
      <c r="N17" s="7">
        <v>1</v>
      </c>
      <c r="O17" s="7">
        <v>0.5</v>
      </c>
      <c r="P17" s="7">
        <v>0.5</v>
      </c>
      <c r="Q17" s="52">
        <f t="shared" si="0"/>
        <v>0.5</v>
      </c>
      <c r="R17" s="7">
        <v>15</v>
      </c>
      <c r="S17" s="7">
        <v>143</v>
      </c>
      <c r="T17" s="16">
        <f t="shared" si="1"/>
        <v>22</v>
      </c>
      <c r="U17" s="7">
        <v>170</v>
      </c>
      <c r="V17" s="16">
        <f t="shared" si="2"/>
        <v>3740</v>
      </c>
      <c r="W17" s="7">
        <v>1</v>
      </c>
      <c r="X17" s="216" t="s">
        <v>46</v>
      </c>
      <c r="Y17" s="216" t="s">
        <v>50</v>
      </c>
      <c r="Z17" s="216" t="s">
        <v>78</v>
      </c>
      <c r="AA17" s="216" t="s">
        <v>90</v>
      </c>
      <c r="AB17" s="39" t="s">
        <v>317</v>
      </c>
      <c r="AE17" s="22" t="s">
        <v>85</v>
      </c>
      <c r="AP17" s="43" t="s">
        <v>110</v>
      </c>
      <c r="AR17" s="41" t="s">
        <v>96</v>
      </c>
      <c r="AV17" s="23" t="s">
        <v>86</v>
      </c>
    </row>
    <row r="18" spans="1:48" x14ac:dyDescent="0.15">
      <c r="A18" s="15" t="s">
        <v>314</v>
      </c>
      <c r="B18" s="15" t="s">
        <v>315</v>
      </c>
      <c r="C18" s="15">
        <v>2018</v>
      </c>
      <c r="D18" s="37" t="s">
        <v>321</v>
      </c>
      <c r="E18" s="15" t="s">
        <v>142</v>
      </c>
      <c r="F18" s="7" t="s">
        <v>151</v>
      </c>
      <c r="G18" s="7" t="s">
        <v>36</v>
      </c>
      <c r="H18" s="216" t="s">
        <v>157</v>
      </c>
      <c r="I18" s="208" t="s">
        <v>153</v>
      </c>
      <c r="J18" s="216" t="s">
        <v>38</v>
      </c>
      <c r="K18" s="208" t="s">
        <v>154</v>
      </c>
      <c r="L18" s="7">
        <v>2</v>
      </c>
      <c r="N18" s="7">
        <v>1</v>
      </c>
      <c r="O18" s="7">
        <v>0.5</v>
      </c>
      <c r="P18" s="7">
        <v>0.5</v>
      </c>
      <c r="Q18" s="52">
        <f t="shared" si="0"/>
        <v>0.5</v>
      </c>
      <c r="R18" s="7">
        <v>15.2</v>
      </c>
      <c r="S18" s="7">
        <v>143</v>
      </c>
      <c r="T18" s="16">
        <f t="shared" si="1"/>
        <v>22</v>
      </c>
      <c r="U18" s="208">
        <v>170</v>
      </c>
      <c r="V18" s="16">
        <f t="shared" si="2"/>
        <v>3740</v>
      </c>
      <c r="W18" s="7">
        <v>1</v>
      </c>
      <c r="X18" s="216" t="s">
        <v>46</v>
      </c>
      <c r="Y18" s="216" t="s">
        <v>50</v>
      </c>
      <c r="Z18" s="216" t="s">
        <v>78</v>
      </c>
      <c r="AA18" s="216" t="s">
        <v>90</v>
      </c>
      <c r="AB18" s="39" t="s">
        <v>317</v>
      </c>
      <c r="AE18" s="22" t="s">
        <v>87</v>
      </c>
      <c r="AP18" s="43" t="s">
        <v>111</v>
      </c>
      <c r="AR18" s="41" t="s">
        <v>101</v>
      </c>
      <c r="AV18" s="23" t="s">
        <v>88</v>
      </c>
    </row>
    <row r="19" spans="1:48" x14ac:dyDescent="0.15">
      <c r="A19" s="15" t="s">
        <v>314</v>
      </c>
      <c r="B19" s="15" t="s">
        <v>315</v>
      </c>
      <c r="C19" s="15">
        <v>2018</v>
      </c>
      <c r="D19" s="37" t="s">
        <v>321</v>
      </c>
      <c r="E19" s="15" t="s">
        <v>142</v>
      </c>
      <c r="F19" s="7" t="s">
        <v>151</v>
      </c>
      <c r="G19" s="7" t="s">
        <v>36</v>
      </c>
      <c r="H19" s="216" t="s">
        <v>157</v>
      </c>
      <c r="I19" s="208" t="s">
        <v>153</v>
      </c>
      <c r="J19" s="216" t="s">
        <v>38</v>
      </c>
      <c r="K19" s="208" t="s">
        <v>154</v>
      </c>
      <c r="L19" s="7">
        <v>3</v>
      </c>
      <c r="N19" s="7">
        <v>1</v>
      </c>
      <c r="O19" s="7">
        <v>0.5</v>
      </c>
      <c r="P19" s="7">
        <v>0.5</v>
      </c>
      <c r="Q19" s="52">
        <f t="shared" si="0"/>
        <v>0.5</v>
      </c>
      <c r="R19" s="7">
        <v>15.7</v>
      </c>
      <c r="S19" s="7">
        <v>147</v>
      </c>
      <c r="T19" s="16">
        <f t="shared" si="1"/>
        <v>22</v>
      </c>
      <c r="U19" s="208">
        <v>170</v>
      </c>
      <c r="V19" s="16">
        <f t="shared" si="2"/>
        <v>3740</v>
      </c>
      <c r="W19" s="7">
        <v>1</v>
      </c>
      <c r="X19" s="216" t="s">
        <v>46</v>
      </c>
      <c r="Y19" s="216" t="s">
        <v>50</v>
      </c>
      <c r="Z19" s="216" t="s">
        <v>78</v>
      </c>
      <c r="AA19" s="216" t="s">
        <v>90</v>
      </c>
      <c r="AB19" s="39" t="s">
        <v>317</v>
      </c>
      <c r="AE19" s="35" t="s">
        <v>89</v>
      </c>
      <c r="AP19" s="43" t="s">
        <v>112</v>
      </c>
      <c r="AR19" s="30" t="s">
        <v>126</v>
      </c>
      <c r="AV19" s="23" t="s">
        <v>90</v>
      </c>
    </row>
    <row r="20" spans="1:48" x14ac:dyDescent="0.15">
      <c r="A20" s="15" t="s">
        <v>314</v>
      </c>
      <c r="B20" s="15" t="s">
        <v>315</v>
      </c>
      <c r="C20" s="15">
        <v>2018</v>
      </c>
      <c r="D20" s="37" t="s">
        <v>321</v>
      </c>
      <c r="E20" s="15" t="s">
        <v>143</v>
      </c>
      <c r="F20" s="7" t="s">
        <v>152</v>
      </c>
      <c r="G20" s="7" t="s">
        <v>36</v>
      </c>
      <c r="H20" s="15" t="s">
        <v>155</v>
      </c>
      <c r="I20" s="208" t="s">
        <v>153</v>
      </c>
      <c r="J20" s="15" t="s">
        <v>38</v>
      </c>
      <c r="K20" s="7" t="s">
        <v>154</v>
      </c>
      <c r="L20" s="7">
        <v>1</v>
      </c>
      <c r="N20" s="7">
        <v>1</v>
      </c>
      <c r="O20" s="7">
        <v>0.55000000000000004</v>
      </c>
      <c r="P20" s="34">
        <v>0.6</v>
      </c>
      <c r="Q20" s="52">
        <f t="shared" si="0"/>
        <v>0.57499999999999996</v>
      </c>
      <c r="R20" s="7">
        <v>12.5</v>
      </c>
      <c r="S20" s="7">
        <v>92</v>
      </c>
      <c r="T20" s="16">
        <f t="shared" si="1"/>
        <v>36</v>
      </c>
      <c r="U20" s="7">
        <v>51</v>
      </c>
      <c r="V20" s="16">
        <f t="shared" si="2"/>
        <v>1836</v>
      </c>
      <c r="W20" s="7">
        <v>3</v>
      </c>
      <c r="X20" s="216" t="s">
        <v>39</v>
      </c>
      <c r="Y20" s="216" t="s">
        <v>50</v>
      </c>
      <c r="Z20" s="216" t="s">
        <v>90</v>
      </c>
      <c r="AA20" s="216" t="s">
        <v>84</v>
      </c>
      <c r="AB20" s="39" t="s">
        <v>317</v>
      </c>
      <c r="AE20" s="22"/>
      <c r="AP20" s="43" t="s">
        <v>113</v>
      </c>
      <c r="AR20" s="41" t="s">
        <v>105</v>
      </c>
      <c r="AV20" s="27" t="s">
        <v>135</v>
      </c>
    </row>
    <row r="21" spans="1:48" x14ac:dyDescent="0.15">
      <c r="A21" s="15" t="s">
        <v>314</v>
      </c>
      <c r="B21" s="15" t="s">
        <v>315</v>
      </c>
      <c r="C21" s="15">
        <v>2018</v>
      </c>
      <c r="D21" s="37" t="s">
        <v>321</v>
      </c>
      <c r="E21" s="15" t="s">
        <v>143</v>
      </c>
      <c r="F21" s="7" t="s">
        <v>152</v>
      </c>
      <c r="G21" s="7" t="s">
        <v>36</v>
      </c>
      <c r="H21" s="216" t="s">
        <v>155</v>
      </c>
      <c r="I21" s="208" t="s">
        <v>153</v>
      </c>
      <c r="J21" s="216" t="s">
        <v>38</v>
      </c>
      <c r="K21" s="208" t="s">
        <v>154</v>
      </c>
      <c r="L21" s="7">
        <v>2</v>
      </c>
      <c r="N21" s="7">
        <v>1</v>
      </c>
      <c r="O21" s="7">
        <v>0.6</v>
      </c>
      <c r="P21" s="7">
        <v>0.75</v>
      </c>
      <c r="Q21" s="52">
        <f t="shared" si="0"/>
        <v>0.67500000000000004</v>
      </c>
      <c r="R21" s="7">
        <v>14.8</v>
      </c>
      <c r="S21" s="7">
        <v>93</v>
      </c>
      <c r="T21" s="16">
        <f t="shared" si="1"/>
        <v>36</v>
      </c>
      <c r="U21" s="208">
        <v>51</v>
      </c>
      <c r="V21" s="16">
        <f t="shared" si="2"/>
        <v>1836</v>
      </c>
      <c r="W21" s="7">
        <v>3</v>
      </c>
      <c r="X21" s="216" t="s">
        <v>39</v>
      </c>
      <c r="Y21" s="216" t="s">
        <v>50</v>
      </c>
      <c r="Z21" s="216" t="s">
        <v>90</v>
      </c>
      <c r="AA21" s="216" t="s">
        <v>84</v>
      </c>
      <c r="AB21" s="39" t="s">
        <v>317</v>
      </c>
      <c r="AE21" s="22"/>
      <c r="AP21" s="43" t="s">
        <v>114</v>
      </c>
      <c r="AR21" s="41" t="s">
        <v>68</v>
      </c>
      <c r="AV21" s="27" t="s">
        <v>136</v>
      </c>
    </row>
    <row r="22" spans="1:48" x14ac:dyDescent="0.15">
      <c r="A22" s="15" t="s">
        <v>314</v>
      </c>
      <c r="B22" s="15" t="s">
        <v>315</v>
      </c>
      <c r="C22" s="15">
        <v>2018</v>
      </c>
      <c r="D22" s="37" t="s">
        <v>321</v>
      </c>
      <c r="E22" s="15" t="s">
        <v>143</v>
      </c>
      <c r="F22" s="7" t="s">
        <v>152</v>
      </c>
      <c r="G22" s="7" t="s">
        <v>36</v>
      </c>
      <c r="H22" s="216" t="s">
        <v>155</v>
      </c>
      <c r="I22" s="208" t="s">
        <v>153</v>
      </c>
      <c r="J22" s="216" t="s">
        <v>38</v>
      </c>
      <c r="K22" s="208" t="s">
        <v>154</v>
      </c>
      <c r="L22" s="7">
        <v>3</v>
      </c>
      <c r="N22" s="7">
        <v>1</v>
      </c>
      <c r="O22" s="34">
        <v>0.6</v>
      </c>
      <c r="P22" s="7">
        <v>0.5</v>
      </c>
      <c r="Q22" s="52">
        <f t="shared" si="0"/>
        <v>0.55000000000000004</v>
      </c>
      <c r="R22" s="7">
        <v>15.2</v>
      </c>
      <c r="S22" s="7">
        <v>90</v>
      </c>
      <c r="T22" s="16">
        <f t="shared" si="1"/>
        <v>36</v>
      </c>
      <c r="U22" s="208">
        <v>51</v>
      </c>
      <c r="V22" s="16">
        <f t="shared" si="2"/>
        <v>1836</v>
      </c>
      <c r="W22" s="7">
        <v>3</v>
      </c>
      <c r="X22" s="216" t="s">
        <v>39</v>
      </c>
      <c r="Y22" s="216" t="s">
        <v>50</v>
      </c>
      <c r="Z22" s="216" t="s">
        <v>90</v>
      </c>
      <c r="AA22" s="216" t="s">
        <v>84</v>
      </c>
      <c r="AB22" s="39" t="s">
        <v>317</v>
      </c>
      <c r="AE22" s="35"/>
      <c r="AP22" s="43" t="s">
        <v>115</v>
      </c>
      <c r="AR22" s="41" t="s">
        <v>83</v>
      </c>
      <c r="AV22" s="27"/>
    </row>
    <row r="23" spans="1:48" x14ac:dyDescent="0.15">
      <c r="A23" s="15" t="s">
        <v>314</v>
      </c>
      <c r="B23" s="15" t="s">
        <v>315</v>
      </c>
      <c r="C23" s="15">
        <v>2018</v>
      </c>
      <c r="D23" s="37" t="s">
        <v>321</v>
      </c>
      <c r="E23" s="7" t="s">
        <v>143</v>
      </c>
      <c r="F23" s="7" t="s">
        <v>152</v>
      </c>
      <c r="G23" s="7" t="s">
        <v>36</v>
      </c>
      <c r="H23" s="15" t="s">
        <v>157</v>
      </c>
      <c r="I23" s="208" t="s">
        <v>153</v>
      </c>
      <c r="J23" s="15" t="s">
        <v>38</v>
      </c>
      <c r="K23" s="7" t="s">
        <v>154</v>
      </c>
      <c r="L23" s="7">
        <v>1</v>
      </c>
      <c r="N23" s="7">
        <v>1</v>
      </c>
      <c r="O23" s="34">
        <v>0.5</v>
      </c>
      <c r="P23" s="7">
        <v>0.5</v>
      </c>
      <c r="Q23" s="52">
        <f t="shared" si="0"/>
        <v>0.5</v>
      </c>
      <c r="R23" s="7">
        <v>15.4</v>
      </c>
      <c r="S23" s="7">
        <v>135</v>
      </c>
      <c r="T23" s="16">
        <f t="shared" si="1"/>
        <v>25</v>
      </c>
      <c r="U23" s="7">
        <v>149</v>
      </c>
      <c r="V23" s="16">
        <f t="shared" si="2"/>
        <v>3725</v>
      </c>
      <c r="W23" s="7">
        <v>2</v>
      </c>
      <c r="X23" s="216" t="s">
        <v>39</v>
      </c>
      <c r="Y23" s="216" t="s">
        <v>50</v>
      </c>
      <c r="Z23" s="216" t="s">
        <v>90</v>
      </c>
      <c r="AA23" s="216" t="s">
        <v>84</v>
      </c>
      <c r="AB23" s="39" t="s">
        <v>317</v>
      </c>
      <c r="AE23" s="22"/>
      <c r="AP23" s="43" t="s">
        <v>137</v>
      </c>
      <c r="AR23" s="41" t="s">
        <v>61</v>
      </c>
      <c r="AV23" s="27"/>
    </row>
    <row r="24" spans="1:48" x14ac:dyDescent="0.15">
      <c r="A24" s="15" t="s">
        <v>314</v>
      </c>
      <c r="B24" s="15" t="s">
        <v>315</v>
      </c>
      <c r="C24" s="15">
        <v>2018</v>
      </c>
      <c r="D24" s="37" t="s">
        <v>321</v>
      </c>
      <c r="E24" s="7" t="s">
        <v>143</v>
      </c>
      <c r="F24" s="7" t="s">
        <v>152</v>
      </c>
      <c r="G24" s="7" t="s">
        <v>36</v>
      </c>
      <c r="H24" s="216" t="s">
        <v>157</v>
      </c>
      <c r="I24" s="208" t="s">
        <v>153</v>
      </c>
      <c r="J24" s="15" t="s">
        <v>38</v>
      </c>
      <c r="K24" s="7" t="s">
        <v>154</v>
      </c>
      <c r="L24" s="7">
        <v>2</v>
      </c>
      <c r="N24" s="7">
        <v>1</v>
      </c>
      <c r="O24" s="7">
        <v>0.5</v>
      </c>
      <c r="P24" s="7">
        <v>0.5</v>
      </c>
      <c r="Q24" s="52">
        <f t="shared" si="0"/>
        <v>0.5</v>
      </c>
      <c r="R24" s="7">
        <v>15.3</v>
      </c>
      <c r="S24" s="7">
        <v>127</v>
      </c>
      <c r="T24" s="16">
        <f t="shared" si="1"/>
        <v>27</v>
      </c>
      <c r="U24" s="208">
        <v>149</v>
      </c>
      <c r="V24" s="16">
        <f t="shared" si="2"/>
        <v>4023</v>
      </c>
      <c r="W24" s="7">
        <v>2</v>
      </c>
      <c r="X24" s="216" t="s">
        <v>39</v>
      </c>
      <c r="Y24" s="216" t="s">
        <v>50</v>
      </c>
      <c r="Z24" s="216" t="s">
        <v>90</v>
      </c>
      <c r="AA24" s="216" t="s">
        <v>84</v>
      </c>
      <c r="AB24" s="39" t="s">
        <v>317</v>
      </c>
      <c r="AE24" s="22"/>
      <c r="AP24" s="43" t="s">
        <v>138</v>
      </c>
      <c r="AR24" s="41" t="s">
        <v>91</v>
      </c>
      <c r="AV24" s="27"/>
    </row>
    <row r="25" spans="1:48" x14ac:dyDescent="0.15">
      <c r="A25" s="15" t="s">
        <v>314</v>
      </c>
      <c r="B25" s="15" t="s">
        <v>315</v>
      </c>
      <c r="C25" s="15">
        <v>2018</v>
      </c>
      <c r="D25" s="37" t="s">
        <v>321</v>
      </c>
      <c r="E25" s="7" t="s">
        <v>143</v>
      </c>
      <c r="F25" s="7" t="s">
        <v>152</v>
      </c>
      <c r="G25" s="7" t="s">
        <v>36</v>
      </c>
      <c r="H25" s="216" t="s">
        <v>157</v>
      </c>
      <c r="I25" s="208" t="s">
        <v>153</v>
      </c>
      <c r="J25" s="15" t="s">
        <v>38</v>
      </c>
      <c r="K25" s="7" t="s">
        <v>154</v>
      </c>
      <c r="L25" s="7">
        <v>3</v>
      </c>
      <c r="N25" s="7">
        <v>1</v>
      </c>
      <c r="O25" s="7">
        <v>0.5</v>
      </c>
      <c r="P25" s="7">
        <v>0.55000000000000004</v>
      </c>
      <c r="Q25" s="52">
        <f t="shared" si="0"/>
        <v>0.52500000000000002</v>
      </c>
      <c r="R25" s="7">
        <v>14.6</v>
      </c>
      <c r="S25" s="7">
        <v>132</v>
      </c>
      <c r="T25" s="16">
        <f t="shared" si="1"/>
        <v>25</v>
      </c>
      <c r="U25" s="208">
        <v>149</v>
      </c>
      <c r="V25" s="16">
        <f t="shared" si="2"/>
        <v>3725</v>
      </c>
      <c r="W25" s="7">
        <v>2</v>
      </c>
      <c r="X25" s="216" t="s">
        <v>39</v>
      </c>
      <c r="Y25" s="216" t="s">
        <v>50</v>
      </c>
      <c r="Z25" s="216" t="s">
        <v>90</v>
      </c>
      <c r="AA25" s="216" t="s">
        <v>84</v>
      </c>
      <c r="AB25" s="39" t="s">
        <v>317</v>
      </c>
      <c r="AE25" s="35"/>
      <c r="AP25" s="43" t="s">
        <v>116</v>
      </c>
      <c r="AR25" s="42" t="s">
        <v>92</v>
      </c>
      <c r="AV25" s="27"/>
    </row>
    <row r="26" spans="1:48" x14ac:dyDescent="0.15">
      <c r="A26" s="15" t="s">
        <v>314</v>
      </c>
      <c r="B26" s="15" t="s">
        <v>315</v>
      </c>
      <c r="C26" s="15">
        <v>2018</v>
      </c>
      <c r="D26" s="37" t="s">
        <v>321</v>
      </c>
      <c r="E26" s="7" t="s">
        <v>131</v>
      </c>
      <c r="F26" s="7" t="s">
        <v>144</v>
      </c>
      <c r="G26" s="7" t="s">
        <v>36</v>
      </c>
      <c r="H26" s="15" t="s">
        <v>155</v>
      </c>
      <c r="I26" s="208" t="s">
        <v>153</v>
      </c>
      <c r="J26" s="15" t="s">
        <v>38</v>
      </c>
      <c r="K26" s="7" t="s">
        <v>154</v>
      </c>
      <c r="L26" s="7">
        <v>1</v>
      </c>
      <c r="N26" s="7">
        <v>1</v>
      </c>
      <c r="O26" s="7">
        <v>0.6</v>
      </c>
      <c r="P26" s="7">
        <v>0.7</v>
      </c>
      <c r="Q26" s="52">
        <f t="shared" si="0"/>
        <v>0.64999999999999991</v>
      </c>
      <c r="R26" s="7">
        <v>13.4</v>
      </c>
      <c r="S26" s="7">
        <v>114</v>
      </c>
      <c r="T26" s="16">
        <f t="shared" si="1"/>
        <v>30</v>
      </c>
      <c r="U26" s="7">
        <v>138</v>
      </c>
      <c r="V26" s="16">
        <f t="shared" si="2"/>
        <v>4140</v>
      </c>
      <c r="W26" s="7">
        <v>4</v>
      </c>
      <c r="X26" s="15" t="s">
        <v>46</v>
      </c>
      <c r="Y26" s="216" t="s">
        <v>50</v>
      </c>
      <c r="Z26" s="216" t="s">
        <v>84</v>
      </c>
      <c r="AA26" s="216" t="s">
        <v>90</v>
      </c>
      <c r="AB26" s="39" t="s">
        <v>317</v>
      </c>
      <c r="AE26" s="35"/>
      <c r="AP26" s="43" t="s">
        <v>117</v>
      </c>
      <c r="AR26" s="23" t="s">
        <v>268</v>
      </c>
      <c r="AV26" s="28"/>
    </row>
    <row r="27" spans="1:48" x14ac:dyDescent="0.15">
      <c r="A27" s="15" t="s">
        <v>314</v>
      </c>
      <c r="B27" s="15" t="s">
        <v>315</v>
      </c>
      <c r="C27" s="15">
        <v>2018</v>
      </c>
      <c r="D27" s="37" t="s">
        <v>321</v>
      </c>
      <c r="E27" s="7" t="s">
        <v>131</v>
      </c>
      <c r="F27" s="7" t="s">
        <v>144</v>
      </c>
      <c r="G27" s="7" t="s">
        <v>36</v>
      </c>
      <c r="H27" s="216" t="s">
        <v>155</v>
      </c>
      <c r="I27" s="208" t="s">
        <v>153</v>
      </c>
      <c r="J27" s="15" t="s">
        <v>38</v>
      </c>
      <c r="K27" s="7" t="s">
        <v>154</v>
      </c>
      <c r="L27" s="7">
        <v>2</v>
      </c>
      <c r="N27" s="7">
        <v>1</v>
      </c>
      <c r="O27" s="7">
        <v>0.55000000000000004</v>
      </c>
      <c r="P27" s="7">
        <v>0.7</v>
      </c>
      <c r="Q27" s="52">
        <f t="shared" si="0"/>
        <v>0.625</v>
      </c>
      <c r="R27" s="7">
        <v>15.2</v>
      </c>
      <c r="S27" s="7">
        <v>115</v>
      </c>
      <c r="T27" s="16">
        <f t="shared" si="1"/>
        <v>30</v>
      </c>
      <c r="U27" s="208">
        <v>138</v>
      </c>
      <c r="V27" s="16">
        <f t="shared" si="2"/>
        <v>4140</v>
      </c>
      <c r="W27" s="7">
        <v>4</v>
      </c>
      <c r="X27" s="15" t="s">
        <v>46</v>
      </c>
      <c r="Y27" s="216" t="s">
        <v>50</v>
      </c>
      <c r="Z27" s="216" t="s">
        <v>84</v>
      </c>
      <c r="AA27" s="216" t="s">
        <v>90</v>
      </c>
      <c r="AB27" s="39" t="s">
        <v>317</v>
      </c>
      <c r="AE27" s="28"/>
      <c r="AP27" s="43" t="s">
        <v>118</v>
      </c>
      <c r="AR27" s="23"/>
    </row>
    <row r="28" spans="1:48" x14ac:dyDescent="0.15">
      <c r="A28" s="15" t="s">
        <v>314</v>
      </c>
      <c r="B28" s="15" t="s">
        <v>315</v>
      </c>
      <c r="C28" s="15">
        <v>2018</v>
      </c>
      <c r="D28" s="37" t="s">
        <v>321</v>
      </c>
      <c r="E28" s="7" t="s">
        <v>131</v>
      </c>
      <c r="F28" s="7" t="s">
        <v>144</v>
      </c>
      <c r="G28" s="7" t="s">
        <v>36</v>
      </c>
      <c r="H28" s="216" t="s">
        <v>155</v>
      </c>
      <c r="I28" s="208" t="s">
        <v>153</v>
      </c>
      <c r="J28" s="15" t="s">
        <v>38</v>
      </c>
      <c r="K28" s="7" t="s">
        <v>154</v>
      </c>
      <c r="L28" s="7">
        <v>3</v>
      </c>
      <c r="N28" s="7">
        <v>1</v>
      </c>
      <c r="O28" s="7">
        <v>0.5</v>
      </c>
      <c r="P28" s="7">
        <v>0.5</v>
      </c>
      <c r="Q28" s="52">
        <f t="shared" si="0"/>
        <v>0.5</v>
      </c>
      <c r="R28" s="7">
        <v>13.9</v>
      </c>
      <c r="S28" s="7">
        <v>118</v>
      </c>
      <c r="T28" s="16">
        <f t="shared" si="1"/>
        <v>30</v>
      </c>
      <c r="U28" s="208">
        <v>138</v>
      </c>
      <c r="V28" s="16">
        <f t="shared" si="2"/>
        <v>4140</v>
      </c>
      <c r="W28" s="7">
        <v>4</v>
      </c>
      <c r="X28" s="15" t="s">
        <v>46</v>
      </c>
      <c r="Y28" s="216" t="s">
        <v>50</v>
      </c>
      <c r="Z28" s="216" t="s">
        <v>84</v>
      </c>
      <c r="AA28" s="216" t="s">
        <v>90</v>
      </c>
      <c r="AB28" s="39" t="s">
        <v>317</v>
      </c>
      <c r="AP28" s="27"/>
      <c r="AR28" s="23"/>
    </row>
    <row r="29" spans="1:48" x14ac:dyDescent="0.15">
      <c r="A29" s="15" t="s">
        <v>314</v>
      </c>
      <c r="B29" s="15" t="s">
        <v>315</v>
      </c>
      <c r="C29" s="15">
        <v>2018</v>
      </c>
      <c r="D29" s="37" t="s">
        <v>321</v>
      </c>
      <c r="E29" s="7" t="s">
        <v>131</v>
      </c>
      <c r="F29" s="7" t="s">
        <v>144</v>
      </c>
      <c r="G29" s="7" t="s">
        <v>36</v>
      </c>
      <c r="H29" s="15" t="s">
        <v>157</v>
      </c>
      <c r="I29" s="208" t="s">
        <v>153</v>
      </c>
      <c r="J29" s="15" t="s">
        <v>38</v>
      </c>
      <c r="K29" s="7" t="s">
        <v>154</v>
      </c>
      <c r="L29" s="7">
        <v>1</v>
      </c>
      <c r="N29" s="7">
        <v>1</v>
      </c>
      <c r="O29" s="7">
        <v>0.6</v>
      </c>
      <c r="P29" s="7">
        <v>0.55000000000000004</v>
      </c>
      <c r="Q29" s="52">
        <f t="shared" si="0"/>
        <v>0.57499999999999996</v>
      </c>
      <c r="R29" s="7">
        <v>15</v>
      </c>
      <c r="S29" s="7">
        <v>146</v>
      </c>
      <c r="T29" s="16">
        <f t="shared" si="1"/>
        <v>22</v>
      </c>
      <c r="U29" s="7">
        <v>138</v>
      </c>
      <c r="V29" s="16">
        <f t="shared" si="2"/>
        <v>3036</v>
      </c>
      <c r="W29" s="7">
        <v>3</v>
      </c>
      <c r="X29" s="15" t="s">
        <v>46</v>
      </c>
      <c r="Y29" s="216" t="s">
        <v>50</v>
      </c>
      <c r="Z29" s="216" t="s">
        <v>84</v>
      </c>
      <c r="AA29" s="216" t="s">
        <v>90</v>
      </c>
      <c r="AB29" s="39" t="s">
        <v>317</v>
      </c>
      <c r="AP29" s="27"/>
      <c r="AR29" s="27"/>
      <c r="AV29" s="28"/>
    </row>
    <row r="30" spans="1:48" x14ac:dyDescent="0.15">
      <c r="A30" s="15" t="s">
        <v>314</v>
      </c>
      <c r="B30" s="15" t="s">
        <v>315</v>
      </c>
      <c r="C30" s="15">
        <v>2018</v>
      </c>
      <c r="D30" s="37" t="s">
        <v>321</v>
      </c>
      <c r="E30" s="7" t="s">
        <v>131</v>
      </c>
      <c r="F30" s="7" t="s">
        <v>144</v>
      </c>
      <c r="G30" s="7" t="s">
        <v>36</v>
      </c>
      <c r="H30" s="216" t="s">
        <v>157</v>
      </c>
      <c r="I30" s="208" t="s">
        <v>153</v>
      </c>
      <c r="J30" s="15" t="s">
        <v>38</v>
      </c>
      <c r="K30" s="7" t="s">
        <v>154</v>
      </c>
      <c r="L30" s="7">
        <v>2</v>
      </c>
      <c r="N30" s="7">
        <v>1</v>
      </c>
      <c r="O30" s="7">
        <v>0.55000000000000004</v>
      </c>
      <c r="P30" s="7">
        <v>0.5</v>
      </c>
      <c r="Q30" s="52">
        <f t="shared" si="0"/>
        <v>0.52500000000000002</v>
      </c>
      <c r="R30" s="7">
        <v>16.600000000000001</v>
      </c>
      <c r="S30" s="7">
        <v>134</v>
      </c>
      <c r="T30" s="16">
        <f t="shared" si="1"/>
        <v>25</v>
      </c>
      <c r="U30" s="208">
        <v>138</v>
      </c>
      <c r="V30" s="16">
        <f t="shared" si="2"/>
        <v>3450</v>
      </c>
      <c r="W30" s="7">
        <v>3</v>
      </c>
      <c r="X30" s="15" t="s">
        <v>46</v>
      </c>
      <c r="Y30" s="216" t="s">
        <v>50</v>
      </c>
      <c r="Z30" s="216" t="s">
        <v>84</v>
      </c>
      <c r="AA30" s="216" t="s">
        <v>90</v>
      </c>
      <c r="AB30" s="39" t="s">
        <v>317</v>
      </c>
      <c r="AP30" s="27"/>
      <c r="AR30" s="27"/>
    </row>
    <row r="31" spans="1:48" x14ac:dyDescent="0.15">
      <c r="A31" s="15" t="s">
        <v>314</v>
      </c>
      <c r="B31" s="15" t="s">
        <v>315</v>
      </c>
      <c r="C31" s="15">
        <v>2018</v>
      </c>
      <c r="D31" s="37" t="s">
        <v>321</v>
      </c>
      <c r="E31" s="7" t="s">
        <v>131</v>
      </c>
      <c r="F31" s="7" t="s">
        <v>144</v>
      </c>
      <c r="G31" s="7" t="s">
        <v>36</v>
      </c>
      <c r="H31" s="216" t="s">
        <v>157</v>
      </c>
      <c r="I31" s="208" t="s">
        <v>153</v>
      </c>
      <c r="J31" s="15" t="s">
        <v>38</v>
      </c>
      <c r="K31" s="7" t="s">
        <v>154</v>
      </c>
      <c r="L31" s="7">
        <v>3</v>
      </c>
      <c r="N31" s="7">
        <v>1</v>
      </c>
      <c r="O31" s="7">
        <v>0.5</v>
      </c>
      <c r="P31" s="7">
        <v>0.55000000000000004</v>
      </c>
      <c r="Q31" s="52">
        <f t="shared" si="0"/>
        <v>0.52500000000000002</v>
      </c>
      <c r="R31" s="7">
        <v>20.3</v>
      </c>
      <c r="S31" s="7">
        <v>144</v>
      </c>
      <c r="T31" s="16">
        <f t="shared" si="1"/>
        <v>22</v>
      </c>
      <c r="U31" s="208">
        <v>138</v>
      </c>
      <c r="V31" s="16">
        <f t="shared" si="2"/>
        <v>3036</v>
      </c>
      <c r="W31" s="7">
        <v>3</v>
      </c>
      <c r="X31" s="15" t="s">
        <v>46</v>
      </c>
      <c r="Y31" s="216" t="s">
        <v>50</v>
      </c>
      <c r="Z31" s="216" t="s">
        <v>84</v>
      </c>
      <c r="AA31" s="216" t="s">
        <v>90</v>
      </c>
      <c r="AB31" s="39" t="s">
        <v>317</v>
      </c>
      <c r="AP31" s="27"/>
      <c r="AR31" s="27"/>
    </row>
    <row r="32" spans="1:48" x14ac:dyDescent="0.15">
      <c r="A32" s="15" t="s">
        <v>314</v>
      </c>
      <c r="B32" s="15" t="s">
        <v>315</v>
      </c>
      <c r="C32" s="15">
        <v>2018</v>
      </c>
      <c r="D32" s="37" t="s">
        <v>321</v>
      </c>
      <c r="E32" s="7" t="s">
        <v>139</v>
      </c>
      <c r="F32" s="7" t="s">
        <v>145</v>
      </c>
      <c r="G32" s="7" t="s">
        <v>36</v>
      </c>
      <c r="H32" s="15" t="s">
        <v>155</v>
      </c>
      <c r="I32" s="208" t="s">
        <v>153</v>
      </c>
      <c r="J32" s="15" t="s">
        <v>38</v>
      </c>
      <c r="K32" s="7" t="s">
        <v>154</v>
      </c>
      <c r="L32" s="7">
        <v>1</v>
      </c>
      <c r="N32" s="7">
        <v>1</v>
      </c>
      <c r="O32" s="7">
        <v>0.5</v>
      </c>
      <c r="P32" s="7">
        <v>0.5</v>
      </c>
      <c r="Q32" s="52">
        <f t="shared" si="0"/>
        <v>0.5</v>
      </c>
      <c r="R32" s="7">
        <v>12.6</v>
      </c>
      <c r="S32" s="7">
        <v>143</v>
      </c>
      <c r="T32" s="16">
        <f t="shared" si="1"/>
        <v>22</v>
      </c>
      <c r="U32" s="7">
        <v>100</v>
      </c>
      <c r="V32" s="16">
        <f t="shared" si="2"/>
        <v>2200</v>
      </c>
      <c r="W32" s="7">
        <v>5</v>
      </c>
      <c r="X32" s="15" t="s">
        <v>46</v>
      </c>
      <c r="Y32" s="216" t="s">
        <v>50</v>
      </c>
      <c r="Z32" s="216" t="s">
        <v>90</v>
      </c>
      <c r="AA32" s="216" t="s">
        <v>78</v>
      </c>
      <c r="AB32" s="39" t="s">
        <v>317</v>
      </c>
      <c r="AP32" s="28"/>
      <c r="AR32" s="28"/>
    </row>
    <row r="33" spans="1:44" x14ac:dyDescent="0.15">
      <c r="A33" s="15" t="s">
        <v>314</v>
      </c>
      <c r="B33" s="15" t="s">
        <v>315</v>
      </c>
      <c r="C33" s="15">
        <v>2018</v>
      </c>
      <c r="D33" s="37" t="s">
        <v>321</v>
      </c>
      <c r="E33" s="7" t="s">
        <v>139</v>
      </c>
      <c r="F33" s="7" t="s">
        <v>145</v>
      </c>
      <c r="G33" s="7" t="s">
        <v>36</v>
      </c>
      <c r="H33" s="216" t="s">
        <v>155</v>
      </c>
      <c r="I33" s="208" t="s">
        <v>153</v>
      </c>
      <c r="J33" s="15" t="s">
        <v>38</v>
      </c>
      <c r="K33" s="7" t="s">
        <v>154</v>
      </c>
      <c r="L33" s="7">
        <v>2</v>
      </c>
      <c r="N33" s="7">
        <v>1</v>
      </c>
      <c r="O33" s="7">
        <v>0.5</v>
      </c>
      <c r="P33" s="7">
        <v>0.55000000000000004</v>
      </c>
      <c r="Q33" s="52">
        <f t="shared" si="0"/>
        <v>0.52500000000000002</v>
      </c>
      <c r="R33" s="7">
        <v>14.5</v>
      </c>
      <c r="S33" s="7">
        <v>138</v>
      </c>
      <c r="T33" s="16">
        <f t="shared" si="1"/>
        <v>22</v>
      </c>
      <c r="U33" s="208">
        <v>100</v>
      </c>
      <c r="V33" s="16">
        <f t="shared" si="2"/>
        <v>2200</v>
      </c>
      <c r="W33" s="7">
        <v>5</v>
      </c>
      <c r="X33" s="15" t="s">
        <v>46</v>
      </c>
      <c r="Y33" s="216" t="s">
        <v>50</v>
      </c>
      <c r="Z33" s="216" t="s">
        <v>90</v>
      </c>
      <c r="AA33" s="216" t="s">
        <v>78</v>
      </c>
      <c r="AB33" s="39" t="s">
        <v>317</v>
      </c>
    </row>
    <row r="34" spans="1:44" x14ac:dyDescent="0.15">
      <c r="A34" s="15" t="s">
        <v>314</v>
      </c>
      <c r="B34" s="15" t="s">
        <v>315</v>
      </c>
      <c r="C34" s="15">
        <v>2018</v>
      </c>
      <c r="D34" s="37" t="s">
        <v>321</v>
      </c>
      <c r="E34" s="7" t="s">
        <v>139</v>
      </c>
      <c r="F34" s="7" t="s">
        <v>145</v>
      </c>
      <c r="G34" s="7" t="s">
        <v>36</v>
      </c>
      <c r="H34" s="216" t="s">
        <v>155</v>
      </c>
      <c r="I34" s="208" t="s">
        <v>153</v>
      </c>
      <c r="J34" s="15" t="s">
        <v>38</v>
      </c>
      <c r="K34" s="7" t="s">
        <v>154</v>
      </c>
      <c r="L34" s="7">
        <v>3</v>
      </c>
      <c r="N34" s="7">
        <v>1</v>
      </c>
      <c r="O34" s="7">
        <v>0.55000000000000004</v>
      </c>
      <c r="P34" s="7">
        <v>0.55000000000000004</v>
      </c>
      <c r="Q34" s="52">
        <f t="shared" si="0"/>
        <v>0.55000000000000004</v>
      </c>
      <c r="R34" s="7">
        <v>13.9</v>
      </c>
      <c r="S34" s="7">
        <v>142</v>
      </c>
      <c r="T34" s="16">
        <f t="shared" si="1"/>
        <v>22</v>
      </c>
      <c r="U34" s="208">
        <v>100</v>
      </c>
      <c r="V34" s="16">
        <f t="shared" si="2"/>
        <v>2200</v>
      </c>
      <c r="W34" s="7">
        <v>5</v>
      </c>
      <c r="X34" s="15" t="s">
        <v>46</v>
      </c>
      <c r="Y34" s="216" t="s">
        <v>50</v>
      </c>
      <c r="Z34" s="216" t="s">
        <v>90</v>
      </c>
      <c r="AA34" s="216" t="s">
        <v>78</v>
      </c>
      <c r="AB34" s="39" t="s">
        <v>317</v>
      </c>
    </row>
    <row r="35" spans="1:44" x14ac:dyDescent="0.15">
      <c r="A35" s="15" t="s">
        <v>314</v>
      </c>
      <c r="B35" s="15" t="s">
        <v>315</v>
      </c>
      <c r="C35" s="15">
        <v>2018</v>
      </c>
      <c r="D35" s="37" t="s">
        <v>321</v>
      </c>
      <c r="E35" s="7" t="s">
        <v>139</v>
      </c>
      <c r="F35" s="7" t="s">
        <v>145</v>
      </c>
      <c r="G35" s="7" t="s">
        <v>36</v>
      </c>
      <c r="H35" s="216" t="s">
        <v>157</v>
      </c>
      <c r="I35" s="208" t="s">
        <v>153</v>
      </c>
      <c r="J35" s="15" t="s">
        <v>38</v>
      </c>
      <c r="K35" s="7" t="s">
        <v>154</v>
      </c>
      <c r="L35" s="7">
        <v>1</v>
      </c>
      <c r="N35" s="7">
        <v>1</v>
      </c>
      <c r="O35" s="7">
        <v>0.5</v>
      </c>
      <c r="P35" s="7">
        <v>0.55000000000000004</v>
      </c>
      <c r="Q35" s="52">
        <f t="shared" si="0"/>
        <v>0.52500000000000002</v>
      </c>
      <c r="R35" s="7">
        <v>15.6</v>
      </c>
      <c r="S35" s="7">
        <v>144</v>
      </c>
      <c r="T35" s="16">
        <f t="shared" si="1"/>
        <v>22</v>
      </c>
      <c r="U35" s="7">
        <v>100</v>
      </c>
      <c r="V35" s="16">
        <f t="shared" si="2"/>
        <v>2200</v>
      </c>
      <c r="W35" s="7">
        <v>5</v>
      </c>
      <c r="X35" s="15" t="s">
        <v>46</v>
      </c>
      <c r="Y35" s="216" t="s">
        <v>50</v>
      </c>
      <c r="Z35" s="216" t="s">
        <v>90</v>
      </c>
      <c r="AA35" s="216" t="s">
        <v>78</v>
      </c>
      <c r="AB35" s="39" t="s">
        <v>317</v>
      </c>
      <c r="AP35" s="28"/>
      <c r="AR35" s="28"/>
    </row>
    <row r="36" spans="1:44" x14ac:dyDescent="0.15">
      <c r="A36" s="15" t="s">
        <v>314</v>
      </c>
      <c r="B36" s="15" t="s">
        <v>315</v>
      </c>
      <c r="C36" s="15">
        <v>2018</v>
      </c>
      <c r="D36" s="37" t="s">
        <v>321</v>
      </c>
      <c r="E36" s="7" t="s">
        <v>139</v>
      </c>
      <c r="F36" s="7" t="s">
        <v>145</v>
      </c>
      <c r="G36" s="7" t="s">
        <v>36</v>
      </c>
      <c r="H36" s="216" t="s">
        <v>157</v>
      </c>
      <c r="I36" s="208" t="s">
        <v>153</v>
      </c>
      <c r="J36" s="15" t="s">
        <v>38</v>
      </c>
      <c r="K36" s="7" t="s">
        <v>154</v>
      </c>
      <c r="L36" s="7">
        <v>2</v>
      </c>
      <c r="N36" s="208">
        <v>1</v>
      </c>
      <c r="O36" s="7">
        <v>0.5</v>
      </c>
      <c r="P36" s="7">
        <v>0.55000000000000004</v>
      </c>
      <c r="Q36" s="52">
        <f t="shared" si="0"/>
        <v>0.52500000000000002</v>
      </c>
      <c r="R36" s="7">
        <v>15.5</v>
      </c>
      <c r="S36" s="7">
        <v>158</v>
      </c>
      <c r="T36" s="16">
        <f t="shared" si="1"/>
        <v>18</v>
      </c>
      <c r="U36" s="208">
        <v>100</v>
      </c>
      <c r="V36" s="16">
        <f t="shared" si="2"/>
        <v>1800</v>
      </c>
      <c r="W36" s="7">
        <v>5</v>
      </c>
      <c r="X36" s="15" t="s">
        <v>46</v>
      </c>
      <c r="Y36" s="216" t="s">
        <v>50</v>
      </c>
      <c r="Z36" s="216" t="s">
        <v>90</v>
      </c>
      <c r="AA36" s="216" t="s">
        <v>78</v>
      </c>
      <c r="AB36" s="39" t="s">
        <v>317</v>
      </c>
    </row>
    <row r="37" spans="1:44" x14ac:dyDescent="0.15">
      <c r="A37" s="15" t="s">
        <v>314</v>
      </c>
      <c r="B37" s="15" t="s">
        <v>315</v>
      </c>
      <c r="C37" s="15">
        <v>2018</v>
      </c>
      <c r="D37" s="37" t="s">
        <v>321</v>
      </c>
      <c r="E37" s="7" t="s">
        <v>139</v>
      </c>
      <c r="F37" s="7" t="s">
        <v>145</v>
      </c>
      <c r="G37" s="7" t="s">
        <v>36</v>
      </c>
      <c r="H37" s="216" t="s">
        <v>157</v>
      </c>
      <c r="I37" s="208" t="s">
        <v>153</v>
      </c>
      <c r="J37" s="15" t="s">
        <v>38</v>
      </c>
      <c r="K37" s="7" t="s">
        <v>154</v>
      </c>
      <c r="L37" s="7">
        <v>3</v>
      </c>
      <c r="N37" s="208">
        <v>1</v>
      </c>
      <c r="O37" s="34">
        <v>0.55000000000000004</v>
      </c>
      <c r="P37" s="34">
        <v>0.6</v>
      </c>
      <c r="Q37" s="52">
        <f t="shared" si="0"/>
        <v>0.57499999999999996</v>
      </c>
      <c r="R37" s="7">
        <v>15.8</v>
      </c>
      <c r="S37" s="7">
        <v>154</v>
      </c>
      <c r="T37" s="16">
        <f t="shared" si="1"/>
        <v>18</v>
      </c>
      <c r="U37" s="208">
        <v>100</v>
      </c>
      <c r="V37" s="16">
        <f t="shared" si="2"/>
        <v>1800</v>
      </c>
      <c r="W37" s="7">
        <v>5</v>
      </c>
      <c r="X37" s="15" t="s">
        <v>46</v>
      </c>
      <c r="Y37" s="216" t="s">
        <v>50</v>
      </c>
      <c r="Z37" s="216" t="s">
        <v>90</v>
      </c>
      <c r="AA37" s="216" t="s">
        <v>78</v>
      </c>
      <c r="AB37" s="39" t="s">
        <v>317</v>
      </c>
    </row>
    <row r="38" spans="1:44" x14ac:dyDescent="0.15">
      <c r="A38" s="15" t="s">
        <v>314</v>
      </c>
      <c r="B38" s="15" t="s">
        <v>315</v>
      </c>
      <c r="C38" s="15">
        <v>2018</v>
      </c>
      <c r="D38" s="37" t="s">
        <v>321</v>
      </c>
      <c r="E38" s="7" t="s">
        <v>294</v>
      </c>
      <c r="F38" s="7" t="s">
        <v>320</v>
      </c>
      <c r="G38" s="7" t="s">
        <v>36</v>
      </c>
      <c r="H38" s="216" t="s">
        <v>155</v>
      </c>
      <c r="I38" s="7" t="s">
        <v>153</v>
      </c>
      <c r="J38" s="216" t="s">
        <v>38</v>
      </c>
      <c r="K38" s="208" t="s">
        <v>154</v>
      </c>
      <c r="L38" s="7">
        <v>1</v>
      </c>
      <c r="N38" s="208">
        <v>1</v>
      </c>
      <c r="O38" s="34">
        <v>0.5</v>
      </c>
      <c r="P38" s="34">
        <v>0.55000000000000004</v>
      </c>
      <c r="Q38" s="52">
        <f t="shared" si="0"/>
        <v>0.52500000000000002</v>
      </c>
      <c r="R38" s="7">
        <v>13.5</v>
      </c>
      <c r="S38" s="7">
        <v>114</v>
      </c>
      <c r="T38" s="16">
        <f t="shared" si="1"/>
        <v>30</v>
      </c>
      <c r="U38" s="7">
        <v>105</v>
      </c>
      <c r="V38" s="16">
        <f t="shared" si="2"/>
        <v>3150</v>
      </c>
      <c r="W38" s="7">
        <v>4</v>
      </c>
      <c r="X38" s="15" t="s">
        <v>46</v>
      </c>
      <c r="Y38" s="216" t="s">
        <v>84</v>
      </c>
      <c r="Z38" s="216" t="s">
        <v>78</v>
      </c>
      <c r="AA38" s="216" t="s">
        <v>102</v>
      </c>
      <c r="AB38" s="39" t="s">
        <v>317</v>
      </c>
    </row>
    <row r="39" spans="1:44" x14ac:dyDescent="0.15">
      <c r="A39" s="15" t="s">
        <v>314</v>
      </c>
      <c r="B39" s="15" t="s">
        <v>315</v>
      </c>
      <c r="C39" s="15">
        <v>2018</v>
      </c>
      <c r="D39" s="37" t="s">
        <v>321</v>
      </c>
      <c r="E39" s="7" t="s">
        <v>294</v>
      </c>
      <c r="F39" s="7" t="s">
        <v>320</v>
      </c>
      <c r="G39" s="7" t="s">
        <v>36</v>
      </c>
      <c r="H39" s="216" t="s">
        <v>155</v>
      </c>
      <c r="I39" s="208" t="s">
        <v>153</v>
      </c>
      <c r="J39" s="216" t="s">
        <v>38</v>
      </c>
      <c r="K39" s="208" t="s">
        <v>154</v>
      </c>
      <c r="L39" s="7">
        <v>2</v>
      </c>
      <c r="N39" s="208">
        <v>1</v>
      </c>
      <c r="O39" s="7">
        <v>0.7</v>
      </c>
      <c r="P39" s="7">
        <v>0.6</v>
      </c>
      <c r="Q39" s="52">
        <f t="shared" si="0"/>
        <v>0.64999999999999991</v>
      </c>
      <c r="R39" s="34">
        <v>15.4</v>
      </c>
      <c r="S39" s="7">
        <v>120</v>
      </c>
      <c r="T39" s="16">
        <f t="shared" si="1"/>
        <v>30</v>
      </c>
      <c r="U39" s="208">
        <v>105</v>
      </c>
      <c r="V39" s="16">
        <f t="shared" si="2"/>
        <v>3150</v>
      </c>
      <c r="W39" s="7">
        <v>4</v>
      </c>
      <c r="X39" s="15" t="s">
        <v>46</v>
      </c>
      <c r="Y39" s="216" t="s">
        <v>84</v>
      </c>
      <c r="Z39" s="216" t="s">
        <v>78</v>
      </c>
      <c r="AA39" s="216" t="s">
        <v>102</v>
      </c>
      <c r="AB39" s="39" t="s">
        <v>317</v>
      </c>
    </row>
    <row r="40" spans="1:44" x14ac:dyDescent="0.15">
      <c r="A40" s="15" t="s">
        <v>314</v>
      </c>
      <c r="B40" s="15" t="s">
        <v>315</v>
      </c>
      <c r="C40" s="15">
        <v>2018</v>
      </c>
      <c r="D40" s="37" t="s">
        <v>321</v>
      </c>
      <c r="E40" s="7" t="s">
        <v>294</v>
      </c>
      <c r="F40" s="7" t="s">
        <v>320</v>
      </c>
      <c r="G40" s="7" t="s">
        <v>36</v>
      </c>
      <c r="H40" s="216" t="s">
        <v>155</v>
      </c>
      <c r="I40" s="208" t="s">
        <v>153</v>
      </c>
      <c r="J40" s="216" t="s">
        <v>38</v>
      </c>
      <c r="K40" s="208" t="s">
        <v>154</v>
      </c>
      <c r="L40" s="7">
        <v>3</v>
      </c>
      <c r="N40" s="208">
        <v>1</v>
      </c>
      <c r="O40" s="7">
        <v>0.55000000000000004</v>
      </c>
      <c r="P40" s="7">
        <v>0.6</v>
      </c>
      <c r="Q40" s="52">
        <f t="shared" si="0"/>
        <v>0.57499999999999996</v>
      </c>
      <c r="R40" s="7">
        <v>12</v>
      </c>
      <c r="S40" s="7">
        <v>123</v>
      </c>
      <c r="T40" s="16">
        <f t="shared" si="1"/>
        <v>27</v>
      </c>
      <c r="U40" s="208">
        <v>105</v>
      </c>
      <c r="V40" s="16">
        <f t="shared" si="2"/>
        <v>2835</v>
      </c>
      <c r="W40" s="7">
        <v>4</v>
      </c>
      <c r="X40" s="15" t="s">
        <v>46</v>
      </c>
      <c r="Y40" s="216" t="s">
        <v>84</v>
      </c>
      <c r="Z40" s="216" t="s">
        <v>78</v>
      </c>
      <c r="AA40" s="216" t="s">
        <v>102</v>
      </c>
      <c r="AB40" s="39" t="s">
        <v>317</v>
      </c>
    </row>
    <row r="41" spans="1:44" ht="12.75" customHeight="1" x14ac:dyDescent="0.15">
      <c r="A41" s="15" t="s">
        <v>314</v>
      </c>
      <c r="B41" s="15" t="s">
        <v>315</v>
      </c>
      <c r="C41" s="15">
        <v>2018</v>
      </c>
      <c r="D41" s="37" t="s">
        <v>321</v>
      </c>
      <c r="E41" s="7" t="s">
        <v>294</v>
      </c>
      <c r="F41" s="7" t="s">
        <v>320</v>
      </c>
      <c r="G41" s="7" t="s">
        <v>36</v>
      </c>
      <c r="H41" s="15" t="s">
        <v>157</v>
      </c>
      <c r="I41" s="7" t="s">
        <v>153</v>
      </c>
      <c r="J41" s="15" t="s">
        <v>38</v>
      </c>
      <c r="K41" s="7" t="s">
        <v>154</v>
      </c>
      <c r="L41" s="7">
        <v>1</v>
      </c>
      <c r="N41" s="208">
        <v>1</v>
      </c>
      <c r="O41" s="7">
        <v>0.5</v>
      </c>
      <c r="P41" s="7">
        <v>0.5</v>
      </c>
      <c r="Q41" s="52">
        <f t="shared" si="0"/>
        <v>0.5</v>
      </c>
      <c r="R41" s="7">
        <v>18.600000000000001</v>
      </c>
      <c r="S41" s="7">
        <v>118</v>
      </c>
      <c r="T41" s="16">
        <f t="shared" si="1"/>
        <v>30</v>
      </c>
      <c r="U41" s="7">
        <v>138</v>
      </c>
      <c r="V41" s="16">
        <f t="shared" si="2"/>
        <v>4140</v>
      </c>
      <c r="W41" s="7">
        <v>5</v>
      </c>
      <c r="X41" s="15" t="s">
        <v>46</v>
      </c>
      <c r="Y41" s="216" t="s">
        <v>84</v>
      </c>
      <c r="Z41" s="216" t="s">
        <v>78</v>
      </c>
      <c r="AA41" s="216" t="s">
        <v>102</v>
      </c>
      <c r="AB41" s="39" t="s">
        <v>317</v>
      </c>
    </row>
    <row r="42" spans="1:44" x14ac:dyDescent="0.15">
      <c r="A42" s="15" t="s">
        <v>314</v>
      </c>
      <c r="B42" s="15" t="s">
        <v>315</v>
      </c>
      <c r="C42" s="15">
        <v>2018</v>
      </c>
      <c r="D42" s="37" t="s">
        <v>321</v>
      </c>
      <c r="E42" s="7" t="s">
        <v>294</v>
      </c>
      <c r="F42" s="7" t="s">
        <v>320</v>
      </c>
      <c r="G42" s="7" t="s">
        <v>36</v>
      </c>
      <c r="H42" s="216" t="s">
        <v>157</v>
      </c>
      <c r="I42" s="208" t="s">
        <v>153</v>
      </c>
      <c r="J42" s="15" t="s">
        <v>38</v>
      </c>
      <c r="K42" s="7" t="s">
        <v>154</v>
      </c>
      <c r="L42" s="7">
        <v>2</v>
      </c>
      <c r="N42" s="208">
        <v>1</v>
      </c>
      <c r="O42" s="7">
        <v>0.5</v>
      </c>
      <c r="P42" s="7">
        <v>0.5</v>
      </c>
      <c r="Q42" s="52">
        <f t="shared" si="0"/>
        <v>0.5</v>
      </c>
      <c r="R42" s="7">
        <v>15.4</v>
      </c>
      <c r="S42" s="7">
        <v>116</v>
      </c>
      <c r="T42" s="16">
        <f t="shared" si="1"/>
        <v>30</v>
      </c>
      <c r="U42" s="208">
        <v>138</v>
      </c>
      <c r="V42" s="16">
        <f t="shared" si="2"/>
        <v>4140</v>
      </c>
      <c r="W42" s="7">
        <v>5</v>
      </c>
      <c r="X42" s="15" t="s">
        <v>46</v>
      </c>
      <c r="Y42" s="216" t="s">
        <v>84</v>
      </c>
      <c r="Z42" s="216" t="s">
        <v>78</v>
      </c>
      <c r="AA42" s="216" t="s">
        <v>102</v>
      </c>
      <c r="AB42" s="39" t="s">
        <v>317</v>
      </c>
    </row>
    <row r="43" spans="1:44" x14ac:dyDescent="0.15">
      <c r="A43" s="15" t="s">
        <v>314</v>
      </c>
      <c r="B43" s="15" t="s">
        <v>315</v>
      </c>
      <c r="C43" s="15">
        <v>2018</v>
      </c>
      <c r="D43" s="37" t="s">
        <v>321</v>
      </c>
      <c r="E43" s="7" t="s">
        <v>294</v>
      </c>
      <c r="F43" s="7" t="s">
        <v>320</v>
      </c>
      <c r="G43" s="7" t="s">
        <v>36</v>
      </c>
      <c r="H43" s="216" t="s">
        <v>157</v>
      </c>
      <c r="I43" s="208" t="s">
        <v>153</v>
      </c>
      <c r="J43" s="15" t="s">
        <v>38</v>
      </c>
      <c r="K43" s="7" t="s">
        <v>154</v>
      </c>
      <c r="L43" s="7">
        <v>3</v>
      </c>
      <c r="N43" s="208">
        <v>1</v>
      </c>
      <c r="O43" s="7">
        <v>0.5</v>
      </c>
      <c r="P43" s="7">
        <v>0.5</v>
      </c>
      <c r="Q43" s="52">
        <f t="shared" si="0"/>
        <v>0.5</v>
      </c>
      <c r="R43" s="7">
        <v>17.8</v>
      </c>
      <c r="S43" s="7">
        <v>120</v>
      </c>
      <c r="T43" s="16">
        <f t="shared" si="1"/>
        <v>30</v>
      </c>
      <c r="U43" s="208">
        <v>138</v>
      </c>
      <c r="V43" s="16">
        <f t="shared" si="2"/>
        <v>4140</v>
      </c>
      <c r="W43" s="7">
        <v>5</v>
      </c>
      <c r="X43" s="15" t="s">
        <v>46</v>
      </c>
      <c r="Y43" s="216" t="s">
        <v>84</v>
      </c>
      <c r="Z43" s="216" t="s">
        <v>78</v>
      </c>
      <c r="AA43" s="216" t="s">
        <v>102</v>
      </c>
      <c r="AB43" s="39" t="s">
        <v>317</v>
      </c>
    </row>
    <row r="44" spans="1:44" x14ac:dyDescent="0.15">
      <c r="A44" s="15" t="s">
        <v>314</v>
      </c>
      <c r="B44" s="15" t="s">
        <v>315</v>
      </c>
      <c r="C44" s="15">
        <v>2018</v>
      </c>
      <c r="D44" s="37" t="s">
        <v>321</v>
      </c>
      <c r="E44" s="7" t="s">
        <v>130</v>
      </c>
      <c r="F44" s="7" t="s">
        <v>146</v>
      </c>
      <c r="G44" s="7" t="s">
        <v>36</v>
      </c>
      <c r="H44" s="15" t="s">
        <v>155</v>
      </c>
      <c r="I44" s="208" t="s">
        <v>153</v>
      </c>
      <c r="J44" s="15" t="s">
        <v>38</v>
      </c>
      <c r="K44" s="7" t="s">
        <v>154</v>
      </c>
      <c r="L44" s="7">
        <v>1</v>
      </c>
      <c r="N44" s="208">
        <v>1</v>
      </c>
      <c r="O44" s="7">
        <v>0.65</v>
      </c>
      <c r="P44" s="7">
        <v>0.55000000000000004</v>
      </c>
      <c r="Q44" s="52">
        <f t="shared" si="0"/>
        <v>0.60000000000000009</v>
      </c>
      <c r="R44" s="7">
        <v>13.5</v>
      </c>
      <c r="S44" s="7">
        <v>99</v>
      </c>
      <c r="T44" s="16">
        <f t="shared" si="1"/>
        <v>33</v>
      </c>
      <c r="U44" s="7">
        <v>51</v>
      </c>
      <c r="V44" s="16">
        <f t="shared" si="2"/>
        <v>1683</v>
      </c>
      <c r="W44" s="7">
        <v>6</v>
      </c>
      <c r="X44" s="15" t="s">
        <v>46</v>
      </c>
      <c r="Y44" s="216" t="s">
        <v>50</v>
      </c>
      <c r="Z44" s="216" t="s">
        <v>84</v>
      </c>
      <c r="AA44" s="216" t="s">
        <v>90</v>
      </c>
      <c r="AB44" s="39" t="s">
        <v>317</v>
      </c>
    </row>
    <row r="45" spans="1:44" x14ac:dyDescent="0.15">
      <c r="A45" s="15" t="s">
        <v>314</v>
      </c>
      <c r="B45" s="15" t="s">
        <v>315</v>
      </c>
      <c r="C45" s="15">
        <v>2018</v>
      </c>
      <c r="D45" s="37" t="s">
        <v>321</v>
      </c>
      <c r="E45" s="7" t="s">
        <v>130</v>
      </c>
      <c r="F45" s="7" t="s">
        <v>146</v>
      </c>
      <c r="G45" s="7" t="s">
        <v>36</v>
      </c>
      <c r="H45" s="216" t="s">
        <v>155</v>
      </c>
      <c r="I45" s="208" t="s">
        <v>153</v>
      </c>
      <c r="J45" s="15" t="s">
        <v>38</v>
      </c>
      <c r="K45" s="7" t="s">
        <v>154</v>
      </c>
      <c r="L45" s="7">
        <v>2</v>
      </c>
      <c r="N45" s="208">
        <v>1</v>
      </c>
      <c r="O45" s="7">
        <v>0.55000000000000004</v>
      </c>
      <c r="P45" s="7">
        <v>0.5</v>
      </c>
      <c r="Q45" s="52">
        <f t="shared" si="0"/>
        <v>0.52500000000000002</v>
      </c>
      <c r="R45" s="7">
        <v>13.6</v>
      </c>
      <c r="S45" s="7">
        <v>104</v>
      </c>
      <c r="T45" s="16">
        <f t="shared" si="1"/>
        <v>33</v>
      </c>
      <c r="U45" s="208">
        <v>51</v>
      </c>
      <c r="V45" s="16">
        <f t="shared" si="2"/>
        <v>1683</v>
      </c>
      <c r="W45" s="7">
        <v>6</v>
      </c>
      <c r="X45" s="15" t="s">
        <v>46</v>
      </c>
      <c r="Y45" s="216" t="s">
        <v>50</v>
      </c>
      <c r="Z45" s="216" t="s">
        <v>84</v>
      </c>
      <c r="AA45" s="216" t="s">
        <v>90</v>
      </c>
      <c r="AB45" s="39" t="s">
        <v>317</v>
      </c>
    </row>
    <row r="46" spans="1:44" x14ac:dyDescent="0.15">
      <c r="A46" s="15" t="s">
        <v>314</v>
      </c>
      <c r="B46" s="15" t="s">
        <v>315</v>
      </c>
      <c r="C46" s="15">
        <v>2018</v>
      </c>
      <c r="D46" s="37" t="s">
        <v>321</v>
      </c>
      <c r="E46" s="7" t="s">
        <v>130</v>
      </c>
      <c r="F46" s="7" t="s">
        <v>146</v>
      </c>
      <c r="G46" s="7" t="s">
        <v>36</v>
      </c>
      <c r="H46" s="216" t="s">
        <v>155</v>
      </c>
      <c r="I46" s="208" t="s">
        <v>153</v>
      </c>
      <c r="J46" s="15" t="s">
        <v>38</v>
      </c>
      <c r="K46" s="7" t="s">
        <v>154</v>
      </c>
      <c r="L46" s="7">
        <v>3</v>
      </c>
      <c r="N46" s="7">
        <v>1</v>
      </c>
      <c r="O46" s="7">
        <v>0.7</v>
      </c>
      <c r="P46" s="34">
        <v>0.8</v>
      </c>
      <c r="Q46" s="52">
        <f t="shared" si="0"/>
        <v>0.75</v>
      </c>
      <c r="R46" s="7">
        <v>11</v>
      </c>
      <c r="S46" s="7">
        <v>106</v>
      </c>
      <c r="T46" s="16">
        <f t="shared" si="1"/>
        <v>33</v>
      </c>
      <c r="U46" s="208">
        <v>51</v>
      </c>
      <c r="V46" s="16">
        <f t="shared" si="2"/>
        <v>1683</v>
      </c>
      <c r="W46" s="7">
        <v>6</v>
      </c>
      <c r="X46" s="15" t="s">
        <v>46</v>
      </c>
      <c r="Y46" s="216" t="s">
        <v>50</v>
      </c>
      <c r="Z46" s="216" t="s">
        <v>84</v>
      </c>
      <c r="AA46" s="216" t="s">
        <v>90</v>
      </c>
      <c r="AB46" s="39" t="s">
        <v>317</v>
      </c>
    </row>
    <row r="47" spans="1:44" x14ac:dyDescent="0.15">
      <c r="A47" s="15" t="s">
        <v>314</v>
      </c>
      <c r="B47" s="15" t="s">
        <v>315</v>
      </c>
      <c r="C47" s="15">
        <v>2018</v>
      </c>
      <c r="D47" s="37" t="s">
        <v>321</v>
      </c>
      <c r="E47" s="7" t="s">
        <v>130</v>
      </c>
      <c r="F47" s="7" t="s">
        <v>146</v>
      </c>
      <c r="G47" s="7" t="s">
        <v>36</v>
      </c>
      <c r="H47" s="15" t="s">
        <v>157</v>
      </c>
      <c r="I47" s="208" t="s">
        <v>153</v>
      </c>
      <c r="J47" s="15" t="s">
        <v>38</v>
      </c>
      <c r="K47" s="7" t="s">
        <v>154</v>
      </c>
      <c r="L47" s="7">
        <v>1</v>
      </c>
      <c r="N47" s="7">
        <v>1</v>
      </c>
      <c r="O47" s="7">
        <v>0.5</v>
      </c>
      <c r="P47" s="7">
        <v>0.5</v>
      </c>
      <c r="Q47" s="52">
        <f t="shared" si="0"/>
        <v>0.5</v>
      </c>
      <c r="R47" s="7">
        <v>15</v>
      </c>
      <c r="S47" s="7">
        <v>134</v>
      </c>
      <c r="T47" s="16">
        <f t="shared" si="1"/>
        <v>25</v>
      </c>
      <c r="U47" s="7">
        <v>145</v>
      </c>
      <c r="V47" s="16">
        <f t="shared" si="2"/>
        <v>3625</v>
      </c>
      <c r="W47" s="7">
        <v>4</v>
      </c>
      <c r="X47" s="15" t="s">
        <v>46</v>
      </c>
      <c r="Y47" s="216" t="s">
        <v>50</v>
      </c>
      <c r="Z47" s="216" t="s">
        <v>84</v>
      </c>
      <c r="AA47" s="216" t="s">
        <v>90</v>
      </c>
      <c r="AB47" s="39" t="s">
        <v>317</v>
      </c>
    </row>
    <row r="48" spans="1:44" x14ac:dyDescent="0.15">
      <c r="A48" s="15" t="s">
        <v>314</v>
      </c>
      <c r="B48" s="15" t="s">
        <v>315</v>
      </c>
      <c r="C48" s="15">
        <v>2018</v>
      </c>
      <c r="D48" s="37" t="s">
        <v>321</v>
      </c>
      <c r="E48" s="7" t="s">
        <v>130</v>
      </c>
      <c r="F48" s="7" t="s">
        <v>146</v>
      </c>
      <c r="G48" s="7" t="s">
        <v>36</v>
      </c>
      <c r="H48" s="216" t="s">
        <v>157</v>
      </c>
      <c r="I48" s="208" t="s">
        <v>153</v>
      </c>
      <c r="J48" s="15" t="s">
        <v>38</v>
      </c>
      <c r="K48" s="7" t="s">
        <v>154</v>
      </c>
      <c r="L48" s="7">
        <v>2</v>
      </c>
      <c r="N48" s="7">
        <v>1</v>
      </c>
      <c r="O48" s="7">
        <v>0.5</v>
      </c>
      <c r="P48" s="7">
        <v>0.5</v>
      </c>
      <c r="Q48" s="52">
        <f t="shared" si="0"/>
        <v>0.5</v>
      </c>
      <c r="R48" s="7">
        <v>16.3</v>
      </c>
      <c r="S48" s="7">
        <v>137</v>
      </c>
      <c r="T48" s="16">
        <f t="shared" si="1"/>
        <v>25</v>
      </c>
      <c r="U48" s="208">
        <v>145</v>
      </c>
      <c r="V48" s="16">
        <f t="shared" si="2"/>
        <v>3625</v>
      </c>
      <c r="W48" s="7">
        <v>4</v>
      </c>
      <c r="X48" s="15" t="s">
        <v>46</v>
      </c>
      <c r="Y48" s="216" t="s">
        <v>50</v>
      </c>
      <c r="Z48" s="216" t="s">
        <v>84</v>
      </c>
      <c r="AA48" s="216" t="s">
        <v>90</v>
      </c>
      <c r="AB48" s="39" t="s">
        <v>317</v>
      </c>
    </row>
    <row r="49" spans="1:29" x14ac:dyDescent="0.15">
      <c r="A49" s="15" t="s">
        <v>314</v>
      </c>
      <c r="B49" s="15" t="s">
        <v>315</v>
      </c>
      <c r="C49" s="15">
        <v>2018</v>
      </c>
      <c r="D49" s="37" t="s">
        <v>321</v>
      </c>
      <c r="E49" s="7" t="s">
        <v>130</v>
      </c>
      <c r="F49" s="7" t="s">
        <v>146</v>
      </c>
      <c r="G49" s="7" t="s">
        <v>36</v>
      </c>
      <c r="H49" s="216" t="s">
        <v>157</v>
      </c>
      <c r="I49" s="208" t="s">
        <v>153</v>
      </c>
      <c r="J49" s="15" t="s">
        <v>38</v>
      </c>
      <c r="K49" s="7" t="s">
        <v>154</v>
      </c>
      <c r="L49" s="7">
        <v>3</v>
      </c>
      <c r="N49" s="7">
        <v>1</v>
      </c>
      <c r="O49" s="7">
        <v>0.5</v>
      </c>
      <c r="P49" s="34">
        <v>0.5</v>
      </c>
      <c r="Q49" s="52">
        <f t="shared" si="0"/>
        <v>0.5</v>
      </c>
      <c r="R49" s="7">
        <v>13.6</v>
      </c>
      <c r="S49" s="7">
        <v>128</v>
      </c>
      <c r="T49" s="16">
        <f t="shared" si="1"/>
        <v>27</v>
      </c>
      <c r="U49" s="208">
        <v>145</v>
      </c>
      <c r="V49" s="16">
        <f t="shared" si="2"/>
        <v>3915</v>
      </c>
      <c r="W49" s="7">
        <v>4</v>
      </c>
      <c r="X49" s="15" t="s">
        <v>46</v>
      </c>
      <c r="Y49" s="216" t="s">
        <v>50</v>
      </c>
      <c r="Z49" s="216" t="s">
        <v>84</v>
      </c>
      <c r="AA49" s="216" t="s">
        <v>90</v>
      </c>
      <c r="AB49" s="39" t="s">
        <v>317</v>
      </c>
    </row>
    <row r="50" spans="1:29" x14ac:dyDescent="0.15">
      <c r="A50" s="15" t="s">
        <v>314</v>
      </c>
      <c r="B50" s="15" t="s">
        <v>315</v>
      </c>
      <c r="C50" s="15">
        <v>2018</v>
      </c>
      <c r="D50" s="37" t="s">
        <v>321</v>
      </c>
      <c r="E50" s="7" t="s">
        <v>132</v>
      </c>
      <c r="F50" s="7" t="s">
        <v>147</v>
      </c>
      <c r="G50" s="7" t="s">
        <v>36</v>
      </c>
      <c r="H50" s="15" t="s">
        <v>155</v>
      </c>
      <c r="I50" s="208" t="s">
        <v>153</v>
      </c>
      <c r="J50" s="15" t="s">
        <v>38</v>
      </c>
      <c r="K50" s="7" t="s">
        <v>154</v>
      </c>
      <c r="L50" s="7">
        <v>1</v>
      </c>
      <c r="N50" s="7">
        <v>1</v>
      </c>
      <c r="O50" s="7">
        <v>0.5</v>
      </c>
      <c r="P50" s="7">
        <v>0.5</v>
      </c>
      <c r="Q50" s="52">
        <f t="shared" si="0"/>
        <v>0.5</v>
      </c>
      <c r="R50" s="7">
        <v>15.6</v>
      </c>
      <c r="S50" s="7">
        <v>157</v>
      </c>
      <c r="T50" s="16">
        <f t="shared" si="1"/>
        <v>18</v>
      </c>
      <c r="U50" s="208">
        <v>77</v>
      </c>
      <c r="V50" s="16">
        <f t="shared" si="2"/>
        <v>1386</v>
      </c>
      <c r="W50" s="7">
        <v>11</v>
      </c>
      <c r="X50" s="15" t="s">
        <v>46</v>
      </c>
      <c r="Y50" s="216" t="s">
        <v>50</v>
      </c>
      <c r="Z50" s="216" t="s">
        <v>78</v>
      </c>
      <c r="AA50" s="216" t="s">
        <v>102</v>
      </c>
      <c r="AB50" s="39" t="s">
        <v>317</v>
      </c>
    </row>
    <row r="51" spans="1:29" x14ac:dyDescent="0.15">
      <c r="A51" s="15" t="s">
        <v>314</v>
      </c>
      <c r="B51" s="15" t="s">
        <v>315</v>
      </c>
      <c r="C51" s="15">
        <v>2018</v>
      </c>
      <c r="D51" s="37" t="s">
        <v>321</v>
      </c>
      <c r="E51" s="7" t="s">
        <v>132</v>
      </c>
      <c r="F51" s="7" t="s">
        <v>147</v>
      </c>
      <c r="G51" s="7" t="s">
        <v>36</v>
      </c>
      <c r="H51" s="216" t="s">
        <v>155</v>
      </c>
      <c r="I51" s="208" t="s">
        <v>153</v>
      </c>
      <c r="J51" s="15" t="s">
        <v>38</v>
      </c>
      <c r="K51" s="7" t="s">
        <v>154</v>
      </c>
      <c r="L51" s="7">
        <v>2</v>
      </c>
      <c r="N51" s="7">
        <v>1</v>
      </c>
      <c r="O51" s="7">
        <v>0.65</v>
      </c>
      <c r="P51" s="7">
        <v>0.65</v>
      </c>
      <c r="Q51" s="52">
        <f t="shared" si="0"/>
        <v>0.65</v>
      </c>
      <c r="R51" s="7">
        <v>15.4</v>
      </c>
      <c r="S51" s="7">
        <v>150</v>
      </c>
      <c r="T51" s="16">
        <f t="shared" si="1"/>
        <v>22</v>
      </c>
      <c r="U51" s="208">
        <v>77</v>
      </c>
      <c r="V51" s="16">
        <f t="shared" si="2"/>
        <v>1694</v>
      </c>
      <c r="W51" s="7">
        <v>11</v>
      </c>
      <c r="X51" s="15" t="s">
        <v>46</v>
      </c>
      <c r="Y51" s="216" t="s">
        <v>50</v>
      </c>
      <c r="Z51" s="216" t="s">
        <v>78</v>
      </c>
      <c r="AA51" s="216" t="s">
        <v>102</v>
      </c>
      <c r="AB51" s="39" t="s">
        <v>317</v>
      </c>
    </row>
    <row r="52" spans="1:29" x14ac:dyDescent="0.15">
      <c r="A52" s="15" t="s">
        <v>314</v>
      </c>
      <c r="B52" s="15" t="s">
        <v>315</v>
      </c>
      <c r="C52" s="15">
        <v>2018</v>
      </c>
      <c r="D52" s="37" t="s">
        <v>321</v>
      </c>
      <c r="E52" s="7" t="s">
        <v>132</v>
      </c>
      <c r="F52" s="7" t="s">
        <v>147</v>
      </c>
      <c r="G52" s="7" t="s">
        <v>36</v>
      </c>
      <c r="H52" s="216" t="s">
        <v>155</v>
      </c>
      <c r="I52" s="208" t="s">
        <v>153</v>
      </c>
      <c r="J52" s="15" t="s">
        <v>38</v>
      </c>
      <c r="K52" s="7" t="s">
        <v>154</v>
      </c>
      <c r="L52" s="7">
        <v>3</v>
      </c>
      <c r="N52" s="7">
        <v>1</v>
      </c>
      <c r="O52" s="7">
        <v>0.5</v>
      </c>
      <c r="P52" s="7">
        <v>0.75</v>
      </c>
      <c r="Q52" s="52">
        <f t="shared" si="0"/>
        <v>0.625</v>
      </c>
      <c r="R52" s="7">
        <v>17.2</v>
      </c>
      <c r="S52" s="7">
        <v>167</v>
      </c>
      <c r="T52" s="16">
        <f t="shared" si="1"/>
        <v>18</v>
      </c>
      <c r="U52" s="208">
        <v>77</v>
      </c>
      <c r="V52" s="16">
        <f t="shared" si="2"/>
        <v>1386</v>
      </c>
      <c r="W52" s="7">
        <v>11</v>
      </c>
      <c r="X52" s="15" t="s">
        <v>46</v>
      </c>
      <c r="Y52" s="216" t="s">
        <v>50</v>
      </c>
      <c r="Z52" s="216" t="s">
        <v>78</v>
      </c>
      <c r="AA52" s="216" t="s">
        <v>102</v>
      </c>
      <c r="AB52" s="39" t="s">
        <v>317</v>
      </c>
    </row>
    <row r="53" spans="1:29" x14ac:dyDescent="0.15">
      <c r="A53" s="15" t="s">
        <v>314</v>
      </c>
      <c r="B53" s="15" t="s">
        <v>315</v>
      </c>
      <c r="C53" s="15">
        <v>2018</v>
      </c>
      <c r="D53" s="37" t="s">
        <v>321</v>
      </c>
      <c r="E53" s="7" t="s">
        <v>132</v>
      </c>
      <c r="F53" s="7" t="s">
        <v>147</v>
      </c>
      <c r="G53" s="7" t="s">
        <v>36</v>
      </c>
      <c r="H53" s="15" t="s">
        <v>157</v>
      </c>
      <c r="I53" s="208" t="s">
        <v>153</v>
      </c>
      <c r="J53" s="15" t="s">
        <v>38</v>
      </c>
      <c r="K53" s="7" t="s">
        <v>154</v>
      </c>
      <c r="L53" s="7">
        <v>1</v>
      </c>
      <c r="N53" s="7">
        <v>1</v>
      </c>
      <c r="O53" s="7">
        <v>0.5</v>
      </c>
      <c r="P53" s="7">
        <v>0.65</v>
      </c>
      <c r="Q53" s="52">
        <f t="shared" si="0"/>
        <v>0.57499999999999996</v>
      </c>
      <c r="R53" s="7">
        <v>15.3</v>
      </c>
      <c r="S53" s="7">
        <v>121</v>
      </c>
      <c r="T53" s="16">
        <f t="shared" si="1"/>
        <v>27</v>
      </c>
      <c r="U53" s="7">
        <v>97</v>
      </c>
      <c r="V53" s="16">
        <f t="shared" si="2"/>
        <v>2619</v>
      </c>
      <c r="W53" s="7">
        <v>8</v>
      </c>
      <c r="X53" s="15" t="s">
        <v>46</v>
      </c>
      <c r="Y53" s="216" t="s">
        <v>50</v>
      </c>
      <c r="Z53" s="216" t="s">
        <v>78</v>
      </c>
      <c r="AA53" s="216" t="s">
        <v>102</v>
      </c>
      <c r="AB53" s="39" t="s">
        <v>317</v>
      </c>
      <c r="AC53" s="36"/>
    </row>
    <row r="54" spans="1:29" x14ac:dyDescent="0.15">
      <c r="A54" s="15" t="s">
        <v>314</v>
      </c>
      <c r="B54" s="15" t="s">
        <v>315</v>
      </c>
      <c r="C54" s="15">
        <v>2018</v>
      </c>
      <c r="D54" s="37" t="s">
        <v>321</v>
      </c>
      <c r="E54" s="7" t="s">
        <v>132</v>
      </c>
      <c r="F54" s="7" t="s">
        <v>147</v>
      </c>
      <c r="G54" s="7" t="s">
        <v>36</v>
      </c>
      <c r="H54" s="216" t="s">
        <v>157</v>
      </c>
      <c r="I54" s="208" t="s">
        <v>153</v>
      </c>
      <c r="J54" s="216" t="s">
        <v>38</v>
      </c>
      <c r="K54" s="7" t="s">
        <v>154</v>
      </c>
      <c r="L54" s="7">
        <v>2</v>
      </c>
      <c r="N54" s="7">
        <v>1</v>
      </c>
      <c r="O54" s="7">
        <v>0.5</v>
      </c>
      <c r="P54" s="7">
        <v>0.5</v>
      </c>
      <c r="Q54" s="52">
        <f t="shared" si="0"/>
        <v>0.5</v>
      </c>
      <c r="R54" s="7">
        <v>15</v>
      </c>
      <c r="S54" s="7">
        <v>126</v>
      </c>
      <c r="T54" s="16">
        <f t="shared" si="1"/>
        <v>27</v>
      </c>
      <c r="U54" s="208">
        <v>97</v>
      </c>
      <c r="V54" s="16">
        <f t="shared" si="2"/>
        <v>2619</v>
      </c>
      <c r="W54" s="7">
        <v>8</v>
      </c>
      <c r="X54" s="15" t="s">
        <v>46</v>
      </c>
      <c r="Y54" s="216" t="s">
        <v>50</v>
      </c>
      <c r="Z54" s="216" t="s">
        <v>78</v>
      </c>
      <c r="AA54" s="216" t="s">
        <v>102</v>
      </c>
      <c r="AB54" s="39" t="s">
        <v>317</v>
      </c>
      <c r="AC54" s="36"/>
    </row>
    <row r="55" spans="1:29" x14ac:dyDescent="0.15">
      <c r="A55" s="15" t="s">
        <v>314</v>
      </c>
      <c r="B55" s="15" t="s">
        <v>315</v>
      </c>
      <c r="C55" s="15">
        <v>2018</v>
      </c>
      <c r="D55" s="37" t="s">
        <v>321</v>
      </c>
      <c r="E55" s="7" t="s">
        <v>132</v>
      </c>
      <c r="F55" s="7" t="s">
        <v>147</v>
      </c>
      <c r="G55" s="7" t="s">
        <v>36</v>
      </c>
      <c r="H55" s="216" t="s">
        <v>157</v>
      </c>
      <c r="I55" s="208" t="s">
        <v>153</v>
      </c>
      <c r="J55" s="216" t="s">
        <v>38</v>
      </c>
      <c r="K55" s="7" t="s">
        <v>154</v>
      </c>
      <c r="L55" s="7">
        <v>3</v>
      </c>
      <c r="N55" s="208">
        <v>1</v>
      </c>
      <c r="O55" s="7">
        <v>0.5</v>
      </c>
      <c r="P55" s="7">
        <v>0.55000000000000004</v>
      </c>
      <c r="Q55" s="52">
        <f t="shared" si="0"/>
        <v>0.52500000000000002</v>
      </c>
      <c r="R55" s="7">
        <v>15.2</v>
      </c>
      <c r="S55" s="7">
        <v>124</v>
      </c>
      <c r="T55" s="16">
        <f t="shared" si="1"/>
        <v>27</v>
      </c>
      <c r="U55" s="208">
        <v>97</v>
      </c>
      <c r="V55" s="16">
        <f t="shared" si="2"/>
        <v>2619</v>
      </c>
      <c r="W55" s="7">
        <v>8</v>
      </c>
      <c r="X55" s="15" t="s">
        <v>46</v>
      </c>
      <c r="Y55" s="216" t="s">
        <v>50</v>
      </c>
      <c r="Z55" s="216" t="s">
        <v>78</v>
      </c>
      <c r="AA55" s="216" t="s">
        <v>102</v>
      </c>
      <c r="AB55" s="39" t="s">
        <v>317</v>
      </c>
      <c r="AC55" s="36"/>
    </row>
    <row r="56" spans="1:29" x14ac:dyDescent="0.15">
      <c r="A56" s="15" t="s">
        <v>314</v>
      </c>
      <c r="B56" s="15" t="s">
        <v>315</v>
      </c>
      <c r="C56" s="15">
        <v>2018</v>
      </c>
      <c r="D56" s="37" t="s">
        <v>321</v>
      </c>
      <c r="E56" s="7" t="s">
        <v>140</v>
      </c>
      <c r="F56" s="7" t="s">
        <v>148</v>
      </c>
      <c r="G56" s="7" t="s">
        <v>36</v>
      </c>
      <c r="H56" s="15" t="s">
        <v>155</v>
      </c>
      <c r="I56" s="208" t="s">
        <v>153</v>
      </c>
      <c r="J56" s="15" t="s">
        <v>38</v>
      </c>
      <c r="K56" s="7" t="s">
        <v>154</v>
      </c>
      <c r="L56" s="7">
        <v>1</v>
      </c>
      <c r="N56" s="208">
        <v>1</v>
      </c>
      <c r="O56" s="7">
        <v>0.5</v>
      </c>
      <c r="P56" s="7">
        <v>0.6</v>
      </c>
      <c r="Q56" s="52">
        <f t="shared" si="0"/>
        <v>0.55000000000000004</v>
      </c>
      <c r="R56" s="7">
        <v>15.6</v>
      </c>
      <c r="S56" s="7">
        <v>107</v>
      </c>
      <c r="T56" s="16">
        <f t="shared" si="1"/>
        <v>33</v>
      </c>
      <c r="U56" s="208">
        <v>73</v>
      </c>
      <c r="V56" s="16">
        <f t="shared" si="2"/>
        <v>2409</v>
      </c>
      <c r="W56" s="7">
        <v>14</v>
      </c>
      <c r="X56" s="15" t="s">
        <v>46</v>
      </c>
      <c r="Y56" s="216" t="s">
        <v>50</v>
      </c>
      <c r="Z56" s="216" t="s">
        <v>55</v>
      </c>
      <c r="AA56" s="216" t="s">
        <v>102</v>
      </c>
      <c r="AB56" s="39" t="s">
        <v>317</v>
      </c>
    </row>
    <row r="57" spans="1:29" x14ac:dyDescent="0.15">
      <c r="A57" s="15" t="s">
        <v>314</v>
      </c>
      <c r="B57" s="15" t="s">
        <v>315</v>
      </c>
      <c r="C57" s="15">
        <v>2018</v>
      </c>
      <c r="D57" s="37" t="s">
        <v>321</v>
      </c>
      <c r="E57" s="7" t="s">
        <v>140</v>
      </c>
      <c r="F57" s="7" t="s">
        <v>148</v>
      </c>
      <c r="G57" s="7" t="s">
        <v>36</v>
      </c>
      <c r="H57" s="216" t="s">
        <v>155</v>
      </c>
      <c r="I57" s="208" t="s">
        <v>153</v>
      </c>
      <c r="J57" s="15" t="s">
        <v>38</v>
      </c>
      <c r="K57" s="7" t="s">
        <v>154</v>
      </c>
      <c r="L57" s="7">
        <v>2</v>
      </c>
      <c r="N57" s="208">
        <v>1</v>
      </c>
      <c r="O57" s="7">
        <v>0.55000000000000004</v>
      </c>
      <c r="P57" s="7">
        <v>0.65</v>
      </c>
      <c r="Q57" s="52">
        <f t="shared" si="0"/>
        <v>0.60000000000000009</v>
      </c>
      <c r="R57" s="7">
        <v>13.7</v>
      </c>
      <c r="S57" s="7">
        <v>100</v>
      </c>
      <c r="T57" s="16">
        <f t="shared" si="1"/>
        <v>33</v>
      </c>
      <c r="U57" s="208">
        <v>73</v>
      </c>
      <c r="V57" s="16">
        <f t="shared" si="2"/>
        <v>2409</v>
      </c>
      <c r="W57" s="7">
        <v>14</v>
      </c>
      <c r="X57" s="15" t="s">
        <v>46</v>
      </c>
      <c r="Y57" s="216" t="s">
        <v>50</v>
      </c>
      <c r="Z57" s="216" t="s">
        <v>55</v>
      </c>
      <c r="AA57" s="216" t="s">
        <v>102</v>
      </c>
      <c r="AB57" s="39" t="s">
        <v>317</v>
      </c>
    </row>
    <row r="58" spans="1:29" x14ac:dyDescent="0.15">
      <c r="A58" s="15" t="s">
        <v>314</v>
      </c>
      <c r="B58" s="15" t="s">
        <v>315</v>
      </c>
      <c r="C58" s="15">
        <v>2018</v>
      </c>
      <c r="D58" s="37" t="s">
        <v>321</v>
      </c>
      <c r="E58" s="7" t="s">
        <v>140</v>
      </c>
      <c r="F58" s="7" t="s">
        <v>148</v>
      </c>
      <c r="G58" s="7" t="s">
        <v>36</v>
      </c>
      <c r="H58" s="216" t="s">
        <v>155</v>
      </c>
      <c r="I58" s="208" t="s">
        <v>153</v>
      </c>
      <c r="J58" s="15" t="s">
        <v>38</v>
      </c>
      <c r="K58" s="7" t="s">
        <v>154</v>
      </c>
      <c r="L58" s="7">
        <v>3</v>
      </c>
      <c r="N58" s="208">
        <v>1</v>
      </c>
      <c r="O58" s="7">
        <v>0.65</v>
      </c>
      <c r="P58" s="7">
        <v>0.7</v>
      </c>
      <c r="Q58" s="52">
        <f t="shared" si="0"/>
        <v>0.67500000000000004</v>
      </c>
      <c r="R58" s="7">
        <v>13.5</v>
      </c>
      <c r="S58" s="7">
        <v>105</v>
      </c>
      <c r="T58" s="16">
        <f t="shared" si="1"/>
        <v>33</v>
      </c>
      <c r="U58" s="208">
        <v>73</v>
      </c>
      <c r="V58" s="16">
        <f t="shared" si="2"/>
        <v>2409</v>
      </c>
      <c r="W58" s="7">
        <v>14</v>
      </c>
      <c r="X58" s="15" t="s">
        <v>46</v>
      </c>
      <c r="Y58" s="216" t="s">
        <v>50</v>
      </c>
      <c r="Z58" s="216" t="s">
        <v>55</v>
      </c>
      <c r="AA58" s="216" t="s">
        <v>102</v>
      </c>
      <c r="AB58" s="39" t="s">
        <v>317</v>
      </c>
    </row>
    <row r="59" spans="1:29" x14ac:dyDescent="0.15">
      <c r="A59" s="15" t="s">
        <v>314</v>
      </c>
      <c r="B59" s="15" t="s">
        <v>315</v>
      </c>
      <c r="C59" s="15">
        <v>2018</v>
      </c>
      <c r="D59" s="37" t="s">
        <v>321</v>
      </c>
      <c r="E59" s="7" t="s">
        <v>140</v>
      </c>
      <c r="F59" s="7" t="s">
        <v>148</v>
      </c>
      <c r="G59" s="7" t="s">
        <v>36</v>
      </c>
      <c r="H59" s="15" t="s">
        <v>157</v>
      </c>
      <c r="I59" s="208" t="s">
        <v>153</v>
      </c>
      <c r="J59" s="15" t="s">
        <v>38</v>
      </c>
      <c r="K59" s="7" t="s">
        <v>154</v>
      </c>
      <c r="L59" s="7">
        <v>1</v>
      </c>
      <c r="N59" s="208">
        <v>1</v>
      </c>
      <c r="O59" s="7">
        <v>0.5</v>
      </c>
      <c r="P59" s="7">
        <v>0.5</v>
      </c>
      <c r="Q59" s="52">
        <f t="shared" si="0"/>
        <v>0.5</v>
      </c>
      <c r="R59" s="7">
        <v>15.4</v>
      </c>
      <c r="S59" s="7">
        <v>132</v>
      </c>
      <c r="T59" s="16">
        <f t="shared" si="1"/>
        <v>25</v>
      </c>
      <c r="U59" s="7">
        <v>105</v>
      </c>
      <c r="V59" s="16">
        <f t="shared" si="2"/>
        <v>2625</v>
      </c>
      <c r="W59" s="7">
        <v>8</v>
      </c>
      <c r="X59" s="15" t="s">
        <v>46</v>
      </c>
      <c r="Y59" s="216" t="s">
        <v>50</v>
      </c>
      <c r="Z59" s="216" t="s">
        <v>55</v>
      </c>
      <c r="AA59" s="216" t="s">
        <v>102</v>
      </c>
      <c r="AB59" s="39" t="s">
        <v>317</v>
      </c>
    </row>
    <row r="60" spans="1:29" x14ac:dyDescent="0.15">
      <c r="A60" s="15" t="s">
        <v>314</v>
      </c>
      <c r="B60" s="15" t="s">
        <v>315</v>
      </c>
      <c r="C60" s="15">
        <v>2018</v>
      </c>
      <c r="D60" s="37" t="s">
        <v>321</v>
      </c>
      <c r="E60" s="7" t="s">
        <v>140</v>
      </c>
      <c r="F60" s="7" t="s">
        <v>148</v>
      </c>
      <c r="G60" s="7" t="s">
        <v>36</v>
      </c>
      <c r="H60" s="216" t="s">
        <v>157</v>
      </c>
      <c r="I60" s="208" t="s">
        <v>153</v>
      </c>
      <c r="J60" s="15" t="s">
        <v>38</v>
      </c>
      <c r="K60" s="7" t="s">
        <v>154</v>
      </c>
      <c r="L60" s="7">
        <v>2</v>
      </c>
      <c r="N60" s="7">
        <v>1</v>
      </c>
      <c r="O60" s="7">
        <v>0.6</v>
      </c>
      <c r="P60" s="7">
        <v>0.6</v>
      </c>
      <c r="Q60" s="52">
        <f t="shared" si="0"/>
        <v>0.6</v>
      </c>
      <c r="R60" s="7">
        <v>16</v>
      </c>
      <c r="S60" s="7">
        <v>130</v>
      </c>
      <c r="T60" s="16">
        <f>IF(H60="","",IF(OR(H60="GREEN",H60="GK"),IF(S60&gt;=$AX$2,VLOOKUP(S60,$AX$2:$AY$12,2,1),""),IF(S60&gt;=$AZ$2,VLOOKUP(S60,$AZ$2:$BA$12,2,1),"")))</f>
        <v>25</v>
      </c>
      <c r="U60" s="208">
        <v>105</v>
      </c>
      <c r="V60" s="16">
        <f t="shared" si="2"/>
        <v>2625</v>
      </c>
      <c r="W60" s="7">
        <v>8</v>
      </c>
      <c r="X60" s="216" t="s">
        <v>46</v>
      </c>
      <c r="Y60" s="216" t="s">
        <v>50</v>
      </c>
      <c r="Z60" s="216" t="s">
        <v>55</v>
      </c>
      <c r="AA60" s="216" t="s">
        <v>102</v>
      </c>
      <c r="AB60" s="39" t="s">
        <v>317</v>
      </c>
    </row>
    <row r="61" spans="1:29" x14ac:dyDescent="0.15">
      <c r="A61" s="15" t="s">
        <v>314</v>
      </c>
      <c r="B61" s="15" t="s">
        <v>315</v>
      </c>
      <c r="C61" s="15">
        <v>2018</v>
      </c>
      <c r="D61" s="37" t="s">
        <v>321</v>
      </c>
      <c r="E61" s="7" t="s">
        <v>140</v>
      </c>
      <c r="F61" s="7" t="s">
        <v>148</v>
      </c>
      <c r="G61" s="7" t="s">
        <v>36</v>
      </c>
      <c r="H61" s="216" t="s">
        <v>157</v>
      </c>
      <c r="I61" s="208" t="s">
        <v>153</v>
      </c>
      <c r="J61" s="15" t="s">
        <v>38</v>
      </c>
      <c r="K61" s="7" t="s">
        <v>154</v>
      </c>
      <c r="L61" s="7">
        <v>3</v>
      </c>
      <c r="N61" s="7">
        <v>1</v>
      </c>
      <c r="O61" s="7">
        <v>0.5</v>
      </c>
      <c r="P61" s="7">
        <v>0.5</v>
      </c>
      <c r="Q61" s="52">
        <f t="shared" si="0"/>
        <v>0.5</v>
      </c>
      <c r="R61" s="7">
        <v>15</v>
      </c>
      <c r="S61" s="7">
        <v>128</v>
      </c>
      <c r="T61" s="16">
        <f>IF(H61="","",IF(OR(H61="GREEN",H61="GK"),IF(S61&gt;=$AX$2,VLOOKUP(S61,$AX$2:$AY$12,2,1),""),IF(S61&gt;=$AZ$2,VLOOKUP(S61,$AZ$2:$BA$12,2,1),"")))</f>
        <v>27</v>
      </c>
      <c r="U61" s="208">
        <v>105</v>
      </c>
      <c r="V61" s="16">
        <f t="shared" si="2"/>
        <v>2835</v>
      </c>
      <c r="W61" s="7">
        <v>8</v>
      </c>
      <c r="X61" s="216" t="s">
        <v>46</v>
      </c>
      <c r="Y61" s="216" t="s">
        <v>50</v>
      </c>
      <c r="Z61" s="216" t="s">
        <v>55</v>
      </c>
      <c r="AA61" s="216" t="s">
        <v>102</v>
      </c>
      <c r="AB61" s="39" t="s">
        <v>317</v>
      </c>
    </row>
    <row r="62" spans="1:29" x14ac:dyDescent="0.15">
      <c r="A62" s="15"/>
      <c r="B62" s="15"/>
      <c r="C62" s="15"/>
      <c r="D62" s="37"/>
      <c r="H62" s="15"/>
      <c r="I62" s="208"/>
      <c r="J62" s="15"/>
      <c r="Q62" s="52" t="str">
        <f t="shared" si="0"/>
        <v/>
      </c>
      <c r="T62" s="16" t="str">
        <f t="shared" ref="T62:T120" si="3">IF(H62="","",IF(OR(H62="GREEN",H62="GK"),IF(S62&gt;=$AX$2,VLOOKUP(S62,$AX$2:$AY$12,2,1),""),IF(S62&gt;=$AZ$2,VLOOKUP(S62,$AZ$2:$BA$12,2,1),"")))</f>
        <v/>
      </c>
      <c r="V62" s="16" t="str">
        <f t="shared" si="2"/>
        <v/>
      </c>
      <c r="X62" s="216"/>
      <c r="Y62" s="216"/>
      <c r="Z62" s="216"/>
      <c r="AA62" s="216"/>
      <c r="AB62" s="39"/>
    </row>
    <row r="63" spans="1:29" x14ac:dyDescent="0.15">
      <c r="A63" s="15"/>
      <c r="B63" s="15"/>
      <c r="C63" s="15"/>
      <c r="D63" s="37"/>
      <c r="H63" s="216"/>
      <c r="I63" s="208"/>
      <c r="J63" s="15"/>
      <c r="Q63" s="52" t="str">
        <f t="shared" si="0"/>
        <v/>
      </c>
      <c r="T63" s="16" t="str">
        <f t="shared" si="3"/>
        <v/>
      </c>
      <c r="U63" s="208"/>
      <c r="V63" s="16" t="str">
        <f t="shared" si="2"/>
        <v/>
      </c>
      <c r="X63" s="216"/>
      <c r="Y63" s="216"/>
      <c r="Z63" s="216"/>
      <c r="AA63" s="216"/>
      <c r="AB63" s="39"/>
    </row>
    <row r="64" spans="1:29" x14ac:dyDescent="0.15">
      <c r="A64" s="15"/>
      <c r="B64" s="15"/>
      <c r="C64" s="15"/>
      <c r="D64" s="37"/>
      <c r="H64" s="216"/>
      <c r="I64" s="208"/>
      <c r="J64" s="15"/>
      <c r="Q64" s="52" t="str">
        <f t="shared" si="0"/>
        <v/>
      </c>
      <c r="T64" s="16" t="str">
        <f t="shared" si="3"/>
        <v/>
      </c>
      <c r="U64" s="208"/>
      <c r="V64" s="16" t="str">
        <f t="shared" si="2"/>
        <v/>
      </c>
      <c r="X64" s="216"/>
      <c r="Y64" s="216"/>
      <c r="Z64" s="216"/>
      <c r="AA64" s="216"/>
      <c r="AB64" s="39"/>
    </row>
    <row r="65" spans="1:28" x14ac:dyDescent="0.15">
      <c r="A65" s="15"/>
      <c r="B65" s="15"/>
      <c r="C65" s="15"/>
      <c r="D65" s="37"/>
      <c r="H65" s="15"/>
      <c r="I65" s="208"/>
      <c r="J65" s="15"/>
      <c r="Q65" s="52" t="str">
        <f t="shared" si="0"/>
        <v/>
      </c>
      <c r="T65" s="16" t="str">
        <f t="shared" si="3"/>
        <v/>
      </c>
      <c r="V65" s="16" t="str">
        <f t="shared" si="2"/>
        <v/>
      </c>
      <c r="X65" s="216"/>
      <c r="Y65" s="216"/>
      <c r="Z65" s="216"/>
      <c r="AA65" s="216"/>
      <c r="AB65" s="39"/>
    </row>
    <row r="66" spans="1:28" x14ac:dyDescent="0.15">
      <c r="A66" s="15"/>
      <c r="B66" s="15"/>
      <c r="C66" s="15"/>
      <c r="D66" s="37"/>
      <c r="H66" s="216"/>
      <c r="I66" s="208"/>
      <c r="J66" s="15"/>
      <c r="Q66" s="52" t="str">
        <f t="shared" ref="Q66:Q77" si="4">IF(OR(O66="",P66=""),"",AVERAGE(O66,P66))</f>
        <v/>
      </c>
      <c r="T66" s="16" t="str">
        <f t="shared" si="3"/>
        <v/>
      </c>
      <c r="U66" s="208"/>
      <c r="V66" s="16" t="str">
        <f t="shared" ref="V66:V70" si="5">IF(OR(N66="",U66="",T66=""),"",U66/N66*T66)</f>
        <v/>
      </c>
      <c r="X66" s="216"/>
      <c r="Y66" s="216"/>
      <c r="Z66" s="216"/>
      <c r="AA66" s="216"/>
      <c r="AB66" s="39"/>
    </row>
    <row r="67" spans="1:28" x14ac:dyDescent="0.15">
      <c r="A67" s="15"/>
      <c r="B67" s="15"/>
      <c r="C67" s="15"/>
      <c r="D67" s="37"/>
      <c r="H67" s="216"/>
      <c r="I67" s="208"/>
      <c r="J67" s="15"/>
      <c r="Q67" s="52" t="str">
        <f t="shared" si="4"/>
        <v/>
      </c>
      <c r="T67" s="16" t="str">
        <f t="shared" si="3"/>
        <v/>
      </c>
      <c r="U67" s="208"/>
      <c r="V67" s="16" t="str">
        <f t="shared" si="5"/>
        <v/>
      </c>
      <c r="X67" s="216"/>
      <c r="Y67" s="216"/>
      <c r="Z67" s="216"/>
      <c r="AA67" s="216"/>
      <c r="AB67" s="39"/>
    </row>
    <row r="68" spans="1:28" x14ac:dyDescent="0.15">
      <c r="A68" s="15"/>
      <c r="B68" s="15"/>
      <c r="C68" s="15"/>
      <c r="D68" s="37"/>
      <c r="H68" s="15"/>
      <c r="I68" s="208"/>
      <c r="J68" s="15"/>
      <c r="Q68" s="52" t="str">
        <f t="shared" si="4"/>
        <v/>
      </c>
      <c r="T68" s="16" t="str">
        <f t="shared" si="3"/>
        <v/>
      </c>
      <c r="V68" s="16" t="str">
        <f t="shared" si="5"/>
        <v/>
      </c>
      <c r="X68" s="216"/>
      <c r="Y68" s="216"/>
      <c r="Z68" s="216"/>
      <c r="AA68" s="216"/>
      <c r="AB68" s="39"/>
    </row>
    <row r="69" spans="1:28" x14ac:dyDescent="0.15">
      <c r="A69" s="15"/>
      <c r="B69" s="15"/>
      <c r="C69" s="15"/>
      <c r="D69" s="37"/>
      <c r="H69" s="216"/>
      <c r="I69" s="208"/>
      <c r="J69" s="15"/>
      <c r="N69" s="208"/>
      <c r="Q69" s="52" t="str">
        <f t="shared" si="4"/>
        <v/>
      </c>
      <c r="T69" s="16" t="str">
        <f t="shared" si="3"/>
        <v/>
      </c>
      <c r="U69" s="208"/>
      <c r="V69" s="16" t="str">
        <f t="shared" si="5"/>
        <v/>
      </c>
      <c r="X69" s="216"/>
      <c r="Y69" s="216"/>
      <c r="Z69" s="216"/>
      <c r="AA69" s="216"/>
      <c r="AB69" s="39"/>
    </row>
    <row r="70" spans="1:28" x14ac:dyDescent="0.15">
      <c r="A70" s="15"/>
      <c r="B70" s="15"/>
      <c r="C70" s="15"/>
      <c r="D70" s="37"/>
      <c r="H70" s="216"/>
      <c r="I70" s="208"/>
      <c r="J70" s="15"/>
      <c r="N70" s="208"/>
      <c r="Q70" s="52" t="str">
        <f t="shared" si="4"/>
        <v/>
      </c>
      <c r="T70" s="16" t="str">
        <f t="shared" si="3"/>
        <v/>
      </c>
      <c r="U70" s="208"/>
      <c r="V70" s="16" t="str">
        <f t="shared" si="5"/>
        <v/>
      </c>
      <c r="X70" s="216"/>
      <c r="Y70" s="216"/>
      <c r="Z70" s="216"/>
      <c r="AA70" s="216"/>
      <c r="AB70" s="39"/>
    </row>
    <row r="71" spans="1:28" x14ac:dyDescent="0.15">
      <c r="A71" s="15"/>
      <c r="B71" s="15"/>
      <c r="C71" s="15"/>
      <c r="D71" s="37"/>
      <c r="H71" s="15"/>
      <c r="I71" s="208"/>
      <c r="J71" s="15"/>
      <c r="N71" s="208"/>
      <c r="Q71" s="52" t="str">
        <f t="shared" si="4"/>
        <v/>
      </c>
      <c r="T71" s="16" t="str">
        <f t="shared" si="3"/>
        <v/>
      </c>
      <c r="V71" s="16" t="str">
        <f>IF(OR(N71="",U71="",T71=""),"",U71/N71*T71)</f>
        <v/>
      </c>
      <c r="X71" s="15"/>
      <c r="Y71" s="15"/>
      <c r="Z71" s="15"/>
      <c r="AA71" s="15"/>
      <c r="AB71" s="39"/>
    </row>
    <row r="72" spans="1:28" x14ac:dyDescent="0.15">
      <c r="A72" s="15"/>
      <c r="B72" s="15"/>
      <c r="C72" s="15"/>
      <c r="D72" s="37"/>
      <c r="H72" s="216"/>
      <c r="I72" s="208"/>
      <c r="J72" s="216"/>
      <c r="K72" s="208"/>
      <c r="N72" s="208"/>
      <c r="Q72" s="52" t="str">
        <f t="shared" si="4"/>
        <v/>
      </c>
      <c r="T72" s="16" t="str">
        <f t="shared" si="3"/>
        <v/>
      </c>
      <c r="U72" s="208"/>
      <c r="V72" s="16" t="str">
        <f t="shared" ref="V72:V74" si="6">IF(OR(N72="",U72="",T72=""),"",U72/N72*T72)</f>
        <v/>
      </c>
      <c r="X72" s="15"/>
      <c r="Y72" s="216"/>
      <c r="Z72" s="216"/>
      <c r="AA72" s="216"/>
      <c r="AB72" s="39"/>
    </row>
    <row r="73" spans="1:28" x14ac:dyDescent="0.15">
      <c r="A73" s="15"/>
      <c r="B73" s="15"/>
      <c r="C73" s="15"/>
      <c r="D73" s="37"/>
      <c r="H73" s="216"/>
      <c r="I73" s="208"/>
      <c r="J73" s="216"/>
      <c r="K73" s="208"/>
      <c r="N73" s="208"/>
      <c r="Q73" s="52" t="str">
        <f t="shared" si="4"/>
        <v/>
      </c>
      <c r="T73" s="16" t="str">
        <f t="shared" si="3"/>
        <v/>
      </c>
      <c r="U73" s="208"/>
      <c r="V73" s="16" t="str">
        <f>IF(OR(N73="",U73="",T73=""),"",U73/N73*T73)</f>
        <v/>
      </c>
      <c r="X73" s="15"/>
      <c r="Y73" s="216"/>
      <c r="Z73" s="216"/>
      <c r="AA73" s="216"/>
      <c r="AB73" s="39"/>
    </row>
    <row r="74" spans="1:28" x14ac:dyDescent="0.15">
      <c r="A74" s="15"/>
      <c r="B74" s="15"/>
      <c r="C74" s="15"/>
      <c r="D74" s="37"/>
      <c r="H74" s="15"/>
      <c r="I74" s="208"/>
      <c r="J74" s="15"/>
      <c r="N74" s="208"/>
      <c r="Q74" s="52" t="str">
        <f t="shared" si="4"/>
        <v/>
      </c>
      <c r="T74" s="16" t="str">
        <f t="shared" si="3"/>
        <v/>
      </c>
      <c r="V74" s="16" t="str">
        <f t="shared" si="6"/>
        <v/>
      </c>
      <c r="X74" s="15"/>
      <c r="Y74" s="216"/>
      <c r="Z74" s="216"/>
      <c r="AA74" s="216"/>
      <c r="AB74" s="39"/>
    </row>
    <row r="75" spans="1:28" x14ac:dyDescent="0.15">
      <c r="A75" s="15"/>
      <c r="B75" s="15"/>
      <c r="C75" s="15"/>
      <c r="D75" s="37"/>
      <c r="H75" s="216"/>
      <c r="I75" s="208"/>
      <c r="J75" s="15"/>
      <c r="N75" s="208"/>
      <c r="Q75" s="52" t="str">
        <f t="shared" si="4"/>
        <v/>
      </c>
      <c r="T75" s="16" t="str">
        <f t="shared" si="3"/>
        <v/>
      </c>
      <c r="U75" s="208"/>
      <c r="V75" s="16" t="str">
        <f>IF(OR(N75="",U75="",T75=""),"",U75/N75*T75)</f>
        <v/>
      </c>
      <c r="X75" s="15"/>
      <c r="Y75" s="216"/>
      <c r="Z75" s="216"/>
      <c r="AA75" s="216"/>
      <c r="AB75" s="39"/>
    </row>
    <row r="76" spans="1:28" x14ac:dyDescent="0.15">
      <c r="A76" s="15"/>
      <c r="B76" s="15"/>
      <c r="C76" s="15"/>
      <c r="D76" s="37"/>
      <c r="H76" s="216"/>
      <c r="I76" s="208"/>
      <c r="J76" s="15"/>
      <c r="N76" s="208"/>
      <c r="Q76" s="52" t="str">
        <f t="shared" si="4"/>
        <v/>
      </c>
      <c r="T76" s="16" t="str">
        <f t="shared" si="3"/>
        <v/>
      </c>
      <c r="U76" s="208"/>
      <c r="V76" s="16" t="str">
        <f>IF(OR(N76="",U76="",T76=""),"",U76/N76*T76)</f>
        <v/>
      </c>
      <c r="X76" s="15"/>
      <c r="Y76" s="216"/>
      <c r="Z76" s="216"/>
      <c r="AA76" s="216"/>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30"/>
  <sheetViews>
    <sheetView topLeftCell="A91" zoomScale="80" zoomScaleNormal="80" workbookViewId="0">
      <selection activeCell="AB130" sqref="AB130"/>
    </sheetView>
  </sheetViews>
  <sheetFormatPr defaultColWidth="9" defaultRowHeight="13.5" x14ac:dyDescent="0.15"/>
  <cols>
    <col min="1" max="3" width="9" style="237"/>
    <col min="4" max="4" width="11" style="237" bestFit="1" customWidth="1"/>
    <col min="5" max="5" width="10.875" style="237" bestFit="1" customWidth="1"/>
    <col min="6" max="16" width="9" style="237"/>
    <col min="17" max="17" width="9" style="57"/>
    <col min="18" max="18" width="9" style="237"/>
    <col min="19" max="19" width="11.625" style="237" bestFit="1" customWidth="1"/>
    <col min="20" max="20" width="9" style="57"/>
    <col min="21" max="21" width="9" style="237"/>
    <col min="22" max="22" width="9" style="58"/>
    <col min="23" max="32" width="9" style="237"/>
    <col min="33" max="33" width="14.375" style="237" bestFit="1" customWidth="1"/>
    <col min="34" max="34" width="11.375" style="237" bestFit="1" customWidth="1"/>
    <col min="35" max="16384" width="9" style="237"/>
  </cols>
  <sheetData>
    <row r="1" spans="1:53" ht="45" x14ac:dyDescent="0.15">
      <c r="A1" s="240" t="s">
        <v>0</v>
      </c>
      <c r="B1" s="202" t="s">
        <v>1</v>
      </c>
      <c r="C1" s="202" t="s">
        <v>323</v>
      </c>
      <c r="D1" s="203" t="s">
        <v>3</v>
      </c>
      <c r="E1" s="241" t="s">
        <v>4</v>
      </c>
      <c r="F1" s="241" t="s">
        <v>5</v>
      </c>
      <c r="G1" s="241" t="s">
        <v>6</v>
      </c>
      <c r="H1" s="241" t="s">
        <v>7</v>
      </c>
      <c r="I1" s="241" t="s">
        <v>8</v>
      </c>
      <c r="J1" s="241" t="s">
        <v>9</v>
      </c>
      <c r="K1" s="241" t="s">
        <v>10</v>
      </c>
      <c r="L1" s="203" t="s">
        <v>324</v>
      </c>
      <c r="M1" s="203" t="s">
        <v>12</v>
      </c>
      <c r="N1" s="203" t="s">
        <v>13</v>
      </c>
      <c r="O1" s="203" t="s">
        <v>325</v>
      </c>
      <c r="P1" s="203" t="s">
        <v>326</v>
      </c>
      <c r="Q1" s="53" t="s">
        <v>16</v>
      </c>
      <c r="R1" s="203" t="s">
        <v>327</v>
      </c>
      <c r="S1" s="203" t="s">
        <v>328</v>
      </c>
      <c r="T1" s="53" t="s">
        <v>19</v>
      </c>
      <c r="U1" s="205" t="s">
        <v>108</v>
      </c>
      <c r="V1" s="54" t="s">
        <v>20</v>
      </c>
      <c r="W1" s="203" t="s">
        <v>21</v>
      </c>
      <c r="X1" s="241" t="s">
        <v>22</v>
      </c>
      <c r="Y1" s="241" t="s">
        <v>23</v>
      </c>
      <c r="Z1" s="241" t="s">
        <v>24</v>
      </c>
      <c r="AA1" s="241" t="s">
        <v>25</v>
      </c>
      <c r="AB1" s="242" t="s">
        <v>329</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330</v>
      </c>
      <c r="AY1" s="214" t="s">
        <v>331</v>
      </c>
      <c r="AZ1" s="214" t="s">
        <v>332</v>
      </c>
      <c r="BA1" s="215" t="s">
        <v>333</v>
      </c>
    </row>
    <row r="2" spans="1:53" s="55" customFormat="1" x14ac:dyDescent="0.15">
      <c r="A2" s="55" t="s">
        <v>41</v>
      </c>
      <c r="B2" s="237" t="s">
        <v>315</v>
      </c>
      <c r="C2" s="152">
        <v>2018</v>
      </c>
      <c r="D2" s="56" t="s">
        <v>334</v>
      </c>
      <c r="E2" s="237" t="s">
        <v>133</v>
      </c>
      <c r="F2" s="237" t="s">
        <v>274</v>
      </c>
      <c r="G2" s="55" t="s">
        <v>42</v>
      </c>
      <c r="H2" s="55" t="s">
        <v>155</v>
      </c>
      <c r="I2" s="55" t="s">
        <v>153</v>
      </c>
      <c r="J2" s="55" t="s">
        <v>38</v>
      </c>
      <c r="K2" s="55" t="s">
        <v>154</v>
      </c>
      <c r="L2" s="237">
        <v>1</v>
      </c>
      <c r="M2" s="237"/>
      <c r="N2" s="55">
        <v>1</v>
      </c>
      <c r="O2" s="237">
        <v>0.25</v>
      </c>
      <c r="P2" s="237">
        <v>0.3</v>
      </c>
      <c r="Q2" s="57">
        <f t="shared" ref="Q2:Q65" si="0">IF(OR(O2="",P2=""),"",AVERAGE(O2,P2))</f>
        <v>0.27500000000000002</v>
      </c>
      <c r="R2" s="237">
        <v>14.8</v>
      </c>
      <c r="S2" s="237">
        <v>134</v>
      </c>
      <c r="T2" s="57">
        <f t="shared" ref="T2:T10" si="1">IF(H2="","",IF(OR(H2="GREEN",H2="GK"),IF(S2&gt;=$AX$2,VLOOKUP(S2,$AX$2:$AY$10,2,1),""),IF(S2&gt;=$AZ$2,VLOOKUP(S2,$AZ$2:$BA$10,2,1),"")))</f>
        <v>25</v>
      </c>
      <c r="U2" s="237">
        <v>105</v>
      </c>
      <c r="V2" s="58">
        <f t="shared" ref="V2:V65" si="2">IF(OR(N2="",U2="",T2=""),"",U2/N2*T2)</f>
        <v>2625</v>
      </c>
      <c r="W2" s="237">
        <v>1</v>
      </c>
      <c r="X2" s="55" t="s">
        <v>46</v>
      </c>
      <c r="Y2" s="55" t="s">
        <v>84</v>
      </c>
      <c r="Z2" s="55" t="s">
        <v>50</v>
      </c>
      <c r="AA2" s="55" t="s">
        <v>69</v>
      </c>
      <c r="AB2" s="55" t="s">
        <v>317</v>
      </c>
      <c r="AE2" s="218" t="s">
        <v>35</v>
      </c>
      <c r="AG2" s="59" t="s">
        <v>133</v>
      </c>
      <c r="AH2" s="60" t="s">
        <v>274</v>
      </c>
      <c r="AJ2" s="243" t="s">
        <v>36</v>
      </c>
      <c r="AL2" s="243" t="s">
        <v>127</v>
      </c>
      <c r="AN2" s="243" t="s">
        <v>37</v>
      </c>
      <c r="AP2" s="243" t="s">
        <v>38</v>
      </c>
      <c r="AR2" s="243" t="s">
        <v>335</v>
      </c>
      <c r="AT2" s="243" t="s">
        <v>39</v>
      </c>
      <c r="AV2" s="243" t="s">
        <v>40</v>
      </c>
      <c r="AX2" s="61">
        <v>1</v>
      </c>
      <c r="AY2" s="62">
        <v>50</v>
      </c>
      <c r="AZ2" s="62">
        <v>1</v>
      </c>
      <c r="BA2" s="63">
        <v>50</v>
      </c>
    </row>
    <row r="3" spans="1:53" x14ac:dyDescent="0.15">
      <c r="A3" s="55" t="s">
        <v>41</v>
      </c>
      <c r="B3" s="237" t="s">
        <v>315</v>
      </c>
      <c r="C3" s="152">
        <v>2018</v>
      </c>
      <c r="D3" s="56" t="s">
        <v>334</v>
      </c>
      <c r="E3" s="237" t="s">
        <v>133</v>
      </c>
      <c r="F3" s="237" t="s">
        <v>274</v>
      </c>
      <c r="G3" s="55" t="s">
        <v>42</v>
      </c>
      <c r="H3" s="55" t="s">
        <v>155</v>
      </c>
      <c r="I3" s="55" t="s">
        <v>153</v>
      </c>
      <c r="J3" s="55" t="s">
        <v>38</v>
      </c>
      <c r="K3" s="55" t="s">
        <v>154</v>
      </c>
      <c r="L3" s="237">
        <v>2</v>
      </c>
      <c r="N3" s="55">
        <v>1</v>
      </c>
      <c r="O3" s="237">
        <v>0.3</v>
      </c>
      <c r="P3" s="237">
        <v>0.25</v>
      </c>
      <c r="Q3" s="57">
        <f t="shared" si="0"/>
        <v>0.27500000000000002</v>
      </c>
      <c r="R3" s="237">
        <v>15.4</v>
      </c>
      <c r="S3" s="237">
        <v>140</v>
      </c>
      <c r="T3" s="57">
        <f t="shared" si="1"/>
        <v>22</v>
      </c>
      <c r="U3" s="237">
        <v>105</v>
      </c>
      <c r="V3" s="58">
        <f t="shared" si="2"/>
        <v>2310</v>
      </c>
      <c r="W3" s="237">
        <v>1</v>
      </c>
      <c r="X3" s="55" t="s">
        <v>46</v>
      </c>
      <c r="Y3" s="55" t="s">
        <v>84</v>
      </c>
      <c r="Z3" s="55" t="s">
        <v>50</v>
      </c>
      <c r="AA3" s="55" t="s">
        <v>69</v>
      </c>
      <c r="AB3" s="55" t="s">
        <v>317</v>
      </c>
      <c r="AE3" s="223" t="s">
        <v>41</v>
      </c>
      <c r="AG3" s="64" t="s">
        <v>269</v>
      </c>
      <c r="AH3" s="64" t="s">
        <v>274</v>
      </c>
      <c r="AJ3" s="65" t="s">
        <v>42</v>
      </c>
      <c r="AL3" s="65" t="s">
        <v>128</v>
      </c>
      <c r="AN3" s="65" t="s">
        <v>43</v>
      </c>
      <c r="AP3" s="65" t="s">
        <v>44</v>
      </c>
      <c r="AR3" s="231" t="s">
        <v>45</v>
      </c>
      <c r="AT3" s="65" t="s">
        <v>46</v>
      </c>
      <c r="AV3" s="65" t="s">
        <v>47</v>
      </c>
      <c r="AX3" s="66">
        <v>72</v>
      </c>
      <c r="AY3" s="67">
        <v>46</v>
      </c>
      <c r="AZ3" s="67">
        <v>71</v>
      </c>
      <c r="BA3" s="68">
        <v>42</v>
      </c>
    </row>
    <row r="4" spans="1:53" x14ac:dyDescent="0.15">
      <c r="A4" s="55" t="s">
        <v>41</v>
      </c>
      <c r="B4" s="237" t="s">
        <v>315</v>
      </c>
      <c r="C4" s="152">
        <v>2018</v>
      </c>
      <c r="D4" s="56" t="s">
        <v>334</v>
      </c>
      <c r="E4" s="237" t="s">
        <v>133</v>
      </c>
      <c r="F4" s="237" t="s">
        <v>274</v>
      </c>
      <c r="G4" s="55" t="s">
        <v>42</v>
      </c>
      <c r="H4" s="55" t="s">
        <v>155</v>
      </c>
      <c r="I4" s="55" t="s">
        <v>153</v>
      </c>
      <c r="J4" s="55" t="s">
        <v>38</v>
      </c>
      <c r="K4" s="55" t="s">
        <v>154</v>
      </c>
      <c r="L4" s="237">
        <v>3</v>
      </c>
      <c r="N4" s="55">
        <v>1</v>
      </c>
      <c r="O4" s="237">
        <v>0.5</v>
      </c>
      <c r="P4" s="237">
        <v>0.4</v>
      </c>
      <c r="Q4" s="57">
        <f t="shared" si="0"/>
        <v>0.45</v>
      </c>
      <c r="R4" s="237">
        <v>14.4</v>
      </c>
      <c r="S4" s="237">
        <v>138</v>
      </c>
      <c r="T4" s="57">
        <f t="shared" si="1"/>
        <v>22</v>
      </c>
      <c r="U4" s="237">
        <v>105</v>
      </c>
      <c r="V4" s="58">
        <f t="shared" si="2"/>
        <v>2310</v>
      </c>
      <c r="W4" s="237">
        <v>1</v>
      </c>
      <c r="X4" s="55" t="s">
        <v>46</v>
      </c>
      <c r="Y4" s="55" t="s">
        <v>84</v>
      </c>
      <c r="Z4" s="55" t="s">
        <v>50</v>
      </c>
      <c r="AA4" s="55" t="s">
        <v>69</v>
      </c>
      <c r="AB4" s="55" t="s">
        <v>317</v>
      </c>
      <c r="AE4" s="223" t="s">
        <v>34</v>
      </c>
      <c r="AG4" s="64" t="s">
        <v>269</v>
      </c>
      <c r="AH4" s="64" t="s">
        <v>275</v>
      </c>
      <c r="AJ4" s="69" t="s">
        <v>48</v>
      </c>
      <c r="AL4" s="69" t="s">
        <v>129</v>
      </c>
      <c r="AN4" s="244" t="s">
        <v>49</v>
      </c>
      <c r="AP4" s="65" t="s">
        <v>336</v>
      </c>
      <c r="AR4" s="231" t="s">
        <v>337</v>
      </c>
      <c r="AT4" s="244"/>
      <c r="AV4" s="65" t="s">
        <v>50</v>
      </c>
      <c r="AX4" s="66">
        <v>75</v>
      </c>
      <c r="AY4" s="67">
        <v>42</v>
      </c>
      <c r="AZ4" s="67">
        <v>76</v>
      </c>
      <c r="BA4" s="68">
        <v>39</v>
      </c>
    </row>
    <row r="5" spans="1:53" s="55" customFormat="1" ht="13.5" customHeight="1" x14ac:dyDescent="0.15">
      <c r="A5" s="55" t="s">
        <v>41</v>
      </c>
      <c r="B5" s="237" t="s">
        <v>315</v>
      </c>
      <c r="C5" s="152">
        <v>2018</v>
      </c>
      <c r="D5" s="56" t="s">
        <v>338</v>
      </c>
      <c r="E5" s="237" t="s">
        <v>133</v>
      </c>
      <c r="F5" s="237" t="s">
        <v>274</v>
      </c>
      <c r="G5" s="55" t="s">
        <v>42</v>
      </c>
      <c r="H5" s="55" t="s">
        <v>155</v>
      </c>
      <c r="I5" s="55" t="s">
        <v>153</v>
      </c>
      <c r="J5" s="55" t="s">
        <v>38</v>
      </c>
      <c r="K5" s="55" t="s">
        <v>154</v>
      </c>
      <c r="L5" s="237">
        <v>1</v>
      </c>
      <c r="N5" s="55">
        <v>8</v>
      </c>
      <c r="O5" s="237">
        <v>0.25</v>
      </c>
      <c r="P5" s="237">
        <v>0.25</v>
      </c>
      <c r="Q5" s="57">
        <f t="shared" si="0"/>
        <v>0.25</v>
      </c>
      <c r="R5" s="237">
        <v>13.2</v>
      </c>
      <c r="S5" s="237">
        <v>115</v>
      </c>
      <c r="T5" s="77">
        <f t="shared" si="1"/>
        <v>30</v>
      </c>
      <c r="U5" s="55">
        <v>753</v>
      </c>
      <c r="V5" s="78">
        <f t="shared" si="2"/>
        <v>2823.75</v>
      </c>
      <c r="W5" s="55">
        <v>2</v>
      </c>
      <c r="X5" s="55" t="s">
        <v>46</v>
      </c>
      <c r="Y5" s="55" t="s">
        <v>84</v>
      </c>
      <c r="Z5" s="55" t="s">
        <v>50</v>
      </c>
      <c r="AA5" s="55" t="s">
        <v>69</v>
      </c>
      <c r="AB5" s="55" t="s">
        <v>317</v>
      </c>
      <c r="AC5" s="237"/>
      <c r="AD5" s="237"/>
      <c r="AE5" s="70" t="s">
        <v>339</v>
      </c>
      <c r="AG5" s="64" t="s">
        <v>270</v>
      </c>
      <c r="AH5" s="64" t="s">
        <v>274</v>
      </c>
      <c r="AJ5" s="71"/>
      <c r="AL5" s="72" t="s">
        <v>340</v>
      </c>
      <c r="AN5" s="72" t="s">
        <v>341</v>
      </c>
      <c r="AP5" s="231" t="s">
        <v>342</v>
      </c>
      <c r="AR5" s="231" t="s">
        <v>54</v>
      </c>
      <c r="AV5" s="231" t="s">
        <v>55</v>
      </c>
      <c r="AX5" s="73">
        <v>84</v>
      </c>
      <c r="AY5" s="74">
        <v>39</v>
      </c>
      <c r="AZ5" s="74">
        <v>84</v>
      </c>
      <c r="BA5" s="75">
        <v>36</v>
      </c>
    </row>
    <row r="6" spans="1:53" x14ac:dyDescent="0.15">
      <c r="A6" s="55" t="s">
        <v>41</v>
      </c>
      <c r="B6" s="237" t="s">
        <v>315</v>
      </c>
      <c r="C6" s="152">
        <v>2018</v>
      </c>
      <c r="D6" s="56" t="s">
        <v>338</v>
      </c>
      <c r="E6" s="237" t="s">
        <v>133</v>
      </c>
      <c r="F6" s="237" t="s">
        <v>274</v>
      </c>
      <c r="G6" s="55" t="s">
        <v>42</v>
      </c>
      <c r="H6" s="55" t="s">
        <v>155</v>
      </c>
      <c r="I6" s="55" t="s">
        <v>153</v>
      </c>
      <c r="J6" s="55" t="s">
        <v>38</v>
      </c>
      <c r="K6" s="55" t="s">
        <v>154</v>
      </c>
      <c r="L6" s="237">
        <v>2</v>
      </c>
      <c r="N6" s="55">
        <v>8</v>
      </c>
      <c r="O6" s="237">
        <v>0.3</v>
      </c>
      <c r="P6" s="237">
        <v>0.25</v>
      </c>
      <c r="Q6" s="57">
        <f t="shared" si="0"/>
        <v>0.27500000000000002</v>
      </c>
      <c r="R6" s="237">
        <v>16.8</v>
      </c>
      <c r="S6" s="237">
        <v>120</v>
      </c>
      <c r="T6" s="77">
        <f t="shared" si="1"/>
        <v>30</v>
      </c>
      <c r="U6" s="55">
        <v>753</v>
      </c>
      <c r="V6" s="78">
        <f t="shared" si="2"/>
        <v>2823.75</v>
      </c>
      <c r="W6" s="55">
        <v>2</v>
      </c>
      <c r="X6" s="55" t="s">
        <v>46</v>
      </c>
      <c r="Y6" s="55" t="s">
        <v>84</v>
      </c>
      <c r="Z6" s="55" t="s">
        <v>50</v>
      </c>
      <c r="AA6" s="55" t="s">
        <v>69</v>
      </c>
      <c r="AB6" s="55" t="s">
        <v>317</v>
      </c>
      <c r="AE6" s="223" t="s">
        <v>56</v>
      </c>
      <c r="AG6" s="64" t="s">
        <v>270</v>
      </c>
      <c r="AH6" s="64" t="s">
        <v>276</v>
      </c>
      <c r="AL6" s="72" t="s">
        <v>343</v>
      </c>
      <c r="AN6" s="72" t="s">
        <v>344</v>
      </c>
      <c r="AP6" s="65" t="s">
        <v>53</v>
      </c>
      <c r="AR6" s="231" t="s">
        <v>59</v>
      </c>
      <c r="AV6" s="65" t="s">
        <v>60</v>
      </c>
      <c r="AX6" s="66">
        <v>97</v>
      </c>
      <c r="AY6" s="67">
        <v>36</v>
      </c>
      <c r="AZ6" s="67">
        <v>99</v>
      </c>
      <c r="BA6" s="68">
        <v>33</v>
      </c>
    </row>
    <row r="7" spans="1:53" x14ac:dyDescent="0.15">
      <c r="A7" s="55" t="s">
        <v>41</v>
      </c>
      <c r="B7" s="237" t="s">
        <v>315</v>
      </c>
      <c r="C7" s="152">
        <v>2018</v>
      </c>
      <c r="D7" s="56" t="s">
        <v>338</v>
      </c>
      <c r="E7" s="237" t="s">
        <v>133</v>
      </c>
      <c r="F7" s="237" t="s">
        <v>274</v>
      </c>
      <c r="G7" s="55" t="s">
        <v>42</v>
      </c>
      <c r="H7" s="55" t="s">
        <v>155</v>
      </c>
      <c r="I7" s="55" t="s">
        <v>153</v>
      </c>
      <c r="J7" s="55" t="s">
        <v>38</v>
      </c>
      <c r="K7" s="55" t="s">
        <v>154</v>
      </c>
      <c r="L7" s="237">
        <v>3</v>
      </c>
      <c r="N7" s="55">
        <v>8</v>
      </c>
      <c r="O7" s="237">
        <v>0.4</v>
      </c>
      <c r="P7" s="237">
        <v>0.3</v>
      </c>
      <c r="Q7" s="57">
        <f t="shared" si="0"/>
        <v>0.35</v>
      </c>
      <c r="R7" s="237">
        <v>15.7</v>
      </c>
      <c r="S7" s="237">
        <v>118</v>
      </c>
      <c r="T7" s="77">
        <f t="shared" si="1"/>
        <v>30</v>
      </c>
      <c r="U7" s="55">
        <v>753</v>
      </c>
      <c r="V7" s="78">
        <f t="shared" si="2"/>
        <v>2823.75</v>
      </c>
      <c r="W7" s="237">
        <v>2</v>
      </c>
      <c r="X7" s="55" t="s">
        <v>46</v>
      </c>
      <c r="Y7" s="55" t="s">
        <v>84</v>
      </c>
      <c r="Z7" s="55" t="s">
        <v>50</v>
      </c>
      <c r="AA7" s="55" t="s">
        <v>69</v>
      </c>
      <c r="AB7" s="55" t="s">
        <v>317</v>
      </c>
      <c r="AE7" s="223" t="s">
        <v>61</v>
      </c>
      <c r="AG7" s="64" t="s">
        <v>271</v>
      </c>
      <c r="AH7" s="64" t="s">
        <v>276</v>
      </c>
      <c r="AL7" s="76" t="s">
        <v>345</v>
      </c>
      <c r="AP7" s="65" t="s">
        <v>58</v>
      </c>
      <c r="AR7" s="231" t="s">
        <v>122</v>
      </c>
      <c r="AV7" s="65" t="s">
        <v>64</v>
      </c>
      <c r="AX7" s="66">
        <v>109</v>
      </c>
      <c r="AY7" s="67">
        <v>33</v>
      </c>
      <c r="AZ7" s="67">
        <v>113</v>
      </c>
      <c r="BA7" s="68">
        <v>30</v>
      </c>
    </row>
    <row r="8" spans="1:53" x14ac:dyDescent="0.15">
      <c r="A8" s="55" t="s">
        <v>41</v>
      </c>
      <c r="B8" s="237" t="s">
        <v>315</v>
      </c>
      <c r="C8" s="152">
        <v>2018</v>
      </c>
      <c r="D8" s="56" t="s">
        <v>338</v>
      </c>
      <c r="E8" s="237" t="s">
        <v>133</v>
      </c>
      <c r="F8" s="237" t="s">
        <v>274</v>
      </c>
      <c r="G8" s="55" t="s">
        <v>42</v>
      </c>
      <c r="H8" s="55" t="s">
        <v>157</v>
      </c>
      <c r="I8" s="55" t="s">
        <v>153</v>
      </c>
      <c r="J8" s="55" t="s">
        <v>38</v>
      </c>
      <c r="K8" s="55" t="s">
        <v>154</v>
      </c>
      <c r="L8" s="237">
        <v>1</v>
      </c>
      <c r="M8" s="55"/>
      <c r="N8" s="55">
        <v>1</v>
      </c>
      <c r="O8" s="55">
        <v>1</v>
      </c>
      <c r="P8" s="55">
        <v>0.95</v>
      </c>
      <c r="Q8" s="57">
        <f t="shared" si="0"/>
        <v>0.97499999999999998</v>
      </c>
      <c r="R8" s="237">
        <v>16.7</v>
      </c>
      <c r="S8" s="237">
        <v>141</v>
      </c>
      <c r="T8" s="77">
        <f t="shared" si="1"/>
        <v>22</v>
      </c>
      <c r="U8" s="55">
        <v>149</v>
      </c>
      <c r="V8" s="78">
        <f t="shared" si="2"/>
        <v>3278</v>
      </c>
      <c r="W8" s="55">
        <v>1</v>
      </c>
      <c r="X8" s="55" t="s">
        <v>46</v>
      </c>
      <c r="Y8" s="55" t="s">
        <v>84</v>
      </c>
      <c r="Z8" s="55" t="s">
        <v>50</v>
      </c>
      <c r="AA8" s="55" t="s">
        <v>69</v>
      </c>
      <c r="AB8" s="55" t="s">
        <v>317</v>
      </c>
      <c r="AC8" s="55"/>
      <c r="AD8" s="55"/>
      <c r="AE8" s="223" t="s">
        <v>59</v>
      </c>
      <c r="AG8" s="64" t="s">
        <v>272</v>
      </c>
      <c r="AH8" s="64" t="s">
        <v>277</v>
      </c>
      <c r="AL8" s="76" t="s">
        <v>346</v>
      </c>
      <c r="AP8" s="65" t="s">
        <v>62</v>
      </c>
      <c r="AR8" s="231" t="s">
        <v>81</v>
      </c>
      <c r="AV8" s="65" t="s">
        <v>97</v>
      </c>
      <c r="AX8" s="66">
        <v>119</v>
      </c>
      <c r="AY8" s="67">
        <v>30</v>
      </c>
      <c r="AZ8" s="67">
        <v>121</v>
      </c>
      <c r="BA8" s="68">
        <v>27</v>
      </c>
    </row>
    <row r="9" spans="1:53" x14ac:dyDescent="0.15">
      <c r="A9" s="55" t="s">
        <v>41</v>
      </c>
      <c r="B9" s="237" t="s">
        <v>315</v>
      </c>
      <c r="C9" s="152">
        <v>2018</v>
      </c>
      <c r="D9" s="56" t="s">
        <v>338</v>
      </c>
      <c r="E9" s="237" t="s">
        <v>133</v>
      </c>
      <c r="F9" s="237" t="s">
        <v>274</v>
      </c>
      <c r="G9" s="55" t="s">
        <v>42</v>
      </c>
      <c r="H9" s="55" t="s">
        <v>157</v>
      </c>
      <c r="I9" s="55" t="s">
        <v>153</v>
      </c>
      <c r="J9" s="55" t="s">
        <v>38</v>
      </c>
      <c r="K9" s="55" t="s">
        <v>154</v>
      </c>
      <c r="L9" s="237">
        <v>2</v>
      </c>
      <c r="N9" s="55">
        <v>1</v>
      </c>
      <c r="O9" s="55">
        <v>0.95</v>
      </c>
      <c r="P9" s="55">
        <v>0.8</v>
      </c>
      <c r="Q9" s="57">
        <f t="shared" si="0"/>
        <v>0.875</v>
      </c>
      <c r="R9" s="237">
        <v>18.399999999999999</v>
      </c>
      <c r="S9" s="237">
        <v>138</v>
      </c>
      <c r="T9" s="77">
        <f t="shared" si="1"/>
        <v>22</v>
      </c>
      <c r="U9" s="55">
        <v>149</v>
      </c>
      <c r="V9" s="58">
        <f t="shared" si="2"/>
        <v>3278</v>
      </c>
      <c r="W9" s="237">
        <v>1</v>
      </c>
      <c r="X9" s="55" t="s">
        <v>46</v>
      </c>
      <c r="Y9" s="55" t="s">
        <v>84</v>
      </c>
      <c r="Z9" s="55" t="s">
        <v>50</v>
      </c>
      <c r="AA9" s="55" t="s">
        <v>69</v>
      </c>
      <c r="AB9" s="55" t="s">
        <v>317</v>
      </c>
      <c r="AE9" s="223" t="s">
        <v>98</v>
      </c>
      <c r="AG9" s="64" t="s">
        <v>272</v>
      </c>
      <c r="AH9" s="64" t="s">
        <v>278</v>
      </c>
      <c r="AL9" s="72"/>
      <c r="AP9" s="65" t="s">
        <v>95</v>
      </c>
      <c r="AR9" s="231" t="s">
        <v>89</v>
      </c>
      <c r="AV9" s="65" t="s">
        <v>102</v>
      </c>
      <c r="AX9" s="66">
        <v>128</v>
      </c>
      <c r="AY9" s="67">
        <v>27</v>
      </c>
      <c r="AZ9" s="67">
        <v>129</v>
      </c>
      <c r="BA9" s="68">
        <v>25</v>
      </c>
    </row>
    <row r="10" spans="1:53" x14ac:dyDescent="0.15">
      <c r="A10" s="55" t="s">
        <v>41</v>
      </c>
      <c r="B10" s="237" t="s">
        <v>315</v>
      </c>
      <c r="C10" s="152">
        <v>2018</v>
      </c>
      <c r="D10" s="56" t="s">
        <v>338</v>
      </c>
      <c r="E10" s="237" t="s">
        <v>133</v>
      </c>
      <c r="F10" s="237" t="s">
        <v>274</v>
      </c>
      <c r="G10" s="55" t="s">
        <v>42</v>
      </c>
      <c r="H10" s="55" t="s">
        <v>157</v>
      </c>
      <c r="I10" s="55" t="s">
        <v>153</v>
      </c>
      <c r="J10" s="55" t="s">
        <v>38</v>
      </c>
      <c r="K10" s="55" t="s">
        <v>154</v>
      </c>
      <c r="L10" s="237">
        <v>3</v>
      </c>
      <c r="N10" s="55">
        <v>1</v>
      </c>
      <c r="O10" s="55">
        <v>1.1000000000000001</v>
      </c>
      <c r="P10" s="55">
        <v>1</v>
      </c>
      <c r="Q10" s="57">
        <f t="shared" si="0"/>
        <v>1.05</v>
      </c>
      <c r="R10" s="237">
        <v>17</v>
      </c>
      <c r="S10" s="237">
        <v>139</v>
      </c>
      <c r="T10" s="77">
        <f t="shared" si="1"/>
        <v>22</v>
      </c>
      <c r="U10" s="55">
        <v>149</v>
      </c>
      <c r="V10" s="58">
        <f t="shared" si="2"/>
        <v>3278</v>
      </c>
      <c r="W10" s="237">
        <v>1</v>
      </c>
      <c r="X10" s="55" t="s">
        <v>46</v>
      </c>
      <c r="Y10" s="55" t="s">
        <v>84</v>
      </c>
      <c r="Z10" s="55" t="s">
        <v>50</v>
      </c>
      <c r="AA10" s="55" t="s">
        <v>69</v>
      </c>
      <c r="AB10" s="55" t="s">
        <v>317</v>
      </c>
      <c r="AE10" s="223" t="s">
        <v>103</v>
      </c>
      <c r="AG10" s="64" t="s">
        <v>273</v>
      </c>
      <c r="AH10" s="64" t="s">
        <v>279</v>
      </c>
      <c r="AL10" s="76"/>
      <c r="AP10" s="65" t="s">
        <v>100</v>
      </c>
      <c r="AR10" s="231" t="s">
        <v>123</v>
      </c>
      <c r="AV10" s="65" t="s">
        <v>106</v>
      </c>
      <c r="AX10" s="66">
        <v>138</v>
      </c>
      <c r="AY10" s="67">
        <v>25</v>
      </c>
      <c r="AZ10" s="67">
        <v>138</v>
      </c>
      <c r="BA10" s="68">
        <v>22</v>
      </c>
    </row>
    <row r="11" spans="1:53" x14ac:dyDescent="0.15">
      <c r="A11" s="55" t="s">
        <v>41</v>
      </c>
      <c r="B11" s="237" t="s">
        <v>315</v>
      </c>
      <c r="C11" s="152">
        <v>2018</v>
      </c>
      <c r="D11" s="56" t="s">
        <v>338</v>
      </c>
      <c r="E11" s="237" t="s">
        <v>133</v>
      </c>
      <c r="F11" s="55" t="s">
        <v>274</v>
      </c>
      <c r="G11" s="55" t="s">
        <v>42</v>
      </c>
      <c r="H11" s="55" t="s">
        <v>157</v>
      </c>
      <c r="I11" s="55" t="s">
        <v>153</v>
      </c>
      <c r="J11" s="55" t="s">
        <v>38</v>
      </c>
      <c r="K11" s="55" t="s">
        <v>154</v>
      </c>
      <c r="L11" s="237">
        <v>1</v>
      </c>
      <c r="N11" s="55">
        <v>6</v>
      </c>
      <c r="O11" s="55">
        <v>0.6</v>
      </c>
      <c r="P11" s="55">
        <v>0.8</v>
      </c>
      <c r="Q11" s="57">
        <f t="shared" si="0"/>
        <v>0.7</v>
      </c>
      <c r="R11" s="237">
        <v>16.399999999999999</v>
      </c>
      <c r="S11" s="237">
        <v>129</v>
      </c>
      <c r="T11" s="77">
        <f t="shared" ref="T11:T22" si="3">IF(H11="","",IF(OR(H11="GREEN",H11="GK"),IF(S11&gt;=$AX$2,VLOOKUP(S11,$AX$2:$AY$12,2,1),""),IF(S11&gt;=$AZ$2,VLOOKUP(S11,$AZ$2:$BA$12,2,1),"")))</f>
        <v>25</v>
      </c>
      <c r="U11" s="55">
        <v>753</v>
      </c>
      <c r="V11" s="58">
        <f t="shared" si="2"/>
        <v>3137.5</v>
      </c>
      <c r="W11" s="237">
        <v>2</v>
      </c>
      <c r="X11" s="55" t="s">
        <v>46</v>
      </c>
      <c r="Y11" s="55" t="s">
        <v>84</v>
      </c>
      <c r="Z11" s="55" t="s">
        <v>50</v>
      </c>
      <c r="AA11" s="55" t="s">
        <v>69</v>
      </c>
      <c r="AB11" s="55" t="s">
        <v>317</v>
      </c>
      <c r="AE11" s="223" t="s">
        <v>65</v>
      </c>
      <c r="AG11" s="64" t="s">
        <v>159</v>
      </c>
      <c r="AH11" s="64" t="s">
        <v>280</v>
      </c>
      <c r="AL11" s="76"/>
      <c r="AP11" s="65" t="s">
        <v>104</v>
      </c>
      <c r="AR11" s="231" t="s">
        <v>87</v>
      </c>
      <c r="AV11" s="65" t="s">
        <v>69</v>
      </c>
      <c r="AX11" s="66">
        <v>151</v>
      </c>
      <c r="AY11" s="67">
        <v>22</v>
      </c>
      <c r="AZ11" s="67">
        <v>152</v>
      </c>
      <c r="BA11" s="68">
        <v>18</v>
      </c>
    </row>
    <row r="12" spans="1:53" x14ac:dyDescent="0.15">
      <c r="A12" s="55" t="s">
        <v>41</v>
      </c>
      <c r="B12" s="237" t="s">
        <v>315</v>
      </c>
      <c r="C12" s="152">
        <v>2018</v>
      </c>
      <c r="D12" s="56" t="s">
        <v>338</v>
      </c>
      <c r="E12" s="237" t="s">
        <v>133</v>
      </c>
      <c r="F12" s="55" t="s">
        <v>274</v>
      </c>
      <c r="G12" s="55" t="s">
        <v>42</v>
      </c>
      <c r="H12" s="55" t="s">
        <v>157</v>
      </c>
      <c r="I12" s="55" t="s">
        <v>153</v>
      </c>
      <c r="J12" s="55" t="s">
        <v>38</v>
      </c>
      <c r="K12" s="55" t="s">
        <v>154</v>
      </c>
      <c r="L12" s="237">
        <v>2</v>
      </c>
      <c r="N12" s="55">
        <v>6</v>
      </c>
      <c r="O12" s="55">
        <v>0.75</v>
      </c>
      <c r="P12" s="55">
        <v>0.7</v>
      </c>
      <c r="Q12" s="57">
        <f t="shared" si="0"/>
        <v>0.72499999999999998</v>
      </c>
      <c r="R12" s="237">
        <v>14</v>
      </c>
      <c r="S12" s="237">
        <v>135</v>
      </c>
      <c r="T12" s="77">
        <f t="shared" si="3"/>
        <v>25</v>
      </c>
      <c r="U12" s="55">
        <v>753</v>
      </c>
      <c r="V12" s="58">
        <f t="shared" si="2"/>
        <v>3137.5</v>
      </c>
      <c r="W12" s="237">
        <v>2</v>
      </c>
      <c r="X12" s="55" t="s">
        <v>46</v>
      </c>
      <c r="Y12" s="55" t="s">
        <v>84</v>
      </c>
      <c r="Z12" s="55" t="s">
        <v>50</v>
      </c>
      <c r="AA12" s="55" t="s">
        <v>69</v>
      </c>
      <c r="AB12" s="55" t="s">
        <v>317</v>
      </c>
      <c r="AE12" s="223" t="s">
        <v>70</v>
      </c>
      <c r="AG12" s="70"/>
      <c r="AH12" s="70"/>
      <c r="AL12" s="76"/>
      <c r="AP12" s="65" t="s">
        <v>67</v>
      </c>
      <c r="AR12" s="231" t="s">
        <v>124</v>
      </c>
      <c r="AV12" s="65" t="s">
        <v>72</v>
      </c>
      <c r="AX12" s="79">
        <v>180</v>
      </c>
      <c r="AY12" s="80">
        <v>18</v>
      </c>
      <c r="AZ12" s="80">
        <v>181</v>
      </c>
      <c r="BA12" s="81">
        <v>16</v>
      </c>
    </row>
    <row r="13" spans="1:53" x14ac:dyDescent="0.15">
      <c r="A13" s="55" t="s">
        <v>41</v>
      </c>
      <c r="B13" s="237" t="s">
        <v>315</v>
      </c>
      <c r="C13" s="152">
        <v>2018</v>
      </c>
      <c r="D13" s="56" t="s">
        <v>338</v>
      </c>
      <c r="E13" s="237" t="s">
        <v>133</v>
      </c>
      <c r="F13" s="55" t="s">
        <v>274</v>
      </c>
      <c r="G13" s="55" t="s">
        <v>42</v>
      </c>
      <c r="H13" s="55" t="s">
        <v>157</v>
      </c>
      <c r="I13" s="55" t="s">
        <v>153</v>
      </c>
      <c r="J13" s="55" t="s">
        <v>38</v>
      </c>
      <c r="K13" s="55" t="s">
        <v>154</v>
      </c>
      <c r="L13" s="237">
        <v>3</v>
      </c>
      <c r="N13" s="55">
        <v>6</v>
      </c>
      <c r="O13" s="55">
        <v>0.8</v>
      </c>
      <c r="P13" s="55">
        <v>0.65</v>
      </c>
      <c r="Q13" s="57">
        <f t="shared" si="0"/>
        <v>0.72500000000000009</v>
      </c>
      <c r="R13" s="237">
        <v>15.1</v>
      </c>
      <c r="S13" s="237">
        <v>132</v>
      </c>
      <c r="T13" s="77">
        <f t="shared" si="3"/>
        <v>25</v>
      </c>
      <c r="U13" s="55">
        <v>753</v>
      </c>
      <c r="V13" s="58">
        <f t="shared" si="2"/>
        <v>3137.5</v>
      </c>
      <c r="W13" s="237">
        <v>2</v>
      </c>
      <c r="X13" s="55" t="s">
        <v>46</v>
      </c>
      <c r="Y13" s="55" t="s">
        <v>84</v>
      </c>
      <c r="Z13" s="55" t="s">
        <v>50</v>
      </c>
      <c r="AA13" s="55" t="s">
        <v>69</v>
      </c>
      <c r="AB13" s="55" t="s">
        <v>317</v>
      </c>
      <c r="AE13" s="223" t="s">
        <v>73</v>
      </c>
      <c r="AG13" s="231"/>
      <c r="AH13" s="231"/>
      <c r="AP13" s="65" t="s">
        <v>71</v>
      </c>
      <c r="AR13" s="231" t="s">
        <v>103</v>
      </c>
      <c r="AV13" s="65" t="s">
        <v>75</v>
      </c>
    </row>
    <row r="14" spans="1:53" x14ac:dyDescent="0.15">
      <c r="A14" s="55" t="s">
        <v>41</v>
      </c>
      <c r="B14" s="237" t="s">
        <v>315</v>
      </c>
      <c r="C14" s="152">
        <v>2018</v>
      </c>
      <c r="D14" s="56" t="s">
        <v>338</v>
      </c>
      <c r="E14" s="237" t="s">
        <v>133</v>
      </c>
      <c r="F14" s="55" t="s">
        <v>274</v>
      </c>
      <c r="G14" s="55" t="s">
        <v>42</v>
      </c>
      <c r="H14" s="55" t="s">
        <v>129</v>
      </c>
      <c r="I14" s="55" t="s">
        <v>153</v>
      </c>
      <c r="J14" s="55" t="s">
        <v>58</v>
      </c>
      <c r="K14" s="55" t="s">
        <v>59</v>
      </c>
      <c r="L14" s="237">
        <v>1</v>
      </c>
      <c r="N14" s="55">
        <v>5</v>
      </c>
      <c r="O14" s="55">
        <v>0.7</v>
      </c>
      <c r="P14" s="55">
        <v>0.8</v>
      </c>
      <c r="Q14" s="57">
        <f t="shared" si="0"/>
        <v>0.75</v>
      </c>
      <c r="R14" s="237">
        <v>12.8</v>
      </c>
      <c r="S14" s="237">
        <v>114</v>
      </c>
      <c r="T14" s="77">
        <f t="shared" si="3"/>
        <v>30</v>
      </c>
      <c r="U14" s="55">
        <v>537</v>
      </c>
      <c r="V14" s="58">
        <f t="shared" si="2"/>
        <v>3222</v>
      </c>
      <c r="W14" s="237">
        <v>2</v>
      </c>
      <c r="X14" s="55" t="s">
        <v>46</v>
      </c>
      <c r="Y14" s="55" t="s">
        <v>84</v>
      </c>
      <c r="Z14" s="55" t="s">
        <v>50</v>
      </c>
      <c r="AA14" s="55" t="s">
        <v>69</v>
      </c>
      <c r="AB14" s="55" t="s">
        <v>317</v>
      </c>
      <c r="AE14" s="223" t="s">
        <v>76</v>
      </c>
      <c r="AG14" s="231"/>
      <c r="AH14" s="231"/>
      <c r="AP14" s="65" t="s">
        <v>74</v>
      </c>
      <c r="AR14" s="231" t="s">
        <v>125</v>
      </c>
      <c r="AV14" s="65" t="s">
        <v>78</v>
      </c>
    </row>
    <row r="15" spans="1:53" x14ac:dyDescent="0.15">
      <c r="A15" s="55" t="s">
        <v>41</v>
      </c>
      <c r="B15" s="237" t="s">
        <v>315</v>
      </c>
      <c r="C15" s="152">
        <v>2018</v>
      </c>
      <c r="D15" s="56" t="s">
        <v>338</v>
      </c>
      <c r="E15" s="237" t="s">
        <v>133</v>
      </c>
      <c r="F15" s="55" t="s">
        <v>274</v>
      </c>
      <c r="G15" s="55" t="s">
        <v>42</v>
      </c>
      <c r="H15" s="55" t="s">
        <v>129</v>
      </c>
      <c r="I15" s="55" t="s">
        <v>153</v>
      </c>
      <c r="J15" s="55" t="s">
        <v>58</v>
      </c>
      <c r="K15" s="55" t="s">
        <v>59</v>
      </c>
      <c r="L15" s="237">
        <v>2</v>
      </c>
      <c r="N15" s="55">
        <v>5</v>
      </c>
      <c r="O15" s="55">
        <v>0.45</v>
      </c>
      <c r="P15" s="55">
        <v>0.4</v>
      </c>
      <c r="Q15" s="57">
        <f t="shared" si="0"/>
        <v>0.42500000000000004</v>
      </c>
      <c r="R15" s="237">
        <v>14.1</v>
      </c>
      <c r="S15" s="237">
        <v>115</v>
      </c>
      <c r="T15" s="77">
        <f t="shared" si="3"/>
        <v>30</v>
      </c>
      <c r="U15" s="55">
        <v>537</v>
      </c>
      <c r="V15" s="58">
        <f t="shared" si="2"/>
        <v>3222</v>
      </c>
      <c r="W15" s="237">
        <v>2</v>
      </c>
      <c r="X15" s="55" t="s">
        <v>46</v>
      </c>
      <c r="Y15" s="55" t="s">
        <v>84</v>
      </c>
      <c r="Z15" s="55" t="s">
        <v>50</v>
      </c>
      <c r="AA15" s="55" t="s">
        <v>69</v>
      </c>
      <c r="AB15" s="55" t="s">
        <v>317</v>
      </c>
      <c r="AE15" s="223" t="s">
        <v>79</v>
      </c>
      <c r="AG15" s="231"/>
      <c r="AH15" s="231"/>
      <c r="AP15" s="65" t="s">
        <v>77</v>
      </c>
      <c r="AR15" s="231" t="s">
        <v>94</v>
      </c>
      <c r="AV15" s="65" t="s">
        <v>107</v>
      </c>
    </row>
    <row r="16" spans="1:53" x14ac:dyDescent="0.15">
      <c r="A16" s="55" t="s">
        <v>41</v>
      </c>
      <c r="B16" s="237" t="s">
        <v>315</v>
      </c>
      <c r="C16" s="152">
        <v>2018</v>
      </c>
      <c r="D16" s="56" t="s">
        <v>338</v>
      </c>
      <c r="E16" s="237" t="s">
        <v>133</v>
      </c>
      <c r="F16" s="55" t="s">
        <v>274</v>
      </c>
      <c r="G16" s="55" t="s">
        <v>42</v>
      </c>
      <c r="H16" s="55" t="s">
        <v>129</v>
      </c>
      <c r="I16" s="55" t="s">
        <v>153</v>
      </c>
      <c r="J16" s="55" t="s">
        <v>58</v>
      </c>
      <c r="K16" s="55" t="s">
        <v>59</v>
      </c>
      <c r="L16" s="237">
        <v>3</v>
      </c>
      <c r="N16" s="55">
        <v>5</v>
      </c>
      <c r="O16" s="55">
        <v>0.6</v>
      </c>
      <c r="P16" s="55">
        <v>0.5</v>
      </c>
      <c r="Q16" s="57">
        <f t="shared" si="0"/>
        <v>0.55000000000000004</v>
      </c>
      <c r="R16" s="237">
        <v>15</v>
      </c>
      <c r="S16" s="237">
        <v>115</v>
      </c>
      <c r="T16" s="77">
        <f t="shared" si="3"/>
        <v>30</v>
      </c>
      <c r="U16" s="55">
        <v>537</v>
      </c>
      <c r="V16" s="58">
        <f t="shared" si="2"/>
        <v>3222</v>
      </c>
      <c r="W16" s="237">
        <v>2</v>
      </c>
      <c r="X16" s="55" t="s">
        <v>46</v>
      </c>
      <c r="Y16" s="55" t="s">
        <v>84</v>
      </c>
      <c r="Z16" s="55" t="s">
        <v>50</v>
      </c>
      <c r="AA16" s="55" t="s">
        <v>69</v>
      </c>
      <c r="AB16" s="55" t="s">
        <v>317</v>
      </c>
      <c r="AE16" s="223" t="s">
        <v>82</v>
      </c>
      <c r="AG16" s="71"/>
      <c r="AH16" s="71"/>
      <c r="AP16" s="65" t="s">
        <v>80</v>
      </c>
      <c r="AR16" s="231" t="s">
        <v>63</v>
      </c>
      <c r="AV16" s="65" t="s">
        <v>84</v>
      </c>
    </row>
    <row r="17" spans="1:49" x14ac:dyDescent="0.15">
      <c r="A17" s="55" t="s">
        <v>41</v>
      </c>
      <c r="B17" s="237" t="s">
        <v>315</v>
      </c>
      <c r="C17" s="152">
        <v>2018</v>
      </c>
      <c r="D17" s="56" t="s">
        <v>338</v>
      </c>
      <c r="E17" s="237" t="s">
        <v>269</v>
      </c>
      <c r="F17" s="55" t="s">
        <v>274</v>
      </c>
      <c r="G17" s="55" t="s">
        <v>42</v>
      </c>
      <c r="H17" s="55" t="s">
        <v>157</v>
      </c>
      <c r="I17" s="55" t="s">
        <v>153</v>
      </c>
      <c r="J17" s="55" t="s">
        <v>38</v>
      </c>
      <c r="K17" s="55" t="s">
        <v>154</v>
      </c>
      <c r="L17" s="237">
        <v>1</v>
      </c>
      <c r="N17" s="55">
        <v>3</v>
      </c>
      <c r="O17" s="55">
        <v>0.25</v>
      </c>
      <c r="P17" s="55">
        <v>0.3</v>
      </c>
      <c r="Q17" s="57">
        <f t="shared" si="0"/>
        <v>0.27500000000000002</v>
      </c>
      <c r="R17" s="237">
        <v>16</v>
      </c>
      <c r="S17" s="237">
        <v>140</v>
      </c>
      <c r="T17" s="77">
        <f t="shared" si="3"/>
        <v>22</v>
      </c>
      <c r="U17" s="55">
        <v>537</v>
      </c>
      <c r="V17" s="58">
        <f t="shared" si="2"/>
        <v>3938</v>
      </c>
      <c r="W17" s="237">
        <v>1</v>
      </c>
      <c r="X17" s="55" t="s">
        <v>39</v>
      </c>
      <c r="Y17" s="55" t="s">
        <v>50</v>
      </c>
      <c r="Z17" s="55" t="s">
        <v>78</v>
      </c>
      <c r="AA17" s="55" t="s">
        <v>102</v>
      </c>
      <c r="AB17" s="55" t="s">
        <v>317</v>
      </c>
      <c r="AE17" s="223" t="s">
        <v>85</v>
      </c>
      <c r="AP17" s="239" t="s">
        <v>110</v>
      </c>
      <c r="AR17" s="231" t="s">
        <v>96</v>
      </c>
      <c r="AV17" s="65" t="s">
        <v>86</v>
      </c>
    </row>
    <row r="18" spans="1:49" x14ac:dyDescent="0.15">
      <c r="A18" s="55" t="s">
        <v>41</v>
      </c>
      <c r="B18" s="237" t="s">
        <v>315</v>
      </c>
      <c r="C18" s="152">
        <v>2018</v>
      </c>
      <c r="D18" s="56" t="s">
        <v>338</v>
      </c>
      <c r="E18" s="237" t="s">
        <v>269</v>
      </c>
      <c r="F18" s="55" t="s">
        <v>274</v>
      </c>
      <c r="G18" s="55" t="s">
        <v>42</v>
      </c>
      <c r="H18" s="55" t="s">
        <v>157</v>
      </c>
      <c r="I18" s="55" t="s">
        <v>153</v>
      </c>
      <c r="J18" s="55" t="s">
        <v>38</v>
      </c>
      <c r="K18" s="55" t="s">
        <v>154</v>
      </c>
      <c r="L18" s="237">
        <v>2</v>
      </c>
      <c r="N18" s="55">
        <v>3</v>
      </c>
      <c r="O18" s="55">
        <v>0.5</v>
      </c>
      <c r="P18" s="55">
        <v>0.6</v>
      </c>
      <c r="Q18" s="57">
        <f t="shared" si="0"/>
        <v>0.55000000000000004</v>
      </c>
      <c r="R18" s="237">
        <v>15.4</v>
      </c>
      <c r="S18" s="237">
        <v>132</v>
      </c>
      <c r="T18" s="77">
        <f t="shared" si="3"/>
        <v>25</v>
      </c>
      <c r="U18" s="55">
        <v>537</v>
      </c>
      <c r="V18" s="58">
        <f t="shared" si="2"/>
        <v>4475</v>
      </c>
      <c r="W18" s="237">
        <v>1</v>
      </c>
      <c r="X18" s="55" t="s">
        <v>39</v>
      </c>
      <c r="Y18" s="55" t="s">
        <v>50</v>
      </c>
      <c r="Z18" s="55" t="s">
        <v>78</v>
      </c>
      <c r="AA18" s="55" t="s">
        <v>102</v>
      </c>
      <c r="AB18" s="55" t="s">
        <v>317</v>
      </c>
      <c r="AE18" s="223" t="s">
        <v>87</v>
      </c>
      <c r="AP18" s="239" t="s">
        <v>111</v>
      </c>
      <c r="AR18" s="231" t="s">
        <v>101</v>
      </c>
      <c r="AV18" s="65" t="s">
        <v>88</v>
      </c>
    </row>
    <row r="19" spans="1:49" x14ac:dyDescent="0.15">
      <c r="A19" s="55" t="s">
        <v>41</v>
      </c>
      <c r="B19" s="237" t="s">
        <v>315</v>
      </c>
      <c r="C19" s="152">
        <v>2018</v>
      </c>
      <c r="D19" s="56" t="s">
        <v>338</v>
      </c>
      <c r="E19" s="237" t="s">
        <v>269</v>
      </c>
      <c r="F19" s="55" t="s">
        <v>274</v>
      </c>
      <c r="G19" s="55" t="s">
        <v>42</v>
      </c>
      <c r="H19" s="55" t="s">
        <v>157</v>
      </c>
      <c r="I19" s="55" t="s">
        <v>153</v>
      </c>
      <c r="J19" s="55" t="s">
        <v>38</v>
      </c>
      <c r="K19" s="55" t="s">
        <v>154</v>
      </c>
      <c r="L19" s="237">
        <v>3</v>
      </c>
      <c r="N19" s="55">
        <v>3</v>
      </c>
      <c r="O19" s="55">
        <v>0.5</v>
      </c>
      <c r="P19" s="55">
        <v>0.45</v>
      </c>
      <c r="Q19" s="57">
        <f t="shared" si="0"/>
        <v>0.47499999999999998</v>
      </c>
      <c r="R19" s="237">
        <v>15.2</v>
      </c>
      <c r="S19" s="237">
        <v>155</v>
      </c>
      <c r="T19" s="77">
        <f t="shared" si="3"/>
        <v>18</v>
      </c>
      <c r="U19" s="55">
        <v>537</v>
      </c>
      <c r="V19" s="58">
        <f t="shared" si="2"/>
        <v>3222</v>
      </c>
      <c r="W19" s="237">
        <v>1</v>
      </c>
      <c r="X19" s="55" t="s">
        <v>39</v>
      </c>
      <c r="Y19" s="55" t="s">
        <v>50</v>
      </c>
      <c r="Z19" s="55" t="s">
        <v>78</v>
      </c>
      <c r="AA19" s="55" t="s">
        <v>102</v>
      </c>
      <c r="AB19" s="55" t="s">
        <v>317</v>
      </c>
      <c r="AE19" s="236" t="s">
        <v>89</v>
      </c>
      <c r="AP19" s="239" t="s">
        <v>112</v>
      </c>
      <c r="AR19" s="231" t="s">
        <v>126</v>
      </c>
      <c r="AV19" s="65" t="s">
        <v>90</v>
      </c>
    </row>
    <row r="20" spans="1:49" x14ac:dyDescent="0.15">
      <c r="A20" s="55" t="s">
        <v>41</v>
      </c>
      <c r="B20" s="237" t="s">
        <v>315</v>
      </c>
      <c r="C20" s="152">
        <v>2018</v>
      </c>
      <c r="D20" s="56" t="s">
        <v>338</v>
      </c>
      <c r="E20" s="237" t="s">
        <v>269</v>
      </c>
      <c r="F20" s="237" t="s">
        <v>274</v>
      </c>
      <c r="G20" s="55" t="s">
        <v>42</v>
      </c>
      <c r="H20" s="55" t="s">
        <v>157</v>
      </c>
      <c r="I20" s="55" t="s">
        <v>153</v>
      </c>
      <c r="J20" s="55" t="s">
        <v>38</v>
      </c>
      <c r="K20" s="55" t="s">
        <v>154</v>
      </c>
      <c r="L20" s="237">
        <v>1</v>
      </c>
      <c r="M20" s="55"/>
      <c r="N20" s="55">
        <v>1</v>
      </c>
      <c r="O20" s="55">
        <v>0.8</v>
      </c>
      <c r="P20" s="55">
        <v>0.9</v>
      </c>
      <c r="Q20" s="57">
        <f t="shared" si="0"/>
        <v>0.85000000000000009</v>
      </c>
      <c r="R20" s="237">
        <v>16.7</v>
      </c>
      <c r="S20" s="55">
        <v>133</v>
      </c>
      <c r="T20" s="77">
        <f t="shared" si="3"/>
        <v>25</v>
      </c>
      <c r="U20" s="55">
        <v>149</v>
      </c>
      <c r="V20" s="78">
        <f t="shared" si="2"/>
        <v>3725</v>
      </c>
      <c r="W20" s="55">
        <v>2</v>
      </c>
      <c r="X20" s="55" t="s">
        <v>39</v>
      </c>
      <c r="Y20" s="55" t="s">
        <v>50</v>
      </c>
      <c r="Z20" s="55" t="s">
        <v>78</v>
      </c>
      <c r="AA20" s="55" t="s">
        <v>102</v>
      </c>
      <c r="AB20" s="55" t="s">
        <v>317</v>
      </c>
      <c r="AE20" s="236"/>
      <c r="AP20" s="239" t="s">
        <v>113</v>
      </c>
      <c r="AR20" s="231" t="s">
        <v>105</v>
      </c>
      <c r="AV20" s="69" t="s">
        <v>347</v>
      </c>
    </row>
    <row r="21" spans="1:49" x14ac:dyDescent="0.15">
      <c r="A21" s="55" t="s">
        <v>41</v>
      </c>
      <c r="B21" s="237" t="s">
        <v>315</v>
      </c>
      <c r="C21" s="152">
        <v>2018</v>
      </c>
      <c r="D21" s="56" t="s">
        <v>338</v>
      </c>
      <c r="E21" s="237" t="s">
        <v>269</v>
      </c>
      <c r="F21" s="237" t="s">
        <v>274</v>
      </c>
      <c r="G21" s="55" t="s">
        <v>42</v>
      </c>
      <c r="H21" s="55" t="s">
        <v>157</v>
      </c>
      <c r="I21" s="55" t="s">
        <v>153</v>
      </c>
      <c r="J21" s="55" t="s">
        <v>38</v>
      </c>
      <c r="K21" s="55" t="s">
        <v>154</v>
      </c>
      <c r="L21" s="237">
        <v>2</v>
      </c>
      <c r="N21" s="55">
        <v>1</v>
      </c>
      <c r="O21" s="55">
        <v>0.95</v>
      </c>
      <c r="P21" s="55">
        <v>0.8</v>
      </c>
      <c r="Q21" s="57">
        <f t="shared" si="0"/>
        <v>0.875</v>
      </c>
      <c r="R21" s="237">
        <v>14</v>
      </c>
      <c r="S21" s="55">
        <v>125</v>
      </c>
      <c r="T21" s="77">
        <f t="shared" si="3"/>
        <v>27</v>
      </c>
      <c r="U21" s="55">
        <v>149</v>
      </c>
      <c r="V21" s="58">
        <f t="shared" si="2"/>
        <v>4023</v>
      </c>
      <c r="W21" s="237">
        <v>2</v>
      </c>
      <c r="X21" s="55" t="s">
        <v>39</v>
      </c>
      <c r="Y21" s="55" t="s">
        <v>50</v>
      </c>
      <c r="Z21" s="55" t="s">
        <v>78</v>
      </c>
      <c r="AA21" s="55" t="s">
        <v>102</v>
      </c>
      <c r="AB21" s="55" t="s">
        <v>317</v>
      </c>
      <c r="AE21" s="244"/>
      <c r="AP21" s="239" t="s">
        <v>114</v>
      </c>
      <c r="AR21" s="231" t="s">
        <v>68</v>
      </c>
      <c r="AV21" s="69" t="s">
        <v>348</v>
      </c>
    </row>
    <row r="22" spans="1:49" x14ac:dyDescent="0.15">
      <c r="A22" s="55" t="s">
        <v>41</v>
      </c>
      <c r="B22" s="237" t="s">
        <v>315</v>
      </c>
      <c r="C22" s="152">
        <v>2018</v>
      </c>
      <c r="D22" s="56" t="s">
        <v>338</v>
      </c>
      <c r="E22" s="237" t="s">
        <v>269</v>
      </c>
      <c r="F22" s="237" t="s">
        <v>274</v>
      </c>
      <c r="G22" s="55" t="s">
        <v>42</v>
      </c>
      <c r="H22" s="55" t="s">
        <v>157</v>
      </c>
      <c r="I22" s="55" t="s">
        <v>153</v>
      </c>
      <c r="J22" s="55" t="s">
        <v>38</v>
      </c>
      <c r="K22" s="55" t="s">
        <v>154</v>
      </c>
      <c r="L22" s="237">
        <v>3</v>
      </c>
      <c r="N22" s="55">
        <v>1</v>
      </c>
      <c r="O22" s="55">
        <v>1</v>
      </c>
      <c r="P22" s="55">
        <v>0.95</v>
      </c>
      <c r="Q22" s="57">
        <f t="shared" si="0"/>
        <v>0.97499999999999998</v>
      </c>
      <c r="R22" s="237">
        <v>12.8</v>
      </c>
      <c r="S22" s="55">
        <v>118</v>
      </c>
      <c r="T22" s="77">
        <f t="shared" si="3"/>
        <v>30</v>
      </c>
      <c r="U22" s="55">
        <v>149</v>
      </c>
      <c r="V22" s="58">
        <f t="shared" si="2"/>
        <v>4470</v>
      </c>
      <c r="W22" s="237">
        <v>2</v>
      </c>
      <c r="X22" s="55" t="s">
        <v>39</v>
      </c>
      <c r="Y22" s="55" t="s">
        <v>50</v>
      </c>
      <c r="Z22" s="55" t="s">
        <v>78</v>
      </c>
      <c r="AA22" s="55" t="s">
        <v>102</v>
      </c>
      <c r="AB22" s="55" t="s">
        <v>317</v>
      </c>
      <c r="AP22" s="239" t="s">
        <v>115</v>
      </c>
      <c r="AR22" s="231" t="s">
        <v>83</v>
      </c>
      <c r="AV22" s="69"/>
    </row>
    <row r="23" spans="1:49" x14ac:dyDescent="0.15">
      <c r="A23" s="55" t="s">
        <v>41</v>
      </c>
      <c r="B23" s="237" t="s">
        <v>315</v>
      </c>
      <c r="C23" s="152">
        <v>2018</v>
      </c>
      <c r="D23" s="56" t="s">
        <v>338</v>
      </c>
      <c r="E23" s="237" t="s">
        <v>269</v>
      </c>
      <c r="F23" s="237" t="s">
        <v>274</v>
      </c>
      <c r="G23" s="55" t="s">
        <v>42</v>
      </c>
      <c r="H23" s="55" t="s">
        <v>155</v>
      </c>
      <c r="I23" s="55" t="s">
        <v>153</v>
      </c>
      <c r="J23" s="55" t="s">
        <v>38</v>
      </c>
      <c r="K23" s="55" t="s">
        <v>154</v>
      </c>
      <c r="L23" s="237">
        <v>1</v>
      </c>
      <c r="M23" s="55"/>
      <c r="N23" s="55">
        <v>3</v>
      </c>
      <c r="O23" s="55">
        <v>0.3</v>
      </c>
      <c r="P23" s="55">
        <v>0.25</v>
      </c>
      <c r="Q23" s="57">
        <f t="shared" si="0"/>
        <v>0.27500000000000002</v>
      </c>
      <c r="R23" s="237">
        <v>16.3</v>
      </c>
      <c r="S23" s="55">
        <v>145</v>
      </c>
      <c r="T23" s="77">
        <f t="shared" ref="T23:T89" si="4">IF(H23="","",IF(OR(H23="GREEN",H23="GK"),IF(S23&gt;=$AX$2,VLOOKUP(S23,$AX$2:$AY$10,2,1),""),IF(S23&gt;=$AZ$2,VLOOKUP(S23,$AZ$2:$BA$10,2,1),"")))</f>
        <v>22</v>
      </c>
      <c r="U23" s="55">
        <v>429</v>
      </c>
      <c r="V23" s="78">
        <f t="shared" si="2"/>
        <v>3146</v>
      </c>
      <c r="W23" s="55">
        <v>1</v>
      </c>
      <c r="X23" s="55" t="s">
        <v>39</v>
      </c>
      <c r="Y23" s="55" t="s">
        <v>50</v>
      </c>
      <c r="Z23" s="55" t="s">
        <v>78</v>
      </c>
      <c r="AA23" s="55" t="s">
        <v>102</v>
      </c>
      <c r="AB23" s="55" t="s">
        <v>317</v>
      </c>
      <c r="AP23" s="239" t="s">
        <v>117</v>
      </c>
      <c r="AR23" s="244" t="s">
        <v>268</v>
      </c>
      <c r="AV23" s="244"/>
    </row>
    <row r="24" spans="1:49" x14ac:dyDescent="0.15">
      <c r="A24" s="55" t="s">
        <v>41</v>
      </c>
      <c r="B24" s="237" t="s">
        <v>315</v>
      </c>
      <c r="C24" s="152">
        <v>2018</v>
      </c>
      <c r="D24" s="56" t="s">
        <v>338</v>
      </c>
      <c r="E24" s="237" t="s">
        <v>269</v>
      </c>
      <c r="F24" s="237" t="s">
        <v>274</v>
      </c>
      <c r="G24" s="55" t="s">
        <v>42</v>
      </c>
      <c r="H24" s="55" t="s">
        <v>155</v>
      </c>
      <c r="I24" s="55" t="s">
        <v>153</v>
      </c>
      <c r="J24" s="55" t="s">
        <v>38</v>
      </c>
      <c r="K24" s="55" t="s">
        <v>154</v>
      </c>
      <c r="L24" s="237">
        <v>2</v>
      </c>
      <c r="N24" s="55">
        <v>3</v>
      </c>
      <c r="O24" s="55">
        <v>0.25</v>
      </c>
      <c r="P24" s="55">
        <v>0.25</v>
      </c>
      <c r="Q24" s="57">
        <f t="shared" si="0"/>
        <v>0.25</v>
      </c>
      <c r="R24" s="237">
        <v>12.8</v>
      </c>
      <c r="S24" s="55">
        <v>138</v>
      </c>
      <c r="T24" s="77">
        <f t="shared" si="4"/>
        <v>22</v>
      </c>
      <c r="U24" s="55">
        <v>429</v>
      </c>
      <c r="V24" s="58">
        <f t="shared" si="2"/>
        <v>3146</v>
      </c>
      <c r="W24" s="237">
        <v>1</v>
      </c>
      <c r="X24" s="55" t="s">
        <v>39</v>
      </c>
      <c r="Y24" s="55" t="s">
        <v>50</v>
      </c>
      <c r="Z24" s="55" t="s">
        <v>78</v>
      </c>
      <c r="AA24" s="55" t="s">
        <v>102</v>
      </c>
      <c r="AB24" s="55" t="s">
        <v>317</v>
      </c>
      <c r="AP24" s="239" t="s">
        <v>118</v>
      </c>
    </row>
    <row r="25" spans="1:49" x14ac:dyDescent="0.15">
      <c r="A25" s="55" t="s">
        <v>41</v>
      </c>
      <c r="B25" s="237" t="s">
        <v>315</v>
      </c>
      <c r="C25" s="152">
        <v>2018</v>
      </c>
      <c r="D25" s="56" t="s">
        <v>338</v>
      </c>
      <c r="E25" s="237" t="s">
        <v>269</v>
      </c>
      <c r="F25" s="237" t="s">
        <v>274</v>
      </c>
      <c r="G25" s="55" t="s">
        <v>42</v>
      </c>
      <c r="H25" s="55" t="s">
        <v>155</v>
      </c>
      <c r="I25" s="55" t="s">
        <v>153</v>
      </c>
      <c r="J25" s="55" t="s">
        <v>38</v>
      </c>
      <c r="K25" s="55" t="s">
        <v>154</v>
      </c>
      <c r="L25" s="237">
        <v>3</v>
      </c>
      <c r="N25" s="55">
        <v>3</v>
      </c>
      <c r="O25" s="55">
        <v>0.25</v>
      </c>
      <c r="P25" s="55">
        <v>0.25</v>
      </c>
      <c r="Q25" s="57">
        <f t="shared" si="0"/>
        <v>0.25</v>
      </c>
      <c r="R25" s="237">
        <v>15.1</v>
      </c>
      <c r="S25" s="55">
        <v>135</v>
      </c>
      <c r="T25" s="77">
        <f t="shared" si="4"/>
        <v>25</v>
      </c>
      <c r="U25" s="55">
        <v>429</v>
      </c>
      <c r="V25" s="58">
        <f t="shared" si="2"/>
        <v>3575</v>
      </c>
      <c r="W25" s="237">
        <v>1</v>
      </c>
      <c r="X25" s="55" t="s">
        <v>39</v>
      </c>
      <c r="Y25" s="55" t="s">
        <v>50</v>
      </c>
      <c r="Z25" s="55" t="s">
        <v>78</v>
      </c>
      <c r="AA25" s="55" t="s">
        <v>102</v>
      </c>
      <c r="AB25" s="55" t="s">
        <v>317</v>
      </c>
    </row>
    <row r="26" spans="1:49" x14ac:dyDescent="0.15">
      <c r="A26" s="55" t="s">
        <v>41</v>
      </c>
      <c r="B26" s="237" t="s">
        <v>315</v>
      </c>
      <c r="C26" s="152">
        <v>2018</v>
      </c>
      <c r="D26" s="56" t="s">
        <v>338</v>
      </c>
      <c r="E26" s="237" t="s">
        <v>269</v>
      </c>
      <c r="F26" s="237" t="s">
        <v>274</v>
      </c>
      <c r="G26" s="55" t="s">
        <v>42</v>
      </c>
      <c r="H26" s="55" t="s">
        <v>155</v>
      </c>
      <c r="I26" s="55" t="s">
        <v>153</v>
      </c>
      <c r="J26" s="55" t="s">
        <v>38</v>
      </c>
      <c r="K26" s="55" t="s">
        <v>154</v>
      </c>
      <c r="L26" s="237">
        <v>1</v>
      </c>
      <c r="M26" s="55"/>
      <c r="N26" s="55">
        <v>1</v>
      </c>
      <c r="O26" s="237">
        <v>0.55000000000000004</v>
      </c>
      <c r="P26" s="237">
        <v>0.7</v>
      </c>
      <c r="Q26" s="57">
        <f t="shared" si="0"/>
        <v>0.625</v>
      </c>
      <c r="R26" s="237">
        <v>14.1</v>
      </c>
      <c r="S26" s="55">
        <v>124</v>
      </c>
      <c r="T26" s="77">
        <f t="shared" si="4"/>
        <v>27</v>
      </c>
      <c r="U26" s="55">
        <v>95</v>
      </c>
      <c r="V26" s="78">
        <f t="shared" si="2"/>
        <v>2565</v>
      </c>
      <c r="W26" s="55">
        <v>2</v>
      </c>
      <c r="X26" s="55" t="s">
        <v>39</v>
      </c>
      <c r="Y26" s="55" t="s">
        <v>50</v>
      </c>
      <c r="Z26" s="55" t="s">
        <v>78</v>
      </c>
      <c r="AA26" s="55" t="s">
        <v>102</v>
      </c>
      <c r="AB26" s="55" t="s">
        <v>317</v>
      </c>
    </row>
    <row r="27" spans="1:49" x14ac:dyDescent="0.15">
      <c r="A27" s="55" t="s">
        <v>41</v>
      </c>
      <c r="B27" s="237" t="s">
        <v>315</v>
      </c>
      <c r="C27" s="152">
        <v>2018</v>
      </c>
      <c r="D27" s="56" t="s">
        <v>338</v>
      </c>
      <c r="E27" s="237" t="s">
        <v>269</v>
      </c>
      <c r="F27" s="237" t="s">
        <v>274</v>
      </c>
      <c r="G27" s="55" t="s">
        <v>42</v>
      </c>
      <c r="H27" s="55" t="s">
        <v>155</v>
      </c>
      <c r="I27" s="55" t="s">
        <v>153</v>
      </c>
      <c r="J27" s="55" t="s">
        <v>38</v>
      </c>
      <c r="K27" s="55" t="s">
        <v>154</v>
      </c>
      <c r="L27" s="237">
        <v>2</v>
      </c>
      <c r="N27" s="55">
        <v>1</v>
      </c>
      <c r="O27" s="237">
        <v>0.7</v>
      </c>
      <c r="P27" s="237">
        <v>0.65</v>
      </c>
      <c r="Q27" s="57">
        <f t="shared" si="0"/>
        <v>0.67500000000000004</v>
      </c>
      <c r="R27" s="237">
        <v>13.8</v>
      </c>
      <c r="S27" s="55">
        <v>129</v>
      </c>
      <c r="T27" s="77">
        <f t="shared" si="4"/>
        <v>25</v>
      </c>
      <c r="U27" s="55">
        <v>95</v>
      </c>
      <c r="V27" s="78">
        <f t="shared" si="2"/>
        <v>2375</v>
      </c>
      <c r="W27" s="55">
        <v>2</v>
      </c>
      <c r="X27" s="55" t="s">
        <v>39</v>
      </c>
      <c r="Y27" s="55" t="s">
        <v>50</v>
      </c>
      <c r="Z27" s="55" t="s">
        <v>78</v>
      </c>
      <c r="AA27" s="55" t="s">
        <v>102</v>
      </c>
      <c r="AB27" s="55" t="s">
        <v>317</v>
      </c>
      <c r="AE27" s="253"/>
      <c r="AF27" s="253"/>
      <c r="AG27" s="253"/>
      <c r="AH27" s="253"/>
      <c r="AI27" s="253"/>
      <c r="AJ27" s="253"/>
      <c r="AK27" s="253"/>
      <c r="AL27" s="253"/>
      <c r="AM27" s="253"/>
      <c r="AN27" s="253"/>
      <c r="AO27" s="253"/>
      <c r="AP27" s="253"/>
      <c r="AQ27" s="253"/>
      <c r="AR27" s="253"/>
      <c r="AS27" s="253"/>
      <c r="AT27" s="253"/>
      <c r="AU27" s="253"/>
      <c r="AV27" s="253"/>
      <c r="AW27" s="253"/>
    </row>
    <row r="28" spans="1:49" x14ac:dyDescent="0.15">
      <c r="A28" s="55" t="s">
        <v>41</v>
      </c>
      <c r="B28" s="237" t="s">
        <v>315</v>
      </c>
      <c r="C28" s="152">
        <v>2018</v>
      </c>
      <c r="D28" s="56" t="s">
        <v>338</v>
      </c>
      <c r="E28" s="237" t="s">
        <v>269</v>
      </c>
      <c r="F28" s="237" t="s">
        <v>274</v>
      </c>
      <c r="G28" s="55" t="s">
        <v>42</v>
      </c>
      <c r="H28" s="55" t="s">
        <v>155</v>
      </c>
      <c r="I28" s="55" t="s">
        <v>153</v>
      </c>
      <c r="J28" s="55" t="s">
        <v>38</v>
      </c>
      <c r="K28" s="55" t="s">
        <v>154</v>
      </c>
      <c r="L28" s="237">
        <v>3</v>
      </c>
      <c r="N28" s="55">
        <v>1</v>
      </c>
      <c r="O28" s="237">
        <v>0.5</v>
      </c>
      <c r="P28" s="237">
        <v>0.55000000000000004</v>
      </c>
      <c r="Q28" s="57">
        <f t="shared" si="0"/>
        <v>0.52500000000000002</v>
      </c>
      <c r="R28" s="237">
        <v>14.7</v>
      </c>
      <c r="S28" s="55">
        <v>122</v>
      </c>
      <c r="T28" s="77">
        <f t="shared" si="4"/>
        <v>27</v>
      </c>
      <c r="U28" s="55">
        <v>95</v>
      </c>
      <c r="V28" s="78">
        <f t="shared" si="2"/>
        <v>2565</v>
      </c>
      <c r="W28" s="237">
        <v>2</v>
      </c>
      <c r="X28" s="55" t="s">
        <v>39</v>
      </c>
      <c r="Y28" s="55" t="s">
        <v>50</v>
      </c>
      <c r="Z28" s="55" t="s">
        <v>78</v>
      </c>
      <c r="AA28" s="55" t="s">
        <v>102</v>
      </c>
      <c r="AB28" s="55" t="s">
        <v>317</v>
      </c>
      <c r="AE28" s="253"/>
      <c r="AF28" s="253"/>
      <c r="AG28" s="253"/>
      <c r="AH28" s="253"/>
      <c r="AI28" s="253"/>
      <c r="AJ28" s="253"/>
      <c r="AK28" s="253"/>
      <c r="AL28" s="253"/>
      <c r="AM28" s="253"/>
      <c r="AN28" s="253"/>
      <c r="AO28" s="253"/>
      <c r="AP28" s="253"/>
      <c r="AQ28" s="253"/>
      <c r="AR28" s="253"/>
      <c r="AS28" s="253"/>
      <c r="AT28" s="253"/>
      <c r="AU28" s="253"/>
      <c r="AV28" s="253"/>
      <c r="AW28" s="253"/>
    </row>
    <row r="29" spans="1:49" x14ac:dyDescent="0.15">
      <c r="A29" s="55" t="s">
        <v>41</v>
      </c>
      <c r="B29" s="237" t="s">
        <v>315</v>
      </c>
      <c r="C29" s="152">
        <v>2018</v>
      </c>
      <c r="D29" s="56" t="s">
        <v>338</v>
      </c>
      <c r="E29" s="237" t="s">
        <v>269</v>
      </c>
      <c r="F29" s="237" t="s">
        <v>274</v>
      </c>
      <c r="G29" s="55" t="s">
        <v>42</v>
      </c>
      <c r="H29" s="55" t="s">
        <v>157</v>
      </c>
      <c r="I29" s="55" t="s">
        <v>153</v>
      </c>
      <c r="J29" s="55" t="s">
        <v>38</v>
      </c>
      <c r="K29" s="55" t="s">
        <v>154</v>
      </c>
      <c r="L29" s="237">
        <v>1</v>
      </c>
      <c r="N29" s="55">
        <v>6</v>
      </c>
      <c r="O29" s="55">
        <v>0.4</v>
      </c>
      <c r="P29" s="55">
        <v>0.5</v>
      </c>
      <c r="Q29" s="57">
        <f t="shared" si="0"/>
        <v>0.45</v>
      </c>
      <c r="R29" s="237">
        <v>15.5</v>
      </c>
      <c r="S29" s="55">
        <v>148</v>
      </c>
      <c r="T29" s="77">
        <f t="shared" si="4"/>
        <v>22</v>
      </c>
      <c r="U29" s="55">
        <v>540</v>
      </c>
      <c r="V29" s="58">
        <f t="shared" si="2"/>
        <v>1980</v>
      </c>
      <c r="W29" s="237">
        <v>1</v>
      </c>
      <c r="X29" s="55" t="s">
        <v>46</v>
      </c>
      <c r="Y29" s="55" t="s">
        <v>50</v>
      </c>
      <c r="Z29" s="55" t="s">
        <v>78</v>
      </c>
      <c r="AA29" s="55" t="s">
        <v>102</v>
      </c>
      <c r="AB29" s="55" t="s">
        <v>317</v>
      </c>
    </row>
    <row r="30" spans="1:49" x14ac:dyDescent="0.15">
      <c r="A30" s="55" t="s">
        <v>41</v>
      </c>
      <c r="B30" s="237" t="s">
        <v>315</v>
      </c>
      <c r="C30" s="152">
        <v>2018</v>
      </c>
      <c r="D30" s="56" t="s">
        <v>338</v>
      </c>
      <c r="E30" s="237" t="s">
        <v>269</v>
      </c>
      <c r="F30" s="237" t="s">
        <v>274</v>
      </c>
      <c r="G30" s="55" t="s">
        <v>42</v>
      </c>
      <c r="H30" s="55" t="s">
        <v>157</v>
      </c>
      <c r="I30" s="55" t="s">
        <v>153</v>
      </c>
      <c r="J30" s="55" t="s">
        <v>38</v>
      </c>
      <c r="K30" s="55" t="s">
        <v>154</v>
      </c>
      <c r="L30" s="237">
        <v>2</v>
      </c>
      <c r="M30" s="55"/>
      <c r="N30" s="55">
        <v>6</v>
      </c>
      <c r="O30" s="55">
        <v>0.5</v>
      </c>
      <c r="P30" s="55">
        <v>0.65</v>
      </c>
      <c r="Q30" s="57">
        <f t="shared" si="0"/>
        <v>0.57499999999999996</v>
      </c>
      <c r="R30" s="237">
        <v>15.6</v>
      </c>
      <c r="S30" s="55">
        <v>151</v>
      </c>
      <c r="T30" s="77">
        <f t="shared" si="4"/>
        <v>22</v>
      </c>
      <c r="U30" s="55">
        <v>540</v>
      </c>
      <c r="V30" s="78">
        <f t="shared" si="2"/>
        <v>1980</v>
      </c>
      <c r="W30" s="55">
        <v>1</v>
      </c>
      <c r="X30" s="55" t="s">
        <v>46</v>
      </c>
      <c r="Y30" s="55" t="s">
        <v>50</v>
      </c>
      <c r="Z30" s="55" t="s">
        <v>78</v>
      </c>
      <c r="AA30" s="55" t="s">
        <v>102</v>
      </c>
      <c r="AB30" s="55" t="s">
        <v>317</v>
      </c>
      <c r="AE30" s="253"/>
      <c r="AF30" s="253"/>
      <c r="AG30" s="253"/>
      <c r="AH30" s="253"/>
      <c r="AI30" s="253"/>
      <c r="AJ30" s="253"/>
      <c r="AK30" s="253"/>
      <c r="AL30" s="253"/>
      <c r="AM30" s="253"/>
      <c r="AN30" s="253"/>
      <c r="AO30" s="253"/>
      <c r="AP30" s="253"/>
      <c r="AQ30" s="253"/>
      <c r="AR30" s="253"/>
      <c r="AS30" s="253"/>
      <c r="AT30" s="253"/>
      <c r="AU30" s="253"/>
      <c r="AV30" s="253"/>
      <c r="AW30" s="253"/>
    </row>
    <row r="31" spans="1:49" x14ac:dyDescent="0.15">
      <c r="A31" s="55" t="s">
        <v>41</v>
      </c>
      <c r="B31" s="237" t="s">
        <v>315</v>
      </c>
      <c r="C31" s="152">
        <v>2018</v>
      </c>
      <c r="D31" s="56" t="s">
        <v>338</v>
      </c>
      <c r="E31" s="237" t="s">
        <v>269</v>
      </c>
      <c r="F31" s="237" t="s">
        <v>274</v>
      </c>
      <c r="G31" s="55" t="s">
        <v>42</v>
      </c>
      <c r="H31" s="55" t="s">
        <v>157</v>
      </c>
      <c r="I31" s="55" t="s">
        <v>153</v>
      </c>
      <c r="J31" s="55" t="s">
        <v>38</v>
      </c>
      <c r="K31" s="55" t="s">
        <v>154</v>
      </c>
      <c r="L31" s="237">
        <v>3</v>
      </c>
      <c r="N31" s="55">
        <v>6</v>
      </c>
      <c r="O31" s="55">
        <v>0.7</v>
      </c>
      <c r="P31" s="55">
        <v>0.6</v>
      </c>
      <c r="Q31" s="57">
        <f t="shared" si="0"/>
        <v>0.64999999999999991</v>
      </c>
      <c r="R31" s="237">
        <v>15.1</v>
      </c>
      <c r="S31" s="55">
        <v>140</v>
      </c>
      <c r="T31" s="77">
        <f t="shared" si="4"/>
        <v>22</v>
      </c>
      <c r="U31" s="55">
        <v>540</v>
      </c>
      <c r="V31" s="58">
        <f t="shared" si="2"/>
        <v>1980</v>
      </c>
      <c r="W31" s="237">
        <v>1</v>
      </c>
      <c r="X31" s="55" t="s">
        <v>46</v>
      </c>
      <c r="Y31" s="55" t="s">
        <v>50</v>
      </c>
      <c r="Z31" s="55" t="s">
        <v>78</v>
      </c>
      <c r="AA31" s="55" t="s">
        <v>102</v>
      </c>
      <c r="AB31" s="55" t="s">
        <v>317</v>
      </c>
      <c r="AE31" s="253"/>
      <c r="AF31" s="253"/>
      <c r="AG31" s="253"/>
      <c r="AH31" s="253"/>
      <c r="AI31" s="253"/>
      <c r="AJ31" s="253"/>
      <c r="AK31" s="253"/>
      <c r="AL31" s="253"/>
      <c r="AM31" s="253"/>
      <c r="AN31" s="253"/>
      <c r="AO31" s="253"/>
      <c r="AP31" s="253"/>
      <c r="AQ31" s="253"/>
      <c r="AR31" s="253"/>
      <c r="AS31" s="253"/>
      <c r="AT31" s="253"/>
      <c r="AU31" s="253"/>
      <c r="AV31" s="253"/>
      <c r="AW31" s="253"/>
    </row>
    <row r="32" spans="1:49" x14ac:dyDescent="0.15">
      <c r="A32" s="55" t="s">
        <v>41</v>
      </c>
      <c r="B32" s="237" t="s">
        <v>315</v>
      </c>
      <c r="C32" s="152">
        <v>2018</v>
      </c>
      <c r="D32" s="56" t="s">
        <v>338</v>
      </c>
      <c r="E32" s="237" t="s">
        <v>269</v>
      </c>
      <c r="F32" s="237" t="s">
        <v>274</v>
      </c>
      <c r="G32" s="55" t="s">
        <v>42</v>
      </c>
      <c r="H32" s="55" t="s">
        <v>129</v>
      </c>
      <c r="I32" s="55" t="s">
        <v>153</v>
      </c>
      <c r="J32" s="55" t="s">
        <v>58</v>
      </c>
      <c r="K32" s="55" t="s">
        <v>59</v>
      </c>
      <c r="L32" s="237">
        <v>1</v>
      </c>
      <c r="N32" s="55">
        <v>5</v>
      </c>
      <c r="O32" s="55">
        <v>0.8</v>
      </c>
      <c r="P32" s="55">
        <v>0.85</v>
      </c>
      <c r="Q32" s="57">
        <f t="shared" si="0"/>
        <v>0.82499999999999996</v>
      </c>
      <c r="R32" s="237">
        <v>12.8</v>
      </c>
      <c r="S32" s="55">
        <v>85</v>
      </c>
      <c r="T32" s="77">
        <f t="shared" si="4"/>
        <v>36</v>
      </c>
      <c r="U32" s="55">
        <v>537</v>
      </c>
      <c r="V32" s="58">
        <f t="shared" si="2"/>
        <v>3866.4</v>
      </c>
      <c r="W32" s="237">
        <v>2</v>
      </c>
      <c r="X32" s="55" t="s">
        <v>39</v>
      </c>
      <c r="Y32" s="55" t="s">
        <v>50</v>
      </c>
      <c r="Z32" s="55" t="s">
        <v>78</v>
      </c>
      <c r="AA32" s="55" t="s">
        <v>102</v>
      </c>
      <c r="AB32" s="55" t="s">
        <v>317</v>
      </c>
    </row>
    <row r="33" spans="1:49" x14ac:dyDescent="0.15">
      <c r="A33" s="55" t="s">
        <v>41</v>
      </c>
      <c r="B33" s="237" t="s">
        <v>315</v>
      </c>
      <c r="C33" s="152">
        <v>2018</v>
      </c>
      <c r="D33" s="56" t="s">
        <v>338</v>
      </c>
      <c r="E33" s="237" t="s">
        <v>269</v>
      </c>
      <c r="F33" s="237" t="s">
        <v>274</v>
      </c>
      <c r="G33" s="55" t="s">
        <v>42</v>
      </c>
      <c r="H33" s="55" t="s">
        <v>129</v>
      </c>
      <c r="I33" s="55" t="s">
        <v>153</v>
      </c>
      <c r="J33" s="55" t="s">
        <v>58</v>
      </c>
      <c r="K33" s="55" t="s">
        <v>59</v>
      </c>
      <c r="L33" s="237">
        <v>2</v>
      </c>
      <c r="M33" s="55"/>
      <c r="N33" s="55">
        <v>5</v>
      </c>
      <c r="O33" s="55">
        <v>0.95</v>
      </c>
      <c r="P33" s="55">
        <v>0.9</v>
      </c>
      <c r="Q33" s="57">
        <f t="shared" si="0"/>
        <v>0.92500000000000004</v>
      </c>
      <c r="R33" s="237">
        <v>13.8</v>
      </c>
      <c r="S33" s="55">
        <v>87</v>
      </c>
      <c r="T33" s="77">
        <f t="shared" si="4"/>
        <v>36</v>
      </c>
      <c r="U33" s="55">
        <v>537</v>
      </c>
      <c r="V33" s="78">
        <f t="shared" si="2"/>
        <v>3866.4</v>
      </c>
      <c r="W33" s="55">
        <v>2</v>
      </c>
      <c r="X33" s="55" t="s">
        <v>39</v>
      </c>
      <c r="Y33" s="55" t="s">
        <v>50</v>
      </c>
      <c r="Z33" s="55" t="s">
        <v>78</v>
      </c>
      <c r="AA33" s="55" t="s">
        <v>102</v>
      </c>
      <c r="AB33" s="55" t="s">
        <v>317</v>
      </c>
      <c r="AE33" s="253"/>
      <c r="AF33" s="253"/>
      <c r="AG33" s="253"/>
      <c r="AH33" s="253"/>
      <c r="AI33" s="253"/>
      <c r="AJ33" s="253"/>
      <c r="AK33" s="253"/>
      <c r="AL33" s="253"/>
      <c r="AM33" s="253"/>
      <c r="AN33" s="253"/>
      <c r="AO33" s="253"/>
      <c r="AP33" s="253"/>
      <c r="AQ33" s="253"/>
      <c r="AR33" s="253"/>
      <c r="AS33" s="253"/>
      <c r="AT33" s="253"/>
      <c r="AU33" s="253"/>
      <c r="AV33" s="253"/>
      <c r="AW33" s="253"/>
    </row>
    <row r="34" spans="1:49" x14ac:dyDescent="0.15">
      <c r="A34" s="55" t="s">
        <v>41</v>
      </c>
      <c r="B34" s="237" t="s">
        <v>315</v>
      </c>
      <c r="C34" s="152">
        <v>2018</v>
      </c>
      <c r="D34" s="56" t="s">
        <v>338</v>
      </c>
      <c r="E34" s="237" t="s">
        <v>269</v>
      </c>
      <c r="F34" s="237" t="s">
        <v>274</v>
      </c>
      <c r="G34" s="55" t="s">
        <v>42</v>
      </c>
      <c r="H34" s="55" t="s">
        <v>129</v>
      </c>
      <c r="I34" s="55" t="s">
        <v>153</v>
      </c>
      <c r="J34" s="55" t="s">
        <v>58</v>
      </c>
      <c r="K34" s="55" t="s">
        <v>59</v>
      </c>
      <c r="L34" s="237">
        <v>3</v>
      </c>
      <c r="N34" s="55">
        <v>5</v>
      </c>
      <c r="O34" s="55">
        <v>1</v>
      </c>
      <c r="P34" s="55">
        <v>0.9</v>
      </c>
      <c r="Q34" s="57">
        <f t="shared" si="0"/>
        <v>0.95</v>
      </c>
      <c r="R34" s="237">
        <v>15.4</v>
      </c>
      <c r="S34" s="55">
        <v>90</v>
      </c>
      <c r="T34" s="77">
        <f t="shared" si="4"/>
        <v>36</v>
      </c>
      <c r="U34" s="55">
        <v>537</v>
      </c>
      <c r="V34" s="58">
        <f t="shared" si="2"/>
        <v>3866.4</v>
      </c>
      <c r="W34" s="237">
        <v>2</v>
      </c>
      <c r="X34" s="55" t="s">
        <v>39</v>
      </c>
      <c r="Y34" s="55" t="s">
        <v>50</v>
      </c>
      <c r="Z34" s="55" t="s">
        <v>78</v>
      </c>
      <c r="AA34" s="55" t="s">
        <v>102</v>
      </c>
      <c r="AB34" s="55" t="s">
        <v>317</v>
      </c>
      <c r="AE34" s="253"/>
      <c r="AF34" s="253"/>
      <c r="AG34" s="253"/>
      <c r="AH34" s="253"/>
      <c r="AI34" s="253"/>
      <c r="AJ34" s="253"/>
      <c r="AK34" s="253"/>
      <c r="AL34" s="253"/>
      <c r="AM34" s="253"/>
      <c r="AN34" s="253"/>
      <c r="AO34" s="253"/>
      <c r="AP34" s="253"/>
      <c r="AQ34" s="253"/>
      <c r="AR34" s="253"/>
      <c r="AS34" s="253"/>
      <c r="AT34" s="253"/>
      <c r="AU34" s="253"/>
      <c r="AV34" s="253"/>
      <c r="AW34" s="253"/>
    </row>
    <row r="35" spans="1:49" x14ac:dyDescent="0.15">
      <c r="A35" s="55" t="s">
        <v>41</v>
      </c>
      <c r="B35" s="237" t="s">
        <v>315</v>
      </c>
      <c r="C35" s="152">
        <v>2018</v>
      </c>
      <c r="D35" s="56" t="s">
        <v>338</v>
      </c>
      <c r="E35" s="237" t="s">
        <v>269</v>
      </c>
      <c r="F35" s="237" t="s">
        <v>275</v>
      </c>
      <c r="G35" s="55" t="s">
        <v>42</v>
      </c>
      <c r="H35" s="55" t="s">
        <v>157</v>
      </c>
      <c r="I35" s="55" t="s">
        <v>153</v>
      </c>
      <c r="J35" s="55" t="s">
        <v>38</v>
      </c>
      <c r="K35" s="55" t="s">
        <v>154</v>
      </c>
      <c r="L35" s="237">
        <v>1</v>
      </c>
      <c r="M35" s="55"/>
      <c r="N35" s="55">
        <v>1</v>
      </c>
      <c r="O35" s="55">
        <v>0.45</v>
      </c>
      <c r="P35" s="55">
        <v>0.5</v>
      </c>
      <c r="Q35" s="57">
        <f t="shared" si="0"/>
        <v>0.47499999999999998</v>
      </c>
      <c r="R35" s="55">
        <v>18.5</v>
      </c>
      <c r="S35" s="237">
        <v>130</v>
      </c>
      <c r="T35" s="77">
        <f t="shared" si="4"/>
        <v>25</v>
      </c>
      <c r="U35" s="55">
        <v>148</v>
      </c>
      <c r="V35" s="78">
        <f t="shared" si="2"/>
        <v>3700</v>
      </c>
      <c r="W35" s="55">
        <v>1</v>
      </c>
      <c r="X35" s="55" t="s">
        <v>39</v>
      </c>
      <c r="Y35" s="55" t="s">
        <v>50</v>
      </c>
      <c r="Z35" s="55" t="s">
        <v>84</v>
      </c>
      <c r="AA35" s="55" t="s">
        <v>90</v>
      </c>
      <c r="AB35" s="55" t="s">
        <v>317</v>
      </c>
    </row>
    <row r="36" spans="1:49" x14ac:dyDescent="0.15">
      <c r="A36" s="55" t="s">
        <v>41</v>
      </c>
      <c r="B36" s="237" t="s">
        <v>315</v>
      </c>
      <c r="C36" s="152">
        <v>2018</v>
      </c>
      <c r="D36" s="56" t="s">
        <v>338</v>
      </c>
      <c r="E36" s="237" t="s">
        <v>269</v>
      </c>
      <c r="F36" s="237" t="s">
        <v>275</v>
      </c>
      <c r="G36" s="55" t="s">
        <v>42</v>
      </c>
      <c r="H36" s="55" t="s">
        <v>157</v>
      </c>
      <c r="I36" s="55" t="s">
        <v>153</v>
      </c>
      <c r="J36" s="55" t="s">
        <v>38</v>
      </c>
      <c r="K36" s="55" t="s">
        <v>154</v>
      </c>
      <c r="L36" s="237">
        <v>2</v>
      </c>
      <c r="N36" s="55">
        <v>1</v>
      </c>
      <c r="O36" s="55">
        <v>0.6</v>
      </c>
      <c r="P36" s="55">
        <v>0.65</v>
      </c>
      <c r="Q36" s="57">
        <f t="shared" si="0"/>
        <v>0.625</v>
      </c>
      <c r="R36" s="55">
        <v>12.5</v>
      </c>
      <c r="S36" s="237">
        <v>126</v>
      </c>
      <c r="T36" s="77">
        <f t="shared" si="4"/>
        <v>27</v>
      </c>
      <c r="U36" s="55">
        <v>148</v>
      </c>
      <c r="V36" s="58">
        <f t="shared" si="2"/>
        <v>3996</v>
      </c>
      <c r="W36" s="237">
        <v>1</v>
      </c>
      <c r="X36" s="55" t="s">
        <v>39</v>
      </c>
      <c r="Y36" s="55" t="s">
        <v>50</v>
      </c>
      <c r="Z36" s="55" t="s">
        <v>84</v>
      </c>
      <c r="AA36" s="55" t="s">
        <v>90</v>
      </c>
      <c r="AB36" s="55" t="s">
        <v>317</v>
      </c>
      <c r="AE36" s="253"/>
      <c r="AF36" s="253"/>
      <c r="AG36" s="253"/>
      <c r="AH36" s="253"/>
      <c r="AI36" s="253"/>
      <c r="AJ36" s="253"/>
      <c r="AK36" s="253"/>
      <c r="AL36" s="253"/>
      <c r="AM36" s="253"/>
      <c r="AN36" s="253"/>
      <c r="AO36" s="253"/>
      <c r="AP36" s="253"/>
      <c r="AQ36" s="253"/>
      <c r="AR36" s="253"/>
      <c r="AS36" s="253"/>
      <c r="AT36" s="253"/>
      <c r="AU36" s="253"/>
      <c r="AV36" s="253"/>
      <c r="AW36" s="253"/>
    </row>
    <row r="37" spans="1:49" x14ac:dyDescent="0.15">
      <c r="A37" s="55" t="s">
        <v>41</v>
      </c>
      <c r="B37" s="237" t="s">
        <v>315</v>
      </c>
      <c r="C37" s="152">
        <v>2018</v>
      </c>
      <c r="D37" s="56" t="s">
        <v>338</v>
      </c>
      <c r="E37" s="237" t="s">
        <v>269</v>
      </c>
      <c r="F37" s="237" t="s">
        <v>275</v>
      </c>
      <c r="G37" s="55" t="s">
        <v>42</v>
      </c>
      <c r="H37" s="55" t="s">
        <v>157</v>
      </c>
      <c r="I37" s="55" t="s">
        <v>153</v>
      </c>
      <c r="J37" s="55" t="s">
        <v>38</v>
      </c>
      <c r="K37" s="55" t="s">
        <v>154</v>
      </c>
      <c r="L37" s="237">
        <v>3</v>
      </c>
      <c r="N37" s="55">
        <v>1</v>
      </c>
      <c r="O37" s="55">
        <v>0.8</v>
      </c>
      <c r="P37" s="55">
        <v>0.75</v>
      </c>
      <c r="Q37" s="57">
        <f t="shared" si="0"/>
        <v>0.77500000000000002</v>
      </c>
      <c r="R37" s="55">
        <v>15.9</v>
      </c>
      <c r="S37" s="237">
        <v>128</v>
      </c>
      <c r="T37" s="77">
        <f t="shared" si="4"/>
        <v>27</v>
      </c>
      <c r="U37" s="55">
        <v>148</v>
      </c>
      <c r="V37" s="58">
        <f t="shared" si="2"/>
        <v>3996</v>
      </c>
      <c r="W37" s="237">
        <v>1</v>
      </c>
      <c r="X37" s="55" t="s">
        <v>39</v>
      </c>
      <c r="Y37" s="55" t="s">
        <v>50</v>
      </c>
      <c r="Z37" s="55" t="s">
        <v>84</v>
      </c>
      <c r="AA37" s="55" t="s">
        <v>90</v>
      </c>
      <c r="AB37" s="55" t="s">
        <v>317</v>
      </c>
      <c r="AE37" s="253"/>
      <c r="AF37" s="253"/>
      <c r="AG37" s="253"/>
      <c r="AH37" s="253"/>
      <c r="AI37" s="253"/>
      <c r="AJ37" s="253"/>
      <c r="AK37" s="253"/>
      <c r="AL37" s="253"/>
      <c r="AM37" s="253"/>
      <c r="AN37" s="253"/>
      <c r="AO37" s="253"/>
      <c r="AP37" s="253"/>
      <c r="AQ37" s="253"/>
      <c r="AR37" s="253"/>
      <c r="AS37" s="253"/>
      <c r="AT37" s="253"/>
      <c r="AU37" s="253"/>
      <c r="AV37" s="253"/>
      <c r="AW37" s="253"/>
    </row>
    <row r="38" spans="1:49" x14ac:dyDescent="0.15">
      <c r="A38" s="55" t="s">
        <v>41</v>
      </c>
      <c r="B38" s="237" t="s">
        <v>315</v>
      </c>
      <c r="C38" s="152">
        <v>2018</v>
      </c>
      <c r="D38" s="56" t="s">
        <v>338</v>
      </c>
      <c r="E38" s="237" t="s">
        <v>269</v>
      </c>
      <c r="F38" s="237" t="s">
        <v>275</v>
      </c>
      <c r="G38" s="55" t="s">
        <v>42</v>
      </c>
      <c r="H38" s="55" t="s">
        <v>155</v>
      </c>
      <c r="I38" s="55" t="s">
        <v>153</v>
      </c>
      <c r="J38" s="55" t="s">
        <v>38</v>
      </c>
      <c r="K38" s="55" t="s">
        <v>154</v>
      </c>
      <c r="L38" s="237">
        <v>1</v>
      </c>
      <c r="M38" s="55"/>
      <c r="N38" s="55">
        <v>5</v>
      </c>
      <c r="O38" s="55">
        <v>0.65</v>
      </c>
      <c r="P38" s="55">
        <v>0.7</v>
      </c>
      <c r="Q38" s="57">
        <f t="shared" si="0"/>
        <v>0.67500000000000004</v>
      </c>
      <c r="R38" s="55">
        <v>13.5</v>
      </c>
      <c r="S38" s="237">
        <v>121</v>
      </c>
      <c r="T38" s="77">
        <f t="shared" si="4"/>
        <v>27</v>
      </c>
      <c r="U38" s="55">
        <v>540</v>
      </c>
      <c r="V38" s="78">
        <f t="shared" si="2"/>
        <v>2916</v>
      </c>
      <c r="W38" s="55">
        <v>1</v>
      </c>
      <c r="X38" s="55" t="s">
        <v>39</v>
      </c>
      <c r="Y38" s="55" t="s">
        <v>50</v>
      </c>
      <c r="Z38" s="55" t="s">
        <v>84</v>
      </c>
      <c r="AA38" s="55" t="s">
        <v>90</v>
      </c>
      <c r="AB38" s="55" t="s">
        <v>317</v>
      </c>
    </row>
    <row r="39" spans="1:49" x14ac:dyDescent="0.15">
      <c r="A39" s="55" t="s">
        <v>41</v>
      </c>
      <c r="B39" s="237" t="s">
        <v>315</v>
      </c>
      <c r="C39" s="152">
        <v>2018</v>
      </c>
      <c r="D39" s="56" t="s">
        <v>338</v>
      </c>
      <c r="E39" s="237" t="s">
        <v>269</v>
      </c>
      <c r="F39" s="237" t="s">
        <v>275</v>
      </c>
      <c r="G39" s="55" t="s">
        <v>42</v>
      </c>
      <c r="H39" s="55" t="s">
        <v>155</v>
      </c>
      <c r="I39" s="55" t="s">
        <v>153</v>
      </c>
      <c r="J39" s="55" t="s">
        <v>38</v>
      </c>
      <c r="K39" s="55" t="s">
        <v>154</v>
      </c>
      <c r="L39" s="237">
        <v>2</v>
      </c>
      <c r="N39" s="55">
        <v>5</v>
      </c>
      <c r="O39" s="55">
        <v>0.5</v>
      </c>
      <c r="P39" s="55">
        <v>0.6</v>
      </c>
      <c r="Q39" s="57">
        <f t="shared" si="0"/>
        <v>0.55000000000000004</v>
      </c>
      <c r="R39" s="55">
        <v>14.1</v>
      </c>
      <c r="S39" s="237">
        <v>120</v>
      </c>
      <c r="T39" s="77">
        <f t="shared" si="4"/>
        <v>30</v>
      </c>
      <c r="U39" s="55">
        <v>540</v>
      </c>
      <c r="V39" s="58">
        <f t="shared" si="2"/>
        <v>3240</v>
      </c>
      <c r="W39" s="237">
        <v>1</v>
      </c>
      <c r="X39" s="55" t="s">
        <v>39</v>
      </c>
      <c r="Y39" s="55" t="s">
        <v>50</v>
      </c>
      <c r="Z39" s="55" t="s">
        <v>84</v>
      </c>
      <c r="AA39" s="55" t="s">
        <v>90</v>
      </c>
      <c r="AB39" s="55" t="s">
        <v>317</v>
      </c>
      <c r="AE39" s="253"/>
      <c r="AF39" s="253"/>
      <c r="AG39" s="253"/>
      <c r="AH39" s="253"/>
      <c r="AI39" s="253"/>
      <c r="AJ39" s="253"/>
      <c r="AK39" s="253"/>
      <c r="AL39" s="253"/>
      <c r="AM39" s="253"/>
      <c r="AN39" s="253"/>
      <c r="AO39" s="253"/>
      <c r="AP39" s="253"/>
      <c r="AQ39" s="253"/>
      <c r="AR39" s="253"/>
      <c r="AS39" s="253"/>
      <c r="AT39" s="253"/>
      <c r="AU39" s="253"/>
      <c r="AV39" s="253"/>
      <c r="AW39" s="253"/>
    </row>
    <row r="40" spans="1:49" x14ac:dyDescent="0.15">
      <c r="A40" s="55" t="s">
        <v>41</v>
      </c>
      <c r="B40" s="237" t="s">
        <v>315</v>
      </c>
      <c r="C40" s="152">
        <v>2018</v>
      </c>
      <c r="D40" s="56" t="s">
        <v>338</v>
      </c>
      <c r="E40" s="237" t="s">
        <v>269</v>
      </c>
      <c r="F40" s="237" t="s">
        <v>275</v>
      </c>
      <c r="G40" s="55" t="s">
        <v>42</v>
      </c>
      <c r="H40" s="55" t="s">
        <v>155</v>
      </c>
      <c r="I40" s="55" t="s">
        <v>153</v>
      </c>
      <c r="J40" s="55" t="s">
        <v>38</v>
      </c>
      <c r="K40" s="55" t="s">
        <v>154</v>
      </c>
      <c r="L40" s="237">
        <v>3</v>
      </c>
      <c r="N40" s="55">
        <v>5</v>
      </c>
      <c r="O40" s="55">
        <v>0.8</v>
      </c>
      <c r="P40" s="55">
        <v>0.65</v>
      </c>
      <c r="Q40" s="57">
        <f t="shared" si="0"/>
        <v>0.72500000000000009</v>
      </c>
      <c r="R40" s="55">
        <v>15.1</v>
      </c>
      <c r="S40" s="237">
        <v>124</v>
      </c>
      <c r="T40" s="77">
        <f t="shared" si="4"/>
        <v>27</v>
      </c>
      <c r="U40" s="55">
        <v>540</v>
      </c>
      <c r="V40" s="58">
        <f t="shared" si="2"/>
        <v>2916</v>
      </c>
      <c r="W40" s="237">
        <v>1</v>
      </c>
      <c r="X40" s="55" t="s">
        <v>39</v>
      </c>
      <c r="Y40" s="55" t="s">
        <v>50</v>
      </c>
      <c r="Z40" s="55" t="s">
        <v>84</v>
      </c>
      <c r="AA40" s="55" t="s">
        <v>90</v>
      </c>
      <c r="AB40" s="55" t="s">
        <v>317</v>
      </c>
      <c r="AE40" s="253"/>
      <c r="AF40" s="253"/>
      <c r="AG40" s="253"/>
      <c r="AH40" s="253"/>
      <c r="AI40" s="253"/>
      <c r="AJ40" s="253"/>
      <c r="AK40" s="253"/>
      <c r="AL40" s="253"/>
      <c r="AM40" s="253"/>
      <c r="AN40" s="253"/>
      <c r="AO40" s="253"/>
      <c r="AP40" s="253"/>
      <c r="AQ40" s="253"/>
      <c r="AR40" s="253"/>
      <c r="AS40" s="253"/>
      <c r="AT40" s="253"/>
      <c r="AU40" s="253"/>
      <c r="AV40" s="253"/>
      <c r="AW40" s="253"/>
    </row>
    <row r="41" spans="1:49" x14ac:dyDescent="0.15">
      <c r="A41" s="55" t="s">
        <v>41</v>
      </c>
      <c r="B41" s="237" t="s">
        <v>315</v>
      </c>
      <c r="C41" s="152">
        <v>2018</v>
      </c>
      <c r="D41" s="56" t="s">
        <v>338</v>
      </c>
      <c r="E41" s="237" t="s">
        <v>269</v>
      </c>
      <c r="F41" s="237" t="s">
        <v>275</v>
      </c>
      <c r="G41" s="55" t="s">
        <v>42</v>
      </c>
      <c r="H41" s="55" t="s">
        <v>155</v>
      </c>
      <c r="I41" s="55" t="s">
        <v>153</v>
      </c>
      <c r="J41" s="55" t="s">
        <v>38</v>
      </c>
      <c r="K41" s="55" t="s">
        <v>154</v>
      </c>
      <c r="L41" s="237">
        <v>1</v>
      </c>
      <c r="M41" s="55"/>
      <c r="N41" s="55">
        <v>1</v>
      </c>
      <c r="O41" s="55">
        <v>0.25</v>
      </c>
      <c r="P41" s="55">
        <v>0.25</v>
      </c>
      <c r="Q41" s="57">
        <f t="shared" si="0"/>
        <v>0.25</v>
      </c>
      <c r="R41" s="237">
        <v>13.7</v>
      </c>
      <c r="S41" s="237">
        <v>129</v>
      </c>
      <c r="T41" s="77">
        <f t="shared" si="4"/>
        <v>25</v>
      </c>
      <c r="U41" s="55">
        <v>105</v>
      </c>
      <c r="V41" s="78">
        <f t="shared" si="2"/>
        <v>2625</v>
      </c>
      <c r="W41" s="55">
        <v>1</v>
      </c>
      <c r="X41" s="55" t="s">
        <v>39</v>
      </c>
      <c r="Y41" s="55" t="s">
        <v>50</v>
      </c>
      <c r="Z41" s="55" t="s">
        <v>84</v>
      </c>
      <c r="AA41" s="55" t="s">
        <v>90</v>
      </c>
      <c r="AB41" s="55" t="s">
        <v>317</v>
      </c>
      <c r="AE41" s="256"/>
      <c r="AF41" s="253"/>
      <c r="AG41" s="257"/>
      <c r="AH41" s="257"/>
      <c r="AI41" s="253"/>
      <c r="AJ41" s="253"/>
      <c r="AK41" s="253"/>
      <c r="AL41" s="253"/>
      <c r="AM41" s="253"/>
      <c r="AN41" s="253"/>
      <c r="AO41" s="253"/>
      <c r="AP41" s="253"/>
      <c r="AQ41" s="253"/>
      <c r="AR41" s="257"/>
      <c r="AS41" s="253"/>
      <c r="AT41" s="253"/>
      <c r="AU41" s="253"/>
      <c r="AV41" s="253"/>
      <c r="AW41" s="253"/>
    </row>
    <row r="42" spans="1:49" x14ac:dyDescent="0.15">
      <c r="A42" s="55" t="s">
        <v>41</v>
      </c>
      <c r="B42" s="237" t="s">
        <v>315</v>
      </c>
      <c r="C42" s="152">
        <v>2018</v>
      </c>
      <c r="D42" s="56" t="s">
        <v>338</v>
      </c>
      <c r="E42" s="237" t="s">
        <v>269</v>
      </c>
      <c r="F42" s="237" t="s">
        <v>275</v>
      </c>
      <c r="G42" s="55" t="s">
        <v>42</v>
      </c>
      <c r="H42" s="55" t="s">
        <v>155</v>
      </c>
      <c r="I42" s="55" t="s">
        <v>153</v>
      </c>
      <c r="J42" s="55" t="s">
        <v>38</v>
      </c>
      <c r="K42" s="55" t="s">
        <v>154</v>
      </c>
      <c r="L42" s="237">
        <v>2</v>
      </c>
      <c r="N42" s="55">
        <v>1</v>
      </c>
      <c r="O42" s="55">
        <v>0.25</v>
      </c>
      <c r="P42" s="55">
        <v>0.25</v>
      </c>
      <c r="Q42" s="57">
        <f t="shared" si="0"/>
        <v>0.25</v>
      </c>
      <c r="R42" s="237">
        <v>15</v>
      </c>
      <c r="S42" s="237">
        <v>131</v>
      </c>
      <c r="T42" s="77">
        <f t="shared" si="4"/>
        <v>25</v>
      </c>
      <c r="U42" s="55">
        <v>105</v>
      </c>
      <c r="V42" s="58">
        <f t="shared" si="2"/>
        <v>2625</v>
      </c>
      <c r="W42" s="237">
        <v>1</v>
      </c>
      <c r="X42" s="55" t="s">
        <v>39</v>
      </c>
      <c r="Y42" s="55" t="s">
        <v>50</v>
      </c>
      <c r="Z42" s="55" t="s">
        <v>84</v>
      </c>
      <c r="AA42" s="55" t="s">
        <v>90</v>
      </c>
      <c r="AB42" s="55" t="s">
        <v>317</v>
      </c>
      <c r="AE42" s="256"/>
      <c r="AF42" s="253"/>
      <c r="AG42" s="257"/>
      <c r="AH42" s="257"/>
      <c r="AI42" s="253"/>
      <c r="AJ42" s="253"/>
      <c r="AK42" s="253"/>
      <c r="AL42" s="253"/>
      <c r="AM42" s="253"/>
      <c r="AN42" s="253"/>
      <c r="AO42" s="253"/>
      <c r="AP42" s="253"/>
      <c r="AQ42" s="253"/>
      <c r="AR42" s="257"/>
      <c r="AS42" s="253"/>
      <c r="AT42" s="253"/>
      <c r="AU42" s="253"/>
      <c r="AV42" s="253"/>
      <c r="AW42" s="253"/>
    </row>
    <row r="43" spans="1:49" x14ac:dyDescent="0.15">
      <c r="A43" s="55" t="s">
        <v>41</v>
      </c>
      <c r="B43" s="237" t="s">
        <v>315</v>
      </c>
      <c r="C43" s="152">
        <v>2018</v>
      </c>
      <c r="D43" s="56" t="s">
        <v>338</v>
      </c>
      <c r="E43" s="237" t="s">
        <v>269</v>
      </c>
      <c r="F43" s="237" t="s">
        <v>275</v>
      </c>
      <c r="G43" s="55" t="s">
        <v>42</v>
      </c>
      <c r="H43" s="55" t="s">
        <v>155</v>
      </c>
      <c r="I43" s="55" t="s">
        <v>153</v>
      </c>
      <c r="J43" s="55" t="s">
        <v>38</v>
      </c>
      <c r="K43" s="55" t="s">
        <v>154</v>
      </c>
      <c r="L43" s="237">
        <v>3</v>
      </c>
      <c r="N43" s="55">
        <v>1</v>
      </c>
      <c r="O43" s="55">
        <v>0.25</v>
      </c>
      <c r="P43" s="55">
        <v>0.3</v>
      </c>
      <c r="Q43" s="57">
        <f t="shared" si="0"/>
        <v>0.27500000000000002</v>
      </c>
      <c r="R43" s="237">
        <v>14.1</v>
      </c>
      <c r="S43" s="237">
        <v>133</v>
      </c>
      <c r="T43" s="77">
        <f t="shared" si="4"/>
        <v>25</v>
      </c>
      <c r="U43" s="55">
        <v>105</v>
      </c>
      <c r="V43" s="58">
        <f t="shared" si="2"/>
        <v>2625</v>
      </c>
      <c r="W43" s="237">
        <v>1</v>
      </c>
      <c r="X43" s="55" t="s">
        <v>39</v>
      </c>
      <c r="Y43" s="55" t="s">
        <v>50</v>
      </c>
      <c r="Z43" s="55" t="s">
        <v>84</v>
      </c>
      <c r="AA43" s="55" t="s">
        <v>90</v>
      </c>
      <c r="AB43" s="55" t="s">
        <v>317</v>
      </c>
      <c r="AE43" s="256"/>
      <c r="AF43" s="253"/>
      <c r="AG43" s="257"/>
      <c r="AH43" s="257"/>
      <c r="AI43" s="253"/>
      <c r="AJ43" s="253"/>
      <c r="AK43" s="253"/>
      <c r="AL43" s="253"/>
      <c r="AM43" s="253"/>
      <c r="AN43" s="253"/>
      <c r="AO43" s="253"/>
      <c r="AP43" s="253"/>
      <c r="AQ43" s="253"/>
      <c r="AR43" s="257"/>
      <c r="AS43" s="253"/>
      <c r="AT43" s="253"/>
      <c r="AU43" s="253"/>
      <c r="AV43" s="253"/>
      <c r="AW43" s="253"/>
    </row>
    <row r="44" spans="1:49" x14ac:dyDescent="0.15">
      <c r="A44" s="55" t="s">
        <v>41</v>
      </c>
      <c r="B44" s="237" t="s">
        <v>315</v>
      </c>
      <c r="C44" s="152">
        <v>2018</v>
      </c>
      <c r="D44" s="56" t="s">
        <v>338</v>
      </c>
      <c r="E44" s="237" t="s">
        <v>270</v>
      </c>
      <c r="F44" s="237" t="s">
        <v>274</v>
      </c>
      <c r="G44" s="55" t="s">
        <v>42</v>
      </c>
      <c r="H44" s="55" t="s">
        <v>155</v>
      </c>
      <c r="I44" s="55" t="s">
        <v>153</v>
      </c>
      <c r="J44" s="55" t="s">
        <v>38</v>
      </c>
      <c r="K44" s="55" t="s">
        <v>154</v>
      </c>
      <c r="L44" s="237">
        <v>1</v>
      </c>
      <c r="N44" s="55">
        <v>1</v>
      </c>
      <c r="O44" s="55">
        <v>0.4</v>
      </c>
      <c r="P44" s="55">
        <v>0.3</v>
      </c>
      <c r="Q44" s="57">
        <f t="shared" si="0"/>
        <v>0.35</v>
      </c>
      <c r="R44" s="237">
        <v>16</v>
      </c>
      <c r="S44" s="237">
        <v>125</v>
      </c>
      <c r="T44" s="57">
        <f t="shared" si="4"/>
        <v>27</v>
      </c>
      <c r="U44" s="237">
        <v>108</v>
      </c>
      <c r="V44" s="58">
        <f t="shared" si="2"/>
        <v>2916</v>
      </c>
      <c r="W44" s="237">
        <v>2</v>
      </c>
      <c r="X44" s="55" t="s">
        <v>46</v>
      </c>
      <c r="Y44" s="55" t="s">
        <v>84</v>
      </c>
      <c r="Z44" s="55" t="s">
        <v>102</v>
      </c>
      <c r="AA44" s="55" t="s">
        <v>78</v>
      </c>
      <c r="AB44" s="55" t="s">
        <v>317</v>
      </c>
    </row>
    <row r="45" spans="1:49" x14ac:dyDescent="0.15">
      <c r="A45" s="55" t="s">
        <v>41</v>
      </c>
      <c r="B45" s="237" t="s">
        <v>315</v>
      </c>
      <c r="C45" s="152">
        <v>2018</v>
      </c>
      <c r="D45" s="56" t="s">
        <v>338</v>
      </c>
      <c r="E45" s="237" t="s">
        <v>270</v>
      </c>
      <c r="F45" s="237" t="s">
        <v>274</v>
      </c>
      <c r="G45" s="55" t="s">
        <v>42</v>
      </c>
      <c r="H45" s="55" t="s">
        <v>155</v>
      </c>
      <c r="I45" s="55" t="s">
        <v>153</v>
      </c>
      <c r="J45" s="55" t="s">
        <v>38</v>
      </c>
      <c r="K45" s="55" t="s">
        <v>154</v>
      </c>
      <c r="L45" s="237">
        <v>2</v>
      </c>
      <c r="N45" s="55">
        <v>1</v>
      </c>
      <c r="O45" s="55">
        <v>0.4</v>
      </c>
      <c r="P45" s="55">
        <v>0.6</v>
      </c>
      <c r="Q45" s="57">
        <f t="shared" si="0"/>
        <v>0.5</v>
      </c>
      <c r="R45" s="237">
        <v>12.8</v>
      </c>
      <c r="S45" s="237">
        <v>119</v>
      </c>
      <c r="T45" s="57">
        <f t="shared" si="4"/>
        <v>30</v>
      </c>
      <c r="U45" s="237">
        <v>108</v>
      </c>
      <c r="V45" s="58">
        <f t="shared" si="2"/>
        <v>3240</v>
      </c>
      <c r="W45" s="237">
        <v>2</v>
      </c>
      <c r="X45" s="55" t="s">
        <v>46</v>
      </c>
      <c r="Y45" s="55" t="s">
        <v>84</v>
      </c>
      <c r="Z45" s="55" t="s">
        <v>102</v>
      </c>
      <c r="AA45" s="55" t="s">
        <v>78</v>
      </c>
      <c r="AB45" s="55" t="s">
        <v>317</v>
      </c>
    </row>
    <row r="46" spans="1:49" x14ac:dyDescent="0.15">
      <c r="A46" s="55" t="s">
        <v>41</v>
      </c>
      <c r="B46" s="237" t="s">
        <v>315</v>
      </c>
      <c r="C46" s="152">
        <v>2018</v>
      </c>
      <c r="D46" s="56" t="s">
        <v>338</v>
      </c>
      <c r="E46" s="237" t="s">
        <v>270</v>
      </c>
      <c r="F46" s="237" t="s">
        <v>274</v>
      </c>
      <c r="G46" s="55" t="s">
        <v>42</v>
      </c>
      <c r="H46" s="55" t="s">
        <v>155</v>
      </c>
      <c r="I46" s="55" t="s">
        <v>153</v>
      </c>
      <c r="J46" s="55" t="s">
        <v>38</v>
      </c>
      <c r="K46" s="55" t="s">
        <v>154</v>
      </c>
      <c r="L46" s="237">
        <v>3</v>
      </c>
      <c r="N46" s="55">
        <v>1</v>
      </c>
      <c r="O46" s="55">
        <v>0.6</v>
      </c>
      <c r="P46" s="55">
        <v>0.5</v>
      </c>
      <c r="Q46" s="57">
        <f t="shared" si="0"/>
        <v>0.55000000000000004</v>
      </c>
      <c r="R46" s="237">
        <v>15.1</v>
      </c>
      <c r="S46" s="237">
        <v>122</v>
      </c>
      <c r="T46" s="57">
        <f t="shared" si="4"/>
        <v>27</v>
      </c>
      <c r="U46" s="237">
        <v>108</v>
      </c>
      <c r="V46" s="58">
        <f t="shared" si="2"/>
        <v>2916</v>
      </c>
      <c r="W46" s="237">
        <v>2</v>
      </c>
      <c r="X46" s="55" t="s">
        <v>46</v>
      </c>
      <c r="Y46" s="55" t="s">
        <v>84</v>
      </c>
      <c r="Z46" s="55" t="s">
        <v>102</v>
      </c>
      <c r="AA46" s="55" t="s">
        <v>78</v>
      </c>
      <c r="AB46" s="55" t="s">
        <v>317</v>
      </c>
    </row>
    <row r="47" spans="1:49" x14ac:dyDescent="0.15">
      <c r="A47" s="55" t="s">
        <v>41</v>
      </c>
      <c r="B47" s="237" t="s">
        <v>315</v>
      </c>
      <c r="C47" s="152">
        <v>2018</v>
      </c>
      <c r="D47" s="56" t="s">
        <v>338</v>
      </c>
      <c r="E47" s="237" t="s">
        <v>270</v>
      </c>
      <c r="F47" s="237" t="s">
        <v>274</v>
      </c>
      <c r="G47" s="55" t="s">
        <v>42</v>
      </c>
      <c r="H47" s="55" t="s">
        <v>157</v>
      </c>
      <c r="I47" s="55" t="s">
        <v>153</v>
      </c>
      <c r="J47" s="55" t="s">
        <v>38</v>
      </c>
      <c r="K47" s="55" t="s">
        <v>154</v>
      </c>
      <c r="L47" s="237">
        <v>1</v>
      </c>
      <c r="N47" s="55">
        <v>1</v>
      </c>
      <c r="O47" s="55">
        <v>0.5</v>
      </c>
      <c r="P47" s="55">
        <v>0.45</v>
      </c>
      <c r="Q47" s="57">
        <f t="shared" si="0"/>
        <v>0.47499999999999998</v>
      </c>
      <c r="R47" s="237">
        <v>15</v>
      </c>
      <c r="S47" s="55">
        <v>120</v>
      </c>
      <c r="T47" s="57">
        <f t="shared" si="4"/>
        <v>30</v>
      </c>
      <c r="U47" s="237">
        <v>170</v>
      </c>
      <c r="V47" s="58">
        <f t="shared" si="2"/>
        <v>5100</v>
      </c>
      <c r="W47" s="237">
        <v>1</v>
      </c>
      <c r="X47" s="55" t="s">
        <v>46</v>
      </c>
      <c r="Y47" s="55" t="s">
        <v>84</v>
      </c>
      <c r="Z47" s="55" t="s">
        <v>102</v>
      </c>
      <c r="AA47" s="55" t="s">
        <v>78</v>
      </c>
      <c r="AB47" s="55" t="s">
        <v>317</v>
      </c>
      <c r="AC47" s="55"/>
      <c r="AD47" s="55"/>
    </row>
    <row r="48" spans="1:49" x14ac:dyDescent="0.15">
      <c r="A48" s="55" t="s">
        <v>41</v>
      </c>
      <c r="B48" s="237" t="s">
        <v>315</v>
      </c>
      <c r="C48" s="152">
        <v>2018</v>
      </c>
      <c r="D48" s="56" t="s">
        <v>338</v>
      </c>
      <c r="E48" s="237" t="s">
        <v>270</v>
      </c>
      <c r="F48" s="237" t="s">
        <v>274</v>
      </c>
      <c r="G48" s="55" t="s">
        <v>42</v>
      </c>
      <c r="H48" s="55" t="s">
        <v>157</v>
      </c>
      <c r="I48" s="55" t="s">
        <v>153</v>
      </c>
      <c r="J48" s="55" t="s">
        <v>38</v>
      </c>
      <c r="K48" s="55" t="s">
        <v>154</v>
      </c>
      <c r="L48" s="237">
        <v>2</v>
      </c>
      <c r="N48" s="55">
        <v>1</v>
      </c>
      <c r="O48" s="55">
        <v>0.8</v>
      </c>
      <c r="P48" s="55">
        <v>0.8</v>
      </c>
      <c r="Q48" s="57">
        <f t="shared" si="0"/>
        <v>0.8</v>
      </c>
      <c r="R48" s="237">
        <v>14.2</v>
      </c>
      <c r="S48" s="55">
        <v>118</v>
      </c>
      <c r="T48" s="57">
        <f t="shared" si="4"/>
        <v>30</v>
      </c>
      <c r="U48" s="237">
        <v>170</v>
      </c>
      <c r="V48" s="58">
        <f t="shared" si="2"/>
        <v>5100</v>
      </c>
      <c r="W48" s="237">
        <v>1</v>
      </c>
      <c r="X48" s="55" t="s">
        <v>46</v>
      </c>
      <c r="Y48" s="55" t="s">
        <v>84</v>
      </c>
      <c r="Z48" s="55" t="s">
        <v>102</v>
      </c>
      <c r="AA48" s="55" t="s">
        <v>78</v>
      </c>
      <c r="AB48" s="55" t="s">
        <v>317</v>
      </c>
      <c r="AC48" s="55"/>
      <c r="AD48" s="55"/>
    </row>
    <row r="49" spans="1:30" x14ac:dyDescent="0.15">
      <c r="A49" s="55" t="s">
        <v>41</v>
      </c>
      <c r="B49" s="237" t="s">
        <v>315</v>
      </c>
      <c r="C49" s="152">
        <v>2018</v>
      </c>
      <c r="D49" s="56" t="s">
        <v>338</v>
      </c>
      <c r="E49" s="237" t="s">
        <v>270</v>
      </c>
      <c r="F49" s="237" t="s">
        <v>274</v>
      </c>
      <c r="G49" s="55" t="s">
        <v>42</v>
      </c>
      <c r="H49" s="55" t="s">
        <v>157</v>
      </c>
      <c r="I49" s="55" t="s">
        <v>153</v>
      </c>
      <c r="J49" s="55" t="s">
        <v>38</v>
      </c>
      <c r="K49" s="55" t="s">
        <v>154</v>
      </c>
      <c r="L49" s="237">
        <v>3</v>
      </c>
      <c r="N49" s="55">
        <v>1</v>
      </c>
      <c r="O49" s="55">
        <v>0.65</v>
      </c>
      <c r="P49" s="55">
        <v>0.6</v>
      </c>
      <c r="Q49" s="57">
        <f t="shared" si="0"/>
        <v>0.625</v>
      </c>
      <c r="R49" s="237">
        <v>14.7</v>
      </c>
      <c r="S49" s="55">
        <v>121</v>
      </c>
      <c r="T49" s="57">
        <f t="shared" si="4"/>
        <v>27</v>
      </c>
      <c r="U49" s="237">
        <v>170</v>
      </c>
      <c r="V49" s="58">
        <f t="shared" si="2"/>
        <v>4590</v>
      </c>
      <c r="W49" s="237">
        <v>1</v>
      </c>
      <c r="X49" s="55" t="s">
        <v>46</v>
      </c>
      <c r="Y49" s="55" t="s">
        <v>84</v>
      </c>
      <c r="Z49" s="55" t="s">
        <v>102</v>
      </c>
      <c r="AA49" s="55" t="s">
        <v>78</v>
      </c>
      <c r="AB49" s="55" t="s">
        <v>317</v>
      </c>
      <c r="AC49" s="55"/>
      <c r="AD49" s="55"/>
    </row>
    <row r="50" spans="1:30" x14ac:dyDescent="0.15">
      <c r="A50" s="55" t="s">
        <v>41</v>
      </c>
      <c r="B50" s="237" t="s">
        <v>315</v>
      </c>
      <c r="C50" s="152">
        <v>2018</v>
      </c>
      <c r="D50" s="56" t="s">
        <v>338</v>
      </c>
      <c r="E50" s="237" t="s">
        <v>270</v>
      </c>
      <c r="F50" s="237" t="s">
        <v>274</v>
      </c>
      <c r="G50" s="55" t="s">
        <v>42</v>
      </c>
      <c r="H50" s="55" t="s">
        <v>157</v>
      </c>
      <c r="I50" s="55" t="s">
        <v>153</v>
      </c>
      <c r="J50" s="55" t="s">
        <v>38</v>
      </c>
      <c r="K50" s="55" t="s">
        <v>154</v>
      </c>
      <c r="L50" s="237">
        <v>1</v>
      </c>
      <c r="N50" s="55">
        <v>4</v>
      </c>
      <c r="O50" s="55">
        <v>0.75</v>
      </c>
      <c r="P50" s="55">
        <v>0.7</v>
      </c>
      <c r="Q50" s="57">
        <f t="shared" si="0"/>
        <v>0.72499999999999998</v>
      </c>
      <c r="R50" s="55">
        <v>15.7</v>
      </c>
      <c r="S50" s="55">
        <v>115</v>
      </c>
      <c r="T50" s="57">
        <f t="shared" si="4"/>
        <v>30</v>
      </c>
      <c r="U50" s="237">
        <v>645</v>
      </c>
      <c r="V50" s="58">
        <f t="shared" si="2"/>
        <v>4837.5</v>
      </c>
      <c r="W50" s="237">
        <v>3</v>
      </c>
      <c r="X50" s="55" t="s">
        <v>46</v>
      </c>
      <c r="Y50" s="55" t="s">
        <v>84</v>
      </c>
      <c r="Z50" s="55" t="s">
        <v>102</v>
      </c>
      <c r="AA50" s="55" t="s">
        <v>78</v>
      </c>
      <c r="AB50" s="55" t="s">
        <v>317</v>
      </c>
    </row>
    <row r="51" spans="1:30" x14ac:dyDescent="0.15">
      <c r="A51" s="55" t="s">
        <v>41</v>
      </c>
      <c r="B51" s="237" t="s">
        <v>315</v>
      </c>
      <c r="C51" s="152">
        <v>2018</v>
      </c>
      <c r="D51" s="56" t="s">
        <v>338</v>
      </c>
      <c r="E51" s="237" t="s">
        <v>270</v>
      </c>
      <c r="F51" s="237" t="s">
        <v>274</v>
      </c>
      <c r="G51" s="55" t="s">
        <v>42</v>
      </c>
      <c r="H51" s="55" t="s">
        <v>157</v>
      </c>
      <c r="I51" s="55" t="s">
        <v>153</v>
      </c>
      <c r="J51" s="55" t="s">
        <v>38</v>
      </c>
      <c r="K51" s="55" t="s">
        <v>154</v>
      </c>
      <c r="L51" s="237">
        <v>2</v>
      </c>
      <c r="N51" s="55">
        <v>4</v>
      </c>
      <c r="O51" s="55">
        <v>0.65</v>
      </c>
      <c r="P51" s="55">
        <v>0.75</v>
      </c>
      <c r="Q51" s="57">
        <f t="shared" si="0"/>
        <v>0.7</v>
      </c>
      <c r="R51" s="55">
        <v>16.8</v>
      </c>
      <c r="S51" s="55">
        <v>120</v>
      </c>
      <c r="T51" s="57">
        <f t="shared" si="4"/>
        <v>30</v>
      </c>
      <c r="U51" s="237">
        <v>645</v>
      </c>
      <c r="V51" s="58">
        <f t="shared" si="2"/>
        <v>4837.5</v>
      </c>
      <c r="W51" s="237">
        <v>3</v>
      </c>
      <c r="X51" s="55" t="s">
        <v>46</v>
      </c>
      <c r="Y51" s="55" t="s">
        <v>84</v>
      </c>
      <c r="Z51" s="55" t="s">
        <v>102</v>
      </c>
      <c r="AA51" s="55" t="s">
        <v>78</v>
      </c>
      <c r="AB51" s="55" t="s">
        <v>317</v>
      </c>
    </row>
    <row r="52" spans="1:30" x14ac:dyDescent="0.15">
      <c r="A52" s="55" t="s">
        <v>41</v>
      </c>
      <c r="B52" s="237" t="s">
        <v>315</v>
      </c>
      <c r="C52" s="152">
        <v>2018</v>
      </c>
      <c r="D52" s="56" t="s">
        <v>338</v>
      </c>
      <c r="E52" s="237" t="s">
        <v>270</v>
      </c>
      <c r="F52" s="237" t="s">
        <v>274</v>
      </c>
      <c r="G52" s="55" t="s">
        <v>42</v>
      </c>
      <c r="H52" s="55" t="s">
        <v>157</v>
      </c>
      <c r="I52" s="55" t="s">
        <v>153</v>
      </c>
      <c r="J52" s="55" t="s">
        <v>38</v>
      </c>
      <c r="K52" s="55" t="s">
        <v>154</v>
      </c>
      <c r="L52" s="237">
        <v>3</v>
      </c>
      <c r="N52" s="55">
        <v>4</v>
      </c>
      <c r="O52" s="55">
        <v>0.5</v>
      </c>
      <c r="P52" s="55">
        <v>0.65</v>
      </c>
      <c r="Q52" s="57">
        <f t="shared" si="0"/>
        <v>0.57499999999999996</v>
      </c>
      <c r="R52" s="55">
        <v>14.8</v>
      </c>
      <c r="S52" s="55">
        <v>118</v>
      </c>
      <c r="T52" s="57">
        <f t="shared" si="4"/>
        <v>30</v>
      </c>
      <c r="U52" s="55">
        <v>645</v>
      </c>
      <c r="V52" s="58">
        <f t="shared" si="2"/>
        <v>4837.5</v>
      </c>
      <c r="W52" s="237">
        <v>3</v>
      </c>
      <c r="X52" s="55" t="s">
        <v>46</v>
      </c>
      <c r="Y52" s="55" t="s">
        <v>84</v>
      </c>
      <c r="Z52" s="55" t="s">
        <v>102</v>
      </c>
      <c r="AA52" s="55" t="s">
        <v>78</v>
      </c>
      <c r="AB52" s="55" t="s">
        <v>317</v>
      </c>
    </row>
    <row r="53" spans="1:30" x14ac:dyDescent="0.15">
      <c r="A53" s="55" t="s">
        <v>41</v>
      </c>
      <c r="B53" s="237" t="s">
        <v>315</v>
      </c>
      <c r="C53" s="152">
        <v>2018</v>
      </c>
      <c r="D53" s="56" t="s">
        <v>338</v>
      </c>
      <c r="E53" s="237" t="s">
        <v>270</v>
      </c>
      <c r="F53" s="237" t="s">
        <v>274</v>
      </c>
      <c r="G53" s="55" t="s">
        <v>42</v>
      </c>
      <c r="H53" s="55" t="s">
        <v>155</v>
      </c>
      <c r="I53" s="55" t="s">
        <v>153</v>
      </c>
      <c r="J53" s="55" t="s">
        <v>38</v>
      </c>
      <c r="K53" s="55" t="s">
        <v>154</v>
      </c>
      <c r="L53" s="237">
        <v>1</v>
      </c>
      <c r="N53" s="55">
        <v>8</v>
      </c>
      <c r="O53" s="237">
        <v>0.55000000000000004</v>
      </c>
      <c r="P53" s="237">
        <v>0.45</v>
      </c>
      <c r="Q53" s="57">
        <f t="shared" si="0"/>
        <v>0.5</v>
      </c>
      <c r="R53" s="237">
        <v>17.100000000000001</v>
      </c>
      <c r="S53" s="237">
        <v>121</v>
      </c>
      <c r="T53" s="57">
        <f t="shared" si="4"/>
        <v>27</v>
      </c>
      <c r="U53" s="237">
        <v>626</v>
      </c>
      <c r="V53" s="58">
        <f t="shared" si="2"/>
        <v>2112.75</v>
      </c>
      <c r="W53" s="237">
        <v>1</v>
      </c>
      <c r="X53" s="55" t="s">
        <v>46</v>
      </c>
      <c r="Y53" s="55" t="s">
        <v>84</v>
      </c>
      <c r="Z53" s="55" t="s">
        <v>102</v>
      </c>
      <c r="AA53" s="55" t="s">
        <v>78</v>
      </c>
      <c r="AB53" s="55" t="s">
        <v>317</v>
      </c>
    </row>
    <row r="54" spans="1:30" x14ac:dyDescent="0.15">
      <c r="A54" s="55" t="s">
        <v>41</v>
      </c>
      <c r="B54" s="237" t="s">
        <v>315</v>
      </c>
      <c r="C54" s="152">
        <v>2018</v>
      </c>
      <c r="D54" s="56" t="s">
        <v>338</v>
      </c>
      <c r="E54" s="237" t="s">
        <v>270</v>
      </c>
      <c r="F54" s="237" t="s">
        <v>274</v>
      </c>
      <c r="G54" s="55" t="s">
        <v>42</v>
      </c>
      <c r="H54" s="55" t="s">
        <v>155</v>
      </c>
      <c r="I54" s="55" t="s">
        <v>153</v>
      </c>
      <c r="J54" s="55" t="s">
        <v>38</v>
      </c>
      <c r="K54" s="55" t="s">
        <v>154</v>
      </c>
      <c r="L54" s="237">
        <v>2</v>
      </c>
      <c r="N54" s="55">
        <v>8</v>
      </c>
      <c r="O54" s="237">
        <v>0.85</v>
      </c>
      <c r="P54" s="237">
        <v>0.8</v>
      </c>
      <c r="Q54" s="57">
        <f t="shared" si="0"/>
        <v>0.82499999999999996</v>
      </c>
      <c r="R54" s="237">
        <v>16.8</v>
      </c>
      <c r="S54" s="237">
        <v>121</v>
      </c>
      <c r="T54" s="57">
        <f t="shared" si="4"/>
        <v>27</v>
      </c>
      <c r="U54" s="237">
        <v>626</v>
      </c>
      <c r="V54" s="58">
        <f t="shared" si="2"/>
        <v>2112.75</v>
      </c>
      <c r="W54" s="237">
        <v>1</v>
      </c>
      <c r="X54" s="55" t="s">
        <v>46</v>
      </c>
      <c r="Y54" s="55" t="s">
        <v>84</v>
      </c>
      <c r="Z54" s="55" t="s">
        <v>102</v>
      </c>
      <c r="AA54" s="55" t="s">
        <v>78</v>
      </c>
      <c r="AB54" s="55" t="s">
        <v>317</v>
      </c>
    </row>
    <row r="55" spans="1:30" x14ac:dyDescent="0.15">
      <c r="A55" s="55" t="s">
        <v>41</v>
      </c>
      <c r="B55" s="237" t="s">
        <v>315</v>
      </c>
      <c r="C55" s="152">
        <v>2018</v>
      </c>
      <c r="D55" s="56" t="s">
        <v>338</v>
      </c>
      <c r="E55" s="237" t="s">
        <v>270</v>
      </c>
      <c r="F55" s="237" t="s">
        <v>274</v>
      </c>
      <c r="G55" s="55" t="s">
        <v>42</v>
      </c>
      <c r="H55" s="55" t="s">
        <v>155</v>
      </c>
      <c r="I55" s="55" t="s">
        <v>153</v>
      </c>
      <c r="J55" s="55" t="s">
        <v>38</v>
      </c>
      <c r="K55" s="55" t="s">
        <v>154</v>
      </c>
      <c r="L55" s="237">
        <v>3</v>
      </c>
      <c r="N55" s="55">
        <v>8</v>
      </c>
      <c r="O55" s="237">
        <v>0.75</v>
      </c>
      <c r="P55" s="237">
        <v>0.85</v>
      </c>
      <c r="Q55" s="57">
        <f t="shared" si="0"/>
        <v>0.8</v>
      </c>
      <c r="R55" s="237">
        <v>13.2</v>
      </c>
      <c r="S55" s="237">
        <v>123</v>
      </c>
      <c r="T55" s="57">
        <f t="shared" si="4"/>
        <v>27</v>
      </c>
      <c r="U55" s="55">
        <v>626</v>
      </c>
      <c r="V55" s="58">
        <f t="shared" si="2"/>
        <v>2112.75</v>
      </c>
      <c r="W55" s="237">
        <v>1</v>
      </c>
      <c r="X55" s="55" t="s">
        <v>46</v>
      </c>
      <c r="Y55" s="55" t="s">
        <v>84</v>
      </c>
      <c r="Z55" s="55" t="s">
        <v>102</v>
      </c>
      <c r="AA55" s="55" t="s">
        <v>78</v>
      </c>
      <c r="AB55" s="55" t="s">
        <v>317</v>
      </c>
    </row>
    <row r="56" spans="1:30" x14ac:dyDescent="0.15">
      <c r="A56" s="55" t="s">
        <v>41</v>
      </c>
      <c r="B56" s="237" t="s">
        <v>315</v>
      </c>
      <c r="C56" s="152">
        <v>2018</v>
      </c>
      <c r="D56" s="56" t="s">
        <v>338</v>
      </c>
      <c r="E56" s="237" t="s">
        <v>270</v>
      </c>
      <c r="F56" s="237" t="s">
        <v>274</v>
      </c>
      <c r="G56" s="55" t="s">
        <v>42</v>
      </c>
      <c r="H56" s="55" t="s">
        <v>155</v>
      </c>
      <c r="I56" s="55" t="s">
        <v>153</v>
      </c>
      <c r="J56" s="55" t="s">
        <v>38</v>
      </c>
      <c r="K56" s="55" t="s">
        <v>154</v>
      </c>
      <c r="L56" s="237">
        <v>1</v>
      </c>
      <c r="N56" s="237">
        <v>5</v>
      </c>
      <c r="O56" s="237">
        <v>0.35</v>
      </c>
      <c r="P56" s="237">
        <v>0.4</v>
      </c>
      <c r="Q56" s="57">
        <f t="shared" si="0"/>
        <v>0.375</v>
      </c>
      <c r="R56" s="237">
        <v>15.1</v>
      </c>
      <c r="S56" s="237">
        <v>105</v>
      </c>
      <c r="T56" s="57">
        <f t="shared" si="4"/>
        <v>33</v>
      </c>
      <c r="U56" s="237">
        <v>429</v>
      </c>
      <c r="V56" s="58">
        <f t="shared" si="2"/>
        <v>2831.4</v>
      </c>
      <c r="W56" s="237">
        <v>2</v>
      </c>
      <c r="X56" s="55" t="s">
        <v>46</v>
      </c>
      <c r="Y56" s="55" t="s">
        <v>84</v>
      </c>
      <c r="Z56" s="55" t="s">
        <v>102</v>
      </c>
      <c r="AA56" s="55" t="s">
        <v>78</v>
      </c>
      <c r="AB56" s="55" t="s">
        <v>317</v>
      </c>
    </row>
    <row r="57" spans="1:30" x14ac:dyDescent="0.15">
      <c r="A57" s="55" t="s">
        <v>41</v>
      </c>
      <c r="B57" s="237" t="s">
        <v>315</v>
      </c>
      <c r="C57" s="152">
        <v>2018</v>
      </c>
      <c r="D57" s="56" t="s">
        <v>338</v>
      </c>
      <c r="E57" s="237" t="s">
        <v>270</v>
      </c>
      <c r="F57" s="237" t="s">
        <v>274</v>
      </c>
      <c r="G57" s="55" t="s">
        <v>42</v>
      </c>
      <c r="H57" s="55" t="s">
        <v>155</v>
      </c>
      <c r="I57" s="55" t="s">
        <v>153</v>
      </c>
      <c r="J57" s="55" t="s">
        <v>38</v>
      </c>
      <c r="K57" s="55" t="s">
        <v>154</v>
      </c>
      <c r="L57" s="237">
        <v>2</v>
      </c>
      <c r="N57" s="237">
        <v>5</v>
      </c>
      <c r="O57" s="237">
        <v>0.4</v>
      </c>
      <c r="P57" s="237">
        <v>0.3</v>
      </c>
      <c r="Q57" s="57">
        <f t="shared" si="0"/>
        <v>0.35</v>
      </c>
      <c r="R57" s="237">
        <v>14.8</v>
      </c>
      <c r="S57" s="237">
        <v>104</v>
      </c>
      <c r="T57" s="57">
        <f t="shared" si="4"/>
        <v>33</v>
      </c>
      <c r="U57" s="237">
        <v>429</v>
      </c>
      <c r="V57" s="58">
        <f t="shared" si="2"/>
        <v>2831.4</v>
      </c>
      <c r="W57" s="237">
        <v>2</v>
      </c>
      <c r="X57" s="55" t="s">
        <v>46</v>
      </c>
      <c r="Y57" s="55" t="s">
        <v>84</v>
      </c>
      <c r="Z57" s="55" t="s">
        <v>102</v>
      </c>
      <c r="AA57" s="55" t="s">
        <v>78</v>
      </c>
      <c r="AB57" s="55" t="s">
        <v>317</v>
      </c>
    </row>
    <row r="58" spans="1:30" x14ac:dyDescent="0.15">
      <c r="A58" s="55" t="s">
        <v>41</v>
      </c>
      <c r="B58" s="237" t="s">
        <v>315</v>
      </c>
      <c r="C58" s="152">
        <v>2018</v>
      </c>
      <c r="D58" s="56" t="s">
        <v>338</v>
      </c>
      <c r="E58" s="237" t="s">
        <v>270</v>
      </c>
      <c r="F58" s="237" t="s">
        <v>274</v>
      </c>
      <c r="G58" s="55" t="s">
        <v>42</v>
      </c>
      <c r="H58" s="55" t="s">
        <v>155</v>
      </c>
      <c r="I58" s="55" t="s">
        <v>153</v>
      </c>
      <c r="J58" s="55" t="s">
        <v>38</v>
      </c>
      <c r="K58" s="55" t="s">
        <v>154</v>
      </c>
      <c r="L58" s="237">
        <v>3</v>
      </c>
      <c r="N58" s="237">
        <v>5</v>
      </c>
      <c r="O58" s="237">
        <v>0.45</v>
      </c>
      <c r="P58" s="237">
        <v>0.5</v>
      </c>
      <c r="Q58" s="57">
        <f t="shared" si="0"/>
        <v>0.47499999999999998</v>
      </c>
      <c r="R58" s="237">
        <v>13</v>
      </c>
      <c r="S58" s="237">
        <v>110</v>
      </c>
      <c r="T58" s="57">
        <f t="shared" si="4"/>
        <v>33</v>
      </c>
      <c r="U58" s="237">
        <v>429</v>
      </c>
      <c r="V58" s="58">
        <f t="shared" si="2"/>
        <v>2831.4</v>
      </c>
      <c r="W58" s="237">
        <v>2</v>
      </c>
      <c r="X58" s="55" t="s">
        <v>46</v>
      </c>
      <c r="Y58" s="55" t="s">
        <v>84</v>
      </c>
      <c r="Z58" s="55" t="s">
        <v>102</v>
      </c>
      <c r="AA58" s="55" t="s">
        <v>78</v>
      </c>
      <c r="AB58" s="55" t="s">
        <v>317</v>
      </c>
    </row>
    <row r="59" spans="1:30" x14ac:dyDescent="0.15">
      <c r="A59" s="55" t="s">
        <v>41</v>
      </c>
      <c r="B59" s="237" t="s">
        <v>315</v>
      </c>
      <c r="C59" s="152">
        <v>2018</v>
      </c>
      <c r="D59" s="56" t="s">
        <v>338</v>
      </c>
      <c r="E59" s="237" t="s">
        <v>270</v>
      </c>
      <c r="F59" s="237" t="s">
        <v>276</v>
      </c>
      <c r="G59" s="55" t="s">
        <v>42</v>
      </c>
      <c r="H59" s="55" t="s">
        <v>155</v>
      </c>
      <c r="I59" s="55" t="s">
        <v>153</v>
      </c>
      <c r="J59" s="55" t="s">
        <v>38</v>
      </c>
      <c r="K59" s="55" t="s">
        <v>154</v>
      </c>
      <c r="L59" s="237">
        <v>1</v>
      </c>
      <c r="N59" s="55">
        <v>1</v>
      </c>
      <c r="O59" s="237">
        <v>0.25</v>
      </c>
      <c r="P59" s="237">
        <v>0.25</v>
      </c>
      <c r="Q59" s="57">
        <f t="shared" si="0"/>
        <v>0.25</v>
      </c>
      <c r="R59" s="237">
        <v>13.9</v>
      </c>
      <c r="S59" s="237">
        <v>80</v>
      </c>
      <c r="T59" s="57">
        <f t="shared" si="4"/>
        <v>39</v>
      </c>
      <c r="U59" s="237">
        <v>98</v>
      </c>
      <c r="V59" s="58">
        <f t="shared" si="2"/>
        <v>3822</v>
      </c>
      <c r="W59" s="237">
        <v>1</v>
      </c>
      <c r="X59" s="55" t="s">
        <v>46</v>
      </c>
      <c r="Y59" s="55" t="s">
        <v>84</v>
      </c>
      <c r="Z59" s="55" t="s">
        <v>102</v>
      </c>
      <c r="AA59" s="55" t="s">
        <v>90</v>
      </c>
      <c r="AB59" s="55" t="s">
        <v>317</v>
      </c>
      <c r="AC59" s="55"/>
      <c r="AD59" s="55"/>
    </row>
    <row r="60" spans="1:30" x14ac:dyDescent="0.15">
      <c r="A60" s="55" t="s">
        <v>41</v>
      </c>
      <c r="B60" s="237" t="s">
        <v>315</v>
      </c>
      <c r="C60" s="152">
        <v>2018</v>
      </c>
      <c r="D60" s="56" t="s">
        <v>338</v>
      </c>
      <c r="E60" s="237" t="s">
        <v>270</v>
      </c>
      <c r="F60" s="237" t="s">
        <v>276</v>
      </c>
      <c r="G60" s="55" t="s">
        <v>42</v>
      </c>
      <c r="H60" s="55" t="s">
        <v>155</v>
      </c>
      <c r="I60" s="55" t="s">
        <v>153</v>
      </c>
      <c r="J60" s="55" t="s">
        <v>38</v>
      </c>
      <c r="K60" s="55" t="s">
        <v>154</v>
      </c>
      <c r="L60" s="237">
        <v>2</v>
      </c>
      <c r="N60" s="55">
        <v>1</v>
      </c>
      <c r="O60" s="237">
        <v>0.25</v>
      </c>
      <c r="P60" s="237">
        <v>0.25</v>
      </c>
      <c r="Q60" s="57">
        <f t="shared" si="0"/>
        <v>0.25</v>
      </c>
      <c r="R60" s="237">
        <v>14.2</v>
      </c>
      <c r="S60" s="237">
        <v>83</v>
      </c>
      <c r="T60" s="57">
        <f t="shared" si="4"/>
        <v>39</v>
      </c>
      <c r="U60" s="237">
        <v>98</v>
      </c>
      <c r="V60" s="58">
        <f t="shared" si="2"/>
        <v>3822</v>
      </c>
      <c r="W60" s="237">
        <v>1</v>
      </c>
      <c r="X60" s="55" t="s">
        <v>46</v>
      </c>
      <c r="Y60" s="55" t="s">
        <v>84</v>
      </c>
      <c r="Z60" s="55" t="s">
        <v>102</v>
      </c>
      <c r="AA60" s="55" t="s">
        <v>90</v>
      </c>
      <c r="AB60" s="55" t="s">
        <v>317</v>
      </c>
      <c r="AC60" s="55"/>
      <c r="AD60" s="55"/>
    </row>
    <row r="61" spans="1:30" x14ac:dyDescent="0.15">
      <c r="A61" s="55" t="s">
        <v>41</v>
      </c>
      <c r="B61" s="237" t="s">
        <v>315</v>
      </c>
      <c r="C61" s="152">
        <v>2018</v>
      </c>
      <c r="D61" s="56" t="s">
        <v>338</v>
      </c>
      <c r="E61" s="237" t="s">
        <v>270</v>
      </c>
      <c r="F61" s="237" t="s">
        <v>276</v>
      </c>
      <c r="G61" s="55" t="s">
        <v>42</v>
      </c>
      <c r="H61" s="55" t="s">
        <v>155</v>
      </c>
      <c r="I61" s="55" t="s">
        <v>153</v>
      </c>
      <c r="J61" s="55" t="s">
        <v>38</v>
      </c>
      <c r="K61" s="55" t="s">
        <v>154</v>
      </c>
      <c r="L61" s="237">
        <v>3</v>
      </c>
      <c r="N61" s="55">
        <v>1</v>
      </c>
      <c r="O61" s="237">
        <v>0.25</v>
      </c>
      <c r="P61" s="237">
        <v>0.25</v>
      </c>
      <c r="Q61" s="57">
        <f t="shared" si="0"/>
        <v>0.25</v>
      </c>
      <c r="R61" s="237">
        <v>13</v>
      </c>
      <c r="S61" s="237">
        <v>87</v>
      </c>
      <c r="T61" s="57">
        <f t="shared" si="4"/>
        <v>36</v>
      </c>
      <c r="U61" s="55">
        <v>98</v>
      </c>
      <c r="V61" s="58">
        <f t="shared" si="2"/>
        <v>3528</v>
      </c>
      <c r="W61" s="237">
        <v>1</v>
      </c>
      <c r="X61" s="55" t="s">
        <v>46</v>
      </c>
      <c r="Y61" s="55" t="s">
        <v>84</v>
      </c>
      <c r="Z61" s="55" t="s">
        <v>102</v>
      </c>
      <c r="AA61" s="55" t="s">
        <v>90</v>
      </c>
      <c r="AB61" s="55" t="s">
        <v>317</v>
      </c>
      <c r="AC61" s="55"/>
      <c r="AD61" s="55"/>
    </row>
    <row r="62" spans="1:30" x14ac:dyDescent="0.15">
      <c r="A62" s="55" t="s">
        <v>41</v>
      </c>
      <c r="B62" s="237" t="s">
        <v>315</v>
      </c>
      <c r="C62" s="152">
        <v>2018</v>
      </c>
      <c r="D62" s="56" t="s">
        <v>338</v>
      </c>
      <c r="E62" s="237" t="s">
        <v>270</v>
      </c>
      <c r="F62" s="237" t="s">
        <v>276</v>
      </c>
      <c r="G62" s="55" t="s">
        <v>42</v>
      </c>
      <c r="H62" s="55" t="s">
        <v>155</v>
      </c>
      <c r="I62" s="55" t="s">
        <v>153</v>
      </c>
      <c r="J62" s="55" t="s">
        <v>38</v>
      </c>
      <c r="K62" s="55" t="s">
        <v>154</v>
      </c>
      <c r="L62" s="237">
        <v>1</v>
      </c>
      <c r="N62" s="55">
        <v>5</v>
      </c>
      <c r="O62" s="237">
        <v>1.2</v>
      </c>
      <c r="P62" s="237">
        <v>1.25</v>
      </c>
      <c r="Q62" s="57">
        <f t="shared" si="0"/>
        <v>1.2250000000000001</v>
      </c>
      <c r="R62" s="237">
        <v>14.5</v>
      </c>
      <c r="S62" s="237">
        <v>131</v>
      </c>
      <c r="T62" s="57">
        <f t="shared" si="4"/>
        <v>25</v>
      </c>
      <c r="U62" s="237">
        <v>429</v>
      </c>
      <c r="V62" s="58">
        <f t="shared" si="2"/>
        <v>2145</v>
      </c>
      <c r="W62" s="237">
        <v>1</v>
      </c>
      <c r="X62" s="55" t="s">
        <v>46</v>
      </c>
      <c r="Y62" s="55" t="s">
        <v>84</v>
      </c>
      <c r="Z62" s="55" t="s">
        <v>102</v>
      </c>
      <c r="AA62" s="55" t="s">
        <v>90</v>
      </c>
      <c r="AB62" s="55" t="s">
        <v>317</v>
      </c>
      <c r="AC62" s="55"/>
      <c r="AD62" s="55"/>
    </row>
    <row r="63" spans="1:30" x14ac:dyDescent="0.15">
      <c r="A63" s="55" t="s">
        <v>41</v>
      </c>
      <c r="B63" s="237" t="s">
        <v>315</v>
      </c>
      <c r="C63" s="152">
        <v>2018</v>
      </c>
      <c r="D63" s="56" t="s">
        <v>338</v>
      </c>
      <c r="E63" s="237" t="s">
        <v>270</v>
      </c>
      <c r="F63" s="237" t="s">
        <v>276</v>
      </c>
      <c r="G63" s="55" t="s">
        <v>42</v>
      </c>
      <c r="H63" s="55" t="s">
        <v>155</v>
      </c>
      <c r="I63" s="55" t="s">
        <v>153</v>
      </c>
      <c r="J63" s="55" t="s">
        <v>38</v>
      </c>
      <c r="K63" s="55" t="s">
        <v>154</v>
      </c>
      <c r="L63" s="237">
        <v>2</v>
      </c>
      <c r="N63" s="55">
        <v>5</v>
      </c>
      <c r="O63" s="237">
        <v>1</v>
      </c>
      <c r="P63" s="237">
        <v>1.2</v>
      </c>
      <c r="Q63" s="57">
        <f t="shared" si="0"/>
        <v>1.1000000000000001</v>
      </c>
      <c r="R63" s="237">
        <v>15.7</v>
      </c>
      <c r="S63" s="237">
        <v>136</v>
      </c>
      <c r="T63" s="57">
        <f t="shared" si="4"/>
        <v>25</v>
      </c>
      <c r="U63" s="237">
        <v>429</v>
      </c>
      <c r="V63" s="58">
        <f t="shared" si="2"/>
        <v>2145</v>
      </c>
      <c r="W63" s="237">
        <v>1</v>
      </c>
      <c r="X63" s="55" t="s">
        <v>46</v>
      </c>
      <c r="Y63" s="55" t="s">
        <v>84</v>
      </c>
      <c r="Z63" s="55" t="s">
        <v>102</v>
      </c>
      <c r="AA63" s="55" t="s">
        <v>90</v>
      </c>
      <c r="AB63" s="55" t="s">
        <v>317</v>
      </c>
    </row>
    <row r="64" spans="1:30" x14ac:dyDescent="0.15">
      <c r="A64" s="55" t="s">
        <v>41</v>
      </c>
      <c r="B64" s="237" t="s">
        <v>315</v>
      </c>
      <c r="C64" s="152">
        <v>2018</v>
      </c>
      <c r="D64" s="56" t="s">
        <v>338</v>
      </c>
      <c r="E64" s="237" t="s">
        <v>270</v>
      </c>
      <c r="F64" s="237" t="s">
        <v>276</v>
      </c>
      <c r="G64" s="55" t="s">
        <v>42</v>
      </c>
      <c r="H64" s="55" t="s">
        <v>155</v>
      </c>
      <c r="I64" s="55" t="s">
        <v>153</v>
      </c>
      <c r="J64" s="55" t="s">
        <v>38</v>
      </c>
      <c r="K64" s="55" t="s">
        <v>154</v>
      </c>
      <c r="L64" s="237">
        <v>3</v>
      </c>
      <c r="N64" s="55">
        <v>5</v>
      </c>
      <c r="O64" s="237">
        <v>1.3</v>
      </c>
      <c r="P64" s="237">
        <v>1.1000000000000001</v>
      </c>
      <c r="Q64" s="57">
        <f t="shared" si="0"/>
        <v>1.2000000000000002</v>
      </c>
      <c r="R64" s="237">
        <v>13.8</v>
      </c>
      <c r="S64" s="237">
        <v>129</v>
      </c>
      <c r="T64" s="57">
        <f t="shared" si="4"/>
        <v>25</v>
      </c>
      <c r="U64" s="55">
        <v>429</v>
      </c>
      <c r="V64" s="58">
        <f t="shared" si="2"/>
        <v>2145</v>
      </c>
      <c r="W64" s="237">
        <v>1</v>
      </c>
      <c r="X64" s="55" t="s">
        <v>46</v>
      </c>
      <c r="Y64" s="55" t="s">
        <v>84</v>
      </c>
      <c r="Z64" s="55" t="s">
        <v>102</v>
      </c>
      <c r="AA64" s="55" t="s">
        <v>90</v>
      </c>
      <c r="AB64" s="55" t="s">
        <v>317</v>
      </c>
    </row>
    <row r="65" spans="1:30" x14ac:dyDescent="0.15">
      <c r="A65" s="55" t="s">
        <v>41</v>
      </c>
      <c r="B65" s="237" t="s">
        <v>315</v>
      </c>
      <c r="C65" s="152">
        <v>2018</v>
      </c>
      <c r="D65" s="56" t="s">
        <v>338</v>
      </c>
      <c r="E65" s="237" t="s">
        <v>270</v>
      </c>
      <c r="F65" s="237" t="s">
        <v>276</v>
      </c>
      <c r="G65" s="55" t="s">
        <v>42</v>
      </c>
      <c r="H65" s="55" t="s">
        <v>155</v>
      </c>
      <c r="I65" s="55" t="s">
        <v>153</v>
      </c>
      <c r="J65" s="55" t="s">
        <v>38</v>
      </c>
      <c r="K65" s="55" t="s">
        <v>154</v>
      </c>
      <c r="L65" s="237">
        <v>1</v>
      </c>
      <c r="N65" s="55">
        <v>9</v>
      </c>
      <c r="O65" s="237">
        <v>0.25</v>
      </c>
      <c r="P65" s="237">
        <v>0.25</v>
      </c>
      <c r="Q65" s="57">
        <f t="shared" si="0"/>
        <v>0.25</v>
      </c>
      <c r="R65" s="237">
        <v>16.5</v>
      </c>
      <c r="S65" s="237">
        <v>100</v>
      </c>
      <c r="T65" s="57">
        <f t="shared" si="4"/>
        <v>33</v>
      </c>
      <c r="U65" s="237">
        <v>540</v>
      </c>
      <c r="V65" s="58">
        <f t="shared" si="2"/>
        <v>1980</v>
      </c>
      <c r="W65" s="237">
        <v>1</v>
      </c>
      <c r="X65" s="55" t="s">
        <v>46</v>
      </c>
      <c r="Y65" s="55" t="s">
        <v>84</v>
      </c>
      <c r="Z65" s="55" t="s">
        <v>102</v>
      </c>
      <c r="AA65" s="55" t="s">
        <v>90</v>
      </c>
      <c r="AB65" s="55" t="s">
        <v>317</v>
      </c>
      <c r="AC65" s="55"/>
      <c r="AD65" s="55"/>
    </row>
    <row r="66" spans="1:30" x14ac:dyDescent="0.15">
      <c r="A66" s="55" t="s">
        <v>41</v>
      </c>
      <c r="B66" s="237" t="s">
        <v>315</v>
      </c>
      <c r="C66" s="152">
        <v>2018</v>
      </c>
      <c r="D66" s="56" t="s">
        <v>338</v>
      </c>
      <c r="E66" s="237" t="s">
        <v>270</v>
      </c>
      <c r="F66" s="237" t="s">
        <v>276</v>
      </c>
      <c r="G66" s="55" t="s">
        <v>42</v>
      </c>
      <c r="H66" s="55" t="s">
        <v>155</v>
      </c>
      <c r="I66" s="55" t="s">
        <v>153</v>
      </c>
      <c r="J66" s="55" t="s">
        <v>38</v>
      </c>
      <c r="K66" s="55" t="s">
        <v>154</v>
      </c>
      <c r="L66" s="237">
        <v>2</v>
      </c>
      <c r="N66" s="55">
        <v>9</v>
      </c>
      <c r="O66" s="237">
        <v>0.25</v>
      </c>
      <c r="P66" s="237">
        <v>0.25</v>
      </c>
      <c r="Q66" s="57">
        <f t="shared" ref="Q66:Q106" si="5">IF(OR(O66="",P66=""),"",AVERAGE(O66,P66))</f>
        <v>0.25</v>
      </c>
      <c r="R66" s="237">
        <v>15.8</v>
      </c>
      <c r="S66" s="237">
        <v>102</v>
      </c>
      <c r="T66" s="57">
        <f t="shared" si="4"/>
        <v>33</v>
      </c>
      <c r="U66" s="237">
        <v>540</v>
      </c>
      <c r="V66" s="58">
        <f t="shared" ref="V66:V129" si="6">IF(OR(N66="",U66="",T66=""),"",U66/N66*T66)</f>
        <v>1980</v>
      </c>
      <c r="W66" s="237">
        <v>1</v>
      </c>
      <c r="X66" s="55" t="s">
        <v>46</v>
      </c>
      <c r="Y66" s="55" t="s">
        <v>84</v>
      </c>
      <c r="Z66" s="55" t="s">
        <v>102</v>
      </c>
      <c r="AA66" s="55" t="s">
        <v>90</v>
      </c>
      <c r="AB66" s="55" t="s">
        <v>317</v>
      </c>
      <c r="AC66" s="55"/>
      <c r="AD66" s="55"/>
    </row>
    <row r="67" spans="1:30" x14ac:dyDescent="0.15">
      <c r="A67" s="55" t="s">
        <v>41</v>
      </c>
      <c r="B67" s="237" t="s">
        <v>315</v>
      </c>
      <c r="C67" s="152">
        <v>2018</v>
      </c>
      <c r="D67" s="56" t="s">
        <v>338</v>
      </c>
      <c r="E67" s="237" t="s">
        <v>270</v>
      </c>
      <c r="F67" s="237" t="s">
        <v>276</v>
      </c>
      <c r="G67" s="55" t="s">
        <v>42</v>
      </c>
      <c r="H67" s="55" t="s">
        <v>155</v>
      </c>
      <c r="I67" s="55" t="s">
        <v>153</v>
      </c>
      <c r="J67" s="55" t="s">
        <v>38</v>
      </c>
      <c r="K67" s="55" t="s">
        <v>154</v>
      </c>
      <c r="L67" s="237">
        <v>3</v>
      </c>
      <c r="N67" s="55">
        <v>9</v>
      </c>
      <c r="O67" s="237">
        <v>0.25</v>
      </c>
      <c r="P67" s="237">
        <v>0.25</v>
      </c>
      <c r="Q67" s="57">
        <f t="shared" si="5"/>
        <v>0.25</v>
      </c>
      <c r="R67" s="237">
        <v>14.8</v>
      </c>
      <c r="S67" s="237">
        <v>100</v>
      </c>
      <c r="T67" s="57">
        <f t="shared" si="4"/>
        <v>33</v>
      </c>
      <c r="U67" s="55">
        <v>540</v>
      </c>
      <c r="V67" s="58">
        <f t="shared" si="6"/>
        <v>1980</v>
      </c>
      <c r="W67" s="237">
        <v>1</v>
      </c>
      <c r="X67" s="55" t="s">
        <v>46</v>
      </c>
      <c r="Y67" s="55" t="s">
        <v>84</v>
      </c>
      <c r="Z67" s="55" t="s">
        <v>102</v>
      </c>
      <c r="AA67" s="55" t="s">
        <v>90</v>
      </c>
      <c r="AB67" s="55" t="s">
        <v>317</v>
      </c>
      <c r="AC67" s="55"/>
      <c r="AD67" s="55"/>
    </row>
    <row r="68" spans="1:30" x14ac:dyDescent="0.15">
      <c r="A68" s="55" t="s">
        <v>41</v>
      </c>
      <c r="B68" s="237" t="s">
        <v>315</v>
      </c>
      <c r="C68" s="152">
        <v>2018</v>
      </c>
      <c r="D68" s="56" t="s">
        <v>338</v>
      </c>
      <c r="E68" s="237" t="s">
        <v>270</v>
      </c>
      <c r="F68" s="237" t="s">
        <v>276</v>
      </c>
      <c r="G68" s="55" t="s">
        <v>42</v>
      </c>
      <c r="H68" s="55" t="s">
        <v>157</v>
      </c>
      <c r="I68" s="55" t="s">
        <v>153</v>
      </c>
      <c r="J68" s="55" t="s">
        <v>38</v>
      </c>
      <c r="K68" s="55" t="s">
        <v>154</v>
      </c>
      <c r="L68" s="237">
        <v>1</v>
      </c>
      <c r="N68" s="237">
        <v>8</v>
      </c>
      <c r="O68" s="237">
        <v>0.85</v>
      </c>
      <c r="P68" s="237">
        <v>0.75</v>
      </c>
      <c r="Q68" s="57">
        <f t="shared" si="5"/>
        <v>0.8</v>
      </c>
      <c r="R68" s="237">
        <v>16.8</v>
      </c>
      <c r="S68" s="237">
        <v>95</v>
      </c>
      <c r="T68" s="57">
        <f t="shared" si="4"/>
        <v>36</v>
      </c>
      <c r="U68" s="237">
        <v>1058</v>
      </c>
      <c r="V68" s="58">
        <f t="shared" si="6"/>
        <v>4761</v>
      </c>
      <c r="W68" s="237">
        <v>1</v>
      </c>
      <c r="X68" s="55" t="s">
        <v>46</v>
      </c>
      <c r="Y68" s="55" t="s">
        <v>84</v>
      </c>
      <c r="Z68" s="55" t="s">
        <v>102</v>
      </c>
      <c r="AA68" s="55" t="s">
        <v>90</v>
      </c>
      <c r="AB68" s="55" t="s">
        <v>317</v>
      </c>
      <c r="AC68" s="55"/>
      <c r="AD68" s="55"/>
    </row>
    <row r="69" spans="1:30" x14ac:dyDescent="0.15">
      <c r="A69" s="55" t="s">
        <v>41</v>
      </c>
      <c r="B69" s="237" t="s">
        <v>315</v>
      </c>
      <c r="C69" s="152">
        <v>2018</v>
      </c>
      <c r="D69" s="56" t="s">
        <v>338</v>
      </c>
      <c r="E69" s="237" t="s">
        <v>270</v>
      </c>
      <c r="F69" s="237" t="s">
        <v>276</v>
      </c>
      <c r="G69" s="55" t="s">
        <v>42</v>
      </c>
      <c r="H69" s="55" t="s">
        <v>157</v>
      </c>
      <c r="I69" s="55" t="s">
        <v>153</v>
      </c>
      <c r="J69" s="55" t="s">
        <v>38</v>
      </c>
      <c r="K69" s="55" t="s">
        <v>154</v>
      </c>
      <c r="L69" s="237">
        <v>2</v>
      </c>
      <c r="N69" s="237">
        <v>8</v>
      </c>
      <c r="O69" s="237">
        <v>0.9</v>
      </c>
      <c r="P69" s="237">
        <v>0.8</v>
      </c>
      <c r="Q69" s="57">
        <f t="shared" si="5"/>
        <v>0.85000000000000009</v>
      </c>
      <c r="R69" s="237">
        <v>14.8</v>
      </c>
      <c r="S69" s="237">
        <v>101</v>
      </c>
      <c r="T69" s="57">
        <f t="shared" si="4"/>
        <v>33</v>
      </c>
      <c r="U69" s="237">
        <v>1058</v>
      </c>
      <c r="V69" s="58">
        <f t="shared" si="6"/>
        <v>4364.25</v>
      </c>
      <c r="W69" s="237">
        <v>1</v>
      </c>
      <c r="X69" s="55" t="s">
        <v>46</v>
      </c>
      <c r="Y69" s="55" t="s">
        <v>84</v>
      </c>
      <c r="Z69" s="55" t="s">
        <v>102</v>
      </c>
      <c r="AA69" s="55" t="s">
        <v>90</v>
      </c>
      <c r="AB69" s="55" t="s">
        <v>317</v>
      </c>
    </row>
    <row r="70" spans="1:30" x14ac:dyDescent="0.15">
      <c r="A70" s="55" t="s">
        <v>41</v>
      </c>
      <c r="B70" s="237" t="s">
        <v>315</v>
      </c>
      <c r="C70" s="152">
        <v>2018</v>
      </c>
      <c r="D70" s="56" t="s">
        <v>338</v>
      </c>
      <c r="E70" s="237" t="s">
        <v>270</v>
      </c>
      <c r="F70" s="237" t="s">
        <v>276</v>
      </c>
      <c r="G70" s="55" t="s">
        <v>42</v>
      </c>
      <c r="H70" s="55" t="s">
        <v>157</v>
      </c>
      <c r="I70" s="55" t="s">
        <v>153</v>
      </c>
      <c r="J70" s="55" t="s">
        <v>38</v>
      </c>
      <c r="K70" s="55" t="s">
        <v>154</v>
      </c>
      <c r="L70" s="237">
        <v>3</v>
      </c>
      <c r="N70" s="237">
        <v>8</v>
      </c>
      <c r="O70" s="237">
        <v>0.7</v>
      </c>
      <c r="P70" s="237">
        <v>0.85</v>
      </c>
      <c r="Q70" s="57">
        <f t="shared" si="5"/>
        <v>0.77499999999999991</v>
      </c>
      <c r="R70" s="237">
        <v>17.399999999999999</v>
      </c>
      <c r="S70" s="237">
        <v>99</v>
      </c>
      <c r="T70" s="57">
        <f t="shared" si="4"/>
        <v>33</v>
      </c>
      <c r="U70" s="237">
        <v>1058</v>
      </c>
      <c r="V70" s="58">
        <f t="shared" si="6"/>
        <v>4364.25</v>
      </c>
      <c r="W70" s="237">
        <v>1</v>
      </c>
      <c r="X70" s="55" t="s">
        <v>46</v>
      </c>
      <c r="Y70" s="55" t="s">
        <v>84</v>
      </c>
      <c r="Z70" s="55" t="s">
        <v>102</v>
      </c>
      <c r="AA70" s="55" t="s">
        <v>90</v>
      </c>
      <c r="AB70" s="55" t="s">
        <v>317</v>
      </c>
    </row>
    <row r="71" spans="1:30" x14ac:dyDescent="0.15">
      <c r="A71" s="55" t="s">
        <v>41</v>
      </c>
      <c r="B71" s="237" t="s">
        <v>315</v>
      </c>
      <c r="C71" s="152">
        <v>2018</v>
      </c>
      <c r="D71" s="56" t="s">
        <v>338</v>
      </c>
      <c r="E71" s="237" t="s">
        <v>270</v>
      </c>
      <c r="F71" s="237" t="s">
        <v>276</v>
      </c>
      <c r="G71" s="55" t="s">
        <v>42</v>
      </c>
      <c r="H71" s="55" t="s">
        <v>157</v>
      </c>
      <c r="I71" s="55" t="s">
        <v>153</v>
      </c>
      <c r="J71" s="55" t="s">
        <v>38</v>
      </c>
      <c r="K71" s="55" t="s">
        <v>154</v>
      </c>
      <c r="L71" s="237">
        <v>1</v>
      </c>
      <c r="N71" s="55">
        <v>1</v>
      </c>
      <c r="O71" s="55">
        <v>0.65</v>
      </c>
      <c r="P71" s="258">
        <v>0.5</v>
      </c>
      <c r="Q71" s="259">
        <f t="shared" si="5"/>
        <v>0.57499999999999996</v>
      </c>
      <c r="R71" s="55">
        <v>15.5</v>
      </c>
      <c r="S71" s="55">
        <v>98</v>
      </c>
      <c r="T71" s="57">
        <f t="shared" si="4"/>
        <v>36</v>
      </c>
      <c r="U71" s="237">
        <v>170</v>
      </c>
      <c r="V71" s="58">
        <f t="shared" si="6"/>
        <v>6120</v>
      </c>
      <c r="W71" s="237">
        <v>1</v>
      </c>
      <c r="X71" s="55" t="s">
        <v>46</v>
      </c>
      <c r="Y71" s="55" t="s">
        <v>84</v>
      </c>
      <c r="Z71" s="55" t="s">
        <v>102</v>
      </c>
      <c r="AA71" s="55" t="s">
        <v>90</v>
      </c>
      <c r="AB71" s="55" t="s">
        <v>317</v>
      </c>
    </row>
    <row r="72" spans="1:30" x14ac:dyDescent="0.15">
      <c r="A72" s="55" t="s">
        <v>41</v>
      </c>
      <c r="B72" s="237" t="s">
        <v>315</v>
      </c>
      <c r="C72" s="152">
        <v>2018</v>
      </c>
      <c r="D72" s="56" t="s">
        <v>338</v>
      </c>
      <c r="E72" s="237" t="s">
        <v>270</v>
      </c>
      <c r="F72" s="237" t="s">
        <v>276</v>
      </c>
      <c r="G72" s="55" t="s">
        <v>42</v>
      </c>
      <c r="H72" s="55" t="s">
        <v>157</v>
      </c>
      <c r="I72" s="55" t="s">
        <v>153</v>
      </c>
      <c r="J72" s="55" t="s">
        <v>38</v>
      </c>
      <c r="K72" s="55" t="s">
        <v>154</v>
      </c>
      <c r="L72" s="237">
        <v>2</v>
      </c>
      <c r="N72" s="55">
        <v>1</v>
      </c>
      <c r="O72" s="55">
        <v>0.5</v>
      </c>
      <c r="P72" s="55">
        <v>0.65</v>
      </c>
      <c r="Q72" s="259">
        <f t="shared" si="5"/>
        <v>0.57499999999999996</v>
      </c>
      <c r="R72" s="55">
        <v>13.2</v>
      </c>
      <c r="S72" s="55">
        <v>100</v>
      </c>
      <c r="T72" s="57">
        <f t="shared" si="4"/>
        <v>33</v>
      </c>
      <c r="U72" s="237">
        <v>170</v>
      </c>
      <c r="V72" s="58">
        <f t="shared" si="6"/>
        <v>5610</v>
      </c>
      <c r="W72" s="237">
        <v>1</v>
      </c>
      <c r="X72" s="55" t="s">
        <v>46</v>
      </c>
      <c r="Y72" s="55" t="s">
        <v>84</v>
      </c>
      <c r="Z72" s="55" t="s">
        <v>102</v>
      </c>
      <c r="AA72" s="55" t="s">
        <v>90</v>
      </c>
      <c r="AB72" s="55" t="s">
        <v>317</v>
      </c>
    </row>
    <row r="73" spans="1:30" x14ac:dyDescent="0.15">
      <c r="A73" s="55" t="s">
        <v>41</v>
      </c>
      <c r="B73" s="237" t="s">
        <v>315</v>
      </c>
      <c r="C73" s="152">
        <v>2018</v>
      </c>
      <c r="D73" s="56" t="s">
        <v>338</v>
      </c>
      <c r="E73" s="237" t="s">
        <v>270</v>
      </c>
      <c r="F73" s="237" t="s">
        <v>276</v>
      </c>
      <c r="G73" s="55" t="s">
        <v>42</v>
      </c>
      <c r="H73" s="55" t="s">
        <v>157</v>
      </c>
      <c r="I73" s="55" t="s">
        <v>153</v>
      </c>
      <c r="J73" s="55" t="s">
        <v>38</v>
      </c>
      <c r="K73" s="55" t="s">
        <v>154</v>
      </c>
      <c r="L73" s="237">
        <v>3</v>
      </c>
      <c r="N73" s="55">
        <v>1</v>
      </c>
      <c r="O73" s="55">
        <v>0.5</v>
      </c>
      <c r="P73" s="55">
        <v>0.6</v>
      </c>
      <c r="Q73" s="259">
        <f t="shared" si="5"/>
        <v>0.55000000000000004</v>
      </c>
      <c r="R73" s="55">
        <v>14.4</v>
      </c>
      <c r="S73" s="55">
        <v>97</v>
      </c>
      <c r="T73" s="57">
        <f t="shared" si="4"/>
        <v>36</v>
      </c>
      <c r="U73" s="55">
        <v>170</v>
      </c>
      <c r="V73" s="58">
        <f t="shared" si="6"/>
        <v>6120</v>
      </c>
      <c r="W73" s="237">
        <v>1</v>
      </c>
      <c r="X73" s="55" t="s">
        <v>46</v>
      </c>
      <c r="Y73" s="55" t="s">
        <v>84</v>
      </c>
      <c r="Z73" s="55" t="s">
        <v>102</v>
      </c>
      <c r="AA73" s="55" t="s">
        <v>90</v>
      </c>
      <c r="AB73" s="55" t="s">
        <v>317</v>
      </c>
    </row>
    <row r="74" spans="1:30" x14ac:dyDescent="0.15">
      <c r="A74" s="55" t="s">
        <v>41</v>
      </c>
      <c r="B74" s="237" t="s">
        <v>315</v>
      </c>
      <c r="C74" s="152">
        <v>2018</v>
      </c>
      <c r="D74" s="56" t="s">
        <v>338</v>
      </c>
      <c r="E74" s="237" t="s">
        <v>270</v>
      </c>
      <c r="F74" s="237" t="s">
        <v>276</v>
      </c>
      <c r="G74" s="55" t="s">
        <v>42</v>
      </c>
      <c r="H74" s="55" t="s">
        <v>157</v>
      </c>
      <c r="I74" s="55" t="s">
        <v>153</v>
      </c>
      <c r="J74" s="55" t="s">
        <v>38</v>
      </c>
      <c r="K74" s="55" t="s">
        <v>154</v>
      </c>
      <c r="L74" s="237">
        <v>1</v>
      </c>
      <c r="N74" s="55">
        <v>4</v>
      </c>
      <c r="O74" s="55">
        <v>0.85</v>
      </c>
      <c r="P74" s="55">
        <v>1</v>
      </c>
      <c r="Q74" s="82">
        <f t="shared" si="5"/>
        <v>0.92500000000000004</v>
      </c>
      <c r="R74" s="55">
        <v>13.7</v>
      </c>
      <c r="S74" s="55">
        <v>110</v>
      </c>
      <c r="T74" s="57">
        <f t="shared" si="4"/>
        <v>33</v>
      </c>
      <c r="U74" s="237">
        <v>626</v>
      </c>
      <c r="V74" s="58">
        <f t="shared" si="6"/>
        <v>5164.5</v>
      </c>
      <c r="W74" s="237">
        <v>1</v>
      </c>
      <c r="X74" s="55" t="s">
        <v>46</v>
      </c>
      <c r="Y74" s="55" t="s">
        <v>84</v>
      </c>
      <c r="Z74" s="55" t="s">
        <v>102</v>
      </c>
      <c r="AA74" s="55" t="s">
        <v>90</v>
      </c>
      <c r="AB74" s="55" t="s">
        <v>317</v>
      </c>
    </row>
    <row r="75" spans="1:30" x14ac:dyDescent="0.15">
      <c r="A75" s="55" t="s">
        <v>41</v>
      </c>
      <c r="B75" s="237" t="s">
        <v>315</v>
      </c>
      <c r="C75" s="152">
        <v>2018</v>
      </c>
      <c r="D75" s="56" t="s">
        <v>338</v>
      </c>
      <c r="E75" s="237" t="s">
        <v>270</v>
      </c>
      <c r="F75" s="237" t="s">
        <v>276</v>
      </c>
      <c r="G75" s="55" t="s">
        <v>42</v>
      </c>
      <c r="H75" s="55" t="s">
        <v>157</v>
      </c>
      <c r="I75" s="55" t="s">
        <v>153</v>
      </c>
      <c r="J75" s="55" t="s">
        <v>38</v>
      </c>
      <c r="K75" s="55" t="s">
        <v>154</v>
      </c>
      <c r="L75" s="237">
        <v>2</v>
      </c>
      <c r="N75" s="55">
        <v>4</v>
      </c>
      <c r="O75" s="55">
        <v>1</v>
      </c>
      <c r="P75" s="55">
        <v>0.95</v>
      </c>
      <c r="Q75" s="82">
        <f t="shared" si="5"/>
        <v>0.97499999999999998</v>
      </c>
      <c r="R75" s="55">
        <v>15.6</v>
      </c>
      <c r="S75" s="55">
        <v>109</v>
      </c>
      <c r="T75" s="57">
        <f t="shared" si="4"/>
        <v>33</v>
      </c>
      <c r="U75" s="237">
        <v>626</v>
      </c>
      <c r="V75" s="58">
        <f t="shared" si="6"/>
        <v>5164.5</v>
      </c>
      <c r="W75" s="237">
        <v>1</v>
      </c>
      <c r="X75" s="55" t="s">
        <v>46</v>
      </c>
      <c r="Y75" s="55" t="s">
        <v>84</v>
      </c>
      <c r="Z75" s="55" t="s">
        <v>102</v>
      </c>
      <c r="AA75" s="55" t="s">
        <v>90</v>
      </c>
      <c r="AB75" s="55" t="s">
        <v>317</v>
      </c>
    </row>
    <row r="76" spans="1:30" x14ac:dyDescent="0.15">
      <c r="A76" s="55" t="s">
        <v>41</v>
      </c>
      <c r="B76" s="237" t="s">
        <v>315</v>
      </c>
      <c r="C76" s="152">
        <v>2018</v>
      </c>
      <c r="D76" s="56" t="s">
        <v>338</v>
      </c>
      <c r="E76" s="237" t="s">
        <v>270</v>
      </c>
      <c r="F76" s="237" t="s">
        <v>276</v>
      </c>
      <c r="G76" s="55" t="s">
        <v>42</v>
      </c>
      <c r="H76" s="55" t="s">
        <v>157</v>
      </c>
      <c r="I76" s="55" t="s">
        <v>153</v>
      </c>
      <c r="J76" s="55" t="s">
        <v>38</v>
      </c>
      <c r="K76" s="55" t="s">
        <v>154</v>
      </c>
      <c r="L76" s="237">
        <v>3</v>
      </c>
      <c r="N76" s="55">
        <v>4</v>
      </c>
      <c r="O76" s="55">
        <v>1.05</v>
      </c>
      <c r="P76" s="55">
        <v>0.95</v>
      </c>
      <c r="Q76" s="82">
        <f t="shared" si="5"/>
        <v>1</v>
      </c>
      <c r="R76" s="55">
        <v>16</v>
      </c>
      <c r="S76" s="55">
        <v>105</v>
      </c>
      <c r="T76" s="57">
        <f t="shared" si="4"/>
        <v>33</v>
      </c>
      <c r="U76" s="55">
        <v>626</v>
      </c>
      <c r="V76" s="58">
        <f t="shared" si="6"/>
        <v>5164.5</v>
      </c>
      <c r="W76" s="237">
        <v>1</v>
      </c>
      <c r="X76" s="55" t="s">
        <v>46</v>
      </c>
      <c r="Y76" s="55" t="s">
        <v>84</v>
      </c>
      <c r="Z76" s="55" t="s">
        <v>102</v>
      </c>
      <c r="AA76" s="55" t="s">
        <v>90</v>
      </c>
      <c r="AB76" s="55" t="s">
        <v>317</v>
      </c>
    </row>
    <row r="77" spans="1:30" x14ac:dyDescent="0.15">
      <c r="A77" s="55" t="s">
        <v>41</v>
      </c>
      <c r="B77" s="237" t="s">
        <v>315</v>
      </c>
      <c r="C77" s="152">
        <v>2018</v>
      </c>
      <c r="D77" s="56" t="s">
        <v>338</v>
      </c>
      <c r="E77" s="55" t="s">
        <v>272</v>
      </c>
      <c r="F77" s="237" t="s">
        <v>277</v>
      </c>
      <c r="G77" s="55" t="s">
        <v>42</v>
      </c>
      <c r="H77" s="55" t="s">
        <v>155</v>
      </c>
      <c r="I77" s="55" t="s">
        <v>153</v>
      </c>
      <c r="J77" s="55" t="s">
        <v>38</v>
      </c>
      <c r="K77" s="55" t="s">
        <v>154</v>
      </c>
      <c r="L77" s="237">
        <v>1</v>
      </c>
      <c r="N77" s="237">
        <v>1</v>
      </c>
      <c r="O77" s="55">
        <v>0.6</v>
      </c>
      <c r="P77" s="55">
        <v>0.8</v>
      </c>
      <c r="Q77" s="82">
        <f t="shared" si="5"/>
        <v>0.7</v>
      </c>
      <c r="R77" s="55">
        <v>13.5</v>
      </c>
      <c r="S77" s="55">
        <v>130</v>
      </c>
      <c r="T77" s="57">
        <f t="shared" si="4"/>
        <v>25</v>
      </c>
      <c r="U77" s="237">
        <v>105</v>
      </c>
      <c r="V77" s="58">
        <f t="shared" si="6"/>
        <v>2625</v>
      </c>
      <c r="W77" s="237">
        <v>2</v>
      </c>
      <c r="X77" s="55" t="s">
        <v>46</v>
      </c>
      <c r="Y77" s="55" t="s">
        <v>50</v>
      </c>
      <c r="Z77" s="55" t="s">
        <v>69</v>
      </c>
      <c r="AA77" s="55" t="s">
        <v>102</v>
      </c>
      <c r="AB77" s="55" t="s">
        <v>317</v>
      </c>
    </row>
    <row r="78" spans="1:30" x14ac:dyDescent="0.15">
      <c r="A78" s="55" t="s">
        <v>41</v>
      </c>
      <c r="B78" s="237" t="s">
        <v>315</v>
      </c>
      <c r="C78" s="152">
        <v>2018</v>
      </c>
      <c r="D78" s="56" t="s">
        <v>338</v>
      </c>
      <c r="E78" s="55" t="s">
        <v>272</v>
      </c>
      <c r="F78" s="237" t="s">
        <v>277</v>
      </c>
      <c r="G78" s="55" t="s">
        <v>42</v>
      </c>
      <c r="H78" s="55" t="s">
        <v>155</v>
      </c>
      <c r="I78" s="55" t="s">
        <v>153</v>
      </c>
      <c r="J78" s="55" t="s">
        <v>38</v>
      </c>
      <c r="K78" s="55" t="s">
        <v>154</v>
      </c>
      <c r="L78" s="237">
        <v>2</v>
      </c>
      <c r="N78" s="237">
        <v>1</v>
      </c>
      <c r="O78" s="55">
        <v>0.85</v>
      </c>
      <c r="P78" s="55">
        <v>0.7</v>
      </c>
      <c r="Q78" s="82">
        <f t="shared" si="5"/>
        <v>0.77499999999999991</v>
      </c>
      <c r="R78" s="55">
        <v>14.1</v>
      </c>
      <c r="S78" s="55">
        <v>129</v>
      </c>
      <c r="T78" s="57">
        <f t="shared" si="4"/>
        <v>25</v>
      </c>
      <c r="U78" s="237">
        <v>105</v>
      </c>
      <c r="V78" s="58">
        <f t="shared" si="6"/>
        <v>2625</v>
      </c>
      <c r="W78" s="237">
        <v>2</v>
      </c>
      <c r="X78" s="55" t="s">
        <v>46</v>
      </c>
      <c r="Y78" s="55" t="s">
        <v>50</v>
      </c>
      <c r="Z78" s="55" t="s">
        <v>69</v>
      </c>
      <c r="AA78" s="55" t="s">
        <v>102</v>
      </c>
      <c r="AB78" s="55" t="s">
        <v>317</v>
      </c>
    </row>
    <row r="79" spans="1:30" x14ac:dyDescent="0.15">
      <c r="A79" s="55" t="s">
        <v>41</v>
      </c>
      <c r="B79" s="237" t="s">
        <v>315</v>
      </c>
      <c r="C79" s="152">
        <v>2018</v>
      </c>
      <c r="D79" s="56" t="s">
        <v>338</v>
      </c>
      <c r="E79" s="55" t="s">
        <v>272</v>
      </c>
      <c r="F79" s="237" t="s">
        <v>277</v>
      </c>
      <c r="G79" s="55" t="s">
        <v>42</v>
      </c>
      <c r="H79" s="55" t="s">
        <v>155</v>
      </c>
      <c r="I79" s="55" t="s">
        <v>153</v>
      </c>
      <c r="J79" s="55" t="s">
        <v>38</v>
      </c>
      <c r="K79" s="55" t="s">
        <v>154</v>
      </c>
      <c r="L79" s="237">
        <v>3</v>
      </c>
      <c r="N79" s="237">
        <v>1</v>
      </c>
      <c r="O79" s="55">
        <v>0.7</v>
      </c>
      <c r="P79" s="55">
        <v>0.65</v>
      </c>
      <c r="Q79" s="82">
        <f t="shared" si="5"/>
        <v>0.67500000000000004</v>
      </c>
      <c r="R79" s="55">
        <v>15.1</v>
      </c>
      <c r="S79" s="55">
        <v>131</v>
      </c>
      <c r="T79" s="57">
        <f t="shared" si="4"/>
        <v>25</v>
      </c>
      <c r="U79" s="237">
        <v>105</v>
      </c>
      <c r="V79" s="58">
        <f t="shared" si="6"/>
        <v>2625</v>
      </c>
      <c r="W79" s="237">
        <v>2</v>
      </c>
      <c r="X79" s="55" t="s">
        <v>46</v>
      </c>
      <c r="Y79" s="55" t="s">
        <v>50</v>
      </c>
      <c r="Z79" s="55" t="s">
        <v>69</v>
      </c>
      <c r="AA79" s="55" t="s">
        <v>102</v>
      </c>
      <c r="AB79" s="55" t="s">
        <v>317</v>
      </c>
    </row>
    <row r="80" spans="1:30" x14ac:dyDescent="0.15">
      <c r="A80" s="55" t="s">
        <v>41</v>
      </c>
      <c r="B80" s="237" t="s">
        <v>315</v>
      </c>
      <c r="C80" s="152">
        <v>2018</v>
      </c>
      <c r="D80" s="56" t="s">
        <v>338</v>
      </c>
      <c r="E80" s="55" t="s">
        <v>272</v>
      </c>
      <c r="F80" s="237" t="s">
        <v>277</v>
      </c>
      <c r="G80" s="55" t="s">
        <v>42</v>
      </c>
      <c r="H80" s="55" t="s">
        <v>155</v>
      </c>
      <c r="I80" s="55" t="s">
        <v>153</v>
      </c>
      <c r="J80" s="55" t="s">
        <v>38</v>
      </c>
      <c r="K80" s="55" t="s">
        <v>154</v>
      </c>
      <c r="L80" s="237">
        <v>1</v>
      </c>
      <c r="N80" s="237">
        <v>3</v>
      </c>
      <c r="O80" s="237">
        <v>0.75</v>
      </c>
      <c r="P80" s="237">
        <v>0.8</v>
      </c>
      <c r="Q80" s="57">
        <f t="shared" si="5"/>
        <v>0.77500000000000002</v>
      </c>
      <c r="R80" s="237">
        <v>14.8</v>
      </c>
      <c r="S80" s="237">
        <v>140</v>
      </c>
      <c r="T80" s="57">
        <f t="shared" si="4"/>
        <v>22</v>
      </c>
      <c r="U80" s="237">
        <v>419</v>
      </c>
      <c r="V80" s="58">
        <f t="shared" si="6"/>
        <v>3072.6666666666665</v>
      </c>
      <c r="W80" s="237">
        <v>1</v>
      </c>
      <c r="X80" s="55" t="s">
        <v>46</v>
      </c>
      <c r="Y80" s="55" t="s">
        <v>50</v>
      </c>
      <c r="Z80" s="55" t="s">
        <v>69</v>
      </c>
      <c r="AA80" s="55" t="s">
        <v>102</v>
      </c>
      <c r="AB80" s="55" t="s">
        <v>317</v>
      </c>
    </row>
    <row r="81" spans="1:28" x14ac:dyDescent="0.15">
      <c r="A81" s="55" t="s">
        <v>41</v>
      </c>
      <c r="B81" s="237" t="s">
        <v>315</v>
      </c>
      <c r="C81" s="152">
        <v>2018</v>
      </c>
      <c r="D81" s="56" t="s">
        <v>338</v>
      </c>
      <c r="E81" s="55" t="s">
        <v>272</v>
      </c>
      <c r="F81" s="237" t="s">
        <v>277</v>
      </c>
      <c r="G81" s="55" t="s">
        <v>42</v>
      </c>
      <c r="H81" s="55" t="s">
        <v>155</v>
      </c>
      <c r="I81" s="55" t="s">
        <v>153</v>
      </c>
      <c r="J81" s="55" t="s">
        <v>38</v>
      </c>
      <c r="K81" s="55" t="s">
        <v>154</v>
      </c>
      <c r="L81" s="237">
        <v>2</v>
      </c>
      <c r="N81" s="237">
        <v>3</v>
      </c>
      <c r="O81" s="237">
        <v>0.8</v>
      </c>
      <c r="P81" s="237">
        <v>0.75</v>
      </c>
      <c r="Q81" s="57">
        <f t="shared" si="5"/>
        <v>0.77500000000000002</v>
      </c>
      <c r="R81" s="237">
        <v>16.7</v>
      </c>
      <c r="S81" s="237">
        <v>135</v>
      </c>
      <c r="T81" s="57">
        <f t="shared" si="4"/>
        <v>25</v>
      </c>
      <c r="U81" s="237">
        <v>419</v>
      </c>
      <c r="V81" s="58">
        <f t="shared" si="6"/>
        <v>3491.6666666666665</v>
      </c>
      <c r="W81" s="237">
        <v>1</v>
      </c>
      <c r="X81" s="55" t="s">
        <v>46</v>
      </c>
      <c r="Y81" s="55" t="s">
        <v>50</v>
      </c>
      <c r="Z81" s="55" t="s">
        <v>69</v>
      </c>
      <c r="AA81" s="55" t="s">
        <v>102</v>
      </c>
      <c r="AB81" s="55" t="s">
        <v>317</v>
      </c>
    </row>
    <row r="82" spans="1:28" x14ac:dyDescent="0.15">
      <c r="A82" s="55" t="s">
        <v>41</v>
      </c>
      <c r="B82" s="237" t="s">
        <v>315</v>
      </c>
      <c r="C82" s="152">
        <v>2018</v>
      </c>
      <c r="D82" s="56" t="s">
        <v>338</v>
      </c>
      <c r="E82" s="55" t="s">
        <v>272</v>
      </c>
      <c r="F82" s="237" t="s">
        <v>277</v>
      </c>
      <c r="G82" s="55" t="s">
        <v>42</v>
      </c>
      <c r="H82" s="55" t="s">
        <v>155</v>
      </c>
      <c r="I82" s="55" t="s">
        <v>153</v>
      </c>
      <c r="J82" s="55" t="s">
        <v>38</v>
      </c>
      <c r="K82" s="55" t="s">
        <v>154</v>
      </c>
      <c r="L82" s="237">
        <v>3</v>
      </c>
      <c r="N82" s="237">
        <v>3</v>
      </c>
      <c r="O82" s="237">
        <v>0.65</v>
      </c>
      <c r="P82" s="237">
        <v>0.6</v>
      </c>
      <c r="Q82" s="57">
        <f t="shared" si="5"/>
        <v>0.625</v>
      </c>
      <c r="R82" s="237">
        <v>15</v>
      </c>
      <c r="S82" s="237">
        <v>133</v>
      </c>
      <c r="T82" s="57">
        <f t="shared" si="4"/>
        <v>25</v>
      </c>
      <c r="U82" s="237">
        <v>419</v>
      </c>
      <c r="V82" s="58">
        <f t="shared" si="6"/>
        <v>3491.6666666666665</v>
      </c>
      <c r="W82" s="237">
        <v>1</v>
      </c>
      <c r="X82" s="55" t="s">
        <v>46</v>
      </c>
      <c r="Y82" s="55" t="s">
        <v>50</v>
      </c>
      <c r="Z82" s="55" t="s">
        <v>69</v>
      </c>
      <c r="AA82" s="55" t="s">
        <v>102</v>
      </c>
      <c r="AB82" s="55" t="s">
        <v>317</v>
      </c>
    </row>
    <row r="83" spans="1:28" x14ac:dyDescent="0.15">
      <c r="A83" s="55" t="s">
        <v>41</v>
      </c>
      <c r="B83" s="237" t="s">
        <v>315</v>
      </c>
      <c r="C83" s="152">
        <v>2018</v>
      </c>
      <c r="D83" s="56" t="s">
        <v>338</v>
      </c>
      <c r="E83" s="55" t="s">
        <v>272</v>
      </c>
      <c r="F83" s="237" t="s">
        <v>277</v>
      </c>
      <c r="G83" s="55" t="s">
        <v>42</v>
      </c>
      <c r="H83" s="55" t="s">
        <v>157</v>
      </c>
      <c r="I83" s="55" t="s">
        <v>153</v>
      </c>
      <c r="J83" s="55" t="s">
        <v>38</v>
      </c>
      <c r="K83" s="55" t="s">
        <v>154</v>
      </c>
      <c r="L83" s="237">
        <v>1</v>
      </c>
      <c r="N83" s="55">
        <v>1</v>
      </c>
      <c r="O83" s="237">
        <v>0.55000000000000004</v>
      </c>
      <c r="P83" s="237">
        <v>0.5</v>
      </c>
      <c r="Q83" s="57">
        <f t="shared" si="5"/>
        <v>0.52500000000000002</v>
      </c>
      <c r="R83" s="237">
        <v>12.8</v>
      </c>
      <c r="S83" s="237">
        <v>121</v>
      </c>
      <c r="T83" s="57">
        <f t="shared" si="4"/>
        <v>27</v>
      </c>
      <c r="U83" s="237">
        <v>138</v>
      </c>
      <c r="V83" s="58">
        <f t="shared" si="6"/>
        <v>3726</v>
      </c>
      <c r="W83" s="237">
        <v>1</v>
      </c>
      <c r="X83" s="55" t="s">
        <v>46</v>
      </c>
      <c r="Y83" s="55" t="s">
        <v>50</v>
      </c>
      <c r="Z83" s="55" t="s">
        <v>69</v>
      </c>
      <c r="AA83" s="55" t="s">
        <v>102</v>
      </c>
      <c r="AB83" s="55" t="s">
        <v>317</v>
      </c>
    </row>
    <row r="84" spans="1:28" x14ac:dyDescent="0.15">
      <c r="A84" s="55" t="s">
        <v>41</v>
      </c>
      <c r="B84" s="237" t="s">
        <v>315</v>
      </c>
      <c r="C84" s="152">
        <v>2018</v>
      </c>
      <c r="D84" s="56" t="s">
        <v>338</v>
      </c>
      <c r="E84" s="55" t="s">
        <v>272</v>
      </c>
      <c r="F84" s="237" t="s">
        <v>277</v>
      </c>
      <c r="G84" s="55" t="s">
        <v>42</v>
      </c>
      <c r="H84" s="55" t="s">
        <v>157</v>
      </c>
      <c r="I84" s="55" t="s">
        <v>153</v>
      </c>
      <c r="J84" s="55" t="s">
        <v>38</v>
      </c>
      <c r="K84" s="55" t="s">
        <v>154</v>
      </c>
      <c r="L84" s="237">
        <v>2</v>
      </c>
      <c r="N84" s="55">
        <v>1</v>
      </c>
      <c r="O84" s="237">
        <v>0.75</v>
      </c>
      <c r="P84" s="237">
        <v>0.5</v>
      </c>
      <c r="Q84" s="57">
        <f t="shared" si="5"/>
        <v>0.625</v>
      </c>
      <c r="R84" s="237">
        <v>16.8</v>
      </c>
      <c r="S84" s="237">
        <v>118</v>
      </c>
      <c r="T84" s="57">
        <f t="shared" si="4"/>
        <v>30</v>
      </c>
      <c r="U84" s="237">
        <v>138</v>
      </c>
      <c r="V84" s="58">
        <f t="shared" si="6"/>
        <v>4140</v>
      </c>
      <c r="W84" s="237">
        <v>1</v>
      </c>
      <c r="X84" s="55" t="s">
        <v>46</v>
      </c>
      <c r="Y84" s="55" t="s">
        <v>50</v>
      </c>
      <c r="Z84" s="55" t="s">
        <v>69</v>
      </c>
      <c r="AA84" s="55" t="s">
        <v>102</v>
      </c>
      <c r="AB84" s="55" t="s">
        <v>317</v>
      </c>
    </row>
    <row r="85" spans="1:28" x14ac:dyDescent="0.15">
      <c r="A85" s="55" t="s">
        <v>41</v>
      </c>
      <c r="B85" s="237" t="s">
        <v>315</v>
      </c>
      <c r="C85" s="152">
        <v>2018</v>
      </c>
      <c r="D85" s="56" t="s">
        <v>338</v>
      </c>
      <c r="E85" s="55" t="s">
        <v>272</v>
      </c>
      <c r="F85" s="237" t="s">
        <v>277</v>
      </c>
      <c r="G85" s="55" t="s">
        <v>42</v>
      </c>
      <c r="H85" s="55" t="s">
        <v>157</v>
      </c>
      <c r="I85" s="55" t="s">
        <v>153</v>
      </c>
      <c r="J85" s="55" t="s">
        <v>38</v>
      </c>
      <c r="K85" s="55" t="s">
        <v>154</v>
      </c>
      <c r="L85" s="237">
        <v>3</v>
      </c>
      <c r="N85" s="237">
        <v>1</v>
      </c>
      <c r="O85" s="237">
        <v>0.6</v>
      </c>
      <c r="P85" s="237">
        <v>0.65</v>
      </c>
      <c r="Q85" s="57">
        <f t="shared" si="5"/>
        <v>0.625</v>
      </c>
      <c r="R85" s="237">
        <v>14.8</v>
      </c>
      <c r="S85" s="237">
        <v>123</v>
      </c>
      <c r="T85" s="57">
        <f t="shared" si="4"/>
        <v>27</v>
      </c>
      <c r="U85" s="237">
        <v>138</v>
      </c>
      <c r="V85" s="58">
        <f t="shared" si="6"/>
        <v>3726</v>
      </c>
      <c r="W85" s="237">
        <v>1</v>
      </c>
      <c r="X85" s="55" t="s">
        <v>46</v>
      </c>
      <c r="Y85" s="55" t="s">
        <v>50</v>
      </c>
      <c r="Z85" s="55" t="s">
        <v>69</v>
      </c>
      <c r="AA85" s="55" t="s">
        <v>102</v>
      </c>
      <c r="AB85" s="55" t="s">
        <v>317</v>
      </c>
    </row>
    <row r="86" spans="1:28" x14ac:dyDescent="0.15">
      <c r="A86" s="55" t="s">
        <v>41</v>
      </c>
      <c r="B86" s="237" t="s">
        <v>315</v>
      </c>
      <c r="C86" s="152">
        <v>2018</v>
      </c>
      <c r="D86" s="56" t="s">
        <v>338</v>
      </c>
      <c r="E86" s="55" t="s">
        <v>272</v>
      </c>
      <c r="F86" s="237" t="s">
        <v>277</v>
      </c>
      <c r="G86" s="55" t="s">
        <v>42</v>
      </c>
      <c r="H86" s="55" t="s">
        <v>157</v>
      </c>
      <c r="I86" s="55" t="s">
        <v>153</v>
      </c>
      <c r="J86" s="55" t="s">
        <v>38</v>
      </c>
      <c r="K86" s="55" t="s">
        <v>154</v>
      </c>
      <c r="L86" s="237">
        <v>1</v>
      </c>
      <c r="N86" s="55">
        <v>3</v>
      </c>
      <c r="O86" s="55">
        <v>0.8</v>
      </c>
      <c r="P86" s="55">
        <v>0.7</v>
      </c>
      <c r="Q86" s="82">
        <f t="shared" si="5"/>
        <v>0.75</v>
      </c>
      <c r="R86" s="55">
        <v>15.8</v>
      </c>
      <c r="S86" s="55">
        <v>130</v>
      </c>
      <c r="T86" s="57">
        <f t="shared" si="4"/>
        <v>25</v>
      </c>
      <c r="U86" s="237">
        <v>537</v>
      </c>
      <c r="V86" s="58">
        <f t="shared" si="6"/>
        <v>4475</v>
      </c>
      <c r="W86" s="237">
        <v>1</v>
      </c>
      <c r="X86" s="55" t="s">
        <v>46</v>
      </c>
      <c r="Y86" s="55" t="s">
        <v>50</v>
      </c>
      <c r="Z86" s="55" t="s">
        <v>69</v>
      </c>
      <c r="AA86" s="55" t="s">
        <v>102</v>
      </c>
      <c r="AB86" s="55" t="s">
        <v>317</v>
      </c>
    </row>
    <row r="87" spans="1:28" x14ac:dyDescent="0.15">
      <c r="A87" s="55" t="s">
        <v>41</v>
      </c>
      <c r="B87" s="237" t="s">
        <v>315</v>
      </c>
      <c r="C87" s="152">
        <v>2018</v>
      </c>
      <c r="D87" s="56" t="s">
        <v>338</v>
      </c>
      <c r="E87" s="55" t="s">
        <v>272</v>
      </c>
      <c r="F87" s="237" t="s">
        <v>277</v>
      </c>
      <c r="G87" s="55" t="s">
        <v>42</v>
      </c>
      <c r="H87" s="55" t="s">
        <v>157</v>
      </c>
      <c r="I87" s="55" t="s">
        <v>153</v>
      </c>
      <c r="J87" s="55" t="s">
        <v>38</v>
      </c>
      <c r="K87" s="55" t="s">
        <v>154</v>
      </c>
      <c r="L87" s="237">
        <v>2</v>
      </c>
      <c r="N87" s="55">
        <v>3</v>
      </c>
      <c r="O87" s="55">
        <v>0.55000000000000004</v>
      </c>
      <c r="P87" s="55">
        <v>0.5</v>
      </c>
      <c r="Q87" s="82">
        <f t="shared" si="5"/>
        <v>0.52500000000000002</v>
      </c>
      <c r="R87" s="55">
        <v>15.9</v>
      </c>
      <c r="S87" s="55">
        <v>130</v>
      </c>
      <c r="T87" s="57">
        <f t="shared" si="4"/>
        <v>25</v>
      </c>
      <c r="U87" s="237">
        <v>537</v>
      </c>
      <c r="V87" s="58">
        <f t="shared" si="6"/>
        <v>4475</v>
      </c>
      <c r="W87" s="237">
        <v>1</v>
      </c>
      <c r="X87" s="55" t="s">
        <v>46</v>
      </c>
      <c r="Y87" s="55" t="s">
        <v>50</v>
      </c>
      <c r="Z87" s="55" t="s">
        <v>69</v>
      </c>
      <c r="AA87" s="55" t="s">
        <v>102</v>
      </c>
      <c r="AB87" s="55" t="s">
        <v>317</v>
      </c>
    </row>
    <row r="88" spans="1:28" x14ac:dyDescent="0.15">
      <c r="A88" s="55" t="s">
        <v>41</v>
      </c>
      <c r="B88" s="237" t="s">
        <v>315</v>
      </c>
      <c r="C88" s="152">
        <v>2018</v>
      </c>
      <c r="D88" s="56" t="s">
        <v>338</v>
      </c>
      <c r="E88" s="55" t="s">
        <v>272</v>
      </c>
      <c r="F88" s="237" t="s">
        <v>277</v>
      </c>
      <c r="G88" s="55" t="s">
        <v>42</v>
      </c>
      <c r="H88" s="55" t="s">
        <v>157</v>
      </c>
      <c r="I88" s="55" t="s">
        <v>153</v>
      </c>
      <c r="J88" s="55" t="s">
        <v>38</v>
      </c>
      <c r="K88" s="55" t="s">
        <v>154</v>
      </c>
      <c r="L88" s="237">
        <v>3</v>
      </c>
      <c r="N88" s="237">
        <v>3</v>
      </c>
      <c r="O88" s="55">
        <v>0.65</v>
      </c>
      <c r="P88" s="55">
        <v>0.6</v>
      </c>
      <c r="Q88" s="82">
        <f t="shared" si="5"/>
        <v>0.625</v>
      </c>
      <c r="R88" s="55">
        <v>14.7</v>
      </c>
      <c r="S88" s="55">
        <v>132</v>
      </c>
      <c r="T88" s="57">
        <f t="shared" si="4"/>
        <v>25</v>
      </c>
      <c r="U88" s="237">
        <v>537</v>
      </c>
      <c r="V88" s="58">
        <f t="shared" si="6"/>
        <v>4475</v>
      </c>
      <c r="W88" s="237">
        <v>1</v>
      </c>
      <c r="X88" s="55" t="s">
        <v>46</v>
      </c>
      <c r="Y88" s="55" t="s">
        <v>50</v>
      </c>
      <c r="Z88" s="55" t="s">
        <v>69</v>
      </c>
      <c r="AA88" s="55" t="s">
        <v>102</v>
      </c>
      <c r="AB88" s="55" t="s">
        <v>317</v>
      </c>
    </row>
    <row r="89" spans="1:28" x14ac:dyDescent="0.15">
      <c r="A89" s="55" t="s">
        <v>41</v>
      </c>
      <c r="B89" s="237" t="s">
        <v>315</v>
      </c>
      <c r="C89" s="152">
        <v>2018</v>
      </c>
      <c r="D89" s="56" t="s">
        <v>338</v>
      </c>
      <c r="E89" s="55" t="s">
        <v>272</v>
      </c>
      <c r="F89" s="237" t="s">
        <v>278</v>
      </c>
      <c r="G89" s="55" t="s">
        <v>42</v>
      </c>
      <c r="H89" s="55" t="s">
        <v>155</v>
      </c>
      <c r="I89" s="55" t="s">
        <v>153</v>
      </c>
      <c r="J89" s="55" t="s">
        <v>38</v>
      </c>
      <c r="K89" s="55" t="s">
        <v>154</v>
      </c>
      <c r="L89" s="237">
        <v>1</v>
      </c>
      <c r="N89" s="237">
        <v>1</v>
      </c>
      <c r="O89" s="55">
        <v>0.25</v>
      </c>
      <c r="P89" s="258">
        <v>0.3</v>
      </c>
      <c r="Q89" s="259">
        <f t="shared" si="5"/>
        <v>0.27500000000000002</v>
      </c>
      <c r="R89" s="55">
        <v>13.5</v>
      </c>
      <c r="S89" s="55">
        <v>121</v>
      </c>
      <c r="T89" s="57">
        <f t="shared" si="4"/>
        <v>27</v>
      </c>
      <c r="U89" s="237">
        <v>105</v>
      </c>
      <c r="V89" s="58">
        <f t="shared" si="6"/>
        <v>2835</v>
      </c>
      <c r="W89" s="237">
        <v>4</v>
      </c>
      <c r="X89" s="55" t="s">
        <v>46</v>
      </c>
      <c r="Y89" s="55" t="s">
        <v>50</v>
      </c>
      <c r="Z89" s="55" t="s">
        <v>90</v>
      </c>
      <c r="AA89" s="55" t="s">
        <v>78</v>
      </c>
      <c r="AB89" s="55" t="s">
        <v>317</v>
      </c>
    </row>
    <row r="90" spans="1:28" x14ac:dyDescent="0.15">
      <c r="A90" s="55" t="s">
        <v>41</v>
      </c>
      <c r="B90" s="237" t="s">
        <v>315</v>
      </c>
      <c r="C90" s="152">
        <v>2018</v>
      </c>
      <c r="D90" s="56" t="s">
        <v>338</v>
      </c>
      <c r="E90" s="55" t="s">
        <v>272</v>
      </c>
      <c r="F90" s="237" t="s">
        <v>278</v>
      </c>
      <c r="G90" s="55" t="s">
        <v>42</v>
      </c>
      <c r="H90" s="55" t="s">
        <v>155</v>
      </c>
      <c r="I90" s="55" t="s">
        <v>153</v>
      </c>
      <c r="J90" s="55" t="s">
        <v>38</v>
      </c>
      <c r="K90" s="55" t="s">
        <v>154</v>
      </c>
      <c r="L90" s="237">
        <v>2</v>
      </c>
      <c r="N90" s="237">
        <v>1</v>
      </c>
      <c r="O90" s="55">
        <v>0.25</v>
      </c>
      <c r="P90" s="55">
        <v>0.25</v>
      </c>
      <c r="Q90" s="259">
        <f t="shared" si="5"/>
        <v>0.25</v>
      </c>
      <c r="R90" s="55">
        <v>16.2</v>
      </c>
      <c r="S90" s="55">
        <v>127</v>
      </c>
      <c r="T90" s="57">
        <f t="shared" ref="T90:T130" si="7">IF(H90="","",IF(OR(H90="GREEN",H90="GK"),IF(S90&gt;=$AX$2,VLOOKUP(S90,$AX$2:$AY$10,2,1),""),IF(S90&gt;=$AZ$2,VLOOKUP(S90,$AZ$2:$BA$10,2,1),"")))</f>
        <v>27</v>
      </c>
      <c r="U90" s="237">
        <v>105</v>
      </c>
      <c r="V90" s="58">
        <f t="shared" si="6"/>
        <v>2835</v>
      </c>
      <c r="W90" s="237">
        <v>4</v>
      </c>
      <c r="X90" s="55" t="s">
        <v>46</v>
      </c>
      <c r="Y90" s="55" t="s">
        <v>50</v>
      </c>
      <c r="Z90" s="55" t="s">
        <v>90</v>
      </c>
      <c r="AA90" s="55" t="s">
        <v>78</v>
      </c>
      <c r="AB90" s="55" t="s">
        <v>317</v>
      </c>
    </row>
    <row r="91" spans="1:28" x14ac:dyDescent="0.15">
      <c r="A91" s="55" t="s">
        <v>41</v>
      </c>
      <c r="B91" s="237" t="s">
        <v>315</v>
      </c>
      <c r="C91" s="152">
        <v>2018</v>
      </c>
      <c r="D91" s="56" t="s">
        <v>338</v>
      </c>
      <c r="E91" s="55" t="s">
        <v>272</v>
      </c>
      <c r="F91" s="237" t="s">
        <v>278</v>
      </c>
      <c r="G91" s="55" t="s">
        <v>42</v>
      </c>
      <c r="H91" s="55" t="s">
        <v>155</v>
      </c>
      <c r="I91" s="55" t="s">
        <v>153</v>
      </c>
      <c r="J91" s="55" t="s">
        <v>38</v>
      </c>
      <c r="K91" s="55" t="s">
        <v>154</v>
      </c>
      <c r="L91" s="237">
        <v>3</v>
      </c>
      <c r="N91" s="237">
        <v>1</v>
      </c>
      <c r="O91" s="55">
        <v>0.25</v>
      </c>
      <c r="P91" s="55">
        <v>0.25</v>
      </c>
      <c r="Q91" s="259">
        <f t="shared" si="5"/>
        <v>0.25</v>
      </c>
      <c r="R91" s="55">
        <v>14.8</v>
      </c>
      <c r="S91" s="55">
        <v>125</v>
      </c>
      <c r="T91" s="57">
        <f t="shared" si="7"/>
        <v>27</v>
      </c>
      <c r="U91" s="237">
        <v>105</v>
      </c>
      <c r="V91" s="58">
        <f t="shared" si="6"/>
        <v>2835</v>
      </c>
      <c r="W91" s="237">
        <v>4</v>
      </c>
      <c r="X91" s="55" t="s">
        <v>46</v>
      </c>
      <c r="Y91" s="55" t="s">
        <v>50</v>
      </c>
      <c r="Z91" s="55" t="s">
        <v>90</v>
      </c>
      <c r="AA91" s="55" t="s">
        <v>78</v>
      </c>
      <c r="AB91" s="55" t="s">
        <v>317</v>
      </c>
    </row>
    <row r="92" spans="1:28" x14ac:dyDescent="0.15">
      <c r="A92" s="55" t="s">
        <v>41</v>
      </c>
      <c r="B92" s="237" t="s">
        <v>315</v>
      </c>
      <c r="C92" s="152">
        <v>2018</v>
      </c>
      <c r="D92" s="56" t="s">
        <v>338</v>
      </c>
      <c r="E92" s="55" t="s">
        <v>272</v>
      </c>
      <c r="F92" s="237" t="s">
        <v>278</v>
      </c>
      <c r="G92" s="55" t="s">
        <v>42</v>
      </c>
      <c r="H92" s="55" t="s">
        <v>155</v>
      </c>
      <c r="I92" s="55" t="s">
        <v>153</v>
      </c>
      <c r="J92" s="55" t="s">
        <v>38</v>
      </c>
      <c r="K92" s="55" t="s">
        <v>154</v>
      </c>
      <c r="L92" s="237">
        <v>1</v>
      </c>
      <c r="N92" s="237">
        <v>6</v>
      </c>
      <c r="O92" s="55">
        <v>0.35</v>
      </c>
      <c r="P92" s="258">
        <v>0.3</v>
      </c>
      <c r="Q92" s="259">
        <f t="shared" si="5"/>
        <v>0.32499999999999996</v>
      </c>
      <c r="R92" s="55">
        <v>16.8</v>
      </c>
      <c r="S92" s="55">
        <v>100</v>
      </c>
      <c r="T92" s="57">
        <f t="shared" si="7"/>
        <v>33</v>
      </c>
      <c r="U92" s="237">
        <v>518</v>
      </c>
      <c r="V92" s="58">
        <f t="shared" si="6"/>
        <v>2849</v>
      </c>
      <c r="W92" s="237">
        <v>2</v>
      </c>
      <c r="X92" s="55" t="s">
        <v>46</v>
      </c>
      <c r="Y92" s="55" t="s">
        <v>50</v>
      </c>
      <c r="Z92" s="55" t="s">
        <v>90</v>
      </c>
      <c r="AA92" s="55" t="s">
        <v>78</v>
      </c>
      <c r="AB92" s="55" t="s">
        <v>317</v>
      </c>
    </row>
    <row r="93" spans="1:28" x14ac:dyDescent="0.15">
      <c r="A93" s="55" t="s">
        <v>41</v>
      </c>
      <c r="B93" s="237" t="s">
        <v>315</v>
      </c>
      <c r="C93" s="152">
        <v>2018</v>
      </c>
      <c r="D93" s="56" t="s">
        <v>338</v>
      </c>
      <c r="E93" s="55" t="s">
        <v>272</v>
      </c>
      <c r="F93" s="237" t="s">
        <v>278</v>
      </c>
      <c r="G93" s="55" t="s">
        <v>42</v>
      </c>
      <c r="H93" s="55" t="s">
        <v>155</v>
      </c>
      <c r="I93" s="55" t="s">
        <v>153</v>
      </c>
      <c r="J93" s="55" t="s">
        <v>38</v>
      </c>
      <c r="K93" s="55" t="s">
        <v>154</v>
      </c>
      <c r="L93" s="237">
        <v>2</v>
      </c>
      <c r="N93" s="237">
        <v>6</v>
      </c>
      <c r="O93" s="55">
        <v>0.4</v>
      </c>
      <c r="P93" s="55">
        <v>0.35</v>
      </c>
      <c r="Q93" s="259">
        <f t="shared" si="5"/>
        <v>0.375</v>
      </c>
      <c r="R93" s="55">
        <v>17</v>
      </c>
      <c r="S93" s="55">
        <v>98</v>
      </c>
      <c r="T93" s="57">
        <f t="shared" si="7"/>
        <v>36</v>
      </c>
      <c r="U93" s="237">
        <v>518</v>
      </c>
      <c r="V93" s="58">
        <f t="shared" si="6"/>
        <v>3108</v>
      </c>
      <c r="W93" s="237">
        <v>2</v>
      </c>
      <c r="X93" s="55" t="s">
        <v>46</v>
      </c>
      <c r="Y93" s="55" t="s">
        <v>50</v>
      </c>
      <c r="Z93" s="55" t="s">
        <v>90</v>
      </c>
      <c r="AA93" s="55" t="s">
        <v>78</v>
      </c>
      <c r="AB93" s="55" t="s">
        <v>317</v>
      </c>
    </row>
    <row r="94" spans="1:28" x14ac:dyDescent="0.15">
      <c r="A94" s="55" t="s">
        <v>41</v>
      </c>
      <c r="B94" s="237" t="s">
        <v>315</v>
      </c>
      <c r="C94" s="152">
        <v>2018</v>
      </c>
      <c r="D94" s="56" t="s">
        <v>338</v>
      </c>
      <c r="E94" s="55" t="s">
        <v>272</v>
      </c>
      <c r="F94" s="237" t="s">
        <v>278</v>
      </c>
      <c r="G94" s="55" t="s">
        <v>42</v>
      </c>
      <c r="H94" s="55" t="s">
        <v>155</v>
      </c>
      <c r="I94" s="55" t="s">
        <v>153</v>
      </c>
      <c r="J94" s="55" t="s">
        <v>38</v>
      </c>
      <c r="K94" s="55" t="s">
        <v>154</v>
      </c>
      <c r="L94" s="237">
        <v>3</v>
      </c>
      <c r="N94" s="237">
        <v>6</v>
      </c>
      <c r="O94" s="55">
        <v>0.35</v>
      </c>
      <c r="P94" s="55">
        <v>0.5</v>
      </c>
      <c r="Q94" s="259">
        <f t="shared" si="5"/>
        <v>0.42499999999999999</v>
      </c>
      <c r="R94" s="55">
        <v>14.1</v>
      </c>
      <c r="S94" s="55">
        <v>95</v>
      </c>
      <c r="T94" s="57">
        <f t="shared" si="7"/>
        <v>36</v>
      </c>
      <c r="U94" s="237">
        <v>518</v>
      </c>
      <c r="V94" s="58">
        <f t="shared" si="6"/>
        <v>3108</v>
      </c>
      <c r="W94" s="237">
        <v>2</v>
      </c>
      <c r="X94" s="55" t="s">
        <v>46</v>
      </c>
      <c r="Y94" s="55" t="s">
        <v>50</v>
      </c>
      <c r="Z94" s="55" t="s">
        <v>90</v>
      </c>
      <c r="AA94" s="55" t="s">
        <v>78</v>
      </c>
      <c r="AB94" s="55" t="s">
        <v>317</v>
      </c>
    </row>
    <row r="95" spans="1:28" x14ac:dyDescent="0.15">
      <c r="A95" s="55" t="s">
        <v>41</v>
      </c>
      <c r="B95" s="237" t="s">
        <v>315</v>
      </c>
      <c r="C95" s="152">
        <v>2018</v>
      </c>
      <c r="D95" s="56" t="s">
        <v>338</v>
      </c>
      <c r="E95" s="55" t="s">
        <v>272</v>
      </c>
      <c r="F95" s="237" t="s">
        <v>278</v>
      </c>
      <c r="G95" s="55" t="s">
        <v>42</v>
      </c>
      <c r="H95" s="55" t="s">
        <v>157</v>
      </c>
      <c r="I95" s="55" t="s">
        <v>153</v>
      </c>
      <c r="J95" s="55" t="s">
        <v>38</v>
      </c>
      <c r="K95" s="55" t="s">
        <v>154</v>
      </c>
      <c r="L95" s="237">
        <v>1</v>
      </c>
      <c r="N95" s="237">
        <v>1</v>
      </c>
      <c r="O95" s="55">
        <v>0.45</v>
      </c>
      <c r="P95" s="55">
        <v>0.4</v>
      </c>
      <c r="Q95" s="82">
        <f t="shared" si="5"/>
        <v>0.42500000000000004</v>
      </c>
      <c r="R95" s="55">
        <v>13.2</v>
      </c>
      <c r="S95" s="55">
        <v>111</v>
      </c>
      <c r="T95" s="57">
        <f t="shared" si="7"/>
        <v>33</v>
      </c>
      <c r="U95" s="237">
        <v>138</v>
      </c>
      <c r="V95" s="58">
        <f t="shared" si="6"/>
        <v>4554</v>
      </c>
      <c r="W95" s="237">
        <v>1</v>
      </c>
      <c r="X95" s="55" t="s">
        <v>46</v>
      </c>
      <c r="Y95" s="55" t="s">
        <v>50</v>
      </c>
      <c r="Z95" s="55" t="s">
        <v>90</v>
      </c>
      <c r="AA95" s="55" t="s">
        <v>78</v>
      </c>
      <c r="AB95" s="55" t="s">
        <v>317</v>
      </c>
    </row>
    <row r="96" spans="1:28" x14ac:dyDescent="0.15">
      <c r="A96" s="55" t="s">
        <v>41</v>
      </c>
      <c r="B96" s="237" t="s">
        <v>315</v>
      </c>
      <c r="C96" s="152">
        <v>2018</v>
      </c>
      <c r="D96" s="56" t="s">
        <v>338</v>
      </c>
      <c r="E96" s="55" t="s">
        <v>272</v>
      </c>
      <c r="F96" s="237" t="s">
        <v>278</v>
      </c>
      <c r="G96" s="55" t="s">
        <v>42</v>
      </c>
      <c r="H96" s="55" t="s">
        <v>157</v>
      </c>
      <c r="I96" s="55" t="s">
        <v>153</v>
      </c>
      <c r="J96" s="55" t="s">
        <v>38</v>
      </c>
      <c r="K96" s="55" t="s">
        <v>154</v>
      </c>
      <c r="L96" s="237">
        <v>2</v>
      </c>
      <c r="N96" s="237">
        <v>1</v>
      </c>
      <c r="O96" s="55">
        <v>0.25</v>
      </c>
      <c r="P96" s="55">
        <v>0.35</v>
      </c>
      <c r="Q96" s="82">
        <f t="shared" si="5"/>
        <v>0.3</v>
      </c>
      <c r="R96" s="55">
        <v>15</v>
      </c>
      <c r="S96" s="55">
        <v>108</v>
      </c>
      <c r="T96" s="57">
        <f t="shared" si="7"/>
        <v>33</v>
      </c>
      <c r="U96" s="237">
        <v>138</v>
      </c>
      <c r="V96" s="58">
        <f t="shared" si="6"/>
        <v>4554</v>
      </c>
      <c r="W96" s="237">
        <v>1</v>
      </c>
      <c r="X96" s="55" t="s">
        <v>46</v>
      </c>
      <c r="Y96" s="55" t="s">
        <v>50</v>
      </c>
      <c r="Z96" s="55" t="s">
        <v>90</v>
      </c>
      <c r="AA96" s="55" t="s">
        <v>78</v>
      </c>
      <c r="AB96" s="55" t="s">
        <v>317</v>
      </c>
    </row>
    <row r="97" spans="1:28" x14ac:dyDescent="0.15">
      <c r="A97" s="55" t="s">
        <v>41</v>
      </c>
      <c r="B97" s="237" t="s">
        <v>315</v>
      </c>
      <c r="C97" s="152">
        <v>2018</v>
      </c>
      <c r="D97" s="56" t="s">
        <v>338</v>
      </c>
      <c r="E97" s="55" t="s">
        <v>272</v>
      </c>
      <c r="F97" s="237" t="s">
        <v>278</v>
      </c>
      <c r="G97" s="55" t="s">
        <v>42</v>
      </c>
      <c r="H97" s="55" t="s">
        <v>157</v>
      </c>
      <c r="I97" s="55" t="s">
        <v>153</v>
      </c>
      <c r="J97" s="55" t="s">
        <v>38</v>
      </c>
      <c r="K97" s="55" t="s">
        <v>154</v>
      </c>
      <c r="L97" s="237">
        <v>3</v>
      </c>
      <c r="N97" s="237">
        <v>1</v>
      </c>
      <c r="O97" s="55">
        <v>0.5</v>
      </c>
      <c r="P97" s="55">
        <v>0.35</v>
      </c>
      <c r="Q97" s="82">
        <f t="shared" si="5"/>
        <v>0.42499999999999999</v>
      </c>
      <c r="R97" s="55">
        <v>13.8</v>
      </c>
      <c r="S97" s="55">
        <v>110</v>
      </c>
      <c r="T97" s="57">
        <f t="shared" si="7"/>
        <v>33</v>
      </c>
      <c r="U97" s="237">
        <v>138</v>
      </c>
      <c r="V97" s="58">
        <f t="shared" si="6"/>
        <v>4554</v>
      </c>
      <c r="W97" s="237">
        <v>1</v>
      </c>
      <c r="X97" s="55" t="s">
        <v>46</v>
      </c>
      <c r="Y97" s="55" t="s">
        <v>50</v>
      </c>
      <c r="Z97" s="55" t="s">
        <v>90</v>
      </c>
      <c r="AA97" s="55" t="s">
        <v>78</v>
      </c>
      <c r="AB97" s="55" t="s">
        <v>317</v>
      </c>
    </row>
    <row r="98" spans="1:28" x14ac:dyDescent="0.15">
      <c r="A98" s="55" t="s">
        <v>41</v>
      </c>
      <c r="B98" s="237" t="s">
        <v>315</v>
      </c>
      <c r="C98" s="152">
        <v>2018</v>
      </c>
      <c r="D98" s="56" t="s">
        <v>338</v>
      </c>
      <c r="E98" s="55" t="s">
        <v>272</v>
      </c>
      <c r="F98" s="237" t="s">
        <v>278</v>
      </c>
      <c r="G98" s="55" t="s">
        <v>42</v>
      </c>
      <c r="H98" s="55" t="s">
        <v>157</v>
      </c>
      <c r="I98" s="55" t="s">
        <v>153</v>
      </c>
      <c r="J98" s="55" t="s">
        <v>38</v>
      </c>
      <c r="K98" s="55" t="s">
        <v>154</v>
      </c>
      <c r="L98" s="237">
        <v>1</v>
      </c>
      <c r="N98" s="237">
        <v>3</v>
      </c>
      <c r="O98" s="55">
        <v>0.85</v>
      </c>
      <c r="P98" s="55">
        <v>0.9</v>
      </c>
      <c r="Q98" s="82">
        <f t="shared" si="5"/>
        <v>0.875</v>
      </c>
      <c r="R98" s="55">
        <v>14.8</v>
      </c>
      <c r="S98" s="55">
        <v>78</v>
      </c>
      <c r="T98" s="57">
        <f t="shared" si="7"/>
        <v>39</v>
      </c>
      <c r="U98" s="237">
        <v>537</v>
      </c>
      <c r="V98" s="58">
        <f t="shared" si="6"/>
        <v>6981</v>
      </c>
      <c r="W98" s="237">
        <v>1</v>
      </c>
      <c r="X98" s="55" t="s">
        <v>46</v>
      </c>
      <c r="Y98" s="55" t="s">
        <v>50</v>
      </c>
      <c r="Z98" s="55" t="s">
        <v>90</v>
      </c>
      <c r="AA98" s="55" t="s">
        <v>78</v>
      </c>
      <c r="AB98" s="55" t="s">
        <v>317</v>
      </c>
    </row>
    <row r="99" spans="1:28" x14ac:dyDescent="0.15">
      <c r="A99" s="55" t="s">
        <v>41</v>
      </c>
      <c r="B99" s="237" t="s">
        <v>315</v>
      </c>
      <c r="C99" s="152">
        <v>2018</v>
      </c>
      <c r="D99" s="56" t="s">
        <v>338</v>
      </c>
      <c r="E99" s="55" t="s">
        <v>272</v>
      </c>
      <c r="F99" s="237" t="s">
        <v>278</v>
      </c>
      <c r="G99" s="55" t="s">
        <v>42</v>
      </c>
      <c r="H99" s="55" t="s">
        <v>157</v>
      </c>
      <c r="I99" s="55" t="s">
        <v>153</v>
      </c>
      <c r="J99" s="55" t="s">
        <v>38</v>
      </c>
      <c r="K99" s="55" t="s">
        <v>154</v>
      </c>
      <c r="L99" s="237">
        <v>2</v>
      </c>
      <c r="N99" s="237">
        <v>3</v>
      </c>
      <c r="O99" s="55">
        <v>0.95</v>
      </c>
      <c r="P99" s="55">
        <v>1.1000000000000001</v>
      </c>
      <c r="Q99" s="82">
        <f t="shared" si="5"/>
        <v>1.0249999999999999</v>
      </c>
      <c r="R99" s="55">
        <v>17.399999999999999</v>
      </c>
      <c r="S99" s="55">
        <v>80</v>
      </c>
      <c r="T99" s="57">
        <f t="shared" si="7"/>
        <v>39</v>
      </c>
      <c r="U99" s="237">
        <v>537</v>
      </c>
      <c r="V99" s="58">
        <f t="shared" si="6"/>
        <v>6981</v>
      </c>
      <c r="W99" s="237">
        <v>1</v>
      </c>
      <c r="X99" s="55" t="s">
        <v>46</v>
      </c>
      <c r="Y99" s="55" t="s">
        <v>50</v>
      </c>
      <c r="Z99" s="55" t="s">
        <v>90</v>
      </c>
      <c r="AA99" s="55" t="s">
        <v>78</v>
      </c>
      <c r="AB99" s="55" t="s">
        <v>317</v>
      </c>
    </row>
    <row r="100" spans="1:28" x14ac:dyDescent="0.15">
      <c r="A100" s="55" t="s">
        <v>41</v>
      </c>
      <c r="B100" s="237" t="s">
        <v>315</v>
      </c>
      <c r="C100" s="152">
        <v>2018</v>
      </c>
      <c r="D100" s="56" t="s">
        <v>338</v>
      </c>
      <c r="E100" s="55" t="s">
        <v>272</v>
      </c>
      <c r="F100" s="237" t="s">
        <v>278</v>
      </c>
      <c r="G100" s="55" t="s">
        <v>42</v>
      </c>
      <c r="H100" s="55" t="s">
        <v>157</v>
      </c>
      <c r="I100" s="55" t="s">
        <v>153</v>
      </c>
      <c r="J100" s="55" t="s">
        <v>38</v>
      </c>
      <c r="K100" s="55" t="s">
        <v>154</v>
      </c>
      <c r="L100" s="237">
        <v>3</v>
      </c>
      <c r="N100" s="237">
        <v>3</v>
      </c>
      <c r="O100" s="55">
        <v>1</v>
      </c>
      <c r="P100" s="55">
        <v>0.95</v>
      </c>
      <c r="Q100" s="82">
        <f t="shared" si="5"/>
        <v>0.97499999999999998</v>
      </c>
      <c r="R100" s="55">
        <v>15.8</v>
      </c>
      <c r="S100" s="55">
        <v>79</v>
      </c>
      <c r="T100" s="57">
        <f t="shared" si="7"/>
        <v>39</v>
      </c>
      <c r="U100" s="237">
        <v>537</v>
      </c>
      <c r="V100" s="58">
        <f t="shared" si="6"/>
        <v>6981</v>
      </c>
      <c r="W100" s="237">
        <v>1</v>
      </c>
      <c r="X100" s="55" t="s">
        <v>46</v>
      </c>
      <c r="Y100" s="55" t="s">
        <v>50</v>
      </c>
      <c r="Z100" s="55" t="s">
        <v>90</v>
      </c>
      <c r="AA100" s="55" t="s">
        <v>78</v>
      </c>
      <c r="AB100" s="55" t="s">
        <v>317</v>
      </c>
    </row>
    <row r="101" spans="1:28" x14ac:dyDescent="0.15">
      <c r="A101" s="55" t="s">
        <v>41</v>
      </c>
      <c r="B101" s="237" t="s">
        <v>315</v>
      </c>
      <c r="C101" s="152">
        <v>2018</v>
      </c>
      <c r="D101" s="56" t="s">
        <v>338</v>
      </c>
      <c r="E101" s="237" t="s">
        <v>273</v>
      </c>
      <c r="F101" s="237" t="s">
        <v>279</v>
      </c>
      <c r="G101" s="55" t="s">
        <v>42</v>
      </c>
      <c r="H101" s="55" t="s">
        <v>157</v>
      </c>
      <c r="I101" s="55" t="s">
        <v>153</v>
      </c>
      <c r="J101" s="55" t="s">
        <v>38</v>
      </c>
      <c r="K101" s="55" t="s">
        <v>154</v>
      </c>
      <c r="L101" s="237">
        <v>1</v>
      </c>
      <c r="N101" s="237">
        <v>1</v>
      </c>
      <c r="O101" s="237">
        <v>0.55000000000000004</v>
      </c>
      <c r="P101" s="237">
        <v>0.8</v>
      </c>
      <c r="Q101" s="57">
        <f t="shared" si="5"/>
        <v>0.67500000000000004</v>
      </c>
      <c r="R101" s="237">
        <v>12.8</v>
      </c>
      <c r="S101" s="237">
        <v>125</v>
      </c>
      <c r="T101" s="57">
        <f t="shared" si="7"/>
        <v>27</v>
      </c>
      <c r="U101" s="237">
        <v>138</v>
      </c>
      <c r="V101" s="58">
        <f t="shared" si="6"/>
        <v>3726</v>
      </c>
      <c r="W101" s="237">
        <v>1</v>
      </c>
      <c r="X101" s="55" t="s">
        <v>46</v>
      </c>
      <c r="Y101" s="55" t="s">
        <v>50</v>
      </c>
      <c r="Z101" s="55" t="s">
        <v>84</v>
      </c>
      <c r="AA101" s="55" t="s">
        <v>78</v>
      </c>
      <c r="AB101" s="55" t="s">
        <v>317</v>
      </c>
    </row>
    <row r="102" spans="1:28" x14ac:dyDescent="0.15">
      <c r="A102" s="55" t="s">
        <v>41</v>
      </c>
      <c r="B102" s="237" t="s">
        <v>315</v>
      </c>
      <c r="C102" s="152">
        <v>2018</v>
      </c>
      <c r="D102" s="56" t="s">
        <v>338</v>
      </c>
      <c r="E102" s="237" t="s">
        <v>273</v>
      </c>
      <c r="F102" s="237" t="s">
        <v>279</v>
      </c>
      <c r="G102" s="55" t="s">
        <v>42</v>
      </c>
      <c r="H102" s="55" t="s">
        <v>157</v>
      </c>
      <c r="I102" s="55" t="s">
        <v>153</v>
      </c>
      <c r="J102" s="55" t="s">
        <v>38</v>
      </c>
      <c r="K102" s="55" t="s">
        <v>154</v>
      </c>
      <c r="L102" s="237">
        <v>2</v>
      </c>
      <c r="N102" s="237">
        <v>1</v>
      </c>
      <c r="O102" s="237">
        <v>0.45</v>
      </c>
      <c r="P102" s="237">
        <v>0.75</v>
      </c>
      <c r="Q102" s="57">
        <f t="shared" si="5"/>
        <v>0.6</v>
      </c>
      <c r="R102" s="237">
        <v>13.4</v>
      </c>
      <c r="S102" s="237">
        <v>132</v>
      </c>
      <c r="T102" s="57">
        <f t="shared" si="7"/>
        <v>25</v>
      </c>
      <c r="U102" s="237">
        <v>138</v>
      </c>
      <c r="V102" s="58">
        <f t="shared" si="6"/>
        <v>3450</v>
      </c>
      <c r="W102" s="237">
        <v>1</v>
      </c>
      <c r="X102" s="55" t="s">
        <v>46</v>
      </c>
      <c r="Y102" s="55" t="s">
        <v>50</v>
      </c>
      <c r="Z102" s="55" t="s">
        <v>84</v>
      </c>
      <c r="AA102" s="55" t="s">
        <v>78</v>
      </c>
      <c r="AB102" s="55" t="s">
        <v>317</v>
      </c>
    </row>
    <row r="103" spans="1:28" x14ac:dyDescent="0.15">
      <c r="A103" s="55" t="s">
        <v>41</v>
      </c>
      <c r="B103" s="237" t="s">
        <v>315</v>
      </c>
      <c r="C103" s="152">
        <v>2018</v>
      </c>
      <c r="D103" s="56" t="s">
        <v>338</v>
      </c>
      <c r="E103" s="237" t="s">
        <v>273</v>
      </c>
      <c r="F103" s="237" t="s">
        <v>279</v>
      </c>
      <c r="G103" s="55" t="s">
        <v>42</v>
      </c>
      <c r="H103" s="55" t="s">
        <v>157</v>
      </c>
      <c r="I103" s="55" t="s">
        <v>153</v>
      </c>
      <c r="J103" s="55" t="s">
        <v>38</v>
      </c>
      <c r="K103" s="55" t="s">
        <v>154</v>
      </c>
      <c r="L103" s="237">
        <v>3</v>
      </c>
      <c r="N103" s="237">
        <v>1</v>
      </c>
      <c r="O103" s="237">
        <v>0.7</v>
      </c>
      <c r="P103" s="237">
        <v>0.6</v>
      </c>
      <c r="Q103" s="57">
        <f t="shared" si="5"/>
        <v>0.64999999999999991</v>
      </c>
      <c r="R103" s="237">
        <v>15.9</v>
      </c>
      <c r="S103" s="237">
        <v>128</v>
      </c>
      <c r="T103" s="57">
        <f t="shared" si="7"/>
        <v>27</v>
      </c>
      <c r="U103" s="237">
        <v>138</v>
      </c>
      <c r="V103" s="58">
        <f t="shared" si="6"/>
        <v>3726</v>
      </c>
      <c r="W103" s="237">
        <v>1</v>
      </c>
      <c r="X103" s="55" t="s">
        <v>46</v>
      </c>
      <c r="Y103" s="55" t="s">
        <v>50</v>
      </c>
      <c r="Z103" s="55" t="s">
        <v>84</v>
      </c>
      <c r="AA103" s="55" t="s">
        <v>78</v>
      </c>
      <c r="AB103" s="55" t="s">
        <v>317</v>
      </c>
    </row>
    <row r="104" spans="1:28" x14ac:dyDescent="0.15">
      <c r="A104" s="55" t="s">
        <v>41</v>
      </c>
      <c r="B104" s="237" t="s">
        <v>315</v>
      </c>
      <c r="C104" s="152">
        <v>2018</v>
      </c>
      <c r="D104" s="56" t="s">
        <v>338</v>
      </c>
      <c r="E104" s="237" t="s">
        <v>273</v>
      </c>
      <c r="F104" s="237" t="s">
        <v>279</v>
      </c>
      <c r="G104" s="55" t="s">
        <v>42</v>
      </c>
      <c r="H104" s="55" t="s">
        <v>157</v>
      </c>
      <c r="I104" s="55" t="s">
        <v>153</v>
      </c>
      <c r="J104" s="55" t="s">
        <v>38</v>
      </c>
      <c r="K104" s="55" t="s">
        <v>154</v>
      </c>
      <c r="L104" s="237">
        <v>1</v>
      </c>
      <c r="N104" s="237">
        <v>4</v>
      </c>
      <c r="O104" s="55">
        <v>1</v>
      </c>
      <c r="P104" s="55">
        <v>0.95</v>
      </c>
      <c r="Q104" s="57">
        <f t="shared" si="5"/>
        <v>0.97499999999999998</v>
      </c>
      <c r="R104" s="55">
        <v>16.100000000000001</v>
      </c>
      <c r="S104" s="55">
        <v>118</v>
      </c>
      <c r="T104" s="57">
        <f t="shared" si="7"/>
        <v>30</v>
      </c>
      <c r="U104" s="237">
        <v>429</v>
      </c>
      <c r="V104" s="58">
        <f t="shared" si="6"/>
        <v>3217.5</v>
      </c>
      <c r="W104" s="237">
        <v>2</v>
      </c>
      <c r="X104" s="55" t="s">
        <v>46</v>
      </c>
      <c r="Y104" s="55" t="s">
        <v>50</v>
      </c>
      <c r="Z104" s="55" t="s">
        <v>84</v>
      </c>
      <c r="AA104" s="55" t="s">
        <v>78</v>
      </c>
      <c r="AB104" s="55" t="s">
        <v>317</v>
      </c>
    </row>
    <row r="105" spans="1:28" x14ac:dyDescent="0.15">
      <c r="A105" s="55" t="s">
        <v>41</v>
      </c>
      <c r="B105" s="237" t="s">
        <v>315</v>
      </c>
      <c r="C105" s="152">
        <v>2018</v>
      </c>
      <c r="D105" s="56" t="s">
        <v>338</v>
      </c>
      <c r="E105" s="237" t="s">
        <v>273</v>
      </c>
      <c r="F105" s="237" t="s">
        <v>279</v>
      </c>
      <c r="G105" s="55" t="s">
        <v>42</v>
      </c>
      <c r="H105" s="55" t="s">
        <v>157</v>
      </c>
      <c r="I105" s="55" t="s">
        <v>153</v>
      </c>
      <c r="J105" s="55" t="s">
        <v>38</v>
      </c>
      <c r="K105" s="55" t="s">
        <v>154</v>
      </c>
      <c r="L105" s="237">
        <v>2</v>
      </c>
      <c r="N105" s="237">
        <v>4</v>
      </c>
      <c r="O105" s="55">
        <v>1.2</v>
      </c>
      <c r="P105" s="55">
        <v>1.1000000000000001</v>
      </c>
      <c r="Q105" s="57">
        <f t="shared" si="5"/>
        <v>1.1499999999999999</v>
      </c>
      <c r="R105" s="55">
        <v>14.1</v>
      </c>
      <c r="S105" s="55">
        <v>121</v>
      </c>
      <c r="T105" s="57">
        <f t="shared" si="7"/>
        <v>27</v>
      </c>
      <c r="U105" s="237">
        <v>429</v>
      </c>
      <c r="V105" s="58">
        <f t="shared" si="6"/>
        <v>2895.75</v>
      </c>
      <c r="W105" s="237">
        <v>2</v>
      </c>
      <c r="X105" s="55" t="s">
        <v>46</v>
      </c>
      <c r="Y105" s="55" t="s">
        <v>50</v>
      </c>
      <c r="Z105" s="55" t="s">
        <v>84</v>
      </c>
      <c r="AA105" s="55" t="s">
        <v>78</v>
      </c>
      <c r="AB105" s="55" t="s">
        <v>317</v>
      </c>
    </row>
    <row r="106" spans="1:28" x14ac:dyDescent="0.15">
      <c r="A106" s="55" t="s">
        <v>41</v>
      </c>
      <c r="B106" s="237" t="s">
        <v>315</v>
      </c>
      <c r="C106" s="152">
        <v>2018</v>
      </c>
      <c r="D106" s="56" t="s">
        <v>338</v>
      </c>
      <c r="E106" s="237" t="s">
        <v>273</v>
      </c>
      <c r="F106" s="237" t="s">
        <v>279</v>
      </c>
      <c r="G106" s="55" t="s">
        <v>42</v>
      </c>
      <c r="H106" s="55" t="s">
        <v>157</v>
      </c>
      <c r="I106" s="55" t="s">
        <v>153</v>
      </c>
      <c r="J106" s="55" t="s">
        <v>38</v>
      </c>
      <c r="K106" s="55" t="s">
        <v>154</v>
      </c>
      <c r="L106" s="237">
        <v>3</v>
      </c>
      <c r="N106" s="237">
        <v>4</v>
      </c>
      <c r="O106" s="55">
        <v>0.95</v>
      </c>
      <c r="P106" s="55">
        <v>1</v>
      </c>
      <c r="Q106" s="57">
        <f t="shared" si="5"/>
        <v>0.97499999999999998</v>
      </c>
      <c r="R106" s="55">
        <v>17.7</v>
      </c>
      <c r="S106" s="55">
        <v>120</v>
      </c>
      <c r="T106" s="57">
        <f t="shared" si="7"/>
        <v>30</v>
      </c>
      <c r="U106" s="237">
        <v>429</v>
      </c>
      <c r="V106" s="58">
        <f t="shared" si="6"/>
        <v>3217.5</v>
      </c>
      <c r="W106" s="237">
        <v>2</v>
      </c>
      <c r="X106" s="55" t="s">
        <v>46</v>
      </c>
      <c r="Y106" s="55" t="s">
        <v>50</v>
      </c>
      <c r="Z106" s="55" t="s">
        <v>84</v>
      </c>
      <c r="AA106" s="55" t="s">
        <v>78</v>
      </c>
      <c r="AB106" s="55" t="s">
        <v>317</v>
      </c>
    </row>
    <row r="107" spans="1:28" x14ac:dyDescent="0.15">
      <c r="A107" s="55" t="s">
        <v>41</v>
      </c>
      <c r="B107" s="237" t="s">
        <v>315</v>
      </c>
      <c r="C107" s="152">
        <v>2018</v>
      </c>
      <c r="D107" s="56" t="s">
        <v>338</v>
      </c>
      <c r="E107" s="237" t="s">
        <v>273</v>
      </c>
      <c r="F107" s="237" t="s">
        <v>279</v>
      </c>
      <c r="G107" s="55" t="s">
        <v>42</v>
      </c>
      <c r="H107" s="55" t="s">
        <v>155</v>
      </c>
      <c r="I107" s="55" t="s">
        <v>153</v>
      </c>
      <c r="J107" s="55" t="s">
        <v>38</v>
      </c>
      <c r="K107" s="55" t="s">
        <v>154</v>
      </c>
      <c r="L107" s="237">
        <v>1</v>
      </c>
      <c r="N107" s="237">
        <v>1</v>
      </c>
      <c r="O107" s="55">
        <v>0.45</v>
      </c>
      <c r="P107" s="55">
        <v>0.5</v>
      </c>
      <c r="Q107" s="57">
        <f>IF(OR(O107="",P107=""),"",AVERAGE(O107,P107))</f>
        <v>0.47499999999999998</v>
      </c>
      <c r="R107" s="55">
        <v>13.2</v>
      </c>
      <c r="S107" s="55">
        <v>126</v>
      </c>
      <c r="T107" s="57">
        <f t="shared" si="7"/>
        <v>27</v>
      </c>
      <c r="U107" s="237">
        <v>85</v>
      </c>
      <c r="V107" s="58">
        <f t="shared" si="6"/>
        <v>2295</v>
      </c>
      <c r="W107" s="237">
        <v>1</v>
      </c>
      <c r="X107" s="55" t="s">
        <v>46</v>
      </c>
      <c r="Y107" s="55" t="s">
        <v>50</v>
      </c>
      <c r="Z107" s="55" t="s">
        <v>84</v>
      </c>
      <c r="AA107" s="55" t="s">
        <v>78</v>
      </c>
      <c r="AB107" s="55" t="s">
        <v>317</v>
      </c>
    </row>
    <row r="108" spans="1:28" x14ac:dyDescent="0.15">
      <c r="A108" s="55" t="s">
        <v>41</v>
      </c>
      <c r="B108" s="237" t="s">
        <v>315</v>
      </c>
      <c r="C108" s="152">
        <v>2018</v>
      </c>
      <c r="D108" s="56" t="s">
        <v>338</v>
      </c>
      <c r="E108" s="237" t="s">
        <v>273</v>
      </c>
      <c r="F108" s="237" t="s">
        <v>279</v>
      </c>
      <c r="G108" s="55" t="s">
        <v>42</v>
      </c>
      <c r="H108" s="55" t="s">
        <v>155</v>
      </c>
      <c r="I108" s="55" t="s">
        <v>153</v>
      </c>
      <c r="J108" s="55" t="s">
        <v>38</v>
      </c>
      <c r="K108" s="55" t="s">
        <v>154</v>
      </c>
      <c r="L108" s="237">
        <v>2</v>
      </c>
      <c r="N108" s="237">
        <v>1</v>
      </c>
      <c r="O108" s="55">
        <v>0.45</v>
      </c>
      <c r="P108" s="55">
        <v>0.6</v>
      </c>
      <c r="Q108" s="57">
        <f>IF(OR(O108="",P108=""),"",AVERAGE(O108,P108))</f>
        <v>0.52500000000000002</v>
      </c>
      <c r="R108" s="55">
        <v>14.1</v>
      </c>
      <c r="S108" s="55">
        <v>124</v>
      </c>
      <c r="T108" s="57">
        <f t="shared" si="7"/>
        <v>27</v>
      </c>
      <c r="U108" s="237">
        <v>85</v>
      </c>
      <c r="V108" s="58">
        <f t="shared" si="6"/>
        <v>2295</v>
      </c>
      <c r="W108" s="237">
        <v>1</v>
      </c>
      <c r="X108" s="55" t="s">
        <v>46</v>
      </c>
      <c r="Y108" s="55" t="s">
        <v>50</v>
      </c>
      <c r="Z108" s="55" t="s">
        <v>84</v>
      </c>
      <c r="AA108" s="55" t="s">
        <v>78</v>
      </c>
      <c r="AB108" s="55" t="s">
        <v>317</v>
      </c>
    </row>
    <row r="109" spans="1:28" x14ac:dyDescent="0.15">
      <c r="A109" s="55" t="s">
        <v>41</v>
      </c>
      <c r="B109" s="237" t="s">
        <v>315</v>
      </c>
      <c r="C109" s="152">
        <v>2018</v>
      </c>
      <c r="D109" s="56" t="s">
        <v>338</v>
      </c>
      <c r="E109" s="237" t="s">
        <v>273</v>
      </c>
      <c r="F109" s="237" t="s">
        <v>279</v>
      </c>
      <c r="G109" s="55" t="s">
        <v>42</v>
      </c>
      <c r="H109" s="55" t="s">
        <v>155</v>
      </c>
      <c r="I109" s="55" t="s">
        <v>153</v>
      </c>
      <c r="J109" s="55" t="s">
        <v>38</v>
      </c>
      <c r="K109" s="55" t="s">
        <v>154</v>
      </c>
      <c r="L109" s="237">
        <v>3</v>
      </c>
      <c r="N109" s="237">
        <v>1</v>
      </c>
      <c r="O109" s="55">
        <v>0.6</v>
      </c>
      <c r="P109" s="55">
        <v>0.5</v>
      </c>
      <c r="Q109" s="57">
        <f>IF(OR(O109="",P109=""),"",AVERAGE(O109,P109))</f>
        <v>0.55000000000000004</v>
      </c>
      <c r="R109" s="55">
        <v>15.1</v>
      </c>
      <c r="S109" s="55">
        <v>125</v>
      </c>
      <c r="T109" s="57">
        <f t="shared" si="7"/>
        <v>27</v>
      </c>
      <c r="U109" s="237">
        <v>85</v>
      </c>
      <c r="V109" s="58">
        <f t="shared" si="6"/>
        <v>2295</v>
      </c>
      <c r="W109" s="237">
        <v>1</v>
      </c>
      <c r="X109" s="55" t="s">
        <v>46</v>
      </c>
      <c r="Y109" s="55" t="s">
        <v>50</v>
      </c>
      <c r="Z109" s="55" t="s">
        <v>84</v>
      </c>
      <c r="AA109" s="55" t="s">
        <v>78</v>
      </c>
      <c r="AB109" s="55" t="s">
        <v>317</v>
      </c>
    </row>
    <row r="110" spans="1:28" x14ac:dyDescent="0.15">
      <c r="A110" s="55" t="s">
        <v>41</v>
      </c>
      <c r="B110" s="237" t="s">
        <v>315</v>
      </c>
      <c r="C110" s="152">
        <v>2018</v>
      </c>
      <c r="D110" s="56" t="s">
        <v>338</v>
      </c>
      <c r="E110" s="237" t="s">
        <v>273</v>
      </c>
      <c r="F110" s="237" t="s">
        <v>279</v>
      </c>
      <c r="G110" s="55" t="s">
        <v>42</v>
      </c>
      <c r="H110" s="55" t="s">
        <v>155</v>
      </c>
      <c r="I110" s="55" t="s">
        <v>153</v>
      </c>
      <c r="J110" s="55" t="s">
        <v>38</v>
      </c>
      <c r="K110" s="55" t="s">
        <v>154</v>
      </c>
      <c r="L110" s="237">
        <v>1</v>
      </c>
      <c r="N110" s="237">
        <v>8</v>
      </c>
      <c r="O110" s="237">
        <v>0.45</v>
      </c>
      <c r="P110" s="237">
        <v>0.35</v>
      </c>
      <c r="Q110" s="57">
        <f t="shared" ref="Q110:Q130" si="8">IF(OR(O110="",P110=""),"",AVERAGE(O110,P110))</f>
        <v>0.4</v>
      </c>
      <c r="R110" s="237">
        <v>15.8</v>
      </c>
      <c r="S110" s="237">
        <v>110</v>
      </c>
      <c r="T110" s="57">
        <f t="shared" si="7"/>
        <v>33</v>
      </c>
      <c r="U110" s="237">
        <v>429</v>
      </c>
      <c r="V110" s="58">
        <f t="shared" si="6"/>
        <v>1769.625</v>
      </c>
      <c r="W110" s="237">
        <v>2</v>
      </c>
      <c r="X110" s="55" t="s">
        <v>46</v>
      </c>
      <c r="Y110" s="55" t="s">
        <v>50</v>
      </c>
      <c r="Z110" s="55" t="s">
        <v>84</v>
      </c>
      <c r="AA110" s="55" t="s">
        <v>78</v>
      </c>
      <c r="AB110" s="55" t="s">
        <v>317</v>
      </c>
    </row>
    <row r="111" spans="1:28" x14ac:dyDescent="0.15">
      <c r="A111" s="55" t="s">
        <v>41</v>
      </c>
      <c r="B111" s="237" t="s">
        <v>315</v>
      </c>
      <c r="C111" s="152">
        <v>2018</v>
      </c>
      <c r="D111" s="56" t="s">
        <v>338</v>
      </c>
      <c r="E111" s="237" t="s">
        <v>273</v>
      </c>
      <c r="F111" s="237" t="s">
        <v>279</v>
      </c>
      <c r="G111" s="55" t="s">
        <v>42</v>
      </c>
      <c r="H111" s="55" t="s">
        <v>155</v>
      </c>
      <c r="I111" s="55" t="s">
        <v>153</v>
      </c>
      <c r="J111" s="55" t="s">
        <v>38</v>
      </c>
      <c r="K111" s="55" t="s">
        <v>154</v>
      </c>
      <c r="L111" s="237">
        <v>2</v>
      </c>
      <c r="N111" s="237">
        <v>8</v>
      </c>
      <c r="O111" s="237">
        <v>0.3</v>
      </c>
      <c r="P111" s="237">
        <v>0.25</v>
      </c>
      <c r="Q111" s="57">
        <f t="shared" si="8"/>
        <v>0.27500000000000002</v>
      </c>
      <c r="R111" s="237">
        <v>13.7</v>
      </c>
      <c r="S111" s="237">
        <v>112</v>
      </c>
      <c r="T111" s="57">
        <f t="shared" si="7"/>
        <v>33</v>
      </c>
      <c r="U111" s="237">
        <v>429</v>
      </c>
      <c r="V111" s="58">
        <f t="shared" si="6"/>
        <v>1769.625</v>
      </c>
      <c r="W111" s="237">
        <v>2</v>
      </c>
      <c r="X111" s="55" t="s">
        <v>46</v>
      </c>
      <c r="Y111" s="55" t="s">
        <v>50</v>
      </c>
      <c r="Z111" s="55" t="s">
        <v>84</v>
      </c>
      <c r="AA111" s="55" t="s">
        <v>78</v>
      </c>
      <c r="AB111" s="55" t="s">
        <v>317</v>
      </c>
    </row>
    <row r="112" spans="1:28" x14ac:dyDescent="0.15">
      <c r="A112" s="55" t="s">
        <v>41</v>
      </c>
      <c r="B112" s="237" t="s">
        <v>315</v>
      </c>
      <c r="C112" s="152">
        <v>2018</v>
      </c>
      <c r="D112" s="56" t="s">
        <v>338</v>
      </c>
      <c r="E112" s="237" t="s">
        <v>273</v>
      </c>
      <c r="F112" s="237" t="s">
        <v>279</v>
      </c>
      <c r="G112" s="55" t="s">
        <v>42</v>
      </c>
      <c r="H112" s="55" t="s">
        <v>155</v>
      </c>
      <c r="I112" s="55" t="s">
        <v>153</v>
      </c>
      <c r="J112" s="55" t="s">
        <v>38</v>
      </c>
      <c r="K112" s="55" t="s">
        <v>154</v>
      </c>
      <c r="L112" s="237">
        <v>3</v>
      </c>
      <c r="N112" s="237">
        <v>8</v>
      </c>
      <c r="O112" s="237">
        <v>0.25</v>
      </c>
      <c r="P112" s="237">
        <v>0.35</v>
      </c>
      <c r="Q112" s="57">
        <f t="shared" si="8"/>
        <v>0.3</v>
      </c>
      <c r="R112" s="237">
        <v>12.9</v>
      </c>
      <c r="S112" s="237">
        <v>112</v>
      </c>
      <c r="T112" s="57">
        <f t="shared" si="7"/>
        <v>33</v>
      </c>
      <c r="U112" s="237">
        <v>429</v>
      </c>
      <c r="V112" s="58">
        <f t="shared" si="6"/>
        <v>1769.625</v>
      </c>
      <c r="W112" s="237">
        <v>2</v>
      </c>
      <c r="X112" s="55" t="s">
        <v>46</v>
      </c>
      <c r="Y112" s="55" t="s">
        <v>50</v>
      </c>
      <c r="Z112" s="55" t="s">
        <v>84</v>
      </c>
      <c r="AA112" s="55" t="s">
        <v>78</v>
      </c>
      <c r="AB112" s="55" t="s">
        <v>317</v>
      </c>
    </row>
    <row r="113" spans="1:28" x14ac:dyDescent="0.15">
      <c r="A113" s="55" t="s">
        <v>41</v>
      </c>
      <c r="B113" s="237" t="s">
        <v>315</v>
      </c>
      <c r="C113" s="152">
        <v>2018</v>
      </c>
      <c r="D113" s="56" t="s">
        <v>338</v>
      </c>
      <c r="E113" s="237" t="s">
        <v>159</v>
      </c>
      <c r="F113" s="237" t="s">
        <v>280</v>
      </c>
      <c r="G113" s="55" t="s">
        <v>42</v>
      </c>
      <c r="H113" s="55" t="s">
        <v>157</v>
      </c>
      <c r="I113" s="55" t="s">
        <v>153</v>
      </c>
      <c r="J113" s="55" t="s">
        <v>38</v>
      </c>
      <c r="K113" s="55" t="s">
        <v>154</v>
      </c>
      <c r="L113" s="237">
        <v>1</v>
      </c>
      <c r="N113" s="237">
        <v>1</v>
      </c>
      <c r="O113" s="237">
        <v>0.3</v>
      </c>
      <c r="P113" s="237">
        <v>0.35</v>
      </c>
      <c r="Q113" s="57">
        <f t="shared" si="8"/>
        <v>0.32499999999999996</v>
      </c>
      <c r="R113" s="237">
        <v>15.4</v>
      </c>
      <c r="S113" s="237">
        <v>135</v>
      </c>
      <c r="T113" s="57">
        <f t="shared" si="7"/>
        <v>25</v>
      </c>
      <c r="U113" s="237">
        <v>137</v>
      </c>
      <c r="V113" s="58">
        <f t="shared" si="6"/>
        <v>3425</v>
      </c>
      <c r="W113" s="237">
        <v>1</v>
      </c>
      <c r="X113" s="55" t="s">
        <v>39</v>
      </c>
      <c r="Y113" s="55" t="s">
        <v>90</v>
      </c>
      <c r="Z113" s="55" t="s">
        <v>84</v>
      </c>
      <c r="AA113" s="55" t="s">
        <v>78</v>
      </c>
      <c r="AB113" s="55" t="s">
        <v>317</v>
      </c>
    </row>
    <row r="114" spans="1:28" x14ac:dyDescent="0.15">
      <c r="A114" s="55" t="s">
        <v>41</v>
      </c>
      <c r="B114" s="237" t="s">
        <v>315</v>
      </c>
      <c r="C114" s="152">
        <v>2018</v>
      </c>
      <c r="D114" s="56" t="s">
        <v>338</v>
      </c>
      <c r="E114" s="237" t="s">
        <v>159</v>
      </c>
      <c r="F114" s="237" t="s">
        <v>280</v>
      </c>
      <c r="G114" s="55" t="s">
        <v>42</v>
      </c>
      <c r="H114" s="55" t="s">
        <v>157</v>
      </c>
      <c r="I114" s="55" t="s">
        <v>153</v>
      </c>
      <c r="J114" s="55" t="s">
        <v>38</v>
      </c>
      <c r="K114" s="55" t="s">
        <v>154</v>
      </c>
      <c r="L114" s="237">
        <v>2</v>
      </c>
      <c r="N114" s="237">
        <v>1</v>
      </c>
      <c r="O114" s="237">
        <v>0.25</v>
      </c>
      <c r="P114" s="237">
        <v>0.2</v>
      </c>
      <c r="Q114" s="57">
        <f t="shared" si="8"/>
        <v>0.22500000000000001</v>
      </c>
      <c r="R114" s="237">
        <v>12.8</v>
      </c>
      <c r="S114" s="237">
        <v>131</v>
      </c>
      <c r="T114" s="57">
        <f t="shared" si="7"/>
        <v>25</v>
      </c>
      <c r="U114" s="237">
        <v>137</v>
      </c>
      <c r="V114" s="58">
        <f t="shared" si="6"/>
        <v>3425</v>
      </c>
      <c r="W114" s="237">
        <v>1</v>
      </c>
      <c r="X114" s="55" t="s">
        <v>39</v>
      </c>
      <c r="Y114" s="55" t="s">
        <v>90</v>
      </c>
      <c r="Z114" s="55" t="s">
        <v>84</v>
      </c>
      <c r="AA114" s="55" t="s">
        <v>78</v>
      </c>
      <c r="AB114" s="55" t="s">
        <v>317</v>
      </c>
    </row>
    <row r="115" spans="1:28" x14ac:dyDescent="0.15">
      <c r="A115" s="55" t="s">
        <v>41</v>
      </c>
      <c r="B115" s="237" t="s">
        <v>315</v>
      </c>
      <c r="C115" s="152">
        <v>2018</v>
      </c>
      <c r="D115" s="56" t="s">
        <v>338</v>
      </c>
      <c r="E115" s="237" t="s">
        <v>159</v>
      </c>
      <c r="F115" s="237" t="s">
        <v>280</v>
      </c>
      <c r="G115" s="55" t="s">
        <v>42</v>
      </c>
      <c r="H115" s="55" t="s">
        <v>157</v>
      </c>
      <c r="I115" s="55" t="s">
        <v>153</v>
      </c>
      <c r="J115" s="55" t="s">
        <v>38</v>
      </c>
      <c r="K115" s="55" t="s">
        <v>154</v>
      </c>
      <c r="L115" s="237">
        <v>3</v>
      </c>
      <c r="N115" s="237">
        <v>1</v>
      </c>
      <c r="O115" s="237">
        <v>0.3</v>
      </c>
      <c r="P115" s="237">
        <v>0.35</v>
      </c>
      <c r="Q115" s="57">
        <f t="shared" si="8"/>
        <v>0.32499999999999996</v>
      </c>
      <c r="R115" s="237">
        <v>16.8</v>
      </c>
      <c r="S115" s="237">
        <v>129</v>
      </c>
      <c r="T115" s="57">
        <f t="shared" si="7"/>
        <v>25</v>
      </c>
      <c r="U115" s="237">
        <v>137</v>
      </c>
      <c r="V115" s="58">
        <f t="shared" si="6"/>
        <v>3425</v>
      </c>
      <c r="W115" s="237">
        <v>1</v>
      </c>
      <c r="X115" s="55" t="s">
        <v>39</v>
      </c>
      <c r="Y115" s="55" t="s">
        <v>90</v>
      </c>
      <c r="Z115" s="55" t="s">
        <v>84</v>
      </c>
      <c r="AA115" s="55" t="s">
        <v>78</v>
      </c>
      <c r="AB115" s="55" t="s">
        <v>317</v>
      </c>
    </row>
    <row r="116" spans="1:28" x14ac:dyDescent="0.15">
      <c r="A116" s="55" t="s">
        <v>41</v>
      </c>
      <c r="B116" s="237" t="s">
        <v>315</v>
      </c>
      <c r="C116" s="152">
        <v>2018</v>
      </c>
      <c r="D116" s="56" t="s">
        <v>338</v>
      </c>
      <c r="E116" s="237" t="s">
        <v>159</v>
      </c>
      <c r="F116" s="237" t="s">
        <v>280</v>
      </c>
      <c r="G116" s="55" t="s">
        <v>42</v>
      </c>
      <c r="H116" s="55" t="s">
        <v>157</v>
      </c>
      <c r="I116" s="55" t="s">
        <v>153</v>
      </c>
      <c r="J116" s="55" t="s">
        <v>38</v>
      </c>
      <c r="K116" s="55" t="s">
        <v>154</v>
      </c>
      <c r="L116" s="237">
        <v>1</v>
      </c>
      <c r="N116" s="237">
        <v>4</v>
      </c>
      <c r="O116" s="55">
        <v>0.55000000000000004</v>
      </c>
      <c r="P116" s="55">
        <v>0.5</v>
      </c>
      <c r="Q116" s="82">
        <f t="shared" si="8"/>
        <v>0.52500000000000002</v>
      </c>
      <c r="R116" s="55">
        <v>15.9</v>
      </c>
      <c r="S116" s="55">
        <v>120</v>
      </c>
      <c r="T116" s="57">
        <f t="shared" si="7"/>
        <v>30</v>
      </c>
      <c r="U116" s="237">
        <v>515</v>
      </c>
      <c r="V116" s="58">
        <f t="shared" si="6"/>
        <v>3862.5</v>
      </c>
      <c r="W116" s="237">
        <v>1</v>
      </c>
      <c r="X116" s="55" t="s">
        <v>39</v>
      </c>
      <c r="Y116" s="55" t="s">
        <v>90</v>
      </c>
      <c r="Z116" s="55" t="s">
        <v>84</v>
      </c>
      <c r="AA116" s="55" t="s">
        <v>78</v>
      </c>
      <c r="AB116" s="55" t="s">
        <v>317</v>
      </c>
    </row>
    <row r="117" spans="1:28" x14ac:dyDescent="0.15">
      <c r="A117" s="55" t="s">
        <v>41</v>
      </c>
      <c r="B117" s="237" t="s">
        <v>315</v>
      </c>
      <c r="C117" s="152">
        <v>2018</v>
      </c>
      <c r="D117" s="56" t="s">
        <v>338</v>
      </c>
      <c r="E117" s="237" t="s">
        <v>159</v>
      </c>
      <c r="F117" s="237" t="s">
        <v>280</v>
      </c>
      <c r="G117" s="55" t="s">
        <v>42</v>
      </c>
      <c r="H117" s="55" t="s">
        <v>157</v>
      </c>
      <c r="I117" s="55" t="s">
        <v>153</v>
      </c>
      <c r="J117" s="55" t="s">
        <v>38</v>
      </c>
      <c r="K117" s="55" t="s">
        <v>154</v>
      </c>
      <c r="L117" s="237">
        <v>2</v>
      </c>
      <c r="N117" s="237">
        <v>4</v>
      </c>
      <c r="O117" s="55">
        <v>0.4</v>
      </c>
      <c r="P117" s="55">
        <v>0.5</v>
      </c>
      <c r="Q117" s="82">
        <f t="shared" si="8"/>
        <v>0.45</v>
      </c>
      <c r="R117" s="55">
        <v>14.2</v>
      </c>
      <c r="S117" s="55">
        <v>120</v>
      </c>
      <c r="T117" s="57">
        <f t="shared" si="7"/>
        <v>30</v>
      </c>
      <c r="U117" s="237">
        <v>515</v>
      </c>
      <c r="V117" s="58">
        <f t="shared" si="6"/>
        <v>3862.5</v>
      </c>
      <c r="W117" s="237">
        <v>1</v>
      </c>
      <c r="X117" s="55" t="s">
        <v>39</v>
      </c>
      <c r="Y117" s="55" t="s">
        <v>90</v>
      </c>
      <c r="Z117" s="55" t="s">
        <v>84</v>
      </c>
      <c r="AA117" s="55" t="s">
        <v>78</v>
      </c>
      <c r="AB117" s="55" t="s">
        <v>317</v>
      </c>
    </row>
    <row r="118" spans="1:28" x14ac:dyDescent="0.15">
      <c r="A118" s="55" t="s">
        <v>41</v>
      </c>
      <c r="B118" s="237" t="s">
        <v>315</v>
      </c>
      <c r="C118" s="152">
        <v>2018</v>
      </c>
      <c r="D118" s="56" t="s">
        <v>338</v>
      </c>
      <c r="E118" s="237" t="s">
        <v>159</v>
      </c>
      <c r="F118" s="237" t="s">
        <v>280</v>
      </c>
      <c r="G118" s="55" t="s">
        <v>42</v>
      </c>
      <c r="H118" s="55" t="s">
        <v>157</v>
      </c>
      <c r="I118" s="55" t="s">
        <v>153</v>
      </c>
      <c r="J118" s="55" t="s">
        <v>38</v>
      </c>
      <c r="K118" s="55" t="s">
        <v>154</v>
      </c>
      <c r="L118" s="237">
        <v>3</v>
      </c>
      <c r="N118" s="237">
        <v>4</v>
      </c>
      <c r="O118" s="55">
        <v>0.8</v>
      </c>
      <c r="P118" s="55">
        <v>0.65</v>
      </c>
      <c r="Q118" s="82">
        <f t="shared" si="8"/>
        <v>0.72500000000000009</v>
      </c>
      <c r="R118" s="55">
        <v>15.2</v>
      </c>
      <c r="S118" s="55">
        <v>121</v>
      </c>
      <c r="T118" s="57">
        <f t="shared" si="7"/>
        <v>27</v>
      </c>
      <c r="U118" s="237">
        <v>515</v>
      </c>
      <c r="V118" s="58">
        <f t="shared" si="6"/>
        <v>3476.25</v>
      </c>
      <c r="W118" s="237">
        <v>1</v>
      </c>
      <c r="X118" s="55" t="s">
        <v>39</v>
      </c>
      <c r="Y118" s="55" t="s">
        <v>90</v>
      </c>
      <c r="Z118" s="55" t="s">
        <v>84</v>
      </c>
      <c r="AA118" s="55" t="s">
        <v>78</v>
      </c>
      <c r="AB118" s="55" t="s">
        <v>317</v>
      </c>
    </row>
    <row r="119" spans="1:28" x14ac:dyDescent="0.15">
      <c r="A119" s="55" t="s">
        <v>41</v>
      </c>
      <c r="B119" s="237" t="s">
        <v>315</v>
      </c>
      <c r="C119" s="152">
        <v>2018</v>
      </c>
      <c r="D119" s="56" t="s">
        <v>338</v>
      </c>
      <c r="E119" s="237" t="s">
        <v>159</v>
      </c>
      <c r="F119" s="237" t="s">
        <v>280</v>
      </c>
      <c r="G119" s="55" t="s">
        <v>42</v>
      </c>
      <c r="H119" s="55" t="s">
        <v>155</v>
      </c>
      <c r="I119" s="55" t="s">
        <v>153</v>
      </c>
      <c r="J119" s="55" t="s">
        <v>38</v>
      </c>
      <c r="K119" s="55" t="s">
        <v>154</v>
      </c>
      <c r="L119" s="237">
        <v>1</v>
      </c>
      <c r="N119" s="237">
        <v>1</v>
      </c>
      <c r="O119" s="237">
        <v>0.95</v>
      </c>
      <c r="P119" s="237">
        <v>0.9</v>
      </c>
      <c r="Q119" s="57">
        <f t="shared" si="8"/>
        <v>0.92500000000000004</v>
      </c>
      <c r="R119" s="237">
        <v>14.8</v>
      </c>
      <c r="S119" s="237">
        <v>134</v>
      </c>
      <c r="T119" s="57">
        <f t="shared" si="7"/>
        <v>25</v>
      </c>
      <c r="U119" s="237">
        <v>137</v>
      </c>
      <c r="V119" s="58">
        <f t="shared" si="6"/>
        <v>3425</v>
      </c>
      <c r="W119" s="237">
        <v>1</v>
      </c>
      <c r="X119" s="55" t="s">
        <v>39</v>
      </c>
      <c r="Y119" s="55" t="s">
        <v>90</v>
      </c>
      <c r="Z119" s="55" t="s">
        <v>84</v>
      </c>
      <c r="AA119" s="55" t="s">
        <v>78</v>
      </c>
      <c r="AB119" s="55" t="s">
        <v>317</v>
      </c>
    </row>
    <row r="120" spans="1:28" x14ac:dyDescent="0.15">
      <c r="A120" s="55" t="s">
        <v>41</v>
      </c>
      <c r="B120" s="237" t="s">
        <v>315</v>
      </c>
      <c r="C120" s="152">
        <v>2018</v>
      </c>
      <c r="D120" s="56" t="s">
        <v>338</v>
      </c>
      <c r="E120" s="237" t="s">
        <v>159</v>
      </c>
      <c r="F120" s="237" t="s">
        <v>280</v>
      </c>
      <c r="G120" s="55" t="s">
        <v>42</v>
      </c>
      <c r="H120" s="55" t="s">
        <v>155</v>
      </c>
      <c r="I120" s="55" t="s">
        <v>153</v>
      </c>
      <c r="J120" s="55" t="s">
        <v>38</v>
      </c>
      <c r="K120" s="55" t="s">
        <v>154</v>
      </c>
      <c r="L120" s="237">
        <v>2</v>
      </c>
      <c r="N120" s="237">
        <v>1</v>
      </c>
      <c r="O120" s="237">
        <v>0.75</v>
      </c>
      <c r="P120" s="237">
        <v>0.8</v>
      </c>
      <c r="Q120" s="57">
        <f t="shared" si="8"/>
        <v>0.77500000000000002</v>
      </c>
      <c r="R120" s="237">
        <v>16</v>
      </c>
      <c r="S120" s="237">
        <v>130</v>
      </c>
      <c r="T120" s="57">
        <f t="shared" si="7"/>
        <v>25</v>
      </c>
      <c r="U120" s="237">
        <v>137</v>
      </c>
      <c r="V120" s="58">
        <f t="shared" si="6"/>
        <v>3425</v>
      </c>
      <c r="W120" s="237">
        <v>1</v>
      </c>
      <c r="X120" s="55" t="s">
        <v>39</v>
      </c>
      <c r="Y120" s="55" t="s">
        <v>90</v>
      </c>
      <c r="Z120" s="55" t="s">
        <v>84</v>
      </c>
      <c r="AA120" s="55" t="s">
        <v>78</v>
      </c>
      <c r="AB120" s="55" t="s">
        <v>317</v>
      </c>
    </row>
    <row r="121" spans="1:28" x14ac:dyDescent="0.15">
      <c r="A121" s="55" t="s">
        <v>41</v>
      </c>
      <c r="B121" s="237" t="s">
        <v>315</v>
      </c>
      <c r="C121" s="152">
        <v>2018</v>
      </c>
      <c r="D121" s="56" t="s">
        <v>338</v>
      </c>
      <c r="E121" s="237" t="s">
        <v>159</v>
      </c>
      <c r="F121" s="237" t="s">
        <v>280</v>
      </c>
      <c r="G121" s="55" t="s">
        <v>42</v>
      </c>
      <c r="H121" s="55" t="s">
        <v>155</v>
      </c>
      <c r="I121" s="55" t="s">
        <v>153</v>
      </c>
      <c r="J121" s="55" t="s">
        <v>38</v>
      </c>
      <c r="K121" s="55" t="s">
        <v>154</v>
      </c>
      <c r="L121" s="237">
        <v>3</v>
      </c>
      <c r="N121" s="237">
        <v>1</v>
      </c>
      <c r="O121" s="237">
        <v>0.6</v>
      </c>
      <c r="P121" s="237">
        <v>0.5</v>
      </c>
      <c r="Q121" s="57">
        <f t="shared" si="8"/>
        <v>0.55000000000000004</v>
      </c>
      <c r="R121" s="237">
        <v>17</v>
      </c>
      <c r="S121" s="237">
        <v>132</v>
      </c>
      <c r="T121" s="57">
        <f t="shared" si="7"/>
        <v>25</v>
      </c>
      <c r="U121" s="237">
        <v>137</v>
      </c>
      <c r="V121" s="58">
        <f t="shared" si="6"/>
        <v>3425</v>
      </c>
      <c r="W121" s="237">
        <v>1</v>
      </c>
      <c r="X121" s="55" t="s">
        <v>39</v>
      </c>
      <c r="Y121" s="55" t="s">
        <v>90</v>
      </c>
      <c r="Z121" s="55" t="s">
        <v>84</v>
      </c>
      <c r="AA121" s="55" t="s">
        <v>78</v>
      </c>
      <c r="AB121" s="55" t="s">
        <v>317</v>
      </c>
    </row>
    <row r="122" spans="1:28" x14ac:dyDescent="0.15">
      <c r="A122" s="55" t="s">
        <v>41</v>
      </c>
      <c r="B122" s="237" t="s">
        <v>315</v>
      </c>
      <c r="C122" s="152">
        <v>2018</v>
      </c>
      <c r="D122" s="56" t="s">
        <v>338</v>
      </c>
      <c r="E122" s="237" t="s">
        <v>159</v>
      </c>
      <c r="F122" s="237" t="s">
        <v>280</v>
      </c>
      <c r="G122" s="55" t="s">
        <v>42</v>
      </c>
      <c r="H122" s="55" t="s">
        <v>155</v>
      </c>
      <c r="I122" s="55" t="s">
        <v>153</v>
      </c>
      <c r="J122" s="55" t="s">
        <v>38</v>
      </c>
      <c r="K122" s="55" t="s">
        <v>154</v>
      </c>
      <c r="L122" s="237">
        <v>1</v>
      </c>
      <c r="N122" s="237">
        <v>4</v>
      </c>
      <c r="O122" s="237">
        <v>0.45</v>
      </c>
      <c r="P122" s="237">
        <v>0.5</v>
      </c>
      <c r="Q122" s="57">
        <f t="shared" si="8"/>
        <v>0.47499999999999998</v>
      </c>
      <c r="R122" s="237">
        <v>12.9</v>
      </c>
      <c r="S122" s="237">
        <v>120</v>
      </c>
      <c r="T122" s="57">
        <f t="shared" si="7"/>
        <v>30</v>
      </c>
      <c r="U122" s="237">
        <v>515</v>
      </c>
      <c r="V122" s="58">
        <f t="shared" si="6"/>
        <v>3862.5</v>
      </c>
      <c r="W122" s="237">
        <v>1</v>
      </c>
      <c r="X122" s="55" t="s">
        <v>39</v>
      </c>
      <c r="Y122" s="55" t="s">
        <v>90</v>
      </c>
      <c r="Z122" s="55" t="s">
        <v>84</v>
      </c>
      <c r="AA122" s="55" t="s">
        <v>78</v>
      </c>
      <c r="AB122" s="55" t="s">
        <v>317</v>
      </c>
    </row>
    <row r="123" spans="1:28" x14ac:dyDescent="0.15">
      <c r="A123" s="55" t="s">
        <v>41</v>
      </c>
      <c r="B123" s="237" t="s">
        <v>315</v>
      </c>
      <c r="C123" s="152">
        <v>2018</v>
      </c>
      <c r="D123" s="56" t="s">
        <v>338</v>
      </c>
      <c r="E123" s="237" t="s">
        <v>159</v>
      </c>
      <c r="F123" s="237" t="s">
        <v>280</v>
      </c>
      <c r="G123" s="55" t="s">
        <v>42</v>
      </c>
      <c r="H123" s="55" t="s">
        <v>155</v>
      </c>
      <c r="I123" s="55" t="s">
        <v>153</v>
      </c>
      <c r="J123" s="55" t="s">
        <v>38</v>
      </c>
      <c r="K123" s="55" t="s">
        <v>154</v>
      </c>
      <c r="L123" s="237">
        <v>2</v>
      </c>
      <c r="N123" s="237">
        <v>4</v>
      </c>
      <c r="O123" s="237">
        <v>0.65</v>
      </c>
      <c r="P123" s="237">
        <v>0.4</v>
      </c>
      <c r="Q123" s="57">
        <f t="shared" si="8"/>
        <v>0.52500000000000002</v>
      </c>
      <c r="R123" s="237">
        <v>13.8</v>
      </c>
      <c r="S123" s="237">
        <v>125</v>
      </c>
      <c r="T123" s="57">
        <f t="shared" si="7"/>
        <v>27</v>
      </c>
      <c r="U123" s="237">
        <v>515</v>
      </c>
      <c r="V123" s="58">
        <f t="shared" si="6"/>
        <v>3476.25</v>
      </c>
      <c r="W123" s="237">
        <v>1</v>
      </c>
      <c r="X123" s="55" t="s">
        <v>39</v>
      </c>
      <c r="Y123" s="55" t="s">
        <v>90</v>
      </c>
      <c r="Z123" s="55" t="s">
        <v>84</v>
      </c>
      <c r="AA123" s="55" t="s">
        <v>78</v>
      </c>
      <c r="AB123" s="55" t="s">
        <v>317</v>
      </c>
    </row>
    <row r="124" spans="1:28" x14ac:dyDescent="0.15">
      <c r="A124" s="55" t="s">
        <v>41</v>
      </c>
      <c r="B124" s="237" t="s">
        <v>315</v>
      </c>
      <c r="C124" s="152">
        <v>2018</v>
      </c>
      <c r="D124" s="56" t="s">
        <v>338</v>
      </c>
      <c r="E124" s="237" t="s">
        <v>159</v>
      </c>
      <c r="F124" s="237" t="s">
        <v>280</v>
      </c>
      <c r="G124" s="55" t="s">
        <v>42</v>
      </c>
      <c r="H124" s="55" t="s">
        <v>155</v>
      </c>
      <c r="I124" s="55" t="s">
        <v>153</v>
      </c>
      <c r="J124" s="55" t="s">
        <v>38</v>
      </c>
      <c r="K124" s="55" t="s">
        <v>154</v>
      </c>
      <c r="L124" s="237">
        <v>3</v>
      </c>
      <c r="N124" s="237">
        <v>4</v>
      </c>
      <c r="O124" s="237">
        <v>0.5</v>
      </c>
      <c r="P124" s="237">
        <v>0.5</v>
      </c>
      <c r="Q124" s="57">
        <f t="shared" si="8"/>
        <v>0.5</v>
      </c>
      <c r="R124" s="237">
        <v>14.1</v>
      </c>
      <c r="S124" s="237">
        <v>126</v>
      </c>
      <c r="T124" s="57">
        <f t="shared" si="7"/>
        <v>27</v>
      </c>
      <c r="U124" s="237">
        <v>515</v>
      </c>
      <c r="V124" s="58">
        <f t="shared" si="6"/>
        <v>3476.25</v>
      </c>
      <c r="W124" s="237">
        <v>1</v>
      </c>
      <c r="X124" s="55" t="s">
        <v>39</v>
      </c>
      <c r="Y124" s="55" t="s">
        <v>90</v>
      </c>
      <c r="Z124" s="55" t="s">
        <v>84</v>
      </c>
      <c r="AA124" s="55" t="s">
        <v>78</v>
      </c>
      <c r="AB124" s="55" t="s">
        <v>317</v>
      </c>
    </row>
    <row r="125" spans="1:28" x14ac:dyDescent="0.15">
      <c r="A125" s="55" t="s">
        <v>41</v>
      </c>
      <c r="B125" s="237" t="s">
        <v>315</v>
      </c>
      <c r="C125" s="152">
        <v>2018</v>
      </c>
      <c r="D125" s="56" t="s">
        <v>338</v>
      </c>
      <c r="E125" s="237" t="s">
        <v>271</v>
      </c>
      <c r="F125" s="237" t="s">
        <v>276</v>
      </c>
      <c r="G125" s="55" t="s">
        <v>42</v>
      </c>
      <c r="H125" s="55" t="s">
        <v>157</v>
      </c>
      <c r="I125" s="55" t="s">
        <v>153</v>
      </c>
      <c r="J125" s="55" t="s">
        <v>38</v>
      </c>
      <c r="K125" s="55" t="s">
        <v>154</v>
      </c>
      <c r="L125" s="237">
        <v>1</v>
      </c>
      <c r="N125" s="237">
        <v>1</v>
      </c>
      <c r="O125" s="237">
        <v>0.95</v>
      </c>
      <c r="P125" s="237">
        <v>1</v>
      </c>
      <c r="Q125" s="57">
        <f t="shared" si="8"/>
        <v>0.97499999999999998</v>
      </c>
      <c r="R125" s="237">
        <v>13.8</v>
      </c>
      <c r="S125" s="237">
        <v>130</v>
      </c>
      <c r="T125" s="57">
        <f t="shared" si="7"/>
        <v>25</v>
      </c>
      <c r="U125" s="237">
        <v>104</v>
      </c>
      <c r="V125" s="58">
        <f t="shared" si="6"/>
        <v>2600</v>
      </c>
      <c r="W125" s="237">
        <v>2</v>
      </c>
      <c r="X125" s="55" t="s">
        <v>46</v>
      </c>
      <c r="Y125" s="55" t="s">
        <v>90</v>
      </c>
      <c r="Z125" s="55" t="s">
        <v>84</v>
      </c>
      <c r="AA125" s="55" t="s">
        <v>78</v>
      </c>
      <c r="AB125" s="55" t="s">
        <v>317</v>
      </c>
    </row>
    <row r="126" spans="1:28" x14ac:dyDescent="0.15">
      <c r="A126" s="55" t="s">
        <v>41</v>
      </c>
      <c r="B126" s="237" t="s">
        <v>315</v>
      </c>
      <c r="C126" s="152">
        <v>2018</v>
      </c>
      <c r="D126" s="56" t="s">
        <v>338</v>
      </c>
      <c r="E126" s="237" t="s">
        <v>271</v>
      </c>
      <c r="F126" s="237" t="s">
        <v>276</v>
      </c>
      <c r="G126" s="55" t="s">
        <v>42</v>
      </c>
      <c r="H126" s="55" t="s">
        <v>157</v>
      </c>
      <c r="I126" s="55" t="s">
        <v>153</v>
      </c>
      <c r="J126" s="55" t="s">
        <v>38</v>
      </c>
      <c r="K126" s="55" t="s">
        <v>154</v>
      </c>
      <c r="L126" s="237">
        <v>2</v>
      </c>
      <c r="N126" s="237">
        <v>1</v>
      </c>
      <c r="O126" s="237">
        <v>0.8</v>
      </c>
      <c r="P126" s="237">
        <v>0.9</v>
      </c>
      <c r="Q126" s="57">
        <f t="shared" si="8"/>
        <v>0.85000000000000009</v>
      </c>
      <c r="R126" s="237">
        <v>15.9</v>
      </c>
      <c r="S126" s="237">
        <v>127</v>
      </c>
      <c r="T126" s="57">
        <f t="shared" si="7"/>
        <v>27</v>
      </c>
      <c r="U126" s="237">
        <v>104</v>
      </c>
      <c r="V126" s="58">
        <f t="shared" si="6"/>
        <v>2808</v>
      </c>
      <c r="W126" s="237">
        <v>2</v>
      </c>
      <c r="X126" s="55" t="s">
        <v>46</v>
      </c>
      <c r="Y126" s="55" t="s">
        <v>90</v>
      </c>
      <c r="Z126" s="55" t="s">
        <v>84</v>
      </c>
      <c r="AA126" s="55" t="s">
        <v>78</v>
      </c>
      <c r="AB126" s="55" t="s">
        <v>317</v>
      </c>
    </row>
    <row r="127" spans="1:28" x14ac:dyDescent="0.15">
      <c r="A127" s="55" t="s">
        <v>41</v>
      </c>
      <c r="B127" s="237" t="s">
        <v>315</v>
      </c>
      <c r="C127" s="152">
        <v>2018</v>
      </c>
      <c r="D127" s="56" t="s">
        <v>338</v>
      </c>
      <c r="E127" s="237" t="s">
        <v>271</v>
      </c>
      <c r="F127" s="237" t="s">
        <v>276</v>
      </c>
      <c r="G127" s="55" t="s">
        <v>42</v>
      </c>
      <c r="H127" s="55" t="s">
        <v>157</v>
      </c>
      <c r="I127" s="55" t="s">
        <v>153</v>
      </c>
      <c r="J127" s="55" t="s">
        <v>38</v>
      </c>
      <c r="K127" s="55" t="s">
        <v>154</v>
      </c>
      <c r="L127" s="237">
        <v>3</v>
      </c>
      <c r="N127" s="237">
        <v>1</v>
      </c>
      <c r="O127" s="237">
        <v>0.65</v>
      </c>
      <c r="P127" s="237">
        <v>0.7</v>
      </c>
      <c r="Q127" s="57">
        <f t="shared" si="8"/>
        <v>0.67500000000000004</v>
      </c>
      <c r="R127" s="237">
        <v>16.100000000000001</v>
      </c>
      <c r="S127" s="237">
        <v>123</v>
      </c>
      <c r="T127" s="57">
        <f t="shared" si="7"/>
        <v>27</v>
      </c>
      <c r="U127" s="237">
        <v>104</v>
      </c>
      <c r="V127" s="58">
        <f t="shared" si="6"/>
        <v>2808</v>
      </c>
      <c r="W127" s="237">
        <v>2</v>
      </c>
      <c r="X127" s="55" t="s">
        <v>46</v>
      </c>
      <c r="Y127" s="55" t="s">
        <v>90</v>
      </c>
      <c r="Z127" s="55" t="s">
        <v>84</v>
      </c>
      <c r="AA127" s="55" t="s">
        <v>78</v>
      </c>
      <c r="AB127" s="55" t="s">
        <v>317</v>
      </c>
    </row>
    <row r="128" spans="1:28" x14ac:dyDescent="0.15">
      <c r="A128" s="55" t="s">
        <v>41</v>
      </c>
      <c r="B128" s="237" t="s">
        <v>315</v>
      </c>
      <c r="C128" s="152">
        <v>2018</v>
      </c>
      <c r="D128" s="56" t="s">
        <v>338</v>
      </c>
      <c r="E128" s="237" t="s">
        <v>271</v>
      </c>
      <c r="F128" s="237" t="s">
        <v>276</v>
      </c>
      <c r="G128" s="55" t="s">
        <v>42</v>
      </c>
      <c r="H128" s="55" t="s">
        <v>155</v>
      </c>
      <c r="I128" s="55" t="s">
        <v>153</v>
      </c>
      <c r="J128" s="55" t="s">
        <v>38</v>
      </c>
      <c r="K128" s="55" t="s">
        <v>154</v>
      </c>
      <c r="L128" s="237">
        <v>1</v>
      </c>
      <c r="N128" s="237">
        <v>1</v>
      </c>
      <c r="O128" s="55">
        <v>0.25</v>
      </c>
      <c r="P128" s="55">
        <v>0.35</v>
      </c>
      <c r="Q128" s="57">
        <f t="shared" si="8"/>
        <v>0.3</v>
      </c>
      <c r="R128" s="237">
        <v>12.8</v>
      </c>
      <c r="S128" s="55">
        <v>121</v>
      </c>
      <c r="T128" s="57">
        <f t="shared" si="7"/>
        <v>27</v>
      </c>
      <c r="U128" s="237">
        <v>104</v>
      </c>
      <c r="V128" s="58">
        <f t="shared" si="6"/>
        <v>2808</v>
      </c>
      <c r="W128" s="237">
        <v>2</v>
      </c>
      <c r="X128" s="55" t="s">
        <v>46</v>
      </c>
      <c r="Y128" s="55" t="s">
        <v>90</v>
      </c>
      <c r="Z128" s="55" t="s">
        <v>84</v>
      </c>
      <c r="AA128" s="55" t="s">
        <v>78</v>
      </c>
      <c r="AB128" s="55" t="s">
        <v>317</v>
      </c>
    </row>
    <row r="129" spans="1:28" x14ac:dyDescent="0.15">
      <c r="A129" s="55" t="s">
        <v>41</v>
      </c>
      <c r="B129" s="237" t="s">
        <v>315</v>
      </c>
      <c r="C129" s="152">
        <v>2018</v>
      </c>
      <c r="D129" s="56" t="s">
        <v>338</v>
      </c>
      <c r="E129" s="237" t="s">
        <v>271</v>
      </c>
      <c r="F129" s="237" t="s">
        <v>276</v>
      </c>
      <c r="G129" s="55" t="s">
        <v>42</v>
      </c>
      <c r="H129" s="55" t="s">
        <v>155</v>
      </c>
      <c r="I129" s="55" t="s">
        <v>153</v>
      </c>
      <c r="J129" s="55" t="s">
        <v>38</v>
      </c>
      <c r="K129" s="55" t="s">
        <v>154</v>
      </c>
      <c r="L129" s="237">
        <v>2</v>
      </c>
      <c r="N129" s="237">
        <v>1</v>
      </c>
      <c r="O129" s="55">
        <v>0.35</v>
      </c>
      <c r="P129" s="55">
        <v>0.3</v>
      </c>
      <c r="Q129" s="57">
        <f t="shared" si="8"/>
        <v>0.32499999999999996</v>
      </c>
      <c r="R129" s="237">
        <v>16.2</v>
      </c>
      <c r="S129" s="55">
        <v>123</v>
      </c>
      <c r="T129" s="57">
        <f t="shared" si="7"/>
        <v>27</v>
      </c>
      <c r="U129" s="237">
        <v>104</v>
      </c>
      <c r="V129" s="58">
        <f t="shared" si="6"/>
        <v>2808</v>
      </c>
      <c r="W129" s="237">
        <v>2</v>
      </c>
      <c r="X129" s="55" t="s">
        <v>46</v>
      </c>
      <c r="Y129" s="55" t="s">
        <v>90</v>
      </c>
      <c r="Z129" s="55" t="s">
        <v>84</v>
      </c>
      <c r="AA129" s="55" t="s">
        <v>78</v>
      </c>
      <c r="AB129" s="55" t="s">
        <v>317</v>
      </c>
    </row>
    <row r="130" spans="1:28" x14ac:dyDescent="0.15">
      <c r="A130" s="55" t="s">
        <v>41</v>
      </c>
      <c r="B130" s="237" t="s">
        <v>315</v>
      </c>
      <c r="C130" s="152">
        <v>2018</v>
      </c>
      <c r="D130" s="56" t="s">
        <v>338</v>
      </c>
      <c r="E130" s="237" t="s">
        <v>271</v>
      </c>
      <c r="F130" s="237" t="s">
        <v>276</v>
      </c>
      <c r="G130" s="55" t="s">
        <v>42</v>
      </c>
      <c r="H130" s="55" t="s">
        <v>155</v>
      </c>
      <c r="I130" s="55" t="s">
        <v>153</v>
      </c>
      <c r="J130" s="55" t="s">
        <v>38</v>
      </c>
      <c r="K130" s="55" t="s">
        <v>154</v>
      </c>
      <c r="L130" s="237">
        <v>3</v>
      </c>
      <c r="N130" s="237">
        <v>1</v>
      </c>
      <c r="O130" s="55">
        <v>0.3</v>
      </c>
      <c r="P130" s="55">
        <v>0.4</v>
      </c>
      <c r="Q130" s="57">
        <f t="shared" si="8"/>
        <v>0.35</v>
      </c>
      <c r="R130" s="237">
        <v>14.7</v>
      </c>
      <c r="S130" s="55">
        <v>120</v>
      </c>
      <c r="T130" s="57">
        <f t="shared" si="7"/>
        <v>30</v>
      </c>
      <c r="U130" s="237">
        <v>104</v>
      </c>
      <c r="V130" s="58">
        <f t="shared" ref="V130:V182" si="9">IF(OR(N130="",U130="",T130=""),"",U130/N130*T130)</f>
        <v>3120</v>
      </c>
      <c r="W130" s="237">
        <v>2</v>
      </c>
      <c r="X130" s="55" t="s">
        <v>46</v>
      </c>
      <c r="Y130" s="55" t="s">
        <v>90</v>
      </c>
      <c r="Z130" s="55" t="s">
        <v>84</v>
      </c>
      <c r="AA130" s="55" t="s">
        <v>78</v>
      </c>
      <c r="AB130" s="55" t="s">
        <v>494</v>
      </c>
    </row>
  </sheetData>
  <autoFilter ref="A1:BA130"/>
  <dataConsolidate/>
  <phoneticPr fontId="3"/>
  <dataValidations count="13">
    <dataValidation operator="equal" allowBlank="1" showInputMessage="1" showErrorMessage="1" sqref="B2:B130"/>
    <dataValidation type="decimal" allowBlank="1" showInputMessage="1" showErrorMessage="1" error="硬度を正しく入力して下さい。" sqref="O2:P313">
      <formula1>0</formula1>
      <formula2>7</formula2>
    </dataValidation>
    <dataValidation type="list" allowBlank="1" showInputMessage="1" showErrorMessage="1" sqref="Y1:AA1048576">
      <formula1>$AV$2:$AV$21</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30">
      <formula1>$AR$2:$AR$23</formula1>
    </dataValidation>
    <dataValidation type="list" allowBlank="1" showInputMessage="1" showErrorMessage="1" sqref="J2:J313">
      <formula1>$AP$2:$AP$19</formula1>
    </dataValidation>
    <dataValidation type="list" allowBlank="1" showInputMessage="1" showErrorMessage="1" sqref="A2:A313">
      <formula1>$AE$2:$AE$16</formula1>
    </dataValidation>
    <dataValidation type="list" allowBlank="1" showInputMessage="1" showErrorMessage="1" sqref="X2:X313">
      <formula1>$AT$2:$AT$3</formula1>
    </dataValidation>
    <dataValidation type="list" allowBlank="1" showInputMessage="1" showErrorMessage="1" sqref="I2:I313">
      <formula1>$AN$5:$AN$6</formula1>
    </dataValidation>
    <dataValidation type="list" allowBlank="1" showInputMessage="1" showErrorMessage="1" sqref="G2:G313">
      <formula1>$AJ$2:$AJ$4</formula1>
    </dataValidation>
    <dataValidation type="list" allowBlank="1" showInputMessage="1" showErrorMessage="1" sqref="H2:H313">
      <formula1>$AL$2:$AL$8</formula1>
    </dataValidation>
    <dataValidation type="list" allowBlank="1" showInputMessage="1" showErrorMessage="1" sqref="K131:K313">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topLeftCell="A22" zoomScale="85" zoomScaleNormal="85" workbookViewId="0">
      <selection activeCell="AB2" sqref="AB2:AB58"/>
    </sheetView>
  </sheetViews>
  <sheetFormatPr defaultRowHeight="13.5" x14ac:dyDescent="0.15"/>
  <cols>
    <col min="1" max="1" width="9" style="208"/>
    <col min="2" max="2" width="9" style="216"/>
    <col min="3" max="3" width="9" style="208"/>
    <col min="4" max="4" width="10.5" style="208" bestFit="1" customWidth="1"/>
    <col min="5" max="13" width="9" style="208"/>
    <col min="14" max="14" width="9.5" style="208" bestFit="1" customWidth="1"/>
    <col min="15" max="16" width="9" style="208"/>
    <col min="17" max="17" width="9" style="217"/>
    <col min="18" max="19" width="9" style="208"/>
    <col min="20" max="20" width="9" style="217"/>
    <col min="21" max="21" width="9" style="208"/>
    <col min="22" max="22" width="9" style="217"/>
    <col min="23" max="27" width="9" style="208"/>
    <col min="28" max="28" width="9" style="216"/>
    <col min="29" max="32" width="9" style="208"/>
    <col min="33" max="33" width="15.875" style="208" bestFit="1" customWidth="1"/>
    <col min="34" max="34" width="11.375" style="208" bestFit="1" customWidth="1"/>
    <col min="35" max="259" width="9" style="208"/>
    <col min="260" max="260" width="10.5" style="208" bestFit="1" customWidth="1"/>
    <col min="261" max="269" width="9" style="208"/>
    <col min="270" max="270" width="9.5" style="208" bestFit="1" customWidth="1"/>
    <col min="271" max="288" width="9" style="208"/>
    <col min="289" max="289" width="15.875" style="208" bestFit="1" customWidth="1"/>
    <col min="290" max="290" width="11.375" style="208" bestFit="1" customWidth="1"/>
    <col min="291" max="515" width="9" style="208"/>
    <col min="516" max="516" width="10.5" style="208" bestFit="1" customWidth="1"/>
    <col min="517" max="525" width="9" style="208"/>
    <col min="526" max="526" width="9.5" style="208" bestFit="1" customWidth="1"/>
    <col min="527" max="544" width="9" style="208"/>
    <col min="545" max="545" width="15.875" style="208" bestFit="1" customWidth="1"/>
    <col min="546" max="546" width="11.375" style="208" bestFit="1" customWidth="1"/>
    <col min="547" max="771" width="9" style="208"/>
    <col min="772" max="772" width="10.5" style="208" bestFit="1" customWidth="1"/>
    <col min="773" max="781" width="9" style="208"/>
    <col min="782" max="782" width="9.5" style="208" bestFit="1" customWidth="1"/>
    <col min="783" max="800" width="9" style="208"/>
    <col min="801" max="801" width="15.875" style="208" bestFit="1" customWidth="1"/>
    <col min="802" max="802" width="11.375" style="208" bestFit="1" customWidth="1"/>
    <col min="803" max="1027" width="9" style="208"/>
    <col min="1028" max="1028" width="10.5" style="208" bestFit="1" customWidth="1"/>
    <col min="1029" max="1037" width="9" style="208"/>
    <col min="1038" max="1038" width="9.5" style="208" bestFit="1" customWidth="1"/>
    <col min="1039" max="1056" width="9" style="208"/>
    <col min="1057" max="1057" width="15.875" style="208" bestFit="1" customWidth="1"/>
    <col min="1058" max="1058" width="11.375" style="208" bestFit="1" customWidth="1"/>
    <col min="1059" max="1283" width="9" style="208"/>
    <col min="1284" max="1284" width="10.5" style="208" bestFit="1" customWidth="1"/>
    <col min="1285" max="1293" width="9" style="208"/>
    <col min="1294" max="1294" width="9.5" style="208" bestFit="1" customWidth="1"/>
    <col min="1295" max="1312" width="9" style="208"/>
    <col min="1313" max="1313" width="15.875" style="208" bestFit="1" customWidth="1"/>
    <col min="1314" max="1314" width="11.375" style="208" bestFit="1" customWidth="1"/>
    <col min="1315" max="1539" width="9" style="208"/>
    <col min="1540" max="1540" width="10.5" style="208" bestFit="1" customWidth="1"/>
    <col min="1541" max="1549" width="9" style="208"/>
    <col min="1550" max="1550" width="9.5" style="208" bestFit="1" customWidth="1"/>
    <col min="1551" max="1568" width="9" style="208"/>
    <col min="1569" max="1569" width="15.875" style="208" bestFit="1" customWidth="1"/>
    <col min="1570" max="1570" width="11.375" style="208" bestFit="1" customWidth="1"/>
    <col min="1571" max="1795" width="9" style="208"/>
    <col min="1796" max="1796" width="10.5" style="208" bestFit="1" customWidth="1"/>
    <col min="1797" max="1805" width="9" style="208"/>
    <col min="1806" max="1806" width="9.5" style="208" bestFit="1" customWidth="1"/>
    <col min="1807" max="1824" width="9" style="208"/>
    <col min="1825" max="1825" width="15.875" style="208" bestFit="1" customWidth="1"/>
    <col min="1826" max="1826" width="11.375" style="208" bestFit="1" customWidth="1"/>
    <col min="1827" max="2051" width="9" style="208"/>
    <col min="2052" max="2052" width="10.5" style="208" bestFit="1" customWidth="1"/>
    <col min="2053" max="2061" width="9" style="208"/>
    <col min="2062" max="2062" width="9.5" style="208" bestFit="1" customWidth="1"/>
    <col min="2063" max="2080" width="9" style="208"/>
    <col min="2081" max="2081" width="15.875" style="208" bestFit="1" customWidth="1"/>
    <col min="2082" max="2082" width="11.375" style="208" bestFit="1" customWidth="1"/>
    <col min="2083" max="2307" width="9" style="208"/>
    <col min="2308" max="2308" width="10.5" style="208" bestFit="1" customWidth="1"/>
    <col min="2309" max="2317" width="9" style="208"/>
    <col min="2318" max="2318" width="9.5" style="208" bestFit="1" customWidth="1"/>
    <col min="2319" max="2336" width="9" style="208"/>
    <col min="2337" max="2337" width="15.875" style="208" bestFit="1" customWidth="1"/>
    <col min="2338" max="2338" width="11.375" style="208" bestFit="1" customWidth="1"/>
    <col min="2339" max="2563" width="9" style="208"/>
    <col min="2564" max="2564" width="10.5" style="208" bestFit="1" customWidth="1"/>
    <col min="2565" max="2573" width="9" style="208"/>
    <col min="2574" max="2574" width="9.5" style="208" bestFit="1" customWidth="1"/>
    <col min="2575" max="2592" width="9" style="208"/>
    <col min="2593" max="2593" width="15.875" style="208" bestFit="1" customWidth="1"/>
    <col min="2594" max="2594" width="11.375" style="208" bestFit="1" customWidth="1"/>
    <col min="2595" max="2819" width="9" style="208"/>
    <col min="2820" max="2820" width="10.5" style="208" bestFit="1" customWidth="1"/>
    <col min="2821" max="2829" width="9" style="208"/>
    <col min="2830" max="2830" width="9.5" style="208" bestFit="1" customWidth="1"/>
    <col min="2831" max="2848" width="9" style="208"/>
    <col min="2849" max="2849" width="15.875" style="208" bestFit="1" customWidth="1"/>
    <col min="2850" max="2850" width="11.375" style="208" bestFit="1" customWidth="1"/>
    <col min="2851" max="3075" width="9" style="208"/>
    <col min="3076" max="3076" width="10.5" style="208" bestFit="1" customWidth="1"/>
    <col min="3077" max="3085" width="9" style="208"/>
    <col min="3086" max="3086" width="9.5" style="208" bestFit="1" customWidth="1"/>
    <col min="3087" max="3104" width="9" style="208"/>
    <col min="3105" max="3105" width="15.875" style="208" bestFit="1" customWidth="1"/>
    <col min="3106" max="3106" width="11.375" style="208" bestFit="1" customWidth="1"/>
    <col min="3107" max="3331" width="9" style="208"/>
    <col min="3332" max="3332" width="10.5" style="208" bestFit="1" customWidth="1"/>
    <col min="3333" max="3341" width="9" style="208"/>
    <col min="3342" max="3342" width="9.5" style="208" bestFit="1" customWidth="1"/>
    <col min="3343" max="3360" width="9" style="208"/>
    <col min="3361" max="3361" width="15.875" style="208" bestFit="1" customWidth="1"/>
    <col min="3362" max="3362" width="11.375" style="208" bestFit="1" customWidth="1"/>
    <col min="3363" max="3587" width="9" style="208"/>
    <col min="3588" max="3588" width="10.5" style="208" bestFit="1" customWidth="1"/>
    <col min="3589" max="3597" width="9" style="208"/>
    <col min="3598" max="3598" width="9.5" style="208" bestFit="1" customWidth="1"/>
    <col min="3599" max="3616" width="9" style="208"/>
    <col min="3617" max="3617" width="15.875" style="208" bestFit="1" customWidth="1"/>
    <col min="3618" max="3618" width="11.375" style="208" bestFit="1" customWidth="1"/>
    <col min="3619" max="3843" width="9" style="208"/>
    <col min="3844" max="3844" width="10.5" style="208" bestFit="1" customWidth="1"/>
    <col min="3845" max="3853" width="9" style="208"/>
    <col min="3854" max="3854" width="9.5" style="208" bestFit="1" customWidth="1"/>
    <col min="3855" max="3872" width="9" style="208"/>
    <col min="3873" max="3873" width="15.875" style="208" bestFit="1" customWidth="1"/>
    <col min="3874" max="3874" width="11.375" style="208" bestFit="1" customWidth="1"/>
    <col min="3875" max="4099" width="9" style="208"/>
    <col min="4100" max="4100" width="10.5" style="208" bestFit="1" customWidth="1"/>
    <col min="4101" max="4109" width="9" style="208"/>
    <col min="4110" max="4110" width="9.5" style="208" bestFit="1" customWidth="1"/>
    <col min="4111" max="4128" width="9" style="208"/>
    <col min="4129" max="4129" width="15.875" style="208" bestFit="1" customWidth="1"/>
    <col min="4130" max="4130" width="11.375" style="208" bestFit="1" customWidth="1"/>
    <col min="4131" max="4355" width="9" style="208"/>
    <col min="4356" max="4356" width="10.5" style="208" bestFit="1" customWidth="1"/>
    <col min="4357" max="4365" width="9" style="208"/>
    <col min="4366" max="4366" width="9.5" style="208" bestFit="1" customWidth="1"/>
    <col min="4367" max="4384" width="9" style="208"/>
    <col min="4385" max="4385" width="15.875" style="208" bestFit="1" customWidth="1"/>
    <col min="4386" max="4386" width="11.375" style="208" bestFit="1" customWidth="1"/>
    <col min="4387" max="4611" width="9" style="208"/>
    <col min="4612" max="4612" width="10.5" style="208" bestFit="1" customWidth="1"/>
    <col min="4613" max="4621" width="9" style="208"/>
    <col min="4622" max="4622" width="9.5" style="208" bestFit="1" customWidth="1"/>
    <col min="4623" max="4640" width="9" style="208"/>
    <col min="4641" max="4641" width="15.875" style="208" bestFit="1" customWidth="1"/>
    <col min="4642" max="4642" width="11.375" style="208" bestFit="1" customWidth="1"/>
    <col min="4643" max="4867" width="9" style="208"/>
    <col min="4868" max="4868" width="10.5" style="208" bestFit="1" customWidth="1"/>
    <col min="4869" max="4877" width="9" style="208"/>
    <col min="4878" max="4878" width="9.5" style="208" bestFit="1" customWidth="1"/>
    <col min="4879" max="4896" width="9" style="208"/>
    <col min="4897" max="4897" width="15.875" style="208" bestFit="1" customWidth="1"/>
    <col min="4898" max="4898" width="11.375" style="208" bestFit="1" customWidth="1"/>
    <col min="4899" max="5123" width="9" style="208"/>
    <col min="5124" max="5124" width="10.5" style="208" bestFit="1" customWidth="1"/>
    <col min="5125" max="5133" width="9" style="208"/>
    <col min="5134" max="5134" width="9.5" style="208" bestFit="1" customWidth="1"/>
    <col min="5135" max="5152" width="9" style="208"/>
    <col min="5153" max="5153" width="15.875" style="208" bestFit="1" customWidth="1"/>
    <col min="5154" max="5154" width="11.375" style="208" bestFit="1" customWidth="1"/>
    <col min="5155" max="5379" width="9" style="208"/>
    <col min="5380" max="5380" width="10.5" style="208" bestFit="1" customWidth="1"/>
    <col min="5381" max="5389" width="9" style="208"/>
    <col min="5390" max="5390" width="9.5" style="208" bestFit="1" customWidth="1"/>
    <col min="5391" max="5408" width="9" style="208"/>
    <col min="5409" max="5409" width="15.875" style="208" bestFit="1" customWidth="1"/>
    <col min="5410" max="5410" width="11.375" style="208" bestFit="1" customWidth="1"/>
    <col min="5411" max="5635" width="9" style="208"/>
    <col min="5636" max="5636" width="10.5" style="208" bestFit="1" customWidth="1"/>
    <col min="5637" max="5645" width="9" style="208"/>
    <col min="5646" max="5646" width="9.5" style="208" bestFit="1" customWidth="1"/>
    <col min="5647" max="5664" width="9" style="208"/>
    <col min="5665" max="5665" width="15.875" style="208" bestFit="1" customWidth="1"/>
    <col min="5666" max="5666" width="11.375" style="208" bestFit="1" customWidth="1"/>
    <col min="5667" max="5891" width="9" style="208"/>
    <col min="5892" max="5892" width="10.5" style="208" bestFit="1" customWidth="1"/>
    <col min="5893" max="5901" width="9" style="208"/>
    <col min="5902" max="5902" width="9.5" style="208" bestFit="1" customWidth="1"/>
    <col min="5903" max="5920" width="9" style="208"/>
    <col min="5921" max="5921" width="15.875" style="208" bestFit="1" customWidth="1"/>
    <col min="5922" max="5922" width="11.375" style="208" bestFit="1" customWidth="1"/>
    <col min="5923" max="6147" width="9" style="208"/>
    <col min="6148" max="6148" width="10.5" style="208" bestFit="1" customWidth="1"/>
    <col min="6149" max="6157" width="9" style="208"/>
    <col min="6158" max="6158" width="9.5" style="208" bestFit="1" customWidth="1"/>
    <col min="6159" max="6176" width="9" style="208"/>
    <col min="6177" max="6177" width="15.875" style="208" bestFit="1" customWidth="1"/>
    <col min="6178" max="6178" width="11.375" style="208" bestFit="1" customWidth="1"/>
    <col min="6179" max="6403" width="9" style="208"/>
    <col min="6404" max="6404" width="10.5" style="208" bestFit="1" customWidth="1"/>
    <col min="6405" max="6413" width="9" style="208"/>
    <col min="6414" max="6414" width="9.5" style="208" bestFit="1" customWidth="1"/>
    <col min="6415" max="6432" width="9" style="208"/>
    <col min="6433" max="6433" width="15.875" style="208" bestFit="1" customWidth="1"/>
    <col min="6434" max="6434" width="11.375" style="208" bestFit="1" customWidth="1"/>
    <col min="6435" max="6659" width="9" style="208"/>
    <col min="6660" max="6660" width="10.5" style="208" bestFit="1" customWidth="1"/>
    <col min="6661" max="6669" width="9" style="208"/>
    <col min="6670" max="6670" width="9.5" style="208" bestFit="1" customWidth="1"/>
    <col min="6671" max="6688" width="9" style="208"/>
    <col min="6689" max="6689" width="15.875" style="208" bestFit="1" customWidth="1"/>
    <col min="6690" max="6690" width="11.375" style="208" bestFit="1" customWidth="1"/>
    <col min="6691" max="6915" width="9" style="208"/>
    <col min="6916" max="6916" width="10.5" style="208" bestFit="1" customWidth="1"/>
    <col min="6917" max="6925" width="9" style="208"/>
    <col min="6926" max="6926" width="9.5" style="208" bestFit="1" customWidth="1"/>
    <col min="6927" max="6944" width="9" style="208"/>
    <col min="6945" max="6945" width="15.875" style="208" bestFit="1" customWidth="1"/>
    <col min="6946" max="6946" width="11.375" style="208" bestFit="1" customWidth="1"/>
    <col min="6947" max="7171" width="9" style="208"/>
    <col min="7172" max="7172" width="10.5" style="208" bestFit="1" customWidth="1"/>
    <col min="7173" max="7181" width="9" style="208"/>
    <col min="7182" max="7182" width="9.5" style="208" bestFit="1" customWidth="1"/>
    <col min="7183" max="7200" width="9" style="208"/>
    <col min="7201" max="7201" width="15.875" style="208" bestFit="1" customWidth="1"/>
    <col min="7202" max="7202" width="11.375" style="208" bestFit="1" customWidth="1"/>
    <col min="7203" max="7427" width="9" style="208"/>
    <col min="7428" max="7428" width="10.5" style="208" bestFit="1" customWidth="1"/>
    <col min="7429" max="7437" width="9" style="208"/>
    <col min="7438" max="7438" width="9.5" style="208" bestFit="1" customWidth="1"/>
    <col min="7439" max="7456" width="9" style="208"/>
    <col min="7457" max="7457" width="15.875" style="208" bestFit="1" customWidth="1"/>
    <col min="7458" max="7458" width="11.375" style="208" bestFit="1" customWidth="1"/>
    <col min="7459" max="7683" width="9" style="208"/>
    <col min="7684" max="7684" width="10.5" style="208" bestFit="1" customWidth="1"/>
    <col min="7685" max="7693" width="9" style="208"/>
    <col min="7694" max="7694" width="9.5" style="208" bestFit="1" customWidth="1"/>
    <col min="7695" max="7712" width="9" style="208"/>
    <col min="7713" max="7713" width="15.875" style="208" bestFit="1" customWidth="1"/>
    <col min="7714" max="7714" width="11.375" style="208" bestFit="1" customWidth="1"/>
    <col min="7715" max="7939" width="9" style="208"/>
    <col min="7940" max="7940" width="10.5" style="208" bestFit="1" customWidth="1"/>
    <col min="7941" max="7949" width="9" style="208"/>
    <col min="7950" max="7950" width="9.5" style="208" bestFit="1" customWidth="1"/>
    <col min="7951" max="7968" width="9" style="208"/>
    <col min="7969" max="7969" width="15.875" style="208" bestFit="1" customWidth="1"/>
    <col min="7970" max="7970" width="11.375" style="208" bestFit="1" customWidth="1"/>
    <col min="7971" max="8195" width="9" style="208"/>
    <col min="8196" max="8196" width="10.5" style="208" bestFit="1" customWidth="1"/>
    <col min="8197" max="8205" width="9" style="208"/>
    <col min="8206" max="8206" width="9.5" style="208" bestFit="1" customWidth="1"/>
    <col min="8207" max="8224" width="9" style="208"/>
    <col min="8225" max="8225" width="15.875" style="208" bestFit="1" customWidth="1"/>
    <col min="8226" max="8226" width="11.375" style="208" bestFit="1" customWidth="1"/>
    <col min="8227" max="8451" width="9" style="208"/>
    <col min="8452" max="8452" width="10.5" style="208" bestFit="1" customWidth="1"/>
    <col min="8453" max="8461" width="9" style="208"/>
    <col min="8462" max="8462" width="9.5" style="208" bestFit="1" customWidth="1"/>
    <col min="8463" max="8480" width="9" style="208"/>
    <col min="8481" max="8481" width="15.875" style="208" bestFit="1" customWidth="1"/>
    <col min="8482" max="8482" width="11.375" style="208" bestFit="1" customWidth="1"/>
    <col min="8483" max="8707" width="9" style="208"/>
    <col min="8708" max="8708" width="10.5" style="208" bestFit="1" customWidth="1"/>
    <col min="8709" max="8717" width="9" style="208"/>
    <col min="8718" max="8718" width="9.5" style="208" bestFit="1" customWidth="1"/>
    <col min="8719" max="8736" width="9" style="208"/>
    <col min="8737" max="8737" width="15.875" style="208" bestFit="1" customWidth="1"/>
    <col min="8738" max="8738" width="11.375" style="208" bestFit="1" customWidth="1"/>
    <col min="8739" max="8963" width="9" style="208"/>
    <col min="8964" max="8964" width="10.5" style="208" bestFit="1" customWidth="1"/>
    <col min="8965" max="8973" width="9" style="208"/>
    <col min="8974" max="8974" width="9.5" style="208" bestFit="1" customWidth="1"/>
    <col min="8975" max="8992" width="9" style="208"/>
    <col min="8993" max="8993" width="15.875" style="208" bestFit="1" customWidth="1"/>
    <col min="8994" max="8994" width="11.375" style="208" bestFit="1" customWidth="1"/>
    <col min="8995" max="9219" width="9" style="208"/>
    <col min="9220" max="9220" width="10.5" style="208" bestFit="1" customWidth="1"/>
    <col min="9221" max="9229" width="9" style="208"/>
    <col min="9230" max="9230" width="9.5" style="208" bestFit="1" customWidth="1"/>
    <col min="9231" max="9248" width="9" style="208"/>
    <col min="9249" max="9249" width="15.875" style="208" bestFit="1" customWidth="1"/>
    <col min="9250" max="9250" width="11.375" style="208" bestFit="1" customWidth="1"/>
    <col min="9251" max="9475" width="9" style="208"/>
    <col min="9476" max="9476" width="10.5" style="208" bestFit="1" customWidth="1"/>
    <col min="9477" max="9485" width="9" style="208"/>
    <col min="9486" max="9486" width="9.5" style="208" bestFit="1" customWidth="1"/>
    <col min="9487" max="9504" width="9" style="208"/>
    <col min="9505" max="9505" width="15.875" style="208" bestFit="1" customWidth="1"/>
    <col min="9506" max="9506" width="11.375" style="208" bestFit="1" customWidth="1"/>
    <col min="9507" max="9731" width="9" style="208"/>
    <col min="9732" max="9732" width="10.5" style="208" bestFit="1" customWidth="1"/>
    <col min="9733" max="9741" width="9" style="208"/>
    <col min="9742" max="9742" width="9.5" style="208" bestFit="1" customWidth="1"/>
    <col min="9743" max="9760" width="9" style="208"/>
    <col min="9761" max="9761" width="15.875" style="208" bestFit="1" customWidth="1"/>
    <col min="9762" max="9762" width="11.375" style="208" bestFit="1" customWidth="1"/>
    <col min="9763" max="9987" width="9" style="208"/>
    <col min="9988" max="9988" width="10.5" style="208" bestFit="1" customWidth="1"/>
    <col min="9989" max="9997" width="9" style="208"/>
    <col min="9998" max="9998" width="9.5" style="208" bestFit="1" customWidth="1"/>
    <col min="9999" max="10016" width="9" style="208"/>
    <col min="10017" max="10017" width="15.875" style="208" bestFit="1" customWidth="1"/>
    <col min="10018" max="10018" width="11.375" style="208" bestFit="1" customWidth="1"/>
    <col min="10019" max="10243" width="9" style="208"/>
    <col min="10244" max="10244" width="10.5" style="208" bestFit="1" customWidth="1"/>
    <col min="10245" max="10253" width="9" style="208"/>
    <col min="10254" max="10254" width="9.5" style="208" bestFit="1" customWidth="1"/>
    <col min="10255" max="10272" width="9" style="208"/>
    <col min="10273" max="10273" width="15.875" style="208" bestFit="1" customWidth="1"/>
    <col min="10274" max="10274" width="11.375" style="208" bestFit="1" customWidth="1"/>
    <col min="10275" max="10499" width="9" style="208"/>
    <col min="10500" max="10500" width="10.5" style="208" bestFit="1" customWidth="1"/>
    <col min="10501" max="10509" width="9" style="208"/>
    <col min="10510" max="10510" width="9.5" style="208" bestFit="1" customWidth="1"/>
    <col min="10511" max="10528" width="9" style="208"/>
    <col min="10529" max="10529" width="15.875" style="208" bestFit="1" customWidth="1"/>
    <col min="10530" max="10530" width="11.375" style="208" bestFit="1" customWidth="1"/>
    <col min="10531" max="10755" width="9" style="208"/>
    <col min="10756" max="10756" width="10.5" style="208" bestFit="1" customWidth="1"/>
    <col min="10757" max="10765" width="9" style="208"/>
    <col min="10766" max="10766" width="9.5" style="208" bestFit="1" customWidth="1"/>
    <col min="10767" max="10784" width="9" style="208"/>
    <col min="10785" max="10785" width="15.875" style="208" bestFit="1" customWidth="1"/>
    <col min="10786" max="10786" width="11.375" style="208" bestFit="1" customWidth="1"/>
    <col min="10787" max="11011" width="9" style="208"/>
    <col min="11012" max="11012" width="10.5" style="208" bestFit="1" customWidth="1"/>
    <col min="11013" max="11021" width="9" style="208"/>
    <col min="11022" max="11022" width="9.5" style="208" bestFit="1" customWidth="1"/>
    <col min="11023" max="11040" width="9" style="208"/>
    <col min="11041" max="11041" width="15.875" style="208" bestFit="1" customWidth="1"/>
    <col min="11042" max="11042" width="11.375" style="208" bestFit="1" customWidth="1"/>
    <col min="11043" max="11267" width="9" style="208"/>
    <col min="11268" max="11268" width="10.5" style="208" bestFit="1" customWidth="1"/>
    <col min="11269" max="11277" width="9" style="208"/>
    <col min="11278" max="11278" width="9.5" style="208" bestFit="1" customWidth="1"/>
    <col min="11279" max="11296" width="9" style="208"/>
    <col min="11297" max="11297" width="15.875" style="208" bestFit="1" customWidth="1"/>
    <col min="11298" max="11298" width="11.375" style="208" bestFit="1" customWidth="1"/>
    <col min="11299" max="11523" width="9" style="208"/>
    <col min="11524" max="11524" width="10.5" style="208" bestFit="1" customWidth="1"/>
    <col min="11525" max="11533" width="9" style="208"/>
    <col min="11534" max="11534" width="9.5" style="208" bestFit="1" customWidth="1"/>
    <col min="11535" max="11552" width="9" style="208"/>
    <col min="11553" max="11553" width="15.875" style="208" bestFit="1" customWidth="1"/>
    <col min="11554" max="11554" width="11.375" style="208" bestFit="1" customWidth="1"/>
    <col min="11555" max="11779" width="9" style="208"/>
    <col min="11780" max="11780" width="10.5" style="208" bestFit="1" customWidth="1"/>
    <col min="11781" max="11789" width="9" style="208"/>
    <col min="11790" max="11790" width="9.5" style="208" bestFit="1" customWidth="1"/>
    <col min="11791" max="11808" width="9" style="208"/>
    <col min="11809" max="11809" width="15.875" style="208" bestFit="1" customWidth="1"/>
    <col min="11810" max="11810" width="11.375" style="208" bestFit="1" customWidth="1"/>
    <col min="11811" max="12035" width="9" style="208"/>
    <col min="12036" max="12036" width="10.5" style="208" bestFit="1" customWidth="1"/>
    <col min="12037" max="12045" width="9" style="208"/>
    <col min="12046" max="12046" width="9.5" style="208" bestFit="1" customWidth="1"/>
    <col min="12047" max="12064" width="9" style="208"/>
    <col min="12065" max="12065" width="15.875" style="208" bestFit="1" customWidth="1"/>
    <col min="12066" max="12066" width="11.375" style="208" bestFit="1" customWidth="1"/>
    <col min="12067" max="12291" width="9" style="208"/>
    <col min="12292" max="12292" width="10.5" style="208" bestFit="1" customWidth="1"/>
    <col min="12293" max="12301" width="9" style="208"/>
    <col min="12302" max="12302" width="9.5" style="208" bestFit="1" customWidth="1"/>
    <col min="12303" max="12320" width="9" style="208"/>
    <col min="12321" max="12321" width="15.875" style="208" bestFit="1" customWidth="1"/>
    <col min="12322" max="12322" width="11.375" style="208" bestFit="1" customWidth="1"/>
    <col min="12323" max="12547" width="9" style="208"/>
    <col min="12548" max="12548" width="10.5" style="208" bestFit="1" customWidth="1"/>
    <col min="12549" max="12557" width="9" style="208"/>
    <col min="12558" max="12558" width="9.5" style="208" bestFit="1" customWidth="1"/>
    <col min="12559" max="12576" width="9" style="208"/>
    <col min="12577" max="12577" width="15.875" style="208" bestFit="1" customWidth="1"/>
    <col min="12578" max="12578" width="11.375" style="208" bestFit="1" customWidth="1"/>
    <col min="12579" max="12803" width="9" style="208"/>
    <col min="12804" max="12804" width="10.5" style="208" bestFit="1" customWidth="1"/>
    <col min="12805" max="12813" width="9" style="208"/>
    <col min="12814" max="12814" width="9.5" style="208" bestFit="1" customWidth="1"/>
    <col min="12815" max="12832" width="9" style="208"/>
    <col min="12833" max="12833" width="15.875" style="208" bestFit="1" customWidth="1"/>
    <col min="12834" max="12834" width="11.375" style="208" bestFit="1" customWidth="1"/>
    <col min="12835" max="13059" width="9" style="208"/>
    <col min="13060" max="13060" width="10.5" style="208" bestFit="1" customWidth="1"/>
    <col min="13061" max="13069" width="9" style="208"/>
    <col min="13070" max="13070" width="9.5" style="208" bestFit="1" customWidth="1"/>
    <col min="13071" max="13088" width="9" style="208"/>
    <col min="13089" max="13089" width="15.875" style="208" bestFit="1" customWidth="1"/>
    <col min="13090" max="13090" width="11.375" style="208" bestFit="1" customWidth="1"/>
    <col min="13091" max="13315" width="9" style="208"/>
    <col min="13316" max="13316" width="10.5" style="208" bestFit="1" customWidth="1"/>
    <col min="13317" max="13325" width="9" style="208"/>
    <col min="13326" max="13326" width="9.5" style="208" bestFit="1" customWidth="1"/>
    <col min="13327" max="13344" width="9" style="208"/>
    <col min="13345" max="13345" width="15.875" style="208" bestFit="1" customWidth="1"/>
    <col min="13346" max="13346" width="11.375" style="208" bestFit="1" customWidth="1"/>
    <col min="13347" max="13571" width="9" style="208"/>
    <col min="13572" max="13572" width="10.5" style="208" bestFit="1" customWidth="1"/>
    <col min="13573" max="13581" width="9" style="208"/>
    <col min="13582" max="13582" width="9.5" style="208" bestFit="1" customWidth="1"/>
    <col min="13583" max="13600" width="9" style="208"/>
    <col min="13601" max="13601" width="15.875" style="208" bestFit="1" customWidth="1"/>
    <col min="13602" max="13602" width="11.375" style="208" bestFit="1" customWidth="1"/>
    <col min="13603" max="13827" width="9" style="208"/>
    <col min="13828" max="13828" width="10.5" style="208" bestFit="1" customWidth="1"/>
    <col min="13829" max="13837" width="9" style="208"/>
    <col min="13838" max="13838" width="9.5" style="208" bestFit="1" customWidth="1"/>
    <col min="13839" max="13856" width="9" style="208"/>
    <col min="13857" max="13857" width="15.875" style="208" bestFit="1" customWidth="1"/>
    <col min="13858" max="13858" width="11.375" style="208" bestFit="1" customWidth="1"/>
    <col min="13859" max="14083" width="9" style="208"/>
    <col min="14084" max="14084" width="10.5" style="208" bestFit="1" customWidth="1"/>
    <col min="14085" max="14093" width="9" style="208"/>
    <col min="14094" max="14094" width="9.5" style="208" bestFit="1" customWidth="1"/>
    <col min="14095" max="14112" width="9" style="208"/>
    <col min="14113" max="14113" width="15.875" style="208" bestFit="1" customWidth="1"/>
    <col min="14114" max="14114" width="11.375" style="208" bestFit="1" customWidth="1"/>
    <col min="14115" max="14339" width="9" style="208"/>
    <col min="14340" max="14340" width="10.5" style="208" bestFit="1" customWidth="1"/>
    <col min="14341" max="14349" width="9" style="208"/>
    <col min="14350" max="14350" width="9.5" style="208" bestFit="1" customWidth="1"/>
    <col min="14351" max="14368" width="9" style="208"/>
    <col min="14369" max="14369" width="15.875" style="208" bestFit="1" customWidth="1"/>
    <col min="14370" max="14370" width="11.375" style="208" bestFit="1" customWidth="1"/>
    <col min="14371" max="14595" width="9" style="208"/>
    <col min="14596" max="14596" width="10.5" style="208" bestFit="1" customWidth="1"/>
    <col min="14597" max="14605" width="9" style="208"/>
    <col min="14606" max="14606" width="9.5" style="208" bestFit="1" customWidth="1"/>
    <col min="14607" max="14624" width="9" style="208"/>
    <col min="14625" max="14625" width="15.875" style="208" bestFit="1" customWidth="1"/>
    <col min="14626" max="14626" width="11.375" style="208" bestFit="1" customWidth="1"/>
    <col min="14627" max="14851" width="9" style="208"/>
    <col min="14852" max="14852" width="10.5" style="208" bestFit="1" customWidth="1"/>
    <col min="14853" max="14861" width="9" style="208"/>
    <col min="14862" max="14862" width="9.5" style="208" bestFit="1" customWidth="1"/>
    <col min="14863" max="14880" width="9" style="208"/>
    <col min="14881" max="14881" width="15.875" style="208" bestFit="1" customWidth="1"/>
    <col min="14882" max="14882" width="11.375" style="208" bestFit="1" customWidth="1"/>
    <col min="14883" max="15107" width="9" style="208"/>
    <col min="15108" max="15108" width="10.5" style="208" bestFit="1" customWidth="1"/>
    <col min="15109" max="15117" width="9" style="208"/>
    <col min="15118" max="15118" width="9.5" style="208" bestFit="1" customWidth="1"/>
    <col min="15119" max="15136" width="9" style="208"/>
    <col min="15137" max="15137" width="15.875" style="208" bestFit="1" customWidth="1"/>
    <col min="15138" max="15138" width="11.375" style="208" bestFit="1" customWidth="1"/>
    <col min="15139" max="15363" width="9" style="208"/>
    <col min="15364" max="15364" width="10.5" style="208" bestFit="1" customWidth="1"/>
    <col min="15365" max="15373" width="9" style="208"/>
    <col min="15374" max="15374" width="9.5" style="208" bestFit="1" customWidth="1"/>
    <col min="15375" max="15392" width="9" style="208"/>
    <col min="15393" max="15393" width="15.875" style="208" bestFit="1" customWidth="1"/>
    <col min="15394" max="15394" width="11.375" style="208" bestFit="1" customWidth="1"/>
    <col min="15395" max="15619" width="9" style="208"/>
    <col min="15620" max="15620" width="10.5" style="208" bestFit="1" customWidth="1"/>
    <col min="15621" max="15629" width="9" style="208"/>
    <col min="15630" max="15630" width="9.5" style="208" bestFit="1" customWidth="1"/>
    <col min="15631" max="15648" width="9" style="208"/>
    <col min="15649" max="15649" width="15.875" style="208" bestFit="1" customWidth="1"/>
    <col min="15650" max="15650" width="11.375" style="208" bestFit="1" customWidth="1"/>
    <col min="15651" max="15875" width="9" style="208"/>
    <col min="15876" max="15876" width="10.5" style="208" bestFit="1" customWidth="1"/>
    <col min="15877" max="15885" width="9" style="208"/>
    <col min="15886" max="15886" width="9.5" style="208" bestFit="1" customWidth="1"/>
    <col min="15887" max="15904" width="9" style="208"/>
    <col min="15905" max="15905" width="15.875" style="208" bestFit="1" customWidth="1"/>
    <col min="15906" max="15906" width="11.375" style="208" bestFit="1" customWidth="1"/>
    <col min="15907" max="16131" width="9" style="208"/>
    <col min="16132" max="16132" width="10.5" style="208" bestFit="1" customWidth="1"/>
    <col min="16133" max="16141" width="9" style="208"/>
    <col min="16142" max="16142" width="9.5" style="208" bestFit="1" customWidth="1"/>
    <col min="16143" max="16160" width="9" style="208"/>
    <col min="16161" max="16161" width="15.875" style="208" bestFit="1" customWidth="1"/>
    <col min="16162" max="16162" width="11.375" style="208" bestFit="1" customWidth="1"/>
    <col min="16163" max="16384" width="9" style="208"/>
  </cols>
  <sheetData>
    <row r="1" spans="1:53" ht="45" x14ac:dyDescent="0.15">
      <c r="A1" s="83" t="s">
        <v>0</v>
      </c>
      <c r="B1" s="202" t="s">
        <v>1</v>
      </c>
      <c r="C1" s="202" t="s">
        <v>323</v>
      </c>
      <c r="D1" s="203" t="s">
        <v>3</v>
      </c>
      <c r="E1" s="84" t="s">
        <v>4</v>
      </c>
      <c r="F1" s="84" t="s">
        <v>5</v>
      </c>
      <c r="G1" s="84" t="s">
        <v>6</v>
      </c>
      <c r="H1" s="84" t="s">
        <v>7</v>
      </c>
      <c r="I1" s="84" t="s">
        <v>8</v>
      </c>
      <c r="J1" s="84" t="s">
        <v>9</v>
      </c>
      <c r="K1" s="84" t="s">
        <v>10</v>
      </c>
      <c r="L1" s="203" t="s">
        <v>324</v>
      </c>
      <c r="M1" s="203" t="s">
        <v>12</v>
      </c>
      <c r="N1" s="203" t="s">
        <v>13</v>
      </c>
      <c r="O1" s="203" t="s">
        <v>325</v>
      </c>
      <c r="P1" s="203" t="s">
        <v>326</v>
      </c>
      <c r="Q1" s="204" t="s">
        <v>16</v>
      </c>
      <c r="R1" s="203" t="s">
        <v>327</v>
      </c>
      <c r="S1" s="203" t="s">
        <v>328</v>
      </c>
      <c r="T1" s="204" t="s">
        <v>19</v>
      </c>
      <c r="U1" s="205" t="s">
        <v>108</v>
      </c>
      <c r="V1" s="206" t="s">
        <v>20</v>
      </c>
      <c r="W1" s="203" t="s">
        <v>21</v>
      </c>
      <c r="X1" s="84" t="s">
        <v>22</v>
      </c>
      <c r="Y1" s="84" t="s">
        <v>23</v>
      </c>
      <c r="Z1" s="84" t="s">
        <v>24</v>
      </c>
      <c r="AA1" s="85" t="s">
        <v>25</v>
      </c>
      <c r="AB1" s="207" t="s">
        <v>329</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330</v>
      </c>
      <c r="AY1" s="214" t="s">
        <v>331</v>
      </c>
      <c r="AZ1" s="214" t="s">
        <v>332</v>
      </c>
      <c r="BA1" s="215" t="s">
        <v>333</v>
      </c>
    </row>
    <row r="2" spans="1:53" s="216" customFormat="1" x14ac:dyDescent="0.15">
      <c r="A2" s="55" t="s">
        <v>56</v>
      </c>
      <c r="B2" s="55" t="s">
        <v>349</v>
      </c>
      <c r="C2" s="216">
        <v>2018</v>
      </c>
      <c r="D2" s="86" t="s">
        <v>350</v>
      </c>
      <c r="E2" s="216" t="s">
        <v>351</v>
      </c>
      <c r="F2" s="216" t="s">
        <v>160</v>
      </c>
      <c r="G2" s="55" t="s">
        <v>42</v>
      </c>
      <c r="H2" s="216" t="s">
        <v>155</v>
      </c>
      <c r="I2" s="55" t="s">
        <v>153</v>
      </c>
      <c r="J2" s="216" t="s">
        <v>38</v>
      </c>
      <c r="K2" s="216" t="s">
        <v>154</v>
      </c>
      <c r="L2" s="216">
        <v>1</v>
      </c>
      <c r="N2" s="208">
        <v>1</v>
      </c>
      <c r="O2" s="216">
        <v>1.1499999999999999</v>
      </c>
      <c r="P2" s="208">
        <v>1.1000000000000001</v>
      </c>
      <c r="Q2" s="245">
        <f t="shared" ref="Q2:Q58" si="0">IF(OR(O2="",P2=""),"",AVERAGE(O2,P2))</f>
        <v>1.125</v>
      </c>
      <c r="R2" s="216">
        <v>14.4</v>
      </c>
      <c r="S2" s="216">
        <v>135</v>
      </c>
      <c r="T2" s="217">
        <f t="shared" ref="T2:T58" si="1">IF(H2="","",IF(OR(H2="GREEN",H2="GK"),IF(S2&gt;=$AX$2,VLOOKUP(S2,$AX$2:$AY$10,2,1),""),IF(S2&gt;=$AZ$2,VLOOKUP(S2,$AZ$2:$BA$10,2,1),"")))</f>
        <v>25</v>
      </c>
      <c r="U2" s="216">
        <v>108</v>
      </c>
      <c r="V2" s="217">
        <f t="shared" ref="V2:V58" si="2">IF(OR(N2="",U2="",T2=""),"",U2/N2*T2)</f>
        <v>2700</v>
      </c>
      <c r="W2" s="216">
        <v>2</v>
      </c>
      <c r="X2" s="55" t="s">
        <v>46</v>
      </c>
      <c r="Y2" s="55" t="s">
        <v>90</v>
      </c>
      <c r="Z2" s="216" t="s">
        <v>84</v>
      </c>
      <c r="AA2" s="55" t="s">
        <v>102</v>
      </c>
      <c r="AB2" s="216" t="s">
        <v>533</v>
      </c>
      <c r="AE2" s="218" t="s">
        <v>35</v>
      </c>
      <c r="AG2" s="231" t="s">
        <v>352</v>
      </c>
      <c r="AH2" s="87" t="s">
        <v>160</v>
      </c>
      <c r="AJ2" s="219" t="s">
        <v>36</v>
      </c>
      <c r="AL2" s="219" t="s">
        <v>127</v>
      </c>
      <c r="AN2" s="219" t="s">
        <v>37</v>
      </c>
      <c r="AP2" s="219" t="s">
        <v>38</v>
      </c>
      <c r="AR2" s="219" t="s">
        <v>335</v>
      </c>
      <c r="AT2" s="219" t="s">
        <v>39</v>
      </c>
      <c r="AV2" s="219" t="s">
        <v>40</v>
      </c>
      <c r="AX2" s="220">
        <v>1</v>
      </c>
      <c r="AY2" s="221">
        <v>50</v>
      </c>
      <c r="AZ2" s="221">
        <v>1</v>
      </c>
      <c r="BA2" s="222">
        <v>50</v>
      </c>
    </row>
    <row r="3" spans="1:53" x14ac:dyDescent="0.15">
      <c r="A3" s="55" t="s">
        <v>56</v>
      </c>
      <c r="B3" s="55" t="s">
        <v>349</v>
      </c>
      <c r="C3" s="216">
        <v>2018</v>
      </c>
      <c r="D3" s="86" t="s">
        <v>350</v>
      </c>
      <c r="E3" s="216" t="s">
        <v>351</v>
      </c>
      <c r="F3" s="216" t="s">
        <v>160</v>
      </c>
      <c r="G3" s="55" t="s">
        <v>42</v>
      </c>
      <c r="H3" s="216" t="s">
        <v>155</v>
      </c>
      <c r="I3" s="55" t="s">
        <v>153</v>
      </c>
      <c r="J3" s="216" t="s">
        <v>38</v>
      </c>
      <c r="K3" s="216" t="s">
        <v>154</v>
      </c>
      <c r="L3" s="208">
        <v>2</v>
      </c>
      <c r="N3" s="208">
        <v>1</v>
      </c>
      <c r="O3" s="208">
        <v>1.2</v>
      </c>
      <c r="P3" s="208">
        <v>1.25</v>
      </c>
      <c r="Q3" s="245">
        <f t="shared" si="0"/>
        <v>1.2250000000000001</v>
      </c>
      <c r="R3" s="208">
        <v>14</v>
      </c>
      <c r="S3" s="208">
        <v>136</v>
      </c>
      <c r="T3" s="217">
        <f t="shared" si="1"/>
        <v>25</v>
      </c>
      <c r="U3" s="208">
        <v>108</v>
      </c>
      <c r="V3" s="217">
        <f t="shared" si="2"/>
        <v>2700</v>
      </c>
      <c r="W3" s="208">
        <v>2</v>
      </c>
      <c r="X3" s="55" t="s">
        <v>46</v>
      </c>
      <c r="Y3" s="55" t="s">
        <v>90</v>
      </c>
      <c r="Z3" s="216" t="s">
        <v>84</v>
      </c>
      <c r="AA3" s="55" t="s">
        <v>102</v>
      </c>
      <c r="AB3" s="216" t="s">
        <v>533</v>
      </c>
      <c r="AE3" s="223" t="s">
        <v>41</v>
      </c>
      <c r="AG3" s="231" t="s">
        <v>352</v>
      </c>
      <c r="AH3" s="87" t="s">
        <v>161</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55" t="s">
        <v>56</v>
      </c>
      <c r="B4" s="55" t="s">
        <v>349</v>
      </c>
      <c r="C4" s="216">
        <v>2018</v>
      </c>
      <c r="D4" s="86" t="s">
        <v>350</v>
      </c>
      <c r="E4" s="216" t="s">
        <v>351</v>
      </c>
      <c r="F4" s="216" t="s">
        <v>160</v>
      </c>
      <c r="G4" s="55" t="s">
        <v>42</v>
      </c>
      <c r="H4" s="216" t="s">
        <v>155</v>
      </c>
      <c r="I4" s="55" t="s">
        <v>153</v>
      </c>
      <c r="J4" s="216" t="s">
        <v>38</v>
      </c>
      <c r="K4" s="216" t="s">
        <v>154</v>
      </c>
      <c r="L4" s="208">
        <v>3</v>
      </c>
      <c r="N4" s="208">
        <v>1</v>
      </c>
      <c r="O4" s="208">
        <v>1.05</v>
      </c>
      <c r="P4" s="208">
        <v>1.1000000000000001</v>
      </c>
      <c r="Q4" s="245">
        <f t="shared" si="0"/>
        <v>1.0750000000000002</v>
      </c>
      <c r="R4" s="208">
        <v>13.5</v>
      </c>
      <c r="S4" s="208">
        <v>141</v>
      </c>
      <c r="T4" s="217">
        <f t="shared" si="1"/>
        <v>22</v>
      </c>
      <c r="U4" s="208">
        <v>108</v>
      </c>
      <c r="V4" s="217">
        <f t="shared" si="2"/>
        <v>2376</v>
      </c>
      <c r="W4" s="208">
        <v>2</v>
      </c>
      <c r="X4" s="55" t="s">
        <v>46</v>
      </c>
      <c r="Y4" s="55" t="s">
        <v>90</v>
      </c>
      <c r="Z4" s="216" t="s">
        <v>84</v>
      </c>
      <c r="AA4" s="55" t="s">
        <v>102</v>
      </c>
      <c r="AB4" s="216" t="s">
        <v>533</v>
      </c>
      <c r="AE4" s="223" t="s">
        <v>34</v>
      </c>
      <c r="AG4" s="231" t="s">
        <v>353</v>
      </c>
      <c r="AH4" s="87" t="s">
        <v>354</v>
      </c>
      <c r="AJ4" s="228" t="s">
        <v>48</v>
      </c>
      <c r="AL4" s="228" t="s">
        <v>162</v>
      </c>
      <c r="AN4" s="229" t="s">
        <v>49</v>
      </c>
      <c r="AP4" s="224" t="s">
        <v>336</v>
      </c>
      <c r="AR4" s="238" t="s">
        <v>337</v>
      </c>
      <c r="AT4" s="229"/>
      <c r="AV4" s="224" t="s">
        <v>50</v>
      </c>
      <c r="AX4" s="225">
        <v>75</v>
      </c>
      <c r="AY4" s="226">
        <v>42</v>
      </c>
      <c r="AZ4" s="226">
        <v>76</v>
      </c>
      <c r="BA4" s="227">
        <v>39</v>
      </c>
    </row>
    <row r="5" spans="1:53" x14ac:dyDescent="0.15">
      <c r="A5" s="55" t="s">
        <v>56</v>
      </c>
      <c r="B5" s="55" t="s">
        <v>349</v>
      </c>
      <c r="C5" s="216">
        <v>2018</v>
      </c>
      <c r="D5" s="86" t="s">
        <v>350</v>
      </c>
      <c r="E5" s="216" t="s">
        <v>351</v>
      </c>
      <c r="F5" s="216" t="s">
        <v>160</v>
      </c>
      <c r="G5" s="55" t="s">
        <v>42</v>
      </c>
      <c r="H5" s="216" t="s">
        <v>157</v>
      </c>
      <c r="I5" s="55" t="s">
        <v>153</v>
      </c>
      <c r="J5" s="216" t="s">
        <v>38</v>
      </c>
      <c r="K5" s="216" t="s">
        <v>154</v>
      </c>
      <c r="L5" s="216">
        <v>1</v>
      </c>
      <c r="M5" s="216"/>
      <c r="N5" s="208">
        <v>1</v>
      </c>
      <c r="O5" s="216">
        <v>0.75</v>
      </c>
      <c r="P5" s="208">
        <v>0.7</v>
      </c>
      <c r="Q5" s="245">
        <f t="shared" si="0"/>
        <v>0.72499999999999998</v>
      </c>
      <c r="R5" s="216">
        <v>15.4</v>
      </c>
      <c r="S5" s="216">
        <v>135</v>
      </c>
      <c r="T5" s="217">
        <f t="shared" si="1"/>
        <v>25</v>
      </c>
      <c r="U5" s="216">
        <v>108</v>
      </c>
      <c r="V5" s="217">
        <f t="shared" si="2"/>
        <v>2700</v>
      </c>
      <c r="W5" s="216">
        <v>2</v>
      </c>
      <c r="X5" s="55" t="s">
        <v>46</v>
      </c>
      <c r="Y5" s="55" t="s">
        <v>90</v>
      </c>
      <c r="Z5" s="216" t="s">
        <v>84</v>
      </c>
      <c r="AA5" s="55" t="s">
        <v>102</v>
      </c>
      <c r="AB5" s="216" t="s">
        <v>533</v>
      </c>
      <c r="AE5" s="223" t="s">
        <v>51</v>
      </c>
      <c r="AG5" s="231" t="s">
        <v>355</v>
      </c>
      <c r="AH5" s="87" t="s">
        <v>356</v>
      </c>
      <c r="AJ5" s="229"/>
      <c r="AL5" s="230" t="s">
        <v>357</v>
      </c>
      <c r="AN5" s="230" t="s">
        <v>358</v>
      </c>
      <c r="AP5" s="224" t="s">
        <v>359</v>
      </c>
      <c r="AR5" s="238" t="s">
        <v>54</v>
      </c>
      <c r="AV5" s="224" t="s">
        <v>55</v>
      </c>
      <c r="AX5" s="225">
        <v>84</v>
      </c>
      <c r="AY5" s="226">
        <v>39</v>
      </c>
      <c r="AZ5" s="226">
        <v>84</v>
      </c>
      <c r="BA5" s="227">
        <v>36</v>
      </c>
    </row>
    <row r="6" spans="1:53" x14ac:dyDescent="0.15">
      <c r="A6" s="55" t="s">
        <v>56</v>
      </c>
      <c r="B6" s="55" t="s">
        <v>349</v>
      </c>
      <c r="C6" s="216">
        <v>2018</v>
      </c>
      <c r="D6" s="86" t="s">
        <v>350</v>
      </c>
      <c r="E6" s="216" t="s">
        <v>351</v>
      </c>
      <c r="F6" s="216" t="s">
        <v>160</v>
      </c>
      <c r="G6" s="55" t="s">
        <v>42</v>
      </c>
      <c r="H6" s="216" t="s">
        <v>157</v>
      </c>
      <c r="I6" s="55" t="s">
        <v>153</v>
      </c>
      <c r="J6" s="216" t="s">
        <v>38</v>
      </c>
      <c r="K6" s="216" t="s">
        <v>154</v>
      </c>
      <c r="L6" s="208">
        <v>2</v>
      </c>
      <c r="N6" s="208">
        <v>1</v>
      </c>
      <c r="O6" s="208">
        <v>0.7</v>
      </c>
      <c r="P6" s="208">
        <v>0.75</v>
      </c>
      <c r="Q6" s="245">
        <f t="shared" si="0"/>
        <v>0.72499999999999998</v>
      </c>
      <c r="R6" s="208">
        <v>14.8</v>
      </c>
      <c r="S6" s="208">
        <v>137</v>
      </c>
      <c r="T6" s="217">
        <f t="shared" si="1"/>
        <v>25</v>
      </c>
      <c r="U6" s="208">
        <v>108</v>
      </c>
      <c r="V6" s="217">
        <f t="shared" si="2"/>
        <v>2700</v>
      </c>
      <c r="W6" s="208">
        <v>2</v>
      </c>
      <c r="X6" s="55" t="s">
        <v>46</v>
      </c>
      <c r="Y6" s="55" t="s">
        <v>90</v>
      </c>
      <c r="Z6" s="216" t="s">
        <v>84</v>
      </c>
      <c r="AA6" s="55" t="s">
        <v>102</v>
      </c>
      <c r="AB6" s="216" t="s">
        <v>533</v>
      </c>
      <c r="AE6" s="223" t="s">
        <v>56</v>
      </c>
      <c r="AG6" s="231" t="s">
        <v>360</v>
      </c>
      <c r="AH6" s="87" t="s">
        <v>356</v>
      </c>
      <c r="AL6" s="230" t="s">
        <v>361</v>
      </c>
      <c r="AN6" s="230" t="s">
        <v>362</v>
      </c>
      <c r="AP6" s="224" t="s">
        <v>53</v>
      </c>
      <c r="AR6" s="238" t="s">
        <v>59</v>
      </c>
      <c r="AV6" s="224" t="s">
        <v>60</v>
      </c>
      <c r="AX6" s="225">
        <v>97</v>
      </c>
      <c r="AY6" s="226">
        <v>36</v>
      </c>
      <c r="AZ6" s="226">
        <v>99</v>
      </c>
      <c r="BA6" s="227">
        <v>33</v>
      </c>
    </row>
    <row r="7" spans="1:53" x14ac:dyDescent="0.15">
      <c r="A7" s="55" t="s">
        <v>56</v>
      </c>
      <c r="B7" s="55" t="s">
        <v>349</v>
      </c>
      <c r="C7" s="216">
        <v>2018</v>
      </c>
      <c r="D7" s="86" t="s">
        <v>350</v>
      </c>
      <c r="E7" s="216" t="s">
        <v>351</v>
      </c>
      <c r="F7" s="216" t="s">
        <v>160</v>
      </c>
      <c r="G7" s="55" t="s">
        <v>42</v>
      </c>
      <c r="H7" s="216" t="s">
        <v>157</v>
      </c>
      <c r="I7" s="55" t="s">
        <v>153</v>
      </c>
      <c r="J7" s="216" t="s">
        <v>38</v>
      </c>
      <c r="K7" s="216" t="s">
        <v>154</v>
      </c>
      <c r="L7" s="208">
        <v>3</v>
      </c>
      <c r="N7" s="208">
        <v>1</v>
      </c>
      <c r="O7" s="208">
        <v>0.75</v>
      </c>
      <c r="P7" s="208">
        <v>0.8</v>
      </c>
      <c r="Q7" s="245">
        <f t="shared" si="0"/>
        <v>0.77500000000000002</v>
      </c>
      <c r="R7" s="208">
        <v>15.3</v>
      </c>
      <c r="S7" s="208">
        <v>139</v>
      </c>
      <c r="T7" s="217">
        <f t="shared" si="1"/>
        <v>22</v>
      </c>
      <c r="U7" s="208">
        <v>108</v>
      </c>
      <c r="V7" s="217">
        <f t="shared" si="2"/>
        <v>2376</v>
      </c>
      <c r="W7" s="208">
        <v>2</v>
      </c>
      <c r="X7" s="55" t="s">
        <v>46</v>
      </c>
      <c r="Y7" s="55" t="s">
        <v>90</v>
      </c>
      <c r="Z7" s="216" t="s">
        <v>84</v>
      </c>
      <c r="AA7" s="55" t="s">
        <v>102</v>
      </c>
      <c r="AB7" s="216" t="s">
        <v>533</v>
      </c>
      <c r="AE7" s="223" t="s">
        <v>61</v>
      </c>
      <c r="AG7" s="231" t="s">
        <v>363</v>
      </c>
      <c r="AH7" s="87" t="s">
        <v>163</v>
      </c>
      <c r="AL7" s="88" t="s">
        <v>364</v>
      </c>
      <c r="AP7" s="224" t="s">
        <v>58</v>
      </c>
      <c r="AR7" s="231" t="s">
        <v>122</v>
      </c>
      <c r="AV7" s="224" t="s">
        <v>64</v>
      </c>
      <c r="AX7" s="225">
        <v>109</v>
      </c>
      <c r="AY7" s="226">
        <v>33</v>
      </c>
      <c r="AZ7" s="226">
        <v>113</v>
      </c>
      <c r="BA7" s="227">
        <v>30</v>
      </c>
    </row>
    <row r="8" spans="1:53" x14ac:dyDescent="0.15">
      <c r="A8" s="55" t="s">
        <v>56</v>
      </c>
      <c r="B8" s="55" t="s">
        <v>365</v>
      </c>
      <c r="C8" s="216">
        <v>2018</v>
      </c>
      <c r="D8" s="86" t="s">
        <v>366</v>
      </c>
      <c r="E8" s="216" t="s">
        <v>351</v>
      </c>
      <c r="F8" s="216" t="s">
        <v>161</v>
      </c>
      <c r="G8" s="55" t="s">
        <v>42</v>
      </c>
      <c r="H8" s="216" t="s">
        <v>155</v>
      </c>
      <c r="I8" s="55" t="s">
        <v>153</v>
      </c>
      <c r="J8" s="216" t="s">
        <v>38</v>
      </c>
      <c r="K8" s="216" t="s">
        <v>154</v>
      </c>
      <c r="L8" s="208">
        <v>1</v>
      </c>
      <c r="N8" s="208">
        <v>1</v>
      </c>
      <c r="O8" s="208">
        <v>0.85</v>
      </c>
      <c r="P8" s="208">
        <v>0.9</v>
      </c>
      <c r="Q8" s="245">
        <f t="shared" si="0"/>
        <v>0.875</v>
      </c>
      <c r="R8" s="208">
        <v>15.4</v>
      </c>
      <c r="S8" s="208">
        <v>137</v>
      </c>
      <c r="T8" s="217">
        <f t="shared" si="1"/>
        <v>25</v>
      </c>
      <c r="U8" s="208">
        <v>138</v>
      </c>
      <c r="V8" s="217">
        <f t="shared" si="2"/>
        <v>3450</v>
      </c>
      <c r="W8" s="208">
        <v>5</v>
      </c>
      <c r="X8" s="55" t="s">
        <v>46</v>
      </c>
      <c r="Y8" s="55" t="s">
        <v>84</v>
      </c>
      <c r="Z8" s="216" t="s">
        <v>50</v>
      </c>
      <c r="AA8" s="55" t="s">
        <v>90</v>
      </c>
      <c r="AB8" s="216" t="s">
        <v>533</v>
      </c>
      <c r="AE8" s="223" t="s">
        <v>59</v>
      </c>
      <c r="AG8" s="231" t="s">
        <v>367</v>
      </c>
      <c r="AH8" s="87" t="s">
        <v>163</v>
      </c>
      <c r="AL8" s="88" t="s">
        <v>346</v>
      </c>
      <c r="AP8" s="224" t="s">
        <v>62</v>
      </c>
      <c r="AR8" s="238" t="s">
        <v>81</v>
      </c>
      <c r="AV8" s="224" t="s">
        <v>97</v>
      </c>
      <c r="AX8" s="225">
        <v>119</v>
      </c>
      <c r="AY8" s="226">
        <v>30</v>
      </c>
      <c r="AZ8" s="226">
        <v>121</v>
      </c>
      <c r="BA8" s="227">
        <v>27</v>
      </c>
    </row>
    <row r="9" spans="1:53" x14ac:dyDescent="0.15">
      <c r="A9" s="55" t="s">
        <v>56</v>
      </c>
      <c r="B9" s="55" t="s">
        <v>365</v>
      </c>
      <c r="C9" s="216">
        <v>2018</v>
      </c>
      <c r="D9" s="86" t="s">
        <v>366</v>
      </c>
      <c r="E9" s="216" t="s">
        <v>351</v>
      </c>
      <c r="F9" s="216" t="s">
        <v>161</v>
      </c>
      <c r="G9" s="55" t="s">
        <v>42</v>
      </c>
      <c r="H9" s="216" t="s">
        <v>155</v>
      </c>
      <c r="I9" s="55" t="s">
        <v>153</v>
      </c>
      <c r="J9" s="216" t="s">
        <v>38</v>
      </c>
      <c r="K9" s="216" t="s">
        <v>154</v>
      </c>
      <c r="L9" s="208">
        <v>2</v>
      </c>
      <c r="N9" s="208">
        <v>1</v>
      </c>
      <c r="O9" s="208">
        <v>0.85</v>
      </c>
      <c r="P9" s="208">
        <v>0.95</v>
      </c>
      <c r="Q9" s="245">
        <f t="shared" si="0"/>
        <v>0.89999999999999991</v>
      </c>
      <c r="R9" s="208">
        <v>15.2</v>
      </c>
      <c r="S9" s="208">
        <v>144</v>
      </c>
      <c r="T9" s="217">
        <f t="shared" si="1"/>
        <v>22</v>
      </c>
      <c r="U9" s="208">
        <v>138</v>
      </c>
      <c r="V9" s="217">
        <f t="shared" si="2"/>
        <v>3036</v>
      </c>
      <c r="W9" s="208">
        <v>5</v>
      </c>
      <c r="X9" s="55" t="s">
        <v>46</v>
      </c>
      <c r="Y9" s="55" t="s">
        <v>84</v>
      </c>
      <c r="Z9" s="216" t="s">
        <v>50</v>
      </c>
      <c r="AA9" s="55" t="s">
        <v>90</v>
      </c>
      <c r="AB9" s="216" t="s">
        <v>533</v>
      </c>
      <c r="AE9" s="223" t="s">
        <v>98</v>
      </c>
      <c r="AG9" s="231" t="s">
        <v>164</v>
      </c>
      <c r="AH9" s="231" t="s">
        <v>161</v>
      </c>
      <c r="AL9" s="230"/>
      <c r="AP9" s="224" t="s">
        <v>95</v>
      </c>
      <c r="AR9" s="231" t="s">
        <v>89</v>
      </c>
      <c r="AV9" s="224" t="s">
        <v>102</v>
      </c>
      <c r="AX9" s="225">
        <v>128</v>
      </c>
      <c r="AY9" s="226">
        <v>27</v>
      </c>
      <c r="AZ9" s="226">
        <v>129</v>
      </c>
      <c r="BA9" s="227">
        <v>25</v>
      </c>
    </row>
    <row r="10" spans="1:53" x14ac:dyDescent="0.15">
      <c r="A10" s="55" t="s">
        <v>56</v>
      </c>
      <c r="B10" s="55" t="s">
        <v>368</v>
      </c>
      <c r="C10" s="216">
        <v>2018</v>
      </c>
      <c r="D10" s="86" t="s">
        <v>369</v>
      </c>
      <c r="E10" s="216" t="s">
        <v>351</v>
      </c>
      <c r="F10" s="216" t="s">
        <v>161</v>
      </c>
      <c r="G10" s="55" t="s">
        <v>42</v>
      </c>
      <c r="H10" s="216" t="s">
        <v>155</v>
      </c>
      <c r="I10" s="55" t="s">
        <v>153</v>
      </c>
      <c r="J10" s="216" t="s">
        <v>38</v>
      </c>
      <c r="K10" s="216" t="s">
        <v>154</v>
      </c>
      <c r="L10" s="208">
        <v>3</v>
      </c>
      <c r="N10" s="208">
        <v>1</v>
      </c>
      <c r="O10" s="208">
        <v>1</v>
      </c>
      <c r="P10" s="208">
        <v>1.1499999999999999</v>
      </c>
      <c r="Q10" s="245">
        <f t="shared" si="0"/>
        <v>1.075</v>
      </c>
      <c r="R10" s="237">
        <v>14.9</v>
      </c>
      <c r="S10" s="208">
        <v>143</v>
      </c>
      <c r="T10" s="217">
        <f t="shared" si="1"/>
        <v>22</v>
      </c>
      <c r="U10" s="208">
        <v>138</v>
      </c>
      <c r="V10" s="217">
        <f t="shared" si="2"/>
        <v>3036</v>
      </c>
      <c r="W10" s="208">
        <v>5</v>
      </c>
      <c r="X10" s="55" t="s">
        <v>46</v>
      </c>
      <c r="Y10" s="55" t="s">
        <v>84</v>
      </c>
      <c r="Z10" s="216" t="s">
        <v>50</v>
      </c>
      <c r="AA10" s="55" t="s">
        <v>90</v>
      </c>
      <c r="AB10" s="216" t="s">
        <v>533</v>
      </c>
      <c r="AE10" s="223" t="s">
        <v>103</v>
      </c>
      <c r="AG10" s="231" t="s">
        <v>370</v>
      </c>
      <c r="AH10" s="87" t="s">
        <v>371</v>
      </c>
      <c r="AL10" s="88"/>
      <c r="AP10" s="224" t="s">
        <v>100</v>
      </c>
      <c r="AR10" s="231" t="s">
        <v>123</v>
      </c>
      <c r="AV10" s="224" t="s">
        <v>106</v>
      </c>
      <c r="AX10" s="225">
        <v>138</v>
      </c>
      <c r="AY10" s="226">
        <v>25</v>
      </c>
      <c r="AZ10" s="226">
        <v>138</v>
      </c>
      <c r="BA10" s="227">
        <v>22</v>
      </c>
    </row>
    <row r="11" spans="1:53" x14ac:dyDescent="0.15">
      <c r="A11" s="55" t="s">
        <v>56</v>
      </c>
      <c r="B11" s="55" t="s">
        <v>368</v>
      </c>
      <c r="C11" s="216">
        <v>2018</v>
      </c>
      <c r="D11" s="86" t="s">
        <v>369</v>
      </c>
      <c r="E11" s="216" t="s">
        <v>351</v>
      </c>
      <c r="F11" s="216" t="s">
        <v>161</v>
      </c>
      <c r="G11" s="55" t="s">
        <v>42</v>
      </c>
      <c r="H11" s="216" t="s">
        <v>157</v>
      </c>
      <c r="I11" s="55" t="s">
        <v>153</v>
      </c>
      <c r="J11" s="216" t="s">
        <v>38</v>
      </c>
      <c r="K11" s="216" t="s">
        <v>154</v>
      </c>
      <c r="L11" s="208">
        <v>1</v>
      </c>
      <c r="N11" s="208">
        <v>1</v>
      </c>
      <c r="O11" s="208">
        <v>0.75</v>
      </c>
      <c r="P11" s="208">
        <v>0.75</v>
      </c>
      <c r="Q11" s="245">
        <f t="shared" si="0"/>
        <v>0.75</v>
      </c>
      <c r="R11" s="208">
        <v>16</v>
      </c>
      <c r="S11" s="208">
        <v>143</v>
      </c>
      <c r="T11" s="217">
        <f t="shared" si="1"/>
        <v>22</v>
      </c>
      <c r="U11" s="208">
        <v>138</v>
      </c>
      <c r="V11" s="217">
        <f t="shared" si="2"/>
        <v>3036</v>
      </c>
      <c r="W11" s="208">
        <v>4</v>
      </c>
      <c r="X11" s="55" t="s">
        <v>46</v>
      </c>
      <c r="Y11" s="55" t="s">
        <v>84</v>
      </c>
      <c r="Z11" s="216" t="s">
        <v>50</v>
      </c>
      <c r="AA11" s="55" t="s">
        <v>90</v>
      </c>
      <c r="AB11" s="216" t="s">
        <v>533</v>
      </c>
      <c r="AE11" s="223" t="s">
        <v>65</v>
      </c>
      <c r="AG11" s="231" t="s">
        <v>372</v>
      </c>
      <c r="AH11" s="87" t="s">
        <v>371</v>
      </c>
      <c r="AJ11" s="88"/>
      <c r="AP11" s="224" t="s">
        <v>104</v>
      </c>
      <c r="AR11" s="231" t="s">
        <v>87</v>
      </c>
      <c r="AV11" s="224" t="s">
        <v>69</v>
      </c>
    </row>
    <row r="12" spans="1:53" x14ac:dyDescent="0.15">
      <c r="A12" s="55" t="s">
        <v>56</v>
      </c>
      <c r="B12" s="55" t="s">
        <v>373</v>
      </c>
      <c r="C12" s="216">
        <v>2018</v>
      </c>
      <c r="D12" s="86" t="s">
        <v>374</v>
      </c>
      <c r="E12" s="216" t="s">
        <v>351</v>
      </c>
      <c r="F12" s="216" t="s">
        <v>161</v>
      </c>
      <c r="G12" s="55" t="s">
        <v>42</v>
      </c>
      <c r="H12" s="216" t="s">
        <v>157</v>
      </c>
      <c r="I12" s="55" t="s">
        <v>153</v>
      </c>
      <c r="J12" s="216" t="s">
        <v>38</v>
      </c>
      <c r="K12" s="216" t="s">
        <v>154</v>
      </c>
      <c r="L12" s="208">
        <v>2</v>
      </c>
      <c r="N12" s="208">
        <v>1</v>
      </c>
      <c r="O12" s="208">
        <v>0.8</v>
      </c>
      <c r="P12" s="208">
        <v>0.8</v>
      </c>
      <c r="Q12" s="245">
        <f t="shared" si="0"/>
        <v>0.8</v>
      </c>
      <c r="R12" s="208">
        <v>12.3</v>
      </c>
      <c r="S12" s="208">
        <v>140</v>
      </c>
      <c r="T12" s="217">
        <f t="shared" si="1"/>
        <v>22</v>
      </c>
      <c r="U12" s="208">
        <v>138</v>
      </c>
      <c r="V12" s="217">
        <f t="shared" si="2"/>
        <v>3036</v>
      </c>
      <c r="W12" s="208">
        <v>4</v>
      </c>
      <c r="X12" s="55" t="s">
        <v>46</v>
      </c>
      <c r="Y12" s="55" t="s">
        <v>84</v>
      </c>
      <c r="Z12" s="216" t="s">
        <v>50</v>
      </c>
      <c r="AA12" s="55" t="s">
        <v>90</v>
      </c>
      <c r="AB12" s="216" t="s">
        <v>533</v>
      </c>
      <c r="AE12" s="223" t="s">
        <v>70</v>
      </c>
      <c r="AG12" s="231" t="s">
        <v>375</v>
      </c>
      <c r="AH12" s="87" t="s">
        <v>376</v>
      </c>
      <c r="AJ12" s="88"/>
      <c r="AP12" s="224" t="s">
        <v>67</v>
      </c>
      <c r="AR12" s="231" t="s">
        <v>124</v>
      </c>
      <c r="AV12" s="224" t="s">
        <v>72</v>
      </c>
    </row>
    <row r="13" spans="1:53" x14ac:dyDescent="0.15">
      <c r="A13" s="55" t="s">
        <v>56</v>
      </c>
      <c r="B13" s="55" t="s">
        <v>377</v>
      </c>
      <c r="C13" s="216">
        <v>2018</v>
      </c>
      <c r="D13" s="86" t="s">
        <v>378</v>
      </c>
      <c r="E13" s="216" t="s">
        <v>351</v>
      </c>
      <c r="F13" s="216" t="s">
        <v>161</v>
      </c>
      <c r="G13" s="55" t="s">
        <v>42</v>
      </c>
      <c r="H13" s="216" t="s">
        <v>157</v>
      </c>
      <c r="I13" s="55" t="s">
        <v>153</v>
      </c>
      <c r="J13" s="216" t="s">
        <v>38</v>
      </c>
      <c r="K13" s="216" t="s">
        <v>154</v>
      </c>
      <c r="L13" s="208">
        <v>3</v>
      </c>
      <c r="N13" s="208">
        <v>1</v>
      </c>
      <c r="O13" s="208">
        <v>0.7</v>
      </c>
      <c r="P13" s="208">
        <v>0.7</v>
      </c>
      <c r="Q13" s="245">
        <f t="shared" si="0"/>
        <v>0.7</v>
      </c>
      <c r="R13" s="237">
        <v>15.1</v>
      </c>
      <c r="S13" s="208">
        <v>130</v>
      </c>
      <c r="T13" s="217">
        <f t="shared" si="1"/>
        <v>25</v>
      </c>
      <c r="U13" s="208">
        <v>138</v>
      </c>
      <c r="V13" s="217">
        <f t="shared" si="2"/>
        <v>3450</v>
      </c>
      <c r="W13" s="208">
        <v>4</v>
      </c>
      <c r="X13" s="55" t="s">
        <v>46</v>
      </c>
      <c r="Y13" s="55" t="s">
        <v>84</v>
      </c>
      <c r="Z13" s="216" t="s">
        <v>50</v>
      </c>
      <c r="AA13" s="55" t="s">
        <v>90</v>
      </c>
      <c r="AB13" s="216" t="s">
        <v>533</v>
      </c>
      <c r="AE13" s="223" t="s">
        <v>73</v>
      </c>
      <c r="AP13" s="224" t="s">
        <v>71</v>
      </c>
      <c r="AR13" s="231" t="s">
        <v>103</v>
      </c>
      <c r="AV13" s="224" t="s">
        <v>75</v>
      </c>
    </row>
    <row r="14" spans="1:53" x14ac:dyDescent="0.15">
      <c r="A14" s="55" t="s">
        <v>56</v>
      </c>
      <c r="B14" s="55" t="s">
        <v>379</v>
      </c>
      <c r="C14" s="216">
        <v>2018</v>
      </c>
      <c r="D14" s="86" t="s">
        <v>380</v>
      </c>
      <c r="E14" s="216" t="s">
        <v>381</v>
      </c>
      <c r="F14" s="216" t="s">
        <v>382</v>
      </c>
      <c r="G14" s="55" t="s">
        <v>42</v>
      </c>
      <c r="H14" s="216" t="s">
        <v>155</v>
      </c>
      <c r="I14" s="55" t="s">
        <v>153</v>
      </c>
      <c r="J14" s="216" t="s">
        <v>38</v>
      </c>
      <c r="K14" s="216" t="s">
        <v>154</v>
      </c>
      <c r="L14" s="208">
        <v>1</v>
      </c>
      <c r="N14" s="208">
        <v>1</v>
      </c>
      <c r="O14" s="208">
        <v>0.8</v>
      </c>
      <c r="P14" s="208">
        <v>0.8</v>
      </c>
      <c r="Q14" s="245">
        <f t="shared" si="0"/>
        <v>0.8</v>
      </c>
      <c r="R14" s="208">
        <v>14.7</v>
      </c>
      <c r="S14" s="208">
        <v>130</v>
      </c>
      <c r="T14" s="217">
        <f t="shared" si="1"/>
        <v>25</v>
      </c>
      <c r="U14" s="208">
        <v>106</v>
      </c>
      <c r="V14" s="217">
        <f t="shared" si="2"/>
        <v>2650</v>
      </c>
      <c r="W14" s="208">
        <v>2</v>
      </c>
      <c r="X14" s="55" t="s">
        <v>46</v>
      </c>
      <c r="Y14" s="55" t="s">
        <v>84</v>
      </c>
      <c r="Z14" s="216" t="s">
        <v>90</v>
      </c>
      <c r="AA14" s="55" t="s">
        <v>50</v>
      </c>
      <c r="AB14" s="216" t="s">
        <v>533</v>
      </c>
      <c r="AE14" s="223" t="s">
        <v>76</v>
      </c>
      <c r="AP14" s="224" t="s">
        <v>74</v>
      </c>
      <c r="AR14" s="231" t="s">
        <v>125</v>
      </c>
      <c r="AV14" s="224" t="s">
        <v>78</v>
      </c>
    </row>
    <row r="15" spans="1:53" x14ac:dyDescent="0.15">
      <c r="A15" s="55" t="s">
        <v>56</v>
      </c>
      <c r="B15" s="55" t="s">
        <v>379</v>
      </c>
      <c r="C15" s="216">
        <v>2018</v>
      </c>
      <c r="D15" s="86" t="s">
        <v>380</v>
      </c>
      <c r="E15" s="216" t="s">
        <v>381</v>
      </c>
      <c r="F15" s="216" t="s">
        <v>382</v>
      </c>
      <c r="G15" s="55" t="s">
        <v>42</v>
      </c>
      <c r="H15" s="216" t="s">
        <v>155</v>
      </c>
      <c r="I15" s="55" t="s">
        <v>153</v>
      </c>
      <c r="J15" s="216" t="s">
        <v>38</v>
      </c>
      <c r="K15" s="216" t="s">
        <v>154</v>
      </c>
      <c r="L15" s="208">
        <v>2</v>
      </c>
      <c r="N15" s="208">
        <v>1</v>
      </c>
      <c r="O15" s="208">
        <v>0.75</v>
      </c>
      <c r="P15" s="208">
        <v>0.75</v>
      </c>
      <c r="Q15" s="245">
        <f t="shared" si="0"/>
        <v>0.75</v>
      </c>
      <c r="R15" s="208">
        <v>14.2</v>
      </c>
      <c r="S15" s="208">
        <v>130</v>
      </c>
      <c r="T15" s="217">
        <f t="shared" si="1"/>
        <v>25</v>
      </c>
      <c r="U15" s="208">
        <v>106</v>
      </c>
      <c r="V15" s="217">
        <f t="shared" si="2"/>
        <v>2650</v>
      </c>
      <c r="W15" s="208">
        <v>2</v>
      </c>
      <c r="X15" s="55" t="s">
        <v>46</v>
      </c>
      <c r="Y15" s="55" t="s">
        <v>84</v>
      </c>
      <c r="Z15" s="216" t="s">
        <v>90</v>
      </c>
      <c r="AA15" s="55" t="s">
        <v>50</v>
      </c>
      <c r="AB15" s="216" t="s">
        <v>533</v>
      </c>
      <c r="AE15" s="223" t="s">
        <v>79</v>
      </c>
      <c r="AP15" s="224" t="s">
        <v>77</v>
      </c>
      <c r="AR15" s="231" t="s">
        <v>94</v>
      </c>
      <c r="AV15" s="224" t="s">
        <v>107</v>
      </c>
    </row>
    <row r="16" spans="1:53" x14ac:dyDescent="0.15">
      <c r="A16" s="55" t="s">
        <v>56</v>
      </c>
      <c r="B16" s="55" t="s">
        <v>383</v>
      </c>
      <c r="C16" s="216">
        <v>2018</v>
      </c>
      <c r="D16" s="86" t="s">
        <v>384</v>
      </c>
      <c r="E16" s="216" t="s">
        <v>381</v>
      </c>
      <c r="F16" s="216" t="s">
        <v>382</v>
      </c>
      <c r="G16" s="55" t="s">
        <v>42</v>
      </c>
      <c r="H16" s="216" t="s">
        <v>155</v>
      </c>
      <c r="I16" s="55" t="s">
        <v>153</v>
      </c>
      <c r="J16" s="216" t="s">
        <v>38</v>
      </c>
      <c r="K16" s="216" t="s">
        <v>154</v>
      </c>
      <c r="L16" s="208">
        <v>3</v>
      </c>
      <c r="N16" s="208">
        <v>1</v>
      </c>
      <c r="O16" s="208">
        <v>0.85</v>
      </c>
      <c r="P16" s="208">
        <v>0.85</v>
      </c>
      <c r="Q16" s="245">
        <f t="shared" si="0"/>
        <v>0.85</v>
      </c>
      <c r="R16" s="237">
        <v>14.3</v>
      </c>
      <c r="S16" s="208">
        <v>129</v>
      </c>
      <c r="T16" s="217">
        <f t="shared" si="1"/>
        <v>25</v>
      </c>
      <c r="U16" s="208">
        <v>106</v>
      </c>
      <c r="V16" s="217">
        <f t="shared" si="2"/>
        <v>2650</v>
      </c>
      <c r="W16" s="208">
        <v>2</v>
      </c>
      <c r="X16" s="55" t="s">
        <v>46</v>
      </c>
      <c r="Y16" s="55" t="s">
        <v>84</v>
      </c>
      <c r="Z16" s="216" t="s">
        <v>90</v>
      </c>
      <c r="AA16" s="55" t="s">
        <v>50</v>
      </c>
      <c r="AB16" s="216" t="s">
        <v>533</v>
      </c>
      <c r="AE16" s="223" t="s">
        <v>82</v>
      </c>
      <c r="AP16" s="224" t="s">
        <v>80</v>
      </c>
      <c r="AR16" s="238" t="s">
        <v>63</v>
      </c>
      <c r="AV16" s="224" t="s">
        <v>84</v>
      </c>
    </row>
    <row r="17" spans="1:48" x14ac:dyDescent="0.15">
      <c r="A17" s="55" t="s">
        <v>56</v>
      </c>
      <c r="B17" s="55" t="s">
        <v>383</v>
      </c>
      <c r="C17" s="216">
        <v>2018</v>
      </c>
      <c r="D17" s="86" t="s">
        <v>384</v>
      </c>
      <c r="E17" s="216" t="s">
        <v>381</v>
      </c>
      <c r="F17" s="216" t="s">
        <v>382</v>
      </c>
      <c r="G17" s="55" t="s">
        <v>42</v>
      </c>
      <c r="H17" s="216" t="s">
        <v>157</v>
      </c>
      <c r="I17" s="55" t="s">
        <v>153</v>
      </c>
      <c r="J17" s="216" t="s">
        <v>38</v>
      </c>
      <c r="K17" s="216" t="s">
        <v>154</v>
      </c>
      <c r="L17" s="208">
        <v>1</v>
      </c>
      <c r="N17" s="208">
        <v>1</v>
      </c>
      <c r="O17" s="208">
        <v>0.6</v>
      </c>
      <c r="P17" s="208">
        <v>0.7</v>
      </c>
      <c r="Q17" s="245">
        <f t="shared" si="0"/>
        <v>0.64999999999999991</v>
      </c>
      <c r="R17" s="208">
        <v>16</v>
      </c>
      <c r="S17" s="208">
        <v>145</v>
      </c>
      <c r="T17" s="217">
        <f t="shared" si="1"/>
        <v>22</v>
      </c>
      <c r="U17" s="208">
        <v>138</v>
      </c>
      <c r="V17" s="217">
        <f t="shared" si="2"/>
        <v>3036</v>
      </c>
      <c r="W17" s="208">
        <v>2</v>
      </c>
      <c r="X17" s="55" t="s">
        <v>46</v>
      </c>
      <c r="Y17" s="55" t="s">
        <v>84</v>
      </c>
      <c r="Z17" s="216" t="s">
        <v>90</v>
      </c>
      <c r="AA17" s="55" t="s">
        <v>50</v>
      </c>
      <c r="AB17" s="216" t="s">
        <v>533</v>
      </c>
      <c r="AE17" s="223" t="s">
        <v>85</v>
      </c>
      <c r="AP17" s="239" t="s">
        <v>110</v>
      </c>
      <c r="AR17" s="238" t="s">
        <v>96</v>
      </c>
      <c r="AV17" s="224" t="s">
        <v>86</v>
      </c>
    </row>
    <row r="18" spans="1:48" x14ac:dyDescent="0.15">
      <c r="A18" s="55" t="s">
        <v>56</v>
      </c>
      <c r="B18" s="55" t="s">
        <v>383</v>
      </c>
      <c r="C18" s="216">
        <v>2018</v>
      </c>
      <c r="D18" s="86" t="s">
        <v>384</v>
      </c>
      <c r="E18" s="216" t="s">
        <v>381</v>
      </c>
      <c r="F18" s="216" t="s">
        <v>382</v>
      </c>
      <c r="G18" s="55" t="s">
        <v>42</v>
      </c>
      <c r="H18" s="216" t="s">
        <v>157</v>
      </c>
      <c r="I18" s="55" t="s">
        <v>153</v>
      </c>
      <c r="J18" s="216" t="s">
        <v>38</v>
      </c>
      <c r="K18" s="216" t="s">
        <v>154</v>
      </c>
      <c r="L18" s="208">
        <v>2</v>
      </c>
      <c r="N18" s="208">
        <v>1</v>
      </c>
      <c r="O18" s="208">
        <v>0.65</v>
      </c>
      <c r="P18" s="208">
        <v>0.7</v>
      </c>
      <c r="Q18" s="245">
        <f t="shared" si="0"/>
        <v>0.67500000000000004</v>
      </c>
      <c r="R18" s="208">
        <v>15</v>
      </c>
      <c r="S18" s="208">
        <v>139</v>
      </c>
      <c r="T18" s="217">
        <f t="shared" si="1"/>
        <v>22</v>
      </c>
      <c r="U18" s="208">
        <v>138</v>
      </c>
      <c r="V18" s="217">
        <f t="shared" si="2"/>
        <v>3036</v>
      </c>
      <c r="W18" s="208">
        <v>2</v>
      </c>
      <c r="X18" s="55" t="s">
        <v>46</v>
      </c>
      <c r="Y18" s="55" t="s">
        <v>84</v>
      </c>
      <c r="Z18" s="216" t="s">
        <v>90</v>
      </c>
      <c r="AA18" s="55" t="s">
        <v>50</v>
      </c>
      <c r="AB18" s="216" t="s">
        <v>533</v>
      </c>
      <c r="AE18" s="223" t="s">
        <v>87</v>
      </c>
      <c r="AP18" s="239" t="s">
        <v>111</v>
      </c>
      <c r="AR18" s="238" t="s">
        <v>101</v>
      </c>
      <c r="AV18" s="224" t="s">
        <v>88</v>
      </c>
    </row>
    <row r="19" spans="1:48" x14ac:dyDescent="0.15">
      <c r="A19" s="55" t="s">
        <v>56</v>
      </c>
      <c r="B19" s="55" t="s">
        <v>373</v>
      </c>
      <c r="C19" s="216">
        <v>2018</v>
      </c>
      <c r="D19" s="86" t="s">
        <v>374</v>
      </c>
      <c r="E19" s="216" t="s">
        <v>381</v>
      </c>
      <c r="F19" s="216" t="s">
        <v>382</v>
      </c>
      <c r="G19" s="55" t="s">
        <v>42</v>
      </c>
      <c r="H19" s="216" t="s">
        <v>157</v>
      </c>
      <c r="I19" s="55" t="s">
        <v>153</v>
      </c>
      <c r="J19" s="216" t="s">
        <v>38</v>
      </c>
      <c r="K19" s="216" t="s">
        <v>154</v>
      </c>
      <c r="L19" s="208">
        <v>3</v>
      </c>
      <c r="N19" s="208">
        <v>1</v>
      </c>
      <c r="O19" s="208">
        <v>0.65</v>
      </c>
      <c r="P19" s="208">
        <v>0.7</v>
      </c>
      <c r="Q19" s="245">
        <f t="shared" si="0"/>
        <v>0.67500000000000004</v>
      </c>
      <c r="R19" s="237">
        <v>15.8</v>
      </c>
      <c r="S19" s="208">
        <v>147</v>
      </c>
      <c r="T19" s="217">
        <f t="shared" si="1"/>
        <v>22</v>
      </c>
      <c r="U19" s="208">
        <v>138</v>
      </c>
      <c r="V19" s="217">
        <f t="shared" si="2"/>
        <v>3036</v>
      </c>
      <c r="W19" s="208">
        <v>2</v>
      </c>
      <c r="X19" s="55" t="s">
        <v>46</v>
      </c>
      <c r="Y19" s="55" t="s">
        <v>84</v>
      </c>
      <c r="Z19" s="216" t="s">
        <v>90</v>
      </c>
      <c r="AA19" s="55" t="s">
        <v>50</v>
      </c>
      <c r="AB19" s="216" t="s">
        <v>533</v>
      </c>
      <c r="AE19" s="236" t="s">
        <v>89</v>
      </c>
      <c r="AP19" s="239" t="s">
        <v>112</v>
      </c>
      <c r="AR19" s="231" t="s">
        <v>126</v>
      </c>
      <c r="AV19" s="224" t="s">
        <v>90</v>
      </c>
    </row>
    <row r="20" spans="1:48" x14ac:dyDescent="0.15">
      <c r="A20" s="55" t="s">
        <v>56</v>
      </c>
      <c r="B20" s="55" t="s">
        <v>373</v>
      </c>
      <c r="C20" s="216">
        <v>2018</v>
      </c>
      <c r="D20" s="86" t="s">
        <v>374</v>
      </c>
      <c r="E20" s="216" t="s">
        <v>385</v>
      </c>
      <c r="F20" s="216" t="s">
        <v>386</v>
      </c>
      <c r="G20" s="55" t="s">
        <v>42</v>
      </c>
      <c r="H20" s="216" t="s">
        <v>155</v>
      </c>
      <c r="I20" s="55" t="s">
        <v>153</v>
      </c>
      <c r="J20" s="216" t="s">
        <v>38</v>
      </c>
      <c r="K20" s="216" t="s">
        <v>154</v>
      </c>
      <c r="L20" s="208">
        <v>1</v>
      </c>
      <c r="N20" s="208">
        <v>4</v>
      </c>
      <c r="O20" s="208">
        <v>0.75</v>
      </c>
      <c r="P20" s="208">
        <v>0.8</v>
      </c>
      <c r="Q20" s="245">
        <f t="shared" si="0"/>
        <v>0.77500000000000002</v>
      </c>
      <c r="R20" s="208">
        <v>13.7</v>
      </c>
      <c r="S20" s="208">
        <v>111</v>
      </c>
      <c r="T20" s="217">
        <f t="shared" si="1"/>
        <v>33</v>
      </c>
      <c r="U20" s="208">
        <v>377</v>
      </c>
      <c r="V20" s="217">
        <f t="shared" si="2"/>
        <v>3110.25</v>
      </c>
      <c r="W20" s="208">
        <v>2</v>
      </c>
      <c r="X20" s="55" t="s">
        <v>46</v>
      </c>
      <c r="Y20" s="55" t="s">
        <v>90</v>
      </c>
      <c r="Z20" s="216" t="s">
        <v>84</v>
      </c>
      <c r="AA20" s="55" t="s">
        <v>78</v>
      </c>
      <c r="AB20" s="216" t="s">
        <v>533</v>
      </c>
      <c r="AP20" s="239" t="s">
        <v>113</v>
      </c>
      <c r="AR20" s="238" t="s">
        <v>105</v>
      </c>
      <c r="AV20" s="228" t="s">
        <v>347</v>
      </c>
    </row>
    <row r="21" spans="1:48" x14ac:dyDescent="0.15">
      <c r="A21" s="55" t="s">
        <v>56</v>
      </c>
      <c r="B21" s="55" t="s">
        <v>373</v>
      </c>
      <c r="C21" s="216">
        <v>2018</v>
      </c>
      <c r="D21" s="86" t="s">
        <v>374</v>
      </c>
      <c r="E21" s="216" t="s">
        <v>385</v>
      </c>
      <c r="F21" s="216" t="s">
        <v>386</v>
      </c>
      <c r="G21" s="55" t="s">
        <v>42</v>
      </c>
      <c r="H21" s="216" t="s">
        <v>155</v>
      </c>
      <c r="I21" s="55" t="s">
        <v>153</v>
      </c>
      <c r="J21" s="216" t="s">
        <v>38</v>
      </c>
      <c r="K21" s="216" t="s">
        <v>154</v>
      </c>
      <c r="L21" s="208">
        <v>2</v>
      </c>
      <c r="N21" s="208">
        <v>4</v>
      </c>
      <c r="O21" s="208">
        <v>0.7</v>
      </c>
      <c r="P21" s="208">
        <v>0.65</v>
      </c>
      <c r="Q21" s="245">
        <f t="shared" si="0"/>
        <v>0.67500000000000004</v>
      </c>
      <c r="R21" s="208">
        <v>15.3</v>
      </c>
      <c r="S21" s="208">
        <v>110</v>
      </c>
      <c r="T21" s="217">
        <f t="shared" si="1"/>
        <v>33</v>
      </c>
      <c r="U21" s="208">
        <v>377</v>
      </c>
      <c r="V21" s="217">
        <f t="shared" si="2"/>
        <v>3110.25</v>
      </c>
      <c r="W21" s="208">
        <v>2</v>
      </c>
      <c r="X21" s="55" t="s">
        <v>46</v>
      </c>
      <c r="Y21" s="55" t="s">
        <v>90</v>
      </c>
      <c r="Z21" s="216" t="s">
        <v>84</v>
      </c>
      <c r="AA21" s="55" t="s">
        <v>78</v>
      </c>
      <c r="AB21" s="216" t="s">
        <v>533</v>
      </c>
      <c r="AP21" s="239" t="s">
        <v>114</v>
      </c>
      <c r="AR21" s="238" t="s">
        <v>68</v>
      </c>
      <c r="AV21" s="229" t="s">
        <v>387</v>
      </c>
    </row>
    <row r="22" spans="1:48" x14ac:dyDescent="0.15">
      <c r="A22" s="55" t="s">
        <v>56</v>
      </c>
      <c r="B22" s="55" t="s">
        <v>373</v>
      </c>
      <c r="C22" s="216">
        <v>2018</v>
      </c>
      <c r="D22" s="86" t="s">
        <v>374</v>
      </c>
      <c r="E22" s="216" t="s">
        <v>385</v>
      </c>
      <c r="F22" s="216" t="s">
        <v>386</v>
      </c>
      <c r="G22" s="55" t="s">
        <v>42</v>
      </c>
      <c r="H22" s="216" t="s">
        <v>155</v>
      </c>
      <c r="I22" s="55" t="s">
        <v>153</v>
      </c>
      <c r="J22" s="216" t="s">
        <v>38</v>
      </c>
      <c r="K22" s="216" t="s">
        <v>154</v>
      </c>
      <c r="L22" s="208">
        <v>3</v>
      </c>
      <c r="N22" s="208">
        <v>4</v>
      </c>
      <c r="O22" s="208">
        <v>0.8</v>
      </c>
      <c r="P22" s="208">
        <v>0.8</v>
      </c>
      <c r="Q22" s="245">
        <f t="shared" si="0"/>
        <v>0.8</v>
      </c>
      <c r="R22" s="237">
        <v>13.5</v>
      </c>
      <c r="S22" s="208">
        <v>110</v>
      </c>
      <c r="T22" s="217">
        <f t="shared" si="1"/>
        <v>33</v>
      </c>
      <c r="U22" s="208">
        <v>377</v>
      </c>
      <c r="V22" s="217">
        <f t="shared" si="2"/>
        <v>3110.25</v>
      </c>
      <c r="W22" s="208">
        <v>2</v>
      </c>
      <c r="X22" s="55" t="s">
        <v>46</v>
      </c>
      <c r="Y22" s="55" t="s">
        <v>90</v>
      </c>
      <c r="Z22" s="216" t="s">
        <v>84</v>
      </c>
      <c r="AA22" s="55" t="s">
        <v>78</v>
      </c>
      <c r="AB22" s="216" t="s">
        <v>533</v>
      </c>
      <c r="AP22" s="239" t="s">
        <v>115</v>
      </c>
      <c r="AR22" s="238" t="s">
        <v>83</v>
      </c>
    </row>
    <row r="23" spans="1:48" x14ac:dyDescent="0.15">
      <c r="A23" s="55" t="s">
        <v>56</v>
      </c>
      <c r="B23" s="55" t="s">
        <v>373</v>
      </c>
      <c r="C23" s="216">
        <v>2018</v>
      </c>
      <c r="D23" s="86" t="s">
        <v>374</v>
      </c>
      <c r="E23" s="216" t="s">
        <v>385</v>
      </c>
      <c r="F23" s="216" t="s">
        <v>386</v>
      </c>
      <c r="G23" s="55" t="s">
        <v>42</v>
      </c>
      <c r="H23" s="216" t="s">
        <v>157</v>
      </c>
      <c r="I23" s="55" t="s">
        <v>153</v>
      </c>
      <c r="J23" s="216" t="s">
        <v>38</v>
      </c>
      <c r="K23" s="216" t="s">
        <v>154</v>
      </c>
      <c r="L23" s="208">
        <v>1</v>
      </c>
      <c r="N23" s="208">
        <v>4</v>
      </c>
      <c r="O23" s="208">
        <v>0.65</v>
      </c>
      <c r="P23" s="208">
        <v>0.55000000000000004</v>
      </c>
      <c r="Q23" s="245">
        <f t="shared" si="0"/>
        <v>0.60000000000000009</v>
      </c>
      <c r="R23" s="208">
        <v>15.2</v>
      </c>
      <c r="S23" s="208">
        <v>96</v>
      </c>
      <c r="T23" s="217">
        <f t="shared" si="1"/>
        <v>36</v>
      </c>
      <c r="U23" s="208">
        <v>409</v>
      </c>
      <c r="V23" s="217">
        <f t="shared" si="2"/>
        <v>3681</v>
      </c>
      <c r="W23" s="208">
        <v>2</v>
      </c>
      <c r="X23" s="55" t="s">
        <v>46</v>
      </c>
      <c r="Y23" s="55" t="s">
        <v>90</v>
      </c>
      <c r="Z23" s="216" t="s">
        <v>84</v>
      </c>
      <c r="AA23" s="55" t="s">
        <v>78</v>
      </c>
      <c r="AB23" s="216" t="s">
        <v>533</v>
      </c>
      <c r="AP23" s="239" t="s">
        <v>388</v>
      </c>
      <c r="AR23" s="238" t="s">
        <v>61</v>
      </c>
    </row>
    <row r="24" spans="1:48" x14ac:dyDescent="0.15">
      <c r="A24" s="55" t="s">
        <v>56</v>
      </c>
      <c r="B24" s="55" t="s">
        <v>373</v>
      </c>
      <c r="C24" s="216">
        <v>2018</v>
      </c>
      <c r="D24" s="86" t="s">
        <v>374</v>
      </c>
      <c r="E24" s="216" t="s">
        <v>385</v>
      </c>
      <c r="F24" s="216" t="s">
        <v>386</v>
      </c>
      <c r="G24" s="55" t="s">
        <v>42</v>
      </c>
      <c r="H24" s="216" t="s">
        <v>157</v>
      </c>
      <c r="I24" s="55" t="s">
        <v>153</v>
      </c>
      <c r="J24" s="216" t="s">
        <v>38</v>
      </c>
      <c r="K24" s="216" t="s">
        <v>154</v>
      </c>
      <c r="L24" s="208">
        <v>2</v>
      </c>
      <c r="N24" s="208">
        <v>4</v>
      </c>
      <c r="O24" s="208">
        <v>0.55000000000000004</v>
      </c>
      <c r="P24" s="208">
        <v>0.6</v>
      </c>
      <c r="Q24" s="245">
        <f t="shared" si="0"/>
        <v>0.57499999999999996</v>
      </c>
      <c r="R24" s="208">
        <v>15.5</v>
      </c>
      <c r="S24" s="208">
        <v>100</v>
      </c>
      <c r="T24" s="217">
        <f t="shared" si="1"/>
        <v>33</v>
      </c>
      <c r="U24" s="208">
        <v>409</v>
      </c>
      <c r="V24" s="217">
        <f t="shared" si="2"/>
        <v>3374.25</v>
      </c>
      <c r="W24" s="208">
        <v>2</v>
      </c>
      <c r="X24" s="55" t="s">
        <v>46</v>
      </c>
      <c r="Y24" s="55" t="s">
        <v>90</v>
      </c>
      <c r="Z24" s="216" t="s">
        <v>84</v>
      </c>
      <c r="AA24" s="55" t="s">
        <v>78</v>
      </c>
      <c r="AB24" s="216" t="s">
        <v>533</v>
      </c>
      <c r="AP24" s="239" t="s">
        <v>389</v>
      </c>
      <c r="AR24" s="238" t="s">
        <v>91</v>
      </c>
    </row>
    <row r="25" spans="1:48" x14ac:dyDescent="0.15">
      <c r="A25" s="55" t="s">
        <v>56</v>
      </c>
      <c r="B25" s="55" t="s">
        <v>373</v>
      </c>
      <c r="C25" s="216">
        <v>2018</v>
      </c>
      <c r="D25" s="86" t="s">
        <v>374</v>
      </c>
      <c r="E25" s="216" t="s">
        <v>385</v>
      </c>
      <c r="F25" s="216" t="s">
        <v>386</v>
      </c>
      <c r="G25" s="55" t="s">
        <v>42</v>
      </c>
      <c r="H25" s="216" t="s">
        <v>157</v>
      </c>
      <c r="I25" s="55" t="s">
        <v>153</v>
      </c>
      <c r="J25" s="216" t="s">
        <v>38</v>
      </c>
      <c r="K25" s="216" t="s">
        <v>154</v>
      </c>
      <c r="L25" s="208">
        <v>3</v>
      </c>
      <c r="N25" s="208">
        <v>4</v>
      </c>
      <c r="O25" s="208">
        <v>0.6</v>
      </c>
      <c r="P25" s="208">
        <v>0.6</v>
      </c>
      <c r="Q25" s="245">
        <f t="shared" si="0"/>
        <v>0.6</v>
      </c>
      <c r="R25" s="237">
        <v>15.6</v>
      </c>
      <c r="S25" s="208">
        <v>101</v>
      </c>
      <c r="T25" s="217">
        <f t="shared" si="1"/>
        <v>33</v>
      </c>
      <c r="U25" s="208">
        <v>409</v>
      </c>
      <c r="V25" s="217">
        <f t="shared" si="2"/>
        <v>3374.25</v>
      </c>
      <c r="W25" s="208">
        <v>2</v>
      </c>
      <c r="X25" s="55" t="s">
        <v>46</v>
      </c>
      <c r="Y25" s="55" t="s">
        <v>90</v>
      </c>
      <c r="Z25" s="216" t="s">
        <v>84</v>
      </c>
      <c r="AA25" s="55" t="s">
        <v>78</v>
      </c>
      <c r="AB25" s="216" t="s">
        <v>533</v>
      </c>
      <c r="AP25" s="239" t="s">
        <v>116</v>
      </c>
      <c r="AR25" s="42" t="s">
        <v>92</v>
      </c>
    </row>
    <row r="26" spans="1:48" x14ac:dyDescent="0.15">
      <c r="A26" s="55" t="s">
        <v>56</v>
      </c>
      <c r="B26" s="55" t="s">
        <v>373</v>
      </c>
      <c r="C26" s="216">
        <v>2018</v>
      </c>
      <c r="D26" s="86" t="s">
        <v>374</v>
      </c>
      <c r="E26" s="216" t="s">
        <v>294</v>
      </c>
      <c r="F26" s="216" t="s">
        <v>163</v>
      </c>
      <c r="G26" s="55" t="s">
        <v>42</v>
      </c>
      <c r="H26" s="216" t="s">
        <v>155</v>
      </c>
      <c r="I26" s="55" t="s">
        <v>153</v>
      </c>
      <c r="J26" s="216" t="s">
        <v>38</v>
      </c>
      <c r="K26" s="216" t="s">
        <v>154</v>
      </c>
      <c r="L26" s="208">
        <v>1</v>
      </c>
      <c r="N26" s="208">
        <v>1</v>
      </c>
      <c r="O26" s="208">
        <v>1.1000000000000001</v>
      </c>
      <c r="P26" s="208">
        <v>1.1000000000000001</v>
      </c>
      <c r="Q26" s="245">
        <f t="shared" si="0"/>
        <v>1.1000000000000001</v>
      </c>
      <c r="R26" s="208">
        <v>14.2</v>
      </c>
      <c r="S26" s="208">
        <v>125</v>
      </c>
      <c r="T26" s="217">
        <f t="shared" si="1"/>
        <v>27</v>
      </c>
      <c r="U26" s="208">
        <v>105</v>
      </c>
      <c r="V26" s="217">
        <f t="shared" si="2"/>
        <v>2835</v>
      </c>
      <c r="W26" s="208">
        <v>3</v>
      </c>
      <c r="X26" s="55" t="s">
        <v>46</v>
      </c>
      <c r="Y26" s="55" t="s">
        <v>78</v>
      </c>
      <c r="Z26" s="216" t="s">
        <v>90</v>
      </c>
      <c r="AA26" s="55" t="s">
        <v>84</v>
      </c>
      <c r="AB26" s="216" t="s">
        <v>533</v>
      </c>
      <c r="AP26" s="239" t="s">
        <v>117</v>
      </c>
      <c r="AR26" s="208" t="s">
        <v>268</v>
      </c>
    </row>
    <row r="27" spans="1:48" x14ac:dyDescent="0.15">
      <c r="A27" s="55" t="s">
        <v>56</v>
      </c>
      <c r="B27" s="55" t="s">
        <v>373</v>
      </c>
      <c r="C27" s="216">
        <v>2018</v>
      </c>
      <c r="D27" s="86" t="s">
        <v>374</v>
      </c>
      <c r="E27" s="216" t="s">
        <v>294</v>
      </c>
      <c r="F27" s="216" t="s">
        <v>163</v>
      </c>
      <c r="G27" s="55" t="s">
        <v>42</v>
      </c>
      <c r="H27" s="216" t="s">
        <v>155</v>
      </c>
      <c r="I27" s="55" t="s">
        <v>153</v>
      </c>
      <c r="J27" s="216" t="s">
        <v>38</v>
      </c>
      <c r="K27" s="216" t="s">
        <v>154</v>
      </c>
      <c r="L27" s="208">
        <v>2</v>
      </c>
      <c r="N27" s="208">
        <v>1</v>
      </c>
      <c r="O27" s="208">
        <v>0.75</v>
      </c>
      <c r="P27" s="208">
        <v>0.8</v>
      </c>
      <c r="Q27" s="245">
        <f t="shared" si="0"/>
        <v>0.77500000000000002</v>
      </c>
      <c r="R27" s="208">
        <v>15</v>
      </c>
      <c r="S27" s="208">
        <v>126</v>
      </c>
      <c r="T27" s="217">
        <f t="shared" si="1"/>
        <v>27</v>
      </c>
      <c r="U27" s="208">
        <v>105</v>
      </c>
      <c r="V27" s="217">
        <f t="shared" si="2"/>
        <v>2835</v>
      </c>
      <c r="W27" s="208">
        <v>3</v>
      </c>
      <c r="X27" s="55" t="s">
        <v>46</v>
      </c>
      <c r="Y27" s="55" t="s">
        <v>78</v>
      </c>
      <c r="Z27" s="216" t="s">
        <v>90</v>
      </c>
      <c r="AA27" s="55" t="s">
        <v>84</v>
      </c>
      <c r="AB27" s="216" t="s">
        <v>533</v>
      </c>
      <c r="AP27" s="239" t="s">
        <v>118</v>
      </c>
    </row>
    <row r="28" spans="1:48" x14ac:dyDescent="0.15">
      <c r="A28" s="55" t="s">
        <v>56</v>
      </c>
      <c r="B28" s="55" t="s">
        <v>373</v>
      </c>
      <c r="C28" s="216">
        <v>2018</v>
      </c>
      <c r="D28" s="86" t="s">
        <v>374</v>
      </c>
      <c r="E28" s="216" t="s">
        <v>294</v>
      </c>
      <c r="F28" s="216" t="s">
        <v>163</v>
      </c>
      <c r="G28" s="55" t="s">
        <v>42</v>
      </c>
      <c r="H28" s="216" t="s">
        <v>155</v>
      </c>
      <c r="I28" s="55" t="s">
        <v>153</v>
      </c>
      <c r="J28" s="216" t="s">
        <v>38</v>
      </c>
      <c r="K28" s="216" t="s">
        <v>154</v>
      </c>
      <c r="L28" s="208">
        <v>3</v>
      </c>
      <c r="N28" s="208">
        <v>1</v>
      </c>
      <c r="O28" s="208">
        <v>0.85</v>
      </c>
      <c r="P28" s="208">
        <v>0.95</v>
      </c>
      <c r="Q28" s="245">
        <f t="shared" si="0"/>
        <v>0.89999999999999991</v>
      </c>
      <c r="R28" s="208">
        <v>14.9</v>
      </c>
      <c r="S28" s="208">
        <v>128</v>
      </c>
      <c r="T28" s="217">
        <f t="shared" si="1"/>
        <v>27</v>
      </c>
      <c r="U28" s="208">
        <v>105</v>
      </c>
      <c r="V28" s="217">
        <f t="shared" si="2"/>
        <v>2835</v>
      </c>
      <c r="W28" s="208">
        <v>3</v>
      </c>
      <c r="X28" s="55" t="s">
        <v>46</v>
      </c>
      <c r="Y28" s="55" t="s">
        <v>78</v>
      </c>
      <c r="Z28" s="216" t="s">
        <v>90</v>
      </c>
      <c r="AA28" s="55" t="s">
        <v>84</v>
      </c>
      <c r="AB28" s="216" t="s">
        <v>533</v>
      </c>
    </row>
    <row r="29" spans="1:48" x14ac:dyDescent="0.15">
      <c r="A29" s="55" t="s">
        <v>56</v>
      </c>
      <c r="B29" s="55" t="s">
        <v>373</v>
      </c>
      <c r="C29" s="216">
        <v>2018</v>
      </c>
      <c r="D29" s="86" t="s">
        <v>374</v>
      </c>
      <c r="E29" s="216" t="s">
        <v>294</v>
      </c>
      <c r="F29" s="216" t="s">
        <v>163</v>
      </c>
      <c r="G29" s="55" t="s">
        <v>42</v>
      </c>
      <c r="H29" s="216" t="s">
        <v>157</v>
      </c>
      <c r="I29" s="55" t="s">
        <v>153</v>
      </c>
      <c r="J29" s="216" t="s">
        <v>38</v>
      </c>
      <c r="K29" s="216" t="s">
        <v>154</v>
      </c>
      <c r="L29" s="208">
        <v>1</v>
      </c>
      <c r="N29" s="208">
        <v>1</v>
      </c>
      <c r="O29" s="208">
        <v>0.55000000000000004</v>
      </c>
      <c r="P29" s="208">
        <v>0.5</v>
      </c>
      <c r="Q29" s="245">
        <f t="shared" si="0"/>
        <v>0.52500000000000002</v>
      </c>
      <c r="R29" s="208">
        <v>16.600000000000001</v>
      </c>
      <c r="S29" s="208">
        <v>135</v>
      </c>
      <c r="T29" s="217">
        <f t="shared" si="1"/>
        <v>25</v>
      </c>
      <c r="U29" s="208">
        <v>149</v>
      </c>
      <c r="V29" s="217">
        <f t="shared" si="2"/>
        <v>3725</v>
      </c>
      <c r="W29" s="208">
        <v>1</v>
      </c>
      <c r="X29" s="55" t="s">
        <v>46</v>
      </c>
      <c r="Y29" s="55" t="s">
        <v>78</v>
      </c>
      <c r="Z29" s="216" t="s">
        <v>90</v>
      </c>
      <c r="AA29" s="55" t="s">
        <v>84</v>
      </c>
      <c r="AB29" s="216" t="s">
        <v>533</v>
      </c>
    </row>
    <row r="30" spans="1:48" x14ac:dyDescent="0.15">
      <c r="A30" s="55" t="s">
        <v>56</v>
      </c>
      <c r="B30" s="55" t="s">
        <v>373</v>
      </c>
      <c r="C30" s="216">
        <v>2018</v>
      </c>
      <c r="D30" s="86" t="s">
        <v>374</v>
      </c>
      <c r="E30" s="216" t="s">
        <v>294</v>
      </c>
      <c r="F30" s="216" t="s">
        <v>163</v>
      </c>
      <c r="G30" s="55" t="s">
        <v>42</v>
      </c>
      <c r="H30" s="216" t="s">
        <v>157</v>
      </c>
      <c r="I30" s="55" t="s">
        <v>153</v>
      </c>
      <c r="J30" s="216" t="s">
        <v>38</v>
      </c>
      <c r="K30" s="216" t="s">
        <v>154</v>
      </c>
      <c r="L30" s="208">
        <v>2</v>
      </c>
      <c r="N30" s="208">
        <v>1</v>
      </c>
      <c r="O30" s="208">
        <v>0.6</v>
      </c>
      <c r="P30" s="208">
        <v>0.6</v>
      </c>
      <c r="Q30" s="245">
        <f t="shared" si="0"/>
        <v>0.6</v>
      </c>
      <c r="R30" s="208">
        <v>16.100000000000001</v>
      </c>
      <c r="S30" s="208">
        <v>130</v>
      </c>
      <c r="T30" s="217">
        <f t="shared" si="1"/>
        <v>25</v>
      </c>
      <c r="U30" s="208">
        <v>149</v>
      </c>
      <c r="V30" s="217">
        <f t="shared" si="2"/>
        <v>3725</v>
      </c>
      <c r="W30" s="208">
        <v>1</v>
      </c>
      <c r="X30" s="55" t="s">
        <v>46</v>
      </c>
      <c r="Y30" s="55" t="s">
        <v>78</v>
      </c>
      <c r="Z30" s="216" t="s">
        <v>90</v>
      </c>
      <c r="AA30" s="55" t="s">
        <v>84</v>
      </c>
      <c r="AB30" s="216" t="s">
        <v>533</v>
      </c>
    </row>
    <row r="31" spans="1:48" x14ac:dyDescent="0.15">
      <c r="A31" s="55" t="s">
        <v>56</v>
      </c>
      <c r="B31" s="55" t="s">
        <v>373</v>
      </c>
      <c r="C31" s="216">
        <v>2018</v>
      </c>
      <c r="D31" s="86" t="s">
        <v>374</v>
      </c>
      <c r="E31" s="216" t="s">
        <v>294</v>
      </c>
      <c r="F31" s="216" t="s">
        <v>163</v>
      </c>
      <c r="G31" s="55" t="s">
        <v>42</v>
      </c>
      <c r="H31" s="216" t="s">
        <v>157</v>
      </c>
      <c r="I31" s="55" t="s">
        <v>153</v>
      </c>
      <c r="J31" s="216" t="s">
        <v>38</v>
      </c>
      <c r="K31" s="216" t="s">
        <v>154</v>
      </c>
      <c r="L31" s="208">
        <v>3</v>
      </c>
      <c r="N31" s="208">
        <v>1</v>
      </c>
      <c r="O31" s="208">
        <v>0.65</v>
      </c>
      <c r="P31" s="208">
        <v>0.6</v>
      </c>
      <c r="Q31" s="245">
        <f t="shared" si="0"/>
        <v>0.625</v>
      </c>
      <c r="R31" s="208">
        <v>17</v>
      </c>
      <c r="S31" s="208">
        <v>135</v>
      </c>
      <c r="T31" s="217">
        <f t="shared" si="1"/>
        <v>25</v>
      </c>
      <c r="U31" s="208">
        <v>149</v>
      </c>
      <c r="V31" s="217">
        <f t="shared" si="2"/>
        <v>3725</v>
      </c>
      <c r="W31" s="208">
        <v>1</v>
      </c>
      <c r="X31" s="55" t="s">
        <v>46</v>
      </c>
      <c r="Y31" s="55" t="s">
        <v>78</v>
      </c>
      <c r="Z31" s="216" t="s">
        <v>90</v>
      </c>
      <c r="AA31" s="55" t="s">
        <v>84</v>
      </c>
      <c r="AB31" s="216" t="s">
        <v>533</v>
      </c>
    </row>
    <row r="32" spans="1:48" x14ac:dyDescent="0.15">
      <c r="A32" s="55" t="s">
        <v>56</v>
      </c>
      <c r="B32" s="55" t="s">
        <v>373</v>
      </c>
      <c r="C32" s="216">
        <v>2018</v>
      </c>
      <c r="D32" s="86" t="s">
        <v>374</v>
      </c>
      <c r="E32" s="216" t="s">
        <v>390</v>
      </c>
      <c r="F32" s="216" t="s">
        <v>163</v>
      </c>
      <c r="G32" s="55" t="s">
        <v>42</v>
      </c>
      <c r="H32" s="216" t="s">
        <v>155</v>
      </c>
      <c r="I32" s="55" t="s">
        <v>153</v>
      </c>
      <c r="J32" s="216" t="s">
        <v>38</v>
      </c>
      <c r="K32" s="216" t="s">
        <v>154</v>
      </c>
      <c r="L32" s="208">
        <v>1</v>
      </c>
      <c r="N32" s="208">
        <v>1</v>
      </c>
      <c r="O32" s="208">
        <v>1.1000000000000001</v>
      </c>
      <c r="P32" s="208">
        <v>0.85</v>
      </c>
      <c r="Q32" s="217">
        <f t="shared" si="0"/>
        <v>0.97500000000000009</v>
      </c>
      <c r="R32" s="208">
        <v>15</v>
      </c>
      <c r="S32" s="208">
        <v>128</v>
      </c>
      <c r="T32" s="217">
        <f t="shared" si="1"/>
        <v>27</v>
      </c>
      <c r="U32" s="208">
        <v>138</v>
      </c>
      <c r="V32" s="217">
        <f t="shared" si="2"/>
        <v>3726</v>
      </c>
      <c r="W32" s="208">
        <v>1</v>
      </c>
      <c r="X32" s="55" t="s">
        <v>39</v>
      </c>
      <c r="Y32" s="55" t="s">
        <v>78</v>
      </c>
      <c r="Z32" s="216" t="s">
        <v>90</v>
      </c>
      <c r="AA32" s="55" t="s">
        <v>84</v>
      </c>
      <c r="AB32" s="216" t="s">
        <v>533</v>
      </c>
    </row>
    <row r="33" spans="1:28" x14ac:dyDescent="0.15">
      <c r="A33" s="55" t="s">
        <v>56</v>
      </c>
      <c r="B33" s="55" t="s">
        <v>373</v>
      </c>
      <c r="C33" s="216">
        <v>2018</v>
      </c>
      <c r="D33" s="86" t="s">
        <v>374</v>
      </c>
      <c r="E33" s="216" t="s">
        <v>390</v>
      </c>
      <c r="F33" s="216" t="s">
        <v>163</v>
      </c>
      <c r="G33" s="55" t="s">
        <v>42</v>
      </c>
      <c r="H33" s="216" t="s">
        <v>155</v>
      </c>
      <c r="I33" s="55" t="s">
        <v>153</v>
      </c>
      <c r="J33" s="216" t="s">
        <v>38</v>
      </c>
      <c r="K33" s="216" t="s">
        <v>154</v>
      </c>
      <c r="L33" s="208">
        <v>2</v>
      </c>
      <c r="N33" s="208">
        <v>1</v>
      </c>
      <c r="O33" s="208">
        <v>0.95</v>
      </c>
      <c r="P33" s="208">
        <v>1</v>
      </c>
      <c r="Q33" s="217">
        <f t="shared" si="0"/>
        <v>0.97499999999999998</v>
      </c>
      <c r="R33" s="208">
        <v>14.2</v>
      </c>
      <c r="S33" s="208">
        <v>127</v>
      </c>
      <c r="T33" s="217">
        <f t="shared" si="1"/>
        <v>27</v>
      </c>
      <c r="U33" s="208">
        <v>138</v>
      </c>
      <c r="V33" s="217">
        <f t="shared" si="2"/>
        <v>3726</v>
      </c>
      <c r="W33" s="208">
        <v>1</v>
      </c>
      <c r="X33" s="55" t="s">
        <v>39</v>
      </c>
      <c r="Y33" s="55" t="s">
        <v>78</v>
      </c>
      <c r="Z33" s="216" t="s">
        <v>90</v>
      </c>
      <c r="AA33" s="55" t="s">
        <v>84</v>
      </c>
      <c r="AB33" s="216" t="s">
        <v>533</v>
      </c>
    </row>
    <row r="34" spans="1:28" x14ac:dyDescent="0.15">
      <c r="A34" s="55" t="s">
        <v>56</v>
      </c>
      <c r="B34" s="55" t="s">
        <v>373</v>
      </c>
      <c r="C34" s="216">
        <v>2018</v>
      </c>
      <c r="D34" s="86" t="s">
        <v>374</v>
      </c>
      <c r="E34" s="216" t="s">
        <v>390</v>
      </c>
      <c r="F34" s="216" t="s">
        <v>163</v>
      </c>
      <c r="G34" s="55" t="s">
        <v>42</v>
      </c>
      <c r="H34" s="216" t="s">
        <v>155</v>
      </c>
      <c r="I34" s="55" t="s">
        <v>153</v>
      </c>
      <c r="J34" s="216" t="s">
        <v>38</v>
      </c>
      <c r="K34" s="216" t="s">
        <v>154</v>
      </c>
      <c r="L34" s="208">
        <v>3</v>
      </c>
      <c r="N34" s="208">
        <v>1</v>
      </c>
      <c r="O34" s="208">
        <v>0.8</v>
      </c>
      <c r="P34" s="208">
        <v>0.85</v>
      </c>
      <c r="Q34" s="217">
        <f t="shared" si="0"/>
        <v>0.82499999999999996</v>
      </c>
      <c r="R34" s="208">
        <v>13.9</v>
      </c>
      <c r="S34" s="208">
        <v>131</v>
      </c>
      <c r="T34" s="217">
        <f t="shared" si="1"/>
        <v>25</v>
      </c>
      <c r="U34" s="208">
        <v>138</v>
      </c>
      <c r="V34" s="217">
        <f t="shared" si="2"/>
        <v>3450</v>
      </c>
      <c r="W34" s="208">
        <v>1</v>
      </c>
      <c r="X34" s="55" t="s">
        <v>39</v>
      </c>
      <c r="Y34" s="55" t="s">
        <v>78</v>
      </c>
      <c r="Z34" s="216" t="s">
        <v>90</v>
      </c>
      <c r="AA34" s="55" t="s">
        <v>84</v>
      </c>
      <c r="AB34" s="216" t="s">
        <v>533</v>
      </c>
    </row>
    <row r="35" spans="1:28" x14ac:dyDescent="0.15">
      <c r="A35" s="55" t="s">
        <v>56</v>
      </c>
      <c r="B35" s="55" t="s">
        <v>373</v>
      </c>
      <c r="C35" s="216">
        <v>2018</v>
      </c>
      <c r="D35" s="86" t="s">
        <v>374</v>
      </c>
      <c r="E35" s="216" t="s">
        <v>390</v>
      </c>
      <c r="F35" s="216" t="s">
        <v>163</v>
      </c>
      <c r="G35" s="55" t="s">
        <v>42</v>
      </c>
      <c r="H35" s="216" t="s">
        <v>157</v>
      </c>
      <c r="I35" s="55" t="s">
        <v>153</v>
      </c>
      <c r="J35" s="216" t="s">
        <v>38</v>
      </c>
      <c r="K35" s="216" t="s">
        <v>154</v>
      </c>
      <c r="L35" s="208">
        <v>1</v>
      </c>
      <c r="N35" s="208">
        <v>1</v>
      </c>
      <c r="O35" s="208">
        <v>0.5</v>
      </c>
      <c r="P35" s="208">
        <v>0.55000000000000004</v>
      </c>
      <c r="Q35" s="217">
        <f t="shared" si="0"/>
        <v>0.52500000000000002</v>
      </c>
      <c r="R35" s="208">
        <v>14.2</v>
      </c>
      <c r="S35" s="208">
        <v>126</v>
      </c>
      <c r="T35" s="217">
        <f t="shared" si="1"/>
        <v>27</v>
      </c>
      <c r="U35" s="208">
        <v>177</v>
      </c>
      <c r="V35" s="217">
        <f t="shared" si="2"/>
        <v>4779</v>
      </c>
      <c r="W35" s="208">
        <v>1</v>
      </c>
      <c r="X35" s="55" t="s">
        <v>39</v>
      </c>
      <c r="Y35" s="55" t="s">
        <v>78</v>
      </c>
      <c r="Z35" s="216" t="s">
        <v>90</v>
      </c>
      <c r="AA35" s="55" t="s">
        <v>84</v>
      </c>
      <c r="AB35" s="216" t="s">
        <v>533</v>
      </c>
    </row>
    <row r="36" spans="1:28" x14ac:dyDescent="0.15">
      <c r="A36" s="55" t="s">
        <v>56</v>
      </c>
      <c r="B36" s="55" t="s">
        <v>373</v>
      </c>
      <c r="C36" s="216">
        <v>2018</v>
      </c>
      <c r="D36" s="86" t="s">
        <v>374</v>
      </c>
      <c r="E36" s="216" t="s">
        <v>390</v>
      </c>
      <c r="F36" s="216" t="s">
        <v>163</v>
      </c>
      <c r="G36" s="55" t="s">
        <v>42</v>
      </c>
      <c r="H36" s="216" t="s">
        <v>157</v>
      </c>
      <c r="I36" s="55" t="s">
        <v>153</v>
      </c>
      <c r="J36" s="216" t="s">
        <v>38</v>
      </c>
      <c r="K36" s="216" t="s">
        <v>154</v>
      </c>
      <c r="L36" s="208">
        <v>2</v>
      </c>
      <c r="N36" s="208">
        <v>1</v>
      </c>
      <c r="O36" s="208">
        <v>0.6</v>
      </c>
      <c r="P36" s="208">
        <v>0.65</v>
      </c>
      <c r="Q36" s="217">
        <f t="shared" si="0"/>
        <v>0.625</v>
      </c>
      <c r="R36" s="208">
        <v>14.5</v>
      </c>
      <c r="S36" s="208">
        <v>132</v>
      </c>
      <c r="T36" s="217">
        <f t="shared" si="1"/>
        <v>25</v>
      </c>
      <c r="U36" s="208">
        <v>177</v>
      </c>
      <c r="V36" s="217">
        <f t="shared" si="2"/>
        <v>4425</v>
      </c>
      <c r="W36" s="208">
        <v>1</v>
      </c>
      <c r="X36" s="55" t="s">
        <v>39</v>
      </c>
      <c r="Y36" s="55" t="s">
        <v>78</v>
      </c>
      <c r="Z36" s="216" t="s">
        <v>90</v>
      </c>
      <c r="AA36" s="55" t="s">
        <v>84</v>
      </c>
      <c r="AB36" s="216" t="s">
        <v>533</v>
      </c>
    </row>
    <row r="37" spans="1:28" x14ac:dyDescent="0.15">
      <c r="A37" s="55" t="s">
        <v>56</v>
      </c>
      <c r="B37" s="55" t="s">
        <v>373</v>
      </c>
      <c r="C37" s="216">
        <v>2018</v>
      </c>
      <c r="D37" s="86" t="s">
        <v>374</v>
      </c>
      <c r="E37" s="216" t="s">
        <v>390</v>
      </c>
      <c r="F37" s="216" t="s">
        <v>163</v>
      </c>
      <c r="G37" s="55" t="s">
        <v>42</v>
      </c>
      <c r="H37" s="216" t="s">
        <v>157</v>
      </c>
      <c r="I37" s="55" t="s">
        <v>153</v>
      </c>
      <c r="J37" s="216" t="s">
        <v>38</v>
      </c>
      <c r="K37" s="216" t="s">
        <v>154</v>
      </c>
      <c r="L37" s="208">
        <v>3</v>
      </c>
      <c r="N37" s="208">
        <v>1</v>
      </c>
      <c r="O37" s="208">
        <v>0.6</v>
      </c>
      <c r="P37" s="208">
        <v>0.7</v>
      </c>
      <c r="Q37" s="217">
        <f t="shared" si="0"/>
        <v>0.64999999999999991</v>
      </c>
      <c r="R37" s="208">
        <v>14.2</v>
      </c>
      <c r="S37" s="208">
        <v>127</v>
      </c>
      <c r="T37" s="217">
        <f t="shared" si="1"/>
        <v>27</v>
      </c>
      <c r="U37" s="208">
        <v>177</v>
      </c>
      <c r="V37" s="217">
        <f t="shared" si="2"/>
        <v>4779</v>
      </c>
      <c r="W37" s="208">
        <v>1</v>
      </c>
      <c r="X37" s="55" t="s">
        <v>39</v>
      </c>
      <c r="Y37" s="55" t="s">
        <v>78</v>
      </c>
      <c r="Z37" s="216" t="s">
        <v>90</v>
      </c>
      <c r="AA37" s="55" t="s">
        <v>84</v>
      </c>
      <c r="AB37" s="216" t="s">
        <v>533</v>
      </c>
    </row>
    <row r="38" spans="1:28" x14ac:dyDescent="0.15">
      <c r="A38" s="55" t="s">
        <v>56</v>
      </c>
      <c r="B38" s="55" t="s">
        <v>373</v>
      </c>
      <c r="C38" s="216">
        <v>2018</v>
      </c>
      <c r="D38" s="86" t="s">
        <v>374</v>
      </c>
      <c r="E38" s="216" t="s">
        <v>164</v>
      </c>
      <c r="F38" s="216" t="s">
        <v>386</v>
      </c>
      <c r="G38" s="55" t="s">
        <v>42</v>
      </c>
      <c r="H38" s="216" t="s">
        <v>155</v>
      </c>
      <c r="I38" s="55" t="s">
        <v>156</v>
      </c>
      <c r="J38" s="216" t="s">
        <v>38</v>
      </c>
      <c r="K38" s="216" t="s">
        <v>154</v>
      </c>
      <c r="L38" s="208">
        <v>1</v>
      </c>
      <c r="N38" s="208">
        <v>4</v>
      </c>
      <c r="O38" s="208">
        <v>0.75</v>
      </c>
      <c r="P38" s="208">
        <v>0.7</v>
      </c>
      <c r="Q38" s="217">
        <f t="shared" si="0"/>
        <v>0.72499999999999998</v>
      </c>
      <c r="R38" s="208">
        <v>14</v>
      </c>
      <c r="S38" s="208">
        <v>111</v>
      </c>
      <c r="T38" s="217">
        <f t="shared" si="1"/>
        <v>33</v>
      </c>
      <c r="U38" s="208">
        <v>539</v>
      </c>
      <c r="V38" s="217">
        <f t="shared" si="2"/>
        <v>4446.75</v>
      </c>
      <c r="W38" s="208">
        <v>5</v>
      </c>
      <c r="X38" s="55" t="s">
        <v>39</v>
      </c>
      <c r="Y38" s="55" t="s">
        <v>90</v>
      </c>
      <c r="Z38" s="208" t="s">
        <v>102</v>
      </c>
      <c r="AA38" s="55" t="s">
        <v>55</v>
      </c>
      <c r="AB38" s="216" t="s">
        <v>533</v>
      </c>
    </row>
    <row r="39" spans="1:28" x14ac:dyDescent="0.15">
      <c r="A39" s="55" t="s">
        <v>56</v>
      </c>
      <c r="B39" s="55" t="s">
        <v>373</v>
      </c>
      <c r="C39" s="216">
        <v>2018</v>
      </c>
      <c r="D39" s="86" t="s">
        <v>374</v>
      </c>
      <c r="E39" s="216" t="s">
        <v>164</v>
      </c>
      <c r="F39" s="216" t="s">
        <v>386</v>
      </c>
      <c r="G39" s="55" t="s">
        <v>42</v>
      </c>
      <c r="H39" s="216" t="s">
        <v>155</v>
      </c>
      <c r="I39" s="55" t="s">
        <v>156</v>
      </c>
      <c r="J39" s="216" t="s">
        <v>38</v>
      </c>
      <c r="K39" s="216" t="s">
        <v>154</v>
      </c>
      <c r="L39" s="208">
        <v>2</v>
      </c>
      <c r="N39" s="208">
        <v>4</v>
      </c>
      <c r="O39" s="208">
        <v>0.85</v>
      </c>
      <c r="P39" s="208">
        <v>0.85</v>
      </c>
      <c r="Q39" s="217">
        <f t="shared" si="0"/>
        <v>0.85</v>
      </c>
      <c r="R39" s="208">
        <v>12.1</v>
      </c>
      <c r="S39" s="208">
        <v>107</v>
      </c>
      <c r="T39" s="217">
        <f t="shared" si="1"/>
        <v>33</v>
      </c>
      <c r="U39" s="208">
        <v>539</v>
      </c>
      <c r="V39" s="217">
        <f t="shared" si="2"/>
        <v>4446.75</v>
      </c>
      <c r="W39" s="208">
        <v>5</v>
      </c>
      <c r="X39" s="55" t="s">
        <v>39</v>
      </c>
      <c r="Y39" s="55" t="s">
        <v>90</v>
      </c>
      <c r="Z39" s="208" t="s">
        <v>102</v>
      </c>
      <c r="AA39" s="55" t="s">
        <v>55</v>
      </c>
      <c r="AB39" s="216" t="s">
        <v>533</v>
      </c>
    </row>
    <row r="40" spans="1:28" x14ac:dyDescent="0.15">
      <c r="A40" s="55" t="s">
        <v>56</v>
      </c>
      <c r="B40" s="55" t="s">
        <v>373</v>
      </c>
      <c r="C40" s="216">
        <v>2018</v>
      </c>
      <c r="D40" s="86" t="s">
        <v>374</v>
      </c>
      <c r="E40" s="216" t="s">
        <v>164</v>
      </c>
      <c r="F40" s="216" t="s">
        <v>386</v>
      </c>
      <c r="G40" s="55" t="s">
        <v>42</v>
      </c>
      <c r="H40" s="216" t="s">
        <v>155</v>
      </c>
      <c r="I40" s="55" t="s">
        <v>156</v>
      </c>
      <c r="J40" s="216" t="s">
        <v>38</v>
      </c>
      <c r="K40" s="216" t="s">
        <v>154</v>
      </c>
      <c r="L40" s="208">
        <v>3</v>
      </c>
      <c r="N40" s="208">
        <v>4</v>
      </c>
      <c r="O40" s="208">
        <v>0.8</v>
      </c>
      <c r="P40" s="208">
        <v>0.75</v>
      </c>
      <c r="Q40" s="217">
        <f t="shared" si="0"/>
        <v>0.77500000000000002</v>
      </c>
      <c r="R40" s="208">
        <v>13.3</v>
      </c>
      <c r="S40" s="208">
        <v>111</v>
      </c>
      <c r="T40" s="217">
        <f t="shared" si="1"/>
        <v>33</v>
      </c>
      <c r="U40" s="208">
        <v>539</v>
      </c>
      <c r="V40" s="217">
        <f t="shared" si="2"/>
        <v>4446.75</v>
      </c>
      <c r="W40" s="208">
        <v>5</v>
      </c>
      <c r="X40" s="55" t="s">
        <v>39</v>
      </c>
      <c r="Y40" s="55" t="s">
        <v>90</v>
      </c>
      <c r="Z40" s="208" t="s">
        <v>102</v>
      </c>
      <c r="AA40" s="55" t="s">
        <v>55</v>
      </c>
      <c r="AB40" s="216" t="s">
        <v>533</v>
      </c>
    </row>
    <row r="41" spans="1:28" x14ac:dyDescent="0.15">
      <c r="A41" s="55" t="s">
        <v>56</v>
      </c>
      <c r="B41" s="55" t="s">
        <v>373</v>
      </c>
      <c r="C41" s="216">
        <v>2018</v>
      </c>
      <c r="D41" s="86" t="s">
        <v>374</v>
      </c>
      <c r="E41" s="216" t="s">
        <v>294</v>
      </c>
      <c r="F41" s="216" t="s">
        <v>386</v>
      </c>
      <c r="G41" s="55" t="s">
        <v>42</v>
      </c>
      <c r="H41" s="216" t="s">
        <v>155</v>
      </c>
      <c r="I41" s="55" t="s">
        <v>153</v>
      </c>
      <c r="J41" s="216" t="s">
        <v>38</v>
      </c>
      <c r="K41" s="216" t="s">
        <v>154</v>
      </c>
      <c r="L41" s="208">
        <v>1</v>
      </c>
      <c r="N41" s="208">
        <v>1</v>
      </c>
      <c r="O41" s="208">
        <v>1.1499999999999999</v>
      </c>
      <c r="P41" s="208">
        <v>1.1499999999999999</v>
      </c>
      <c r="Q41" s="217">
        <f t="shared" si="0"/>
        <v>1.1499999999999999</v>
      </c>
      <c r="R41" s="208">
        <v>14.2</v>
      </c>
      <c r="S41" s="208">
        <v>128</v>
      </c>
      <c r="T41" s="217">
        <f t="shared" si="1"/>
        <v>27</v>
      </c>
      <c r="U41" s="208">
        <v>105</v>
      </c>
      <c r="V41" s="217">
        <f t="shared" si="2"/>
        <v>2835</v>
      </c>
      <c r="W41" s="208">
        <v>7</v>
      </c>
      <c r="X41" s="55" t="s">
        <v>39</v>
      </c>
      <c r="Y41" s="55" t="s">
        <v>55</v>
      </c>
      <c r="Z41" s="208" t="s">
        <v>84</v>
      </c>
      <c r="AA41" s="55" t="s">
        <v>90</v>
      </c>
      <c r="AB41" s="216" t="s">
        <v>533</v>
      </c>
    </row>
    <row r="42" spans="1:28" x14ac:dyDescent="0.15">
      <c r="A42" s="55" t="s">
        <v>56</v>
      </c>
      <c r="B42" s="55" t="s">
        <v>373</v>
      </c>
      <c r="C42" s="216">
        <v>2018</v>
      </c>
      <c r="D42" s="86" t="s">
        <v>374</v>
      </c>
      <c r="E42" s="216" t="s">
        <v>294</v>
      </c>
      <c r="F42" s="216" t="s">
        <v>386</v>
      </c>
      <c r="G42" s="55" t="s">
        <v>42</v>
      </c>
      <c r="H42" s="216" t="s">
        <v>155</v>
      </c>
      <c r="I42" s="55" t="s">
        <v>153</v>
      </c>
      <c r="J42" s="216" t="s">
        <v>38</v>
      </c>
      <c r="K42" s="216" t="s">
        <v>154</v>
      </c>
      <c r="L42" s="208">
        <v>2</v>
      </c>
      <c r="N42" s="208">
        <v>1</v>
      </c>
      <c r="O42" s="208">
        <v>0.8</v>
      </c>
      <c r="P42" s="208">
        <v>0.8</v>
      </c>
      <c r="Q42" s="217">
        <f t="shared" si="0"/>
        <v>0.8</v>
      </c>
      <c r="R42" s="208">
        <v>12.7</v>
      </c>
      <c r="S42" s="208">
        <v>126</v>
      </c>
      <c r="T42" s="217">
        <f t="shared" si="1"/>
        <v>27</v>
      </c>
      <c r="U42" s="208">
        <v>105</v>
      </c>
      <c r="V42" s="217">
        <f t="shared" si="2"/>
        <v>2835</v>
      </c>
      <c r="W42" s="208">
        <v>7</v>
      </c>
      <c r="X42" s="55" t="s">
        <v>39</v>
      </c>
      <c r="Y42" s="55" t="s">
        <v>55</v>
      </c>
      <c r="Z42" s="208" t="s">
        <v>84</v>
      </c>
      <c r="AA42" s="55" t="s">
        <v>90</v>
      </c>
      <c r="AB42" s="216" t="s">
        <v>533</v>
      </c>
    </row>
    <row r="43" spans="1:28" x14ac:dyDescent="0.15">
      <c r="A43" s="55" t="s">
        <v>56</v>
      </c>
      <c r="B43" s="55" t="s">
        <v>373</v>
      </c>
      <c r="C43" s="216">
        <v>2018</v>
      </c>
      <c r="D43" s="86" t="s">
        <v>374</v>
      </c>
      <c r="E43" s="216" t="s">
        <v>294</v>
      </c>
      <c r="F43" s="216" t="s">
        <v>386</v>
      </c>
      <c r="G43" s="55" t="s">
        <v>42</v>
      </c>
      <c r="H43" s="216" t="s">
        <v>155</v>
      </c>
      <c r="I43" s="55" t="s">
        <v>153</v>
      </c>
      <c r="J43" s="216" t="s">
        <v>38</v>
      </c>
      <c r="K43" s="216" t="s">
        <v>154</v>
      </c>
      <c r="L43" s="208">
        <v>3</v>
      </c>
      <c r="N43" s="208">
        <v>1</v>
      </c>
      <c r="O43" s="208">
        <v>0.75</v>
      </c>
      <c r="P43" s="208">
        <v>0.75</v>
      </c>
      <c r="Q43" s="217">
        <f t="shared" si="0"/>
        <v>0.75</v>
      </c>
      <c r="R43" s="208">
        <v>14.3</v>
      </c>
      <c r="S43" s="208">
        <v>126</v>
      </c>
      <c r="T43" s="217">
        <f t="shared" si="1"/>
        <v>27</v>
      </c>
      <c r="U43" s="208">
        <v>105</v>
      </c>
      <c r="V43" s="217">
        <f t="shared" si="2"/>
        <v>2835</v>
      </c>
      <c r="W43" s="208">
        <v>7</v>
      </c>
      <c r="X43" s="55" t="s">
        <v>39</v>
      </c>
      <c r="Y43" s="55" t="s">
        <v>55</v>
      </c>
      <c r="Z43" s="208" t="s">
        <v>84</v>
      </c>
      <c r="AA43" s="55" t="s">
        <v>90</v>
      </c>
      <c r="AB43" s="216" t="s">
        <v>533</v>
      </c>
    </row>
    <row r="44" spans="1:28" x14ac:dyDescent="0.15">
      <c r="A44" s="55" t="s">
        <v>56</v>
      </c>
      <c r="B44" s="55" t="s">
        <v>373</v>
      </c>
      <c r="C44" s="216">
        <v>2018</v>
      </c>
      <c r="D44" s="86" t="s">
        <v>374</v>
      </c>
      <c r="E44" s="216" t="s">
        <v>294</v>
      </c>
      <c r="F44" s="216" t="s">
        <v>386</v>
      </c>
      <c r="G44" s="55" t="s">
        <v>42</v>
      </c>
      <c r="H44" s="216" t="s">
        <v>157</v>
      </c>
      <c r="I44" s="55" t="s">
        <v>153</v>
      </c>
      <c r="J44" s="216" t="s">
        <v>38</v>
      </c>
      <c r="K44" s="216" t="s">
        <v>154</v>
      </c>
      <c r="L44" s="208">
        <v>1</v>
      </c>
      <c r="N44" s="208">
        <v>1</v>
      </c>
      <c r="O44" s="208">
        <v>0.6</v>
      </c>
      <c r="P44" s="208">
        <v>0.6</v>
      </c>
      <c r="Q44" s="217">
        <f t="shared" si="0"/>
        <v>0.6</v>
      </c>
      <c r="R44" s="208">
        <v>15.4</v>
      </c>
      <c r="S44" s="208">
        <v>143</v>
      </c>
      <c r="T44" s="217">
        <f t="shared" si="1"/>
        <v>22</v>
      </c>
      <c r="U44" s="208">
        <v>149</v>
      </c>
      <c r="V44" s="217">
        <f t="shared" si="2"/>
        <v>3278</v>
      </c>
      <c r="W44" s="208">
        <v>3</v>
      </c>
      <c r="X44" s="55" t="s">
        <v>39</v>
      </c>
      <c r="Y44" s="55" t="s">
        <v>55</v>
      </c>
      <c r="Z44" s="208" t="s">
        <v>84</v>
      </c>
      <c r="AA44" s="55" t="s">
        <v>90</v>
      </c>
      <c r="AB44" s="216" t="s">
        <v>533</v>
      </c>
    </row>
    <row r="45" spans="1:28" x14ac:dyDescent="0.15">
      <c r="A45" s="55" t="s">
        <v>56</v>
      </c>
      <c r="B45" s="55" t="s">
        <v>373</v>
      </c>
      <c r="C45" s="216">
        <v>2018</v>
      </c>
      <c r="D45" s="86" t="s">
        <v>374</v>
      </c>
      <c r="E45" s="216" t="s">
        <v>294</v>
      </c>
      <c r="F45" s="216" t="s">
        <v>386</v>
      </c>
      <c r="G45" s="55" t="s">
        <v>42</v>
      </c>
      <c r="H45" s="216" t="s">
        <v>157</v>
      </c>
      <c r="I45" s="55" t="s">
        <v>153</v>
      </c>
      <c r="J45" s="216" t="s">
        <v>38</v>
      </c>
      <c r="K45" s="216" t="s">
        <v>154</v>
      </c>
      <c r="L45" s="208">
        <v>2</v>
      </c>
      <c r="N45" s="208">
        <v>1</v>
      </c>
      <c r="O45" s="208">
        <v>0.6</v>
      </c>
      <c r="P45" s="208">
        <v>0.6</v>
      </c>
      <c r="Q45" s="217">
        <f t="shared" si="0"/>
        <v>0.6</v>
      </c>
      <c r="R45" s="208">
        <v>15.4</v>
      </c>
      <c r="S45" s="208">
        <v>135</v>
      </c>
      <c r="T45" s="217">
        <f t="shared" si="1"/>
        <v>25</v>
      </c>
      <c r="U45" s="208">
        <v>149</v>
      </c>
      <c r="V45" s="217">
        <f t="shared" si="2"/>
        <v>3725</v>
      </c>
      <c r="W45" s="208">
        <v>3</v>
      </c>
      <c r="X45" s="55" t="s">
        <v>39</v>
      </c>
      <c r="Y45" s="55" t="s">
        <v>55</v>
      </c>
      <c r="Z45" s="208" t="s">
        <v>84</v>
      </c>
      <c r="AA45" s="55" t="s">
        <v>90</v>
      </c>
      <c r="AB45" s="216" t="s">
        <v>533</v>
      </c>
    </row>
    <row r="46" spans="1:28" x14ac:dyDescent="0.15">
      <c r="A46" s="55" t="s">
        <v>56</v>
      </c>
      <c r="B46" s="55" t="s">
        <v>373</v>
      </c>
      <c r="C46" s="216">
        <v>2018</v>
      </c>
      <c r="D46" s="86" t="s">
        <v>374</v>
      </c>
      <c r="E46" s="216" t="s">
        <v>294</v>
      </c>
      <c r="F46" s="216" t="s">
        <v>386</v>
      </c>
      <c r="G46" s="55" t="s">
        <v>42</v>
      </c>
      <c r="H46" s="216" t="s">
        <v>157</v>
      </c>
      <c r="I46" s="55" t="s">
        <v>153</v>
      </c>
      <c r="J46" s="216" t="s">
        <v>38</v>
      </c>
      <c r="K46" s="216" t="s">
        <v>154</v>
      </c>
      <c r="L46" s="208">
        <v>3</v>
      </c>
      <c r="N46" s="208">
        <v>1</v>
      </c>
      <c r="O46" s="208">
        <v>0.7</v>
      </c>
      <c r="P46" s="208">
        <v>0.65</v>
      </c>
      <c r="Q46" s="217">
        <f t="shared" si="0"/>
        <v>0.67500000000000004</v>
      </c>
      <c r="R46" s="208">
        <v>15</v>
      </c>
      <c r="S46" s="208">
        <v>137</v>
      </c>
      <c r="T46" s="217">
        <f t="shared" si="1"/>
        <v>25</v>
      </c>
      <c r="U46" s="208">
        <v>149</v>
      </c>
      <c r="V46" s="217">
        <f t="shared" si="2"/>
        <v>3725</v>
      </c>
      <c r="W46" s="208">
        <v>3</v>
      </c>
      <c r="X46" s="55" t="s">
        <v>39</v>
      </c>
      <c r="Y46" s="55" t="s">
        <v>55</v>
      </c>
      <c r="Z46" s="208" t="s">
        <v>84</v>
      </c>
      <c r="AA46" s="55" t="s">
        <v>90</v>
      </c>
      <c r="AB46" s="216" t="s">
        <v>533</v>
      </c>
    </row>
    <row r="47" spans="1:28" x14ac:dyDescent="0.15">
      <c r="A47" s="55" t="s">
        <v>56</v>
      </c>
      <c r="B47" s="55" t="s">
        <v>373</v>
      </c>
      <c r="C47" s="216">
        <v>2018</v>
      </c>
      <c r="D47" s="86" t="s">
        <v>374</v>
      </c>
      <c r="E47" s="216" t="s">
        <v>351</v>
      </c>
      <c r="F47" s="216" t="s">
        <v>386</v>
      </c>
      <c r="G47" s="55" t="s">
        <v>42</v>
      </c>
      <c r="H47" s="216" t="s">
        <v>155</v>
      </c>
      <c r="I47" s="55" t="s">
        <v>153</v>
      </c>
      <c r="J47" s="216" t="s">
        <v>38</v>
      </c>
      <c r="K47" s="216" t="s">
        <v>154</v>
      </c>
      <c r="L47" s="208">
        <v>1</v>
      </c>
      <c r="N47" s="208">
        <v>1</v>
      </c>
      <c r="O47" s="208">
        <v>0.9</v>
      </c>
      <c r="P47" s="208">
        <v>0.85</v>
      </c>
      <c r="Q47" s="217">
        <f t="shared" si="0"/>
        <v>0.875</v>
      </c>
      <c r="R47" s="208">
        <v>12.1</v>
      </c>
      <c r="S47" s="208">
        <v>140</v>
      </c>
      <c r="T47" s="217">
        <f t="shared" si="1"/>
        <v>22</v>
      </c>
      <c r="U47" s="208">
        <v>138</v>
      </c>
      <c r="V47" s="217">
        <f t="shared" si="2"/>
        <v>3036</v>
      </c>
      <c r="W47" s="208">
        <v>3</v>
      </c>
      <c r="X47" s="55" t="s">
        <v>46</v>
      </c>
      <c r="Y47" s="55" t="s">
        <v>84</v>
      </c>
      <c r="Z47" s="208" t="s">
        <v>78</v>
      </c>
      <c r="AA47" s="55" t="s">
        <v>90</v>
      </c>
      <c r="AB47" s="216" t="s">
        <v>533</v>
      </c>
    </row>
    <row r="48" spans="1:28" x14ac:dyDescent="0.15">
      <c r="A48" s="55" t="s">
        <v>56</v>
      </c>
      <c r="B48" s="55" t="s">
        <v>373</v>
      </c>
      <c r="C48" s="216">
        <v>2018</v>
      </c>
      <c r="D48" s="86" t="s">
        <v>374</v>
      </c>
      <c r="E48" s="216" t="s">
        <v>351</v>
      </c>
      <c r="F48" s="216" t="s">
        <v>386</v>
      </c>
      <c r="G48" s="55" t="s">
        <v>42</v>
      </c>
      <c r="H48" s="216" t="s">
        <v>155</v>
      </c>
      <c r="I48" s="55" t="s">
        <v>153</v>
      </c>
      <c r="J48" s="216" t="s">
        <v>38</v>
      </c>
      <c r="K48" s="216" t="s">
        <v>154</v>
      </c>
      <c r="L48" s="208">
        <v>2</v>
      </c>
      <c r="N48" s="208">
        <v>1</v>
      </c>
      <c r="O48" s="208">
        <v>0.9</v>
      </c>
      <c r="P48" s="208">
        <v>0.8</v>
      </c>
      <c r="Q48" s="217">
        <f t="shared" si="0"/>
        <v>0.85000000000000009</v>
      </c>
      <c r="R48" s="208">
        <v>13.9</v>
      </c>
      <c r="S48" s="208">
        <v>145</v>
      </c>
      <c r="T48" s="217">
        <f t="shared" si="1"/>
        <v>22</v>
      </c>
      <c r="U48" s="208">
        <v>138</v>
      </c>
      <c r="V48" s="217">
        <f t="shared" si="2"/>
        <v>3036</v>
      </c>
      <c r="W48" s="208">
        <v>3</v>
      </c>
      <c r="X48" s="55" t="s">
        <v>46</v>
      </c>
      <c r="Y48" s="55" t="s">
        <v>84</v>
      </c>
      <c r="Z48" s="208" t="s">
        <v>78</v>
      </c>
      <c r="AA48" s="55" t="s">
        <v>90</v>
      </c>
      <c r="AB48" s="216" t="s">
        <v>533</v>
      </c>
    </row>
    <row r="49" spans="1:28" x14ac:dyDescent="0.15">
      <c r="A49" s="55" t="s">
        <v>56</v>
      </c>
      <c r="B49" s="55" t="s">
        <v>373</v>
      </c>
      <c r="C49" s="216">
        <v>2018</v>
      </c>
      <c r="D49" s="86" t="s">
        <v>374</v>
      </c>
      <c r="E49" s="216" t="s">
        <v>351</v>
      </c>
      <c r="F49" s="216" t="s">
        <v>386</v>
      </c>
      <c r="G49" s="55" t="s">
        <v>42</v>
      </c>
      <c r="H49" s="216" t="s">
        <v>155</v>
      </c>
      <c r="I49" s="55" t="s">
        <v>153</v>
      </c>
      <c r="J49" s="216" t="s">
        <v>38</v>
      </c>
      <c r="K49" s="216" t="s">
        <v>154</v>
      </c>
      <c r="L49" s="208">
        <v>3</v>
      </c>
      <c r="N49" s="208">
        <v>1</v>
      </c>
      <c r="O49" s="208">
        <v>0.7</v>
      </c>
      <c r="P49" s="208">
        <v>0.75</v>
      </c>
      <c r="Q49" s="217">
        <f t="shared" si="0"/>
        <v>0.72499999999999998</v>
      </c>
      <c r="R49" s="208">
        <v>13.7</v>
      </c>
      <c r="S49" s="208">
        <v>145</v>
      </c>
      <c r="T49" s="217">
        <f t="shared" si="1"/>
        <v>22</v>
      </c>
      <c r="U49" s="208">
        <v>138</v>
      </c>
      <c r="V49" s="217">
        <f t="shared" si="2"/>
        <v>3036</v>
      </c>
      <c r="W49" s="208">
        <v>3</v>
      </c>
      <c r="X49" s="55" t="s">
        <v>46</v>
      </c>
      <c r="Y49" s="55" t="s">
        <v>84</v>
      </c>
      <c r="Z49" s="208" t="s">
        <v>78</v>
      </c>
      <c r="AA49" s="55" t="s">
        <v>90</v>
      </c>
      <c r="AB49" s="216" t="s">
        <v>533</v>
      </c>
    </row>
    <row r="50" spans="1:28" x14ac:dyDescent="0.15">
      <c r="A50" s="55" t="s">
        <v>56</v>
      </c>
      <c r="B50" s="55" t="s">
        <v>373</v>
      </c>
      <c r="C50" s="216">
        <v>2018</v>
      </c>
      <c r="D50" s="86" t="s">
        <v>374</v>
      </c>
      <c r="E50" s="216" t="s">
        <v>351</v>
      </c>
      <c r="F50" s="216" t="s">
        <v>386</v>
      </c>
      <c r="G50" s="55" t="s">
        <v>42</v>
      </c>
      <c r="H50" s="216" t="s">
        <v>157</v>
      </c>
      <c r="I50" s="55" t="s">
        <v>153</v>
      </c>
      <c r="J50" s="216" t="s">
        <v>38</v>
      </c>
      <c r="K50" s="216" t="s">
        <v>154</v>
      </c>
      <c r="L50" s="208">
        <v>1</v>
      </c>
      <c r="N50" s="208">
        <v>1</v>
      </c>
      <c r="O50" s="208">
        <v>0.6</v>
      </c>
      <c r="P50" s="208">
        <v>0.6</v>
      </c>
      <c r="Q50" s="217">
        <f t="shared" si="0"/>
        <v>0.6</v>
      </c>
      <c r="R50" s="208">
        <v>15</v>
      </c>
      <c r="S50" s="208">
        <v>137</v>
      </c>
      <c r="T50" s="217">
        <f t="shared" si="1"/>
        <v>25</v>
      </c>
      <c r="U50" s="208">
        <v>138</v>
      </c>
      <c r="V50" s="217">
        <f t="shared" si="2"/>
        <v>3450</v>
      </c>
      <c r="W50" s="208">
        <v>2</v>
      </c>
      <c r="X50" s="55" t="s">
        <v>46</v>
      </c>
      <c r="Y50" s="55" t="s">
        <v>84</v>
      </c>
      <c r="Z50" s="208" t="s">
        <v>78</v>
      </c>
      <c r="AA50" s="55" t="s">
        <v>90</v>
      </c>
      <c r="AB50" s="216" t="s">
        <v>533</v>
      </c>
    </row>
    <row r="51" spans="1:28" x14ac:dyDescent="0.15">
      <c r="A51" s="55" t="s">
        <v>56</v>
      </c>
      <c r="B51" s="55" t="s">
        <v>373</v>
      </c>
      <c r="C51" s="216">
        <v>2018</v>
      </c>
      <c r="D51" s="86" t="s">
        <v>374</v>
      </c>
      <c r="E51" s="216" t="s">
        <v>351</v>
      </c>
      <c r="F51" s="216" t="s">
        <v>386</v>
      </c>
      <c r="G51" s="55" t="s">
        <v>42</v>
      </c>
      <c r="H51" s="216" t="s">
        <v>157</v>
      </c>
      <c r="I51" s="55" t="s">
        <v>153</v>
      </c>
      <c r="J51" s="216" t="s">
        <v>38</v>
      </c>
      <c r="K51" s="216" t="s">
        <v>154</v>
      </c>
      <c r="L51" s="208">
        <v>2</v>
      </c>
      <c r="N51" s="208">
        <v>1</v>
      </c>
      <c r="O51" s="208">
        <v>0.65</v>
      </c>
      <c r="P51" s="208">
        <v>0.65</v>
      </c>
      <c r="Q51" s="217">
        <f t="shared" si="0"/>
        <v>0.65</v>
      </c>
      <c r="R51" s="208">
        <v>13.9</v>
      </c>
      <c r="S51" s="208">
        <v>138</v>
      </c>
      <c r="T51" s="217">
        <f t="shared" si="1"/>
        <v>22</v>
      </c>
      <c r="U51" s="208">
        <v>138</v>
      </c>
      <c r="V51" s="217">
        <f t="shared" si="2"/>
        <v>3036</v>
      </c>
      <c r="W51" s="208">
        <v>2</v>
      </c>
      <c r="X51" s="55" t="s">
        <v>46</v>
      </c>
      <c r="Y51" s="55" t="s">
        <v>84</v>
      </c>
      <c r="Z51" s="208" t="s">
        <v>78</v>
      </c>
      <c r="AA51" s="55" t="s">
        <v>90</v>
      </c>
      <c r="AB51" s="216" t="s">
        <v>533</v>
      </c>
    </row>
    <row r="52" spans="1:28" x14ac:dyDescent="0.15">
      <c r="A52" s="55" t="s">
        <v>56</v>
      </c>
      <c r="B52" s="55" t="s">
        <v>373</v>
      </c>
      <c r="C52" s="216">
        <v>2018</v>
      </c>
      <c r="D52" s="86" t="s">
        <v>374</v>
      </c>
      <c r="E52" s="216" t="s">
        <v>351</v>
      </c>
      <c r="F52" s="216" t="s">
        <v>386</v>
      </c>
      <c r="G52" s="55" t="s">
        <v>42</v>
      </c>
      <c r="H52" s="216" t="s">
        <v>157</v>
      </c>
      <c r="I52" s="55" t="s">
        <v>153</v>
      </c>
      <c r="J52" s="216" t="s">
        <v>38</v>
      </c>
      <c r="K52" s="216" t="s">
        <v>154</v>
      </c>
      <c r="L52" s="208">
        <v>3</v>
      </c>
      <c r="N52" s="208">
        <v>1</v>
      </c>
      <c r="O52" s="208">
        <v>0.75</v>
      </c>
      <c r="P52" s="208">
        <v>0.75</v>
      </c>
      <c r="Q52" s="217">
        <f t="shared" si="0"/>
        <v>0.75</v>
      </c>
      <c r="R52" s="208">
        <v>15</v>
      </c>
      <c r="S52" s="208">
        <v>135</v>
      </c>
      <c r="T52" s="217">
        <f t="shared" si="1"/>
        <v>25</v>
      </c>
      <c r="U52" s="208">
        <v>138</v>
      </c>
      <c r="V52" s="217">
        <f t="shared" si="2"/>
        <v>3450</v>
      </c>
      <c r="W52" s="208">
        <v>2</v>
      </c>
      <c r="X52" s="55" t="s">
        <v>46</v>
      </c>
      <c r="Y52" s="55" t="s">
        <v>84</v>
      </c>
      <c r="Z52" s="208" t="s">
        <v>78</v>
      </c>
      <c r="AA52" s="55" t="s">
        <v>90</v>
      </c>
      <c r="AB52" s="216" t="s">
        <v>533</v>
      </c>
    </row>
    <row r="53" spans="1:28" x14ac:dyDescent="0.15">
      <c r="A53" s="55" t="s">
        <v>56</v>
      </c>
      <c r="B53" s="55" t="s">
        <v>373</v>
      </c>
      <c r="C53" s="216">
        <v>2018</v>
      </c>
      <c r="D53" s="86" t="s">
        <v>374</v>
      </c>
      <c r="E53" s="216" t="s">
        <v>391</v>
      </c>
      <c r="F53" s="216" t="s">
        <v>386</v>
      </c>
      <c r="G53" s="55" t="s">
        <v>42</v>
      </c>
      <c r="H53" s="216" t="s">
        <v>155</v>
      </c>
      <c r="I53" s="55" t="s">
        <v>153</v>
      </c>
      <c r="J53" s="216" t="s">
        <v>38</v>
      </c>
      <c r="K53" s="216" t="s">
        <v>154</v>
      </c>
      <c r="L53" s="208">
        <v>1</v>
      </c>
      <c r="N53" s="208">
        <v>5</v>
      </c>
      <c r="O53" s="208">
        <v>1</v>
      </c>
      <c r="P53" s="208">
        <v>1.1000000000000001</v>
      </c>
      <c r="Q53" s="217">
        <f t="shared" si="0"/>
        <v>1.05</v>
      </c>
      <c r="R53" s="208">
        <v>14.9</v>
      </c>
      <c r="S53" s="208">
        <v>84</v>
      </c>
      <c r="T53" s="217">
        <f t="shared" si="1"/>
        <v>36</v>
      </c>
      <c r="U53" s="208">
        <v>430</v>
      </c>
      <c r="V53" s="217">
        <f t="shared" si="2"/>
        <v>3096</v>
      </c>
      <c r="W53" s="208">
        <v>6</v>
      </c>
      <c r="X53" s="55" t="s">
        <v>46</v>
      </c>
      <c r="Y53" s="55" t="s">
        <v>84</v>
      </c>
      <c r="Z53" s="208" t="s">
        <v>78</v>
      </c>
      <c r="AA53" s="55" t="s">
        <v>50</v>
      </c>
      <c r="AB53" s="216" t="s">
        <v>533</v>
      </c>
    </row>
    <row r="54" spans="1:28" x14ac:dyDescent="0.15">
      <c r="A54" s="55" t="s">
        <v>56</v>
      </c>
      <c r="B54" s="55" t="s">
        <v>373</v>
      </c>
      <c r="C54" s="216">
        <v>2018</v>
      </c>
      <c r="D54" s="86" t="s">
        <v>374</v>
      </c>
      <c r="E54" s="216" t="s">
        <v>391</v>
      </c>
      <c r="F54" s="216" t="s">
        <v>386</v>
      </c>
      <c r="G54" s="55" t="s">
        <v>42</v>
      </c>
      <c r="H54" s="216" t="s">
        <v>155</v>
      </c>
      <c r="I54" s="55" t="s">
        <v>153</v>
      </c>
      <c r="J54" s="216" t="s">
        <v>38</v>
      </c>
      <c r="K54" s="216" t="s">
        <v>154</v>
      </c>
      <c r="L54" s="208">
        <v>2</v>
      </c>
      <c r="N54" s="208">
        <v>5</v>
      </c>
      <c r="O54" s="208">
        <v>0.65</v>
      </c>
      <c r="P54" s="208">
        <v>0.7</v>
      </c>
      <c r="Q54" s="217">
        <f t="shared" si="0"/>
        <v>0.67500000000000004</v>
      </c>
      <c r="R54" s="208">
        <v>12</v>
      </c>
      <c r="S54" s="208">
        <v>85</v>
      </c>
      <c r="T54" s="217">
        <f t="shared" si="1"/>
        <v>36</v>
      </c>
      <c r="U54" s="208">
        <v>430</v>
      </c>
      <c r="V54" s="217">
        <f t="shared" si="2"/>
        <v>3096</v>
      </c>
      <c r="W54" s="208">
        <v>6</v>
      </c>
      <c r="X54" s="55" t="s">
        <v>46</v>
      </c>
      <c r="Y54" s="55" t="s">
        <v>84</v>
      </c>
      <c r="Z54" s="208" t="s">
        <v>78</v>
      </c>
      <c r="AA54" s="55" t="s">
        <v>50</v>
      </c>
      <c r="AB54" s="216" t="s">
        <v>533</v>
      </c>
    </row>
    <row r="55" spans="1:28" x14ac:dyDescent="0.15">
      <c r="A55" s="55" t="s">
        <v>56</v>
      </c>
      <c r="B55" s="55" t="s">
        <v>373</v>
      </c>
      <c r="C55" s="216">
        <v>2018</v>
      </c>
      <c r="D55" s="86" t="s">
        <v>374</v>
      </c>
      <c r="E55" s="216" t="s">
        <v>391</v>
      </c>
      <c r="F55" s="216" t="s">
        <v>386</v>
      </c>
      <c r="G55" s="55" t="s">
        <v>42</v>
      </c>
      <c r="H55" s="216" t="s">
        <v>155</v>
      </c>
      <c r="I55" s="55" t="s">
        <v>153</v>
      </c>
      <c r="J55" s="216" t="s">
        <v>38</v>
      </c>
      <c r="K55" s="216" t="s">
        <v>154</v>
      </c>
      <c r="L55" s="208">
        <v>3</v>
      </c>
      <c r="N55" s="208">
        <v>5</v>
      </c>
      <c r="O55" s="208">
        <v>0.75</v>
      </c>
      <c r="P55" s="208">
        <v>0.7</v>
      </c>
      <c r="Q55" s="217">
        <f t="shared" si="0"/>
        <v>0.72499999999999998</v>
      </c>
      <c r="R55" s="208">
        <v>13</v>
      </c>
      <c r="S55" s="208">
        <v>92</v>
      </c>
      <c r="T55" s="217">
        <f t="shared" si="1"/>
        <v>36</v>
      </c>
      <c r="U55" s="208">
        <v>430</v>
      </c>
      <c r="V55" s="217">
        <f t="shared" si="2"/>
        <v>3096</v>
      </c>
      <c r="W55" s="208">
        <v>6</v>
      </c>
      <c r="X55" s="55" t="s">
        <v>46</v>
      </c>
      <c r="Y55" s="55" t="s">
        <v>84</v>
      </c>
      <c r="Z55" s="208" t="s">
        <v>78</v>
      </c>
      <c r="AA55" s="55" t="s">
        <v>50</v>
      </c>
      <c r="AB55" s="216" t="s">
        <v>533</v>
      </c>
    </row>
    <row r="56" spans="1:28" x14ac:dyDescent="0.15">
      <c r="A56" s="55" t="s">
        <v>56</v>
      </c>
      <c r="B56" s="55" t="s">
        <v>373</v>
      </c>
      <c r="C56" s="216">
        <v>2018</v>
      </c>
      <c r="D56" s="86" t="s">
        <v>374</v>
      </c>
      <c r="E56" s="216" t="s">
        <v>391</v>
      </c>
      <c r="F56" s="216" t="s">
        <v>386</v>
      </c>
      <c r="G56" s="55" t="s">
        <v>42</v>
      </c>
      <c r="H56" s="216" t="s">
        <v>157</v>
      </c>
      <c r="I56" s="55" t="s">
        <v>153</v>
      </c>
      <c r="J56" s="216" t="s">
        <v>38</v>
      </c>
      <c r="K56" s="216" t="s">
        <v>154</v>
      </c>
      <c r="L56" s="208">
        <v>1</v>
      </c>
      <c r="N56" s="208">
        <v>5</v>
      </c>
      <c r="O56" s="208">
        <v>0.7</v>
      </c>
      <c r="P56" s="208">
        <v>0.7</v>
      </c>
      <c r="Q56" s="217">
        <f t="shared" si="0"/>
        <v>0.7</v>
      </c>
      <c r="R56" s="208">
        <v>15</v>
      </c>
      <c r="S56" s="208">
        <v>122</v>
      </c>
      <c r="T56" s="217">
        <f t="shared" si="1"/>
        <v>27</v>
      </c>
      <c r="U56" s="208">
        <v>646</v>
      </c>
      <c r="V56" s="217">
        <f t="shared" si="2"/>
        <v>3488.3999999999996</v>
      </c>
      <c r="W56" s="208">
        <v>6</v>
      </c>
      <c r="X56" s="55" t="s">
        <v>46</v>
      </c>
      <c r="Y56" s="55" t="s">
        <v>84</v>
      </c>
      <c r="Z56" s="208" t="s">
        <v>78</v>
      </c>
      <c r="AA56" s="55" t="s">
        <v>50</v>
      </c>
      <c r="AB56" s="216" t="s">
        <v>533</v>
      </c>
    </row>
    <row r="57" spans="1:28" x14ac:dyDescent="0.15">
      <c r="A57" s="55" t="s">
        <v>56</v>
      </c>
      <c r="B57" s="55" t="s">
        <v>373</v>
      </c>
      <c r="C57" s="216">
        <v>2018</v>
      </c>
      <c r="D57" s="86" t="s">
        <v>374</v>
      </c>
      <c r="E57" s="216" t="s">
        <v>391</v>
      </c>
      <c r="F57" s="216" t="s">
        <v>386</v>
      </c>
      <c r="G57" s="55" t="s">
        <v>42</v>
      </c>
      <c r="H57" s="216" t="s">
        <v>157</v>
      </c>
      <c r="I57" s="55" t="s">
        <v>153</v>
      </c>
      <c r="J57" s="216" t="s">
        <v>38</v>
      </c>
      <c r="K57" s="216" t="s">
        <v>154</v>
      </c>
      <c r="L57" s="208">
        <v>2</v>
      </c>
      <c r="N57" s="208">
        <v>5</v>
      </c>
      <c r="O57" s="208">
        <v>0.6</v>
      </c>
      <c r="P57" s="208">
        <v>0.65</v>
      </c>
      <c r="Q57" s="217">
        <f t="shared" si="0"/>
        <v>0.625</v>
      </c>
      <c r="R57" s="208">
        <v>15.6</v>
      </c>
      <c r="S57" s="208">
        <v>133</v>
      </c>
      <c r="T57" s="217">
        <f t="shared" si="1"/>
        <v>25</v>
      </c>
      <c r="U57" s="208">
        <v>646</v>
      </c>
      <c r="V57" s="217">
        <f t="shared" si="2"/>
        <v>3229.9999999999995</v>
      </c>
      <c r="W57" s="208">
        <v>6</v>
      </c>
      <c r="X57" s="55" t="s">
        <v>46</v>
      </c>
      <c r="Y57" s="55" t="s">
        <v>84</v>
      </c>
      <c r="Z57" s="208" t="s">
        <v>78</v>
      </c>
      <c r="AA57" s="55" t="s">
        <v>50</v>
      </c>
      <c r="AB57" s="216" t="s">
        <v>533</v>
      </c>
    </row>
    <row r="58" spans="1:28" x14ac:dyDescent="0.15">
      <c r="A58" s="55" t="s">
        <v>56</v>
      </c>
      <c r="B58" s="55" t="s">
        <v>373</v>
      </c>
      <c r="C58" s="216">
        <v>2018</v>
      </c>
      <c r="D58" s="86" t="s">
        <v>374</v>
      </c>
      <c r="E58" s="216" t="s">
        <v>391</v>
      </c>
      <c r="F58" s="216" t="s">
        <v>386</v>
      </c>
      <c r="G58" s="55" t="s">
        <v>42</v>
      </c>
      <c r="H58" s="216" t="s">
        <v>157</v>
      </c>
      <c r="I58" s="55" t="s">
        <v>153</v>
      </c>
      <c r="J58" s="216" t="s">
        <v>38</v>
      </c>
      <c r="K58" s="216" t="s">
        <v>154</v>
      </c>
      <c r="L58" s="208">
        <v>3</v>
      </c>
      <c r="N58" s="208">
        <v>5</v>
      </c>
      <c r="O58" s="208">
        <v>0.75</v>
      </c>
      <c r="P58" s="208">
        <v>0.75</v>
      </c>
      <c r="Q58" s="217">
        <f t="shared" si="0"/>
        <v>0.75</v>
      </c>
      <c r="R58" s="208">
        <v>14.7</v>
      </c>
      <c r="S58" s="208">
        <v>124</v>
      </c>
      <c r="T58" s="217">
        <f t="shared" si="1"/>
        <v>27</v>
      </c>
      <c r="U58" s="208">
        <v>646</v>
      </c>
      <c r="V58" s="217">
        <f t="shared" si="2"/>
        <v>3488.3999999999996</v>
      </c>
      <c r="W58" s="208">
        <v>6</v>
      </c>
      <c r="X58" s="55" t="s">
        <v>46</v>
      </c>
      <c r="Y58" s="55" t="s">
        <v>84</v>
      </c>
      <c r="Z58" s="208" t="s">
        <v>78</v>
      </c>
      <c r="AA58" s="55" t="s">
        <v>50</v>
      </c>
      <c r="AB58" s="216" t="s">
        <v>533</v>
      </c>
    </row>
    <row r="59" spans="1:28" x14ac:dyDescent="0.15">
      <c r="A59" s="55"/>
      <c r="B59" s="55"/>
      <c r="C59" s="216"/>
      <c r="D59" s="86"/>
      <c r="E59" s="216"/>
      <c r="F59" s="216"/>
      <c r="G59" s="55"/>
      <c r="H59" s="216"/>
      <c r="I59" s="55"/>
      <c r="J59" s="216"/>
      <c r="K59" s="216"/>
      <c r="X59" s="55"/>
      <c r="Y59" s="55"/>
      <c r="AA59" s="55"/>
    </row>
    <row r="60" spans="1:28" x14ac:dyDescent="0.15">
      <c r="A60" s="55"/>
      <c r="B60" s="55"/>
      <c r="C60" s="216"/>
      <c r="D60" s="86"/>
      <c r="E60" s="216"/>
      <c r="F60" s="216"/>
      <c r="G60" s="55"/>
      <c r="H60" s="216"/>
      <c r="I60" s="55"/>
      <c r="J60" s="216"/>
      <c r="K60" s="216"/>
      <c r="X60" s="55"/>
      <c r="Y60" s="55"/>
      <c r="AA60" s="55"/>
    </row>
    <row r="61" spans="1:28" x14ac:dyDescent="0.15">
      <c r="A61" s="55"/>
      <c r="B61" s="55"/>
      <c r="C61" s="216"/>
      <c r="D61" s="86"/>
      <c r="E61" s="216"/>
      <c r="F61" s="216"/>
      <c r="G61" s="55"/>
      <c r="H61" s="216"/>
      <c r="I61" s="55"/>
      <c r="J61" s="216"/>
      <c r="K61" s="216"/>
      <c r="X61" s="55"/>
      <c r="Y61" s="55"/>
      <c r="AA61" s="55"/>
    </row>
    <row r="62" spans="1:28" x14ac:dyDescent="0.15">
      <c r="A62" s="55"/>
      <c r="B62" s="55"/>
      <c r="C62" s="216"/>
      <c r="D62" s="86"/>
      <c r="E62" s="216"/>
      <c r="F62" s="216"/>
      <c r="G62" s="55"/>
      <c r="H62" s="216"/>
      <c r="I62" s="55"/>
      <c r="J62" s="216"/>
      <c r="K62" s="216"/>
      <c r="X62" s="55"/>
      <c r="Y62" s="55"/>
      <c r="AA62" s="55"/>
    </row>
    <row r="63" spans="1:28" x14ac:dyDescent="0.15">
      <c r="A63" s="55"/>
      <c r="B63" s="55"/>
      <c r="C63" s="216"/>
      <c r="D63" s="86"/>
      <c r="E63" s="216"/>
      <c r="F63" s="216"/>
      <c r="G63" s="55"/>
      <c r="H63" s="216"/>
      <c r="I63" s="55"/>
      <c r="J63" s="216"/>
      <c r="K63" s="216"/>
      <c r="X63" s="55"/>
      <c r="Y63" s="55"/>
      <c r="AA63" s="55"/>
    </row>
    <row r="64" spans="1:28" x14ac:dyDescent="0.15">
      <c r="A64" s="55"/>
      <c r="B64" s="55"/>
      <c r="C64" s="216"/>
      <c r="D64" s="86"/>
      <c r="E64" s="216"/>
      <c r="F64" s="216"/>
      <c r="G64" s="55"/>
      <c r="H64" s="216"/>
      <c r="I64" s="55"/>
      <c r="J64" s="216"/>
      <c r="K64" s="216"/>
      <c r="X64" s="55"/>
      <c r="Y64" s="55"/>
      <c r="AA64" s="55"/>
    </row>
    <row r="65" spans="1:27" x14ac:dyDescent="0.15">
      <c r="A65" s="55"/>
      <c r="B65" s="55"/>
      <c r="C65" s="216"/>
      <c r="D65" s="86"/>
      <c r="E65" s="216"/>
      <c r="F65" s="216"/>
      <c r="G65" s="55"/>
      <c r="H65" s="216"/>
      <c r="I65" s="55"/>
      <c r="J65" s="216"/>
      <c r="K65" s="216"/>
      <c r="X65" s="55"/>
      <c r="Y65" s="55"/>
      <c r="AA65" s="55"/>
    </row>
    <row r="66" spans="1:27" x14ac:dyDescent="0.15">
      <c r="A66" s="55"/>
      <c r="B66" s="55"/>
      <c r="C66" s="216"/>
      <c r="D66" s="86"/>
      <c r="E66" s="216"/>
      <c r="F66" s="216"/>
      <c r="G66" s="55"/>
      <c r="H66" s="216"/>
      <c r="I66" s="55"/>
      <c r="J66" s="216"/>
      <c r="K66" s="216"/>
      <c r="X66" s="55"/>
      <c r="Y66" s="55"/>
      <c r="AA66" s="55"/>
    </row>
    <row r="67" spans="1:27" x14ac:dyDescent="0.15">
      <c r="A67" s="55"/>
      <c r="B67" s="55"/>
      <c r="C67" s="216"/>
      <c r="D67" s="86"/>
      <c r="E67" s="216"/>
      <c r="F67" s="216"/>
      <c r="G67" s="55"/>
      <c r="H67" s="216"/>
      <c r="I67" s="55"/>
      <c r="J67" s="216"/>
      <c r="K67" s="216"/>
      <c r="X67" s="55"/>
      <c r="Y67" s="55"/>
      <c r="AA67" s="55"/>
    </row>
    <row r="68" spans="1:27" x14ac:dyDescent="0.15">
      <c r="A68" s="55"/>
      <c r="B68" s="55"/>
      <c r="C68" s="216"/>
      <c r="D68" s="86"/>
      <c r="E68" s="216"/>
      <c r="F68" s="216"/>
      <c r="G68" s="55"/>
      <c r="H68" s="216"/>
      <c r="I68" s="55"/>
      <c r="J68" s="216"/>
      <c r="K68" s="216"/>
      <c r="X68" s="55"/>
      <c r="Y68" s="55"/>
      <c r="AA68" s="55"/>
    </row>
    <row r="69" spans="1:27" x14ac:dyDescent="0.15">
      <c r="A69" s="55"/>
      <c r="B69" s="55"/>
      <c r="C69" s="216"/>
      <c r="D69" s="86"/>
      <c r="E69" s="216"/>
      <c r="F69" s="216"/>
      <c r="G69" s="55"/>
      <c r="H69" s="216"/>
      <c r="I69" s="55"/>
      <c r="J69" s="216"/>
      <c r="K69" s="216"/>
      <c r="X69" s="55"/>
      <c r="Y69" s="55"/>
      <c r="AA69" s="55"/>
    </row>
    <row r="70" spans="1:27" x14ac:dyDescent="0.15">
      <c r="A70" s="55"/>
      <c r="B70" s="55"/>
      <c r="C70" s="216"/>
      <c r="D70" s="86"/>
      <c r="E70" s="216"/>
      <c r="F70" s="216"/>
      <c r="G70" s="55"/>
      <c r="H70" s="216"/>
      <c r="I70" s="55"/>
      <c r="J70" s="216"/>
      <c r="K70" s="216"/>
      <c r="X70" s="55"/>
      <c r="Y70" s="55"/>
      <c r="AA70" s="55"/>
    </row>
    <row r="71" spans="1:27" x14ac:dyDescent="0.15">
      <c r="A71" s="55"/>
      <c r="B71" s="55"/>
      <c r="C71" s="216"/>
      <c r="D71" s="86"/>
      <c r="E71" s="216"/>
      <c r="F71" s="216"/>
      <c r="G71" s="55"/>
      <c r="H71" s="216"/>
      <c r="I71" s="55"/>
      <c r="J71" s="216"/>
      <c r="K71" s="216"/>
      <c r="X71" s="55"/>
      <c r="Y71" s="55"/>
      <c r="AA71" s="55"/>
    </row>
    <row r="72" spans="1:27" x14ac:dyDescent="0.15">
      <c r="A72" s="55"/>
      <c r="B72" s="55"/>
      <c r="C72" s="216"/>
      <c r="D72" s="86"/>
      <c r="E72" s="216"/>
      <c r="F72" s="216"/>
      <c r="G72" s="55"/>
      <c r="H72" s="216"/>
      <c r="I72" s="55"/>
      <c r="J72" s="216"/>
      <c r="K72" s="216"/>
      <c r="X72" s="55"/>
      <c r="Y72" s="55"/>
      <c r="AA72" s="55"/>
    </row>
    <row r="73" spans="1:27" x14ac:dyDescent="0.15">
      <c r="A73" s="55"/>
      <c r="B73" s="55"/>
      <c r="C73" s="216"/>
      <c r="D73" s="86"/>
      <c r="E73" s="216"/>
      <c r="F73" s="216"/>
      <c r="G73" s="55"/>
      <c r="H73" s="216"/>
      <c r="I73" s="55"/>
      <c r="J73" s="216"/>
      <c r="K73" s="216"/>
      <c r="X73" s="55"/>
      <c r="Y73" s="55"/>
      <c r="AA73" s="55"/>
    </row>
    <row r="74" spans="1:27" x14ac:dyDescent="0.15">
      <c r="A74" s="55"/>
      <c r="B74" s="55"/>
      <c r="C74" s="216"/>
      <c r="D74" s="86"/>
      <c r="E74" s="216"/>
      <c r="F74" s="216"/>
      <c r="G74" s="55"/>
      <c r="H74" s="216"/>
      <c r="I74" s="55"/>
      <c r="J74" s="216"/>
      <c r="K74" s="216"/>
      <c r="X74" s="55"/>
      <c r="Y74" s="55"/>
      <c r="AA74" s="55"/>
    </row>
    <row r="75" spans="1:27" x14ac:dyDescent="0.15">
      <c r="A75" s="55"/>
      <c r="B75" s="55"/>
      <c r="C75" s="216"/>
      <c r="D75" s="86"/>
      <c r="E75" s="216"/>
      <c r="F75" s="216"/>
      <c r="G75" s="55"/>
      <c r="H75" s="216"/>
      <c r="I75" s="55"/>
      <c r="J75" s="216"/>
      <c r="K75" s="216"/>
      <c r="X75" s="55"/>
      <c r="Y75" s="55"/>
      <c r="AA75" s="55"/>
    </row>
    <row r="76" spans="1:27" x14ac:dyDescent="0.15">
      <c r="A76" s="55"/>
      <c r="B76" s="55"/>
      <c r="C76" s="216"/>
      <c r="D76" s="86"/>
      <c r="E76" s="216"/>
      <c r="F76" s="216"/>
      <c r="G76" s="55"/>
      <c r="H76" s="216"/>
      <c r="I76" s="55"/>
      <c r="J76" s="216"/>
      <c r="K76" s="216"/>
      <c r="X76" s="55"/>
      <c r="Y76" s="55"/>
      <c r="AA76" s="55"/>
    </row>
    <row r="77" spans="1:27" x14ac:dyDescent="0.15">
      <c r="A77" s="55"/>
      <c r="B77" s="55"/>
      <c r="C77" s="216"/>
      <c r="D77" s="86"/>
      <c r="E77" s="216"/>
      <c r="F77" s="216"/>
      <c r="G77" s="55"/>
      <c r="H77" s="216"/>
      <c r="I77" s="55"/>
      <c r="J77" s="216"/>
      <c r="K77" s="216"/>
      <c r="X77" s="55"/>
      <c r="Y77" s="55"/>
      <c r="AA77" s="55"/>
    </row>
    <row r="78" spans="1:27" x14ac:dyDescent="0.15">
      <c r="A78" s="55"/>
      <c r="B78" s="55"/>
      <c r="C78" s="216"/>
      <c r="D78" s="86"/>
      <c r="E78" s="216"/>
      <c r="F78" s="216"/>
      <c r="G78" s="55"/>
      <c r="H78" s="216"/>
      <c r="I78" s="55"/>
      <c r="J78" s="216"/>
      <c r="K78" s="216"/>
      <c r="X78" s="55"/>
      <c r="Y78" s="55"/>
      <c r="AA78" s="55"/>
    </row>
    <row r="79" spans="1:27" x14ac:dyDescent="0.15">
      <c r="A79" s="55"/>
      <c r="B79" s="55"/>
      <c r="C79" s="216"/>
      <c r="D79" s="86"/>
      <c r="E79" s="216"/>
      <c r="F79" s="216"/>
      <c r="G79" s="55"/>
      <c r="H79" s="216"/>
      <c r="I79" s="55"/>
      <c r="J79" s="216"/>
      <c r="K79" s="216"/>
      <c r="X79" s="55"/>
      <c r="Y79" s="55"/>
      <c r="AA79" s="55"/>
    </row>
    <row r="80" spans="1:27" x14ac:dyDescent="0.15">
      <c r="A80" s="55"/>
      <c r="B80" s="55"/>
      <c r="C80" s="216"/>
      <c r="D80" s="86"/>
      <c r="E80" s="216"/>
      <c r="F80" s="216"/>
      <c r="G80" s="55"/>
      <c r="H80" s="216"/>
      <c r="I80" s="55"/>
      <c r="J80" s="216"/>
      <c r="K80" s="216"/>
      <c r="X80" s="55"/>
      <c r="Y80" s="55"/>
      <c r="AA80" s="55"/>
    </row>
    <row r="81" spans="1:27" x14ac:dyDescent="0.15">
      <c r="A81" s="55"/>
      <c r="B81" s="55"/>
      <c r="C81" s="216"/>
      <c r="D81" s="86"/>
      <c r="E81" s="216"/>
      <c r="F81" s="216"/>
      <c r="G81" s="55"/>
      <c r="H81" s="216"/>
      <c r="I81" s="55"/>
      <c r="J81" s="216"/>
      <c r="K81" s="216"/>
      <c r="X81" s="55"/>
      <c r="Y81" s="55"/>
      <c r="AA81" s="55"/>
    </row>
    <row r="82" spans="1:27" x14ac:dyDescent="0.15">
      <c r="A82" s="55"/>
      <c r="B82" s="55"/>
      <c r="C82" s="216"/>
      <c r="D82" s="86"/>
      <c r="E82" s="216"/>
      <c r="F82" s="216"/>
      <c r="G82" s="55"/>
      <c r="H82" s="216"/>
      <c r="I82" s="55"/>
      <c r="J82" s="216"/>
      <c r="K82" s="216"/>
      <c r="X82" s="55"/>
      <c r="Y82" s="55"/>
      <c r="AA82" s="55"/>
    </row>
    <row r="83" spans="1:27" x14ac:dyDescent="0.15">
      <c r="E83" s="216"/>
      <c r="F83" s="216"/>
      <c r="G83" s="55"/>
      <c r="H83" s="216"/>
      <c r="I83" s="55"/>
      <c r="J83" s="216"/>
      <c r="K83" s="216"/>
      <c r="X83" s="55"/>
      <c r="Y83" s="55"/>
      <c r="AA83" s="55"/>
    </row>
    <row r="84" spans="1:27" x14ac:dyDescent="0.15">
      <c r="E84" s="216"/>
      <c r="F84" s="216"/>
      <c r="G84" s="55"/>
      <c r="H84" s="216"/>
      <c r="I84" s="55"/>
      <c r="J84" s="216"/>
      <c r="K84" s="216"/>
      <c r="X84" s="55"/>
      <c r="Y84" s="55"/>
      <c r="AA84" s="55"/>
    </row>
    <row r="85" spans="1:27" x14ac:dyDescent="0.15">
      <c r="E85" s="216"/>
      <c r="F85" s="216"/>
      <c r="G85" s="55"/>
      <c r="H85" s="216"/>
      <c r="I85" s="55"/>
      <c r="J85" s="216"/>
      <c r="K85" s="216"/>
      <c r="X85" s="55"/>
      <c r="Y85" s="55"/>
      <c r="AA85" s="55"/>
    </row>
    <row r="86" spans="1:27" x14ac:dyDescent="0.15">
      <c r="J86" s="216"/>
      <c r="K86" s="216"/>
    </row>
    <row r="87" spans="1:27" x14ac:dyDescent="0.15">
      <c r="J87" s="216"/>
      <c r="K87" s="216"/>
    </row>
    <row r="88" spans="1:27" x14ac:dyDescent="0.15">
      <c r="J88" s="216"/>
      <c r="K88" s="216"/>
    </row>
    <row r="89" spans="1:27" x14ac:dyDescent="0.15">
      <c r="J89" s="216"/>
      <c r="K89" s="216"/>
    </row>
    <row r="90" spans="1:27" x14ac:dyDescent="0.15">
      <c r="J90" s="216"/>
      <c r="K90" s="216"/>
    </row>
    <row r="91" spans="1:27" x14ac:dyDescent="0.15">
      <c r="J91" s="216"/>
      <c r="K91" s="216"/>
    </row>
    <row r="92" spans="1:27" x14ac:dyDescent="0.15">
      <c r="J92" s="216"/>
      <c r="K92" s="216"/>
    </row>
    <row r="93" spans="1:27" x14ac:dyDescent="0.15">
      <c r="J93" s="216"/>
      <c r="K93" s="216"/>
    </row>
    <row r="94" spans="1:27" x14ac:dyDescent="0.15">
      <c r="J94" s="216"/>
      <c r="K94" s="216"/>
    </row>
    <row r="95" spans="1:27" x14ac:dyDescent="0.15">
      <c r="J95" s="216"/>
      <c r="K95" s="216"/>
    </row>
    <row r="96" spans="1:27" x14ac:dyDescent="0.15">
      <c r="J96" s="216"/>
      <c r="K96" s="216"/>
    </row>
    <row r="97" spans="10:11" x14ac:dyDescent="0.15">
      <c r="J97" s="216"/>
      <c r="K97" s="216"/>
    </row>
    <row r="98" spans="10:11" x14ac:dyDescent="0.15">
      <c r="J98" s="216"/>
      <c r="K98" s="216"/>
    </row>
    <row r="99" spans="10:11" x14ac:dyDescent="0.15">
      <c r="J99" s="216"/>
      <c r="K99" s="216"/>
    </row>
    <row r="100" spans="10:11" x14ac:dyDescent="0.15">
      <c r="J100" s="216"/>
      <c r="K100" s="216"/>
    </row>
    <row r="101" spans="10:11" x14ac:dyDescent="0.15">
      <c r="K101" s="216"/>
    </row>
    <row r="102" spans="10:11" x14ac:dyDescent="0.15">
      <c r="K102" s="216"/>
    </row>
    <row r="103" spans="10:11" x14ac:dyDescent="0.15">
      <c r="K103" s="216"/>
    </row>
    <row r="104" spans="10:11" x14ac:dyDescent="0.15">
      <c r="K104" s="216"/>
    </row>
    <row r="105" spans="10:11" x14ac:dyDescent="0.15">
      <c r="K105" s="216"/>
    </row>
    <row r="106" spans="10:11" x14ac:dyDescent="0.15">
      <c r="K106" s="216"/>
    </row>
    <row r="107" spans="10:11" x14ac:dyDescent="0.15">
      <c r="K107" s="216"/>
    </row>
    <row r="108" spans="10:11" x14ac:dyDescent="0.15">
      <c r="K108" s="216"/>
    </row>
    <row r="109" spans="10:11" x14ac:dyDescent="0.15">
      <c r="K109" s="216"/>
    </row>
    <row r="110" spans="10:11" x14ac:dyDescent="0.15">
      <c r="K110" s="216"/>
    </row>
    <row r="111" spans="10:11" x14ac:dyDescent="0.15">
      <c r="K111" s="216"/>
    </row>
    <row r="112" spans="10: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08"/>
  <sheetViews>
    <sheetView topLeftCell="A13" zoomScale="70" zoomScaleNormal="70" workbookViewId="0">
      <selection activeCell="A2" sqref="A2"/>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165</v>
      </c>
      <c r="C1" s="90" t="s">
        <v>166</v>
      </c>
      <c r="D1" s="91" t="s">
        <v>3</v>
      </c>
      <c r="E1" s="92" t="s">
        <v>4</v>
      </c>
      <c r="F1" s="92" t="s">
        <v>5</v>
      </c>
      <c r="G1" s="92" t="s">
        <v>6</v>
      </c>
      <c r="H1" s="92" t="s">
        <v>7</v>
      </c>
      <c r="I1" s="92" t="s">
        <v>8</v>
      </c>
      <c r="J1" s="92" t="s">
        <v>9</v>
      </c>
      <c r="K1" s="92" t="s">
        <v>10</v>
      </c>
      <c r="L1" s="91" t="s">
        <v>167</v>
      </c>
      <c r="M1" s="91" t="s">
        <v>168</v>
      </c>
      <c r="N1" s="91" t="s">
        <v>13</v>
      </c>
      <c r="O1" s="91" t="s">
        <v>169</v>
      </c>
      <c r="P1" s="91" t="s">
        <v>170</v>
      </c>
      <c r="Q1" s="93" t="s">
        <v>171</v>
      </c>
      <c r="R1" s="91" t="s">
        <v>172</v>
      </c>
      <c r="S1" s="91" t="s">
        <v>173</v>
      </c>
      <c r="T1" s="93" t="s">
        <v>19</v>
      </c>
      <c r="U1" s="94" t="s">
        <v>108</v>
      </c>
      <c r="V1" s="95" t="s">
        <v>20</v>
      </c>
      <c r="W1" s="91" t="s">
        <v>174</v>
      </c>
      <c r="X1" s="92" t="s">
        <v>22</v>
      </c>
      <c r="Y1" s="92" t="s">
        <v>23</v>
      </c>
      <c r="Z1" s="92" t="s">
        <v>24</v>
      </c>
      <c r="AA1" s="96" t="s">
        <v>25</v>
      </c>
      <c r="AB1" s="97" t="s">
        <v>175</v>
      </c>
      <c r="AE1" s="99" t="s">
        <v>0</v>
      </c>
      <c r="AF1" s="100"/>
      <c r="AG1" s="99" t="s">
        <v>4</v>
      </c>
      <c r="AH1" s="99" t="s">
        <v>5</v>
      </c>
      <c r="AI1" s="100"/>
      <c r="AJ1" s="99" t="s">
        <v>6</v>
      </c>
      <c r="AK1" s="100"/>
      <c r="AL1" s="101" t="s">
        <v>7</v>
      </c>
      <c r="AM1" s="100"/>
      <c r="AN1" s="101" t="s">
        <v>8</v>
      </c>
      <c r="AO1" s="100"/>
      <c r="AP1" s="101" t="s">
        <v>27</v>
      </c>
      <c r="AQ1" s="100"/>
      <c r="AR1" s="101" t="s">
        <v>10</v>
      </c>
      <c r="AS1" s="100"/>
      <c r="AT1" s="102" t="s">
        <v>176</v>
      </c>
      <c r="AU1" s="100"/>
      <c r="AV1" s="101" t="s">
        <v>29</v>
      </c>
      <c r="AX1" s="103" t="s">
        <v>177</v>
      </c>
      <c r="AY1" s="104" t="s">
        <v>178</v>
      </c>
      <c r="AZ1" s="104" t="s">
        <v>179</v>
      </c>
      <c r="BA1" s="105" t="s">
        <v>180</v>
      </c>
    </row>
    <row r="2" spans="1:53" s="246" customFormat="1" x14ac:dyDescent="0.15">
      <c r="A2" s="246" t="s">
        <v>51</v>
      </c>
      <c r="B2" s="246" t="s">
        <v>315</v>
      </c>
      <c r="C2" s="246">
        <v>2018</v>
      </c>
      <c r="D2" s="106" t="s">
        <v>392</v>
      </c>
      <c r="E2" s="246" t="s">
        <v>181</v>
      </c>
      <c r="F2" s="246" t="s">
        <v>182</v>
      </c>
      <c r="G2" s="246" t="s">
        <v>42</v>
      </c>
      <c r="H2" s="246" t="s">
        <v>155</v>
      </c>
      <c r="I2" s="246" t="s">
        <v>153</v>
      </c>
      <c r="J2" s="246" t="s">
        <v>38</v>
      </c>
      <c r="K2" s="246" t="s">
        <v>154</v>
      </c>
      <c r="L2" s="246">
        <v>1</v>
      </c>
      <c r="N2" s="246">
        <v>1</v>
      </c>
      <c r="O2" s="246">
        <v>0.95</v>
      </c>
      <c r="P2" s="246">
        <v>0.85</v>
      </c>
      <c r="Q2" s="107">
        <f t="shared" ref="Q2:Q64" si="0">IF(OR(O2="",P2=""),"",AVERAGE(O2,P2))</f>
        <v>0.89999999999999991</v>
      </c>
      <c r="R2" s="246">
        <v>15.4</v>
      </c>
      <c r="S2" s="246">
        <v>128</v>
      </c>
      <c r="T2" s="108">
        <f t="shared" ref="T2:T64" si="1">IF(H2="","",IF(OR(H2="GREEN",H2="GK"),IF(S2&gt;=$AX$2,VLOOKUP(S2,$AX$2:$AY$12,2,1),""),IF(S2&gt;=$AZ$2,VLOOKUP(S2,$AZ$2:$BA$12,2,1),"")))</f>
        <v>27</v>
      </c>
      <c r="U2" s="246">
        <v>100</v>
      </c>
      <c r="V2" s="109">
        <f t="shared" ref="V2:V64" si="2">IF(OR(N2="",U2="",T2=""),"",U2/N2*T2)</f>
        <v>2700</v>
      </c>
      <c r="W2" s="246">
        <v>4</v>
      </c>
      <c r="X2" s="246" t="s">
        <v>39</v>
      </c>
      <c r="Y2" s="246" t="s">
        <v>84</v>
      </c>
      <c r="Z2" s="246" t="s">
        <v>69</v>
      </c>
      <c r="AA2" s="246" t="s">
        <v>102</v>
      </c>
      <c r="AB2" s="246" t="s">
        <v>317</v>
      </c>
      <c r="AE2" s="110" t="s">
        <v>35</v>
      </c>
      <c r="AG2" s="111" t="s">
        <v>159</v>
      </c>
      <c r="AH2" s="111" t="s">
        <v>183</v>
      </c>
      <c r="AJ2" s="111" t="s">
        <v>36</v>
      </c>
      <c r="AL2" s="111" t="s">
        <v>184</v>
      </c>
      <c r="AN2" s="111" t="s">
        <v>37</v>
      </c>
      <c r="AP2" s="111" t="s">
        <v>38</v>
      </c>
      <c r="AR2" s="111" t="s">
        <v>154</v>
      </c>
      <c r="AT2" s="111" t="s">
        <v>39</v>
      </c>
      <c r="AV2" s="111" t="s">
        <v>40</v>
      </c>
      <c r="AX2" s="112">
        <v>1</v>
      </c>
      <c r="AY2" s="113">
        <v>50</v>
      </c>
      <c r="AZ2" s="113">
        <v>1</v>
      </c>
      <c r="BA2" s="114">
        <v>50</v>
      </c>
    </row>
    <row r="3" spans="1:53" s="115" customFormat="1" x14ac:dyDescent="0.15">
      <c r="A3" s="246" t="s">
        <v>51</v>
      </c>
      <c r="B3" s="246" t="s">
        <v>315</v>
      </c>
      <c r="C3" s="246">
        <v>2018</v>
      </c>
      <c r="D3" s="106" t="s">
        <v>392</v>
      </c>
      <c r="E3" s="246" t="s">
        <v>181</v>
      </c>
      <c r="F3" s="246" t="s">
        <v>182</v>
      </c>
      <c r="G3" s="246" t="s">
        <v>42</v>
      </c>
      <c r="H3" s="246" t="s">
        <v>155</v>
      </c>
      <c r="I3" s="246" t="s">
        <v>153</v>
      </c>
      <c r="J3" s="246" t="s">
        <v>38</v>
      </c>
      <c r="K3" s="246" t="s">
        <v>154</v>
      </c>
      <c r="L3" s="246">
        <v>2</v>
      </c>
      <c r="M3" s="246"/>
      <c r="N3" s="246">
        <v>1</v>
      </c>
      <c r="O3" s="246">
        <v>0.8</v>
      </c>
      <c r="P3" s="246">
        <v>0.75</v>
      </c>
      <c r="Q3" s="107">
        <f t="shared" si="0"/>
        <v>0.77500000000000002</v>
      </c>
      <c r="R3" s="246">
        <v>15.9</v>
      </c>
      <c r="S3" s="246">
        <v>128</v>
      </c>
      <c r="T3" s="108">
        <f t="shared" si="1"/>
        <v>27</v>
      </c>
      <c r="U3" s="246">
        <v>100</v>
      </c>
      <c r="V3" s="109">
        <f t="shared" si="2"/>
        <v>2700</v>
      </c>
      <c r="W3" s="246">
        <v>4</v>
      </c>
      <c r="X3" s="246" t="s">
        <v>39</v>
      </c>
      <c r="Y3" s="246" t="s">
        <v>84</v>
      </c>
      <c r="Z3" s="246" t="s">
        <v>69</v>
      </c>
      <c r="AA3" s="246" t="s">
        <v>102</v>
      </c>
      <c r="AB3" s="246" t="s">
        <v>317</v>
      </c>
      <c r="AE3" s="116" t="s">
        <v>41</v>
      </c>
      <c r="AG3" s="111" t="s">
        <v>185</v>
      </c>
      <c r="AH3" s="111" t="s">
        <v>186</v>
      </c>
      <c r="AJ3" s="117" t="s">
        <v>42</v>
      </c>
      <c r="AL3" s="117" t="s">
        <v>187</v>
      </c>
      <c r="AN3" s="117" t="s">
        <v>43</v>
      </c>
      <c r="AP3" s="117" t="s">
        <v>44</v>
      </c>
      <c r="AR3" s="118" t="s">
        <v>45</v>
      </c>
      <c r="AT3" s="117" t="s">
        <v>46</v>
      </c>
      <c r="AV3" s="117" t="s">
        <v>47</v>
      </c>
      <c r="AX3" s="119">
        <v>72</v>
      </c>
      <c r="AY3" s="120">
        <v>46</v>
      </c>
      <c r="AZ3" s="120">
        <v>71</v>
      </c>
      <c r="BA3" s="121">
        <v>42</v>
      </c>
    </row>
    <row r="4" spans="1:53" s="115" customFormat="1" x14ac:dyDescent="0.15">
      <c r="A4" s="246" t="s">
        <v>51</v>
      </c>
      <c r="B4" s="246" t="s">
        <v>315</v>
      </c>
      <c r="C4" s="246">
        <v>2018</v>
      </c>
      <c r="D4" s="106" t="s">
        <v>392</v>
      </c>
      <c r="E4" s="246" t="s">
        <v>181</v>
      </c>
      <c r="F4" s="246" t="s">
        <v>182</v>
      </c>
      <c r="G4" s="246" t="s">
        <v>42</v>
      </c>
      <c r="H4" s="246" t="s">
        <v>155</v>
      </c>
      <c r="I4" s="246" t="s">
        <v>153</v>
      </c>
      <c r="J4" s="246" t="s">
        <v>38</v>
      </c>
      <c r="K4" s="246" t="s">
        <v>154</v>
      </c>
      <c r="L4" s="246">
        <v>3</v>
      </c>
      <c r="M4" s="246"/>
      <c r="N4" s="246">
        <v>1</v>
      </c>
      <c r="O4" s="246">
        <v>0.75</v>
      </c>
      <c r="P4" s="246">
        <v>0.85</v>
      </c>
      <c r="Q4" s="107">
        <f t="shared" si="0"/>
        <v>0.8</v>
      </c>
      <c r="R4" s="246">
        <v>15.5</v>
      </c>
      <c r="S4" s="246">
        <v>126</v>
      </c>
      <c r="T4" s="108">
        <f t="shared" si="1"/>
        <v>27</v>
      </c>
      <c r="U4" s="246">
        <v>100</v>
      </c>
      <c r="V4" s="109">
        <f t="shared" si="2"/>
        <v>2700</v>
      </c>
      <c r="W4" s="246">
        <v>4</v>
      </c>
      <c r="X4" s="246" t="s">
        <v>39</v>
      </c>
      <c r="Y4" s="246" t="s">
        <v>84</v>
      </c>
      <c r="Z4" s="246" t="s">
        <v>69</v>
      </c>
      <c r="AA4" s="246" t="s">
        <v>102</v>
      </c>
      <c r="AB4" s="246" t="s">
        <v>317</v>
      </c>
      <c r="AE4" s="116" t="s">
        <v>34</v>
      </c>
      <c r="AG4" s="111" t="s">
        <v>188</v>
      </c>
      <c r="AH4" s="111" t="s">
        <v>189</v>
      </c>
      <c r="AJ4" s="122" t="s">
        <v>48</v>
      </c>
      <c r="AL4" s="122" t="s">
        <v>190</v>
      </c>
      <c r="AN4" s="123" t="s">
        <v>191</v>
      </c>
      <c r="AP4" s="117" t="s">
        <v>192</v>
      </c>
      <c r="AR4" s="118" t="s">
        <v>193</v>
      </c>
      <c r="AT4" s="123"/>
      <c r="AV4" s="117" t="s">
        <v>50</v>
      </c>
      <c r="AX4" s="119">
        <v>75</v>
      </c>
      <c r="AY4" s="120">
        <v>42</v>
      </c>
      <c r="AZ4" s="120">
        <v>76</v>
      </c>
      <c r="BA4" s="121">
        <v>39</v>
      </c>
    </row>
    <row r="5" spans="1:53" s="115" customFormat="1" x14ac:dyDescent="0.15">
      <c r="A5" s="246" t="s">
        <v>51</v>
      </c>
      <c r="B5" s="246" t="s">
        <v>315</v>
      </c>
      <c r="C5" s="246">
        <v>2018</v>
      </c>
      <c r="D5" s="106" t="s">
        <v>392</v>
      </c>
      <c r="E5" s="246" t="s">
        <v>181</v>
      </c>
      <c r="F5" s="246" t="s">
        <v>182</v>
      </c>
      <c r="G5" s="246" t="s">
        <v>42</v>
      </c>
      <c r="H5" s="246" t="s">
        <v>190</v>
      </c>
      <c r="I5" s="246" t="s">
        <v>153</v>
      </c>
      <c r="J5" s="246" t="s">
        <v>58</v>
      </c>
      <c r="K5" s="246" t="s">
        <v>59</v>
      </c>
      <c r="L5" s="246">
        <v>1</v>
      </c>
      <c r="M5" s="246"/>
      <c r="N5" s="246">
        <v>5</v>
      </c>
      <c r="O5" s="246">
        <v>0.5</v>
      </c>
      <c r="P5" s="246">
        <v>0.25</v>
      </c>
      <c r="Q5" s="107">
        <f t="shared" si="0"/>
        <v>0.375</v>
      </c>
      <c r="R5" s="246">
        <v>18.399999999999999</v>
      </c>
      <c r="S5" s="246">
        <v>74</v>
      </c>
      <c r="T5" s="108">
        <f t="shared" si="1"/>
        <v>42</v>
      </c>
      <c r="U5" s="246">
        <v>498</v>
      </c>
      <c r="V5" s="109">
        <f t="shared" si="2"/>
        <v>4183.2</v>
      </c>
      <c r="W5" s="246">
        <v>4</v>
      </c>
      <c r="X5" s="246" t="s">
        <v>39</v>
      </c>
      <c r="Y5" s="246" t="s">
        <v>84</v>
      </c>
      <c r="Z5" s="246" t="s">
        <v>69</v>
      </c>
      <c r="AA5" s="246" t="s">
        <v>102</v>
      </c>
      <c r="AB5" s="246" t="s">
        <v>317</v>
      </c>
      <c r="AE5" s="116" t="s">
        <v>51</v>
      </c>
      <c r="AG5" s="111" t="s">
        <v>194</v>
      </c>
      <c r="AH5" s="111" t="s">
        <v>182</v>
      </c>
      <c r="AJ5" s="123"/>
      <c r="AL5" s="124" t="s">
        <v>155</v>
      </c>
      <c r="AN5" s="124" t="s">
        <v>153</v>
      </c>
      <c r="AP5" s="117" t="s">
        <v>195</v>
      </c>
      <c r="AR5" s="118" t="s">
        <v>54</v>
      </c>
      <c r="AV5" s="117" t="s">
        <v>55</v>
      </c>
      <c r="AX5" s="119">
        <v>84</v>
      </c>
      <c r="AY5" s="120">
        <v>39</v>
      </c>
      <c r="AZ5" s="120">
        <v>84</v>
      </c>
      <c r="BA5" s="121">
        <v>36</v>
      </c>
    </row>
    <row r="6" spans="1:53" s="115" customFormat="1" x14ac:dyDescent="0.15">
      <c r="A6" s="246" t="s">
        <v>51</v>
      </c>
      <c r="B6" s="246" t="s">
        <v>315</v>
      </c>
      <c r="C6" s="246">
        <v>2018</v>
      </c>
      <c r="D6" s="106" t="s">
        <v>392</v>
      </c>
      <c r="E6" s="246" t="s">
        <v>181</v>
      </c>
      <c r="F6" s="246" t="s">
        <v>182</v>
      </c>
      <c r="G6" s="246" t="s">
        <v>42</v>
      </c>
      <c r="H6" s="246" t="s">
        <v>190</v>
      </c>
      <c r="I6" s="246" t="s">
        <v>153</v>
      </c>
      <c r="J6" s="246" t="s">
        <v>58</v>
      </c>
      <c r="K6" s="246" t="s">
        <v>59</v>
      </c>
      <c r="L6" s="246">
        <v>2</v>
      </c>
      <c r="M6" s="246"/>
      <c r="N6" s="246">
        <v>5</v>
      </c>
      <c r="O6" s="246">
        <v>0.25</v>
      </c>
      <c r="P6" s="246">
        <v>0.25</v>
      </c>
      <c r="Q6" s="107">
        <f t="shared" si="0"/>
        <v>0.25</v>
      </c>
      <c r="R6" s="246">
        <v>17.7</v>
      </c>
      <c r="S6" s="246">
        <v>83</v>
      </c>
      <c r="T6" s="108">
        <f t="shared" si="1"/>
        <v>39</v>
      </c>
      <c r="U6" s="246">
        <v>498</v>
      </c>
      <c r="V6" s="109">
        <f t="shared" si="2"/>
        <v>3884.3999999999996</v>
      </c>
      <c r="W6" s="246">
        <v>4</v>
      </c>
      <c r="X6" s="246" t="s">
        <v>39</v>
      </c>
      <c r="Y6" s="246" t="s">
        <v>84</v>
      </c>
      <c r="Z6" s="246" t="s">
        <v>69</v>
      </c>
      <c r="AA6" s="246" t="s">
        <v>102</v>
      </c>
      <c r="AB6" s="246" t="s">
        <v>317</v>
      </c>
      <c r="AE6" s="116" t="s">
        <v>56</v>
      </c>
      <c r="AG6" s="111" t="s">
        <v>196</v>
      </c>
      <c r="AH6" s="111" t="s">
        <v>197</v>
      </c>
      <c r="AL6" s="124" t="s">
        <v>198</v>
      </c>
      <c r="AN6" s="124" t="s">
        <v>156</v>
      </c>
      <c r="AP6" s="117" t="s">
        <v>53</v>
      </c>
      <c r="AR6" s="118" t="s">
        <v>59</v>
      </c>
      <c r="AV6" s="117" t="s">
        <v>60</v>
      </c>
      <c r="AX6" s="119">
        <v>97</v>
      </c>
      <c r="AY6" s="120">
        <v>36</v>
      </c>
      <c r="AZ6" s="120">
        <v>99</v>
      </c>
      <c r="BA6" s="121">
        <v>33</v>
      </c>
    </row>
    <row r="7" spans="1:53" s="115" customFormat="1" x14ac:dyDescent="0.15">
      <c r="A7" s="246" t="s">
        <v>51</v>
      </c>
      <c r="B7" s="246" t="s">
        <v>315</v>
      </c>
      <c r="C7" s="246">
        <v>2018</v>
      </c>
      <c r="D7" s="106" t="s">
        <v>392</v>
      </c>
      <c r="E7" s="246" t="s">
        <v>181</v>
      </c>
      <c r="F7" s="246" t="s">
        <v>182</v>
      </c>
      <c r="G7" s="246" t="s">
        <v>42</v>
      </c>
      <c r="H7" s="246" t="s">
        <v>190</v>
      </c>
      <c r="I7" s="246" t="s">
        <v>153</v>
      </c>
      <c r="J7" s="246" t="s">
        <v>58</v>
      </c>
      <c r="K7" s="246" t="s">
        <v>59</v>
      </c>
      <c r="L7" s="246">
        <v>3</v>
      </c>
      <c r="M7" s="246"/>
      <c r="N7" s="246">
        <v>5</v>
      </c>
      <c r="O7" s="246">
        <v>0.25</v>
      </c>
      <c r="P7" s="246">
        <v>0.25</v>
      </c>
      <c r="Q7" s="107">
        <f t="shared" si="0"/>
        <v>0.25</v>
      </c>
      <c r="R7" s="246">
        <v>18</v>
      </c>
      <c r="S7" s="246">
        <v>68</v>
      </c>
      <c r="T7" s="108">
        <f t="shared" si="1"/>
        <v>50</v>
      </c>
      <c r="U7" s="246">
        <v>498</v>
      </c>
      <c r="V7" s="109">
        <f t="shared" si="2"/>
        <v>4980</v>
      </c>
      <c r="W7" s="246">
        <v>4</v>
      </c>
      <c r="X7" s="246" t="s">
        <v>39</v>
      </c>
      <c r="Y7" s="246" t="s">
        <v>84</v>
      </c>
      <c r="Z7" s="246" t="s">
        <v>69</v>
      </c>
      <c r="AA7" s="246" t="s">
        <v>102</v>
      </c>
      <c r="AB7" s="246" t="s">
        <v>317</v>
      </c>
      <c r="AE7" s="116" t="s">
        <v>61</v>
      </c>
      <c r="AG7" s="111" t="s">
        <v>199</v>
      </c>
      <c r="AH7" s="111" t="s">
        <v>183</v>
      </c>
      <c r="AL7" s="115" t="s">
        <v>200</v>
      </c>
      <c r="AP7" s="117" t="s">
        <v>58</v>
      </c>
      <c r="AR7" s="118" t="s">
        <v>201</v>
      </c>
      <c r="AV7" s="117" t="s">
        <v>64</v>
      </c>
      <c r="AX7" s="119">
        <v>109</v>
      </c>
      <c r="AY7" s="120">
        <v>33</v>
      </c>
      <c r="AZ7" s="120">
        <v>113</v>
      </c>
      <c r="BA7" s="121">
        <v>30</v>
      </c>
    </row>
    <row r="8" spans="1:53" s="115" customFormat="1" x14ac:dyDescent="0.15">
      <c r="A8" s="246" t="s">
        <v>51</v>
      </c>
      <c r="B8" s="246" t="s">
        <v>315</v>
      </c>
      <c r="C8" s="246">
        <v>2018</v>
      </c>
      <c r="D8" s="106" t="s">
        <v>392</v>
      </c>
      <c r="E8" s="246" t="s">
        <v>181</v>
      </c>
      <c r="F8" s="246" t="s">
        <v>182</v>
      </c>
      <c r="G8" s="246" t="s">
        <v>42</v>
      </c>
      <c r="H8" s="246" t="s">
        <v>157</v>
      </c>
      <c r="I8" s="246" t="s">
        <v>153</v>
      </c>
      <c r="J8" s="246" t="s">
        <v>38</v>
      </c>
      <c r="K8" s="246" t="s">
        <v>154</v>
      </c>
      <c r="L8" s="246">
        <v>1</v>
      </c>
      <c r="M8" s="246"/>
      <c r="N8" s="246">
        <v>1</v>
      </c>
      <c r="O8" s="246">
        <v>0.65</v>
      </c>
      <c r="P8" s="246">
        <v>0.8</v>
      </c>
      <c r="Q8" s="107">
        <f t="shared" si="0"/>
        <v>0.72500000000000009</v>
      </c>
      <c r="R8" s="246">
        <v>16.600000000000001</v>
      </c>
      <c r="S8" s="246">
        <v>132</v>
      </c>
      <c r="T8" s="108">
        <f t="shared" si="1"/>
        <v>25</v>
      </c>
      <c r="U8" s="246">
        <v>98</v>
      </c>
      <c r="V8" s="109">
        <f t="shared" si="2"/>
        <v>2450</v>
      </c>
      <c r="W8" s="246">
        <v>4</v>
      </c>
      <c r="X8" s="246" t="s">
        <v>39</v>
      </c>
      <c r="Y8" s="246" t="s">
        <v>84</v>
      </c>
      <c r="Z8" s="246" t="s">
        <v>69</v>
      </c>
      <c r="AA8" s="246" t="s">
        <v>102</v>
      </c>
      <c r="AB8" s="246" t="s">
        <v>317</v>
      </c>
      <c r="AE8" s="116" t="s">
        <v>59</v>
      </c>
      <c r="AG8" s="111" t="s">
        <v>202</v>
      </c>
      <c r="AH8" s="111" t="s">
        <v>203</v>
      </c>
      <c r="AL8" s="115" t="s">
        <v>157</v>
      </c>
      <c r="AP8" s="117" t="s">
        <v>62</v>
      </c>
      <c r="AR8" s="118" t="s">
        <v>81</v>
      </c>
      <c r="AV8" s="117" t="s">
        <v>97</v>
      </c>
      <c r="AX8" s="119">
        <v>119</v>
      </c>
      <c r="AY8" s="120">
        <v>30</v>
      </c>
      <c r="AZ8" s="120">
        <v>121</v>
      </c>
      <c r="BA8" s="121">
        <v>27</v>
      </c>
    </row>
    <row r="9" spans="1:53" s="115" customFormat="1" x14ac:dyDescent="0.15">
      <c r="A9" s="246" t="s">
        <v>51</v>
      </c>
      <c r="B9" s="246" t="s">
        <v>315</v>
      </c>
      <c r="C9" s="246">
        <v>2018</v>
      </c>
      <c r="D9" s="106" t="s">
        <v>392</v>
      </c>
      <c r="E9" s="246" t="s">
        <v>181</v>
      </c>
      <c r="F9" s="246" t="s">
        <v>182</v>
      </c>
      <c r="G9" s="246" t="s">
        <v>42</v>
      </c>
      <c r="H9" s="246" t="s">
        <v>157</v>
      </c>
      <c r="I9" s="246" t="s">
        <v>153</v>
      </c>
      <c r="J9" s="246" t="s">
        <v>38</v>
      </c>
      <c r="K9" s="246" t="s">
        <v>154</v>
      </c>
      <c r="L9" s="246">
        <v>2</v>
      </c>
      <c r="M9" s="246"/>
      <c r="N9" s="246">
        <v>1</v>
      </c>
      <c r="O9" s="246">
        <v>0.85</v>
      </c>
      <c r="P9" s="246">
        <v>0.8</v>
      </c>
      <c r="Q9" s="107">
        <f t="shared" si="0"/>
        <v>0.82499999999999996</v>
      </c>
      <c r="R9" s="246">
        <v>16.2</v>
      </c>
      <c r="S9" s="246">
        <v>128</v>
      </c>
      <c r="T9" s="108">
        <f t="shared" si="1"/>
        <v>27</v>
      </c>
      <c r="U9" s="246">
        <v>98</v>
      </c>
      <c r="V9" s="109">
        <f t="shared" si="2"/>
        <v>2646</v>
      </c>
      <c r="W9" s="246">
        <v>4</v>
      </c>
      <c r="X9" s="246" t="s">
        <v>39</v>
      </c>
      <c r="Y9" s="246" t="s">
        <v>84</v>
      </c>
      <c r="Z9" s="246" t="s">
        <v>69</v>
      </c>
      <c r="AA9" s="246" t="s">
        <v>102</v>
      </c>
      <c r="AB9" s="246" t="s">
        <v>317</v>
      </c>
      <c r="AE9" s="116" t="s">
        <v>204</v>
      </c>
      <c r="AG9" s="111" t="s">
        <v>205</v>
      </c>
      <c r="AH9" s="111" t="s">
        <v>182</v>
      </c>
      <c r="AL9" s="124"/>
      <c r="AP9" s="117" t="s">
        <v>95</v>
      </c>
      <c r="AR9" s="118" t="s">
        <v>206</v>
      </c>
      <c r="AV9" s="117" t="s">
        <v>102</v>
      </c>
      <c r="AX9" s="119">
        <v>128</v>
      </c>
      <c r="AY9" s="120">
        <v>27</v>
      </c>
      <c r="AZ9" s="120">
        <v>129</v>
      </c>
      <c r="BA9" s="121">
        <v>25</v>
      </c>
    </row>
    <row r="10" spans="1:53" s="115" customFormat="1" x14ac:dyDescent="0.15">
      <c r="A10" s="246" t="s">
        <v>51</v>
      </c>
      <c r="B10" s="246" t="s">
        <v>315</v>
      </c>
      <c r="C10" s="246">
        <v>2018</v>
      </c>
      <c r="D10" s="106" t="s">
        <v>392</v>
      </c>
      <c r="E10" s="246" t="s">
        <v>181</v>
      </c>
      <c r="F10" s="246" t="s">
        <v>182</v>
      </c>
      <c r="G10" s="246" t="s">
        <v>42</v>
      </c>
      <c r="H10" s="246" t="s">
        <v>157</v>
      </c>
      <c r="I10" s="246" t="s">
        <v>153</v>
      </c>
      <c r="J10" s="246" t="s">
        <v>38</v>
      </c>
      <c r="K10" s="246" t="s">
        <v>154</v>
      </c>
      <c r="L10" s="246">
        <v>3</v>
      </c>
      <c r="M10" s="246"/>
      <c r="N10" s="246">
        <v>1</v>
      </c>
      <c r="O10" s="246">
        <v>0.75</v>
      </c>
      <c r="P10" s="246">
        <v>0.85</v>
      </c>
      <c r="Q10" s="107">
        <f t="shared" si="0"/>
        <v>0.8</v>
      </c>
      <c r="R10" s="246">
        <v>16.399999999999999</v>
      </c>
      <c r="S10" s="246">
        <v>130</v>
      </c>
      <c r="T10" s="108">
        <f t="shared" si="1"/>
        <v>25</v>
      </c>
      <c r="U10" s="246">
        <v>98</v>
      </c>
      <c r="V10" s="109">
        <f t="shared" si="2"/>
        <v>2450</v>
      </c>
      <c r="W10" s="246">
        <v>4</v>
      </c>
      <c r="X10" s="246" t="s">
        <v>39</v>
      </c>
      <c r="Y10" s="246" t="s">
        <v>84</v>
      </c>
      <c r="Z10" s="246" t="s">
        <v>69</v>
      </c>
      <c r="AA10" s="246" t="s">
        <v>50</v>
      </c>
      <c r="AB10" s="246" t="s">
        <v>317</v>
      </c>
      <c r="AE10" s="116" t="s">
        <v>207</v>
      </c>
      <c r="AG10" s="111" t="s">
        <v>181</v>
      </c>
      <c r="AH10" s="117" t="s">
        <v>182</v>
      </c>
      <c r="AP10" s="117" t="s">
        <v>100</v>
      </c>
      <c r="AR10" s="118" t="s">
        <v>208</v>
      </c>
      <c r="AV10" s="117" t="s">
        <v>106</v>
      </c>
      <c r="AX10" s="119">
        <v>138</v>
      </c>
      <c r="AY10" s="120">
        <v>25</v>
      </c>
      <c r="AZ10" s="120">
        <v>138</v>
      </c>
      <c r="BA10" s="121">
        <v>22</v>
      </c>
    </row>
    <row r="11" spans="1:53" s="115" customFormat="1" x14ac:dyDescent="0.15">
      <c r="A11" s="246" t="s">
        <v>51</v>
      </c>
      <c r="B11" s="246" t="s">
        <v>315</v>
      </c>
      <c r="C11" s="246">
        <v>2018</v>
      </c>
      <c r="D11" s="106" t="s">
        <v>392</v>
      </c>
      <c r="E11" s="246" t="s">
        <v>185</v>
      </c>
      <c r="F11" s="246" t="s">
        <v>186</v>
      </c>
      <c r="G11" s="246" t="s">
        <v>36</v>
      </c>
      <c r="H11" s="246" t="s">
        <v>155</v>
      </c>
      <c r="I11" s="246" t="s">
        <v>153</v>
      </c>
      <c r="J11" s="246" t="s">
        <v>38</v>
      </c>
      <c r="K11" s="246" t="s">
        <v>154</v>
      </c>
      <c r="L11" s="246">
        <v>1</v>
      </c>
      <c r="M11" s="246"/>
      <c r="N11" s="246">
        <v>3</v>
      </c>
      <c r="O11" s="246">
        <v>1.05</v>
      </c>
      <c r="P11" s="246">
        <v>1</v>
      </c>
      <c r="Q11" s="107">
        <f t="shared" si="0"/>
        <v>1.0249999999999999</v>
      </c>
      <c r="R11" s="246">
        <v>13.2</v>
      </c>
      <c r="S11" s="246">
        <v>162</v>
      </c>
      <c r="T11" s="108">
        <f t="shared" si="1"/>
        <v>18</v>
      </c>
      <c r="U11" s="246">
        <v>398</v>
      </c>
      <c r="V11" s="109">
        <f t="shared" si="2"/>
        <v>2388</v>
      </c>
      <c r="W11" s="246">
        <v>11</v>
      </c>
      <c r="X11" s="246" t="s">
        <v>46</v>
      </c>
      <c r="Y11" s="246" t="s">
        <v>90</v>
      </c>
      <c r="Z11" s="246" t="s">
        <v>78</v>
      </c>
      <c r="AA11" s="246" t="s">
        <v>69</v>
      </c>
      <c r="AB11" s="246" t="s">
        <v>317</v>
      </c>
      <c r="AE11" s="116" t="s">
        <v>68</v>
      </c>
      <c r="AG11" s="111" t="s">
        <v>139</v>
      </c>
      <c r="AH11" s="117" t="s">
        <v>393</v>
      </c>
      <c r="AP11" s="117" t="s">
        <v>104</v>
      </c>
      <c r="AR11" s="118" t="s">
        <v>209</v>
      </c>
      <c r="AV11" s="117" t="s">
        <v>69</v>
      </c>
      <c r="AX11" s="119">
        <v>151</v>
      </c>
      <c r="AY11" s="120">
        <v>22</v>
      </c>
      <c r="AZ11" s="120">
        <v>152</v>
      </c>
      <c r="BA11" s="121">
        <v>18</v>
      </c>
    </row>
    <row r="12" spans="1:53" s="115" customFormat="1" x14ac:dyDescent="0.15">
      <c r="A12" s="246" t="s">
        <v>51</v>
      </c>
      <c r="B12" s="246" t="s">
        <v>315</v>
      </c>
      <c r="C12" s="246">
        <v>2018</v>
      </c>
      <c r="D12" s="106" t="s">
        <v>392</v>
      </c>
      <c r="E12" s="246" t="s">
        <v>185</v>
      </c>
      <c r="F12" s="246" t="s">
        <v>186</v>
      </c>
      <c r="G12" s="246" t="s">
        <v>36</v>
      </c>
      <c r="H12" s="246" t="s">
        <v>155</v>
      </c>
      <c r="I12" s="246" t="s">
        <v>153</v>
      </c>
      <c r="J12" s="246" t="s">
        <v>38</v>
      </c>
      <c r="K12" s="246" t="s">
        <v>154</v>
      </c>
      <c r="L12" s="246">
        <v>2</v>
      </c>
      <c r="M12" s="246"/>
      <c r="N12" s="246">
        <v>3</v>
      </c>
      <c r="O12" s="246">
        <v>1.1000000000000001</v>
      </c>
      <c r="P12" s="246">
        <v>1.05</v>
      </c>
      <c r="Q12" s="107">
        <f t="shared" si="0"/>
        <v>1.0750000000000002</v>
      </c>
      <c r="R12" s="246">
        <v>13.8</v>
      </c>
      <c r="S12" s="246">
        <v>164</v>
      </c>
      <c r="T12" s="108">
        <f t="shared" si="1"/>
        <v>18</v>
      </c>
      <c r="U12" s="246">
        <v>398</v>
      </c>
      <c r="V12" s="109">
        <f t="shared" si="2"/>
        <v>2388</v>
      </c>
      <c r="W12" s="246">
        <v>11</v>
      </c>
      <c r="X12" s="246" t="s">
        <v>46</v>
      </c>
      <c r="Y12" s="246" t="s">
        <v>90</v>
      </c>
      <c r="Z12" s="246" t="s">
        <v>78</v>
      </c>
      <c r="AA12" s="246" t="s">
        <v>69</v>
      </c>
      <c r="AB12" s="246" t="s">
        <v>317</v>
      </c>
      <c r="AE12" s="116" t="s">
        <v>210</v>
      </c>
      <c r="AG12" s="117"/>
      <c r="AH12" s="117"/>
      <c r="AP12" s="117" t="s">
        <v>67</v>
      </c>
      <c r="AR12" s="118" t="s">
        <v>211</v>
      </c>
      <c r="AV12" s="117" t="s">
        <v>72</v>
      </c>
      <c r="AX12" s="125">
        <v>180</v>
      </c>
      <c r="AY12" s="126">
        <v>18</v>
      </c>
      <c r="AZ12" s="126">
        <v>181</v>
      </c>
      <c r="BA12" s="127">
        <v>16</v>
      </c>
    </row>
    <row r="13" spans="1:53" s="115" customFormat="1" x14ac:dyDescent="0.15">
      <c r="A13" s="246" t="s">
        <v>51</v>
      </c>
      <c r="B13" s="246" t="s">
        <v>315</v>
      </c>
      <c r="C13" s="246">
        <v>2018</v>
      </c>
      <c r="D13" s="106" t="s">
        <v>392</v>
      </c>
      <c r="E13" s="246" t="s">
        <v>185</v>
      </c>
      <c r="F13" s="246" t="s">
        <v>186</v>
      </c>
      <c r="G13" s="246" t="s">
        <v>36</v>
      </c>
      <c r="H13" s="246" t="s">
        <v>155</v>
      </c>
      <c r="I13" s="246" t="s">
        <v>153</v>
      </c>
      <c r="J13" s="246" t="s">
        <v>38</v>
      </c>
      <c r="K13" s="246" t="s">
        <v>154</v>
      </c>
      <c r="L13" s="246">
        <v>3</v>
      </c>
      <c r="M13" s="246"/>
      <c r="N13" s="246">
        <v>3</v>
      </c>
      <c r="O13" s="246">
        <v>0.95</v>
      </c>
      <c r="P13" s="246">
        <v>1</v>
      </c>
      <c r="Q13" s="107">
        <f t="shared" si="0"/>
        <v>0.97499999999999998</v>
      </c>
      <c r="R13" s="246">
        <v>13.5</v>
      </c>
      <c r="S13" s="246">
        <v>160</v>
      </c>
      <c r="T13" s="108">
        <f t="shared" si="1"/>
        <v>18</v>
      </c>
      <c r="U13" s="246">
        <v>398</v>
      </c>
      <c r="V13" s="109">
        <f t="shared" si="2"/>
        <v>2388</v>
      </c>
      <c r="W13" s="246">
        <v>11</v>
      </c>
      <c r="X13" s="246" t="s">
        <v>46</v>
      </c>
      <c r="Y13" s="246" t="s">
        <v>90</v>
      </c>
      <c r="Z13" s="246" t="s">
        <v>78</v>
      </c>
      <c r="AA13" s="246" t="s">
        <v>69</v>
      </c>
      <c r="AB13" s="246" t="s">
        <v>317</v>
      </c>
      <c r="AE13" s="116" t="s">
        <v>212</v>
      </c>
      <c r="AG13" s="117"/>
      <c r="AH13" s="117"/>
      <c r="AP13" s="117" t="s">
        <v>71</v>
      </c>
      <c r="AR13" s="118" t="s">
        <v>207</v>
      </c>
      <c r="AV13" s="117" t="s">
        <v>75</v>
      </c>
    </row>
    <row r="14" spans="1:53" s="115" customFormat="1" x14ac:dyDescent="0.15">
      <c r="A14" s="246" t="s">
        <v>51</v>
      </c>
      <c r="B14" s="246" t="s">
        <v>315</v>
      </c>
      <c r="C14" s="246">
        <v>2018</v>
      </c>
      <c r="D14" s="106" t="s">
        <v>392</v>
      </c>
      <c r="E14" s="246" t="s">
        <v>185</v>
      </c>
      <c r="F14" s="246" t="s">
        <v>186</v>
      </c>
      <c r="G14" s="246" t="s">
        <v>36</v>
      </c>
      <c r="H14" s="246" t="s">
        <v>157</v>
      </c>
      <c r="I14" s="246" t="s">
        <v>153</v>
      </c>
      <c r="J14" s="246" t="s">
        <v>38</v>
      </c>
      <c r="K14" s="246" t="s">
        <v>154</v>
      </c>
      <c r="L14" s="246">
        <v>1</v>
      </c>
      <c r="M14" s="246"/>
      <c r="N14" s="246">
        <v>3</v>
      </c>
      <c r="O14" s="246">
        <v>0.55000000000000004</v>
      </c>
      <c r="P14" s="246">
        <v>0.25</v>
      </c>
      <c r="Q14" s="107">
        <f t="shared" si="0"/>
        <v>0.4</v>
      </c>
      <c r="R14" s="246">
        <v>16.5</v>
      </c>
      <c r="S14" s="246">
        <v>178</v>
      </c>
      <c r="T14" s="108">
        <f t="shared" si="1"/>
        <v>18</v>
      </c>
      <c r="U14" s="246">
        <v>398</v>
      </c>
      <c r="V14" s="109">
        <f t="shared" si="2"/>
        <v>2388</v>
      </c>
      <c r="W14" s="246">
        <v>11</v>
      </c>
      <c r="X14" s="246" t="s">
        <v>46</v>
      </c>
      <c r="Y14" s="246" t="s">
        <v>90</v>
      </c>
      <c r="Z14" s="246" t="s">
        <v>78</v>
      </c>
      <c r="AA14" s="246" t="s">
        <v>69</v>
      </c>
      <c r="AB14" s="246" t="s">
        <v>317</v>
      </c>
      <c r="AE14" s="116" t="s">
        <v>96</v>
      </c>
      <c r="AG14" s="117"/>
      <c r="AH14" s="117"/>
      <c r="AP14" s="117" t="s">
        <v>74</v>
      </c>
      <c r="AR14" s="118" t="s">
        <v>213</v>
      </c>
      <c r="AV14" s="117" t="s">
        <v>78</v>
      </c>
    </row>
    <row r="15" spans="1:53" s="115" customFormat="1" x14ac:dyDescent="0.15">
      <c r="A15" s="246" t="s">
        <v>51</v>
      </c>
      <c r="B15" s="246" t="s">
        <v>315</v>
      </c>
      <c r="C15" s="246">
        <v>2018</v>
      </c>
      <c r="D15" s="106" t="s">
        <v>392</v>
      </c>
      <c r="E15" s="246" t="s">
        <v>185</v>
      </c>
      <c r="F15" s="246" t="s">
        <v>186</v>
      </c>
      <c r="G15" s="246" t="s">
        <v>36</v>
      </c>
      <c r="H15" s="246" t="s">
        <v>157</v>
      </c>
      <c r="I15" s="246" t="s">
        <v>153</v>
      </c>
      <c r="J15" s="246" t="s">
        <v>38</v>
      </c>
      <c r="K15" s="246" t="s">
        <v>154</v>
      </c>
      <c r="L15" s="246">
        <v>2</v>
      </c>
      <c r="M15" s="246"/>
      <c r="N15" s="246">
        <v>3</v>
      </c>
      <c r="O15" s="246">
        <v>0.5</v>
      </c>
      <c r="P15" s="246">
        <v>0.5</v>
      </c>
      <c r="Q15" s="107">
        <f t="shared" si="0"/>
        <v>0.5</v>
      </c>
      <c r="R15" s="246">
        <v>16.100000000000001</v>
      </c>
      <c r="S15" s="246">
        <v>168</v>
      </c>
      <c r="T15" s="108">
        <f t="shared" si="1"/>
        <v>18</v>
      </c>
      <c r="U15" s="246">
        <v>398</v>
      </c>
      <c r="V15" s="109">
        <f t="shared" si="2"/>
        <v>2388</v>
      </c>
      <c r="W15" s="246">
        <v>11</v>
      </c>
      <c r="X15" s="246" t="s">
        <v>46</v>
      </c>
      <c r="Y15" s="246" t="s">
        <v>90</v>
      </c>
      <c r="Z15" s="246" t="s">
        <v>78</v>
      </c>
      <c r="AA15" s="246" t="s">
        <v>69</v>
      </c>
      <c r="AB15" s="246" t="s">
        <v>317</v>
      </c>
      <c r="AE15" s="116" t="s">
        <v>214</v>
      </c>
      <c r="AG15" s="117"/>
      <c r="AH15" s="117"/>
      <c r="AP15" s="117" t="s">
        <v>77</v>
      </c>
      <c r="AR15" s="118" t="s">
        <v>80</v>
      </c>
      <c r="AV15" s="117" t="s">
        <v>107</v>
      </c>
    </row>
    <row r="16" spans="1:53" s="115" customFormat="1" x14ac:dyDescent="0.15">
      <c r="A16" s="246" t="s">
        <v>51</v>
      </c>
      <c r="B16" s="246" t="s">
        <v>315</v>
      </c>
      <c r="C16" s="246">
        <v>2018</v>
      </c>
      <c r="D16" s="106" t="s">
        <v>392</v>
      </c>
      <c r="E16" s="246" t="s">
        <v>185</v>
      </c>
      <c r="F16" s="246" t="s">
        <v>186</v>
      </c>
      <c r="G16" s="246" t="s">
        <v>36</v>
      </c>
      <c r="H16" s="246" t="s">
        <v>157</v>
      </c>
      <c r="I16" s="246" t="s">
        <v>153</v>
      </c>
      <c r="J16" s="246" t="s">
        <v>38</v>
      </c>
      <c r="K16" s="246" t="s">
        <v>154</v>
      </c>
      <c r="L16" s="246">
        <v>3</v>
      </c>
      <c r="M16" s="246"/>
      <c r="N16" s="246">
        <v>3</v>
      </c>
      <c r="O16" s="246">
        <v>0.55000000000000004</v>
      </c>
      <c r="P16" s="246">
        <v>0.5</v>
      </c>
      <c r="Q16" s="107">
        <f t="shared" si="0"/>
        <v>0.52500000000000002</v>
      </c>
      <c r="R16" s="246">
        <v>15.8</v>
      </c>
      <c r="S16" s="246">
        <v>160</v>
      </c>
      <c r="T16" s="108">
        <f t="shared" si="1"/>
        <v>18</v>
      </c>
      <c r="U16" s="246">
        <v>398</v>
      </c>
      <c r="V16" s="109">
        <f t="shared" si="2"/>
        <v>2388</v>
      </c>
      <c r="W16" s="246">
        <v>11</v>
      </c>
      <c r="X16" s="246" t="s">
        <v>46</v>
      </c>
      <c r="Y16" s="246" t="s">
        <v>90</v>
      </c>
      <c r="Z16" s="246" t="s">
        <v>78</v>
      </c>
      <c r="AA16" s="246" t="s">
        <v>69</v>
      </c>
      <c r="AB16" s="246" t="s">
        <v>317</v>
      </c>
      <c r="AE16" s="116" t="s">
        <v>215</v>
      </c>
      <c r="AG16" s="123"/>
      <c r="AH16" s="123"/>
      <c r="AP16" s="117" t="s">
        <v>80</v>
      </c>
      <c r="AR16" s="118" t="s">
        <v>63</v>
      </c>
      <c r="AV16" s="117" t="s">
        <v>84</v>
      </c>
    </row>
    <row r="17" spans="1:48" s="115" customFormat="1" x14ac:dyDescent="0.15">
      <c r="A17" s="246" t="s">
        <v>51</v>
      </c>
      <c r="B17" s="246" t="s">
        <v>315</v>
      </c>
      <c r="C17" s="246">
        <v>2018</v>
      </c>
      <c r="D17" s="106" t="s">
        <v>392</v>
      </c>
      <c r="E17" s="246" t="s">
        <v>139</v>
      </c>
      <c r="F17" s="246" t="s">
        <v>393</v>
      </c>
      <c r="G17" s="246" t="s">
        <v>42</v>
      </c>
      <c r="H17" s="246" t="s">
        <v>155</v>
      </c>
      <c r="I17" s="246" t="s">
        <v>153</v>
      </c>
      <c r="J17" s="246" t="s">
        <v>38</v>
      </c>
      <c r="K17" s="246" t="s">
        <v>154</v>
      </c>
      <c r="L17" s="246">
        <v>1</v>
      </c>
      <c r="M17" s="246"/>
      <c r="N17" s="246">
        <v>1</v>
      </c>
      <c r="O17" s="246">
        <v>0.25</v>
      </c>
      <c r="P17" s="246">
        <v>0.25</v>
      </c>
      <c r="Q17" s="107">
        <f t="shared" si="0"/>
        <v>0.25</v>
      </c>
      <c r="R17" s="246">
        <v>14</v>
      </c>
      <c r="S17" s="246">
        <v>94</v>
      </c>
      <c r="T17" s="108">
        <f t="shared" si="1"/>
        <v>36</v>
      </c>
      <c r="U17" s="246">
        <v>98</v>
      </c>
      <c r="V17" s="109">
        <f t="shared" si="2"/>
        <v>3528</v>
      </c>
      <c r="W17" s="246">
        <v>10</v>
      </c>
      <c r="X17" s="246" t="s">
        <v>46</v>
      </c>
      <c r="Y17" s="246" t="s">
        <v>84</v>
      </c>
      <c r="Z17" s="246" t="s">
        <v>50</v>
      </c>
      <c r="AA17" s="246" t="s">
        <v>69</v>
      </c>
      <c r="AB17" s="246" t="s">
        <v>317</v>
      </c>
      <c r="AE17" s="116" t="s">
        <v>216</v>
      </c>
      <c r="AP17" s="128" t="s">
        <v>217</v>
      </c>
      <c r="AR17" s="118" t="s">
        <v>96</v>
      </c>
      <c r="AV17" s="117" t="s">
        <v>86</v>
      </c>
    </row>
    <row r="18" spans="1:48" s="115" customFormat="1" x14ac:dyDescent="0.15">
      <c r="A18" s="246" t="s">
        <v>51</v>
      </c>
      <c r="B18" s="246" t="s">
        <v>315</v>
      </c>
      <c r="C18" s="246">
        <v>2018</v>
      </c>
      <c r="D18" s="106" t="s">
        <v>392</v>
      </c>
      <c r="E18" s="246" t="s">
        <v>139</v>
      </c>
      <c r="F18" s="246" t="s">
        <v>393</v>
      </c>
      <c r="G18" s="246" t="s">
        <v>42</v>
      </c>
      <c r="H18" s="246" t="s">
        <v>155</v>
      </c>
      <c r="I18" s="246" t="s">
        <v>153</v>
      </c>
      <c r="J18" s="246" t="s">
        <v>38</v>
      </c>
      <c r="K18" s="246" t="s">
        <v>154</v>
      </c>
      <c r="L18" s="246">
        <v>2</v>
      </c>
      <c r="M18" s="246"/>
      <c r="N18" s="246">
        <v>1</v>
      </c>
      <c r="O18" s="246">
        <v>0.6</v>
      </c>
      <c r="P18" s="246">
        <v>0.55000000000000004</v>
      </c>
      <c r="Q18" s="107">
        <f t="shared" si="0"/>
        <v>0.57499999999999996</v>
      </c>
      <c r="R18" s="246">
        <v>14.7</v>
      </c>
      <c r="S18" s="246">
        <v>104</v>
      </c>
      <c r="T18" s="108">
        <f t="shared" si="1"/>
        <v>33</v>
      </c>
      <c r="U18" s="246">
        <v>98</v>
      </c>
      <c r="V18" s="109">
        <f t="shared" si="2"/>
        <v>3234</v>
      </c>
      <c r="W18" s="246">
        <v>10</v>
      </c>
      <c r="X18" s="246" t="s">
        <v>46</v>
      </c>
      <c r="Y18" s="246" t="s">
        <v>84</v>
      </c>
      <c r="Z18" s="246" t="s">
        <v>50</v>
      </c>
      <c r="AA18" s="246" t="s">
        <v>69</v>
      </c>
      <c r="AB18" s="246" t="s">
        <v>317</v>
      </c>
      <c r="AE18" s="116" t="s">
        <v>209</v>
      </c>
      <c r="AP18" s="128" t="s">
        <v>218</v>
      </c>
      <c r="AR18" s="118" t="s">
        <v>101</v>
      </c>
      <c r="AV18" s="117" t="s">
        <v>88</v>
      </c>
    </row>
    <row r="19" spans="1:48" s="115" customFormat="1" x14ac:dyDescent="0.15">
      <c r="A19" s="246" t="s">
        <v>51</v>
      </c>
      <c r="B19" s="246" t="s">
        <v>315</v>
      </c>
      <c r="C19" s="246">
        <v>2018</v>
      </c>
      <c r="D19" s="106" t="s">
        <v>392</v>
      </c>
      <c r="E19" s="246" t="s">
        <v>139</v>
      </c>
      <c r="F19" s="246" t="s">
        <v>393</v>
      </c>
      <c r="G19" s="246" t="s">
        <v>42</v>
      </c>
      <c r="H19" s="246" t="s">
        <v>155</v>
      </c>
      <c r="I19" s="246" t="s">
        <v>153</v>
      </c>
      <c r="J19" s="246" t="s">
        <v>38</v>
      </c>
      <c r="K19" s="246" t="s">
        <v>154</v>
      </c>
      <c r="L19" s="246">
        <v>3</v>
      </c>
      <c r="M19" s="246"/>
      <c r="N19" s="246">
        <v>1</v>
      </c>
      <c r="O19" s="246">
        <v>0.55000000000000004</v>
      </c>
      <c r="P19" s="246">
        <v>0.5</v>
      </c>
      <c r="Q19" s="107">
        <f t="shared" si="0"/>
        <v>0.52500000000000002</v>
      </c>
      <c r="R19" s="246">
        <v>14.4</v>
      </c>
      <c r="S19" s="246">
        <v>97</v>
      </c>
      <c r="T19" s="108">
        <f t="shared" si="1"/>
        <v>36</v>
      </c>
      <c r="U19" s="246">
        <v>98</v>
      </c>
      <c r="V19" s="109">
        <f t="shared" si="2"/>
        <v>3528</v>
      </c>
      <c r="W19" s="246">
        <v>10</v>
      </c>
      <c r="X19" s="246" t="s">
        <v>46</v>
      </c>
      <c r="Y19" s="246" t="s">
        <v>84</v>
      </c>
      <c r="Z19" s="246" t="s">
        <v>50</v>
      </c>
      <c r="AA19" s="246" t="s">
        <v>69</v>
      </c>
      <c r="AB19" s="246" t="s">
        <v>317</v>
      </c>
      <c r="AE19" s="129" t="s">
        <v>206</v>
      </c>
      <c r="AP19" s="128" t="s">
        <v>219</v>
      </c>
      <c r="AR19" s="118" t="s">
        <v>220</v>
      </c>
      <c r="AV19" s="117" t="s">
        <v>90</v>
      </c>
    </row>
    <row r="20" spans="1:48" s="115" customFormat="1" x14ac:dyDescent="0.15">
      <c r="A20" s="246" t="s">
        <v>51</v>
      </c>
      <c r="B20" s="246" t="s">
        <v>315</v>
      </c>
      <c r="C20" s="246">
        <v>2018</v>
      </c>
      <c r="D20" s="106" t="s">
        <v>392</v>
      </c>
      <c r="E20" s="246" t="s">
        <v>139</v>
      </c>
      <c r="F20" s="246" t="s">
        <v>393</v>
      </c>
      <c r="G20" s="246" t="s">
        <v>42</v>
      </c>
      <c r="H20" s="246" t="s">
        <v>157</v>
      </c>
      <c r="I20" s="246" t="s">
        <v>153</v>
      </c>
      <c r="J20" s="246" t="s">
        <v>38</v>
      </c>
      <c r="K20" s="246" t="s">
        <v>154</v>
      </c>
      <c r="L20" s="246">
        <v>1</v>
      </c>
      <c r="M20" s="246"/>
      <c r="N20" s="246">
        <v>1</v>
      </c>
      <c r="O20" s="246">
        <v>0.75</v>
      </c>
      <c r="P20" s="246">
        <v>0.75</v>
      </c>
      <c r="Q20" s="107">
        <f t="shared" si="0"/>
        <v>0.75</v>
      </c>
      <c r="R20" s="246">
        <v>15.9</v>
      </c>
      <c r="S20" s="246">
        <v>106</v>
      </c>
      <c r="T20" s="108">
        <f t="shared" si="1"/>
        <v>33</v>
      </c>
      <c r="U20" s="246">
        <v>98</v>
      </c>
      <c r="V20" s="109">
        <f t="shared" si="2"/>
        <v>3234</v>
      </c>
      <c r="W20" s="246">
        <v>10</v>
      </c>
      <c r="X20" s="246" t="s">
        <v>46</v>
      </c>
      <c r="Y20" s="246" t="s">
        <v>84</v>
      </c>
      <c r="Z20" s="246" t="s">
        <v>50</v>
      </c>
      <c r="AA20" s="246" t="s">
        <v>69</v>
      </c>
      <c r="AB20" s="246" t="s">
        <v>317</v>
      </c>
      <c r="AP20" s="128" t="s">
        <v>221</v>
      </c>
      <c r="AR20" s="118" t="s">
        <v>61</v>
      </c>
    </row>
    <row r="21" spans="1:48" s="115" customFormat="1" x14ac:dyDescent="0.15">
      <c r="A21" s="246" t="s">
        <v>51</v>
      </c>
      <c r="B21" s="246" t="s">
        <v>315</v>
      </c>
      <c r="C21" s="246">
        <v>2018</v>
      </c>
      <c r="D21" s="106" t="s">
        <v>392</v>
      </c>
      <c r="E21" s="246" t="s">
        <v>139</v>
      </c>
      <c r="F21" s="246" t="s">
        <v>393</v>
      </c>
      <c r="G21" s="246" t="s">
        <v>42</v>
      </c>
      <c r="H21" s="246" t="s">
        <v>157</v>
      </c>
      <c r="I21" s="246" t="s">
        <v>153</v>
      </c>
      <c r="J21" s="246" t="s">
        <v>38</v>
      </c>
      <c r="K21" s="246" t="s">
        <v>154</v>
      </c>
      <c r="L21" s="246">
        <v>2</v>
      </c>
      <c r="M21" s="246"/>
      <c r="N21" s="246">
        <v>1</v>
      </c>
      <c r="O21" s="246">
        <v>0.8</v>
      </c>
      <c r="P21" s="246">
        <v>0.7</v>
      </c>
      <c r="Q21" s="107">
        <f t="shared" si="0"/>
        <v>0.75</v>
      </c>
      <c r="R21" s="246">
        <v>16.2</v>
      </c>
      <c r="S21" s="246">
        <v>110</v>
      </c>
      <c r="T21" s="108">
        <f t="shared" si="1"/>
        <v>33</v>
      </c>
      <c r="U21" s="246">
        <v>98</v>
      </c>
      <c r="V21" s="109">
        <f t="shared" si="2"/>
        <v>3234</v>
      </c>
      <c r="W21" s="246">
        <v>10</v>
      </c>
      <c r="X21" s="246" t="s">
        <v>46</v>
      </c>
      <c r="Y21" s="246" t="s">
        <v>84</v>
      </c>
      <c r="Z21" s="246" t="s">
        <v>50</v>
      </c>
      <c r="AA21" s="246" t="s">
        <v>69</v>
      </c>
      <c r="AB21" s="246" t="s">
        <v>317</v>
      </c>
      <c r="AP21" s="128" t="s">
        <v>222</v>
      </c>
      <c r="AR21" s="118" t="s">
        <v>91</v>
      </c>
    </row>
    <row r="22" spans="1:48" s="115" customFormat="1" x14ac:dyDescent="0.15">
      <c r="A22" s="246" t="s">
        <v>51</v>
      </c>
      <c r="B22" s="246" t="s">
        <v>315</v>
      </c>
      <c r="C22" s="246">
        <v>2018</v>
      </c>
      <c r="D22" s="106" t="s">
        <v>392</v>
      </c>
      <c r="E22" s="246" t="s">
        <v>139</v>
      </c>
      <c r="F22" s="246" t="s">
        <v>393</v>
      </c>
      <c r="G22" s="246" t="s">
        <v>42</v>
      </c>
      <c r="H22" s="246" t="s">
        <v>157</v>
      </c>
      <c r="I22" s="246" t="s">
        <v>153</v>
      </c>
      <c r="J22" s="246" t="s">
        <v>38</v>
      </c>
      <c r="K22" s="246" t="s">
        <v>154</v>
      </c>
      <c r="L22" s="246">
        <v>3</v>
      </c>
      <c r="M22" s="246"/>
      <c r="N22" s="246">
        <v>1</v>
      </c>
      <c r="O22" s="246">
        <v>0.75</v>
      </c>
      <c r="P22" s="246">
        <v>0.75</v>
      </c>
      <c r="Q22" s="107">
        <f t="shared" si="0"/>
        <v>0.75</v>
      </c>
      <c r="R22" s="246">
        <v>16.5</v>
      </c>
      <c r="S22" s="246">
        <v>116</v>
      </c>
      <c r="T22" s="108">
        <f t="shared" si="1"/>
        <v>30</v>
      </c>
      <c r="U22" s="246">
        <v>98</v>
      </c>
      <c r="V22" s="109">
        <f t="shared" si="2"/>
        <v>2940</v>
      </c>
      <c r="W22" s="246">
        <v>10</v>
      </c>
      <c r="X22" s="246" t="s">
        <v>46</v>
      </c>
      <c r="Y22" s="246" t="s">
        <v>84</v>
      </c>
      <c r="Z22" s="246" t="s">
        <v>50</v>
      </c>
      <c r="AA22" s="246" t="s">
        <v>69</v>
      </c>
      <c r="AB22" s="246" t="s">
        <v>317</v>
      </c>
      <c r="AP22" s="128" t="s">
        <v>223</v>
      </c>
      <c r="AR22" s="128" t="s">
        <v>51</v>
      </c>
    </row>
    <row r="23" spans="1:48" s="115" customFormat="1" x14ac:dyDescent="0.15">
      <c r="A23" s="246" t="s">
        <v>51</v>
      </c>
      <c r="B23" s="246" t="s">
        <v>315</v>
      </c>
      <c r="C23" s="246">
        <v>2018</v>
      </c>
      <c r="D23" s="106" t="s">
        <v>392</v>
      </c>
      <c r="E23" s="246" t="s">
        <v>196</v>
      </c>
      <c r="F23" s="246" t="s">
        <v>197</v>
      </c>
      <c r="G23" s="246" t="s">
        <v>36</v>
      </c>
      <c r="H23" s="246" t="s">
        <v>155</v>
      </c>
      <c r="I23" s="246" t="s">
        <v>153</v>
      </c>
      <c r="J23" s="246" t="s">
        <v>38</v>
      </c>
      <c r="K23" s="246" t="s">
        <v>154</v>
      </c>
      <c r="L23" s="246">
        <v>1</v>
      </c>
      <c r="M23" s="246"/>
      <c r="N23" s="246">
        <v>1</v>
      </c>
      <c r="O23" s="246">
        <v>0.55000000000000004</v>
      </c>
      <c r="P23" s="246">
        <v>0.65</v>
      </c>
      <c r="Q23" s="107">
        <f t="shared" si="0"/>
        <v>0.60000000000000009</v>
      </c>
      <c r="R23" s="246">
        <v>14.1</v>
      </c>
      <c r="S23" s="246">
        <v>144</v>
      </c>
      <c r="T23" s="108">
        <f t="shared" si="1"/>
        <v>22</v>
      </c>
      <c r="U23" s="246">
        <v>98</v>
      </c>
      <c r="V23" s="109">
        <f t="shared" si="2"/>
        <v>2156</v>
      </c>
      <c r="W23" s="246">
        <v>10</v>
      </c>
      <c r="X23" s="246" t="s">
        <v>46</v>
      </c>
      <c r="Y23" s="246" t="s">
        <v>69</v>
      </c>
      <c r="Z23" s="246" t="s">
        <v>84</v>
      </c>
      <c r="AA23" s="246" t="s">
        <v>50</v>
      </c>
      <c r="AB23" s="246" t="s">
        <v>317</v>
      </c>
    </row>
    <row r="24" spans="1:48" s="115" customFormat="1" x14ac:dyDescent="0.15">
      <c r="A24" s="246" t="s">
        <v>51</v>
      </c>
      <c r="B24" s="246" t="s">
        <v>315</v>
      </c>
      <c r="C24" s="246">
        <v>2018</v>
      </c>
      <c r="D24" s="106" t="s">
        <v>392</v>
      </c>
      <c r="E24" s="246" t="s">
        <v>196</v>
      </c>
      <c r="F24" s="246" t="s">
        <v>197</v>
      </c>
      <c r="G24" s="246" t="s">
        <v>36</v>
      </c>
      <c r="H24" s="246" t="s">
        <v>155</v>
      </c>
      <c r="I24" s="246" t="s">
        <v>153</v>
      </c>
      <c r="J24" s="246" t="s">
        <v>38</v>
      </c>
      <c r="K24" s="246" t="s">
        <v>154</v>
      </c>
      <c r="L24" s="246">
        <v>2</v>
      </c>
      <c r="M24" s="246"/>
      <c r="N24" s="246">
        <v>1</v>
      </c>
      <c r="O24" s="246">
        <v>0.6</v>
      </c>
      <c r="P24" s="246">
        <v>0.55000000000000004</v>
      </c>
      <c r="Q24" s="107">
        <f t="shared" si="0"/>
        <v>0.57499999999999996</v>
      </c>
      <c r="R24" s="246">
        <v>15.7</v>
      </c>
      <c r="S24" s="246">
        <v>150</v>
      </c>
      <c r="T24" s="108">
        <f t="shared" si="1"/>
        <v>22</v>
      </c>
      <c r="U24" s="246">
        <v>98</v>
      </c>
      <c r="V24" s="109">
        <f t="shared" si="2"/>
        <v>2156</v>
      </c>
      <c r="W24" s="246">
        <v>10</v>
      </c>
      <c r="X24" s="246" t="s">
        <v>46</v>
      </c>
      <c r="Y24" s="246" t="s">
        <v>69</v>
      </c>
      <c r="Z24" s="246" t="s">
        <v>84</v>
      </c>
      <c r="AA24" s="246" t="s">
        <v>50</v>
      </c>
      <c r="AB24" s="246" t="s">
        <v>317</v>
      </c>
    </row>
    <row r="25" spans="1:48" s="115" customFormat="1" x14ac:dyDescent="0.15">
      <c r="A25" s="246" t="s">
        <v>51</v>
      </c>
      <c r="B25" s="246" t="s">
        <v>315</v>
      </c>
      <c r="C25" s="246">
        <v>2018</v>
      </c>
      <c r="D25" s="106" t="s">
        <v>392</v>
      </c>
      <c r="E25" s="246" t="s">
        <v>196</v>
      </c>
      <c r="F25" s="246" t="s">
        <v>197</v>
      </c>
      <c r="G25" s="246" t="s">
        <v>36</v>
      </c>
      <c r="H25" s="246" t="s">
        <v>155</v>
      </c>
      <c r="I25" s="246" t="s">
        <v>153</v>
      </c>
      <c r="J25" s="246" t="s">
        <v>38</v>
      </c>
      <c r="K25" s="246" t="s">
        <v>154</v>
      </c>
      <c r="L25" s="246">
        <v>3</v>
      </c>
      <c r="M25" s="246"/>
      <c r="N25" s="246">
        <v>1</v>
      </c>
      <c r="O25" s="246">
        <v>0.65</v>
      </c>
      <c r="P25" s="246">
        <v>0.7</v>
      </c>
      <c r="Q25" s="107">
        <f t="shared" si="0"/>
        <v>0.67500000000000004</v>
      </c>
      <c r="R25" s="246">
        <v>16.3</v>
      </c>
      <c r="S25" s="246">
        <v>150</v>
      </c>
      <c r="T25" s="108">
        <f t="shared" si="1"/>
        <v>22</v>
      </c>
      <c r="U25" s="246">
        <v>98</v>
      </c>
      <c r="V25" s="109">
        <f t="shared" si="2"/>
        <v>2156</v>
      </c>
      <c r="W25" s="246">
        <v>10</v>
      </c>
      <c r="X25" s="246" t="s">
        <v>46</v>
      </c>
      <c r="Y25" s="246" t="s">
        <v>69</v>
      </c>
      <c r="Z25" s="246" t="s">
        <v>84</v>
      </c>
      <c r="AA25" s="246" t="s">
        <v>50</v>
      </c>
      <c r="AB25" s="246" t="s">
        <v>317</v>
      </c>
    </row>
    <row r="26" spans="1:48" s="115" customFormat="1" x14ac:dyDescent="0.15">
      <c r="A26" s="246" t="s">
        <v>51</v>
      </c>
      <c r="B26" s="246" t="s">
        <v>315</v>
      </c>
      <c r="C26" s="246">
        <v>2018</v>
      </c>
      <c r="D26" s="106" t="s">
        <v>392</v>
      </c>
      <c r="E26" s="246" t="s">
        <v>196</v>
      </c>
      <c r="F26" s="246" t="s">
        <v>197</v>
      </c>
      <c r="G26" s="246" t="s">
        <v>36</v>
      </c>
      <c r="H26" s="246" t="s">
        <v>157</v>
      </c>
      <c r="I26" s="246" t="s">
        <v>153</v>
      </c>
      <c r="J26" s="246" t="s">
        <v>38</v>
      </c>
      <c r="K26" s="246" t="s">
        <v>154</v>
      </c>
      <c r="L26" s="246">
        <v>1</v>
      </c>
      <c r="M26" s="246"/>
      <c r="N26" s="246">
        <v>1</v>
      </c>
      <c r="O26" s="246">
        <v>0.75</v>
      </c>
      <c r="P26" s="246">
        <v>0.8</v>
      </c>
      <c r="Q26" s="107">
        <f t="shared" si="0"/>
        <v>0.77500000000000002</v>
      </c>
      <c r="R26" s="246">
        <v>16.600000000000001</v>
      </c>
      <c r="S26" s="246">
        <v>142</v>
      </c>
      <c r="T26" s="108">
        <f t="shared" si="1"/>
        <v>22</v>
      </c>
      <c r="U26" s="246">
        <v>138</v>
      </c>
      <c r="V26" s="109">
        <f t="shared" si="2"/>
        <v>3036</v>
      </c>
      <c r="W26" s="246">
        <v>10</v>
      </c>
      <c r="X26" s="246" t="s">
        <v>46</v>
      </c>
      <c r="Y26" s="246" t="s">
        <v>69</v>
      </c>
      <c r="Z26" s="246" t="s">
        <v>84</v>
      </c>
      <c r="AA26" s="246" t="s">
        <v>50</v>
      </c>
      <c r="AB26" s="246" t="s">
        <v>317</v>
      </c>
    </row>
    <row r="27" spans="1:48" s="115" customFormat="1" x14ac:dyDescent="0.15">
      <c r="A27" s="246" t="s">
        <v>51</v>
      </c>
      <c r="B27" s="246" t="s">
        <v>315</v>
      </c>
      <c r="C27" s="246">
        <v>2018</v>
      </c>
      <c r="D27" s="106" t="s">
        <v>392</v>
      </c>
      <c r="E27" s="246" t="s">
        <v>196</v>
      </c>
      <c r="F27" s="246" t="s">
        <v>197</v>
      </c>
      <c r="G27" s="246" t="s">
        <v>36</v>
      </c>
      <c r="H27" s="246" t="s">
        <v>157</v>
      </c>
      <c r="I27" s="246" t="s">
        <v>153</v>
      </c>
      <c r="J27" s="246" t="s">
        <v>38</v>
      </c>
      <c r="K27" s="246" t="s">
        <v>154</v>
      </c>
      <c r="L27" s="246">
        <v>2</v>
      </c>
      <c r="M27" s="246"/>
      <c r="N27" s="246">
        <v>1</v>
      </c>
      <c r="O27" s="246">
        <v>0.7</v>
      </c>
      <c r="P27" s="246">
        <v>0.65</v>
      </c>
      <c r="Q27" s="107">
        <f t="shared" si="0"/>
        <v>0.67500000000000004</v>
      </c>
      <c r="R27" s="246">
        <v>17.2</v>
      </c>
      <c r="S27" s="246">
        <v>150</v>
      </c>
      <c r="T27" s="108">
        <f t="shared" si="1"/>
        <v>22</v>
      </c>
      <c r="U27" s="246">
        <v>138</v>
      </c>
      <c r="V27" s="109">
        <f t="shared" si="2"/>
        <v>3036</v>
      </c>
      <c r="W27" s="246">
        <v>10</v>
      </c>
      <c r="X27" s="246" t="s">
        <v>46</v>
      </c>
      <c r="Y27" s="246" t="s">
        <v>69</v>
      </c>
      <c r="Z27" s="246" t="s">
        <v>84</v>
      </c>
      <c r="AA27" s="246" t="s">
        <v>50</v>
      </c>
      <c r="AB27" s="246" t="s">
        <v>317</v>
      </c>
    </row>
    <row r="28" spans="1:48" s="115" customFormat="1" x14ac:dyDescent="0.15">
      <c r="A28" s="246" t="s">
        <v>51</v>
      </c>
      <c r="B28" s="246" t="s">
        <v>315</v>
      </c>
      <c r="C28" s="246">
        <v>2018</v>
      </c>
      <c r="D28" s="106" t="s">
        <v>392</v>
      </c>
      <c r="E28" s="246" t="s">
        <v>196</v>
      </c>
      <c r="F28" s="246" t="s">
        <v>197</v>
      </c>
      <c r="G28" s="246" t="s">
        <v>36</v>
      </c>
      <c r="H28" s="246" t="s">
        <v>157</v>
      </c>
      <c r="I28" s="246" t="s">
        <v>153</v>
      </c>
      <c r="J28" s="246" t="s">
        <v>38</v>
      </c>
      <c r="K28" s="246" t="s">
        <v>154</v>
      </c>
      <c r="L28" s="246">
        <v>3</v>
      </c>
      <c r="M28" s="246"/>
      <c r="N28" s="246">
        <v>1</v>
      </c>
      <c r="O28" s="246">
        <v>0.7</v>
      </c>
      <c r="P28" s="246">
        <v>0.7</v>
      </c>
      <c r="Q28" s="107">
        <f t="shared" si="0"/>
        <v>0.7</v>
      </c>
      <c r="R28" s="246">
        <v>16.399999999999999</v>
      </c>
      <c r="S28" s="246">
        <v>140</v>
      </c>
      <c r="T28" s="108">
        <f t="shared" si="1"/>
        <v>22</v>
      </c>
      <c r="U28" s="246">
        <v>138</v>
      </c>
      <c r="V28" s="109">
        <f t="shared" si="2"/>
        <v>3036</v>
      </c>
      <c r="W28" s="246">
        <v>10</v>
      </c>
      <c r="X28" s="246" t="s">
        <v>46</v>
      </c>
      <c r="Y28" s="246" t="s">
        <v>69</v>
      </c>
      <c r="Z28" s="246" t="s">
        <v>84</v>
      </c>
      <c r="AA28" s="246" t="s">
        <v>50</v>
      </c>
      <c r="AB28" s="246" t="s">
        <v>317</v>
      </c>
    </row>
    <row r="29" spans="1:48" s="115" customFormat="1" x14ac:dyDescent="0.15">
      <c r="A29" s="246" t="s">
        <v>51</v>
      </c>
      <c r="B29" s="246" t="s">
        <v>315</v>
      </c>
      <c r="C29" s="246">
        <v>2018</v>
      </c>
      <c r="D29" s="106" t="s">
        <v>392</v>
      </c>
      <c r="E29" s="246" t="s">
        <v>159</v>
      </c>
      <c r="F29" s="246" t="s">
        <v>183</v>
      </c>
      <c r="G29" s="246" t="s">
        <v>42</v>
      </c>
      <c r="H29" s="246" t="s">
        <v>155</v>
      </c>
      <c r="I29" s="246" t="s">
        <v>153</v>
      </c>
      <c r="J29" s="246" t="s">
        <v>38</v>
      </c>
      <c r="K29" s="246" t="s">
        <v>154</v>
      </c>
      <c r="L29" s="246">
        <v>1</v>
      </c>
      <c r="M29" s="246"/>
      <c r="N29" s="246">
        <v>1</v>
      </c>
      <c r="O29" s="246">
        <v>0.85</v>
      </c>
      <c r="P29" s="246">
        <v>0.9</v>
      </c>
      <c r="Q29" s="107">
        <f t="shared" si="0"/>
        <v>0.875</v>
      </c>
      <c r="R29" s="246">
        <v>15.5</v>
      </c>
      <c r="S29" s="246">
        <v>146</v>
      </c>
      <c r="T29" s="108">
        <f t="shared" si="1"/>
        <v>22</v>
      </c>
      <c r="U29" s="246">
        <v>127</v>
      </c>
      <c r="V29" s="109">
        <f t="shared" si="2"/>
        <v>2794</v>
      </c>
      <c r="W29" s="246">
        <v>12</v>
      </c>
      <c r="X29" s="246" t="s">
        <v>46</v>
      </c>
      <c r="Y29" s="246" t="s">
        <v>84</v>
      </c>
      <c r="Z29" s="246" t="s">
        <v>50</v>
      </c>
      <c r="AA29" s="246" t="s">
        <v>102</v>
      </c>
      <c r="AB29" s="246" t="s">
        <v>317</v>
      </c>
    </row>
    <row r="30" spans="1:48" s="115" customFormat="1" x14ac:dyDescent="0.15">
      <c r="A30" s="246" t="s">
        <v>51</v>
      </c>
      <c r="B30" s="246" t="s">
        <v>315</v>
      </c>
      <c r="C30" s="246">
        <v>2018</v>
      </c>
      <c r="D30" s="106" t="s">
        <v>392</v>
      </c>
      <c r="E30" s="246" t="s">
        <v>159</v>
      </c>
      <c r="F30" s="246" t="s">
        <v>183</v>
      </c>
      <c r="G30" s="246" t="s">
        <v>42</v>
      </c>
      <c r="H30" s="246" t="s">
        <v>155</v>
      </c>
      <c r="I30" s="246" t="s">
        <v>153</v>
      </c>
      <c r="J30" s="246" t="s">
        <v>38</v>
      </c>
      <c r="K30" s="246" t="s">
        <v>154</v>
      </c>
      <c r="L30" s="246">
        <v>2</v>
      </c>
      <c r="M30" s="246"/>
      <c r="N30" s="246">
        <v>1</v>
      </c>
      <c r="O30" s="246">
        <v>0.95</v>
      </c>
      <c r="P30" s="246">
        <v>0.8</v>
      </c>
      <c r="Q30" s="107">
        <f t="shared" si="0"/>
        <v>0.875</v>
      </c>
      <c r="R30" s="246">
        <v>16</v>
      </c>
      <c r="S30" s="246">
        <v>148</v>
      </c>
      <c r="T30" s="108">
        <f t="shared" si="1"/>
        <v>22</v>
      </c>
      <c r="U30" s="246">
        <v>127</v>
      </c>
      <c r="V30" s="109">
        <f t="shared" si="2"/>
        <v>2794</v>
      </c>
      <c r="W30" s="246">
        <v>12</v>
      </c>
      <c r="X30" s="246" t="s">
        <v>46</v>
      </c>
      <c r="Y30" s="246" t="s">
        <v>84</v>
      </c>
      <c r="Z30" s="246" t="s">
        <v>50</v>
      </c>
      <c r="AA30" s="246" t="s">
        <v>102</v>
      </c>
      <c r="AB30" s="246" t="s">
        <v>317</v>
      </c>
    </row>
    <row r="31" spans="1:48" s="115" customFormat="1" x14ac:dyDescent="0.15">
      <c r="A31" s="246" t="s">
        <v>51</v>
      </c>
      <c r="B31" s="246" t="s">
        <v>315</v>
      </c>
      <c r="C31" s="246">
        <v>2018</v>
      </c>
      <c r="D31" s="106" t="s">
        <v>392</v>
      </c>
      <c r="E31" s="246" t="s">
        <v>159</v>
      </c>
      <c r="F31" s="246" t="s">
        <v>183</v>
      </c>
      <c r="G31" s="246" t="s">
        <v>42</v>
      </c>
      <c r="H31" s="246" t="s">
        <v>155</v>
      </c>
      <c r="I31" s="246" t="s">
        <v>153</v>
      </c>
      <c r="J31" s="246" t="s">
        <v>38</v>
      </c>
      <c r="K31" s="246" t="s">
        <v>154</v>
      </c>
      <c r="L31" s="246">
        <v>3</v>
      </c>
      <c r="M31" s="246"/>
      <c r="N31" s="246">
        <v>1</v>
      </c>
      <c r="O31" s="246">
        <v>0.8</v>
      </c>
      <c r="P31" s="246">
        <v>0.9</v>
      </c>
      <c r="Q31" s="107">
        <f t="shared" si="0"/>
        <v>0.85000000000000009</v>
      </c>
      <c r="R31" s="246">
        <v>15.1</v>
      </c>
      <c r="S31" s="246">
        <v>142</v>
      </c>
      <c r="T31" s="108">
        <f t="shared" si="1"/>
        <v>22</v>
      </c>
      <c r="U31" s="246">
        <v>127</v>
      </c>
      <c r="V31" s="109">
        <f t="shared" si="2"/>
        <v>2794</v>
      </c>
      <c r="W31" s="246">
        <v>12</v>
      </c>
      <c r="X31" s="246" t="s">
        <v>46</v>
      </c>
      <c r="Y31" s="246" t="s">
        <v>84</v>
      </c>
      <c r="Z31" s="246" t="s">
        <v>50</v>
      </c>
      <c r="AA31" s="246" t="s">
        <v>102</v>
      </c>
      <c r="AB31" s="246" t="s">
        <v>317</v>
      </c>
    </row>
    <row r="32" spans="1:48" s="115" customFormat="1" x14ac:dyDescent="0.15">
      <c r="A32" s="246" t="s">
        <v>51</v>
      </c>
      <c r="B32" s="246" t="s">
        <v>315</v>
      </c>
      <c r="C32" s="246">
        <v>2018</v>
      </c>
      <c r="D32" s="106" t="s">
        <v>392</v>
      </c>
      <c r="E32" s="246" t="s">
        <v>159</v>
      </c>
      <c r="F32" s="246" t="s">
        <v>183</v>
      </c>
      <c r="G32" s="246" t="s">
        <v>42</v>
      </c>
      <c r="H32" s="246" t="s">
        <v>157</v>
      </c>
      <c r="I32" s="246" t="s">
        <v>153</v>
      </c>
      <c r="J32" s="246" t="s">
        <v>38</v>
      </c>
      <c r="K32" s="246" t="s">
        <v>154</v>
      </c>
      <c r="L32" s="246">
        <v>1</v>
      </c>
      <c r="M32" s="246"/>
      <c r="N32" s="246">
        <v>1</v>
      </c>
      <c r="O32" s="246">
        <v>0.5</v>
      </c>
      <c r="P32" s="246">
        <v>0.6</v>
      </c>
      <c r="Q32" s="107">
        <f t="shared" si="0"/>
        <v>0.55000000000000004</v>
      </c>
      <c r="R32" s="246">
        <v>16.2</v>
      </c>
      <c r="S32" s="246">
        <v>146</v>
      </c>
      <c r="T32" s="108">
        <f t="shared" si="1"/>
        <v>22</v>
      </c>
      <c r="U32" s="246">
        <v>127</v>
      </c>
      <c r="V32" s="109">
        <f t="shared" si="2"/>
        <v>2794</v>
      </c>
      <c r="W32" s="246">
        <v>12</v>
      </c>
      <c r="X32" s="246" t="s">
        <v>46</v>
      </c>
      <c r="Y32" s="246" t="s">
        <v>84</v>
      </c>
      <c r="Z32" s="246" t="s">
        <v>50</v>
      </c>
      <c r="AA32" s="246" t="s">
        <v>102</v>
      </c>
      <c r="AB32" s="246" t="s">
        <v>317</v>
      </c>
    </row>
    <row r="33" spans="1:28" s="115" customFormat="1" x14ac:dyDescent="0.15">
      <c r="A33" s="246" t="s">
        <v>51</v>
      </c>
      <c r="B33" s="246" t="s">
        <v>315</v>
      </c>
      <c r="C33" s="246">
        <v>2018</v>
      </c>
      <c r="D33" s="106" t="s">
        <v>392</v>
      </c>
      <c r="E33" s="246" t="s">
        <v>159</v>
      </c>
      <c r="F33" s="246" t="s">
        <v>183</v>
      </c>
      <c r="G33" s="246" t="s">
        <v>42</v>
      </c>
      <c r="H33" s="246" t="s">
        <v>157</v>
      </c>
      <c r="I33" s="246" t="s">
        <v>153</v>
      </c>
      <c r="J33" s="246" t="s">
        <v>38</v>
      </c>
      <c r="K33" s="246" t="s">
        <v>154</v>
      </c>
      <c r="L33" s="246">
        <v>2</v>
      </c>
      <c r="M33" s="246"/>
      <c r="N33" s="246">
        <v>1</v>
      </c>
      <c r="O33" s="246">
        <v>0.6</v>
      </c>
      <c r="P33" s="246">
        <v>0.55000000000000004</v>
      </c>
      <c r="Q33" s="107">
        <f t="shared" si="0"/>
        <v>0.57499999999999996</v>
      </c>
      <c r="R33" s="246">
        <v>16.899999999999999</v>
      </c>
      <c r="S33" s="246">
        <v>156</v>
      </c>
      <c r="T33" s="108">
        <f t="shared" si="1"/>
        <v>18</v>
      </c>
      <c r="U33" s="246">
        <v>127</v>
      </c>
      <c r="V33" s="109">
        <f t="shared" si="2"/>
        <v>2286</v>
      </c>
      <c r="W33" s="246">
        <v>12</v>
      </c>
      <c r="X33" s="246" t="s">
        <v>46</v>
      </c>
      <c r="Y33" s="246" t="s">
        <v>84</v>
      </c>
      <c r="Z33" s="246" t="s">
        <v>50</v>
      </c>
      <c r="AA33" s="246" t="s">
        <v>102</v>
      </c>
      <c r="AB33" s="246" t="s">
        <v>317</v>
      </c>
    </row>
    <row r="34" spans="1:28" s="115" customFormat="1" x14ac:dyDescent="0.15">
      <c r="A34" s="246" t="s">
        <v>51</v>
      </c>
      <c r="B34" s="246" t="s">
        <v>315</v>
      </c>
      <c r="C34" s="246">
        <v>2018</v>
      </c>
      <c r="D34" s="106" t="s">
        <v>392</v>
      </c>
      <c r="E34" s="246" t="s">
        <v>159</v>
      </c>
      <c r="F34" s="246" t="s">
        <v>183</v>
      </c>
      <c r="G34" s="246" t="s">
        <v>42</v>
      </c>
      <c r="H34" s="246" t="s">
        <v>157</v>
      </c>
      <c r="I34" s="246" t="s">
        <v>153</v>
      </c>
      <c r="J34" s="246" t="s">
        <v>38</v>
      </c>
      <c r="K34" s="246" t="s">
        <v>154</v>
      </c>
      <c r="L34" s="246">
        <v>3</v>
      </c>
      <c r="M34" s="246"/>
      <c r="N34" s="246">
        <v>1</v>
      </c>
      <c r="O34" s="246">
        <v>0.65</v>
      </c>
      <c r="P34" s="246">
        <v>0.7</v>
      </c>
      <c r="Q34" s="107">
        <f t="shared" si="0"/>
        <v>0.67500000000000004</v>
      </c>
      <c r="R34" s="246">
        <v>17</v>
      </c>
      <c r="S34" s="246">
        <v>170</v>
      </c>
      <c r="T34" s="108">
        <f t="shared" si="1"/>
        <v>18</v>
      </c>
      <c r="U34" s="246">
        <v>127</v>
      </c>
      <c r="V34" s="109">
        <f t="shared" si="2"/>
        <v>2286</v>
      </c>
      <c r="W34" s="246">
        <v>12</v>
      </c>
      <c r="X34" s="246" t="s">
        <v>46</v>
      </c>
      <c r="Y34" s="246" t="s">
        <v>84</v>
      </c>
      <c r="Z34" s="246" t="s">
        <v>50</v>
      </c>
      <c r="AA34" s="246" t="s">
        <v>102</v>
      </c>
      <c r="AB34" s="246" t="s">
        <v>317</v>
      </c>
    </row>
    <row r="35" spans="1:28" s="115" customFormat="1" x14ac:dyDescent="0.15">
      <c r="A35" s="246" t="s">
        <v>51</v>
      </c>
      <c r="B35" s="246" t="s">
        <v>315</v>
      </c>
      <c r="C35" s="246">
        <v>2018</v>
      </c>
      <c r="D35" s="106" t="s">
        <v>392</v>
      </c>
      <c r="E35" s="246" t="s">
        <v>199</v>
      </c>
      <c r="F35" s="246" t="s">
        <v>183</v>
      </c>
      <c r="G35" s="246" t="s">
        <v>42</v>
      </c>
      <c r="H35" s="246" t="s">
        <v>155</v>
      </c>
      <c r="I35" s="246" t="s">
        <v>153</v>
      </c>
      <c r="J35" s="246" t="s">
        <v>38</v>
      </c>
      <c r="K35" s="246" t="s">
        <v>154</v>
      </c>
      <c r="L35" s="246">
        <v>1</v>
      </c>
      <c r="M35" s="246"/>
      <c r="N35" s="246">
        <v>1</v>
      </c>
      <c r="O35" s="246">
        <v>0.65</v>
      </c>
      <c r="P35" s="246">
        <v>0.65</v>
      </c>
      <c r="Q35" s="107">
        <f t="shared" si="0"/>
        <v>0.65</v>
      </c>
      <c r="R35" s="246">
        <v>15.6</v>
      </c>
      <c r="S35" s="246">
        <v>142</v>
      </c>
      <c r="T35" s="108">
        <f t="shared" si="1"/>
        <v>22</v>
      </c>
      <c r="U35" s="246">
        <v>138</v>
      </c>
      <c r="V35" s="109">
        <f t="shared" si="2"/>
        <v>3036</v>
      </c>
      <c r="W35" s="246">
        <v>10</v>
      </c>
      <c r="X35" s="246" t="s">
        <v>46</v>
      </c>
      <c r="Y35" s="246" t="s">
        <v>84</v>
      </c>
      <c r="Z35" s="246" t="s">
        <v>50</v>
      </c>
      <c r="AA35" s="246" t="s">
        <v>102</v>
      </c>
      <c r="AB35" s="246" t="s">
        <v>317</v>
      </c>
    </row>
    <row r="36" spans="1:28" s="115" customFormat="1" x14ac:dyDescent="0.15">
      <c r="A36" s="246" t="s">
        <v>51</v>
      </c>
      <c r="B36" s="246" t="s">
        <v>315</v>
      </c>
      <c r="C36" s="246">
        <v>2018</v>
      </c>
      <c r="D36" s="106" t="s">
        <v>392</v>
      </c>
      <c r="E36" s="246" t="s">
        <v>199</v>
      </c>
      <c r="F36" s="246" t="s">
        <v>183</v>
      </c>
      <c r="G36" s="246" t="s">
        <v>42</v>
      </c>
      <c r="H36" s="246" t="s">
        <v>155</v>
      </c>
      <c r="I36" s="246" t="s">
        <v>153</v>
      </c>
      <c r="J36" s="246" t="s">
        <v>38</v>
      </c>
      <c r="K36" s="246" t="s">
        <v>154</v>
      </c>
      <c r="L36" s="246">
        <v>2</v>
      </c>
      <c r="M36" s="246"/>
      <c r="N36" s="246">
        <v>1</v>
      </c>
      <c r="O36" s="246">
        <v>0.65</v>
      </c>
      <c r="P36" s="246">
        <v>0.75</v>
      </c>
      <c r="Q36" s="107">
        <f t="shared" si="0"/>
        <v>0.7</v>
      </c>
      <c r="R36" s="246">
        <v>16.3</v>
      </c>
      <c r="S36" s="246">
        <v>146</v>
      </c>
      <c r="T36" s="108">
        <f t="shared" si="1"/>
        <v>22</v>
      </c>
      <c r="U36" s="246">
        <v>138</v>
      </c>
      <c r="V36" s="109">
        <f t="shared" si="2"/>
        <v>3036</v>
      </c>
      <c r="W36" s="246">
        <v>10</v>
      </c>
      <c r="X36" s="246" t="s">
        <v>46</v>
      </c>
      <c r="Y36" s="246" t="s">
        <v>84</v>
      </c>
      <c r="Z36" s="246" t="s">
        <v>50</v>
      </c>
      <c r="AA36" s="246" t="s">
        <v>102</v>
      </c>
      <c r="AB36" s="246" t="s">
        <v>317</v>
      </c>
    </row>
    <row r="37" spans="1:28" s="115" customFormat="1" x14ac:dyDescent="0.15">
      <c r="A37" s="246" t="s">
        <v>51</v>
      </c>
      <c r="B37" s="246" t="s">
        <v>315</v>
      </c>
      <c r="C37" s="246">
        <v>2018</v>
      </c>
      <c r="D37" s="106" t="s">
        <v>392</v>
      </c>
      <c r="E37" s="246" t="s">
        <v>199</v>
      </c>
      <c r="F37" s="246" t="s">
        <v>183</v>
      </c>
      <c r="G37" s="246" t="s">
        <v>42</v>
      </c>
      <c r="H37" s="246" t="s">
        <v>155</v>
      </c>
      <c r="I37" s="246" t="s">
        <v>153</v>
      </c>
      <c r="J37" s="246" t="s">
        <v>38</v>
      </c>
      <c r="K37" s="246" t="s">
        <v>154</v>
      </c>
      <c r="L37" s="246">
        <v>3</v>
      </c>
      <c r="M37" s="246"/>
      <c r="N37" s="246">
        <v>1</v>
      </c>
      <c r="O37" s="246">
        <v>0.7</v>
      </c>
      <c r="P37" s="246">
        <v>0.6</v>
      </c>
      <c r="Q37" s="107">
        <f t="shared" si="0"/>
        <v>0.64999999999999991</v>
      </c>
      <c r="R37" s="246">
        <v>15.8</v>
      </c>
      <c r="S37" s="246">
        <v>144</v>
      </c>
      <c r="T37" s="108">
        <f t="shared" si="1"/>
        <v>22</v>
      </c>
      <c r="U37" s="246">
        <v>138</v>
      </c>
      <c r="V37" s="109">
        <f t="shared" si="2"/>
        <v>3036</v>
      </c>
      <c r="W37" s="246">
        <v>10</v>
      </c>
      <c r="X37" s="246" t="s">
        <v>46</v>
      </c>
      <c r="Y37" s="246" t="s">
        <v>84</v>
      </c>
      <c r="Z37" s="246" t="s">
        <v>50</v>
      </c>
      <c r="AA37" s="246" t="s">
        <v>102</v>
      </c>
      <c r="AB37" s="246" t="s">
        <v>317</v>
      </c>
    </row>
    <row r="38" spans="1:28" s="115" customFormat="1" x14ac:dyDescent="0.15">
      <c r="A38" s="246" t="s">
        <v>51</v>
      </c>
      <c r="B38" s="246" t="s">
        <v>315</v>
      </c>
      <c r="C38" s="246">
        <v>2018</v>
      </c>
      <c r="D38" s="106" t="s">
        <v>392</v>
      </c>
      <c r="E38" s="246" t="s">
        <v>199</v>
      </c>
      <c r="F38" s="246" t="s">
        <v>183</v>
      </c>
      <c r="G38" s="246" t="s">
        <v>42</v>
      </c>
      <c r="H38" s="246" t="s">
        <v>157</v>
      </c>
      <c r="I38" s="246" t="s">
        <v>153</v>
      </c>
      <c r="J38" s="246" t="s">
        <v>38</v>
      </c>
      <c r="K38" s="246" t="s">
        <v>154</v>
      </c>
      <c r="L38" s="246">
        <v>1</v>
      </c>
      <c r="M38" s="246"/>
      <c r="N38" s="246">
        <v>1</v>
      </c>
      <c r="O38" s="246">
        <v>0.7</v>
      </c>
      <c r="P38" s="246">
        <v>0.75</v>
      </c>
      <c r="Q38" s="107">
        <f t="shared" si="0"/>
        <v>0.72499999999999998</v>
      </c>
      <c r="R38" s="246">
        <v>15.8</v>
      </c>
      <c r="S38" s="246">
        <v>146</v>
      </c>
      <c r="T38" s="108">
        <f t="shared" si="1"/>
        <v>22</v>
      </c>
      <c r="U38" s="246">
        <v>138</v>
      </c>
      <c r="V38" s="109">
        <f t="shared" si="2"/>
        <v>3036</v>
      </c>
      <c r="W38" s="246">
        <v>10</v>
      </c>
      <c r="X38" s="246" t="s">
        <v>46</v>
      </c>
      <c r="Y38" s="246" t="s">
        <v>84</v>
      </c>
      <c r="Z38" s="246" t="s">
        <v>50</v>
      </c>
      <c r="AA38" s="246" t="s">
        <v>102</v>
      </c>
      <c r="AB38" s="246" t="s">
        <v>317</v>
      </c>
    </row>
    <row r="39" spans="1:28" s="115" customFormat="1" x14ac:dyDescent="0.15">
      <c r="A39" s="246" t="s">
        <v>51</v>
      </c>
      <c r="B39" s="246" t="s">
        <v>315</v>
      </c>
      <c r="C39" s="246">
        <v>2018</v>
      </c>
      <c r="D39" s="106" t="s">
        <v>392</v>
      </c>
      <c r="E39" s="246" t="s">
        <v>199</v>
      </c>
      <c r="F39" s="246" t="s">
        <v>183</v>
      </c>
      <c r="G39" s="246" t="s">
        <v>42</v>
      </c>
      <c r="H39" s="246" t="s">
        <v>157</v>
      </c>
      <c r="I39" s="246" t="s">
        <v>153</v>
      </c>
      <c r="J39" s="246" t="s">
        <v>38</v>
      </c>
      <c r="K39" s="246" t="s">
        <v>154</v>
      </c>
      <c r="L39" s="246">
        <v>2</v>
      </c>
      <c r="M39" s="246"/>
      <c r="N39" s="246">
        <v>1</v>
      </c>
      <c r="O39" s="246">
        <v>0.75</v>
      </c>
      <c r="P39" s="246">
        <v>0.7</v>
      </c>
      <c r="Q39" s="107">
        <f t="shared" si="0"/>
        <v>0.72499999999999998</v>
      </c>
      <c r="R39" s="246">
        <v>15.2</v>
      </c>
      <c r="S39" s="246">
        <v>138</v>
      </c>
      <c r="T39" s="108">
        <f t="shared" si="1"/>
        <v>22</v>
      </c>
      <c r="U39" s="246">
        <v>138</v>
      </c>
      <c r="V39" s="109">
        <f t="shared" si="2"/>
        <v>3036</v>
      </c>
      <c r="W39" s="246">
        <v>10</v>
      </c>
      <c r="X39" s="246" t="s">
        <v>46</v>
      </c>
      <c r="Y39" s="246" t="s">
        <v>84</v>
      </c>
      <c r="Z39" s="246" t="s">
        <v>50</v>
      </c>
      <c r="AA39" s="246" t="s">
        <v>102</v>
      </c>
      <c r="AB39" s="246" t="s">
        <v>317</v>
      </c>
    </row>
    <row r="40" spans="1:28" s="115" customFormat="1" x14ac:dyDescent="0.15">
      <c r="A40" s="246" t="s">
        <v>51</v>
      </c>
      <c r="B40" s="246" t="s">
        <v>315</v>
      </c>
      <c r="C40" s="246">
        <v>2018</v>
      </c>
      <c r="D40" s="106" t="s">
        <v>392</v>
      </c>
      <c r="E40" s="246" t="s">
        <v>199</v>
      </c>
      <c r="F40" s="246" t="s">
        <v>183</v>
      </c>
      <c r="G40" s="246" t="s">
        <v>42</v>
      </c>
      <c r="H40" s="246" t="s">
        <v>157</v>
      </c>
      <c r="I40" s="246" t="s">
        <v>153</v>
      </c>
      <c r="J40" s="246" t="s">
        <v>38</v>
      </c>
      <c r="K40" s="246" t="s">
        <v>154</v>
      </c>
      <c r="L40" s="246">
        <v>3</v>
      </c>
      <c r="M40" s="246"/>
      <c r="N40" s="246">
        <v>1</v>
      </c>
      <c r="O40" s="246">
        <v>0.65</v>
      </c>
      <c r="P40" s="246">
        <v>0.6</v>
      </c>
      <c r="Q40" s="107">
        <f t="shared" si="0"/>
        <v>0.625</v>
      </c>
      <c r="R40" s="246">
        <v>15.6</v>
      </c>
      <c r="S40" s="246">
        <v>138</v>
      </c>
      <c r="T40" s="108">
        <f t="shared" si="1"/>
        <v>22</v>
      </c>
      <c r="U40" s="246">
        <v>138</v>
      </c>
      <c r="V40" s="109">
        <f t="shared" si="2"/>
        <v>3036</v>
      </c>
      <c r="W40" s="246">
        <v>10</v>
      </c>
      <c r="X40" s="246" t="s">
        <v>46</v>
      </c>
      <c r="Y40" s="246" t="s">
        <v>84</v>
      </c>
      <c r="Z40" s="246" t="s">
        <v>50</v>
      </c>
      <c r="AA40" s="246" t="s">
        <v>102</v>
      </c>
      <c r="AB40" s="246" t="s">
        <v>317</v>
      </c>
    </row>
    <row r="41" spans="1:28" s="115" customFormat="1" x14ac:dyDescent="0.15">
      <c r="A41" s="246" t="s">
        <v>51</v>
      </c>
      <c r="B41" s="246" t="s">
        <v>315</v>
      </c>
      <c r="C41" s="246">
        <v>2018</v>
      </c>
      <c r="D41" s="106" t="s">
        <v>392</v>
      </c>
      <c r="E41" s="246" t="s">
        <v>188</v>
      </c>
      <c r="F41" s="246" t="s">
        <v>189</v>
      </c>
      <c r="G41" s="246" t="s">
        <v>42</v>
      </c>
      <c r="H41" s="246" t="s">
        <v>155</v>
      </c>
      <c r="I41" s="246" t="s">
        <v>153</v>
      </c>
      <c r="J41" s="246" t="s">
        <v>38</v>
      </c>
      <c r="K41" s="246" t="s">
        <v>154</v>
      </c>
      <c r="L41" s="246">
        <v>1</v>
      </c>
      <c r="M41" s="246"/>
      <c r="N41" s="246">
        <v>1</v>
      </c>
      <c r="O41" s="246">
        <v>0.55000000000000004</v>
      </c>
      <c r="P41" s="246">
        <v>0.6</v>
      </c>
      <c r="Q41" s="107">
        <f t="shared" si="0"/>
        <v>0.57499999999999996</v>
      </c>
      <c r="R41" s="246">
        <v>14.8</v>
      </c>
      <c r="S41" s="246">
        <v>140</v>
      </c>
      <c r="T41" s="108">
        <f t="shared" si="1"/>
        <v>22</v>
      </c>
      <c r="U41" s="246">
        <v>138</v>
      </c>
      <c r="V41" s="109">
        <f t="shared" si="2"/>
        <v>3036</v>
      </c>
      <c r="W41" s="246">
        <v>10</v>
      </c>
      <c r="X41" s="246" t="s">
        <v>39</v>
      </c>
      <c r="Y41" s="246" t="s">
        <v>84</v>
      </c>
      <c r="Z41" s="246" t="s">
        <v>50</v>
      </c>
      <c r="AA41" s="246" t="s">
        <v>90</v>
      </c>
      <c r="AB41" s="246" t="s">
        <v>317</v>
      </c>
    </row>
    <row r="42" spans="1:28" s="115" customFormat="1" x14ac:dyDescent="0.15">
      <c r="A42" s="246" t="s">
        <v>51</v>
      </c>
      <c r="B42" s="246" t="s">
        <v>315</v>
      </c>
      <c r="C42" s="246">
        <v>2018</v>
      </c>
      <c r="D42" s="106" t="s">
        <v>392</v>
      </c>
      <c r="E42" s="246" t="s">
        <v>188</v>
      </c>
      <c r="F42" s="246" t="s">
        <v>189</v>
      </c>
      <c r="G42" s="246" t="s">
        <v>42</v>
      </c>
      <c r="H42" s="246" t="s">
        <v>155</v>
      </c>
      <c r="I42" s="246" t="s">
        <v>153</v>
      </c>
      <c r="J42" s="246" t="s">
        <v>38</v>
      </c>
      <c r="K42" s="246" t="s">
        <v>154</v>
      </c>
      <c r="L42" s="246">
        <v>2</v>
      </c>
      <c r="M42" s="246"/>
      <c r="N42" s="246">
        <v>1</v>
      </c>
      <c r="O42" s="246">
        <v>0.25</v>
      </c>
      <c r="P42" s="246">
        <v>0.25</v>
      </c>
      <c r="Q42" s="107">
        <f t="shared" si="0"/>
        <v>0.25</v>
      </c>
      <c r="R42" s="246">
        <v>14.4</v>
      </c>
      <c r="S42" s="246">
        <v>148</v>
      </c>
      <c r="T42" s="108">
        <f t="shared" si="1"/>
        <v>22</v>
      </c>
      <c r="U42" s="246">
        <v>138</v>
      </c>
      <c r="V42" s="109">
        <f t="shared" si="2"/>
        <v>3036</v>
      </c>
      <c r="W42" s="246">
        <v>10</v>
      </c>
      <c r="X42" s="246" t="s">
        <v>39</v>
      </c>
      <c r="Y42" s="246" t="s">
        <v>84</v>
      </c>
      <c r="Z42" s="246" t="s">
        <v>50</v>
      </c>
      <c r="AA42" s="246" t="s">
        <v>90</v>
      </c>
      <c r="AB42" s="246" t="s">
        <v>317</v>
      </c>
    </row>
    <row r="43" spans="1:28" s="115" customFormat="1" x14ac:dyDescent="0.15">
      <c r="A43" s="246" t="s">
        <v>51</v>
      </c>
      <c r="B43" s="246" t="s">
        <v>315</v>
      </c>
      <c r="C43" s="246">
        <v>2018</v>
      </c>
      <c r="D43" s="106" t="s">
        <v>392</v>
      </c>
      <c r="E43" s="246" t="s">
        <v>188</v>
      </c>
      <c r="F43" s="246" t="s">
        <v>189</v>
      </c>
      <c r="G43" s="246" t="s">
        <v>42</v>
      </c>
      <c r="H43" s="246" t="s">
        <v>155</v>
      </c>
      <c r="I43" s="246" t="s">
        <v>153</v>
      </c>
      <c r="J43" s="246" t="s">
        <v>38</v>
      </c>
      <c r="K43" s="246" t="s">
        <v>154</v>
      </c>
      <c r="L43" s="246">
        <v>3</v>
      </c>
      <c r="M43" s="246"/>
      <c r="N43" s="246">
        <v>1</v>
      </c>
      <c r="O43" s="246">
        <v>0.6</v>
      </c>
      <c r="P43" s="246">
        <v>0.6</v>
      </c>
      <c r="Q43" s="107">
        <f t="shared" si="0"/>
        <v>0.6</v>
      </c>
      <c r="R43" s="246">
        <v>14.6</v>
      </c>
      <c r="S43" s="246">
        <v>144</v>
      </c>
      <c r="T43" s="108">
        <f t="shared" si="1"/>
        <v>22</v>
      </c>
      <c r="U43" s="246">
        <v>138</v>
      </c>
      <c r="V43" s="109">
        <f t="shared" si="2"/>
        <v>3036</v>
      </c>
      <c r="W43" s="246">
        <v>10</v>
      </c>
      <c r="X43" s="246" t="s">
        <v>39</v>
      </c>
      <c r="Y43" s="246" t="s">
        <v>84</v>
      </c>
      <c r="Z43" s="246" t="s">
        <v>50</v>
      </c>
      <c r="AA43" s="246" t="s">
        <v>90</v>
      </c>
      <c r="AB43" s="246" t="s">
        <v>317</v>
      </c>
    </row>
    <row r="44" spans="1:28" s="115" customFormat="1" x14ac:dyDescent="0.15">
      <c r="A44" s="246" t="s">
        <v>51</v>
      </c>
      <c r="B44" s="246" t="s">
        <v>315</v>
      </c>
      <c r="C44" s="246">
        <v>2018</v>
      </c>
      <c r="D44" s="106" t="s">
        <v>392</v>
      </c>
      <c r="E44" s="246" t="s">
        <v>188</v>
      </c>
      <c r="F44" s="246" t="s">
        <v>189</v>
      </c>
      <c r="G44" s="246" t="s">
        <v>42</v>
      </c>
      <c r="H44" s="246" t="s">
        <v>157</v>
      </c>
      <c r="I44" s="246" t="s">
        <v>153</v>
      </c>
      <c r="J44" s="246" t="s">
        <v>38</v>
      </c>
      <c r="K44" s="246" t="s">
        <v>154</v>
      </c>
      <c r="L44" s="246">
        <v>1</v>
      </c>
      <c r="M44" s="246"/>
      <c r="N44" s="246">
        <v>1</v>
      </c>
      <c r="O44" s="246">
        <v>0.65</v>
      </c>
      <c r="P44" s="246">
        <v>0.7</v>
      </c>
      <c r="Q44" s="107">
        <f t="shared" si="0"/>
        <v>0.67500000000000004</v>
      </c>
      <c r="R44" s="246">
        <v>14.6</v>
      </c>
      <c r="S44" s="246">
        <v>144</v>
      </c>
      <c r="T44" s="108">
        <f t="shared" si="1"/>
        <v>22</v>
      </c>
      <c r="U44" s="246">
        <v>138</v>
      </c>
      <c r="V44" s="109">
        <f t="shared" si="2"/>
        <v>3036</v>
      </c>
      <c r="W44" s="246">
        <v>10</v>
      </c>
      <c r="X44" s="246" t="s">
        <v>39</v>
      </c>
      <c r="Y44" s="246" t="s">
        <v>84</v>
      </c>
      <c r="Z44" s="246" t="s">
        <v>50</v>
      </c>
      <c r="AA44" s="246" t="s">
        <v>90</v>
      </c>
      <c r="AB44" s="246" t="s">
        <v>317</v>
      </c>
    </row>
    <row r="45" spans="1:28" s="115" customFormat="1" x14ac:dyDescent="0.15">
      <c r="A45" s="246" t="s">
        <v>51</v>
      </c>
      <c r="B45" s="246" t="s">
        <v>315</v>
      </c>
      <c r="C45" s="246">
        <v>2018</v>
      </c>
      <c r="D45" s="106" t="s">
        <v>392</v>
      </c>
      <c r="E45" s="246" t="s">
        <v>188</v>
      </c>
      <c r="F45" s="246" t="s">
        <v>189</v>
      </c>
      <c r="G45" s="246" t="s">
        <v>42</v>
      </c>
      <c r="H45" s="246" t="s">
        <v>157</v>
      </c>
      <c r="I45" s="246" t="s">
        <v>153</v>
      </c>
      <c r="J45" s="246" t="s">
        <v>38</v>
      </c>
      <c r="K45" s="246" t="s">
        <v>154</v>
      </c>
      <c r="L45" s="246">
        <v>2</v>
      </c>
      <c r="M45" s="246"/>
      <c r="N45" s="246">
        <v>1</v>
      </c>
      <c r="O45" s="246">
        <v>0.75</v>
      </c>
      <c r="P45" s="246">
        <v>0.8</v>
      </c>
      <c r="Q45" s="107">
        <f t="shared" si="0"/>
        <v>0.77500000000000002</v>
      </c>
      <c r="R45" s="246">
        <v>15.9</v>
      </c>
      <c r="S45" s="246">
        <v>148</v>
      </c>
      <c r="T45" s="108">
        <f t="shared" si="1"/>
        <v>22</v>
      </c>
      <c r="U45" s="246">
        <v>138</v>
      </c>
      <c r="V45" s="109">
        <f t="shared" si="2"/>
        <v>3036</v>
      </c>
      <c r="W45" s="246">
        <v>10</v>
      </c>
      <c r="X45" s="246" t="s">
        <v>39</v>
      </c>
      <c r="Y45" s="246" t="s">
        <v>84</v>
      </c>
      <c r="Z45" s="246" t="s">
        <v>50</v>
      </c>
      <c r="AA45" s="246" t="s">
        <v>90</v>
      </c>
      <c r="AB45" s="246" t="s">
        <v>317</v>
      </c>
    </row>
    <row r="46" spans="1:28" s="115" customFormat="1" x14ac:dyDescent="0.15">
      <c r="A46" s="246" t="s">
        <v>51</v>
      </c>
      <c r="B46" s="246" t="s">
        <v>315</v>
      </c>
      <c r="C46" s="246">
        <v>2018</v>
      </c>
      <c r="D46" s="106" t="s">
        <v>392</v>
      </c>
      <c r="E46" s="246" t="s">
        <v>188</v>
      </c>
      <c r="F46" s="246" t="s">
        <v>189</v>
      </c>
      <c r="G46" s="246" t="s">
        <v>42</v>
      </c>
      <c r="H46" s="246" t="s">
        <v>157</v>
      </c>
      <c r="I46" s="246" t="s">
        <v>153</v>
      </c>
      <c r="J46" s="246" t="s">
        <v>38</v>
      </c>
      <c r="K46" s="246" t="s">
        <v>154</v>
      </c>
      <c r="L46" s="246">
        <v>3</v>
      </c>
      <c r="M46" s="246"/>
      <c r="N46" s="246">
        <v>1</v>
      </c>
      <c r="O46" s="246">
        <v>0.7</v>
      </c>
      <c r="P46" s="246">
        <v>0.7</v>
      </c>
      <c r="Q46" s="107">
        <f t="shared" si="0"/>
        <v>0.7</v>
      </c>
      <c r="R46" s="246">
        <v>15.7</v>
      </c>
      <c r="S46" s="246">
        <v>146</v>
      </c>
      <c r="T46" s="108">
        <f t="shared" si="1"/>
        <v>22</v>
      </c>
      <c r="U46" s="246">
        <v>138</v>
      </c>
      <c r="V46" s="109">
        <f t="shared" si="2"/>
        <v>3036</v>
      </c>
      <c r="W46" s="246">
        <v>10</v>
      </c>
      <c r="X46" s="246" t="s">
        <v>39</v>
      </c>
      <c r="Y46" s="246" t="s">
        <v>84</v>
      </c>
      <c r="Z46" s="246" t="s">
        <v>50</v>
      </c>
      <c r="AA46" s="246" t="s">
        <v>90</v>
      </c>
      <c r="AB46" s="246" t="s">
        <v>317</v>
      </c>
    </row>
    <row r="47" spans="1:28" s="115" customFormat="1" x14ac:dyDescent="0.15">
      <c r="A47" s="246" t="s">
        <v>51</v>
      </c>
      <c r="B47" s="246" t="s">
        <v>315</v>
      </c>
      <c r="C47" s="246">
        <v>2018</v>
      </c>
      <c r="D47" s="106" t="s">
        <v>392</v>
      </c>
      <c r="E47" s="246" t="s">
        <v>194</v>
      </c>
      <c r="F47" s="246" t="s">
        <v>182</v>
      </c>
      <c r="G47" s="246" t="s">
        <v>36</v>
      </c>
      <c r="H47" s="246" t="s">
        <v>155</v>
      </c>
      <c r="I47" s="246" t="s">
        <v>153</v>
      </c>
      <c r="J47" s="246" t="s">
        <v>38</v>
      </c>
      <c r="K47" s="246" t="s">
        <v>154</v>
      </c>
      <c r="L47" s="115">
        <v>1</v>
      </c>
      <c r="N47" s="246">
        <v>1</v>
      </c>
      <c r="O47" s="115">
        <v>1</v>
      </c>
      <c r="P47" s="115">
        <v>1.3</v>
      </c>
      <c r="Q47" s="107">
        <f t="shared" si="0"/>
        <v>1.1499999999999999</v>
      </c>
      <c r="R47" s="115">
        <v>14.9</v>
      </c>
      <c r="S47" s="115">
        <v>116</v>
      </c>
      <c r="T47" s="108">
        <f t="shared" si="1"/>
        <v>30</v>
      </c>
      <c r="U47" s="246">
        <v>138</v>
      </c>
      <c r="V47" s="109">
        <f t="shared" si="2"/>
        <v>4140</v>
      </c>
      <c r="W47" s="246">
        <v>6</v>
      </c>
      <c r="X47" s="246" t="s">
        <v>46</v>
      </c>
      <c r="Y47" s="246" t="s">
        <v>84</v>
      </c>
      <c r="Z47" s="246" t="s">
        <v>69</v>
      </c>
      <c r="AA47" s="246" t="s">
        <v>90</v>
      </c>
      <c r="AB47" s="246" t="s">
        <v>317</v>
      </c>
    </row>
    <row r="48" spans="1:28" s="115" customFormat="1" x14ac:dyDescent="0.15">
      <c r="A48" s="246" t="s">
        <v>51</v>
      </c>
      <c r="B48" s="246" t="s">
        <v>315</v>
      </c>
      <c r="C48" s="246">
        <v>2018</v>
      </c>
      <c r="D48" s="106" t="s">
        <v>392</v>
      </c>
      <c r="E48" s="246" t="s">
        <v>194</v>
      </c>
      <c r="F48" s="246" t="s">
        <v>182</v>
      </c>
      <c r="G48" s="246" t="s">
        <v>36</v>
      </c>
      <c r="H48" s="246" t="s">
        <v>155</v>
      </c>
      <c r="I48" s="246" t="s">
        <v>153</v>
      </c>
      <c r="J48" s="246" t="s">
        <v>38</v>
      </c>
      <c r="K48" s="246" t="s">
        <v>154</v>
      </c>
      <c r="L48" s="115">
        <v>2</v>
      </c>
      <c r="N48" s="246">
        <v>1</v>
      </c>
      <c r="O48" s="115">
        <v>1.2</v>
      </c>
      <c r="P48" s="115">
        <v>1.1499999999999999</v>
      </c>
      <c r="Q48" s="107">
        <f t="shared" si="0"/>
        <v>1.1749999999999998</v>
      </c>
      <c r="R48" s="115">
        <v>15.3</v>
      </c>
      <c r="S48" s="115">
        <v>116</v>
      </c>
      <c r="T48" s="108">
        <f t="shared" si="1"/>
        <v>30</v>
      </c>
      <c r="U48" s="246">
        <v>138</v>
      </c>
      <c r="V48" s="109">
        <f t="shared" si="2"/>
        <v>4140</v>
      </c>
      <c r="W48" s="246">
        <v>6</v>
      </c>
      <c r="X48" s="246" t="s">
        <v>46</v>
      </c>
      <c r="Y48" s="246" t="s">
        <v>84</v>
      </c>
      <c r="Z48" s="246" t="s">
        <v>69</v>
      </c>
      <c r="AA48" s="246" t="s">
        <v>90</v>
      </c>
      <c r="AB48" s="246" t="s">
        <v>317</v>
      </c>
    </row>
    <row r="49" spans="1:28" s="115" customFormat="1" x14ac:dyDescent="0.15">
      <c r="A49" s="246" t="s">
        <v>51</v>
      </c>
      <c r="B49" s="246" t="s">
        <v>315</v>
      </c>
      <c r="C49" s="246">
        <v>2018</v>
      </c>
      <c r="D49" s="106" t="s">
        <v>392</v>
      </c>
      <c r="E49" s="246" t="s">
        <v>194</v>
      </c>
      <c r="F49" s="246" t="s">
        <v>182</v>
      </c>
      <c r="G49" s="246" t="s">
        <v>36</v>
      </c>
      <c r="H49" s="246" t="s">
        <v>155</v>
      </c>
      <c r="I49" s="246" t="s">
        <v>153</v>
      </c>
      <c r="J49" s="246" t="s">
        <v>38</v>
      </c>
      <c r="K49" s="246" t="s">
        <v>154</v>
      </c>
      <c r="L49" s="115">
        <v>3</v>
      </c>
      <c r="N49" s="246">
        <v>1</v>
      </c>
      <c r="O49" s="115">
        <v>0.95</v>
      </c>
      <c r="P49" s="115">
        <v>1</v>
      </c>
      <c r="Q49" s="107">
        <f t="shared" si="0"/>
        <v>0.97499999999999998</v>
      </c>
      <c r="R49" s="115">
        <v>15.5</v>
      </c>
      <c r="S49" s="115">
        <v>116</v>
      </c>
      <c r="T49" s="108">
        <f t="shared" si="1"/>
        <v>30</v>
      </c>
      <c r="U49" s="246">
        <v>138</v>
      </c>
      <c r="V49" s="109">
        <f t="shared" si="2"/>
        <v>4140</v>
      </c>
      <c r="W49" s="246">
        <v>6</v>
      </c>
      <c r="X49" s="246" t="s">
        <v>46</v>
      </c>
      <c r="Y49" s="246" t="s">
        <v>84</v>
      </c>
      <c r="Z49" s="246" t="s">
        <v>69</v>
      </c>
      <c r="AA49" s="246" t="s">
        <v>90</v>
      </c>
      <c r="AB49" s="246" t="s">
        <v>317</v>
      </c>
    </row>
    <row r="50" spans="1:28" x14ac:dyDescent="0.15">
      <c r="A50" s="246" t="s">
        <v>51</v>
      </c>
      <c r="B50" s="246" t="s">
        <v>315</v>
      </c>
      <c r="C50" s="246">
        <v>2018</v>
      </c>
      <c r="D50" s="106" t="s">
        <v>392</v>
      </c>
      <c r="E50" s="246" t="s">
        <v>194</v>
      </c>
      <c r="F50" s="246" t="s">
        <v>182</v>
      </c>
      <c r="G50" s="246" t="s">
        <v>36</v>
      </c>
      <c r="H50" s="246" t="s">
        <v>157</v>
      </c>
      <c r="I50" s="246" t="s">
        <v>153</v>
      </c>
      <c r="J50" s="246" t="s">
        <v>38</v>
      </c>
      <c r="K50" s="246" t="s">
        <v>154</v>
      </c>
      <c r="L50" s="98">
        <v>1</v>
      </c>
      <c r="N50" s="246">
        <v>3</v>
      </c>
      <c r="O50" s="98">
        <v>0.7</v>
      </c>
      <c r="P50" s="98">
        <v>0.7</v>
      </c>
      <c r="Q50" s="132">
        <f t="shared" si="0"/>
        <v>0.7</v>
      </c>
      <c r="R50" s="98">
        <v>16.399999999999999</v>
      </c>
      <c r="S50" s="98">
        <v>140</v>
      </c>
      <c r="T50" s="132">
        <f t="shared" si="1"/>
        <v>22</v>
      </c>
      <c r="U50" s="246">
        <v>498</v>
      </c>
      <c r="V50" s="132">
        <f t="shared" si="2"/>
        <v>3652</v>
      </c>
      <c r="W50" s="246">
        <v>6</v>
      </c>
      <c r="X50" s="246" t="s">
        <v>46</v>
      </c>
      <c r="Y50" s="246" t="s">
        <v>84</v>
      </c>
      <c r="Z50" s="246" t="s">
        <v>69</v>
      </c>
      <c r="AA50" s="246" t="s">
        <v>90</v>
      </c>
      <c r="AB50" s="246" t="s">
        <v>317</v>
      </c>
    </row>
    <row r="51" spans="1:28" x14ac:dyDescent="0.15">
      <c r="A51" s="246" t="s">
        <v>51</v>
      </c>
      <c r="B51" s="246" t="s">
        <v>315</v>
      </c>
      <c r="C51" s="246">
        <v>2018</v>
      </c>
      <c r="D51" s="106" t="s">
        <v>392</v>
      </c>
      <c r="E51" s="246" t="s">
        <v>194</v>
      </c>
      <c r="F51" s="246" t="s">
        <v>182</v>
      </c>
      <c r="G51" s="246" t="s">
        <v>36</v>
      </c>
      <c r="H51" s="246" t="s">
        <v>157</v>
      </c>
      <c r="I51" s="246" t="s">
        <v>153</v>
      </c>
      <c r="J51" s="246" t="s">
        <v>38</v>
      </c>
      <c r="K51" s="246" t="s">
        <v>154</v>
      </c>
      <c r="L51" s="98">
        <v>2</v>
      </c>
      <c r="N51" s="246">
        <v>3</v>
      </c>
      <c r="O51" s="115">
        <v>0.65</v>
      </c>
      <c r="P51" s="98">
        <v>0.75</v>
      </c>
      <c r="Q51" s="132">
        <f t="shared" si="0"/>
        <v>0.7</v>
      </c>
      <c r="R51" s="98">
        <v>16.600000000000001</v>
      </c>
      <c r="S51" s="98">
        <v>142</v>
      </c>
      <c r="T51" s="132">
        <f t="shared" si="1"/>
        <v>22</v>
      </c>
      <c r="U51" s="246">
        <v>498</v>
      </c>
      <c r="V51" s="132">
        <f t="shared" si="2"/>
        <v>3652</v>
      </c>
      <c r="W51" s="246">
        <v>6</v>
      </c>
      <c r="X51" s="246" t="s">
        <v>46</v>
      </c>
      <c r="Y51" s="246" t="s">
        <v>84</v>
      </c>
      <c r="Z51" s="246" t="s">
        <v>69</v>
      </c>
      <c r="AA51" s="246" t="s">
        <v>90</v>
      </c>
      <c r="AB51" s="246" t="s">
        <v>317</v>
      </c>
    </row>
    <row r="52" spans="1:28" x14ac:dyDescent="0.15">
      <c r="A52" s="246" t="s">
        <v>51</v>
      </c>
      <c r="B52" s="246" t="s">
        <v>315</v>
      </c>
      <c r="C52" s="246">
        <v>2018</v>
      </c>
      <c r="D52" s="106" t="s">
        <v>392</v>
      </c>
      <c r="E52" s="246" t="s">
        <v>194</v>
      </c>
      <c r="F52" s="246" t="s">
        <v>182</v>
      </c>
      <c r="G52" s="246" t="s">
        <v>36</v>
      </c>
      <c r="H52" s="246" t="s">
        <v>157</v>
      </c>
      <c r="I52" s="246" t="s">
        <v>153</v>
      </c>
      <c r="J52" s="246" t="s">
        <v>38</v>
      </c>
      <c r="K52" s="246" t="s">
        <v>154</v>
      </c>
      <c r="L52" s="98">
        <v>3</v>
      </c>
      <c r="N52" s="246">
        <v>3</v>
      </c>
      <c r="O52" s="98">
        <v>0.75</v>
      </c>
      <c r="P52" s="98">
        <v>0.65</v>
      </c>
      <c r="Q52" s="132">
        <f t="shared" si="0"/>
        <v>0.7</v>
      </c>
      <c r="R52" s="98">
        <v>16</v>
      </c>
      <c r="S52" s="98">
        <v>138</v>
      </c>
      <c r="T52" s="132">
        <f t="shared" si="1"/>
        <v>22</v>
      </c>
      <c r="U52" s="246">
        <v>498</v>
      </c>
      <c r="V52" s="132">
        <f t="shared" si="2"/>
        <v>3652</v>
      </c>
      <c r="W52" s="246">
        <v>6</v>
      </c>
      <c r="X52" s="246" t="s">
        <v>46</v>
      </c>
      <c r="Y52" s="246" t="s">
        <v>84</v>
      </c>
      <c r="Z52" s="246" t="s">
        <v>69</v>
      </c>
      <c r="AA52" s="246" t="s">
        <v>90</v>
      </c>
      <c r="AB52" s="246" t="s">
        <v>317</v>
      </c>
    </row>
    <row r="53" spans="1:28" x14ac:dyDescent="0.15">
      <c r="A53" s="246" t="s">
        <v>51</v>
      </c>
      <c r="B53" s="246" t="s">
        <v>315</v>
      </c>
      <c r="C53" s="246">
        <v>2018</v>
      </c>
      <c r="D53" s="106" t="s">
        <v>392</v>
      </c>
      <c r="E53" s="246" t="s">
        <v>202</v>
      </c>
      <c r="F53" s="246" t="s">
        <v>203</v>
      </c>
      <c r="G53" s="246" t="s">
        <v>36</v>
      </c>
      <c r="H53" s="246" t="s">
        <v>155</v>
      </c>
      <c r="I53" s="246" t="s">
        <v>153</v>
      </c>
      <c r="J53" s="246" t="s">
        <v>38</v>
      </c>
      <c r="K53" s="246" t="s">
        <v>154</v>
      </c>
      <c r="L53" s="98">
        <v>1</v>
      </c>
      <c r="N53" s="246">
        <v>1</v>
      </c>
      <c r="O53" s="98">
        <v>0.75</v>
      </c>
      <c r="P53" s="98">
        <v>0.8</v>
      </c>
      <c r="Q53" s="132">
        <f t="shared" si="0"/>
        <v>0.77500000000000002</v>
      </c>
      <c r="R53" s="98">
        <v>15.8</v>
      </c>
      <c r="S53" s="98">
        <v>148</v>
      </c>
      <c r="T53" s="132">
        <f t="shared" si="1"/>
        <v>22</v>
      </c>
      <c r="U53" s="246">
        <v>128</v>
      </c>
      <c r="V53" s="132">
        <f t="shared" si="2"/>
        <v>2816</v>
      </c>
      <c r="W53" s="246">
        <v>5</v>
      </c>
      <c r="X53" s="246" t="s">
        <v>39</v>
      </c>
      <c r="Y53" s="246" t="s">
        <v>84</v>
      </c>
      <c r="Z53" s="246" t="s">
        <v>50</v>
      </c>
      <c r="AA53" s="246" t="s">
        <v>90</v>
      </c>
      <c r="AB53" s="246" t="s">
        <v>317</v>
      </c>
    </row>
    <row r="54" spans="1:28" x14ac:dyDescent="0.15">
      <c r="A54" s="246" t="s">
        <v>51</v>
      </c>
      <c r="B54" s="246" t="s">
        <v>315</v>
      </c>
      <c r="C54" s="246">
        <v>2018</v>
      </c>
      <c r="D54" s="106" t="s">
        <v>392</v>
      </c>
      <c r="E54" s="246" t="s">
        <v>202</v>
      </c>
      <c r="F54" s="246" t="s">
        <v>203</v>
      </c>
      <c r="G54" s="246" t="s">
        <v>36</v>
      </c>
      <c r="H54" s="246" t="s">
        <v>155</v>
      </c>
      <c r="I54" s="246" t="s">
        <v>153</v>
      </c>
      <c r="J54" s="246" t="s">
        <v>38</v>
      </c>
      <c r="K54" s="246" t="s">
        <v>154</v>
      </c>
      <c r="L54" s="98">
        <v>2</v>
      </c>
      <c r="N54" s="246">
        <v>1</v>
      </c>
      <c r="O54" s="98">
        <v>0.7</v>
      </c>
      <c r="P54" s="98">
        <v>0.75</v>
      </c>
      <c r="Q54" s="132">
        <f t="shared" si="0"/>
        <v>0.72499999999999998</v>
      </c>
      <c r="R54" s="98">
        <v>15.5</v>
      </c>
      <c r="S54" s="98">
        <v>138</v>
      </c>
      <c r="T54" s="132">
        <f t="shared" si="1"/>
        <v>22</v>
      </c>
      <c r="U54" s="246">
        <v>128</v>
      </c>
      <c r="V54" s="132">
        <f t="shared" si="2"/>
        <v>2816</v>
      </c>
      <c r="W54" s="246">
        <v>5</v>
      </c>
      <c r="X54" s="246" t="s">
        <v>39</v>
      </c>
      <c r="Y54" s="246" t="s">
        <v>84</v>
      </c>
      <c r="Z54" s="246" t="s">
        <v>50</v>
      </c>
      <c r="AA54" s="246" t="s">
        <v>90</v>
      </c>
      <c r="AB54" s="246" t="s">
        <v>317</v>
      </c>
    </row>
    <row r="55" spans="1:28" x14ac:dyDescent="0.15">
      <c r="A55" s="246" t="s">
        <v>51</v>
      </c>
      <c r="B55" s="246" t="s">
        <v>315</v>
      </c>
      <c r="C55" s="246">
        <v>2018</v>
      </c>
      <c r="D55" s="106" t="s">
        <v>392</v>
      </c>
      <c r="E55" s="246" t="s">
        <v>202</v>
      </c>
      <c r="F55" s="246" t="s">
        <v>203</v>
      </c>
      <c r="G55" s="246" t="s">
        <v>36</v>
      </c>
      <c r="H55" s="246" t="s">
        <v>155</v>
      </c>
      <c r="I55" s="246" t="s">
        <v>153</v>
      </c>
      <c r="J55" s="246" t="s">
        <v>38</v>
      </c>
      <c r="K55" s="246" t="s">
        <v>154</v>
      </c>
      <c r="L55" s="98">
        <v>3</v>
      </c>
      <c r="N55" s="246">
        <v>1</v>
      </c>
      <c r="O55" s="98">
        <v>0.85</v>
      </c>
      <c r="P55" s="98">
        <v>0.65</v>
      </c>
      <c r="Q55" s="132">
        <f t="shared" si="0"/>
        <v>0.75</v>
      </c>
      <c r="R55" s="98">
        <v>15.2</v>
      </c>
      <c r="S55" s="98">
        <v>136</v>
      </c>
      <c r="T55" s="132">
        <f t="shared" si="1"/>
        <v>25</v>
      </c>
      <c r="U55" s="246">
        <v>128</v>
      </c>
      <c r="V55" s="132">
        <f t="shared" si="2"/>
        <v>3200</v>
      </c>
      <c r="W55" s="246">
        <v>5</v>
      </c>
      <c r="X55" s="246" t="s">
        <v>39</v>
      </c>
      <c r="Y55" s="246" t="s">
        <v>84</v>
      </c>
      <c r="Z55" s="246" t="s">
        <v>50</v>
      </c>
      <c r="AA55" s="246" t="s">
        <v>90</v>
      </c>
      <c r="AB55" s="246" t="s">
        <v>317</v>
      </c>
    </row>
    <row r="56" spans="1:28" x14ac:dyDescent="0.15">
      <c r="A56" s="246" t="s">
        <v>51</v>
      </c>
      <c r="B56" s="246" t="s">
        <v>315</v>
      </c>
      <c r="C56" s="246">
        <v>2018</v>
      </c>
      <c r="D56" s="106" t="s">
        <v>392</v>
      </c>
      <c r="E56" s="246" t="s">
        <v>202</v>
      </c>
      <c r="F56" s="246" t="s">
        <v>203</v>
      </c>
      <c r="G56" s="246" t="s">
        <v>36</v>
      </c>
      <c r="H56" s="246" t="s">
        <v>157</v>
      </c>
      <c r="I56" s="246" t="s">
        <v>153</v>
      </c>
      <c r="J56" s="246" t="s">
        <v>38</v>
      </c>
      <c r="K56" s="246" t="s">
        <v>154</v>
      </c>
      <c r="L56" s="98">
        <v>1</v>
      </c>
      <c r="N56" s="246">
        <v>1</v>
      </c>
      <c r="O56" s="98">
        <v>0.7</v>
      </c>
      <c r="P56" s="98">
        <v>0.55000000000000004</v>
      </c>
      <c r="Q56" s="132">
        <f t="shared" si="0"/>
        <v>0.625</v>
      </c>
      <c r="R56" s="98">
        <v>15.1</v>
      </c>
      <c r="S56" s="98">
        <v>154</v>
      </c>
      <c r="T56" s="132">
        <f t="shared" si="1"/>
        <v>18</v>
      </c>
      <c r="U56" s="246">
        <v>128</v>
      </c>
      <c r="V56" s="132">
        <f t="shared" si="2"/>
        <v>2304</v>
      </c>
      <c r="W56" s="246">
        <v>5</v>
      </c>
      <c r="X56" s="246" t="s">
        <v>39</v>
      </c>
      <c r="Y56" s="246" t="s">
        <v>84</v>
      </c>
      <c r="Z56" s="246" t="s">
        <v>50</v>
      </c>
      <c r="AA56" s="246" t="s">
        <v>90</v>
      </c>
      <c r="AB56" s="246" t="s">
        <v>317</v>
      </c>
    </row>
    <row r="57" spans="1:28" x14ac:dyDescent="0.15">
      <c r="A57" s="246" t="s">
        <v>51</v>
      </c>
      <c r="B57" s="246" t="s">
        <v>315</v>
      </c>
      <c r="C57" s="246">
        <v>2018</v>
      </c>
      <c r="D57" s="106" t="s">
        <v>392</v>
      </c>
      <c r="E57" s="246" t="s">
        <v>202</v>
      </c>
      <c r="F57" s="246" t="s">
        <v>203</v>
      </c>
      <c r="G57" s="246" t="s">
        <v>36</v>
      </c>
      <c r="H57" s="246" t="s">
        <v>157</v>
      </c>
      <c r="I57" s="246" t="s">
        <v>153</v>
      </c>
      <c r="J57" s="246" t="s">
        <v>38</v>
      </c>
      <c r="K57" s="246" t="s">
        <v>154</v>
      </c>
      <c r="L57" s="98">
        <v>2</v>
      </c>
      <c r="N57" s="246">
        <v>1</v>
      </c>
      <c r="O57" s="98">
        <v>0.65</v>
      </c>
      <c r="P57" s="98">
        <v>0.65</v>
      </c>
      <c r="Q57" s="132">
        <f t="shared" si="0"/>
        <v>0.65</v>
      </c>
      <c r="R57" s="98">
        <v>14.6</v>
      </c>
      <c r="S57" s="98">
        <v>154</v>
      </c>
      <c r="T57" s="132">
        <f t="shared" si="1"/>
        <v>18</v>
      </c>
      <c r="U57" s="246">
        <v>128</v>
      </c>
      <c r="V57" s="132">
        <f t="shared" si="2"/>
        <v>2304</v>
      </c>
      <c r="W57" s="246">
        <v>5</v>
      </c>
      <c r="X57" s="246" t="s">
        <v>39</v>
      </c>
      <c r="Y57" s="246" t="s">
        <v>84</v>
      </c>
      <c r="Z57" s="246" t="s">
        <v>50</v>
      </c>
      <c r="AA57" s="246" t="s">
        <v>90</v>
      </c>
      <c r="AB57" s="246" t="s">
        <v>317</v>
      </c>
    </row>
    <row r="58" spans="1:28" x14ac:dyDescent="0.15">
      <c r="A58" s="246" t="s">
        <v>51</v>
      </c>
      <c r="B58" s="246" t="s">
        <v>315</v>
      </c>
      <c r="C58" s="246">
        <v>2018</v>
      </c>
      <c r="D58" s="106" t="s">
        <v>392</v>
      </c>
      <c r="E58" s="246" t="s">
        <v>202</v>
      </c>
      <c r="F58" s="246" t="s">
        <v>203</v>
      </c>
      <c r="G58" s="246" t="s">
        <v>36</v>
      </c>
      <c r="H58" s="246" t="s">
        <v>157</v>
      </c>
      <c r="I58" s="246" t="s">
        <v>153</v>
      </c>
      <c r="J58" s="246" t="s">
        <v>38</v>
      </c>
      <c r="K58" s="246" t="s">
        <v>154</v>
      </c>
      <c r="L58" s="98">
        <v>3</v>
      </c>
      <c r="N58" s="246">
        <v>1</v>
      </c>
      <c r="O58" s="98">
        <v>0.6</v>
      </c>
      <c r="P58" s="98">
        <v>0.7</v>
      </c>
      <c r="Q58" s="132">
        <f t="shared" si="0"/>
        <v>0.64999999999999991</v>
      </c>
      <c r="R58" s="115">
        <v>14.2</v>
      </c>
      <c r="S58" s="98">
        <v>148</v>
      </c>
      <c r="T58" s="132">
        <f t="shared" si="1"/>
        <v>22</v>
      </c>
      <c r="U58" s="246">
        <v>128</v>
      </c>
      <c r="V58" s="132">
        <f t="shared" si="2"/>
        <v>2816</v>
      </c>
      <c r="W58" s="246">
        <v>5</v>
      </c>
      <c r="X58" s="246" t="s">
        <v>39</v>
      </c>
      <c r="Y58" s="246" t="s">
        <v>84</v>
      </c>
      <c r="Z58" s="246" t="s">
        <v>50</v>
      </c>
      <c r="AA58" s="246" t="s">
        <v>90</v>
      </c>
      <c r="AB58" s="246" t="s">
        <v>317</v>
      </c>
    </row>
    <row r="59" spans="1:28" x14ac:dyDescent="0.15">
      <c r="A59" s="246" t="s">
        <v>51</v>
      </c>
      <c r="B59" s="246" t="s">
        <v>315</v>
      </c>
      <c r="C59" s="246">
        <v>2018</v>
      </c>
      <c r="D59" s="106" t="s">
        <v>392</v>
      </c>
      <c r="E59" s="246" t="s">
        <v>205</v>
      </c>
      <c r="F59" s="246" t="s">
        <v>182</v>
      </c>
      <c r="G59" s="246" t="s">
        <v>42</v>
      </c>
      <c r="H59" s="246" t="s">
        <v>155</v>
      </c>
      <c r="I59" s="246" t="s">
        <v>153</v>
      </c>
      <c r="J59" s="246" t="s">
        <v>38</v>
      </c>
      <c r="K59" s="246" t="s">
        <v>154</v>
      </c>
      <c r="L59" s="98">
        <v>1</v>
      </c>
      <c r="N59" s="246">
        <v>1</v>
      </c>
      <c r="O59" s="98">
        <v>0.9</v>
      </c>
      <c r="P59" s="98">
        <v>1.25</v>
      </c>
      <c r="Q59" s="132">
        <f t="shared" si="0"/>
        <v>1.075</v>
      </c>
      <c r="R59" s="98">
        <v>14.4</v>
      </c>
      <c r="S59" s="98">
        <v>126</v>
      </c>
      <c r="T59" s="132">
        <f t="shared" si="1"/>
        <v>27</v>
      </c>
      <c r="U59" s="246">
        <v>58</v>
      </c>
      <c r="V59" s="132">
        <f t="shared" si="2"/>
        <v>1566</v>
      </c>
      <c r="W59" s="130">
        <v>6</v>
      </c>
      <c r="X59" s="246" t="s">
        <v>46</v>
      </c>
      <c r="Y59" s="246" t="s">
        <v>90</v>
      </c>
      <c r="Z59" s="246" t="s">
        <v>69</v>
      </c>
      <c r="AA59" s="246" t="s">
        <v>50</v>
      </c>
      <c r="AB59" s="246" t="s">
        <v>317</v>
      </c>
    </row>
    <row r="60" spans="1:28" x14ac:dyDescent="0.15">
      <c r="A60" s="246" t="s">
        <v>51</v>
      </c>
      <c r="B60" s="246" t="s">
        <v>315</v>
      </c>
      <c r="C60" s="246">
        <v>2018</v>
      </c>
      <c r="D60" s="106" t="s">
        <v>392</v>
      </c>
      <c r="E60" s="246" t="s">
        <v>205</v>
      </c>
      <c r="F60" s="246" t="s">
        <v>182</v>
      </c>
      <c r="G60" s="246" t="s">
        <v>42</v>
      </c>
      <c r="H60" s="246" t="s">
        <v>155</v>
      </c>
      <c r="I60" s="246" t="s">
        <v>153</v>
      </c>
      <c r="J60" s="246" t="s">
        <v>38</v>
      </c>
      <c r="K60" s="246" t="s">
        <v>154</v>
      </c>
      <c r="L60" s="98">
        <v>2</v>
      </c>
      <c r="N60" s="130">
        <v>1</v>
      </c>
      <c r="O60" s="98">
        <v>1.1000000000000001</v>
      </c>
      <c r="P60" s="98">
        <v>1.1499999999999999</v>
      </c>
      <c r="Q60" s="132">
        <f t="shared" si="0"/>
        <v>1.125</v>
      </c>
      <c r="R60" s="98">
        <v>14.2</v>
      </c>
      <c r="S60" s="98">
        <v>130</v>
      </c>
      <c r="T60" s="132">
        <f t="shared" si="1"/>
        <v>25</v>
      </c>
      <c r="U60" s="246">
        <v>58</v>
      </c>
      <c r="V60" s="132">
        <f t="shared" si="2"/>
        <v>1450</v>
      </c>
      <c r="W60" s="130">
        <v>6</v>
      </c>
      <c r="X60" s="246" t="s">
        <v>46</v>
      </c>
      <c r="Y60" s="246" t="s">
        <v>90</v>
      </c>
      <c r="Z60" s="246" t="s">
        <v>69</v>
      </c>
      <c r="AA60" s="246" t="s">
        <v>50</v>
      </c>
      <c r="AB60" s="246" t="s">
        <v>317</v>
      </c>
    </row>
    <row r="61" spans="1:28" x14ac:dyDescent="0.15">
      <c r="A61" s="246" t="s">
        <v>51</v>
      </c>
      <c r="B61" s="246" t="s">
        <v>315</v>
      </c>
      <c r="C61" s="246">
        <v>2018</v>
      </c>
      <c r="D61" s="106" t="s">
        <v>392</v>
      </c>
      <c r="E61" s="246" t="s">
        <v>205</v>
      </c>
      <c r="F61" s="246" t="s">
        <v>182</v>
      </c>
      <c r="G61" s="246" t="s">
        <v>42</v>
      </c>
      <c r="H61" s="246" t="s">
        <v>155</v>
      </c>
      <c r="I61" s="246" t="s">
        <v>153</v>
      </c>
      <c r="J61" s="246" t="s">
        <v>38</v>
      </c>
      <c r="K61" s="246" t="s">
        <v>154</v>
      </c>
      <c r="L61" s="98">
        <v>3</v>
      </c>
      <c r="N61" s="130">
        <v>1</v>
      </c>
      <c r="O61" s="98">
        <v>1.05</v>
      </c>
      <c r="P61" s="98">
        <v>0.95</v>
      </c>
      <c r="Q61" s="132">
        <f t="shared" si="0"/>
        <v>1</v>
      </c>
      <c r="R61" s="98">
        <v>14.7</v>
      </c>
      <c r="S61" s="98">
        <v>126</v>
      </c>
      <c r="T61" s="132">
        <f t="shared" si="1"/>
        <v>27</v>
      </c>
      <c r="U61" s="246">
        <v>58</v>
      </c>
      <c r="V61" s="132">
        <f t="shared" si="2"/>
        <v>1566</v>
      </c>
      <c r="W61" s="130">
        <v>6</v>
      </c>
      <c r="X61" s="246" t="s">
        <v>46</v>
      </c>
      <c r="Y61" s="246" t="s">
        <v>90</v>
      </c>
      <c r="Z61" s="246" t="s">
        <v>69</v>
      </c>
      <c r="AA61" s="246" t="s">
        <v>50</v>
      </c>
      <c r="AB61" s="246" t="s">
        <v>317</v>
      </c>
    </row>
    <row r="62" spans="1:28" x14ac:dyDescent="0.15">
      <c r="A62" s="246" t="s">
        <v>51</v>
      </c>
      <c r="B62" s="246" t="s">
        <v>315</v>
      </c>
      <c r="C62" s="246">
        <v>2018</v>
      </c>
      <c r="D62" s="106" t="s">
        <v>392</v>
      </c>
      <c r="E62" s="246" t="s">
        <v>205</v>
      </c>
      <c r="F62" s="246" t="s">
        <v>182</v>
      </c>
      <c r="G62" s="246" t="s">
        <v>42</v>
      </c>
      <c r="H62" s="246" t="s">
        <v>157</v>
      </c>
      <c r="I62" s="246" t="s">
        <v>153</v>
      </c>
      <c r="J62" s="246" t="s">
        <v>38</v>
      </c>
      <c r="K62" s="246" t="s">
        <v>154</v>
      </c>
      <c r="L62" s="98">
        <v>1</v>
      </c>
      <c r="N62" s="130">
        <v>1</v>
      </c>
      <c r="O62" s="98">
        <v>0.5</v>
      </c>
      <c r="P62" s="98">
        <v>0.55000000000000004</v>
      </c>
      <c r="Q62" s="132">
        <f t="shared" si="0"/>
        <v>0.52500000000000002</v>
      </c>
      <c r="R62" s="98">
        <v>17.100000000000001</v>
      </c>
      <c r="S62" s="98">
        <v>148</v>
      </c>
      <c r="T62" s="132">
        <f t="shared" si="1"/>
        <v>22</v>
      </c>
      <c r="U62" s="246">
        <v>128</v>
      </c>
      <c r="V62" s="132">
        <f t="shared" si="2"/>
        <v>2816</v>
      </c>
      <c r="W62" s="130">
        <v>6</v>
      </c>
      <c r="X62" s="246" t="s">
        <v>46</v>
      </c>
      <c r="Y62" s="246" t="s">
        <v>90</v>
      </c>
      <c r="Z62" s="246" t="s">
        <v>69</v>
      </c>
      <c r="AA62" s="246" t="s">
        <v>50</v>
      </c>
      <c r="AB62" s="246" t="s">
        <v>317</v>
      </c>
    </row>
    <row r="63" spans="1:28" x14ac:dyDescent="0.15">
      <c r="A63" s="246" t="s">
        <v>51</v>
      </c>
      <c r="B63" s="246" t="s">
        <v>315</v>
      </c>
      <c r="C63" s="246">
        <v>2018</v>
      </c>
      <c r="D63" s="106" t="s">
        <v>392</v>
      </c>
      <c r="E63" s="246" t="s">
        <v>205</v>
      </c>
      <c r="F63" s="246" t="s">
        <v>182</v>
      </c>
      <c r="G63" s="246" t="s">
        <v>42</v>
      </c>
      <c r="H63" s="246" t="s">
        <v>157</v>
      </c>
      <c r="I63" s="246" t="s">
        <v>153</v>
      </c>
      <c r="J63" s="246" t="s">
        <v>38</v>
      </c>
      <c r="K63" s="246" t="s">
        <v>154</v>
      </c>
      <c r="L63" s="98">
        <v>2</v>
      </c>
      <c r="N63" s="130">
        <v>1</v>
      </c>
      <c r="O63" s="98">
        <v>0.55000000000000004</v>
      </c>
      <c r="P63" s="98">
        <v>0.6</v>
      </c>
      <c r="Q63" s="132">
        <f t="shared" si="0"/>
        <v>0.57499999999999996</v>
      </c>
      <c r="R63" s="98">
        <v>16.399999999999999</v>
      </c>
      <c r="S63" s="98">
        <v>144</v>
      </c>
      <c r="T63" s="132">
        <f t="shared" si="1"/>
        <v>22</v>
      </c>
      <c r="U63" s="246">
        <v>128</v>
      </c>
      <c r="V63" s="132">
        <f t="shared" si="2"/>
        <v>2816</v>
      </c>
      <c r="W63" s="130">
        <v>6</v>
      </c>
      <c r="X63" s="246" t="s">
        <v>46</v>
      </c>
      <c r="Y63" s="246" t="s">
        <v>90</v>
      </c>
      <c r="Z63" s="246" t="s">
        <v>69</v>
      </c>
      <c r="AA63" s="246" t="s">
        <v>50</v>
      </c>
      <c r="AB63" s="246" t="s">
        <v>317</v>
      </c>
    </row>
    <row r="64" spans="1:28" x14ac:dyDescent="0.15">
      <c r="A64" s="246" t="s">
        <v>51</v>
      </c>
      <c r="B64" s="246" t="s">
        <v>315</v>
      </c>
      <c r="C64" s="246">
        <v>2018</v>
      </c>
      <c r="D64" s="106" t="s">
        <v>392</v>
      </c>
      <c r="E64" s="246" t="s">
        <v>205</v>
      </c>
      <c r="F64" s="246" t="s">
        <v>182</v>
      </c>
      <c r="G64" s="246" t="s">
        <v>42</v>
      </c>
      <c r="H64" s="246" t="s">
        <v>157</v>
      </c>
      <c r="I64" s="246" t="s">
        <v>153</v>
      </c>
      <c r="J64" s="246" t="s">
        <v>38</v>
      </c>
      <c r="K64" s="246" t="s">
        <v>154</v>
      </c>
      <c r="L64" s="98">
        <v>3</v>
      </c>
      <c r="N64" s="130">
        <v>1</v>
      </c>
      <c r="O64" s="98">
        <v>0.65</v>
      </c>
      <c r="P64" s="98">
        <v>0.6</v>
      </c>
      <c r="Q64" s="132">
        <f t="shared" si="0"/>
        <v>0.625</v>
      </c>
      <c r="R64" s="98">
        <v>16.7</v>
      </c>
      <c r="S64" s="98">
        <v>132</v>
      </c>
      <c r="T64" s="132">
        <f t="shared" si="1"/>
        <v>25</v>
      </c>
      <c r="U64" s="246">
        <v>128</v>
      </c>
      <c r="V64" s="132">
        <f t="shared" si="2"/>
        <v>3200</v>
      </c>
      <c r="W64" s="130">
        <v>6</v>
      </c>
      <c r="X64" s="246" t="s">
        <v>46</v>
      </c>
      <c r="Y64" s="246" t="s">
        <v>90</v>
      </c>
      <c r="Z64" s="246" t="s">
        <v>69</v>
      </c>
      <c r="AA64" s="246" t="s">
        <v>50</v>
      </c>
      <c r="AB64" s="246" t="s">
        <v>317</v>
      </c>
    </row>
    <row r="65" spans="1:28" x14ac:dyDescent="0.15">
      <c r="A65" s="246"/>
      <c r="B65" s="246"/>
      <c r="C65" s="130"/>
      <c r="D65" s="131"/>
      <c r="E65" s="246"/>
      <c r="F65" s="246"/>
      <c r="G65" s="130"/>
      <c r="H65" s="130"/>
      <c r="I65" s="130"/>
      <c r="J65" s="130"/>
      <c r="K65" s="246"/>
      <c r="N65" s="130"/>
      <c r="W65" s="130"/>
      <c r="X65" s="130"/>
      <c r="Y65" s="130"/>
      <c r="Z65" s="130"/>
      <c r="AA65" s="130"/>
      <c r="AB65" s="246"/>
    </row>
    <row r="66" spans="1:28" x14ac:dyDescent="0.15">
      <c r="A66" s="246"/>
      <c r="B66" s="246"/>
      <c r="C66" s="130"/>
      <c r="D66" s="131"/>
      <c r="E66" s="246"/>
      <c r="F66" s="246"/>
      <c r="G66" s="130"/>
      <c r="H66" s="130"/>
      <c r="I66" s="130"/>
      <c r="J66" s="130"/>
      <c r="K66" s="130"/>
      <c r="N66" s="130"/>
      <c r="W66" s="130"/>
      <c r="X66" s="130"/>
      <c r="Y66" s="130"/>
      <c r="Z66" s="130"/>
      <c r="AA66" s="130"/>
      <c r="AB66" s="246"/>
    </row>
    <row r="67" spans="1:28" x14ac:dyDescent="0.15">
      <c r="A67" s="246"/>
      <c r="B67" s="246"/>
      <c r="C67" s="130"/>
      <c r="D67" s="131"/>
      <c r="E67" s="246"/>
      <c r="F67" s="246"/>
      <c r="G67" s="130"/>
      <c r="H67" s="130"/>
      <c r="I67" s="130"/>
      <c r="J67" s="130"/>
      <c r="K67" s="130"/>
      <c r="N67" s="130"/>
      <c r="W67" s="130"/>
      <c r="X67" s="130"/>
      <c r="Y67" s="130"/>
      <c r="Z67" s="130"/>
      <c r="AA67" s="130"/>
      <c r="AB67" s="246"/>
    </row>
    <row r="68" spans="1:28" x14ac:dyDescent="0.15">
      <c r="E68" s="246"/>
      <c r="F68" s="246"/>
    </row>
    <row r="69" spans="1:28" x14ac:dyDescent="0.15">
      <c r="E69" s="246"/>
      <c r="F69" s="246"/>
    </row>
    <row r="70" spans="1:28" x14ac:dyDescent="0.15">
      <c r="E70" s="246"/>
      <c r="F70" s="246"/>
    </row>
    <row r="71" spans="1:28" x14ac:dyDescent="0.15">
      <c r="E71" s="246"/>
      <c r="F71" s="246"/>
    </row>
    <row r="72" spans="1:28" x14ac:dyDescent="0.15">
      <c r="E72" s="246"/>
      <c r="F72" s="246"/>
    </row>
    <row r="73" spans="1:28" x14ac:dyDescent="0.15">
      <c r="E73" s="246"/>
      <c r="F73" s="246"/>
    </row>
    <row r="74" spans="1:28" x14ac:dyDescent="0.15">
      <c r="E74" s="246"/>
      <c r="F74" s="246"/>
    </row>
    <row r="75" spans="1:28" x14ac:dyDescent="0.15">
      <c r="E75" s="246"/>
      <c r="F75" s="246"/>
    </row>
    <row r="76" spans="1:28" x14ac:dyDescent="0.15">
      <c r="E76" s="246"/>
      <c r="F76" s="246"/>
    </row>
    <row r="77" spans="1:28" x14ac:dyDescent="0.15">
      <c r="E77" s="246"/>
      <c r="F77" s="246"/>
    </row>
    <row r="78" spans="1:28" x14ac:dyDescent="0.15">
      <c r="E78" s="246"/>
      <c r="F78" s="246"/>
    </row>
    <row r="79" spans="1:28" x14ac:dyDescent="0.15">
      <c r="E79" s="246"/>
      <c r="F79" s="246"/>
    </row>
    <row r="80" spans="1:28" x14ac:dyDescent="0.15">
      <c r="E80" s="246"/>
      <c r="F80" s="246"/>
    </row>
    <row r="81" spans="5:6" x14ac:dyDescent="0.15">
      <c r="E81" s="246"/>
      <c r="F81" s="246"/>
    </row>
    <row r="82" spans="5:6" x14ac:dyDescent="0.15">
      <c r="E82" s="246"/>
      <c r="F82" s="246"/>
    </row>
    <row r="83" spans="5:6" x14ac:dyDescent="0.15">
      <c r="E83" s="246"/>
      <c r="F83" s="246"/>
    </row>
    <row r="84" spans="5:6" x14ac:dyDescent="0.15">
      <c r="E84" s="246"/>
      <c r="F84" s="246"/>
    </row>
    <row r="85" spans="5:6" x14ac:dyDescent="0.15">
      <c r="E85" s="246"/>
      <c r="F85" s="246"/>
    </row>
    <row r="86" spans="5:6" x14ac:dyDescent="0.15">
      <c r="E86" s="246"/>
      <c r="F86" s="246"/>
    </row>
    <row r="87" spans="5:6" x14ac:dyDescent="0.15">
      <c r="E87" s="246"/>
      <c r="F87" s="246"/>
    </row>
    <row r="88" spans="5:6" x14ac:dyDescent="0.15">
      <c r="E88" s="246"/>
      <c r="F88" s="246"/>
    </row>
    <row r="89" spans="5:6" x14ac:dyDescent="0.15">
      <c r="E89" s="246"/>
      <c r="F89" s="246"/>
    </row>
    <row r="90" spans="5:6" x14ac:dyDescent="0.15">
      <c r="E90" s="246"/>
      <c r="F90" s="246"/>
    </row>
    <row r="91" spans="5:6" x14ac:dyDescent="0.15">
      <c r="E91" s="246"/>
      <c r="F91" s="246"/>
    </row>
    <row r="92" spans="5:6" x14ac:dyDescent="0.15">
      <c r="E92" s="246"/>
      <c r="F92" s="246"/>
    </row>
    <row r="93" spans="5:6" x14ac:dyDescent="0.15">
      <c r="E93" s="246"/>
      <c r="F93" s="246"/>
    </row>
    <row r="94" spans="5:6" x14ac:dyDescent="0.15">
      <c r="E94" s="246"/>
      <c r="F94" s="246"/>
    </row>
    <row r="95" spans="5:6" x14ac:dyDescent="0.15">
      <c r="E95" s="246"/>
      <c r="F95" s="246"/>
    </row>
    <row r="96" spans="5:6" x14ac:dyDescent="0.15">
      <c r="E96" s="246"/>
      <c r="F96" s="246"/>
    </row>
    <row r="97" spans="5:6" x14ac:dyDescent="0.15">
      <c r="E97" s="246"/>
      <c r="F97" s="246"/>
    </row>
    <row r="98" spans="5:6" x14ac:dyDescent="0.15">
      <c r="E98" s="246"/>
      <c r="F98" s="246"/>
    </row>
    <row r="99" spans="5:6" x14ac:dyDescent="0.15">
      <c r="E99" s="246"/>
      <c r="F99" s="246"/>
    </row>
    <row r="100" spans="5:6" x14ac:dyDescent="0.15">
      <c r="E100" s="246"/>
      <c r="F100" s="246"/>
    </row>
    <row r="101" spans="5:6" x14ac:dyDescent="0.15">
      <c r="E101" s="246"/>
      <c r="F101" s="246"/>
    </row>
    <row r="102" spans="5:6" x14ac:dyDescent="0.15">
      <c r="E102" s="246"/>
      <c r="F102" s="246"/>
    </row>
    <row r="103" spans="5:6" x14ac:dyDescent="0.15">
      <c r="E103" s="246"/>
      <c r="F103" s="246"/>
    </row>
    <row r="104" spans="5:6" x14ac:dyDescent="0.15">
      <c r="E104" s="246"/>
      <c r="F104" s="246"/>
    </row>
    <row r="105" spans="5:6" x14ac:dyDescent="0.15">
      <c r="E105" s="246"/>
      <c r="F105" s="246"/>
    </row>
    <row r="106" spans="5:6" x14ac:dyDescent="0.15">
      <c r="E106" s="246"/>
      <c r="F106" s="246"/>
    </row>
    <row r="107" spans="5:6" x14ac:dyDescent="0.15">
      <c r="E107" s="246"/>
      <c r="F107" s="246"/>
    </row>
    <row r="108" spans="5:6" x14ac:dyDescent="0.15">
      <c r="E108" s="246"/>
      <c r="F108" s="246"/>
    </row>
    <row r="109" spans="5:6" x14ac:dyDescent="0.15">
      <c r="E109" s="246"/>
      <c r="F109" s="246"/>
    </row>
    <row r="110" spans="5:6" x14ac:dyDescent="0.15">
      <c r="E110" s="246"/>
      <c r="F110" s="246"/>
    </row>
    <row r="111" spans="5:6" x14ac:dyDescent="0.15">
      <c r="E111" s="246"/>
      <c r="F111" s="246"/>
    </row>
    <row r="112" spans="5:6" x14ac:dyDescent="0.15">
      <c r="E112" s="246"/>
      <c r="F112" s="246"/>
    </row>
    <row r="113" spans="5:6" x14ac:dyDescent="0.15">
      <c r="E113" s="246"/>
      <c r="F113" s="246"/>
    </row>
    <row r="114" spans="5:6" x14ac:dyDescent="0.15">
      <c r="E114" s="246"/>
      <c r="F114" s="246"/>
    </row>
    <row r="115" spans="5:6" x14ac:dyDescent="0.15">
      <c r="E115" s="246"/>
      <c r="F115" s="246"/>
    </row>
    <row r="116" spans="5:6" x14ac:dyDescent="0.15">
      <c r="E116" s="246"/>
      <c r="F116" s="246"/>
    </row>
    <row r="117" spans="5:6" x14ac:dyDescent="0.15">
      <c r="E117" s="246"/>
      <c r="F117" s="246"/>
    </row>
    <row r="118" spans="5:6" x14ac:dyDescent="0.15">
      <c r="E118" s="246"/>
      <c r="F118" s="246"/>
    </row>
    <row r="119" spans="5:6" x14ac:dyDescent="0.15">
      <c r="E119" s="246"/>
      <c r="F119" s="246"/>
    </row>
    <row r="120" spans="5:6" x14ac:dyDescent="0.15">
      <c r="E120" s="246"/>
      <c r="F120" s="246"/>
    </row>
    <row r="121" spans="5:6" x14ac:dyDescent="0.15">
      <c r="E121" s="246"/>
      <c r="F121" s="246"/>
    </row>
    <row r="122" spans="5:6" x14ac:dyDescent="0.15">
      <c r="E122" s="246"/>
      <c r="F122" s="246"/>
    </row>
    <row r="123" spans="5:6" x14ac:dyDescent="0.15">
      <c r="E123" s="246"/>
      <c r="F123" s="246"/>
    </row>
    <row r="124" spans="5:6" x14ac:dyDescent="0.15">
      <c r="E124" s="246"/>
      <c r="F124" s="246"/>
    </row>
    <row r="125" spans="5:6" x14ac:dyDescent="0.15">
      <c r="E125" s="246"/>
      <c r="F125" s="246"/>
    </row>
    <row r="126" spans="5:6" x14ac:dyDescent="0.15">
      <c r="E126" s="246"/>
      <c r="F126" s="246"/>
    </row>
    <row r="127" spans="5:6" x14ac:dyDescent="0.15">
      <c r="E127" s="246"/>
      <c r="F127" s="246"/>
    </row>
    <row r="128" spans="5:6" x14ac:dyDescent="0.15">
      <c r="E128" s="246"/>
      <c r="F128" s="246"/>
    </row>
    <row r="129" spans="5:6" x14ac:dyDescent="0.15">
      <c r="E129" s="246"/>
      <c r="F129" s="246"/>
    </row>
    <row r="130" spans="5:6" x14ac:dyDescent="0.15">
      <c r="E130" s="246"/>
      <c r="F130" s="246"/>
    </row>
    <row r="131" spans="5:6" x14ac:dyDescent="0.15">
      <c r="E131" s="246"/>
      <c r="F131" s="246"/>
    </row>
    <row r="132" spans="5:6" x14ac:dyDescent="0.15">
      <c r="E132" s="246"/>
      <c r="F132" s="246"/>
    </row>
    <row r="133" spans="5:6" x14ac:dyDescent="0.15">
      <c r="E133" s="246"/>
      <c r="F133" s="246"/>
    </row>
    <row r="134" spans="5:6" x14ac:dyDescent="0.15">
      <c r="E134" s="246"/>
      <c r="F134" s="246"/>
    </row>
    <row r="135" spans="5:6" x14ac:dyDescent="0.15">
      <c r="E135" s="246"/>
      <c r="F135" s="246"/>
    </row>
    <row r="136" spans="5:6" x14ac:dyDescent="0.15">
      <c r="E136" s="246"/>
      <c r="F136" s="246"/>
    </row>
    <row r="137" spans="5:6" x14ac:dyDescent="0.15">
      <c r="E137" s="246"/>
      <c r="F137" s="246"/>
    </row>
    <row r="138" spans="5:6" x14ac:dyDescent="0.15">
      <c r="E138" s="246"/>
      <c r="F138" s="246"/>
    </row>
    <row r="139" spans="5:6" x14ac:dyDescent="0.15">
      <c r="E139" s="246"/>
      <c r="F139" s="246"/>
    </row>
    <row r="140" spans="5:6" x14ac:dyDescent="0.15">
      <c r="E140" s="246"/>
      <c r="F140" s="246"/>
    </row>
    <row r="141" spans="5:6" x14ac:dyDescent="0.15">
      <c r="E141" s="246"/>
      <c r="F141" s="246"/>
    </row>
    <row r="142" spans="5:6" x14ac:dyDescent="0.15">
      <c r="E142" s="246"/>
      <c r="F142" s="246"/>
    </row>
    <row r="143" spans="5:6" x14ac:dyDescent="0.15">
      <c r="E143" s="246"/>
      <c r="F143" s="246"/>
    </row>
    <row r="144" spans="5:6" x14ac:dyDescent="0.15">
      <c r="E144" s="246"/>
      <c r="F144" s="246"/>
    </row>
    <row r="145" spans="5:6" x14ac:dyDescent="0.15">
      <c r="E145" s="246"/>
      <c r="F145" s="246"/>
    </row>
    <row r="146" spans="5:6" x14ac:dyDescent="0.15">
      <c r="E146" s="246"/>
      <c r="F146" s="246"/>
    </row>
    <row r="147" spans="5:6" x14ac:dyDescent="0.15">
      <c r="E147" s="246"/>
      <c r="F147" s="246"/>
    </row>
    <row r="148" spans="5:6" x14ac:dyDescent="0.15">
      <c r="E148" s="246"/>
      <c r="F148" s="246"/>
    </row>
    <row r="149" spans="5:6" x14ac:dyDescent="0.15">
      <c r="E149" s="246"/>
      <c r="F149" s="246"/>
    </row>
    <row r="150" spans="5:6" x14ac:dyDescent="0.15">
      <c r="E150" s="246"/>
      <c r="F150" s="246"/>
    </row>
    <row r="151" spans="5:6" x14ac:dyDescent="0.15">
      <c r="E151" s="246"/>
      <c r="F151" s="246"/>
    </row>
    <row r="152" spans="5:6" x14ac:dyDescent="0.15">
      <c r="E152" s="246"/>
      <c r="F152" s="246"/>
    </row>
    <row r="153" spans="5:6" x14ac:dyDescent="0.15">
      <c r="E153" s="246"/>
      <c r="F153" s="246"/>
    </row>
    <row r="154" spans="5:6" x14ac:dyDescent="0.15">
      <c r="E154" s="246"/>
      <c r="F154" s="246"/>
    </row>
    <row r="155" spans="5:6" x14ac:dyDescent="0.15">
      <c r="E155" s="246"/>
      <c r="F155" s="246"/>
    </row>
    <row r="156" spans="5:6" x14ac:dyDescent="0.15">
      <c r="E156" s="246"/>
      <c r="F156" s="246"/>
    </row>
    <row r="157" spans="5:6" x14ac:dyDescent="0.15">
      <c r="E157" s="246"/>
      <c r="F157" s="246"/>
    </row>
    <row r="158" spans="5:6" x14ac:dyDescent="0.15">
      <c r="E158" s="246"/>
      <c r="F158" s="246"/>
    </row>
    <row r="159" spans="5:6" x14ac:dyDescent="0.15">
      <c r="E159" s="246"/>
      <c r="F159" s="246"/>
    </row>
    <row r="160" spans="5:6" x14ac:dyDescent="0.15">
      <c r="E160" s="246"/>
      <c r="F160" s="246"/>
    </row>
    <row r="161" spans="5:6" x14ac:dyDescent="0.15">
      <c r="E161" s="246"/>
      <c r="F161" s="246"/>
    </row>
    <row r="162" spans="5:6" x14ac:dyDescent="0.15">
      <c r="E162" s="246"/>
      <c r="F162" s="246"/>
    </row>
    <row r="163" spans="5:6" x14ac:dyDescent="0.15">
      <c r="E163" s="246"/>
      <c r="F163" s="246"/>
    </row>
    <row r="164" spans="5:6" x14ac:dyDescent="0.15">
      <c r="E164" s="246"/>
      <c r="F164" s="246"/>
    </row>
    <row r="165" spans="5:6" x14ac:dyDescent="0.15">
      <c r="E165" s="246"/>
      <c r="F165" s="246"/>
    </row>
    <row r="166" spans="5:6" x14ac:dyDescent="0.15">
      <c r="E166" s="246"/>
      <c r="F166" s="246"/>
    </row>
    <row r="167" spans="5:6" x14ac:dyDescent="0.15">
      <c r="E167" s="246"/>
      <c r="F167" s="246"/>
    </row>
    <row r="168" spans="5:6" x14ac:dyDescent="0.15">
      <c r="E168" s="246"/>
      <c r="F168" s="246"/>
    </row>
    <row r="169" spans="5:6" x14ac:dyDescent="0.15">
      <c r="E169" s="246"/>
      <c r="F169" s="246"/>
    </row>
    <row r="170" spans="5:6" x14ac:dyDescent="0.15">
      <c r="E170" s="246"/>
      <c r="F170" s="246"/>
    </row>
    <row r="171" spans="5:6" x14ac:dyDescent="0.15">
      <c r="E171" s="246"/>
      <c r="F171" s="246"/>
    </row>
    <row r="172" spans="5:6" x14ac:dyDescent="0.15">
      <c r="E172" s="246"/>
      <c r="F172" s="246"/>
    </row>
    <row r="173" spans="5:6" x14ac:dyDescent="0.15">
      <c r="E173" s="246"/>
      <c r="F173" s="246"/>
    </row>
    <row r="174" spans="5:6" x14ac:dyDescent="0.15">
      <c r="E174" s="246"/>
      <c r="F174" s="246"/>
    </row>
    <row r="175" spans="5:6" x14ac:dyDescent="0.15">
      <c r="E175" s="246"/>
      <c r="F175" s="246"/>
    </row>
    <row r="176" spans="5:6" x14ac:dyDescent="0.15">
      <c r="E176" s="246"/>
      <c r="F176" s="246"/>
    </row>
    <row r="177" spans="5:6" x14ac:dyDescent="0.15">
      <c r="E177" s="246"/>
      <c r="F177" s="246"/>
    </row>
    <row r="178" spans="5:6" x14ac:dyDescent="0.15">
      <c r="E178" s="246"/>
      <c r="F178" s="246"/>
    </row>
    <row r="179" spans="5:6" x14ac:dyDescent="0.15">
      <c r="E179" s="246"/>
      <c r="F179" s="246"/>
    </row>
    <row r="180" spans="5:6" x14ac:dyDescent="0.15">
      <c r="E180" s="246"/>
      <c r="F180" s="246"/>
    </row>
    <row r="181" spans="5:6" x14ac:dyDescent="0.15">
      <c r="E181" s="246"/>
      <c r="F181" s="246"/>
    </row>
    <row r="182" spans="5:6" x14ac:dyDescent="0.15">
      <c r="E182" s="246"/>
      <c r="F182" s="246"/>
    </row>
    <row r="183" spans="5:6" x14ac:dyDescent="0.15">
      <c r="E183" s="246"/>
      <c r="F183" s="246"/>
    </row>
    <row r="184" spans="5:6" x14ac:dyDescent="0.15">
      <c r="E184" s="246"/>
      <c r="F184" s="246"/>
    </row>
    <row r="185" spans="5:6" x14ac:dyDescent="0.15">
      <c r="E185" s="246"/>
      <c r="F185" s="246"/>
    </row>
    <row r="186" spans="5:6" x14ac:dyDescent="0.15">
      <c r="E186" s="246"/>
      <c r="F186" s="246"/>
    </row>
    <row r="187" spans="5:6" x14ac:dyDescent="0.15">
      <c r="E187" s="246"/>
      <c r="F187" s="246"/>
    </row>
    <row r="188" spans="5:6" x14ac:dyDescent="0.15">
      <c r="E188" s="246"/>
      <c r="F188" s="246"/>
    </row>
    <row r="189" spans="5:6" x14ac:dyDescent="0.15">
      <c r="E189" s="246"/>
      <c r="F189" s="246"/>
    </row>
    <row r="190" spans="5:6" x14ac:dyDescent="0.15">
      <c r="E190" s="246"/>
      <c r="F190" s="246"/>
    </row>
    <row r="191" spans="5:6" x14ac:dyDescent="0.15">
      <c r="E191" s="246"/>
      <c r="F191" s="246"/>
    </row>
    <row r="192" spans="5:6" x14ac:dyDescent="0.15">
      <c r="E192" s="246"/>
      <c r="F192" s="246"/>
    </row>
    <row r="193" spans="5:6" x14ac:dyDescent="0.15">
      <c r="E193" s="246"/>
      <c r="F193" s="246"/>
    </row>
    <row r="194" spans="5:6" x14ac:dyDescent="0.15">
      <c r="E194" s="246"/>
      <c r="F194" s="246"/>
    </row>
    <row r="195" spans="5:6" x14ac:dyDescent="0.15">
      <c r="E195" s="246"/>
      <c r="F195" s="246"/>
    </row>
    <row r="196" spans="5:6" x14ac:dyDescent="0.15">
      <c r="E196" s="246"/>
      <c r="F196" s="246"/>
    </row>
    <row r="197" spans="5:6" x14ac:dyDescent="0.15">
      <c r="E197" s="246"/>
      <c r="F197" s="246"/>
    </row>
    <row r="198" spans="5:6" x14ac:dyDescent="0.15">
      <c r="E198" s="246"/>
      <c r="F198" s="246"/>
    </row>
    <row r="199" spans="5:6" x14ac:dyDescent="0.15">
      <c r="E199" s="246"/>
      <c r="F199" s="246"/>
    </row>
    <row r="200" spans="5:6" x14ac:dyDescent="0.15">
      <c r="E200" s="246"/>
      <c r="F200" s="246"/>
    </row>
    <row r="201" spans="5:6" x14ac:dyDescent="0.15">
      <c r="E201" s="246"/>
      <c r="F201" s="246"/>
    </row>
    <row r="202" spans="5:6" x14ac:dyDescent="0.15">
      <c r="E202" s="246"/>
      <c r="F202" s="246"/>
    </row>
    <row r="203" spans="5:6" x14ac:dyDescent="0.15">
      <c r="E203" s="246"/>
      <c r="F203" s="246"/>
    </row>
    <row r="204" spans="5:6" x14ac:dyDescent="0.15">
      <c r="E204" s="246"/>
      <c r="F204" s="246"/>
    </row>
    <row r="205" spans="5:6" x14ac:dyDescent="0.15">
      <c r="E205" s="246"/>
      <c r="F205" s="246"/>
    </row>
    <row r="206" spans="5:6" x14ac:dyDescent="0.15">
      <c r="E206" s="246"/>
      <c r="F206" s="246"/>
    </row>
    <row r="207" spans="5:6" x14ac:dyDescent="0.15">
      <c r="E207" s="246"/>
      <c r="F207" s="246"/>
    </row>
    <row r="208" spans="5:6" x14ac:dyDescent="0.15">
      <c r="E208" s="246"/>
      <c r="F208" s="246"/>
    </row>
    <row r="209" spans="5:6" x14ac:dyDescent="0.15">
      <c r="E209" s="246"/>
      <c r="F209" s="246"/>
    </row>
    <row r="210" spans="5:6" x14ac:dyDescent="0.15">
      <c r="E210" s="246"/>
      <c r="F210" s="246"/>
    </row>
    <row r="211" spans="5:6" x14ac:dyDescent="0.15">
      <c r="E211" s="246"/>
      <c r="F211" s="246"/>
    </row>
    <row r="212" spans="5:6" x14ac:dyDescent="0.15">
      <c r="E212" s="246"/>
      <c r="F212" s="246"/>
    </row>
    <row r="213" spans="5:6" x14ac:dyDescent="0.15">
      <c r="E213" s="246"/>
      <c r="F213" s="246"/>
    </row>
    <row r="214" spans="5:6" x14ac:dyDescent="0.15">
      <c r="E214" s="246"/>
      <c r="F214" s="246"/>
    </row>
    <row r="215" spans="5:6" x14ac:dyDescent="0.15">
      <c r="E215" s="246"/>
      <c r="F215" s="246"/>
    </row>
    <row r="216" spans="5:6" x14ac:dyDescent="0.15">
      <c r="E216" s="246"/>
      <c r="F216" s="246"/>
    </row>
    <row r="217" spans="5:6" x14ac:dyDescent="0.15">
      <c r="E217" s="246"/>
      <c r="F217" s="246"/>
    </row>
    <row r="218" spans="5:6" x14ac:dyDescent="0.15">
      <c r="E218" s="246"/>
      <c r="F218" s="246"/>
    </row>
    <row r="219" spans="5:6" x14ac:dyDescent="0.15">
      <c r="E219" s="246"/>
      <c r="F219" s="246"/>
    </row>
    <row r="220" spans="5:6" x14ac:dyDescent="0.15">
      <c r="E220" s="246"/>
      <c r="F220" s="246"/>
    </row>
    <row r="221" spans="5:6" x14ac:dyDescent="0.15">
      <c r="E221" s="246"/>
      <c r="F221" s="246"/>
    </row>
    <row r="222" spans="5:6" x14ac:dyDescent="0.15">
      <c r="E222" s="246"/>
      <c r="F222" s="246"/>
    </row>
    <row r="223" spans="5:6" x14ac:dyDescent="0.15">
      <c r="E223" s="246"/>
      <c r="F223" s="246"/>
    </row>
    <row r="224" spans="5:6" x14ac:dyDescent="0.15">
      <c r="E224" s="246"/>
      <c r="F224" s="246"/>
    </row>
    <row r="225" spans="5:6" x14ac:dyDescent="0.15">
      <c r="E225" s="246"/>
      <c r="F225" s="246"/>
    </row>
    <row r="226" spans="5:6" x14ac:dyDescent="0.15">
      <c r="E226" s="246"/>
      <c r="F226" s="246"/>
    </row>
    <row r="227" spans="5:6" x14ac:dyDescent="0.15">
      <c r="E227" s="246"/>
      <c r="F227" s="246"/>
    </row>
    <row r="228" spans="5:6" x14ac:dyDescent="0.15">
      <c r="E228" s="246"/>
      <c r="F228" s="246"/>
    </row>
    <row r="229" spans="5:6" x14ac:dyDescent="0.15">
      <c r="E229" s="246"/>
      <c r="F229" s="246"/>
    </row>
    <row r="230" spans="5:6" x14ac:dyDescent="0.15">
      <c r="E230" s="246"/>
      <c r="F230" s="246"/>
    </row>
    <row r="231" spans="5:6" x14ac:dyDescent="0.15">
      <c r="E231" s="246"/>
      <c r="F231" s="246"/>
    </row>
    <row r="232" spans="5:6" x14ac:dyDescent="0.15">
      <c r="E232" s="246"/>
      <c r="F232" s="246"/>
    </row>
    <row r="233" spans="5:6" x14ac:dyDescent="0.15">
      <c r="E233" s="246"/>
      <c r="F233" s="246"/>
    </row>
    <row r="234" spans="5:6" x14ac:dyDescent="0.15">
      <c r="E234" s="246"/>
      <c r="F234" s="246"/>
    </row>
    <row r="235" spans="5:6" x14ac:dyDescent="0.15">
      <c r="E235" s="246"/>
      <c r="F235" s="246"/>
    </row>
    <row r="236" spans="5:6" x14ac:dyDescent="0.15">
      <c r="E236" s="246"/>
      <c r="F236" s="246"/>
    </row>
    <row r="237" spans="5:6" x14ac:dyDescent="0.15">
      <c r="E237" s="246"/>
      <c r="F237" s="246"/>
    </row>
    <row r="238" spans="5:6" x14ac:dyDescent="0.15">
      <c r="E238" s="246"/>
      <c r="F238" s="246"/>
    </row>
    <row r="239" spans="5:6" x14ac:dyDescent="0.15">
      <c r="E239" s="246"/>
      <c r="F239" s="246"/>
    </row>
    <row r="240" spans="5:6" x14ac:dyDescent="0.15">
      <c r="E240" s="246"/>
      <c r="F240" s="246"/>
    </row>
    <row r="241" spans="5:6" x14ac:dyDescent="0.15">
      <c r="E241" s="246"/>
      <c r="F241" s="246"/>
    </row>
    <row r="242" spans="5:6" x14ac:dyDescent="0.15">
      <c r="E242" s="246"/>
      <c r="F242" s="246"/>
    </row>
    <row r="243" spans="5:6" x14ac:dyDescent="0.15">
      <c r="E243" s="246"/>
      <c r="F243" s="246"/>
    </row>
    <row r="244" spans="5:6" x14ac:dyDescent="0.15">
      <c r="E244" s="246"/>
      <c r="F244" s="246"/>
    </row>
    <row r="245" spans="5:6" x14ac:dyDescent="0.15">
      <c r="E245" s="246"/>
      <c r="F245" s="246"/>
    </row>
    <row r="246" spans="5:6" x14ac:dyDescent="0.15">
      <c r="E246" s="246"/>
      <c r="F246" s="246"/>
    </row>
    <row r="247" spans="5:6" x14ac:dyDescent="0.15">
      <c r="E247" s="246"/>
      <c r="F247" s="246"/>
    </row>
    <row r="248" spans="5:6" x14ac:dyDescent="0.15">
      <c r="E248" s="246"/>
      <c r="F248" s="246"/>
    </row>
    <row r="249" spans="5:6" x14ac:dyDescent="0.15">
      <c r="E249" s="246"/>
      <c r="F249" s="246"/>
    </row>
    <row r="250" spans="5:6" x14ac:dyDescent="0.15">
      <c r="E250" s="246"/>
      <c r="F250" s="246"/>
    </row>
    <row r="251" spans="5:6" x14ac:dyDescent="0.15">
      <c r="E251" s="246"/>
      <c r="F251" s="246"/>
    </row>
    <row r="252" spans="5:6" x14ac:dyDescent="0.15">
      <c r="E252" s="246"/>
      <c r="F252" s="246"/>
    </row>
    <row r="253" spans="5:6" x14ac:dyDescent="0.15">
      <c r="E253" s="246"/>
      <c r="F253" s="246"/>
    </row>
    <row r="254" spans="5:6" x14ac:dyDescent="0.15">
      <c r="E254" s="246"/>
      <c r="F254" s="246"/>
    </row>
    <row r="255" spans="5:6" x14ac:dyDescent="0.15">
      <c r="E255" s="246"/>
      <c r="F255" s="246"/>
    </row>
    <row r="256" spans="5:6" x14ac:dyDescent="0.15">
      <c r="E256" s="246"/>
      <c r="F256" s="246"/>
    </row>
    <row r="257" spans="5:6" x14ac:dyDescent="0.15">
      <c r="E257" s="246"/>
      <c r="F257" s="246"/>
    </row>
    <row r="258" spans="5:6" x14ac:dyDescent="0.15">
      <c r="E258" s="246"/>
      <c r="F258" s="246"/>
    </row>
    <row r="259" spans="5:6" x14ac:dyDescent="0.15">
      <c r="E259" s="246"/>
      <c r="F259" s="246"/>
    </row>
    <row r="260" spans="5:6" x14ac:dyDescent="0.15">
      <c r="E260" s="246"/>
      <c r="F260" s="246"/>
    </row>
    <row r="261" spans="5:6" x14ac:dyDescent="0.15">
      <c r="E261" s="246"/>
      <c r="F261" s="246"/>
    </row>
    <row r="262" spans="5:6" x14ac:dyDescent="0.15">
      <c r="E262" s="246"/>
      <c r="F262" s="246"/>
    </row>
    <row r="263" spans="5:6" x14ac:dyDescent="0.15">
      <c r="E263" s="246"/>
      <c r="F263" s="246"/>
    </row>
    <row r="264" spans="5:6" x14ac:dyDescent="0.15">
      <c r="E264" s="246"/>
      <c r="F264" s="246"/>
    </row>
    <row r="265" spans="5:6" x14ac:dyDescent="0.15">
      <c r="E265" s="246"/>
      <c r="F265" s="246"/>
    </row>
    <row r="266" spans="5:6" x14ac:dyDescent="0.15">
      <c r="E266" s="246"/>
      <c r="F266" s="246"/>
    </row>
    <row r="267" spans="5:6" x14ac:dyDescent="0.15">
      <c r="E267" s="246"/>
      <c r="F267" s="246"/>
    </row>
    <row r="268" spans="5:6" x14ac:dyDescent="0.15">
      <c r="E268" s="246"/>
      <c r="F268" s="246"/>
    </row>
    <row r="269" spans="5:6" x14ac:dyDescent="0.15">
      <c r="E269" s="246"/>
      <c r="F269" s="246"/>
    </row>
    <row r="270" spans="5:6" x14ac:dyDescent="0.15">
      <c r="E270" s="246"/>
      <c r="F270" s="246"/>
    </row>
    <row r="271" spans="5:6" x14ac:dyDescent="0.15">
      <c r="E271" s="246"/>
      <c r="F271" s="246"/>
    </row>
    <row r="272" spans="5:6" x14ac:dyDescent="0.15">
      <c r="E272" s="246"/>
      <c r="F272" s="246"/>
    </row>
    <row r="273" spans="5:6" x14ac:dyDescent="0.15">
      <c r="E273" s="246"/>
      <c r="F273" s="246"/>
    </row>
    <row r="274" spans="5:6" x14ac:dyDescent="0.15">
      <c r="E274" s="246"/>
      <c r="F274" s="246"/>
    </row>
    <row r="275" spans="5:6" x14ac:dyDescent="0.15">
      <c r="E275" s="246"/>
      <c r="F275" s="246"/>
    </row>
    <row r="276" spans="5:6" x14ac:dyDescent="0.15">
      <c r="E276" s="246"/>
      <c r="F276" s="246"/>
    </row>
    <row r="277" spans="5:6" x14ac:dyDescent="0.15">
      <c r="E277" s="246"/>
      <c r="F277" s="246"/>
    </row>
    <row r="278" spans="5:6" x14ac:dyDescent="0.15">
      <c r="E278" s="246"/>
      <c r="F278" s="246"/>
    </row>
    <row r="279" spans="5:6" x14ac:dyDescent="0.15">
      <c r="E279" s="246"/>
      <c r="F279" s="246"/>
    </row>
    <row r="280" spans="5:6" x14ac:dyDescent="0.15">
      <c r="E280" s="246"/>
      <c r="F280" s="246"/>
    </row>
    <row r="281" spans="5:6" x14ac:dyDescent="0.15">
      <c r="E281" s="246"/>
      <c r="F281" s="246"/>
    </row>
    <row r="282" spans="5:6" x14ac:dyDescent="0.15">
      <c r="E282" s="246"/>
      <c r="F282" s="246"/>
    </row>
    <row r="283" spans="5:6" x14ac:dyDescent="0.15">
      <c r="E283" s="246"/>
      <c r="F283" s="246"/>
    </row>
    <row r="284" spans="5:6" x14ac:dyDescent="0.15">
      <c r="E284" s="246"/>
      <c r="F284" s="246"/>
    </row>
    <row r="285" spans="5:6" x14ac:dyDescent="0.15">
      <c r="E285" s="246"/>
      <c r="F285" s="246"/>
    </row>
    <row r="286" spans="5:6" x14ac:dyDescent="0.15">
      <c r="E286" s="246"/>
      <c r="F286" s="246"/>
    </row>
    <row r="287" spans="5:6" x14ac:dyDescent="0.15">
      <c r="E287" s="246"/>
      <c r="F287" s="246"/>
    </row>
    <row r="288" spans="5:6" x14ac:dyDescent="0.15">
      <c r="E288" s="246"/>
      <c r="F288" s="246"/>
    </row>
    <row r="289" spans="5:6" x14ac:dyDescent="0.15">
      <c r="E289" s="246"/>
      <c r="F289" s="246"/>
    </row>
    <row r="290" spans="5:6" x14ac:dyDescent="0.15">
      <c r="E290" s="246"/>
      <c r="F290" s="246"/>
    </row>
    <row r="291" spans="5:6" x14ac:dyDescent="0.15">
      <c r="E291" s="246"/>
      <c r="F291" s="246"/>
    </row>
    <row r="292" spans="5:6" x14ac:dyDescent="0.15">
      <c r="E292" s="246"/>
      <c r="F292" s="246"/>
    </row>
    <row r="293" spans="5:6" x14ac:dyDescent="0.15">
      <c r="E293" s="246"/>
      <c r="F293" s="246"/>
    </row>
    <row r="294" spans="5:6" x14ac:dyDescent="0.15">
      <c r="E294" s="246"/>
      <c r="F294" s="246"/>
    </row>
    <row r="295" spans="5:6" x14ac:dyDescent="0.15">
      <c r="E295" s="246"/>
      <c r="F295" s="246"/>
    </row>
    <row r="296" spans="5:6" x14ac:dyDescent="0.15">
      <c r="E296" s="246"/>
      <c r="F296" s="246"/>
    </row>
    <row r="297" spans="5:6" x14ac:dyDescent="0.15">
      <c r="E297" s="246"/>
      <c r="F297" s="246"/>
    </row>
    <row r="298" spans="5:6" x14ac:dyDescent="0.15">
      <c r="E298" s="246"/>
      <c r="F298" s="246"/>
    </row>
    <row r="299" spans="5:6" x14ac:dyDescent="0.15">
      <c r="E299" s="246"/>
      <c r="F299" s="246"/>
    </row>
    <row r="300" spans="5:6" x14ac:dyDescent="0.15">
      <c r="E300" s="246"/>
      <c r="F300" s="246"/>
    </row>
    <row r="301" spans="5:6" x14ac:dyDescent="0.15">
      <c r="E301" s="246"/>
      <c r="F301" s="246"/>
    </row>
    <row r="302" spans="5:6" x14ac:dyDescent="0.15">
      <c r="E302" s="246"/>
      <c r="F302" s="246"/>
    </row>
    <row r="303" spans="5:6" x14ac:dyDescent="0.15">
      <c r="E303" s="246"/>
      <c r="F303" s="246"/>
    </row>
    <row r="304" spans="5:6" x14ac:dyDescent="0.15">
      <c r="E304" s="246"/>
      <c r="F304" s="246"/>
    </row>
    <row r="305" spans="5:6" x14ac:dyDescent="0.15">
      <c r="E305" s="246"/>
      <c r="F305" s="246"/>
    </row>
    <row r="306" spans="5:6" x14ac:dyDescent="0.15">
      <c r="E306" s="246"/>
      <c r="F306" s="246"/>
    </row>
    <row r="307" spans="5:6" x14ac:dyDescent="0.15">
      <c r="E307" s="246"/>
      <c r="F307" s="246"/>
    </row>
    <row r="308" spans="5:6" x14ac:dyDescent="0.15">
      <c r="E308" s="246"/>
      <c r="F308" s="246"/>
    </row>
    <row r="309" spans="5:6" x14ac:dyDescent="0.15">
      <c r="E309" s="246"/>
      <c r="F309" s="246"/>
    </row>
    <row r="310" spans="5:6" x14ac:dyDescent="0.15">
      <c r="E310" s="246"/>
      <c r="F310" s="246"/>
    </row>
    <row r="311" spans="5:6" x14ac:dyDescent="0.15">
      <c r="E311" s="246"/>
      <c r="F311" s="246"/>
    </row>
    <row r="312" spans="5:6" x14ac:dyDescent="0.15">
      <c r="E312" s="246"/>
      <c r="F312" s="246"/>
    </row>
    <row r="313" spans="5:6" x14ac:dyDescent="0.15">
      <c r="E313" s="246"/>
      <c r="F313" s="246"/>
    </row>
    <row r="314" spans="5:6" x14ac:dyDescent="0.15">
      <c r="E314" s="246"/>
      <c r="F314" s="246"/>
    </row>
    <row r="315" spans="5:6" x14ac:dyDescent="0.15">
      <c r="E315" s="246"/>
      <c r="F315" s="246"/>
    </row>
    <row r="316" spans="5:6" x14ac:dyDescent="0.15">
      <c r="E316" s="246"/>
      <c r="F316" s="246"/>
    </row>
    <row r="317" spans="5:6" x14ac:dyDescent="0.15">
      <c r="E317" s="246"/>
      <c r="F317" s="246"/>
    </row>
    <row r="318" spans="5:6" x14ac:dyDescent="0.15">
      <c r="E318" s="246"/>
      <c r="F318" s="246"/>
    </row>
    <row r="319" spans="5:6" x14ac:dyDescent="0.15">
      <c r="E319" s="246"/>
      <c r="F319" s="246"/>
    </row>
    <row r="320" spans="5:6" x14ac:dyDescent="0.15">
      <c r="E320" s="246"/>
      <c r="F320" s="246"/>
    </row>
    <row r="321" spans="5:6" x14ac:dyDescent="0.15">
      <c r="E321" s="246"/>
      <c r="F321" s="246"/>
    </row>
    <row r="322" spans="5:6" x14ac:dyDescent="0.15">
      <c r="E322" s="246"/>
      <c r="F322" s="246"/>
    </row>
    <row r="323" spans="5:6" x14ac:dyDescent="0.15">
      <c r="E323" s="246"/>
      <c r="F323" s="246"/>
    </row>
    <row r="324" spans="5:6" x14ac:dyDescent="0.15">
      <c r="E324" s="246"/>
      <c r="F324" s="246"/>
    </row>
    <row r="325" spans="5:6" x14ac:dyDescent="0.15">
      <c r="E325" s="246"/>
      <c r="F325" s="246"/>
    </row>
    <row r="326" spans="5:6" x14ac:dyDescent="0.15">
      <c r="E326" s="246"/>
      <c r="F326" s="246"/>
    </row>
    <row r="327" spans="5:6" x14ac:dyDescent="0.15">
      <c r="E327" s="246"/>
      <c r="F327" s="246"/>
    </row>
    <row r="328" spans="5:6" x14ac:dyDescent="0.15">
      <c r="E328" s="246"/>
      <c r="F328" s="246"/>
    </row>
    <row r="329" spans="5:6" x14ac:dyDescent="0.15">
      <c r="E329" s="246"/>
      <c r="F329" s="246"/>
    </row>
    <row r="330" spans="5:6" x14ac:dyDescent="0.15">
      <c r="E330" s="246"/>
      <c r="F330" s="246"/>
    </row>
    <row r="331" spans="5:6" x14ac:dyDescent="0.15">
      <c r="E331" s="246"/>
      <c r="F331" s="246"/>
    </row>
    <row r="332" spans="5:6" x14ac:dyDescent="0.15">
      <c r="E332" s="246"/>
      <c r="F332" s="246"/>
    </row>
    <row r="333" spans="5:6" x14ac:dyDescent="0.15">
      <c r="E333" s="246"/>
      <c r="F333" s="246"/>
    </row>
    <row r="334" spans="5:6" x14ac:dyDescent="0.15">
      <c r="E334" s="246"/>
      <c r="F334" s="246"/>
    </row>
    <row r="335" spans="5:6" x14ac:dyDescent="0.15">
      <c r="E335" s="246"/>
      <c r="F335" s="246"/>
    </row>
    <row r="336" spans="5:6" x14ac:dyDescent="0.15">
      <c r="E336" s="246"/>
      <c r="F336" s="246"/>
    </row>
    <row r="337" spans="5:6" x14ac:dyDescent="0.15">
      <c r="E337" s="246"/>
      <c r="F337" s="246"/>
    </row>
    <row r="338" spans="5:6" x14ac:dyDescent="0.15">
      <c r="E338" s="246"/>
      <c r="F338" s="246"/>
    </row>
    <row r="339" spans="5:6" x14ac:dyDescent="0.15">
      <c r="E339" s="246"/>
      <c r="F339" s="246"/>
    </row>
    <row r="340" spans="5:6" x14ac:dyDescent="0.15">
      <c r="E340" s="246"/>
      <c r="F340" s="246"/>
    </row>
    <row r="341" spans="5:6" x14ac:dyDescent="0.15">
      <c r="E341" s="246"/>
      <c r="F341" s="246"/>
    </row>
    <row r="342" spans="5:6" x14ac:dyDescent="0.15">
      <c r="E342" s="246"/>
      <c r="F342" s="246"/>
    </row>
    <row r="343" spans="5:6" x14ac:dyDescent="0.15">
      <c r="E343" s="246"/>
      <c r="F343" s="246"/>
    </row>
    <row r="344" spans="5:6" x14ac:dyDescent="0.15">
      <c r="E344" s="246"/>
      <c r="F344" s="246"/>
    </row>
    <row r="345" spans="5:6" x14ac:dyDescent="0.15">
      <c r="E345" s="246"/>
      <c r="F345" s="246"/>
    </row>
    <row r="346" spans="5:6" x14ac:dyDescent="0.15">
      <c r="E346" s="246"/>
      <c r="F346" s="246"/>
    </row>
    <row r="347" spans="5:6" x14ac:dyDescent="0.15">
      <c r="E347" s="246"/>
      <c r="F347" s="246"/>
    </row>
    <row r="348" spans="5:6" x14ac:dyDescent="0.15">
      <c r="E348" s="246"/>
      <c r="F348" s="246"/>
    </row>
    <row r="349" spans="5:6" x14ac:dyDescent="0.15">
      <c r="E349" s="246"/>
      <c r="F349" s="246"/>
    </row>
    <row r="350" spans="5:6" x14ac:dyDescent="0.15">
      <c r="E350" s="246"/>
      <c r="F350" s="246"/>
    </row>
    <row r="351" spans="5:6" x14ac:dyDescent="0.15">
      <c r="E351" s="246"/>
      <c r="F351" s="246"/>
    </row>
    <row r="352" spans="5:6" x14ac:dyDescent="0.15">
      <c r="E352" s="246"/>
      <c r="F352" s="246"/>
    </row>
    <row r="353" spans="5:6" x14ac:dyDescent="0.15">
      <c r="E353" s="246"/>
      <c r="F353" s="246"/>
    </row>
    <row r="354" spans="5:6" x14ac:dyDescent="0.15">
      <c r="E354" s="246"/>
      <c r="F354" s="246"/>
    </row>
    <row r="355" spans="5:6" x14ac:dyDescent="0.15">
      <c r="E355" s="246"/>
      <c r="F355" s="246"/>
    </row>
    <row r="356" spans="5:6" x14ac:dyDescent="0.15">
      <c r="E356" s="246"/>
      <c r="F356" s="246"/>
    </row>
    <row r="357" spans="5:6" x14ac:dyDescent="0.15">
      <c r="E357" s="246"/>
      <c r="F357" s="246"/>
    </row>
    <row r="358" spans="5:6" x14ac:dyDescent="0.15">
      <c r="E358" s="246"/>
      <c r="F358" s="246"/>
    </row>
    <row r="359" spans="5:6" x14ac:dyDescent="0.15">
      <c r="E359" s="246"/>
      <c r="F359" s="246"/>
    </row>
    <row r="360" spans="5:6" x14ac:dyDescent="0.15">
      <c r="E360" s="246"/>
      <c r="F360" s="246"/>
    </row>
    <row r="361" spans="5:6" x14ac:dyDescent="0.15">
      <c r="E361" s="246"/>
      <c r="F361" s="246"/>
    </row>
    <row r="362" spans="5:6" x14ac:dyDescent="0.15">
      <c r="E362" s="246"/>
      <c r="F362" s="246"/>
    </row>
    <row r="363" spans="5:6" x14ac:dyDescent="0.15">
      <c r="E363" s="246"/>
      <c r="F363" s="246"/>
    </row>
    <row r="364" spans="5:6" x14ac:dyDescent="0.15">
      <c r="E364" s="246"/>
      <c r="F364" s="246"/>
    </row>
    <row r="365" spans="5:6" x14ac:dyDescent="0.15">
      <c r="E365" s="246"/>
      <c r="F365" s="246"/>
    </row>
    <row r="366" spans="5:6" x14ac:dyDescent="0.15">
      <c r="E366" s="246"/>
      <c r="F366" s="246"/>
    </row>
    <row r="367" spans="5:6" x14ac:dyDescent="0.15">
      <c r="E367" s="246"/>
      <c r="F367" s="246"/>
    </row>
    <row r="368" spans="5:6" x14ac:dyDescent="0.15">
      <c r="E368" s="246"/>
      <c r="F368" s="246"/>
    </row>
    <row r="369" spans="5:6" x14ac:dyDescent="0.15">
      <c r="E369" s="246"/>
      <c r="F369" s="246"/>
    </row>
    <row r="370" spans="5:6" x14ac:dyDescent="0.15">
      <c r="E370" s="246"/>
      <c r="F370" s="246"/>
    </row>
    <row r="371" spans="5:6" x14ac:dyDescent="0.15">
      <c r="E371" s="246"/>
      <c r="F371" s="246"/>
    </row>
    <row r="372" spans="5:6" x14ac:dyDescent="0.15">
      <c r="E372" s="246"/>
      <c r="F372" s="246"/>
    </row>
    <row r="373" spans="5:6" x14ac:dyDescent="0.15">
      <c r="E373" s="246"/>
      <c r="F373" s="246"/>
    </row>
    <row r="374" spans="5:6" x14ac:dyDescent="0.15">
      <c r="E374" s="246"/>
      <c r="F374" s="246"/>
    </row>
    <row r="375" spans="5:6" x14ac:dyDescent="0.15">
      <c r="E375" s="246"/>
      <c r="F375" s="246"/>
    </row>
    <row r="376" spans="5:6" x14ac:dyDescent="0.15">
      <c r="E376" s="246"/>
      <c r="F376" s="246"/>
    </row>
    <row r="377" spans="5:6" x14ac:dyDescent="0.15">
      <c r="E377" s="246"/>
      <c r="F377" s="246"/>
    </row>
    <row r="378" spans="5:6" x14ac:dyDescent="0.15">
      <c r="E378" s="246"/>
      <c r="F378" s="246"/>
    </row>
    <row r="379" spans="5:6" x14ac:dyDescent="0.15">
      <c r="E379" s="246"/>
      <c r="F379" s="246"/>
    </row>
    <row r="380" spans="5:6" x14ac:dyDescent="0.15">
      <c r="E380" s="246"/>
      <c r="F380" s="246"/>
    </row>
    <row r="381" spans="5:6" x14ac:dyDescent="0.15">
      <c r="E381" s="246"/>
      <c r="F381" s="246"/>
    </row>
    <row r="382" spans="5:6" x14ac:dyDescent="0.15">
      <c r="E382" s="246"/>
      <c r="F382" s="246"/>
    </row>
    <row r="383" spans="5:6" x14ac:dyDescent="0.15">
      <c r="E383" s="246"/>
      <c r="F383" s="246"/>
    </row>
    <row r="384" spans="5:6" x14ac:dyDescent="0.15">
      <c r="E384" s="246"/>
      <c r="F384" s="246"/>
    </row>
    <row r="385" spans="5:6" x14ac:dyDescent="0.15">
      <c r="E385" s="246"/>
      <c r="F385" s="246"/>
    </row>
    <row r="386" spans="5:6" x14ac:dyDescent="0.15">
      <c r="E386" s="246"/>
      <c r="F386" s="246"/>
    </row>
    <row r="387" spans="5:6" x14ac:dyDescent="0.15">
      <c r="E387" s="246"/>
      <c r="F387" s="246"/>
    </row>
    <row r="388" spans="5:6" x14ac:dyDescent="0.15">
      <c r="E388" s="246"/>
      <c r="F388" s="246"/>
    </row>
    <row r="389" spans="5:6" x14ac:dyDescent="0.15">
      <c r="E389" s="246"/>
      <c r="F389" s="246"/>
    </row>
    <row r="390" spans="5:6" x14ac:dyDescent="0.15">
      <c r="E390" s="246"/>
      <c r="F390" s="246"/>
    </row>
    <row r="391" spans="5:6" x14ac:dyDescent="0.15">
      <c r="E391" s="246"/>
      <c r="F391" s="246"/>
    </row>
    <row r="392" spans="5:6" x14ac:dyDescent="0.15">
      <c r="E392" s="246"/>
      <c r="F392" s="246"/>
    </row>
    <row r="393" spans="5:6" x14ac:dyDescent="0.15">
      <c r="E393" s="246"/>
      <c r="F393" s="246"/>
    </row>
    <row r="394" spans="5:6" x14ac:dyDescent="0.15">
      <c r="E394" s="246"/>
      <c r="F394" s="246"/>
    </row>
    <row r="395" spans="5:6" x14ac:dyDescent="0.15">
      <c r="E395" s="246"/>
      <c r="F395" s="246"/>
    </row>
    <row r="396" spans="5:6" x14ac:dyDescent="0.15">
      <c r="E396" s="246"/>
      <c r="F396" s="246"/>
    </row>
    <row r="397" spans="5:6" x14ac:dyDescent="0.15">
      <c r="E397" s="246"/>
      <c r="F397" s="246"/>
    </row>
    <row r="398" spans="5:6" x14ac:dyDescent="0.15">
      <c r="E398" s="246"/>
      <c r="F398" s="246"/>
    </row>
    <row r="399" spans="5:6" x14ac:dyDescent="0.15">
      <c r="E399" s="246"/>
      <c r="F399" s="246"/>
    </row>
    <row r="400" spans="5:6" x14ac:dyDescent="0.15">
      <c r="E400" s="246"/>
      <c r="F400" s="246"/>
    </row>
    <row r="401" spans="5:6" x14ac:dyDescent="0.15">
      <c r="E401" s="246"/>
      <c r="F401" s="246"/>
    </row>
    <row r="402" spans="5:6" x14ac:dyDescent="0.15">
      <c r="E402" s="246"/>
      <c r="F402" s="246"/>
    </row>
    <row r="403" spans="5:6" x14ac:dyDescent="0.15">
      <c r="E403" s="246"/>
      <c r="F403" s="246"/>
    </row>
    <row r="404" spans="5:6" x14ac:dyDescent="0.15">
      <c r="E404" s="246"/>
      <c r="F404" s="246"/>
    </row>
    <row r="405" spans="5:6" x14ac:dyDescent="0.15">
      <c r="E405" s="246"/>
      <c r="F405" s="246"/>
    </row>
    <row r="406" spans="5:6" x14ac:dyDescent="0.15">
      <c r="E406" s="246"/>
      <c r="F406" s="246"/>
    </row>
    <row r="407" spans="5:6" x14ac:dyDescent="0.15">
      <c r="E407" s="246"/>
      <c r="F407" s="246"/>
    </row>
    <row r="408" spans="5:6" x14ac:dyDescent="0.15">
      <c r="E408" s="246"/>
      <c r="F408" s="246"/>
    </row>
    <row r="409" spans="5:6" x14ac:dyDescent="0.15">
      <c r="E409" s="246"/>
      <c r="F409" s="246"/>
    </row>
    <row r="410" spans="5:6" x14ac:dyDescent="0.15">
      <c r="E410" s="246"/>
      <c r="F410" s="246"/>
    </row>
    <row r="411" spans="5:6" x14ac:dyDescent="0.15">
      <c r="E411" s="246"/>
      <c r="F411" s="246"/>
    </row>
    <row r="412" spans="5:6" x14ac:dyDescent="0.15">
      <c r="E412" s="246"/>
      <c r="F412" s="246"/>
    </row>
    <row r="413" spans="5:6" x14ac:dyDescent="0.15">
      <c r="E413" s="246"/>
      <c r="F413" s="246"/>
    </row>
    <row r="414" spans="5:6" x14ac:dyDescent="0.15">
      <c r="E414" s="246"/>
      <c r="F414" s="246"/>
    </row>
    <row r="415" spans="5:6" x14ac:dyDescent="0.15">
      <c r="E415" s="246"/>
      <c r="F415" s="246"/>
    </row>
    <row r="416" spans="5:6" x14ac:dyDescent="0.15">
      <c r="E416" s="246"/>
      <c r="F416" s="246"/>
    </row>
    <row r="417" spans="5:6" x14ac:dyDescent="0.15">
      <c r="E417" s="246"/>
      <c r="F417" s="246"/>
    </row>
    <row r="418" spans="5:6" x14ac:dyDescent="0.15">
      <c r="E418" s="246"/>
      <c r="F418" s="246"/>
    </row>
    <row r="419" spans="5:6" x14ac:dyDescent="0.15">
      <c r="E419" s="246"/>
      <c r="F419" s="246"/>
    </row>
    <row r="420" spans="5:6" x14ac:dyDescent="0.15">
      <c r="E420" s="246"/>
      <c r="F420" s="246"/>
    </row>
    <row r="421" spans="5:6" x14ac:dyDescent="0.15">
      <c r="E421" s="246"/>
      <c r="F421" s="246"/>
    </row>
    <row r="422" spans="5:6" x14ac:dyDescent="0.15">
      <c r="E422" s="246"/>
      <c r="F422" s="246"/>
    </row>
    <row r="423" spans="5:6" x14ac:dyDescent="0.15">
      <c r="E423" s="246"/>
      <c r="F423" s="246"/>
    </row>
    <row r="424" spans="5:6" x14ac:dyDescent="0.15">
      <c r="E424" s="246"/>
      <c r="F424" s="246"/>
    </row>
    <row r="425" spans="5:6" x14ac:dyDescent="0.15">
      <c r="E425" s="246"/>
      <c r="F425" s="246"/>
    </row>
    <row r="426" spans="5:6" x14ac:dyDescent="0.15">
      <c r="E426" s="246"/>
      <c r="F426" s="246"/>
    </row>
    <row r="427" spans="5:6" x14ac:dyDescent="0.15">
      <c r="E427" s="246"/>
      <c r="F427" s="246"/>
    </row>
    <row r="428" spans="5:6" x14ac:dyDescent="0.15">
      <c r="E428" s="246"/>
      <c r="F428" s="246"/>
    </row>
    <row r="429" spans="5:6" x14ac:dyDescent="0.15">
      <c r="E429" s="246"/>
      <c r="F429" s="246"/>
    </row>
    <row r="430" spans="5:6" x14ac:dyDescent="0.15">
      <c r="E430" s="246"/>
      <c r="F430" s="246"/>
    </row>
    <row r="431" spans="5:6" x14ac:dyDescent="0.15">
      <c r="E431" s="246"/>
      <c r="F431" s="246"/>
    </row>
    <row r="432" spans="5:6" x14ac:dyDescent="0.15">
      <c r="E432" s="246"/>
      <c r="F432" s="246"/>
    </row>
    <row r="433" spans="5:6" x14ac:dyDescent="0.15">
      <c r="E433" s="246"/>
      <c r="F433" s="246"/>
    </row>
    <row r="434" spans="5:6" x14ac:dyDescent="0.15">
      <c r="E434" s="246"/>
      <c r="F434" s="246"/>
    </row>
    <row r="435" spans="5:6" x14ac:dyDescent="0.15">
      <c r="E435" s="246"/>
      <c r="F435" s="246"/>
    </row>
    <row r="436" spans="5:6" x14ac:dyDescent="0.15">
      <c r="E436" s="246"/>
      <c r="F436" s="246"/>
    </row>
    <row r="437" spans="5:6" x14ac:dyDescent="0.15">
      <c r="E437" s="246"/>
      <c r="F437" s="246"/>
    </row>
    <row r="438" spans="5:6" x14ac:dyDescent="0.15">
      <c r="E438" s="246"/>
      <c r="F438" s="246"/>
    </row>
    <row r="439" spans="5:6" x14ac:dyDescent="0.15">
      <c r="E439" s="246"/>
      <c r="F439" s="246"/>
    </row>
    <row r="440" spans="5:6" x14ac:dyDescent="0.15">
      <c r="E440" s="246"/>
      <c r="F440" s="246"/>
    </row>
    <row r="441" spans="5:6" x14ac:dyDescent="0.15">
      <c r="E441" s="246"/>
      <c r="F441" s="246"/>
    </row>
    <row r="442" spans="5:6" x14ac:dyDescent="0.15">
      <c r="E442" s="246"/>
      <c r="F442" s="246"/>
    </row>
    <row r="443" spans="5:6" x14ac:dyDescent="0.15">
      <c r="E443" s="246"/>
      <c r="F443" s="246"/>
    </row>
    <row r="444" spans="5:6" x14ac:dyDescent="0.15">
      <c r="E444" s="246"/>
      <c r="F444" s="246"/>
    </row>
    <row r="445" spans="5:6" x14ac:dyDescent="0.15">
      <c r="E445" s="246"/>
      <c r="F445" s="246"/>
    </row>
    <row r="446" spans="5:6" x14ac:dyDescent="0.15">
      <c r="E446" s="246"/>
      <c r="F446" s="246"/>
    </row>
    <row r="447" spans="5:6" x14ac:dyDescent="0.15">
      <c r="E447" s="246"/>
      <c r="F447" s="246"/>
    </row>
    <row r="448" spans="5:6" x14ac:dyDescent="0.15">
      <c r="E448" s="246"/>
      <c r="F448" s="246"/>
    </row>
    <row r="449" spans="5:6" x14ac:dyDescent="0.15">
      <c r="E449" s="246"/>
      <c r="F449" s="246"/>
    </row>
    <row r="450" spans="5:6" x14ac:dyDescent="0.15">
      <c r="E450" s="246"/>
      <c r="F450" s="246"/>
    </row>
    <row r="451" spans="5:6" x14ac:dyDescent="0.15">
      <c r="E451" s="246"/>
      <c r="F451" s="246"/>
    </row>
    <row r="452" spans="5:6" x14ac:dyDescent="0.15">
      <c r="E452" s="246"/>
      <c r="F452" s="246"/>
    </row>
    <row r="453" spans="5:6" x14ac:dyDescent="0.15">
      <c r="E453" s="246"/>
      <c r="F453" s="246"/>
    </row>
    <row r="454" spans="5:6" x14ac:dyDescent="0.15">
      <c r="E454" s="246"/>
      <c r="F454" s="246"/>
    </row>
    <row r="455" spans="5:6" x14ac:dyDescent="0.15">
      <c r="E455" s="246"/>
      <c r="F455" s="246"/>
    </row>
    <row r="456" spans="5:6" x14ac:dyDescent="0.15">
      <c r="E456" s="246"/>
      <c r="F456" s="246"/>
    </row>
    <row r="457" spans="5:6" x14ac:dyDescent="0.15">
      <c r="E457" s="246"/>
      <c r="F457" s="246"/>
    </row>
    <row r="458" spans="5:6" x14ac:dyDescent="0.15">
      <c r="E458" s="246"/>
      <c r="F458" s="246"/>
    </row>
    <row r="459" spans="5:6" x14ac:dyDescent="0.15">
      <c r="E459" s="246"/>
      <c r="F459" s="246"/>
    </row>
    <row r="460" spans="5:6" x14ac:dyDescent="0.15">
      <c r="E460" s="246"/>
      <c r="F460" s="246"/>
    </row>
    <row r="461" spans="5:6" x14ac:dyDescent="0.15">
      <c r="E461" s="246"/>
      <c r="F461" s="246"/>
    </row>
    <row r="462" spans="5:6" x14ac:dyDescent="0.15">
      <c r="E462" s="246"/>
      <c r="F462" s="246"/>
    </row>
    <row r="463" spans="5:6" x14ac:dyDescent="0.15">
      <c r="E463" s="246"/>
      <c r="F463" s="246"/>
    </row>
    <row r="464" spans="5:6" x14ac:dyDescent="0.15">
      <c r="E464" s="246"/>
      <c r="F464" s="246"/>
    </row>
    <row r="465" spans="5:6" x14ac:dyDescent="0.15">
      <c r="E465" s="246"/>
      <c r="F465" s="246"/>
    </row>
    <row r="466" spans="5:6" x14ac:dyDescent="0.15">
      <c r="E466" s="246"/>
      <c r="F466" s="246"/>
    </row>
    <row r="467" spans="5:6" x14ac:dyDescent="0.15">
      <c r="E467" s="246"/>
      <c r="F467" s="246"/>
    </row>
    <row r="468" spans="5:6" x14ac:dyDescent="0.15">
      <c r="E468" s="246"/>
      <c r="F468" s="246"/>
    </row>
    <row r="469" spans="5:6" x14ac:dyDescent="0.15">
      <c r="E469" s="246"/>
      <c r="F469" s="246"/>
    </row>
    <row r="470" spans="5:6" x14ac:dyDescent="0.15">
      <c r="E470" s="246"/>
      <c r="F470" s="246"/>
    </row>
    <row r="471" spans="5:6" x14ac:dyDescent="0.15">
      <c r="E471" s="246"/>
      <c r="F471" s="246"/>
    </row>
    <row r="472" spans="5:6" x14ac:dyDescent="0.15">
      <c r="E472" s="246"/>
      <c r="F472" s="246"/>
    </row>
    <row r="473" spans="5:6" x14ac:dyDescent="0.15">
      <c r="E473" s="246"/>
      <c r="F473" s="246"/>
    </row>
    <row r="474" spans="5:6" x14ac:dyDescent="0.15">
      <c r="E474" s="246"/>
      <c r="F474" s="246"/>
    </row>
    <row r="475" spans="5:6" x14ac:dyDescent="0.15">
      <c r="E475" s="246"/>
      <c r="F475" s="246"/>
    </row>
    <row r="476" spans="5:6" x14ac:dyDescent="0.15">
      <c r="E476" s="246"/>
      <c r="F476" s="246"/>
    </row>
    <row r="477" spans="5:6" x14ac:dyDescent="0.15">
      <c r="E477" s="246"/>
      <c r="F477" s="246"/>
    </row>
    <row r="478" spans="5:6" x14ac:dyDescent="0.15">
      <c r="E478" s="246"/>
      <c r="F478" s="246"/>
    </row>
    <row r="479" spans="5:6" x14ac:dyDescent="0.15">
      <c r="E479" s="246"/>
      <c r="F479" s="246"/>
    </row>
    <row r="480" spans="5:6" x14ac:dyDescent="0.15">
      <c r="E480" s="246"/>
      <c r="F480" s="246"/>
    </row>
    <row r="481" spans="5:6" x14ac:dyDescent="0.15">
      <c r="E481" s="246"/>
      <c r="F481" s="246"/>
    </row>
    <row r="482" spans="5:6" x14ac:dyDescent="0.15">
      <c r="E482" s="246"/>
      <c r="F482" s="246"/>
    </row>
    <row r="483" spans="5:6" x14ac:dyDescent="0.15">
      <c r="E483" s="246"/>
      <c r="F483" s="246"/>
    </row>
    <row r="484" spans="5:6" x14ac:dyDescent="0.15">
      <c r="E484" s="246"/>
      <c r="F484" s="246"/>
    </row>
    <row r="485" spans="5:6" x14ac:dyDescent="0.15">
      <c r="E485" s="246"/>
      <c r="F485" s="246"/>
    </row>
    <row r="486" spans="5:6" x14ac:dyDescent="0.15">
      <c r="E486" s="246"/>
      <c r="F486" s="246"/>
    </row>
    <row r="487" spans="5:6" x14ac:dyDescent="0.15">
      <c r="E487" s="246"/>
      <c r="F487" s="246"/>
    </row>
    <row r="488" spans="5:6" x14ac:dyDescent="0.15">
      <c r="E488" s="246"/>
      <c r="F488" s="246"/>
    </row>
    <row r="489" spans="5:6" x14ac:dyDescent="0.15">
      <c r="E489" s="246"/>
      <c r="F489" s="246"/>
    </row>
    <row r="490" spans="5:6" x14ac:dyDescent="0.15">
      <c r="E490" s="246"/>
      <c r="F490" s="246"/>
    </row>
    <row r="491" spans="5:6" x14ac:dyDescent="0.15">
      <c r="E491" s="246"/>
      <c r="F491" s="246"/>
    </row>
    <row r="492" spans="5:6" x14ac:dyDescent="0.15">
      <c r="E492" s="246"/>
      <c r="F492" s="246"/>
    </row>
    <row r="493" spans="5:6" x14ac:dyDescent="0.15">
      <c r="E493" s="246"/>
      <c r="F493" s="246"/>
    </row>
    <row r="494" spans="5:6" x14ac:dyDescent="0.15">
      <c r="E494" s="246"/>
      <c r="F494" s="246"/>
    </row>
    <row r="495" spans="5:6" x14ac:dyDescent="0.15">
      <c r="E495" s="246"/>
      <c r="F495" s="246"/>
    </row>
    <row r="496" spans="5:6" x14ac:dyDescent="0.15">
      <c r="E496" s="246"/>
      <c r="F496" s="246"/>
    </row>
    <row r="497" spans="5:6" x14ac:dyDescent="0.15">
      <c r="E497" s="246"/>
      <c r="F497" s="246"/>
    </row>
    <row r="498" spans="5:6" x14ac:dyDescent="0.15">
      <c r="E498" s="246"/>
      <c r="F498" s="246"/>
    </row>
    <row r="499" spans="5:6" x14ac:dyDescent="0.15">
      <c r="E499" s="246"/>
      <c r="F499" s="246"/>
    </row>
    <row r="500" spans="5:6" x14ac:dyDescent="0.15">
      <c r="E500" s="246"/>
      <c r="F500" s="246"/>
    </row>
    <row r="501" spans="5:6" x14ac:dyDescent="0.15">
      <c r="E501" s="246"/>
      <c r="F501" s="246"/>
    </row>
    <row r="502" spans="5:6" x14ac:dyDescent="0.15">
      <c r="E502" s="246"/>
      <c r="F502" s="246"/>
    </row>
    <row r="503" spans="5:6" x14ac:dyDescent="0.15">
      <c r="E503" s="246"/>
      <c r="F503" s="246"/>
    </row>
    <row r="504" spans="5:6" x14ac:dyDescent="0.15">
      <c r="E504" s="246"/>
      <c r="F504" s="246"/>
    </row>
    <row r="505" spans="5:6" x14ac:dyDescent="0.15">
      <c r="E505" s="246"/>
      <c r="F505" s="246"/>
    </row>
    <row r="506" spans="5:6" x14ac:dyDescent="0.15">
      <c r="E506" s="246"/>
      <c r="F506" s="246"/>
    </row>
    <row r="507" spans="5:6" x14ac:dyDescent="0.15">
      <c r="E507" s="246"/>
      <c r="F507" s="246"/>
    </row>
    <row r="508" spans="5:6" x14ac:dyDescent="0.15">
      <c r="E508" s="246"/>
      <c r="F508" s="246"/>
    </row>
    <row r="509" spans="5:6" x14ac:dyDescent="0.15">
      <c r="E509" s="246"/>
      <c r="F509" s="246"/>
    </row>
    <row r="510" spans="5:6" x14ac:dyDescent="0.15">
      <c r="E510" s="246"/>
      <c r="F510" s="246"/>
    </row>
    <row r="511" spans="5:6" x14ac:dyDescent="0.15">
      <c r="E511" s="246"/>
      <c r="F511" s="246"/>
    </row>
    <row r="512" spans="5:6" x14ac:dyDescent="0.15">
      <c r="E512" s="246"/>
      <c r="F512" s="246"/>
    </row>
    <row r="513" spans="5:6" x14ac:dyDescent="0.15">
      <c r="E513" s="246"/>
      <c r="F513" s="246"/>
    </row>
    <row r="514" spans="5:6" x14ac:dyDescent="0.15">
      <c r="E514" s="246"/>
      <c r="F514" s="246"/>
    </row>
    <row r="515" spans="5:6" x14ac:dyDescent="0.15">
      <c r="E515" s="246"/>
      <c r="F515" s="246"/>
    </row>
    <row r="516" spans="5:6" x14ac:dyDescent="0.15">
      <c r="E516" s="246"/>
      <c r="F516" s="246"/>
    </row>
    <row r="517" spans="5:6" x14ac:dyDescent="0.15">
      <c r="E517" s="246"/>
      <c r="F517" s="246"/>
    </row>
    <row r="518" spans="5:6" x14ac:dyDescent="0.15">
      <c r="E518" s="246"/>
      <c r="F518" s="246"/>
    </row>
    <row r="519" spans="5:6" x14ac:dyDescent="0.15">
      <c r="E519" s="246"/>
      <c r="F519" s="246"/>
    </row>
    <row r="520" spans="5:6" x14ac:dyDescent="0.15">
      <c r="E520" s="246"/>
      <c r="F520" s="246"/>
    </row>
    <row r="521" spans="5:6" x14ac:dyDescent="0.15">
      <c r="E521" s="246"/>
      <c r="F521" s="246"/>
    </row>
    <row r="522" spans="5:6" x14ac:dyDescent="0.15">
      <c r="E522" s="246"/>
      <c r="F522" s="246"/>
    </row>
    <row r="523" spans="5:6" x14ac:dyDescent="0.15">
      <c r="E523" s="246"/>
      <c r="F523" s="246"/>
    </row>
    <row r="524" spans="5:6" x14ac:dyDescent="0.15">
      <c r="E524" s="246"/>
      <c r="F524" s="246"/>
    </row>
    <row r="525" spans="5:6" x14ac:dyDescent="0.15">
      <c r="E525" s="246"/>
      <c r="F525" s="246"/>
    </row>
    <row r="526" spans="5:6" x14ac:dyDescent="0.15">
      <c r="E526" s="246"/>
      <c r="F526" s="246"/>
    </row>
    <row r="527" spans="5:6" x14ac:dyDescent="0.15">
      <c r="E527" s="246"/>
      <c r="F527" s="246"/>
    </row>
    <row r="528" spans="5:6" x14ac:dyDescent="0.15">
      <c r="E528" s="246"/>
      <c r="F528" s="246"/>
    </row>
    <row r="529" spans="5:6" x14ac:dyDescent="0.15">
      <c r="E529" s="246"/>
      <c r="F529" s="246"/>
    </row>
    <row r="530" spans="5:6" x14ac:dyDescent="0.15">
      <c r="E530" s="246"/>
      <c r="F530" s="246"/>
    </row>
    <row r="531" spans="5:6" x14ac:dyDescent="0.15">
      <c r="E531" s="246"/>
      <c r="F531" s="246"/>
    </row>
    <row r="532" spans="5:6" x14ac:dyDescent="0.15">
      <c r="E532" s="246"/>
      <c r="F532" s="246"/>
    </row>
    <row r="533" spans="5:6" x14ac:dyDescent="0.15">
      <c r="E533" s="246"/>
      <c r="F533" s="246"/>
    </row>
    <row r="534" spans="5:6" x14ac:dyDescent="0.15">
      <c r="E534" s="246"/>
      <c r="F534" s="246"/>
    </row>
    <row r="535" spans="5:6" x14ac:dyDescent="0.15">
      <c r="E535" s="246"/>
      <c r="F535" s="246"/>
    </row>
    <row r="536" spans="5:6" x14ac:dyDescent="0.15">
      <c r="E536" s="246"/>
      <c r="F536" s="246"/>
    </row>
    <row r="537" spans="5:6" x14ac:dyDescent="0.15">
      <c r="E537" s="246"/>
      <c r="F537" s="246"/>
    </row>
    <row r="538" spans="5:6" x14ac:dyDescent="0.15">
      <c r="E538" s="246"/>
      <c r="F538" s="246"/>
    </row>
    <row r="539" spans="5:6" x14ac:dyDescent="0.15">
      <c r="E539" s="246"/>
      <c r="F539" s="246"/>
    </row>
    <row r="540" spans="5:6" x14ac:dyDescent="0.15">
      <c r="E540" s="246"/>
      <c r="F540" s="246"/>
    </row>
    <row r="541" spans="5:6" x14ac:dyDescent="0.15">
      <c r="E541" s="246"/>
      <c r="F541" s="246"/>
    </row>
    <row r="542" spans="5:6" x14ac:dyDescent="0.15">
      <c r="E542" s="246"/>
      <c r="F542" s="246"/>
    </row>
    <row r="543" spans="5:6" x14ac:dyDescent="0.15">
      <c r="E543" s="246"/>
      <c r="F543" s="246"/>
    </row>
    <row r="544" spans="5:6" x14ac:dyDescent="0.15">
      <c r="E544" s="246"/>
      <c r="F544" s="246"/>
    </row>
    <row r="545" spans="5:6" x14ac:dyDescent="0.15">
      <c r="E545" s="246"/>
      <c r="F545" s="246"/>
    </row>
    <row r="546" spans="5:6" x14ac:dyDescent="0.15">
      <c r="E546" s="246"/>
      <c r="F546" s="246"/>
    </row>
    <row r="547" spans="5:6" x14ac:dyDescent="0.15">
      <c r="E547" s="246"/>
      <c r="F547" s="246"/>
    </row>
    <row r="548" spans="5:6" x14ac:dyDescent="0.15">
      <c r="E548" s="246"/>
      <c r="F548" s="246"/>
    </row>
    <row r="549" spans="5:6" x14ac:dyDescent="0.15">
      <c r="E549" s="246"/>
      <c r="F549" s="246"/>
    </row>
    <row r="550" spans="5:6" x14ac:dyDescent="0.15">
      <c r="E550" s="246"/>
      <c r="F550" s="246"/>
    </row>
    <row r="551" spans="5:6" x14ac:dyDescent="0.15">
      <c r="E551" s="246"/>
      <c r="F551" s="246"/>
    </row>
    <row r="552" spans="5:6" x14ac:dyDescent="0.15">
      <c r="E552" s="246"/>
      <c r="F552" s="246"/>
    </row>
    <row r="553" spans="5:6" x14ac:dyDescent="0.15">
      <c r="E553" s="246"/>
      <c r="F553" s="246"/>
    </row>
    <row r="554" spans="5:6" x14ac:dyDescent="0.15">
      <c r="E554" s="246"/>
      <c r="F554" s="246"/>
    </row>
    <row r="555" spans="5:6" x14ac:dyDescent="0.15">
      <c r="E555" s="246"/>
      <c r="F555" s="246"/>
    </row>
    <row r="556" spans="5:6" x14ac:dyDescent="0.15">
      <c r="E556" s="246"/>
      <c r="F556" s="246"/>
    </row>
    <row r="557" spans="5:6" x14ac:dyDescent="0.15">
      <c r="E557" s="246"/>
      <c r="F557" s="246"/>
    </row>
    <row r="558" spans="5:6" x14ac:dyDescent="0.15">
      <c r="E558" s="246"/>
      <c r="F558" s="246"/>
    </row>
    <row r="559" spans="5:6" x14ac:dyDescent="0.15">
      <c r="E559" s="246"/>
      <c r="F559" s="246"/>
    </row>
    <row r="560" spans="5:6" x14ac:dyDescent="0.15">
      <c r="E560" s="246"/>
      <c r="F560" s="246"/>
    </row>
    <row r="561" spans="5:6" x14ac:dyDescent="0.15">
      <c r="E561" s="246"/>
      <c r="F561" s="246"/>
    </row>
    <row r="562" spans="5:6" x14ac:dyDescent="0.15">
      <c r="E562" s="246"/>
      <c r="F562" s="246"/>
    </row>
    <row r="563" spans="5:6" x14ac:dyDescent="0.15">
      <c r="E563" s="246"/>
      <c r="F563" s="246"/>
    </row>
    <row r="564" spans="5:6" x14ac:dyDescent="0.15">
      <c r="E564" s="246"/>
      <c r="F564" s="246"/>
    </row>
    <row r="565" spans="5:6" x14ac:dyDescent="0.15">
      <c r="E565" s="246"/>
      <c r="F565" s="246"/>
    </row>
    <row r="566" spans="5:6" x14ac:dyDescent="0.15">
      <c r="E566" s="246"/>
      <c r="F566" s="246"/>
    </row>
    <row r="567" spans="5:6" x14ac:dyDescent="0.15">
      <c r="E567" s="246"/>
      <c r="F567" s="246"/>
    </row>
    <row r="568" spans="5:6" x14ac:dyDescent="0.15">
      <c r="E568" s="246"/>
      <c r="F568" s="246"/>
    </row>
    <row r="569" spans="5:6" x14ac:dyDescent="0.15">
      <c r="E569" s="246"/>
      <c r="F569" s="246"/>
    </row>
    <row r="570" spans="5:6" x14ac:dyDescent="0.15">
      <c r="E570" s="246"/>
      <c r="F570" s="246"/>
    </row>
    <row r="571" spans="5:6" x14ac:dyDescent="0.15">
      <c r="E571" s="246"/>
      <c r="F571" s="246"/>
    </row>
    <row r="572" spans="5:6" x14ac:dyDescent="0.15">
      <c r="E572" s="246"/>
      <c r="F572" s="246"/>
    </row>
    <row r="573" spans="5:6" x14ac:dyDescent="0.15">
      <c r="E573" s="246"/>
      <c r="F573" s="246"/>
    </row>
    <row r="574" spans="5:6" x14ac:dyDescent="0.15">
      <c r="E574" s="246"/>
      <c r="F574" s="246"/>
    </row>
    <row r="575" spans="5:6" x14ac:dyDescent="0.15">
      <c r="E575" s="246"/>
      <c r="F575" s="246"/>
    </row>
    <row r="576" spans="5:6" x14ac:dyDescent="0.15">
      <c r="E576" s="246"/>
      <c r="F576" s="246"/>
    </row>
    <row r="577" spans="5:6" x14ac:dyDescent="0.15">
      <c r="E577" s="246"/>
      <c r="F577" s="246"/>
    </row>
    <row r="578" spans="5:6" x14ac:dyDescent="0.15">
      <c r="E578" s="246"/>
      <c r="F578" s="246"/>
    </row>
    <row r="579" spans="5:6" x14ac:dyDescent="0.15">
      <c r="E579" s="246"/>
      <c r="F579" s="246"/>
    </row>
    <row r="580" spans="5:6" x14ac:dyDescent="0.15">
      <c r="E580" s="246"/>
      <c r="F580" s="246"/>
    </row>
    <row r="581" spans="5:6" x14ac:dyDescent="0.15">
      <c r="E581" s="246"/>
      <c r="F581" s="246"/>
    </row>
    <row r="582" spans="5:6" x14ac:dyDescent="0.15">
      <c r="E582" s="246"/>
      <c r="F582" s="246"/>
    </row>
    <row r="583" spans="5:6" x14ac:dyDescent="0.15">
      <c r="E583" s="246"/>
      <c r="F583" s="246"/>
    </row>
    <row r="584" spans="5:6" x14ac:dyDescent="0.15">
      <c r="E584" s="246"/>
      <c r="F584" s="246"/>
    </row>
    <row r="585" spans="5:6" x14ac:dyDescent="0.15">
      <c r="E585" s="246"/>
      <c r="F585" s="246"/>
    </row>
    <row r="586" spans="5:6" x14ac:dyDescent="0.15">
      <c r="E586" s="246"/>
      <c r="F586" s="246"/>
    </row>
    <row r="587" spans="5:6" x14ac:dyDescent="0.15">
      <c r="E587" s="246"/>
      <c r="F587" s="246"/>
    </row>
    <row r="588" spans="5:6" x14ac:dyDescent="0.15">
      <c r="E588" s="246"/>
      <c r="F588" s="246"/>
    </row>
    <row r="589" spans="5:6" x14ac:dyDescent="0.15">
      <c r="E589" s="246"/>
      <c r="F589" s="246"/>
    </row>
    <row r="590" spans="5:6" x14ac:dyDescent="0.15">
      <c r="E590" s="246"/>
      <c r="F590" s="246"/>
    </row>
    <row r="591" spans="5:6" x14ac:dyDescent="0.15">
      <c r="E591" s="246"/>
      <c r="F591" s="246"/>
    </row>
    <row r="592" spans="5:6" x14ac:dyDescent="0.15">
      <c r="E592" s="246"/>
      <c r="F592" s="246"/>
    </row>
    <row r="593" spans="5:6" x14ac:dyDescent="0.15">
      <c r="E593" s="246"/>
      <c r="F593" s="246"/>
    </row>
    <row r="594" spans="5:6" x14ac:dyDescent="0.15">
      <c r="E594" s="246"/>
      <c r="F594" s="246"/>
    </row>
    <row r="595" spans="5:6" x14ac:dyDescent="0.15">
      <c r="E595" s="246"/>
      <c r="F595" s="246"/>
    </row>
    <row r="596" spans="5:6" x14ac:dyDescent="0.15">
      <c r="E596" s="246"/>
      <c r="F596" s="246"/>
    </row>
    <row r="597" spans="5:6" x14ac:dyDescent="0.15">
      <c r="E597" s="246"/>
      <c r="F597" s="246"/>
    </row>
    <row r="598" spans="5:6" x14ac:dyDescent="0.15">
      <c r="E598" s="246"/>
      <c r="F598" s="246"/>
    </row>
    <row r="599" spans="5:6" x14ac:dyDescent="0.15">
      <c r="E599" s="246"/>
      <c r="F599" s="246"/>
    </row>
    <row r="600" spans="5:6" x14ac:dyDescent="0.15">
      <c r="E600" s="246"/>
      <c r="F600" s="246"/>
    </row>
    <row r="601" spans="5:6" x14ac:dyDescent="0.15">
      <c r="E601" s="246"/>
      <c r="F601" s="246"/>
    </row>
    <row r="602" spans="5:6" x14ac:dyDescent="0.15">
      <c r="E602" s="246"/>
      <c r="F602" s="246"/>
    </row>
    <row r="603" spans="5:6" x14ac:dyDescent="0.15">
      <c r="E603" s="246"/>
      <c r="F603" s="246"/>
    </row>
    <row r="604" spans="5:6" x14ac:dyDescent="0.15">
      <c r="E604" s="246"/>
      <c r="F604" s="246"/>
    </row>
    <row r="605" spans="5:6" x14ac:dyDescent="0.15">
      <c r="E605" s="246"/>
      <c r="F605" s="246"/>
    </row>
    <row r="606" spans="5:6" x14ac:dyDescent="0.15">
      <c r="E606" s="246"/>
      <c r="F606" s="246"/>
    </row>
    <row r="607" spans="5:6" x14ac:dyDescent="0.15">
      <c r="E607" s="246"/>
      <c r="F607" s="246"/>
    </row>
    <row r="608" spans="5:6" x14ac:dyDescent="0.15">
      <c r="E608" s="246"/>
      <c r="F608" s="246"/>
    </row>
    <row r="609" spans="5:6" x14ac:dyDescent="0.15">
      <c r="E609" s="246"/>
      <c r="F609" s="246"/>
    </row>
    <row r="610" spans="5:6" x14ac:dyDescent="0.15">
      <c r="E610" s="246"/>
      <c r="F610" s="246"/>
    </row>
    <row r="611" spans="5:6" x14ac:dyDescent="0.15">
      <c r="E611" s="246"/>
      <c r="F611" s="246"/>
    </row>
    <row r="612" spans="5:6" x14ac:dyDescent="0.15">
      <c r="E612" s="246"/>
      <c r="F612" s="246"/>
    </row>
    <row r="613" spans="5:6" x14ac:dyDescent="0.15">
      <c r="E613" s="246"/>
      <c r="F613" s="246"/>
    </row>
    <row r="614" spans="5:6" x14ac:dyDescent="0.15">
      <c r="E614" s="246"/>
      <c r="F614" s="246"/>
    </row>
    <row r="615" spans="5:6" x14ac:dyDescent="0.15">
      <c r="E615" s="246"/>
      <c r="F615" s="246"/>
    </row>
    <row r="616" spans="5:6" x14ac:dyDescent="0.15">
      <c r="E616" s="246"/>
      <c r="F616" s="246"/>
    </row>
    <row r="617" spans="5:6" x14ac:dyDescent="0.15">
      <c r="E617" s="246"/>
      <c r="F617" s="246"/>
    </row>
    <row r="618" spans="5:6" x14ac:dyDescent="0.15">
      <c r="E618" s="246"/>
      <c r="F618" s="246"/>
    </row>
    <row r="619" spans="5:6" x14ac:dyDescent="0.15">
      <c r="E619" s="246"/>
      <c r="F619" s="246"/>
    </row>
    <row r="620" spans="5:6" x14ac:dyDescent="0.15">
      <c r="E620" s="246"/>
      <c r="F620" s="246"/>
    </row>
    <row r="621" spans="5:6" x14ac:dyDescent="0.15">
      <c r="E621" s="246"/>
      <c r="F621" s="246"/>
    </row>
    <row r="622" spans="5:6" x14ac:dyDescent="0.15">
      <c r="E622" s="246"/>
      <c r="F622" s="246"/>
    </row>
    <row r="623" spans="5:6" x14ac:dyDescent="0.15">
      <c r="E623" s="246"/>
      <c r="F623" s="246"/>
    </row>
    <row r="624" spans="5:6" x14ac:dyDescent="0.15">
      <c r="E624" s="246"/>
      <c r="F624" s="246"/>
    </row>
    <row r="625" spans="5:6" x14ac:dyDescent="0.15">
      <c r="E625" s="246"/>
      <c r="F625" s="246"/>
    </row>
    <row r="626" spans="5:6" x14ac:dyDescent="0.15">
      <c r="E626" s="246"/>
      <c r="F626" s="246"/>
    </row>
    <row r="627" spans="5:6" x14ac:dyDescent="0.15">
      <c r="E627" s="246"/>
      <c r="F627" s="246"/>
    </row>
    <row r="628" spans="5:6" x14ac:dyDescent="0.15">
      <c r="E628" s="246"/>
      <c r="F628" s="246"/>
    </row>
    <row r="629" spans="5:6" x14ac:dyDescent="0.15">
      <c r="E629" s="246"/>
      <c r="F629" s="246"/>
    </row>
    <row r="630" spans="5:6" x14ac:dyDescent="0.15">
      <c r="E630" s="246"/>
      <c r="F630" s="246"/>
    </row>
    <row r="631" spans="5:6" x14ac:dyDescent="0.15">
      <c r="E631" s="246"/>
      <c r="F631" s="246"/>
    </row>
    <row r="632" spans="5:6" x14ac:dyDescent="0.15">
      <c r="E632" s="246"/>
      <c r="F632" s="246"/>
    </row>
    <row r="633" spans="5:6" x14ac:dyDescent="0.15">
      <c r="E633" s="246"/>
      <c r="F633" s="246"/>
    </row>
    <row r="634" spans="5:6" x14ac:dyDescent="0.15">
      <c r="E634" s="246"/>
      <c r="F634" s="246"/>
    </row>
    <row r="635" spans="5:6" x14ac:dyDescent="0.15">
      <c r="E635" s="246"/>
      <c r="F635" s="246"/>
    </row>
    <row r="636" spans="5:6" x14ac:dyDescent="0.15">
      <c r="E636" s="246"/>
      <c r="F636" s="246"/>
    </row>
    <row r="637" spans="5:6" x14ac:dyDescent="0.15">
      <c r="E637" s="246"/>
      <c r="F637" s="246"/>
    </row>
    <row r="638" spans="5:6" x14ac:dyDescent="0.15">
      <c r="E638" s="246"/>
      <c r="F638" s="246"/>
    </row>
    <row r="639" spans="5:6" x14ac:dyDescent="0.15">
      <c r="E639" s="246"/>
      <c r="F639" s="246"/>
    </row>
    <row r="640" spans="5:6" x14ac:dyDescent="0.15">
      <c r="E640" s="246"/>
      <c r="F640" s="246"/>
    </row>
    <row r="641" spans="5:6" x14ac:dyDescent="0.15">
      <c r="E641" s="246"/>
      <c r="F641" s="246"/>
    </row>
    <row r="642" spans="5:6" x14ac:dyDescent="0.15">
      <c r="E642" s="246"/>
      <c r="F642" s="246"/>
    </row>
    <row r="643" spans="5:6" x14ac:dyDescent="0.15">
      <c r="E643" s="246"/>
      <c r="F643" s="246"/>
    </row>
    <row r="644" spans="5:6" x14ac:dyDescent="0.15">
      <c r="E644" s="246"/>
      <c r="F644" s="246"/>
    </row>
    <row r="645" spans="5:6" x14ac:dyDescent="0.15">
      <c r="E645" s="246"/>
      <c r="F645" s="246"/>
    </row>
    <row r="646" spans="5:6" x14ac:dyDescent="0.15">
      <c r="E646" s="246"/>
      <c r="F646" s="246"/>
    </row>
    <row r="647" spans="5:6" x14ac:dyDescent="0.15">
      <c r="E647" s="246"/>
      <c r="F647" s="246"/>
    </row>
    <row r="648" spans="5:6" x14ac:dyDescent="0.15">
      <c r="E648" s="246"/>
      <c r="F648" s="246"/>
    </row>
    <row r="649" spans="5:6" x14ac:dyDescent="0.15">
      <c r="E649" s="246"/>
      <c r="F649" s="246"/>
    </row>
    <row r="650" spans="5:6" x14ac:dyDescent="0.15">
      <c r="E650" s="246"/>
      <c r="F650" s="246"/>
    </row>
    <row r="651" spans="5:6" x14ac:dyDescent="0.15">
      <c r="E651" s="246"/>
      <c r="F651" s="246"/>
    </row>
    <row r="652" spans="5:6" x14ac:dyDescent="0.15">
      <c r="E652" s="246"/>
      <c r="F652" s="246"/>
    </row>
    <row r="653" spans="5:6" x14ac:dyDescent="0.15">
      <c r="E653" s="246"/>
      <c r="F653" s="246"/>
    </row>
    <row r="654" spans="5:6" x14ac:dyDescent="0.15">
      <c r="E654" s="246"/>
      <c r="F654" s="246"/>
    </row>
    <row r="655" spans="5:6" x14ac:dyDescent="0.15">
      <c r="E655" s="246"/>
      <c r="F655" s="246"/>
    </row>
    <row r="656" spans="5:6" x14ac:dyDescent="0.15">
      <c r="E656" s="246"/>
      <c r="F656" s="246"/>
    </row>
    <row r="657" spans="5:6" x14ac:dyDescent="0.15">
      <c r="E657" s="246"/>
      <c r="F657" s="246"/>
    </row>
    <row r="658" spans="5:6" x14ac:dyDescent="0.15">
      <c r="E658" s="246"/>
      <c r="F658" s="246"/>
    </row>
    <row r="659" spans="5:6" x14ac:dyDescent="0.15">
      <c r="E659" s="246"/>
      <c r="F659" s="246"/>
    </row>
    <row r="660" spans="5:6" x14ac:dyDescent="0.15">
      <c r="E660" s="246"/>
      <c r="F660" s="246"/>
    </row>
    <row r="661" spans="5:6" x14ac:dyDescent="0.15">
      <c r="E661" s="246"/>
      <c r="F661" s="246"/>
    </row>
    <row r="662" spans="5:6" x14ac:dyDescent="0.15">
      <c r="E662" s="246"/>
      <c r="F662" s="246"/>
    </row>
    <row r="663" spans="5:6" x14ac:dyDescent="0.15">
      <c r="E663" s="246"/>
      <c r="F663" s="246"/>
    </row>
    <row r="664" spans="5:6" x14ac:dyDescent="0.15">
      <c r="E664" s="246"/>
      <c r="F664" s="246"/>
    </row>
    <row r="665" spans="5:6" x14ac:dyDescent="0.15">
      <c r="E665" s="246"/>
      <c r="F665" s="246"/>
    </row>
    <row r="666" spans="5:6" x14ac:dyDescent="0.15">
      <c r="E666" s="246"/>
      <c r="F666" s="246"/>
    </row>
    <row r="667" spans="5:6" x14ac:dyDescent="0.15">
      <c r="E667" s="246"/>
      <c r="F667" s="246"/>
    </row>
    <row r="668" spans="5:6" x14ac:dyDescent="0.15">
      <c r="E668" s="246"/>
      <c r="F668" s="246"/>
    </row>
    <row r="669" spans="5:6" x14ac:dyDescent="0.15">
      <c r="E669" s="246"/>
      <c r="F669" s="246"/>
    </row>
    <row r="670" spans="5:6" x14ac:dyDescent="0.15">
      <c r="E670" s="246"/>
      <c r="F670" s="246"/>
    </row>
    <row r="671" spans="5:6" x14ac:dyDescent="0.15">
      <c r="E671" s="246"/>
      <c r="F671" s="246"/>
    </row>
    <row r="672" spans="5:6" x14ac:dyDescent="0.15">
      <c r="E672" s="246"/>
      <c r="F672" s="246"/>
    </row>
    <row r="673" spans="5:6" x14ac:dyDescent="0.15">
      <c r="E673" s="246"/>
      <c r="F673" s="246"/>
    </row>
    <row r="674" spans="5:6" x14ac:dyDescent="0.15">
      <c r="E674" s="246"/>
      <c r="F674" s="246"/>
    </row>
    <row r="675" spans="5:6" x14ac:dyDescent="0.15">
      <c r="E675" s="246"/>
      <c r="F675" s="246"/>
    </row>
    <row r="676" spans="5:6" x14ac:dyDescent="0.15">
      <c r="E676" s="246"/>
      <c r="F676" s="246"/>
    </row>
    <row r="677" spans="5:6" x14ac:dyDescent="0.15">
      <c r="E677" s="246"/>
      <c r="F677" s="246"/>
    </row>
    <row r="678" spans="5:6" x14ac:dyDescent="0.15">
      <c r="E678" s="246"/>
      <c r="F678" s="246"/>
    </row>
    <row r="679" spans="5:6" x14ac:dyDescent="0.15">
      <c r="E679" s="246"/>
      <c r="F679" s="246"/>
    </row>
    <row r="680" spans="5:6" x14ac:dyDescent="0.15">
      <c r="E680" s="246"/>
      <c r="F680" s="246"/>
    </row>
    <row r="681" spans="5:6" x14ac:dyDescent="0.15">
      <c r="E681" s="246"/>
      <c r="F681" s="246"/>
    </row>
    <row r="682" spans="5:6" x14ac:dyDescent="0.15">
      <c r="E682" s="246"/>
      <c r="F682" s="246"/>
    </row>
    <row r="683" spans="5:6" x14ac:dyDescent="0.15">
      <c r="E683" s="246"/>
      <c r="F683" s="246"/>
    </row>
    <row r="684" spans="5:6" x14ac:dyDescent="0.15">
      <c r="E684" s="246"/>
      <c r="F684" s="246"/>
    </row>
    <row r="685" spans="5:6" x14ac:dyDescent="0.15">
      <c r="E685" s="246"/>
      <c r="F685" s="246"/>
    </row>
    <row r="686" spans="5:6" x14ac:dyDescent="0.15">
      <c r="E686" s="246"/>
      <c r="F686" s="246"/>
    </row>
    <row r="687" spans="5:6" x14ac:dyDescent="0.15">
      <c r="E687" s="246"/>
      <c r="F687" s="246"/>
    </row>
    <row r="688" spans="5:6" x14ac:dyDescent="0.15">
      <c r="E688" s="246"/>
      <c r="F688" s="246"/>
    </row>
    <row r="689" spans="5:6" x14ac:dyDescent="0.15">
      <c r="E689" s="246"/>
      <c r="F689" s="246"/>
    </row>
    <row r="690" spans="5:6" x14ac:dyDescent="0.15">
      <c r="E690" s="246"/>
      <c r="F690" s="246"/>
    </row>
    <row r="691" spans="5:6" x14ac:dyDescent="0.15">
      <c r="E691" s="246"/>
      <c r="F691" s="246"/>
    </row>
    <row r="692" spans="5:6" x14ac:dyDescent="0.15">
      <c r="E692" s="246"/>
      <c r="F692" s="246"/>
    </row>
    <row r="693" spans="5:6" x14ac:dyDescent="0.15">
      <c r="E693" s="246"/>
      <c r="F693" s="246"/>
    </row>
    <row r="694" spans="5:6" x14ac:dyDescent="0.15">
      <c r="E694" s="246"/>
      <c r="F694" s="246"/>
    </row>
    <row r="695" spans="5:6" x14ac:dyDescent="0.15">
      <c r="E695" s="246"/>
      <c r="F695" s="246"/>
    </row>
    <row r="696" spans="5:6" x14ac:dyDescent="0.15">
      <c r="E696" s="246"/>
      <c r="F696" s="246"/>
    </row>
    <row r="697" spans="5:6" x14ac:dyDescent="0.15">
      <c r="E697" s="246"/>
      <c r="F697" s="246"/>
    </row>
    <row r="698" spans="5:6" x14ac:dyDescent="0.15">
      <c r="E698" s="246"/>
      <c r="F698" s="246"/>
    </row>
    <row r="699" spans="5:6" x14ac:dyDescent="0.15">
      <c r="E699" s="246"/>
      <c r="F699" s="246"/>
    </row>
    <row r="700" spans="5:6" x14ac:dyDescent="0.15">
      <c r="E700" s="246"/>
      <c r="F700" s="246"/>
    </row>
    <row r="701" spans="5:6" x14ac:dyDescent="0.15">
      <c r="E701" s="246"/>
      <c r="F701" s="246"/>
    </row>
    <row r="702" spans="5:6" x14ac:dyDescent="0.15">
      <c r="E702" s="246"/>
      <c r="F702" s="246"/>
    </row>
    <row r="703" spans="5:6" x14ac:dyDescent="0.15">
      <c r="E703" s="246"/>
      <c r="F703" s="246"/>
    </row>
    <row r="704" spans="5:6" x14ac:dyDescent="0.15">
      <c r="E704" s="246"/>
      <c r="F704" s="246"/>
    </row>
    <row r="705" spans="5:6" x14ac:dyDescent="0.15">
      <c r="E705" s="246"/>
      <c r="F705" s="246"/>
    </row>
    <row r="706" spans="5:6" x14ac:dyDescent="0.15">
      <c r="E706" s="246"/>
      <c r="F706" s="246"/>
    </row>
    <row r="707" spans="5:6" x14ac:dyDescent="0.15">
      <c r="E707" s="246"/>
      <c r="F707" s="246"/>
    </row>
    <row r="708" spans="5:6" x14ac:dyDescent="0.15">
      <c r="E708" s="246"/>
    </row>
  </sheetData>
  <autoFilter ref="A1:BA64"/>
  <phoneticPr fontId="3"/>
  <dataValidations count="13">
    <dataValidation type="decimal" allowBlank="1" showInputMessage="1" showErrorMessage="1" error="硬度を正しく入力して下さい。" sqref="O2:P476">
      <formula1>0</formula1>
      <formula2>7</formula2>
    </dataValidation>
    <dataValidation type="list" allowBlank="1" showInputMessage="1" showErrorMessage="1" sqref="H65514:H65591 H131050:H131127 H196586:H196663 H262122:H262199 H327658:H327735 H393194:H393271 H458730:H458807 H524266:H524343 H589802:H589879 H655338:H655415 H720874:H720951 H786410:H786487 H851946:H852023 H917482:H917559 H983018:H983095 JD2:JD58 JD65514:JD65591 JD131050:JD131127 JD196586:JD196663 JD262122:JD262199 JD327658:JD327735 JD393194:JD393271 JD458730:JD458807 JD524266:JD524343 JD589802:JD589879 JD655338:JD655415 JD720874:JD720951 JD786410:JD786487 JD851946:JD852023 JD917482:JD917559 JD983018:JD983095 SZ2:SZ58 SZ65514:SZ65591 SZ131050:SZ131127 SZ196586:SZ196663 SZ262122:SZ262199 SZ327658:SZ327735 SZ393194:SZ393271 SZ458730:SZ458807 SZ524266:SZ524343 SZ589802:SZ589879 SZ655338:SZ655415 SZ720874:SZ720951 SZ786410:SZ786487 SZ851946:SZ852023 SZ917482:SZ917559 SZ983018:SZ983095 ACV2:ACV58 ACV65514:ACV65591 ACV131050:ACV131127 ACV196586:ACV196663 ACV262122:ACV262199 ACV327658:ACV327735 ACV393194:ACV393271 ACV458730:ACV458807 ACV524266:ACV524343 ACV589802:ACV589879 ACV655338:ACV655415 ACV720874:ACV720951 ACV786410:ACV786487 ACV851946:ACV852023 ACV917482:ACV917559 ACV983018:ACV983095 AMR2:AMR58 AMR65514:AMR65591 AMR131050:AMR131127 AMR196586:AMR196663 AMR262122:AMR262199 AMR327658:AMR327735 AMR393194:AMR393271 AMR458730:AMR458807 AMR524266:AMR524343 AMR589802:AMR589879 AMR655338:AMR655415 AMR720874:AMR720951 AMR786410:AMR786487 AMR851946:AMR852023 AMR917482:AMR917559 AMR983018:AMR983095 AWN2:AWN58 AWN65514:AWN65591 AWN131050:AWN131127 AWN196586:AWN196663 AWN262122:AWN262199 AWN327658:AWN327735 AWN393194:AWN393271 AWN458730:AWN458807 AWN524266:AWN524343 AWN589802:AWN589879 AWN655338:AWN655415 AWN720874:AWN720951 AWN786410:AWN786487 AWN851946:AWN852023 AWN917482:AWN917559 AWN983018:AWN983095 BGJ2:BGJ58 BGJ65514:BGJ65591 BGJ131050:BGJ131127 BGJ196586:BGJ196663 BGJ262122:BGJ262199 BGJ327658:BGJ327735 BGJ393194:BGJ393271 BGJ458730:BGJ458807 BGJ524266:BGJ524343 BGJ589802:BGJ589879 BGJ655338:BGJ655415 BGJ720874:BGJ720951 BGJ786410:BGJ786487 BGJ851946:BGJ852023 BGJ917482:BGJ917559 BGJ983018:BGJ983095 BQF2:BQF58 BQF65514:BQF65591 BQF131050:BQF131127 BQF196586:BQF196663 BQF262122:BQF262199 BQF327658:BQF327735 BQF393194:BQF393271 BQF458730:BQF458807 BQF524266:BQF524343 BQF589802:BQF589879 BQF655338:BQF655415 BQF720874:BQF720951 BQF786410:BQF786487 BQF851946:BQF852023 BQF917482:BQF917559 BQF983018:BQF983095 CAB2:CAB58 CAB65514:CAB65591 CAB131050:CAB131127 CAB196586:CAB196663 CAB262122:CAB262199 CAB327658:CAB327735 CAB393194:CAB393271 CAB458730:CAB458807 CAB524266:CAB524343 CAB589802:CAB589879 CAB655338:CAB655415 CAB720874:CAB720951 CAB786410:CAB786487 CAB851946:CAB852023 CAB917482:CAB917559 CAB983018:CAB983095 CJX2:CJX58 CJX65514:CJX65591 CJX131050:CJX131127 CJX196586:CJX196663 CJX262122:CJX262199 CJX327658:CJX327735 CJX393194:CJX393271 CJX458730:CJX458807 CJX524266:CJX524343 CJX589802:CJX589879 CJX655338:CJX655415 CJX720874:CJX720951 CJX786410:CJX786487 CJX851946:CJX852023 CJX917482:CJX917559 CJX983018:CJX983095 CTT2:CTT58 CTT65514:CTT65591 CTT131050:CTT131127 CTT196586:CTT196663 CTT262122:CTT262199 CTT327658:CTT327735 CTT393194:CTT393271 CTT458730:CTT458807 CTT524266:CTT524343 CTT589802:CTT589879 CTT655338:CTT655415 CTT720874:CTT720951 CTT786410:CTT786487 CTT851946:CTT852023 CTT917482:CTT917559 CTT983018:CTT983095 DDP2:DDP58 DDP65514:DDP65591 DDP131050:DDP131127 DDP196586:DDP196663 DDP262122:DDP262199 DDP327658:DDP327735 DDP393194:DDP393271 DDP458730:DDP458807 DDP524266:DDP524343 DDP589802:DDP589879 DDP655338:DDP655415 DDP720874:DDP720951 DDP786410:DDP786487 DDP851946:DDP852023 DDP917482:DDP917559 DDP983018:DDP983095 DNL2:DNL58 DNL65514:DNL65591 DNL131050:DNL131127 DNL196586:DNL196663 DNL262122:DNL262199 DNL327658:DNL327735 DNL393194:DNL393271 DNL458730:DNL458807 DNL524266:DNL524343 DNL589802:DNL589879 DNL655338:DNL655415 DNL720874:DNL720951 DNL786410:DNL786487 DNL851946:DNL852023 DNL917482:DNL917559 DNL983018:DNL983095 DXH2:DXH58 DXH65514:DXH65591 DXH131050:DXH131127 DXH196586:DXH196663 DXH262122:DXH262199 DXH327658:DXH327735 DXH393194:DXH393271 DXH458730:DXH458807 DXH524266:DXH524343 DXH589802:DXH589879 DXH655338:DXH655415 DXH720874:DXH720951 DXH786410:DXH786487 DXH851946:DXH852023 DXH917482:DXH917559 DXH983018:DXH983095 EHD2:EHD58 EHD65514:EHD65591 EHD131050:EHD131127 EHD196586:EHD196663 EHD262122:EHD262199 EHD327658:EHD327735 EHD393194:EHD393271 EHD458730:EHD458807 EHD524266:EHD524343 EHD589802:EHD589879 EHD655338:EHD655415 EHD720874:EHD720951 EHD786410:EHD786487 EHD851946:EHD852023 EHD917482:EHD917559 EHD983018:EHD983095 EQZ2:EQZ58 EQZ65514:EQZ65591 EQZ131050:EQZ131127 EQZ196586:EQZ196663 EQZ262122:EQZ262199 EQZ327658:EQZ327735 EQZ393194:EQZ393271 EQZ458730:EQZ458807 EQZ524266:EQZ524343 EQZ589802:EQZ589879 EQZ655338:EQZ655415 EQZ720874:EQZ720951 EQZ786410:EQZ786487 EQZ851946:EQZ852023 EQZ917482:EQZ917559 EQZ983018:EQZ983095 FAV2:FAV58 FAV65514:FAV65591 FAV131050:FAV131127 FAV196586:FAV196663 FAV262122:FAV262199 FAV327658:FAV327735 FAV393194:FAV393271 FAV458730:FAV458807 FAV524266:FAV524343 FAV589802:FAV589879 FAV655338:FAV655415 FAV720874:FAV720951 FAV786410:FAV786487 FAV851946:FAV852023 FAV917482:FAV917559 FAV983018:FAV983095 FKR2:FKR58 FKR65514:FKR65591 FKR131050:FKR131127 FKR196586:FKR196663 FKR262122:FKR262199 FKR327658:FKR327735 FKR393194:FKR393271 FKR458730:FKR458807 FKR524266:FKR524343 FKR589802:FKR589879 FKR655338:FKR655415 FKR720874:FKR720951 FKR786410:FKR786487 FKR851946:FKR852023 FKR917482:FKR917559 FKR983018:FKR983095 FUN2:FUN58 FUN65514:FUN65591 FUN131050:FUN131127 FUN196586:FUN196663 FUN262122:FUN262199 FUN327658:FUN327735 FUN393194:FUN393271 FUN458730:FUN458807 FUN524266:FUN524343 FUN589802:FUN589879 FUN655338:FUN655415 FUN720874:FUN720951 FUN786410:FUN786487 FUN851946:FUN852023 FUN917482:FUN917559 FUN983018:FUN983095 GEJ2:GEJ58 GEJ65514:GEJ65591 GEJ131050:GEJ131127 GEJ196586:GEJ196663 GEJ262122:GEJ262199 GEJ327658:GEJ327735 GEJ393194:GEJ393271 GEJ458730:GEJ458807 GEJ524266:GEJ524343 GEJ589802:GEJ589879 GEJ655338:GEJ655415 GEJ720874:GEJ720951 GEJ786410:GEJ786487 GEJ851946:GEJ852023 GEJ917482:GEJ917559 GEJ983018:GEJ983095 GOF2:GOF58 GOF65514:GOF65591 GOF131050:GOF131127 GOF196586:GOF196663 GOF262122:GOF262199 GOF327658:GOF327735 GOF393194:GOF393271 GOF458730:GOF458807 GOF524266:GOF524343 GOF589802:GOF589879 GOF655338:GOF655415 GOF720874:GOF720951 GOF786410:GOF786487 GOF851946:GOF852023 GOF917482:GOF917559 GOF983018:GOF983095 GYB2:GYB58 GYB65514:GYB65591 GYB131050:GYB131127 GYB196586:GYB196663 GYB262122:GYB262199 GYB327658:GYB327735 GYB393194:GYB393271 GYB458730:GYB458807 GYB524266:GYB524343 GYB589802:GYB589879 GYB655338:GYB655415 GYB720874:GYB720951 GYB786410:GYB786487 GYB851946:GYB852023 GYB917482:GYB917559 GYB983018:GYB983095 HHX2:HHX58 HHX65514:HHX65591 HHX131050:HHX131127 HHX196586:HHX196663 HHX262122:HHX262199 HHX327658:HHX327735 HHX393194:HHX393271 HHX458730:HHX458807 HHX524266:HHX524343 HHX589802:HHX589879 HHX655338:HHX655415 HHX720874:HHX720951 HHX786410:HHX786487 HHX851946:HHX852023 HHX917482:HHX917559 HHX983018:HHX983095 HRT2:HRT58 HRT65514:HRT65591 HRT131050:HRT131127 HRT196586:HRT196663 HRT262122:HRT262199 HRT327658:HRT327735 HRT393194:HRT393271 HRT458730:HRT458807 HRT524266:HRT524343 HRT589802:HRT589879 HRT655338:HRT655415 HRT720874:HRT720951 HRT786410:HRT786487 HRT851946:HRT852023 HRT917482:HRT917559 HRT983018:HRT983095 IBP2:IBP58 IBP65514:IBP65591 IBP131050:IBP131127 IBP196586:IBP196663 IBP262122:IBP262199 IBP327658:IBP327735 IBP393194:IBP393271 IBP458730:IBP458807 IBP524266:IBP524343 IBP589802:IBP589879 IBP655338:IBP655415 IBP720874:IBP720951 IBP786410:IBP786487 IBP851946:IBP852023 IBP917482:IBP917559 IBP983018:IBP983095 ILL2:ILL58 ILL65514:ILL65591 ILL131050:ILL131127 ILL196586:ILL196663 ILL262122:ILL262199 ILL327658:ILL327735 ILL393194:ILL393271 ILL458730:ILL458807 ILL524266:ILL524343 ILL589802:ILL589879 ILL655338:ILL655415 ILL720874:ILL720951 ILL786410:ILL786487 ILL851946:ILL852023 ILL917482:ILL917559 ILL983018:ILL983095 IVH2:IVH58 IVH65514:IVH65591 IVH131050:IVH131127 IVH196586:IVH196663 IVH262122:IVH262199 IVH327658:IVH327735 IVH393194:IVH393271 IVH458730:IVH458807 IVH524266:IVH524343 IVH589802:IVH589879 IVH655338:IVH655415 IVH720874:IVH720951 IVH786410:IVH786487 IVH851946:IVH852023 IVH917482:IVH917559 IVH983018:IVH983095 JFD2:JFD58 JFD65514:JFD65591 JFD131050:JFD131127 JFD196586:JFD196663 JFD262122:JFD262199 JFD327658:JFD327735 JFD393194:JFD393271 JFD458730:JFD458807 JFD524266:JFD524343 JFD589802:JFD589879 JFD655338:JFD655415 JFD720874:JFD720951 JFD786410:JFD786487 JFD851946:JFD852023 JFD917482:JFD917559 JFD983018:JFD983095 JOZ2:JOZ58 JOZ65514:JOZ65591 JOZ131050:JOZ131127 JOZ196586:JOZ196663 JOZ262122:JOZ262199 JOZ327658:JOZ327735 JOZ393194:JOZ393271 JOZ458730:JOZ458807 JOZ524266:JOZ524343 JOZ589802:JOZ589879 JOZ655338:JOZ655415 JOZ720874:JOZ720951 JOZ786410:JOZ786487 JOZ851946:JOZ852023 JOZ917482:JOZ917559 JOZ983018:JOZ983095 JYV2:JYV58 JYV65514:JYV65591 JYV131050:JYV131127 JYV196586:JYV196663 JYV262122:JYV262199 JYV327658:JYV327735 JYV393194:JYV393271 JYV458730:JYV458807 JYV524266:JYV524343 JYV589802:JYV589879 JYV655338:JYV655415 JYV720874:JYV720951 JYV786410:JYV786487 JYV851946:JYV852023 JYV917482:JYV917559 JYV983018:JYV983095 KIR2:KIR58 KIR65514:KIR65591 KIR131050:KIR131127 KIR196586:KIR196663 KIR262122:KIR262199 KIR327658:KIR327735 KIR393194:KIR393271 KIR458730:KIR458807 KIR524266:KIR524343 KIR589802:KIR589879 KIR655338:KIR655415 KIR720874:KIR720951 KIR786410:KIR786487 KIR851946:KIR852023 KIR917482:KIR917559 KIR983018:KIR983095 KSN2:KSN58 KSN65514:KSN65591 KSN131050:KSN131127 KSN196586:KSN196663 KSN262122:KSN262199 KSN327658:KSN327735 KSN393194:KSN393271 KSN458730:KSN458807 KSN524266:KSN524343 KSN589802:KSN589879 KSN655338:KSN655415 KSN720874:KSN720951 KSN786410:KSN786487 KSN851946:KSN852023 KSN917482:KSN917559 KSN983018:KSN983095 LCJ2:LCJ58 LCJ65514:LCJ65591 LCJ131050:LCJ131127 LCJ196586:LCJ196663 LCJ262122:LCJ262199 LCJ327658:LCJ327735 LCJ393194:LCJ393271 LCJ458730:LCJ458807 LCJ524266:LCJ524343 LCJ589802:LCJ589879 LCJ655338:LCJ655415 LCJ720874:LCJ720951 LCJ786410:LCJ786487 LCJ851946:LCJ852023 LCJ917482:LCJ917559 LCJ983018:LCJ983095 LMF2:LMF58 LMF65514:LMF65591 LMF131050:LMF131127 LMF196586:LMF196663 LMF262122:LMF262199 LMF327658:LMF327735 LMF393194:LMF393271 LMF458730:LMF458807 LMF524266:LMF524343 LMF589802:LMF589879 LMF655338:LMF655415 LMF720874:LMF720951 LMF786410:LMF786487 LMF851946:LMF852023 LMF917482:LMF917559 LMF983018:LMF983095 LWB2:LWB58 LWB65514:LWB65591 LWB131050:LWB131127 LWB196586:LWB196663 LWB262122:LWB262199 LWB327658:LWB327735 LWB393194:LWB393271 LWB458730:LWB458807 LWB524266:LWB524343 LWB589802:LWB589879 LWB655338:LWB655415 LWB720874:LWB720951 LWB786410:LWB786487 LWB851946:LWB852023 LWB917482:LWB917559 LWB983018:LWB983095 MFX2:MFX58 MFX65514:MFX65591 MFX131050:MFX131127 MFX196586:MFX196663 MFX262122:MFX262199 MFX327658:MFX327735 MFX393194:MFX393271 MFX458730:MFX458807 MFX524266:MFX524343 MFX589802:MFX589879 MFX655338:MFX655415 MFX720874:MFX720951 MFX786410:MFX786487 MFX851946:MFX852023 MFX917482:MFX917559 MFX983018:MFX983095 MPT2:MPT58 MPT65514:MPT65591 MPT131050:MPT131127 MPT196586:MPT196663 MPT262122:MPT262199 MPT327658:MPT327735 MPT393194:MPT393271 MPT458730:MPT458807 MPT524266:MPT524343 MPT589802:MPT589879 MPT655338:MPT655415 MPT720874:MPT720951 MPT786410:MPT786487 MPT851946:MPT852023 MPT917482:MPT917559 MPT983018:MPT983095 MZP2:MZP58 MZP65514:MZP65591 MZP131050:MZP131127 MZP196586:MZP196663 MZP262122:MZP262199 MZP327658:MZP327735 MZP393194:MZP393271 MZP458730:MZP458807 MZP524266:MZP524343 MZP589802:MZP589879 MZP655338:MZP655415 MZP720874:MZP720951 MZP786410:MZP786487 MZP851946:MZP852023 MZP917482:MZP917559 MZP983018:MZP983095 NJL2:NJL58 NJL65514:NJL65591 NJL131050:NJL131127 NJL196586:NJL196663 NJL262122:NJL262199 NJL327658:NJL327735 NJL393194:NJL393271 NJL458730:NJL458807 NJL524266:NJL524343 NJL589802:NJL589879 NJL655338:NJL655415 NJL720874:NJL720951 NJL786410:NJL786487 NJL851946:NJL852023 NJL917482:NJL917559 NJL983018:NJL983095 NTH2:NTH58 NTH65514:NTH65591 NTH131050:NTH131127 NTH196586:NTH196663 NTH262122:NTH262199 NTH327658:NTH327735 NTH393194:NTH393271 NTH458730:NTH458807 NTH524266:NTH524343 NTH589802:NTH589879 NTH655338:NTH655415 NTH720874:NTH720951 NTH786410:NTH786487 NTH851946:NTH852023 NTH917482:NTH917559 NTH983018:NTH983095 ODD2:ODD58 ODD65514:ODD65591 ODD131050:ODD131127 ODD196586:ODD196663 ODD262122:ODD262199 ODD327658:ODD327735 ODD393194:ODD393271 ODD458730:ODD458807 ODD524266:ODD524343 ODD589802:ODD589879 ODD655338:ODD655415 ODD720874:ODD720951 ODD786410:ODD786487 ODD851946:ODD852023 ODD917482:ODD917559 ODD983018:ODD983095 OMZ2:OMZ58 OMZ65514:OMZ65591 OMZ131050:OMZ131127 OMZ196586:OMZ196663 OMZ262122:OMZ262199 OMZ327658:OMZ327735 OMZ393194:OMZ393271 OMZ458730:OMZ458807 OMZ524266:OMZ524343 OMZ589802:OMZ589879 OMZ655338:OMZ655415 OMZ720874:OMZ720951 OMZ786410:OMZ786487 OMZ851946:OMZ852023 OMZ917482:OMZ917559 OMZ983018:OMZ983095 OWV2:OWV58 OWV65514:OWV65591 OWV131050:OWV131127 OWV196586:OWV196663 OWV262122:OWV262199 OWV327658:OWV327735 OWV393194:OWV393271 OWV458730:OWV458807 OWV524266:OWV524343 OWV589802:OWV589879 OWV655338:OWV655415 OWV720874:OWV720951 OWV786410:OWV786487 OWV851946:OWV852023 OWV917482:OWV917559 OWV983018:OWV983095 PGR2:PGR58 PGR65514:PGR65591 PGR131050:PGR131127 PGR196586:PGR196663 PGR262122:PGR262199 PGR327658:PGR327735 PGR393194:PGR393271 PGR458730:PGR458807 PGR524266:PGR524343 PGR589802:PGR589879 PGR655338:PGR655415 PGR720874:PGR720951 PGR786410:PGR786487 PGR851946:PGR852023 PGR917482:PGR917559 PGR983018:PGR983095 PQN2:PQN58 PQN65514:PQN65591 PQN131050:PQN131127 PQN196586:PQN196663 PQN262122:PQN262199 PQN327658:PQN327735 PQN393194:PQN393271 PQN458730:PQN458807 PQN524266:PQN524343 PQN589802:PQN589879 PQN655338:PQN655415 PQN720874:PQN720951 PQN786410:PQN786487 PQN851946:PQN852023 PQN917482:PQN917559 PQN983018:PQN983095 QAJ2:QAJ58 QAJ65514:QAJ65591 QAJ131050:QAJ131127 QAJ196586:QAJ196663 QAJ262122:QAJ262199 QAJ327658:QAJ327735 QAJ393194:QAJ393271 QAJ458730:QAJ458807 QAJ524266:QAJ524343 QAJ589802:QAJ589879 QAJ655338:QAJ655415 QAJ720874:QAJ720951 QAJ786410:QAJ786487 QAJ851946:QAJ852023 QAJ917482:QAJ917559 QAJ983018:QAJ983095 QKF2:QKF58 QKF65514:QKF65591 QKF131050:QKF131127 QKF196586:QKF196663 QKF262122:QKF262199 QKF327658:QKF327735 QKF393194:QKF393271 QKF458730:QKF458807 QKF524266:QKF524343 QKF589802:QKF589879 QKF655338:QKF655415 QKF720874:QKF720951 QKF786410:QKF786487 QKF851946:QKF852023 QKF917482:QKF917559 QKF983018:QKF983095 QUB2:QUB58 QUB65514:QUB65591 QUB131050:QUB131127 QUB196586:QUB196663 QUB262122:QUB262199 QUB327658:QUB327735 QUB393194:QUB393271 QUB458730:QUB458807 QUB524266:QUB524343 QUB589802:QUB589879 QUB655338:QUB655415 QUB720874:QUB720951 QUB786410:QUB786487 QUB851946:QUB852023 QUB917482:QUB917559 QUB983018:QUB983095 RDX2:RDX58 RDX65514:RDX65591 RDX131050:RDX131127 RDX196586:RDX196663 RDX262122:RDX262199 RDX327658:RDX327735 RDX393194:RDX393271 RDX458730:RDX458807 RDX524266:RDX524343 RDX589802:RDX589879 RDX655338:RDX655415 RDX720874:RDX720951 RDX786410:RDX786487 RDX851946:RDX852023 RDX917482:RDX917559 RDX983018:RDX983095 RNT2:RNT58 RNT65514:RNT65591 RNT131050:RNT131127 RNT196586:RNT196663 RNT262122:RNT262199 RNT327658:RNT327735 RNT393194:RNT393271 RNT458730:RNT458807 RNT524266:RNT524343 RNT589802:RNT589879 RNT655338:RNT655415 RNT720874:RNT720951 RNT786410:RNT786487 RNT851946:RNT852023 RNT917482:RNT917559 RNT983018:RNT983095 RXP2:RXP58 RXP65514:RXP65591 RXP131050:RXP131127 RXP196586:RXP196663 RXP262122:RXP262199 RXP327658:RXP327735 RXP393194:RXP393271 RXP458730:RXP458807 RXP524266:RXP524343 RXP589802:RXP589879 RXP655338:RXP655415 RXP720874:RXP720951 RXP786410:RXP786487 RXP851946:RXP852023 RXP917482:RXP917559 RXP983018:RXP983095 SHL2:SHL58 SHL65514:SHL65591 SHL131050:SHL131127 SHL196586:SHL196663 SHL262122:SHL262199 SHL327658:SHL327735 SHL393194:SHL393271 SHL458730:SHL458807 SHL524266:SHL524343 SHL589802:SHL589879 SHL655338:SHL655415 SHL720874:SHL720951 SHL786410:SHL786487 SHL851946:SHL852023 SHL917482:SHL917559 SHL983018:SHL983095 SRH2:SRH58 SRH65514:SRH65591 SRH131050:SRH131127 SRH196586:SRH196663 SRH262122:SRH262199 SRH327658:SRH327735 SRH393194:SRH393271 SRH458730:SRH458807 SRH524266:SRH524343 SRH589802:SRH589879 SRH655338:SRH655415 SRH720874:SRH720951 SRH786410:SRH786487 SRH851946:SRH852023 SRH917482:SRH917559 SRH983018:SRH983095 TBD2:TBD58 TBD65514:TBD65591 TBD131050:TBD131127 TBD196586:TBD196663 TBD262122:TBD262199 TBD327658:TBD327735 TBD393194:TBD393271 TBD458730:TBD458807 TBD524266:TBD524343 TBD589802:TBD589879 TBD655338:TBD655415 TBD720874:TBD720951 TBD786410:TBD786487 TBD851946:TBD852023 TBD917482:TBD917559 TBD983018:TBD983095 TKZ2:TKZ58 TKZ65514:TKZ65591 TKZ131050:TKZ131127 TKZ196586:TKZ196663 TKZ262122:TKZ262199 TKZ327658:TKZ327735 TKZ393194:TKZ393271 TKZ458730:TKZ458807 TKZ524266:TKZ524343 TKZ589802:TKZ589879 TKZ655338:TKZ655415 TKZ720874:TKZ720951 TKZ786410:TKZ786487 TKZ851946:TKZ852023 TKZ917482:TKZ917559 TKZ983018:TKZ983095 TUV2:TUV58 TUV65514:TUV65591 TUV131050:TUV131127 TUV196586:TUV196663 TUV262122:TUV262199 TUV327658:TUV327735 TUV393194:TUV393271 TUV458730:TUV458807 TUV524266:TUV524343 TUV589802:TUV589879 TUV655338:TUV655415 TUV720874:TUV720951 TUV786410:TUV786487 TUV851946:TUV852023 TUV917482:TUV917559 TUV983018:TUV983095 UER2:UER58 UER65514:UER65591 UER131050:UER131127 UER196586:UER196663 UER262122:UER262199 UER327658:UER327735 UER393194:UER393271 UER458730:UER458807 UER524266:UER524343 UER589802:UER589879 UER655338:UER655415 UER720874:UER720951 UER786410:UER786487 UER851946:UER852023 UER917482:UER917559 UER983018:UER983095 UON2:UON58 UON65514:UON65591 UON131050:UON131127 UON196586:UON196663 UON262122:UON262199 UON327658:UON327735 UON393194:UON393271 UON458730:UON458807 UON524266:UON524343 UON589802:UON589879 UON655338:UON655415 UON720874:UON720951 UON786410:UON786487 UON851946:UON852023 UON917482:UON917559 UON983018:UON983095 UYJ2:UYJ58 UYJ65514:UYJ65591 UYJ131050:UYJ131127 UYJ196586:UYJ196663 UYJ262122:UYJ262199 UYJ327658:UYJ327735 UYJ393194:UYJ393271 UYJ458730:UYJ458807 UYJ524266:UYJ524343 UYJ589802:UYJ589879 UYJ655338:UYJ655415 UYJ720874:UYJ720951 UYJ786410:UYJ786487 UYJ851946:UYJ852023 UYJ917482:UYJ917559 UYJ983018:UYJ983095 VIF2:VIF58 VIF65514:VIF65591 VIF131050:VIF131127 VIF196586:VIF196663 VIF262122:VIF262199 VIF327658:VIF327735 VIF393194:VIF393271 VIF458730:VIF458807 VIF524266:VIF524343 VIF589802:VIF589879 VIF655338:VIF655415 VIF720874:VIF720951 VIF786410:VIF786487 VIF851946:VIF852023 VIF917482:VIF917559 VIF983018:VIF983095 VSB2:VSB58 VSB65514:VSB65591 VSB131050:VSB131127 VSB196586:VSB196663 VSB262122:VSB262199 VSB327658:VSB327735 VSB393194:VSB393271 VSB458730:VSB458807 VSB524266:VSB524343 VSB589802:VSB589879 VSB655338:VSB655415 VSB720874:VSB720951 VSB786410:VSB786487 VSB851946:VSB852023 VSB917482:VSB917559 VSB983018:VSB983095 WBX2:WBX58 WBX65514:WBX65591 WBX131050:WBX131127 WBX196586:WBX196663 WBX262122:WBX262199 WBX327658:WBX327735 WBX393194:WBX393271 WBX458730:WBX458807 WBX524266:WBX524343 WBX589802:WBX589879 WBX655338:WBX655415 WBX720874:WBX720951 WBX786410:WBX786487 WBX851946:WBX852023 WBX917482:WBX917559 WBX983018:WBX983095 WLT2:WLT58 WLT65514:WLT65591 WLT131050:WLT131127 WLT196586:WLT196663 WLT262122:WLT262199 WLT327658:WLT327735 WLT393194:WLT393271 WLT458730:WLT458807 WLT524266:WLT524343 WLT589802:WLT589879 WLT655338:WLT655415 WLT720874:WLT720951 WLT786410:WLT786487 WLT851946:WLT852023 WLT917482:WLT917559 WLT983018:WLT983095 WVP2:WVP58 WVP65514:WVP65591 WVP131050:WVP131127 WVP196586:WVP196663 WVP262122:WVP262199 WVP327658:WVP327735 WVP393194:WVP393271 WVP458730:WVP458807 WVP524266:WVP524343 WVP589802:WVP589879 WVP655338:WVP655415 WVP720874:WVP720951 WVP786410:WVP786487 WVP851946:WVP852023 WVP917482:WVP917559 WVP983018:WVP983095">
      <formula1>$AL$4:$AL$12</formula1>
    </dataValidation>
    <dataValidation type="list" allowBlank="1" showInputMessage="1" showErrorMessage="1" sqref="K2:K476 K65514:K65591 K131050:K131127 K196586:K196663 K262122:K262199 K327658:K327735 K393194:K393271 K458730:K458807 K524266:K524343 K589802:K589879 K655338:K655415 K720874:K720951 K786410:K786487 K851946:K852023 K917482:K917559 K983018:K983095 JG2:JG58 JG65514:JG65591 JG131050:JG131127 JG196586:JG196663 JG262122:JG262199 JG327658:JG327735 JG393194:JG393271 JG458730:JG458807 JG524266:JG524343 JG589802:JG589879 JG655338:JG655415 JG720874:JG720951 JG786410:JG786487 JG851946:JG852023 JG917482:JG917559 JG983018:JG983095 TC2:TC58 TC65514:TC65591 TC131050:TC131127 TC196586:TC196663 TC262122:TC262199 TC327658:TC327735 TC393194:TC393271 TC458730:TC458807 TC524266:TC524343 TC589802:TC589879 TC655338:TC655415 TC720874:TC720951 TC786410:TC786487 TC851946:TC852023 TC917482:TC917559 TC983018:TC983095 ACY2:ACY58 ACY65514:ACY65591 ACY131050:ACY131127 ACY196586:ACY196663 ACY262122:ACY262199 ACY327658:ACY327735 ACY393194:ACY393271 ACY458730:ACY458807 ACY524266:ACY524343 ACY589802:ACY589879 ACY655338:ACY655415 ACY720874:ACY720951 ACY786410:ACY786487 ACY851946:ACY852023 ACY917482:ACY917559 ACY983018:ACY983095 AMU2:AMU58 AMU65514:AMU65591 AMU131050:AMU131127 AMU196586:AMU196663 AMU262122:AMU262199 AMU327658:AMU327735 AMU393194:AMU393271 AMU458730:AMU458807 AMU524266:AMU524343 AMU589802:AMU589879 AMU655338:AMU655415 AMU720874:AMU720951 AMU786410:AMU786487 AMU851946:AMU852023 AMU917482:AMU917559 AMU983018:AMU983095 AWQ2:AWQ58 AWQ65514:AWQ65591 AWQ131050:AWQ131127 AWQ196586:AWQ196663 AWQ262122:AWQ262199 AWQ327658:AWQ327735 AWQ393194:AWQ393271 AWQ458730:AWQ458807 AWQ524266:AWQ524343 AWQ589802:AWQ589879 AWQ655338:AWQ655415 AWQ720874:AWQ720951 AWQ786410:AWQ786487 AWQ851946:AWQ852023 AWQ917482:AWQ917559 AWQ983018:AWQ983095 BGM2:BGM58 BGM65514:BGM65591 BGM131050:BGM131127 BGM196586:BGM196663 BGM262122:BGM262199 BGM327658:BGM327735 BGM393194:BGM393271 BGM458730:BGM458807 BGM524266:BGM524343 BGM589802:BGM589879 BGM655338:BGM655415 BGM720874:BGM720951 BGM786410:BGM786487 BGM851946:BGM852023 BGM917482:BGM917559 BGM983018:BGM983095 BQI2:BQI58 BQI65514:BQI65591 BQI131050:BQI131127 BQI196586:BQI196663 BQI262122:BQI262199 BQI327658:BQI327735 BQI393194:BQI393271 BQI458730:BQI458807 BQI524266:BQI524343 BQI589802:BQI589879 BQI655338:BQI655415 BQI720874:BQI720951 BQI786410:BQI786487 BQI851946:BQI852023 BQI917482:BQI917559 BQI983018:BQI983095 CAE2:CAE58 CAE65514:CAE65591 CAE131050:CAE131127 CAE196586:CAE196663 CAE262122:CAE262199 CAE327658:CAE327735 CAE393194:CAE393271 CAE458730:CAE458807 CAE524266:CAE524343 CAE589802:CAE589879 CAE655338:CAE655415 CAE720874:CAE720951 CAE786410:CAE786487 CAE851946:CAE852023 CAE917482:CAE917559 CAE983018:CAE983095 CKA2:CKA58 CKA65514:CKA65591 CKA131050:CKA131127 CKA196586:CKA196663 CKA262122:CKA262199 CKA327658:CKA327735 CKA393194:CKA393271 CKA458730:CKA458807 CKA524266:CKA524343 CKA589802:CKA589879 CKA655338:CKA655415 CKA720874:CKA720951 CKA786410:CKA786487 CKA851946:CKA852023 CKA917482:CKA917559 CKA983018:CKA983095 CTW2:CTW58 CTW65514:CTW65591 CTW131050:CTW131127 CTW196586:CTW196663 CTW262122:CTW262199 CTW327658:CTW327735 CTW393194:CTW393271 CTW458730:CTW458807 CTW524266:CTW524343 CTW589802:CTW589879 CTW655338:CTW655415 CTW720874:CTW720951 CTW786410:CTW786487 CTW851946:CTW852023 CTW917482:CTW917559 CTW983018:CTW983095 DDS2:DDS58 DDS65514:DDS65591 DDS131050:DDS131127 DDS196586:DDS196663 DDS262122:DDS262199 DDS327658:DDS327735 DDS393194:DDS393271 DDS458730:DDS458807 DDS524266:DDS524343 DDS589802:DDS589879 DDS655338:DDS655415 DDS720874:DDS720951 DDS786410:DDS786487 DDS851946:DDS852023 DDS917482:DDS917559 DDS983018:DDS983095 DNO2:DNO58 DNO65514:DNO65591 DNO131050:DNO131127 DNO196586:DNO196663 DNO262122:DNO262199 DNO327658:DNO327735 DNO393194:DNO393271 DNO458730:DNO458807 DNO524266:DNO524343 DNO589802:DNO589879 DNO655338:DNO655415 DNO720874:DNO720951 DNO786410:DNO786487 DNO851946:DNO852023 DNO917482:DNO917559 DNO983018:DNO983095 DXK2:DXK58 DXK65514:DXK65591 DXK131050:DXK131127 DXK196586:DXK196663 DXK262122:DXK262199 DXK327658:DXK327735 DXK393194:DXK393271 DXK458730:DXK458807 DXK524266:DXK524343 DXK589802:DXK589879 DXK655338:DXK655415 DXK720874:DXK720951 DXK786410:DXK786487 DXK851946:DXK852023 DXK917482:DXK917559 DXK983018:DXK983095 EHG2:EHG58 EHG65514:EHG65591 EHG131050:EHG131127 EHG196586:EHG196663 EHG262122:EHG262199 EHG327658:EHG327735 EHG393194:EHG393271 EHG458730:EHG458807 EHG524266:EHG524343 EHG589802:EHG589879 EHG655338:EHG655415 EHG720874:EHG720951 EHG786410:EHG786487 EHG851946:EHG852023 EHG917482:EHG917559 EHG983018:EHG983095 ERC2:ERC58 ERC65514:ERC65591 ERC131050:ERC131127 ERC196586:ERC196663 ERC262122:ERC262199 ERC327658:ERC327735 ERC393194:ERC393271 ERC458730:ERC458807 ERC524266:ERC524343 ERC589802:ERC589879 ERC655338:ERC655415 ERC720874:ERC720951 ERC786410:ERC786487 ERC851946:ERC852023 ERC917482:ERC917559 ERC983018:ERC983095 FAY2:FAY58 FAY65514:FAY65591 FAY131050:FAY131127 FAY196586:FAY196663 FAY262122:FAY262199 FAY327658:FAY327735 FAY393194:FAY393271 FAY458730:FAY458807 FAY524266:FAY524343 FAY589802:FAY589879 FAY655338:FAY655415 FAY720874:FAY720951 FAY786410:FAY786487 FAY851946:FAY852023 FAY917482:FAY917559 FAY983018:FAY983095 FKU2:FKU58 FKU65514:FKU65591 FKU131050:FKU131127 FKU196586:FKU196663 FKU262122:FKU262199 FKU327658:FKU327735 FKU393194:FKU393271 FKU458730:FKU458807 FKU524266:FKU524343 FKU589802:FKU589879 FKU655338:FKU655415 FKU720874:FKU720951 FKU786410:FKU786487 FKU851946:FKU852023 FKU917482:FKU917559 FKU983018:FKU983095 FUQ2:FUQ58 FUQ65514:FUQ65591 FUQ131050:FUQ131127 FUQ196586:FUQ196663 FUQ262122:FUQ262199 FUQ327658:FUQ327735 FUQ393194:FUQ393271 FUQ458730:FUQ458807 FUQ524266:FUQ524343 FUQ589802:FUQ589879 FUQ655338:FUQ655415 FUQ720874:FUQ720951 FUQ786410:FUQ786487 FUQ851946:FUQ852023 FUQ917482:FUQ917559 FUQ983018:FUQ983095 GEM2:GEM58 GEM65514:GEM65591 GEM131050:GEM131127 GEM196586:GEM196663 GEM262122:GEM262199 GEM327658:GEM327735 GEM393194:GEM393271 GEM458730:GEM458807 GEM524266:GEM524343 GEM589802:GEM589879 GEM655338:GEM655415 GEM720874:GEM720951 GEM786410:GEM786487 GEM851946:GEM852023 GEM917482:GEM917559 GEM983018:GEM983095 GOI2:GOI58 GOI65514:GOI65591 GOI131050:GOI131127 GOI196586:GOI196663 GOI262122:GOI262199 GOI327658:GOI327735 GOI393194:GOI393271 GOI458730:GOI458807 GOI524266:GOI524343 GOI589802:GOI589879 GOI655338:GOI655415 GOI720874:GOI720951 GOI786410:GOI786487 GOI851946:GOI852023 GOI917482:GOI917559 GOI983018:GOI983095 GYE2:GYE58 GYE65514:GYE65591 GYE131050:GYE131127 GYE196586:GYE196663 GYE262122:GYE262199 GYE327658:GYE327735 GYE393194:GYE393271 GYE458730:GYE458807 GYE524266:GYE524343 GYE589802:GYE589879 GYE655338:GYE655415 GYE720874:GYE720951 GYE786410:GYE786487 GYE851946:GYE852023 GYE917482:GYE917559 GYE983018:GYE983095 HIA2:HIA58 HIA65514:HIA65591 HIA131050:HIA131127 HIA196586:HIA196663 HIA262122:HIA262199 HIA327658:HIA327735 HIA393194:HIA393271 HIA458730:HIA458807 HIA524266:HIA524343 HIA589802:HIA589879 HIA655338:HIA655415 HIA720874:HIA720951 HIA786410:HIA786487 HIA851946:HIA852023 HIA917482:HIA917559 HIA983018:HIA983095 HRW2:HRW58 HRW65514:HRW65591 HRW131050:HRW131127 HRW196586:HRW196663 HRW262122:HRW262199 HRW327658:HRW327735 HRW393194:HRW393271 HRW458730:HRW458807 HRW524266:HRW524343 HRW589802:HRW589879 HRW655338:HRW655415 HRW720874:HRW720951 HRW786410:HRW786487 HRW851946:HRW852023 HRW917482:HRW917559 HRW983018:HRW983095 IBS2:IBS58 IBS65514:IBS65591 IBS131050:IBS131127 IBS196586:IBS196663 IBS262122:IBS262199 IBS327658:IBS327735 IBS393194:IBS393271 IBS458730:IBS458807 IBS524266:IBS524343 IBS589802:IBS589879 IBS655338:IBS655415 IBS720874:IBS720951 IBS786410:IBS786487 IBS851946:IBS852023 IBS917482:IBS917559 IBS983018:IBS983095 ILO2:ILO58 ILO65514:ILO65591 ILO131050:ILO131127 ILO196586:ILO196663 ILO262122:ILO262199 ILO327658:ILO327735 ILO393194:ILO393271 ILO458730:ILO458807 ILO524266:ILO524343 ILO589802:ILO589879 ILO655338:ILO655415 ILO720874:ILO720951 ILO786410:ILO786487 ILO851946:ILO852023 ILO917482:ILO917559 ILO983018:ILO983095 IVK2:IVK58 IVK65514:IVK65591 IVK131050:IVK131127 IVK196586:IVK196663 IVK262122:IVK262199 IVK327658:IVK327735 IVK393194:IVK393271 IVK458730:IVK458807 IVK524266:IVK524343 IVK589802:IVK589879 IVK655338:IVK655415 IVK720874:IVK720951 IVK786410:IVK786487 IVK851946:IVK852023 IVK917482:IVK917559 IVK983018:IVK983095 JFG2:JFG58 JFG65514:JFG65591 JFG131050:JFG131127 JFG196586:JFG196663 JFG262122:JFG262199 JFG327658:JFG327735 JFG393194:JFG393271 JFG458730:JFG458807 JFG524266:JFG524343 JFG589802:JFG589879 JFG655338:JFG655415 JFG720874:JFG720951 JFG786410:JFG786487 JFG851946:JFG852023 JFG917482:JFG917559 JFG983018:JFG983095 JPC2:JPC58 JPC65514:JPC65591 JPC131050:JPC131127 JPC196586:JPC196663 JPC262122:JPC262199 JPC327658:JPC327735 JPC393194:JPC393271 JPC458730:JPC458807 JPC524266:JPC524343 JPC589802:JPC589879 JPC655338:JPC655415 JPC720874:JPC720951 JPC786410:JPC786487 JPC851946:JPC852023 JPC917482:JPC917559 JPC983018:JPC983095 JYY2:JYY58 JYY65514:JYY65591 JYY131050:JYY131127 JYY196586:JYY196663 JYY262122:JYY262199 JYY327658:JYY327735 JYY393194:JYY393271 JYY458730:JYY458807 JYY524266:JYY524343 JYY589802:JYY589879 JYY655338:JYY655415 JYY720874:JYY720951 JYY786410:JYY786487 JYY851946:JYY852023 JYY917482:JYY917559 JYY983018:JYY983095 KIU2:KIU58 KIU65514:KIU65591 KIU131050:KIU131127 KIU196586:KIU196663 KIU262122:KIU262199 KIU327658:KIU327735 KIU393194:KIU393271 KIU458730:KIU458807 KIU524266:KIU524343 KIU589802:KIU589879 KIU655338:KIU655415 KIU720874:KIU720951 KIU786410:KIU786487 KIU851946:KIU852023 KIU917482:KIU917559 KIU983018:KIU983095 KSQ2:KSQ58 KSQ65514:KSQ65591 KSQ131050:KSQ131127 KSQ196586:KSQ196663 KSQ262122:KSQ262199 KSQ327658:KSQ327735 KSQ393194:KSQ393271 KSQ458730:KSQ458807 KSQ524266:KSQ524343 KSQ589802:KSQ589879 KSQ655338:KSQ655415 KSQ720874:KSQ720951 KSQ786410:KSQ786487 KSQ851946:KSQ852023 KSQ917482:KSQ917559 KSQ983018:KSQ983095 LCM2:LCM58 LCM65514:LCM65591 LCM131050:LCM131127 LCM196586:LCM196663 LCM262122:LCM262199 LCM327658:LCM327735 LCM393194:LCM393271 LCM458730:LCM458807 LCM524266:LCM524343 LCM589802:LCM589879 LCM655338:LCM655415 LCM720874:LCM720951 LCM786410:LCM786487 LCM851946:LCM852023 LCM917482:LCM917559 LCM983018:LCM983095 LMI2:LMI58 LMI65514:LMI65591 LMI131050:LMI131127 LMI196586:LMI196663 LMI262122:LMI262199 LMI327658:LMI327735 LMI393194:LMI393271 LMI458730:LMI458807 LMI524266:LMI524343 LMI589802:LMI589879 LMI655338:LMI655415 LMI720874:LMI720951 LMI786410:LMI786487 LMI851946:LMI852023 LMI917482:LMI917559 LMI983018:LMI983095 LWE2:LWE58 LWE65514:LWE65591 LWE131050:LWE131127 LWE196586:LWE196663 LWE262122:LWE262199 LWE327658:LWE327735 LWE393194:LWE393271 LWE458730:LWE458807 LWE524266:LWE524343 LWE589802:LWE589879 LWE655338:LWE655415 LWE720874:LWE720951 LWE786410:LWE786487 LWE851946:LWE852023 LWE917482:LWE917559 LWE983018:LWE983095 MGA2:MGA58 MGA65514:MGA65591 MGA131050:MGA131127 MGA196586:MGA196663 MGA262122:MGA262199 MGA327658:MGA327735 MGA393194:MGA393271 MGA458730:MGA458807 MGA524266:MGA524343 MGA589802:MGA589879 MGA655338:MGA655415 MGA720874:MGA720951 MGA786410:MGA786487 MGA851946:MGA852023 MGA917482:MGA917559 MGA983018:MGA983095 MPW2:MPW58 MPW65514:MPW65591 MPW131050:MPW131127 MPW196586:MPW196663 MPW262122:MPW262199 MPW327658:MPW327735 MPW393194:MPW393271 MPW458730:MPW458807 MPW524266:MPW524343 MPW589802:MPW589879 MPW655338:MPW655415 MPW720874:MPW720951 MPW786410:MPW786487 MPW851946:MPW852023 MPW917482:MPW917559 MPW983018:MPW983095 MZS2:MZS58 MZS65514:MZS65591 MZS131050:MZS131127 MZS196586:MZS196663 MZS262122:MZS262199 MZS327658:MZS327735 MZS393194:MZS393271 MZS458730:MZS458807 MZS524266:MZS524343 MZS589802:MZS589879 MZS655338:MZS655415 MZS720874:MZS720951 MZS786410:MZS786487 MZS851946:MZS852023 MZS917482:MZS917559 MZS983018:MZS983095 NJO2:NJO58 NJO65514:NJO65591 NJO131050:NJO131127 NJO196586:NJO196663 NJO262122:NJO262199 NJO327658:NJO327735 NJO393194:NJO393271 NJO458730:NJO458807 NJO524266:NJO524343 NJO589802:NJO589879 NJO655338:NJO655415 NJO720874:NJO720951 NJO786410:NJO786487 NJO851946:NJO852023 NJO917482:NJO917559 NJO983018:NJO983095 NTK2:NTK58 NTK65514:NTK65591 NTK131050:NTK131127 NTK196586:NTK196663 NTK262122:NTK262199 NTK327658:NTK327735 NTK393194:NTK393271 NTK458730:NTK458807 NTK524266:NTK524343 NTK589802:NTK589879 NTK655338:NTK655415 NTK720874:NTK720951 NTK786410:NTK786487 NTK851946:NTK852023 NTK917482:NTK917559 NTK983018:NTK983095 ODG2:ODG58 ODG65514:ODG65591 ODG131050:ODG131127 ODG196586:ODG196663 ODG262122:ODG262199 ODG327658:ODG327735 ODG393194:ODG393271 ODG458730:ODG458807 ODG524266:ODG524343 ODG589802:ODG589879 ODG655338:ODG655415 ODG720874:ODG720951 ODG786410:ODG786487 ODG851946:ODG852023 ODG917482:ODG917559 ODG983018:ODG983095 ONC2:ONC58 ONC65514:ONC65591 ONC131050:ONC131127 ONC196586:ONC196663 ONC262122:ONC262199 ONC327658:ONC327735 ONC393194:ONC393271 ONC458730:ONC458807 ONC524266:ONC524343 ONC589802:ONC589879 ONC655338:ONC655415 ONC720874:ONC720951 ONC786410:ONC786487 ONC851946:ONC852023 ONC917482:ONC917559 ONC983018:ONC983095 OWY2:OWY58 OWY65514:OWY65591 OWY131050:OWY131127 OWY196586:OWY196663 OWY262122:OWY262199 OWY327658:OWY327735 OWY393194:OWY393271 OWY458730:OWY458807 OWY524266:OWY524343 OWY589802:OWY589879 OWY655338:OWY655415 OWY720874:OWY720951 OWY786410:OWY786487 OWY851946:OWY852023 OWY917482:OWY917559 OWY983018:OWY983095 PGU2:PGU58 PGU65514:PGU65591 PGU131050:PGU131127 PGU196586:PGU196663 PGU262122:PGU262199 PGU327658:PGU327735 PGU393194:PGU393271 PGU458730:PGU458807 PGU524266:PGU524343 PGU589802:PGU589879 PGU655338:PGU655415 PGU720874:PGU720951 PGU786410:PGU786487 PGU851946:PGU852023 PGU917482:PGU917559 PGU983018:PGU983095 PQQ2:PQQ58 PQQ65514:PQQ65591 PQQ131050:PQQ131127 PQQ196586:PQQ196663 PQQ262122:PQQ262199 PQQ327658:PQQ327735 PQQ393194:PQQ393271 PQQ458730:PQQ458807 PQQ524266:PQQ524343 PQQ589802:PQQ589879 PQQ655338:PQQ655415 PQQ720874:PQQ720951 PQQ786410:PQQ786487 PQQ851946:PQQ852023 PQQ917482:PQQ917559 PQQ983018:PQQ983095 QAM2:QAM58 QAM65514:QAM65591 QAM131050:QAM131127 QAM196586:QAM196663 QAM262122:QAM262199 QAM327658:QAM327735 QAM393194:QAM393271 QAM458730:QAM458807 QAM524266:QAM524343 QAM589802:QAM589879 QAM655338:QAM655415 QAM720874:QAM720951 QAM786410:QAM786487 QAM851946:QAM852023 QAM917482:QAM917559 QAM983018:QAM983095 QKI2:QKI58 QKI65514:QKI65591 QKI131050:QKI131127 QKI196586:QKI196663 QKI262122:QKI262199 QKI327658:QKI327735 QKI393194:QKI393271 QKI458730:QKI458807 QKI524266:QKI524343 QKI589802:QKI589879 QKI655338:QKI655415 QKI720874:QKI720951 QKI786410:QKI786487 QKI851946:QKI852023 QKI917482:QKI917559 QKI983018:QKI983095 QUE2:QUE58 QUE65514:QUE65591 QUE131050:QUE131127 QUE196586:QUE196663 QUE262122:QUE262199 QUE327658:QUE327735 QUE393194:QUE393271 QUE458730:QUE458807 QUE524266:QUE524343 QUE589802:QUE589879 QUE655338:QUE655415 QUE720874:QUE720951 QUE786410:QUE786487 QUE851946:QUE852023 QUE917482:QUE917559 QUE983018:QUE983095 REA2:REA58 REA65514:REA65591 REA131050:REA131127 REA196586:REA196663 REA262122:REA262199 REA327658:REA327735 REA393194:REA393271 REA458730:REA458807 REA524266:REA524343 REA589802:REA589879 REA655338:REA655415 REA720874:REA720951 REA786410:REA786487 REA851946:REA852023 REA917482:REA917559 REA983018:REA983095 RNW2:RNW58 RNW65514:RNW65591 RNW131050:RNW131127 RNW196586:RNW196663 RNW262122:RNW262199 RNW327658:RNW327735 RNW393194:RNW393271 RNW458730:RNW458807 RNW524266:RNW524343 RNW589802:RNW589879 RNW655338:RNW655415 RNW720874:RNW720951 RNW786410:RNW786487 RNW851946:RNW852023 RNW917482:RNW917559 RNW983018:RNW983095 RXS2:RXS58 RXS65514:RXS65591 RXS131050:RXS131127 RXS196586:RXS196663 RXS262122:RXS262199 RXS327658:RXS327735 RXS393194:RXS393271 RXS458730:RXS458807 RXS524266:RXS524343 RXS589802:RXS589879 RXS655338:RXS655415 RXS720874:RXS720951 RXS786410:RXS786487 RXS851946:RXS852023 RXS917482:RXS917559 RXS983018:RXS983095 SHO2:SHO58 SHO65514:SHO65591 SHO131050:SHO131127 SHO196586:SHO196663 SHO262122:SHO262199 SHO327658:SHO327735 SHO393194:SHO393271 SHO458730:SHO458807 SHO524266:SHO524343 SHO589802:SHO589879 SHO655338:SHO655415 SHO720874:SHO720951 SHO786410:SHO786487 SHO851946:SHO852023 SHO917482:SHO917559 SHO983018:SHO983095 SRK2:SRK58 SRK65514:SRK65591 SRK131050:SRK131127 SRK196586:SRK196663 SRK262122:SRK262199 SRK327658:SRK327735 SRK393194:SRK393271 SRK458730:SRK458807 SRK524266:SRK524343 SRK589802:SRK589879 SRK655338:SRK655415 SRK720874:SRK720951 SRK786410:SRK786487 SRK851946:SRK852023 SRK917482:SRK917559 SRK983018:SRK983095 TBG2:TBG58 TBG65514:TBG65591 TBG131050:TBG131127 TBG196586:TBG196663 TBG262122:TBG262199 TBG327658:TBG327735 TBG393194:TBG393271 TBG458730:TBG458807 TBG524266:TBG524343 TBG589802:TBG589879 TBG655338:TBG655415 TBG720874:TBG720951 TBG786410:TBG786487 TBG851946:TBG852023 TBG917482:TBG917559 TBG983018:TBG983095 TLC2:TLC58 TLC65514:TLC65591 TLC131050:TLC131127 TLC196586:TLC196663 TLC262122:TLC262199 TLC327658:TLC327735 TLC393194:TLC393271 TLC458730:TLC458807 TLC524266:TLC524343 TLC589802:TLC589879 TLC655338:TLC655415 TLC720874:TLC720951 TLC786410:TLC786487 TLC851946:TLC852023 TLC917482:TLC917559 TLC983018:TLC983095 TUY2:TUY58 TUY65514:TUY65591 TUY131050:TUY131127 TUY196586:TUY196663 TUY262122:TUY262199 TUY327658:TUY327735 TUY393194:TUY393271 TUY458730:TUY458807 TUY524266:TUY524343 TUY589802:TUY589879 TUY655338:TUY655415 TUY720874:TUY720951 TUY786410:TUY786487 TUY851946:TUY852023 TUY917482:TUY917559 TUY983018:TUY983095 UEU2:UEU58 UEU65514:UEU65591 UEU131050:UEU131127 UEU196586:UEU196663 UEU262122:UEU262199 UEU327658:UEU327735 UEU393194:UEU393271 UEU458730:UEU458807 UEU524266:UEU524343 UEU589802:UEU589879 UEU655338:UEU655415 UEU720874:UEU720951 UEU786410:UEU786487 UEU851946:UEU852023 UEU917482:UEU917559 UEU983018:UEU983095 UOQ2:UOQ58 UOQ65514:UOQ65591 UOQ131050:UOQ131127 UOQ196586:UOQ196663 UOQ262122:UOQ262199 UOQ327658:UOQ327735 UOQ393194:UOQ393271 UOQ458730:UOQ458807 UOQ524266:UOQ524343 UOQ589802:UOQ589879 UOQ655338:UOQ655415 UOQ720874:UOQ720951 UOQ786410:UOQ786487 UOQ851946:UOQ852023 UOQ917482:UOQ917559 UOQ983018:UOQ983095 UYM2:UYM58 UYM65514:UYM65591 UYM131050:UYM131127 UYM196586:UYM196663 UYM262122:UYM262199 UYM327658:UYM327735 UYM393194:UYM393271 UYM458730:UYM458807 UYM524266:UYM524343 UYM589802:UYM589879 UYM655338:UYM655415 UYM720874:UYM720951 UYM786410:UYM786487 UYM851946:UYM852023 UYM917482:UYM917559 UYM983018:UYM983095 VII2:VII58 VII65514:VII65591 VII131050:VII131127 VII196586:VII196663 VII262122:VII262199 VII327658:VII327735 VII393194:VII393271 VII458730:VII458807 VII524266:VII524343 VII589802:VII589879 VII655338:VII655415 VII720874:VII720951 VII786410:VII786487 VII851946:VII852023 VII917482:VII917559 VII983018:VII983095 VSE2:VSE58 VSE65514:VSE65591 VSE131050:VSE131127 VSE196586:VSE196663 VSE262122:VSE262199 VSE327658:VSE327735 VSE393194:VSE393271 VSE458730:VSE458807 VSE524266:VSE524343 VSE589802:VSE589879 VSE655338:VSE655415 VSE720874:VSE720951 VSE786410:VSE786487 VSE851946:VSE852023 VSE917482:VSE917559 VSE983018:VSE983095 WCA2:WCA58 WCA65514:WCA65591 WCA131050:WCA131127 WCA196586:WCA196663 WCA262122:WCA262199 WCA327658:WCA327735 WCA393194:WCA393271 WCA458730:WCA458807 WCA524266:WCA524343 WCA589802:WCA589879 WCA655338:WCA655415 WCA720874:WCA720951 WCA786410:WCA786487 WCA851946:WCA852023 WCA917482:WCA917559 WCA983018:WCA983095 WLW2:WLW58 WLW65514:WLW65591 WLW131050:WLW131127 WLW196586:WLW196663 WLW262122:WLW262199 WLW327658:WLW327735 WLW393194:WLW393271 WLW458730:WLW458807 WLW524266:WLW524343 WLW589802:WLW589879 WLW655338:WLW655415 WLW720874:WLW720951 WLW786410:WLW786487 WLW851946:WLW852023 WLW917482:WLW917559 WLW983018:WLW983095 WVS2:WVS58 WVS65514:WVS65591 WVS131050:WVS131127 WVS196586:WVS196663 WVS262122:WVS262199 WVS327658:WVS327735 WVS393194:WVS393271 WVS458730:WVS458807 WVS524266:WVS524343 WVS589802:WVS589879 WVS655338:WVS655415 WVS720874:WVS720951 WVS786410:WVS786487 WVS851946:WVS852023 WVS917482:WVS917559 WVS983018:WVS983095">
      <formula1>$AR$2:$AR$22</formula1>
    </dataValidation>
    <dataValidation type="list" allowBlank="1" showInputMessage="1" showErrorMessage="1" sqref="J2:J476 J65514:J65591 J131050:J131127 J196586:J196663 J262122:J262199 J327658:J327735 J393194:J393271 J458730:J458807 J524266:J524343 J589802:J589879 J655338:J655415 J720874:J720951 J786410:J786487 J851946:J852023 J917482:J917559 J983018:J983095 JF2:JF58 JF65514:JF65591 JF131050:JF131127 JF196586:JF196663 JF262122:JF262199 JF327658:JF327735 JF393194:JF393271 JF458730:JF458807 JF524266:JF524343 JF589802:JF589879 JF655338:JF655415 JF720874:JF720951 JF786410:JF786487 JF851946:JF852023 JF917482:JF917559 JF983018:JF983095 TB2:TB58 TB65514:TB65591 TB131050:TB131127 TB196586:TB196663 TB262122:TB262199 TB327658:TB327735 TB393194:TB393271 TB458730:TB458807 TB524266:TB524343 TB589802:TB589879 TB655338:TB655415 TB720874:TB720951 TB786410:TB786487 TB851946:TB852023 TB917482:TB917559 TB983018:TB983095 ACX2:ACX58 ACX65514:ACX65591 ACX131050:ACX131127 ACX196586:ACX196663 ACX262122:ACX262199 ACX327658:ACX327735 ACX393194:ACX393271 ACX458730:ACX458807 ACX524266:ACX524343 ACX589802:ACX589879 ACX655338:ACX655415 ACX720874:ACX720951 ACX786410:ACX786487 ACX851946:ACX852023 ACX917482:ACX917559 ACX983018:ACX983095 AMT2:AMT58 AMT65514:AMT65591 AMT131050:AMT131127 AMT196586:AMT196663 AMT262122:AMT262199 AMT327658:AMT327735 AMT393194:AMT393271 AMT458730:AMT458807 AMT524266:AMT524343 AMT589802:AMT589879 AMT655338:AMT655415 AMT720874:AMT720951 AMT786410:AMT786487 AMT851946:AMT852023 AMT917482:AMT917559 AMT983018:AMT983095 AWP2:AWP58 AWP65514:AWP65591 AWP131050:AWP131127 AWP196586:AWP196663 AWP262122:AWP262199 AWP327658:AWP327735 AWP393194:AWP393271 AWP458730:AWP458807 AWP524266:AWP524343 AWP589802:AWP589879 AWP655338:AWP655415 AWP720874:AWP720951 AWP786410:AWP786487 AWP851946:AWP852023 AWP917482:AWP917559 AWP983018:AWP983095 BGL2:BGL58 BGL65514:BGL65591 BGL131050:BGL131127 BGL196586:BGL196663 BGL262122:BGL262199 BGL327658:BGL327735 BGL393194:BGL393271 BGL458730:BGL458807 BGL524266:BGL524343 BGL589802:BGL589879 BGL655338:BGL655415 BGL720874:BGL720951 BGL786410:BGL786487 BGL851946:BGL852023 BGL917482:BGL917559 BGL983018:BGL983095 BQH2:BQH58 BQH65514:BQH65591 BQH131050:BQH131127 BQH196586:BQH196663 BQH262122:BQH262199 BQH327658:BQH327735 BQH393194:BQH393271 BQH458730:BQH458807 BQH524266:BQH524343 BQH589802:BQH589879 BQH655338:BQH655415 BQH720874:BQH720951 BQH786410:BQH786487 BQH851946:BQH852023 BQH917482:BQH917559 BQH983018:BQH983095 CAD2:CAD58 CAD65514:CAD65591 CAD131050:CAD131127 CAD196586:CAD196663 CAD262122:CAD262199 CAD327658:CAD327735 CAD393194:CAD393271 CAD458730:CAD458807 CAD524266:CAD524343 CAD589802:CAD589879 CAD655338:CAD655415 CAD720874:CAD720951 CAD786410:CAD786487 CAD851946:CAD852023 CAD917482:CAD917559 CAD983018:CAD983095 CJZ2:CJZ58 CJZ65514:CJZ65591 CJZ131050:CJZ131127 CJZ196586:CJZ196663 CJZ262122:CJZ262199 CJZ327658:CJZ327735 CJZ393194:CJZ393271 CJZ458730:CJZ458807 CJZ524266:CJZ524343 CJZ589802:CJZ589879 CJZ655338:CJZ655415 CJZ720874:CJZ720951 CJZ786410:CJZ786487 CJZ851946:CJZ852023 CJZ917482:CJZ917559 CJZ983018:CJZ983095 CTV2:CTV58 CTV65514:CTV65591 CTV131050:CTV131127 CTV196586:CTV196663 CTV262122:CTV262199 CTV327658:CTV327735 CTV393194:CTV393271 CTV458730:CTV458807 CTV524266:CTV524343 CTV589802:CTV589879 CTV655338:CTV655415 CTV720874:CTV720951 CTV786410:CTV786487 CTV851946:CTV852023 CTV917482:CTV917559 CTV983018:CTV983095 DDR2:DDR58 DDR65514:DDR65591 DDR131050:DDR131127 DDR196586:DDR196663 DDR262122:DDR262199 DDR327658:DDR327735 DDR393194:DDR393271 DDR458730:DDR458807 DDR524266:DDR524343 DDR589802:DDR589879 DDR655338:DDR655415 DDR720874:DDR720951 DDR786410:DDR786487 DDR851946:DDR852023 DDR917482:DDR917559 DDR983018:DDR983095 DNN2:DNN58 DNN65514:DNN65591 DNN131050:DNN131127 DNN196586:DNN196663 DNN262122:DNN262199 DNN327658:DNN327735 DNN393194:DNN393271 DNN458730:DNN458807 DNN524266:DNN524343 DNN589802:DNN589879 DNN655338:DNN655415 DNN720874:DNN720951 DNN786410:DNN786487 DNN851946:DNN852023 DNN917482:DNN917559 DNN983018:DNN983095 DXJ2:DXJ58 DXJ65514:DXJ65591 DXJ131050:DXJ131127 DXJ196586:DXJ196663 DXJ262122:DXJ262199 DXJ327658:DXJ327735 DXJ393194:DXJ393271 DXJ458730:DXJ458807 DXJ524266:DXJ524343 DXJ589802:DXJ589879 DXJ655338:DXJ655415 DXJ720874:DXJ720951 DXJ786410:DXJ786487 DXJ851946:DXJ852023 DXJ917482:DXJ917559 DXJ983018:DXJ983095 EHF2:EHF58 EHF65514:EHF65591 EHF131050:EHF131127 EHF196586:EHF196663 EHF262122:EHF262199 EHF327658:EHF327735 EHF393194:EHF393271 EHF458730:EHF458807 EHF524266:EHF524343 EHF589802:EHF589879 EHF655338:EHF655415 EHF720874:EHF720951 EHF786410:EHF786487 EHF851946:EHF852023 EHF917482:EHF917559 EHF983018:EHF983095 ERB2:ERB58 ERB65514:ERB65591 ERB131050:ERB131127 ERB196586:ERB196663 ERB262122:ERB262199 ERB327658:ERB327735 ERB393194:ERB393271 ERB458730:ERB458807 ERB524266:ERB524343 ERB589802:ERB589879 ERB655338:ERB655415 ERB720874:ERB720951 ERB786410:ERB786487 ERB851946:ERB852023 ERB917482:ERB917559 ERB983018:ERB983095 FAX2:FAX58 FAX65514:FAX65591 FAX131050:FAX131127 FAX196586:FAX196663 FAX262122:FAX262199 FAX327658:FAX327735 FAX393194:FAX393271 FAX458730:FAX458807 FAX524266:FAX524343 FAX589802:FAX589879 FAX655338:FAX655415 FAX720874:FAX720951 FAX786410:FAX786487 FAX851946:FAX852023 FAX917482:FAX917559 FAX983018:FAX983095 FKT2:FKT58 FKT65514:FKT65591 FKT131050:FKT131127 FKT196586:FKT196663 FKT262122:FKT262199 FKT327658:FKT327735 FKT393194:FKT393271 FKT458730:FKT458807 FKT524266:FKT524343 FKT589802:FKT589879 FKT655338:FKT655415 FKT720874:FKT720951 FKT786410:FKT786487 FKT851946:FKT852023 FKT917482:FKT917559 FKT983018:FKT983095 FUP2:FUP58 FUP65514:FUP65591 FUP131050:FUP131127 FUP196586:FUP196663 FUP262122:FUP262199 FUP327658:FUP327735 FUP393194:FUP393271 FUP458730:FUP458807 FUP524266:FUP524343 FUP589802:FUP589879 FUP655338:FUP655415 FUP720874:FUP720951 FUP786410:FUP786487 FUP851946:FUP852023 FUP917482:FUP917559 FUP983018:FUP983095 GEL2:GEL58 GEL65514:GEL65591 GEL131050:GEL131127 GEL196586:GEL196663 GEL262122:GEL262199 GEL327658:GEL327735 GEL393194:GEL393271 GEL458730:GEL458807 GEL524266:GEL524343 GEL589802:GEL589879 GEL655338:GEL655415 GEL720874:GEL720951 GEL786410:GEL786487 GEL851946:GEL852023 GEL917482:GEL917559 GEL983018:GEL983095 GOH2:GOH58 GOH65514:GOH65591 GOH131050:GOH131127 GOH196586:GOH196663 GOH262122:GOH262199 GOH327658:GOH327735 GOH393194:GOH393271 GOH458730:GOH458807 GOH524266:GOH524343 GOH589802:GOH589879 GOH655338:GOH655415 GOH720874:GOH720951 GOH786410:GOH786487 GOH851946:GOH852023 GOH917482:GOH917559 GOH983018:GOH983095 GYD2:GYD58 GYD65514:GYD65591 GYD131050:GYD131127 GYD196586:GYD196663 GYD262122:GYD262199 GYD327658:GYD327735 GYD393194:GYD393271 GYD458730:GYD458807 GYD524266:GYD524343 GYD589802:GYD589879 GYD655338:GYD655415 GYD720874:GYD720951 GYD786410:GYD786487 GYD851946:GYD852023 GYD917482:GYD917559 GYD983018:GYD983095 HHZ2:HHZ58 HHZ65514:HHZ65591 HHZ131050:HHZ131127 HHZ196586:HHZ196663 HHZ262122:HHZ262199 HHZ327658:HHZ327735 HHZ393194:HHZ393271 HHZ458730:HHZ458807 HHZ524266:HHZ524343 HHZ589802:HHZ589879 HHZ655338:HHZ655415 HHZ720874:HHZ720951 HHZ786410:HHZ786487 HHZ851946:HHZ852023 HHZ917482:HHZ917559 HHZ983018:HHZ983095 HRV2:HRV58 HRV65514:HRV65591 HRV131050:HRV131127 HRV196586:HRV196663 HRV262122:HRV262199 HRV327658:HRV327735 HRV393194:HRV393271 HRV458730:HRV458807 HRV524266:HRV524343 HRV589802:HRV589879 HRV655338:HRV655415 HRV720874:HRV720951 HRV786410:HRV786487 HRV851946:HRV852023 HRV917482:HRV917559 HRV983018:HRV983095 IBR2:IBR58 IBR65514:IBR65591 IBR131050:IBR131127 IBR196586:IBR196663 IBR262122:IBR262199 IBR327658:IBR327735 IBR393194:IBR393271 IBR458730:IBR458807 IBR524266:IBR524343 IBR589802:IBR589879 IBR655338:IBR655415 IBR720874:IBR720951 IBR786410:IBR786487 IBR851946:IBR852023 IBR917482:IBR917559 IBR983018:IBR983095 ILN2:ILN58 ILN65514:ILN65591 ILN131050:ILN131127 ILN196586:ILN196663 ILN262122:ILN262199 ILN327658:ILN327735 ILN393194:ILN393271 ILN458730:ILN458807 ILN524266:ILN524343 ILN589802:ILN589879 ILN655338:ILN655415 ILN720874:ILN720951 ILN786410:ILN786487 ILN851946:ILN852023 ILN917482:ILN917559 ILN983018:ILN983095 IVJ2:IVJ58 IVJ65514:IVJ65591 IVJ131050:IVJ131127 IVJ196586:IVJ196663 IVJ262122:IVJ262199 IVJ327658:IVJ327735 IVJ393194:IVJ393271 IVJ458730:IVJ458807 IVJ524266:IVJ524343 IVJ589802:IVJ589879 IVJ655338:IVJ655415 IVJ720874:IVJ720951 IVJ786410:IVJ786487 IVJ851946:IVJ852023 IVJ917482:IVJ917559 IVJ983018:IVJ983095 JFF2:JFF58 JFF65514:JFF65591 JFF131050:JFF131127 JFF196586:JFF196663 JFF262122:JFF262199 JFF327658:JFF327735 JFF393194:JFF393271 JFF458730:JFF458807 JFF524266:JFF524343 JFF589802:JFF589879 JFF655338:JFF655415 JFF720874:JFF720951 JFF786410:JFF786487 JFF851946:JFF852023 JFF917482:JFF917559 JFF983018:JFF983095 JPB2:JPB58 JPB65514:JPB65591 JPB131050:JPB131127 JPB196586:JPB196663 JPB262122:JPB262199 JPB327658:JPB327735 JPB393194:JPB393271 JPB458730:JPB458807 JPB524266:JPB524343 JPB589802:JPB589879 JPB655338:JPB655415 JPB720874:JPB720951 JPB786410:JPB786487 JPB851946:JPB852023 JPB917482:JPB917559 JPB983018:JPB983095 JYX2:JYX58 JYX65514:JYX65591 JYX131050:JYX131127 JYX196586:JYX196663 JYX262122:JYX262199 JYX327658:JYX327735 JYX393194:JYX393271 JYX458730:JYX458807 JYX524266:JYX524343 JYX589802:JYX589879 JYX655338:JYX655415 JYX720874:JYX720951 JYX786410:JYX786487 JYX851946:JYX852023 JYX917482:JYX917559 JYX983018:JYX983095 KIT2:KIT58 KIT65514:KIT65591 KIT131050:KIT131127 KIT196586:KIT196663 KIT262122:KIT262199 KIT327658:KIT327735 KIT393194:KIT393271 KIT458730:KIT458807 KIT524266:KIT524343 KIT589802:KIT589879 KIT655338:KIT655415 KIT720874:KIT720951 KIT786410:KIT786487 KIT851946:KIT852023 KIT917482:KIT917559 KIT983018:KIT983095 KSP2:KSP58 KSP65514:KSP65591 KSP131050:KSP131127 KSP196586:KSP196663 KSP262122:KSP262199 KSP327658:KSP327735 KSP393194:KSP393271 KSP458730:KSP458807 KSP524266:KSP524343 KSP589802:KSP589879 KSP655338:KSP655415 KSP720874:KSP720951 KSP786410:KSP786487 KSP851946:KSP852023 KSP917482:KSP917559 KSP983018:KSP983095 LCL2:LCL58 LCL65514:LCL65591 LCL131050:LCL131127 LCL196586:LCL196663 LCL262122:LCL262199 LCL327658:LCL327735 LCL393194:LCL393271 LCL458730:LCL458807 LCL524266:LCL524343 LCL589802:LCL589879 LCL655338:LCL655415 LCL720874:LCL720951 LCL786410:LCL786487 LCL851946:LCL852023 LCL917482:LCL917559 LCL983018:LCL983095 LMH2:LMH58 LMH65514:LMH65591 LMH131050:LMH131127 LMH196586:LMH196663 LMH262122:LMH262199 LMH327658:LMH327735 LMH393194:LMH393271 LMH458730:LMH458807 LMH524266:LMH524343 LMH589802:LMH589879 LMH655338:LMH655415 LMH720874:LMH720951 LMH786410:LMH786487 LMH851946:LMH852023 LMH917482:LMH917559 LMH983018:LMH983095 LWD2:LWD58 LWD65514:LWD65591 LWD131050:LWD131127 LWD196586:LWD196663 LWD262122:LWD262199 LWD327658:LWD327735 LWD393194:LWD393271 LWD458730:LWD458807 LWD524266:LWD524343 LWD589802:LWD589879 LWD655338:LWD655415 LWD720874:LWD720951 LWD786410:LWD786487 LWD851946:LWD852023 LWD917482:LWD917559 LWD983018:LWD983095 MFZ2:MFZ58 MFZ65514:MFZ65591 MFZ131050:MFZ131127 MFZ196586:MFZ196663 MFZ262122:MFZ262199 MFZ327658:MFZ327735 MFZ393194:MFZ393271 MFZ458730:MFZ458807 MFZ524266:MFZ524343 MFZ589802:MFZ589879 MFZ655338:MFZ655415 MFZ720874:MFZ720951 MFZ786410:MFZ786487 MFZ851946:MFZ852023 MFZ917482:MFZ917559 MFZ983018:MFZ983095 MPV2:MPV58 MPV65514:MPV65591 MPV131050:MPV131127 MPV196586:MPV196663 MPV262122:MPV262199 MPV327658:MPV327735 MPV393194:MPV393271 MPV458730:MPV458807 MPV524266:MPV524343 MPV589802:MPV589879 MPV655338:MPV655415 MPV720874:MPV720951 MPV786410:MPV786487 MPV851946:MPV852023 MPV917482:MPV917559 MPV983018:MPV983095 MZR2:MZR58 MZR65514:MZR65591 MZR131050:MZR131127 MZR196586:MZR196663 MZR262122:MZR262199 MZR327658:MZR327735 MZR393194:MZR393271 MZR458730:MZR458807 MZR524266:MZR524343 MZR589802:MZR589879 MZR655338:MZR655415 MZR720874:MZR720951 MZR786410:MZR786487 MZR851946:MZR852023 MZR917482:MZR917559 MZR983018:MZR983095 NJN2:NJN58 NJN65514:NJN65591 NJN131050:NJN131127 NJN196586:NJN196663 NJN262122:NJN262199 NJN327658:NJN327735 NJN393194:NJN393271 NJN458730:NJN458807 NJN524266:NJN524343 NJN589802:NJN589879 NJN655338:NJN655415 NJN720874:NJN720951 NJN786410:NJN786487 NJN851946:NJN852023 NJN917482:NJN917559 NJN983018:NJN983095 NTJ2:NTJ58 NTJ65514:NTJ65591 NTJ131050:NTJ131127 NTJ196586:NTJ196663 NTJ262122:NTJ262199 NTJ327658:NTJ327735 NTJ393194:NTJ393271 NTJ458730:NTJ458807 NTJ524266:NTJ524343 NTJ589802:NTJ589879 NTJ655338:NTJ655415 NTJ720874:NTJ720951 NTJ786410:NTJ786487 NTJ851946:NTJ852023 NTJ917482:NTJ917559 NTJ983018:NTJ983095 ODF2:ODF58 ODF65514:ODF65591 ODF131050:ODF131127 ODF196586:ODF196663 ODF262122:ODF262199 ODF327658:ODF327735 ODF393194:ODF393271 ODF458730:ODF458807 ODF524266:ODF524343 ODF589802:ODF589879 ODF655338:ODF655415 ODF720874:ODF720951 ODF786410:ODF786487 ODF851946:ODF852023 ODF917482:ODF917559 ODF983018:ODF983095 ONB2:ONB58 ONB65514:ONB65591 ONB131050:ONB131127 ONB196586:ONB196663 ONB262122:ONB262199 ONB327658:ONB327735 ONB393194:ONB393271 ONB458730:ONB458807 ONB524266:ONB524343 ONB589802:ONB589879 ONB655338:ONB655415 ONB720874:ONB720951 ONB786410:ONB786487 ONB851946:ONB852023 ONB917482:ONB917559 ONB983018:ONB983095 OWX2:OWX58 OWX65514:OWX65591 OWX131050:OWX131127 OWX196586:OWX196663 OWX262122:OWX262199 OWX327658:OWX327735 OWX393194:OWX393271 OWX458730:OWX458807 OWX524266:OWX524343 OWX589802:OWX589879 OWX655338:OWX655415 OWX720874:OWX720951 OWX786410:OWX786487 OWX851946:OWX852023 OWX917482:OWX917559 OWX983018:OWX983095 PGT2:PGT58 PGT65514:PGT65591 PGT131050:PGT131127 PGT196586:PGT196663 PGT262122:PGT262199 PGT327658:PGT327735 PGT393194:PGT393271 PGT458730:PGT458807 PGT524266:PGT524343 PGT589802:PGT589879 PGT655338:PGT655415 PGT720874:PGT720951 PGT786410:PGT786487 PGT851946:PGT852023 PGT917482:PGT917559 PGT983018:PGT983095 PQP2:PQP58 PQP65514:PQP65591 PQP131050:PQP131127 PQP196586:PQP196663 PQP262122:PQP262199 PQP327658:PQP327735 PQP393194:PQP393271 PQP458730:PQP458807 PQP524266:PQP524343 PQP589802:PQP589879 PQP655338:PQP655415 PQP720874:PQP720951 PQP786410:PQP786487 PQP851946:PQP852023 PQP917482:PQP917559 PQP983018:PQP983095 QAL2:QAL58 QAL65514:QAL65591 QAL131050:QAL131127 QAL196586:QAL196663 QAL262122:QAL262199 QAL327658:QAL327735 QAL393194:QAL393271 QAL458730:QAL458807 QAL524266:QAL524343 QAL589802:QAL589879 QAL655338:QAL655415 QAL720874:QAL720951 QAL786410:QAL786487 QAL851946:QAL852023 QAL917482:QAL917559 QAL983018:QAL983095 QKH2:QKH58 QKH65514:QKH65591 QKH131050:QKH131127 QKH196586:QKH196663 QKH262122:QKH262199 QKH327658:QKH327735 QKH393194:QKH393271 QKH458730:QKH458807 QKH524266:QKH524343 QKH589802:QKH589879 QKH655338:QKH655415 QKH720874:QKH720951 QKH786410:QKH786487 QKH851946:QKH852023 QKH917482:QKH917559 QKH983018:QKH983095 QUD2:QUD58 QUD65514:QUD65591 QUD131050:QUD131127 QUD196586:QUD196663 QUD262122:QUD262199 QUD327658:QUD327735 QUD393194:QUD393271 QUD458730:QUD458807 QUD524266:QUD524343 QUD589802:QUD589879 QUD655338:QUD655415 QUD720874:QUD720951 QUD786410:QUD786487 QUD851946:QUD852023 QUD917482:QUD917559 QUD983018:QUD983095 RDZ2:RDZ58 RDZ65514:RDZ65591 RDZ131050:RDZ131127 RDZ196586:RDZ196663 RDZ262122:RDZ262199 RDZ327658:RDZ327735 RDZ393194:RDZ393271 RDZ458730:RDZ458807 RDZ524266:RDZ524343 RDZ589802:RDZ589879 RDZ655338:RDZ655415 RDZ720874:RDZ720951 RDZ786410:RDZ786487 RDZ851946:RDZ852023 RDZ917482:RDZ917559 RDZ983018:RDZ983095 RNV2:RNV58 RNV65514:RNV65591 RNV131050:RNV131127 RNV196586:RNV196663 RNV262122:RNV262199 RNV327658:RNV327735 RNV393194:RNV393271 RNV458730:RNV458807 RNV524266:RNV524343 RNV589802:RNV589879 RNV655338:RNV655415 RNV720874:RNV720951 RNV786410:RNV786487 RNV851946:RNV852023 RNV917482:RNV917559 RNV983018:RNV983095 RXR2:RXR58 RXR65514:RXR65591 RXR131050:RXR131127 RXR196586:RXR196663 RXR262122:RXR262199 RXR327658:RXR327735 RXR393194:RXR393271 RXR458730:RXR458807 RXR524266:RXR524343 RXR589802:RXR589879 RXR655338:RXR655415 RXR720874:RXR720951 RXR786410:RXR786487 RXR851946:RXR852023 RXR917482:RXR917559 RXR983018:RXR983095 SHN2:SHN58 SHN65514:SHN65591 SHN131050:SHN131127 SHN196586:SHN196663 SHN262122:SHN262199 SHN327658:SHN327735 SHN393194:SHN393271 SHN458730:SHN458807 SHN524266:SHN524343 SHN589802:SHN589879 SHN655338:SHN655415 SHN720874:SHN720951 SHN786410:SHN786487 SHN851946:SHN852023 SHN917482:SHN917559 SHN983018:SHN983095 SRJ2:SRJ58 SRJ65514:SRJ65591 SRJ131050:SRJ131127 SRJ196586:SRJ196663 SRJ262122:SRJ262199 SRJ327658:SRJ327735 SRJ393194:SRJ393271 SRJ458730:SRJ458807 SRJ524266:SRJ524343 SRJ589802:SRJ589879 SRJ655338:SRJ655415 SRJ720874:SRJ720951 SRJ786410:SRJ786487 SRJ851946:SRJ852023 SRJ917482:SRJ917559 SRJ983018:SRJ983095 TBF2:TBF58 TBF65514:TBF65591 TBF131050:TBF131127 TBF196586:TBF196663 TBF262122:TBF262199 TBF327658:TBF327735 TBF393194:TBF393271 TBF458730:TBF458807 TBF524266:TBF524343 TBF589802:TBF589879 TBF655338:TBF655415 TBF720874:TBF720951 TBF786410:TBF786487 TBF851946:TBF852023 TBF917482:TBF917559 TBF983018:TBF983095 TLB2:TLB58 TLB65514:TLB65591 TLB131050:TLB131127 TLB196586:TLB196663 TLB262122:TLB262199 TLB327658:TLB327735 TLB393194:TLB393271 TLB458730:TLB458807 TLB524266:TLB524343 TLB589802:TLB589879 TLB655338:TLB655415 TLB720874:TLB720951 TLB786410:TLB786487 TLB851946:TLB852023 TLB917482:TLB917559 TLB983018:TLB983095 TUX2:TUX58 TUX65514:TUX65591 TUX131050:TUX131127 TUX196586:TUX196663 TUX262122:TUX262199 TUX327658:TUX327735 TUX393194:TUX393271 TUX458730:TUX458807 TUX524266:TUX524343 TUX589802:TUX589879 TUX655338:TUX655415 TUX720874:TUX720951 TUX786410:TUX786487 TUX851946:TUX852023 TUX917482:TUX917559 TUX983018:TUX983095 UET2:UET58 UET65514:UET65591 UET131050:UET131127 UET196586:UET196663 UET262122:UET262199 UET327658:UET327735 UET393194:UET393271 UET458730:UET458807 UET524266:UET524343 UET589802:UET589879 UET655338:UET655415 UET720874:UET720951 UET786410:UET786487 UET851946:UET852023 UET917482:UET917559 UET983018:UET983095 UOP2:UOP58 UOP65514:UOP65591 UOP131050:UOP131127 UOP196586:UOP196663 UOP262122:UOP262199 UOP327658:UOP327735 UOP393194:UOP393271 UOP458730:UOP458807 UOP524266:UOP524343 UOP589802:UOP589879 UOP655338:UOP655415 UOP720874:UOP720951 UOP786410:UOP786487 UOP851946:UOP852023 UOP917482:UOP917559 UOP983018:UOP983095 UYL2:UYL58 UYL65514:UYL65591 UYL131050:UYL131127 UYL196586:UYL196663 UYL262122:UYL262199 UYL327658:UYL327735 UYL393194:UYL393271 UYL458730:UYL458807 UYL524266:UYL524343 UYL589802:UYL589879 UYL655338:UYL655415 UYL720874:UYL720951 UYL786410:UYL786487 UYL851946:UYL852023 UYL917482:UYL917559 UYL983018:UYL983095 VIH2:VIH58 VIH65514:VIH65591 VIH131050:VIH131127 VIH196586:VIH196663 VIH262122:VIH262199 VIH327658:VIH327735 VIH393194:VIH393271 VIH458730:VIH458807 VIH524266:VIH524343 VIH589802:VIH589879 VIH655338:VIH655415 VIH720874:VIH720951 VIH786410:VIH786487 VIH851946:VIH852023 VIH917482:VIH917559 VIH983018:VIH983095 VSD2:VSD58 VSD65514:VSD65591 VSD131050:VSD131127 VSD196586:VSD196663 VSD262122:VSD262199 VSD327658:VSD327735 VSD393194:VSD393271 VSD458730:VSD458807 VSD524266:VSD524343 VSD589802:VSD589879 VSD655338:VSD655415 VSD720874:VSD720951 VSD786410:VSD786487 VSD851946:VSD852023 VSD917482:VSD917559 VSD983018:VSD983095 WBZ2:WBZ58 WBZ65514:WBZ65591 WBZ131050:WBZ131127 WBZ196586:WBZ196663 WBZ262122:WBZ262199 WBZ327658:WBZ327735 WBZ393194:WBZ393271 WBZ458730:WBZ458807 WBZ524266:WBZ524343 WBZ589802:WBZ589879 WBZ655338:WBZ655415 WBZ720874:WBZ720951 WBZ786410:WBZ786487 WBZ851946:WBZ852023 WBZ917482:WBZ917559 WBZ983018:WBZ983095 WLV2:WLV58 WLV65514:WLV65591 WLV131050:WLV131127 WLV196586:WLV196663 WLV262122:WLV262199 WLV327658:WLV327735 WLV393194:WLV393271 WLV458730:WLV458807 WLV524266:WLV524343 WLV589802:WLV589879 WLV655338:WLV655415 WLV720874:WLV720951 WLV786410:WLV786487 WLV851946:WLV852023 WLV917482:WLV917559 WLV983018:WLV983095 WVR2:WVR58 WVR65514:WVR65591 WVR131050:WVR131127 WVR196586:WVR196663 WVR262122:WVR262199 WVR327658:WVR327735 WVR393194:WVR393271 WVR458730:WVR458807 WVR524266:WVR524343 WVR589802:WVR589879 WVR655338:WVR655415 WVR720874:WVR720951 WVR786410:WVR786487 WVR851946:WVR852023 WVR917482:WVR917559 WVR983018:WVR983095">
      <formula1>$AP$2:$AP$22</formula1>
    </dataValidation>
    <dataValidation type="list" allowBlank="1" showInputMessage="1" showErrorMessage="1" sqref="H2:H476">
      <formula1>$AL$2:$AL$8</formula1>
    </dataValidation>
    <dataValidation type="list" allowBlank="1" showInputMessage="1" showErrorMessage="1" sqref="Y2:AA476 JU2:JW58 ANI2:ANK58 BQW2:BQY58 CUK2:CUM58 DXY2:DYA58 FBM2:FBO58 GFA2:GFC58 HIO2:HIQ58 IMC2:IME58 JPQ2:JPS58 KTE2:KTG58 LWS2:LWU58 NAG2:NAI58 ODU2:ODW58 PHI2:PHK58 QKW2:QKY58 ROK2:ROM58 SRY2:SSA58 TVM2:TVO58 UZA2:UZC58 WCO2:WCQ58 TQ2:TS58 AXE2:AXG58 CAS2:CAU58 DEG2:DEI58 EHU2:EHW58 FLI2:FLK58 GOW2:GOY58 HSK2:HSM58 IVY2:IWA58 JZM2:JZO58 LDA2:LDC58 MGO2:MGQ58 NKC2:NKE58 ONQ2:ONS58 PRE2:PRG58 QUS2:QUU58 RYG2:RYI58 TBU2:TBW58 UFI2:UFK58 VIW2:VIY58 WMK2:WMM58 ADM2:ADO58 BHA2:BHC58 CKO2:CKQ58 DOC2:DOE58 ERQ2:ERS58 FVE2:FVG58 GYS2:GYU58 ICG2:ICI58 JFU2:JFW58 KJI2:KJK58 LMW2:LMY58 MQK2:MQM58 NTY2:NUA58 OXM2:OXO58 QBA2:QBC58 REO2:REQ58 SIC2:SIE58 TLQ2:TLS58 UPE2:UPG58 VSS2:VSU58 WWG2:WWI58 Y983018:AA983095 ADM983018:ADO983095 BHA983018:BHC983095 CKO983018:CKQ983095 DOC983018:DOE983095 ERQ983018:ERS983095 FVE983018:FVG983095 GYS983018:GYU983095 ICG983018:ICI983095 JFU983018:JFW983095 KJI983018:KJK983095 LMW983018:LMY983095 MQK983018:MQM983095 NTY983018:NUA983095 OXM983018:OXO983095 QBA983018:QBC983095 REO983018:REQ983095 SIC983018:SIE983095 TLQ983018:TLS983095 UPE983018:UPG983095 VSS983018:VSU983095 WWG983018:WWI983095 Y65514:AA65591 ADM65514:ADO65591 BHA65514:BHC65591 CKO65514:CKQ65591 DOC65514:DOE65591 ERQ65514:ERS65591 FVE65514:FVG65591 GYS65514:GYU65591 ICG65514:ICI65591 JFU65514:JFW65591 KJI65514:KJK65591 LMW65514:LMY65591 MQK65514:MQM65591 NTY65514:NUA65591 OXM65514:OXO65591 QBA65514:QBC65591 REO65514:REQ65591 SIC65514:SIE65591 TLQ65514:TLS65591 UPE65514:UPG65591 VSS65514:VSU65591 WWG65514:WWI65591 JU65514:JW65591 ANI65514:ANK65591 BQW65514:BQY65591 CUK65514:CUM65591 DXY65514:DYA65591 FBM65514:FBO65591 GFA65514:GFC65591 HIO65514:HIQ65591 IMC65514:IME65591 JPQ65514:JPS65591 KTE65514:KTG65591 LWS65514:LWU65591 NAG65514:NAI65591 ODU65514:ODW65591 PHI65514:PHK65591 QKW65514:QKY65591 ROK65514:ROM65591 SRY65514:SSA65591 TVM65514:TVO65591 UZA65514:UZC65591 WCO65514:WCQ65591 TQ65514:TS65591 AXE65514:AXG65591 CAS65514:CAU65591 DEG65514:DEI65591 EHU65514:EHW65591 FLI65514:FLK65591 GOW65514:GOY65591 HSK65514:HSM65591 IVY65514:IWA65591 JZM65514:JZO65591 LDA65514:LDC65591 MGO65514:MGQ65591 NKC65514:NKE65591 ONQ65514:ONS65591 PRE65514:PRG65591 QUS65514:QUU65591 RYG65514:RYI65591 TBU65514:TBW65591 UFI65514:UFK65591 VIW65514:VIY65591 WMK65514:WMM65591 Y131050:AA131127 ADM131050:ADO131127 BHA131050:BHC131127 CKO131050:CKQ131127 DOC131050:DOE131127 ERQ131050:ERS131127 FVE131050:FVG131127 GYS131050:GYU131127 ICG131050:ICI131127 JFU131050:JFW131127 KJI131050:KJK131127 LMW131050:LMY131127 MQK131050:MQM131127 NTY131050:NUA131127 OXM131050:OXO131127 QBA131050:QBC131127 REO131050:REQ131127 SIC131050:SIE131127 TLQ131050:TLS131127 UPE131050:UPG131127 VSS131050:VSU131127 WWG131050:WWI131127 JU131050:JW131127 ANI131050:ANK131127 BQW131050:BQY131127 CUK131050:CUM131127 DXY131050:DYA131127 FBM131050:FBO131127 GFA131050:GFC131127 HIO131050:HIQ131127 IMC131050:IME131127 JPQ131050:JPS131127 KTE131050:KTG131127 LWS131050:LWU131127 NAG131050:NAI131127 ODU131050:ODW131127 PHI131050:PHK131127 QKW131050:QKY131127 ROK131050:ROM131127 SRY131050:SSA131127 TVM131050:TVO131127 UZA131050:UZC131127 WCO131050:WCQ131127 TQ131050:TS131127 AXE131050:AXG131127 CAS131050:CAU131127 DEG131050:DEI131127 EHU131050:EHW131127 FLI131050:FLK131127 GOW131050:GOY131127 HSK131050:HSM131127 IVY131050:IWA131127 JZM131050:JZO131127 LDA131050:LDC131127 MGO131050:MGQ131127 NKC131050:NKE131127 ONQ131050:ONS131127 PRE131050:PRG131127 QUS131050:QUU131127 RYG131050:RYI131127 TBU131050:TBW131127 UFI131050:UFK131127 VIW131050:VIY131127 WMK131050:WMM131127 Y196586:AA196663 ADM196586:ADO196663 BHA196586:BHC196663 CKO196586:CKQ196663 DOC196586:DOE196663 ERQ196586:ERS196663 FVE196586:FVG196663 GYS196586:GYU196663 ICG196586:ICI196663 JFU196586:JFW196663 KJI196586:KJK196663 LMW196586:LMY196663 MQK196586:MQM196663 NTY196586:NUA196663 OXM196586:OXO196663 QBA196586:QBC196663 REO196586:REQ196663 SIC196586:SIE196663 TLQ196586:TLS196663 UPE196586:UPG196663 VSS196586:VSU196663 WWG196586:WWI196663 JU196586:JW196663 ANI196586:ANK196663 BQW196586:BQY196663 CUK196586:CUM196663 DXY196586:DYA196663 FBM196586:FBO196663 GFA196586:GFC196663 HIO196586:HIQ196663 IMC196586:IME196663 JPQ196586:JPS196663 KTE196586:KTG196663 LWS196586:LWU196663 NAG196586:NAI196663 ODU196586:ODW196663 PHI196586:PHK196663 QKW196586:QKY196663 ROK196586:ROM196663 SRY196586:SSA196663 TVM196586:TVO196663 UZA196586:UZC196663 WCO196586:WCQ196663 TQ196586:TS196663 AXE196586:AXG196663 CAS196586:CAU196663 DEG196586:DEI196663 EHU196586:EHW196663 FLI196586:FLK196663 GOW196586:GOY196663 HSK196586:HSM196663 IVY196586:IWA196663 JZM196586:JZO196663 LDA196586:LDC196663 MGO196586:MGQ196663 NKC196586:NKE196663 ONQ196586:ONS196663 PRE196586:PRG196663 QUS196586:QUU196663 RYG196586:RYI196663 TBU196586:TBW196663 UFI196586:UFK196663 VIW196586:VIY196663 WMK196586:WMM196663 Y262122:AA262199 ADM262122:ADO262199 BHA262122:BHC262199 CKO262122:CKQ262199 DOC262122:DOE262199 ERQ262122:ERS262199 FVE262122:FVG262199 GYS262122:GYU262199 ICG262122:ICI262199 JFU262122:JFW262199 KJI262122:KJK262199 LMW262122:LMY262199 MQK262122:MQM262199 NTY262122:NUA262199 OXM262122:OXO262199 QBA262122:QBC262199 REO262122:REQ262199 SIC262122:SIE262199 TLQ262122:TLS262199 UPE262122:UPG262199 VSS262122:VSU262199 WWG262122:WWI262199 JU262122:JW262199 ANI262122:ANK262199 BQW262122:BQY262199 CUK262122:CUM262199 DXY262122:DYA262199 FBM262122:FBO262199 GFA262122:GFC262199 HIO262122:HIQ262199 IMC262122:IME262199 JPQ262122:JPS262199 KTE262122:KTG262199 LWS262122:LWU262199 NAG262122:NAI262199 ODU262122:ODW262199 PHI262122:PHK262199 QKW262122:QKY262199 ROK262122:ROM262199 SRY262122:SSA262199 TVM262122:TVO262199 UZA262122:UZC262199 WCO262122:WCQ262199 TQ262122:TS262199 AXE262122:AXG262199 CAS262122:CAU262199 DEG262122:DEI262199 EHU262122:EHW262199 FLI262122:FLK262199 GOW262122:GOY262199 HSK262122:HSM262199 IVY262122:IWA262199 JZM262122:JZO262199 LDA262122:LDC262199 MGO262122:MGQ262199 NKC262122:NKE262199 ONQ262122:ONS262199 PRE262122:PRG262199 QUS262122:QUU262199 RYG262122:RYI262199 TBU262122:TBW262199 UFI262122:UFK262199 VIW262122:VIY262199 WMK262122:WMM262199 Y327658:AA327735 ADM327658:ADO327735 BHA327658:BHC327735 CKO327658:CKQ327735 DOC327658:DOE327735 ERQ327658:ERS327735 FVE327658:FVG327735 GYS327658:GYU327735 ICG327658:ICI327735 JFU327658:JFW327735 KJI327658:KJK327735 LMW327658:LMY327735 MQK327658:MQM327735 NTY327658:NUA327735 OXM327658:OXO327735 QBA327658:QBC327735 REO327658:REQ327735 SIC327658:SIE327735 TLQ327658:TLS327735 UPE327658:UPG327735 VSS327658:VSU327735 WWG327658:WWI327735 JU327658:JW327735 ANI327658:ANK327735 BQW327658:BQY327735 CUK327658:CUM327735 DXY327658:DYA327735 FBM327658:FBO327735 GFA327658:GFC327735 HIO327658:HIQ327735 IMC327658:IME327735 JPQ327658:JPS327735 KTE327658:KTG327735 LWS327658:LWU327735 NAG327658:NAI327735 ODU327658:ODW327735 PHI327658:PHK327735 QKW327658:QKY327735 ROK327658:ROM327735 SRY327658:SSA327735 TVM327658:TVO327735 UZA327658:UZC327735 WCO327658:WCQ327735 TQ327658:TS327735 AXE327658:AXG327735 CAS327658:CAU327735 DEG327658:DEI327735 EHU327658:EHW327735 FLI327658:FLK327735 GOW327658:GOY327735 HSK327658:HSM327735 IVY327658:IWA327735 JZM327658:JZO327735 LDA327658:LDC327735 MGO327658:MGQ327735 NKC327658:NKE327735 ONQ327658:ONS327735 PRE327658:PRG327735 QUS327658:QUU327735 RYG327658:RYI327735 TBU327658:TBW327735 UFI327658:UFK327735 VIW327658:VIY327735 WMK327658:WMM327735 Y393194:AA393271 ADM393194:ADO393271 BHA393194:BHC393271 CKO393194:CKQ393271 DOC393194:DOE393271 ERQ393194:ERS393271 FVE393194:FVG393271 GYS393194:GYU393271 ICG393194:ICI393271 JFU393194:JFW393271 KJI393194:KJK393271 LMW393194:LMY393271 MQK393194:MQM393271 NTY393194:NUA393271 OXM393194:OXO393271 QBA393194:QBC393271 REO393194:REQ393271 SIC393194:SIE393271 TLQ393194:TLS393271 UPE393194:UPG393271 VSS393194:VSU393271 WWG393194:WWI393271 JU393194:JW393271 ANI393194:ANK393271 BQW393194:BQY393271 CUK393194:CUM393271 DXY393194:DYA393271 FBM393194:FBO393271 GFA393194:GFC393271 HIO393194:HIQ393271 IMC393194:IME393271 JPQ393194:JPS393271 KTE393194:KTG393271 LWS393194:LWU393271 NAG393194:NAI393271 ODU393194:ODW393271 PHI393194:PHK393271 QKW393194:QKY393271 ROK393194:ROM393271 SRY393194:SSA393271 TVM393194:TVO393271 UZA393194:UZC393271 WCO393194:WCQ393271 TQ393194:TS393271 AXE393194:AXG393271 CAS393194:CAU393271 DEG393194:DEI393271 EHU393194:EHW393271 FLI393194:FLK393271 GOW393194:GOY393271 HSK393194:HSM393271 IVY393194:IWA393271 JZM393194:JZO393271 LDA393194:LDC393271 MGO393194:MGQ393271 NKC393194:NKE393271 ONQ393194:ONS393271 PRE393194:PRG393271 QUS393194:QUU393271 RYG393194:RYI393271 TBU393194:TBW393271 UFI393194:UFK393271 VIW393194:VIY393271 WMK393194:WMM393271 Y458730:AA458807 ADM458730:ADO458807 BHA458730:BHC458807 CKO458730:CKQ458807 DOC458730:DOE458807 ERQ458730:ERS458807 FVE458730:FVG458807 GYS458730:GYU458807 ICG458730:ICI458807 JFU458730:JFW458807 KJI458730:KJK458807 LMW458730:LMY458807 MQK458730:MQM458807 NTY458730:NUA458807 OXM458730:OXO458807 QBA458730:QBC458807 REO458730:REQ458807 SIC458730:SIE458807 TLQ458730:TLS458807 UPE458730:UPG458807 VSS458730:VSU458807 WWG458730:WWI458807 JU458730:JW458807 ANI458730:ANK458807 BQW458730:BQY458807 CUK458730:CUM458807 DXY458730:DYA458807 FBM458730:FBO458807 GFA458730:GFC458807 HIO458730:HIQ458807 IMC458730:IME458807 JPQ458730:JPS458807 KTE458730:KTG458807 LWS458730:LWU458807 NAG458730:NAI458807 ODU458730:ODW458807 PHI458730:PHK458807 QKW458730:QKY458807 ROK458730:ROM458807 SRY458730:SSA458807 TVM458730:TVO458807 UZA458730:UZC458807 WCO458730:WCQ458807 TQ458730:TS458807 AXE458730:AXG458807 CAS458730:CAU458807 DEG458730:DEI458807 EHU458730:EHW458807 FLI458730:FLK458807 GOW458730:GOY458807 HSK458730:HSM458807 IVY458730:IWA458807 JZM458730:JZO458807 LDA458730:LDC458807 MGO458730:MGQ458807 NKC458730:NKE458807 ONQ458730:ONS458807 PRE458730:PRG458807 QUS458730:QUU458807 RYG458730:RYI458807 TBU458730:TBW458807 UFI458730:UFK458807 VIW458730:VIY458807 WMK458730:WMM458807 Y524266:AA524343 ADM524266:ADO524343 BHA524266:BHC524343 CKO524266:CKQ524343 DOC524266:DOE524343 ERQ524266:ERS524343 FVE524266:FVG524343 GYS524266:GYU524343 ICG524266:ICI524343 JFU524266:JFW524343 KJI524266:KJK524343 LMW524266:LMY524343 MQK524266:MQM524343 NTY524266:NUA524343 OXM524266:OXO524343 QBA524266:QBC524343 REO524266:REQ524343 SIC524266:SIE524343 TLQ524266:TLS524343 UPE524266:UPG524343 VSS524266:VSU524343 WWG524266:WWI524343 JU524266:JW524343 ANI524266:ANK524343 BQW524266:BQY524343 CUK524266:CUM524343 DXY524266:DYA524343 FBM524266:FBO524343 GFA524266:GFC524343 HIO524266:HIQ524343 IMC524266:IME524343 JPQ524266:JPS524343 KTE524266:KTG524343 LWS524266:LWU524343 NAG524266:NAI524343 ODU524266:ODW524343 PHI524266:PHK524343 QKW524266:QKY524343 ROK524266:ROM524343 SRY524266:SSA524343 TVM524266:TVO524343 UZA524266:UZC524343 WCO524266:WCQ524343 TQ524266:TS524343 AXE524266:AXG524343 CAS524266:CAU524343 DEG524266:DEI524343 EHU524266:EHW524343 FLI524266:FLK524343 GOW524266:GOY524343 HSK524266:HSM524343 IVY524266:IWA524343 JZM524266:JZO524343 LDA524266:LDC524343 MGO524266:MGQ524343 NKC524266:NKE524343 ONQ524266:ONS524343 PRE524266:PRG524343 QUS524266:QUU524343 RYG524266:RYI524343 TBU524266:TBW524343 UFI524266:UFK524343 VIW524266:VIY524343 WMK524266:WMM524343 Y589802:AA589879 ADM589802:ADO589879 BHA589802:BHC589879 CKO589802:CKQ589879 DOC589802:DOE589879 ERQ589802:ERS589879 FVE589802:FVG589879 GYS589802:GYU589879 ICG589802:ICI589879 JFU589802:JFW589879 KJI589802:KJK589879 LMW589802:LMY589879 MQK589802:MQM589879 NTY589802:NUA589879 OXM589802:OXO589879 QBA589802:QBC589879 REO589802:REQ589879 SIC589802:SIE589879 TLQ589802:TLS589879 UPE589802:UPG589879 VSS589802:VSU589879 WWG589802:WWI589879 JU589802:JW589879 ANI589802:ANK589879 BQW589802:BQY589879 CUK589802:CUM589879 DXY589802:DYA589879 FBM589802:FBO589879 GFA589802:GFC589879 HIO589802:HIQ589879 IMC589802:IME589879 JPQ589802:JPS589879 KTE589802:KTG589879 LWS589802:LWU589879 NAG589802:NAI589879 ODU589802:ODW589879 PHI589802:PHK589879 QKW589802:QKY589879 ROK589802:ROM589879 SRY589802:SSA589879 TVM589802:TVO589879 UZA589802:UZC589879 WCO589802:WCQ589879 TQ589802:TS589879 AXE589802:AXG589879 CAS589802:CAU589879 DEG589802:DEI589879 EHU589802:EHW589879 FLI589802:FLK589879 GOW589802:GOY589879 HSK589802:HSM589879 IVY589802:IWA589879 JZM589802:JZO589879 LDA589802:LDC589879 MGO589802:MGQ589879 NKC589802:NKE589879 ONQ589802:ONS589879 PRE589802:PRG589879 QUS589802:QUU589879 RYG589802:RYI589879 TBU589802:TBW589879 UFI589802:UFK589879 VIW589802:VIY589879 WMK589802:WMM589879 Y655338:AA655415 ADM655338:ADO655415 BHA655338:BHC655415 CKO655338:CKQ655415 DOC655338:DOE655415 ERQ655338:ERS655415 FVE655338:FVG655415 GYS655338:GYU655415 ICG655338:ICI655415 JFU655338:JFW655415 KJI655338:KJK655415 LMW655338:LMY655415 MQK655338:MQM655415 NTY655338:NUA655415 OXM655338:OXO655415 QBA655338:QBC655415 REO655338:REQ655415 SIC655338:SIE655415 TLQ655338:TLS655415 UPE655338:UPG655415 VSS655338:VSU655415 WWG655338:WWI655415 JU655338:JW655415 ANI655338:ANK655415 BQW655338:BQY655415 CUK655338:CUM655415 DXY655338:DYA655415 FBM655338:FBO655415 GFA655338:GFC655415 HIO655338:HIQ655415 IMC655338:IME655415 JPQ655338:JPS655415 KTE655338:KTG655415 LWS655338:LWU655415 NAG655338:NAI655415 ODU655338:ODW655415 PHI655338:PHK655415 QKW655338:QKY655415 ROK655338:ROM655415 SRY655338:SSA655415 TVM655338:TVO655415 UZA655338:UZC655415 WCO655338:WCQ655415 TQ655338:TS655415 AXE655338:AXG655415 CAS655338:CAU655415 DEG655338:DEI655415 EHU655338:EHW655415 FLI655338:FLK655415 GOW655338:GOY655415 HSK655338:HSM655415 IVY655338:IWA655415 JZM655338:JZO655415 LDA655338:LDC655415 MGO655338:MGQ655415 NKC655338:NKE655415 ONQ655338:ONS655415 PRE655338:PRG655415 QUS655338:QUU655415 RYG655338:RYI655415 TBU655338:TBW655415 UFI655338:UFK655415 VIW655338:VIY655415 WMK655338:WMM655415 Y720874:AA720951 ADM720874:ADO720951 BHA720874:BHC720951 CKO720874:CKQ720951 DOC720874:DOE720951 ERQ720874:ERS720951 FVE720874:FVG720951 GYS720874:GYU720951 ICG720874:ICI720951 JFU720874:JFW720951 KJI720874:KJK720951 LMW720874:LMY720951 MQK720874:MQM720951 NTY720874:NUA720951 OXM720874:OXO720951 QBA720874:QBC720951 REO720874:REQ720951 SIC720874:SIE720951 TLQ720874:TLS720951 UPE720874:UPG720951 VSS720874:VSU720951 WWG720874:WWI720951 JU720874:JW720951 ANI720874:ANK720951 BQW720874:BQY720951 CUK720874:CUM720951 DXY720874:DYA720951 FBM720874:FBO720951 GFA720874:GFC720951 HIO720874:HIQ720951 IMC720874:IME720951 JPQ720874:JPS720951 KTE720874:KTG720951 LWS720874:LWU720951 NAG720874:NAI720951 ODU720874:ODW720951 PHI720874:PHK720951 QKW720874:QKY720951 ROK720874:ROM720951 SRY720874:SSA720951 TVM720874:TVO720951 UZA720874:UZC720951 WCO720874:WCQ720951 TQ720874:TS720951 AXE720874:AXG720951 CAS720874:CAU720951 DEG720874:DEI720951 EHU720874:EHW720951 FLI720874:FLK720951 GOW720874:GOY720951 HSK720874:HSM720951 IVY720874:IWA720951 JZM720874:JZO720951 LDA720874:LDC720951 MGO720874:MGQ720951 NKC720874:NKE720951 ONQ720874:ONS720951 PRE720874:PRG720951 QUS720874:QUU720951 RYG720874:RYI720951 TBU720874:TBW720951 UFI720874:UFK720951 VIW720874:VIY720951 WMK720874:WMM720951 Y786410:AA786487 ADM786410:ADO786487 BHA786410:BHC786487 CKO786410:CKQ786487 DOC786410:DOE786487 ERQ786410:ERS786487 FVE786410:FVG786487 GYS786410:GYU786487 ICG786410:ICI786487 JFU786410:JFW786487 KJI786410:KJK786487 LMW786410:LMY786487 MQK786410:MQM786487 NTY786410:NUA786487 OXM786410:OXO786487 QBA786410:QBC786487 REO786410:REQ786487 SIC786410:SIE786487 TLQ786410:TLS786487 UPE786410:UPG786487 VSS786410:VSU786487 WWG786410:WWI786487 JU786410:JW786487 ANI786410:ANK786487 BQW786410:BQY786487 CUK786410:CUM786487 DXY786410:DYA786487 FBM786410:FBO786487 GFA786410:GFC786487 HIO786410:HIQ786487 IMC786410:IME786487 JPQ786410:JPS786487 KTE786410:KTG786487 LWS786410:LWU786487 NAG786410:NAI786487 ODU786410:ODW786487 PHI786410:PHK786487 QKW786410:QKY786487 ROK786410:ROM786487 SRY786410:SSA786487 TVM786410:TVO786487 UZA786410:UZC786487 WCO786410:WCQ786487 TQ786410:TS786487 AXE786410:AXG786487 CAS786410:CAU786487 DEG786410:DEI786487 EHU786410:EHW786487 FLI786410:FLK786487 GOW786410:GOY786487 HSK786410:HSM786487 IVY786410:IWA786487 JZM786410:JZO786487 LDA786410:LDC786487 MGO786410:MGQ786487 NKC786410:NKE786487 ONQ786410:ONS786487 PRE786410:PRG786487 QUS786410:QUU786487 RYG786410:RYI786487 TBU786410:TBW786487 UFI786410:UFK786487 VIW786410:VIY786487 WMK786410:WMM786487 Y851946:AA852023 ADM851946:ADO852023 BHA851946:BHC852023 CKO851946:CKQ852023 DOC851946:DOE852023 ERQ851946:ERS852023 FVE851946:FVG852023 GYS851946:GYU852023 ICG851946:ICI852023 JFU851946:JFW852023 KJI851946:KJK852023 LMW851946:LMY852023 MQK851946:MQM852023 NTY851946:NUA852023 OXM851946:OXO852023 QBA851946:QBC852023 REO851946:REQ852023 SIC851946:SIE852023 TLQ851946:TLS852023 UPE851946:UPG852023 VSS851946:VSU852023 WWG851946:WWI852023 JU851946:JW852023 ANI851946:ANK852023 BQW851946:BQY852023 CUK851946:CUM852023 DXY851946:DYA852023 FBM851946:FBO852023 GFA851946:GFC852023 HIO851946:HIQ852023 IMC851946:IME852023 JPQ851946:JPS852023 KTE851946:KTG852023 LWS851946:LWU852023 NAG851946:NAI852023 ODU851946:ODW852023 PHI851946:PHK852023 QKW851946:QKY852023 ROK851946:ROM852023 SRY851946:SSA852023 TVM851946:TVO852023 UZA851946:UZC852023 WCO851946:WCQ852023 TQ851946:TS852023 AXE851946:AXG852023 CAS851946:CAU852023 DEG851946:DEI852023 EHU851946:EHW852023 FLI851946:FLK852023 GOW851946:GOY852023 HSK851946:HSM852023 IVY851946:IWA852023 JZM851946:JZO852023 LDA851946:LDC852023 MGO851946:MGQ852023 NKC851946:NKE852023 ONQ851946:ONS852023 PRE851946:PRG852023 QUS851946:QUU852023 RYG851946:RYI852023 TBU851946:TBW852023 UFI851946:UFK852023 VIW851946:VIY852023 WMK851946:WMM852023 Y917482:AA917559 ADM917482:ADO917559 BHA917482:BHC917559 CKO917482:CKQ917559 DOC917482:DOE917559 ERQ917482:ERS917559 FVE917482:FVG917559 GYS917482:GYU917559 ICG917482:ICI917559 JFU917482:JFW917559 KJI917482:KJK917559 LMW917482:LMY917559 MQK917482:MQM917559 NTY917482:NUA917559 OXM917482:OXO917559 QBA917482:QBC917559 REO917482:REQ917559 SIC917482:SIE917559 TLQ917482:TLS917559 UPE917482:UPG917559 VSS917482:VSU917559 WWG917482:WWI917559 JU917482:JW917559 ANI917482:ANK917559 BQW917482:BQY917559 CUK917482:CUM917559 DXY917482:DYA917559 FBM917482:FBO917559 GFA917482:GFC917559 HIO917482:HIQ917559 IMC917482:IME917559 JPQ917482:JPS917559 KTE917482:KTG917559 LWS917482:LWU917559 NAG917482:NAI917559 ODU917482:ODW917559 PHI917482:PHK917559 QKW917482:QKY917559 ROK917482:ROM917559 SRY917482:SSA917559 TVM917482:TVO917559 UZA917482:UZC917559 WCO917482:WCQ917559 TQ917482:TS917559 AXE917482:AXG917559 CAS917482:CAU917559 DEG917482:DEI917559 EHU917482:EHW917559 FLI917482:FLK917559 GOW917482:GOY917559 HSK917482:HSM917559 IVY917482:IWA917559 JZM917482:JZO917559 LDA917482:LDC917559 MGO917482:MGQ917559 NKC917482:NKE917559 ONQ917482:ONS917559 PRE917482:PRG917559 QUS917482:QUU917559 RYG917482:RYI917559 TBU917482:TBW917559 UFI917482:UFK917559 VIW917482:VIY917559 WMK917482:WMM917559 JU983018:JW983095 ANI983018:ANK983095 BQW983018:BQY983095 CUK983018:CUM983095 DXY983018:DYA983095 FBM983018:FBO983095 GFA983018:GFC983095 HIO983018:HIQ983095 IMC983018:IME983095 JPQ983018:JPS983095 KTE983018:KTG983095 LWS983018:LWU983095 NAG983018:NAI983095 ODU983018:ODW983095 PHI983018:PHK983095 QKW983018:QKY983095 ROK983018:ROM983095 SRY983018:SSA983095 TVM983018:TVO983095 UZA983018:UZC983095 WCO983018:WCQ983095 TQ983018:TS983095 AXE983018:AXG983095 CAS983018:CAU983095 DEG983018:DEI983095 EHU983018:EHW983095 FLI983018:FLK983095 GOW983018:GOY983095 HSK983018:HSM983095 IVY983018:IWA983095 JZM983018:JZO983095 LDA983018:LDC983095 MGO983018:MGQ983095 NKC983018:NKE983095 ONQ983018:ONS983095 PRE983018:PRG983095 QUS983018:QUU983095 RYG983018:RYI983095 TBU983018:TBW983095 UFI983018:UFK983095 VIW983018:VIY983095 WMK983018:WMM983095">
      <formula1>$AV$2:$AV$19</formula1>
    </dataValidation>
    <dataValidation type="list" allowBlank="1" showInputMessage="1" showErrorMessage="1" sqref="X2:X476 X65514:X65591 X131050:X131127 X196586:X196663 X262122:X262199 X327658:X327735 X393194:X393271 X458730:X458807 X524266:X524343 X589802:X589879 X655338:X655415 X720874:X720951 X786410:X786487 X851946:X852023 X917482:X917559 X983018:X983095 JT2:JT58 JT65514:JT65591 JT131050:JT131127 JT196586:JT196663 JT262122:JT262199 JT327658:JT327735 JT393194:JT393271 JT458730:JT458807 JT524266:JT524343 JT589802:JT589879 JT655338:JT655415 JT720874:JT720951 JT786410:JT786487 JT851946:JT852023 JT917482:JT917559 JT983018:JT983095 TP2:TP58 TP65514:TP65591 TP131050:TP131127 TP196586:TP196663 TP262122:TP262199 TP327658:TP327735 TP393194:TP393271 TP458730:TP458807 TP524266:TP524343 TP589802:TP589879 TP655338:TP655415 TP720874:TP720951 TP786410:TP786487 TP851946:TP852023 TP917482:TP917559 TP983018:TP983095 ADL2:ADL58 ADL65514:ADL65591 ADL131050:ADL131127 ADL196586:ADL196663 ADL262122:ADL262199 ADL327658:ADL327735 ADL393194:ADL393271 ADL458730:ADL458807 ADL524266:ADL524343 ADL589802:ADL589879 ADL655338:ADL655415 ADL720874:ADL720951 ADL786410:ADL786487 ADL851946:ADL852023 ADL917482:ADL917559 ADL983018:ADL983095 ANH2:ANH58 ANH65514:ANH65591 ANH131050:ANH131127 ANH196586:ANH196663 ANH262122:ANH262199 ANH327658:ANH327735 ANH393194:ANH393271 ANH458730:ANH458807 ANH524266:ANH524343 ANH589802:ANH589879 ANH655338:ANH655415 ANH720874:ANH720951 ANH786410:ANH786487 ANH851946:ANH852023 ANH917482:ANH917559 ANH983018:ANH983095 AXD2:AXD58 AXD65514:AXD65591 AXD131050:AXD131127 AXD196586:AXD196663 AXD262122:AXD262199 AXD327658:AXD327735 AXD393194:AXD393271 AXD458730:AXD458807 AXD524266:AXD524343 AXD589802:AXD589879 AXD655338:AXD655415 AXD720874:AXD720951 AXD786410:AXD786487 AXD851946:AXD852023 AXD917482:AXD917559 AXD983018:AXD983095 BGZ2:BGZ58 BGZ65514:BGZ65591 BGZ131050:BGZ131127 BGZ196586:BGZ196663 BGZ262122:BGZ262199 BGZ327658:BGZ327735 BGZ393194:BGZ393271 BGZ458730:BGZ458807 BGZ524266:BGZ524343 BGZ589802:BGZ589879 BGZ655338:BGZ655415 BGZ720874:BGZ720951 BGZ786410:BGZ786487 BGZ851946:BGZ852023 BGZ917482:BGZ917559 BGZ983018:BGZ983095 BQV2:BQV58 BQV65514:BQV65591 BQV131050:BQV131127 BQV196586:BQV196663 BQV262122:BQV262199 BQV327658:BQV327735 BQV393194:BQV393271 BQV458730:BQV458807 BQV524266:BQV524343 BQV589802:BQV589879 BQV655338:BQV655415 BQV720874:BQV720951 BQV786410:BQV786487 BQV851946:BQV852023 BQV917482:BQV917559 BQV983018:BQV983095 CAR2:CAR58 CAR65514:CAR65591 CAR131050:CAR131127 CAR196586:CAR196663 CAR262122:CAR262199 CAR327658:CAR327735 CAR393194:CAR393271 CAR458730:CAR458807 CAR524266:CAR524343 CAR589802:CAR589879 CAR655338:CAR655415 CAR720874:CAR720951 CAR786410:CAR786487 CAR851946:CAR852023 CAR917482:CAR917559 CAR983018:CAR983095 CKN2:CKN58 CKN65514:CKN65591 CKN131050:CKN131127 CKN196586:CKN196663 CKN262122:CKN262199 CKN327658:CKN327735 CKN393194:CKN393271 CKN458730:CKN458807 CKN524266:CKN524343 CKN589802:CKN589879 CKN655338:CKN655415 CKN720874:CKN720951 CKN786410:CKN786487 CKN851946:CKN852023 CKN917482:CKN917559 CKN983018:CKN983095 CUJ2:CUJ58 CUJ65514:CUJ65591 CUJ131050:CUJ131127 CUJ196586:CUJ196663 CUJ262122:CUJ262199 CUJ327658:CUJ327735 CUJ393194:CUJ393271 CUJ458730:CUJ458807 CUJ524266:CUJ524343 CUJ589802:CUJ589879 CUJ655338:CUJ655415 CUJ720874:CUJ720951 CUJ786410:CUJ786487 CUJ851946:CUJ852023 CUJ917482:CUJ917559 CUJ983018:CUJ983095 DEF2:DEF58 DEF65514:DEF65591 DEF131050:DEF131127 DEF196586:DEF196663 DEF262122:DEF262199 DEF327658:DEF327735 DEF393194:DEF393271 DEF458730:DEF458807 DEF524266:DEF524343 DEF589802:DEF589879 DEF655338:DEF655415 DEF720874:DEF720951 DEF786410:DEF786487 DEF851946:DEF852023 DEF917482:DEF917559 DEF983018:DEF983095 DOB2:DOB58 DOB65514:DOB65591 DOB131050:DOB131127 DOB196586:DOB196663 DOB262122:DOB262199 DOB327658:DOB327735 DOB393194:DOB393271 DOB458730:DOB458807 DOB524266:DOB524343 DOB589802:DOB589879 DOB655338:DOB655415 DOB720874:DOB720951 DOB786410:DOB786487 DOB851946:DOB852023 DOB917482:DOB917559 DOB983018:DOB983095 DXX2:DXX58 DXX65514:DXX65591 DXX131050:DXX131127 DXX196586:DXX196663 DXX262122:DXX262199 DXX327658:DXX327735 DXX393194:DXX393271 DXX458730:DXX458807 DXX524266:DXX524343 DXX589802:DXX589879 DXX655338:DXX655415 DXX720874:DXX720951 DXX786410:DXX786487 DXX851946:DXX852023 DXX917482:DXX917559 DXX983018:DXX983095 EHT2:EHT58 EHT65514:EHT65591 EHT131050:EHT131127 EHT196586:EHT196663 EHT262122:EHT262199 EHT327658:EHT327735 EHT393194:EHT393271 EHT458730:EHT458807 EHT524266:EHT524343 EHT589802:EHT589879 EHT655338:EHT655415 EHT720874:EHT720951 EHT786410:EHT786487 EHT851946:EHT852023 EHT917482:EHT917559 EHT983018:EHT983095 ERP2:ERP58 ERP65514:ERP65591 ERP131050:ERP131127 ERP196586:ERP196663 ERP262122:ERP262199 ERP327658:ERP327735 ERP393194:ERP393271 ERP458730:ERP458807 ERP524266:ERP524343 ERP589802:ERP589879 ERP655338:ERP655415 ERP720874:ERP720951 ERP786410:ERP786487 ERP851946:ERP852023 ERP917482:ERP917559 ERP983018:ERP983095 FBL2:FBL58 FBL65514:FBL65591 FBL131050:FBL131127 FBL196586:FBL196663 FBL262122:FBL262199 FBL327658:FBL327735 FBL393194:FBL393271 FBL458730:FBL458807 FBL524266:FBL524343 FBL589802:FBL589879 FBL655338:FBL655415 FBL720874:FBL720951 FBL786410:FBL786487 FBL851946:FBL852023 FBL917482:FBL917559 FBL983018:FBL983095 FLH2:FLH58 FLH65514:FLH65591 FLH131050:FLH131127 FLH196586:FLH196663 FLH262122:FLH262199 FLH327658:FLH327735 FLH393194:FLH393271 FLH458730:FLH458807 FLH524266:FLH524343 FLH589802:FLH589879 FLH655338:FLH655415 FLH720874:FLH720951 FLH786410:FLH786487 FLH851946:FLH852023 FLH917482:FLH917559 FLH983018:FLH983095 FVD2:FVD58 FVD65514:FVD65591 FVD131050:FVD131127 FVD196586:FVD196663 FVD262122:FVD262199 FVD327658:FVD327735 FVD393194:FVD393271 FVD458730:FVD458807 FVD524266:FVD524343 FVD589802:FVD589879 FVD655338:FVD655415 FVD720874:FVD720951 FVD786410:FVD786487 FVD851946:FVD852023 FVD917482:FVD917559 FVD983018:FVD983095 GEZ2:GEZ58 GEZ65514:GEZ65591 GEZ131050:GEZ131127 GEZ196586:GEZ196663 GEZ262122:GEZ262199 GEZ327658:GEZ327735 GEZ393194:GEZ393271 GEZ458730:GEZ458807 GEZ524266:GEZ524343 GEZ589802:GEZ589879 GEZ655338:GEZ655415 GEZ720874:GEZ720951 GEZ786410:GEZ786487 GEZ851946:GEZ852023 GEZ917482:GEZ917559 GEZ983018:GEZ983095 GOV2:GOV58 GOV65514:GOV65591 GOV131050:GOV131127 GOV196586:GOV196663 GOV262122:GOV262199 GOV327658:GOV327735 GOV393194:GOV393271 GOV458730:GOV458807 GOV524266:GOV524343 GOV589802:GOV589879 GOV655338:GOV655415 GOV720874:GOV720951 GOV786410:GOV786487 GOV851946:GOV852023 GOV917482:GOV917559 GOV983018:GOV983095 GYR2:GYR58 GYR65514:GYR65591 GYR131050:GYR131127 GYR196586:GYR196663 GYR262122:GYR262199 GYR327658:GYR327735 GYR393194:GYR393271 GYR458730:GYR458807 GYR524266:GYR524343 GYR589802:GYR589879 GYR655338:GYR655415 GYR720874:GYR720951 GYR786410:GYR786487 GYR851946:GYR852023 GYR917482:GYR917559 GYR983018:GYR983095 HIN2:HIN58 HIN65514:HIN65591 HIN131050:HIN131127 HIN196586:HIN196663 HIN262122:HIN262199 HIN327658:HIN327735 HIN393194:HIN393271 HIN458730:HIN458807 HIN524266:HIN524343 HIN589802:HIN589879 HIN655338:HIN655415 HIN720874:HIN720951 HIN786410:HIN786487 HIN851946:HIN852023 HIN917482:HIN917559 HIN983018:HIN983095 HSJ2:HSJ58 HSJ65514:HSJ65591 HSJ131050:HSJ131127 HSJ196586:HSJ196663 HSJ262122:HSJ262199 HSJ327658:HSJ327735 HSJ393194:HSJ393271 HSJ458730:HSJ458807 HSJ524266:HSJ524343 HSJ589802:HSJ589879 HSJ655338:HSJ655415 HSJ720874:HSJ720951 HSJ786410:HSJ786487 HSJ851946:HSJ852023 HSJ917482:HSJ917559 HSJ983018:HSJ983095 ICF2:ICF58 ICF65514:ICF65591 ICF131050:ICF131127 ICF196586:ICF196663 ICF262122:ICF262199 ICF327658:ICF327735 ICF393194:ICF393271 ICF458730:ICF458807 ICF524266:ICF524343 ICF589802:ICF589879 ICF655338:ICF655415 ICF720874:ICF720951 ICF786410:ICF786487 ICF851946:ICF852023 ICF917482:ICF917559 ICF983018:ICF983095 IMB2:IMB58 IMB65514:IMB65591 IMB131050:IMB131127 IMB196586:IMB196663 IMB262122:IMB262199 IMB327658:IMB327735 IMB393194:IMB393271 IMB458730:IMB458807 IMB524266:IMB524343 IMB589802:IMB589879 IMB655338:IMB655415 IMB720874:IMB720951 IMB786410:IMB786487 IMB851946:IMB852023 IMB917482:IMB917559 IMB983018:IMB983095 IVX2:IVX58 IVX65514:IVX65591 IVX131050:IVX131127 IVX196586:IVX196663 IVX262122:IVX262199 IVX327658:IVX327735 IVX393194:IVX393271 IVX458730:IVX458807 IVX524266:IVX524343 IVX589802:IVX589879 IVX655338:IVX655415 IVX720874:IVX720951 IVX786410:IVX786487 IVX851946:IVX852023 IVX917482:IVX917559 IVX983018:IVX983095 JFT2:JFT58 JFT65514:JFT65591 JFT131050:JFT131127 JFT196586:JFT196663 JFT262122:JFT262199 JFT327658:JFT327735 JFT393194:JFT393271 JFT458730:JFT458807 JFT524266:JFT524343 JFT589802:JFT589879 JFT655338:JFT655415 JFT720874:JFT720951 JFT786410:JFT786487 JFT851946:JFT852023 JFT917482:JFT917559 JFT983018:JFT983095 JPP2:JPP58 JPP65514:JPP65591 JPP131050:JPP131127 JPP196586:JPP196663 JPP262122:JPP262199 JPP327658:JPP327735 JPP393194:JPP393271 JPP458730:JPP458807 JPP524266:JPP524343 JPP589802:JPP589879 JPP655338:JPP655415 JPP720874:JPP720951 JPP786410:JPP786487 JPP851946:JPP852023 JPP917482:JPP917559 JPP983018:JPP983095 JZL2:JZL58 JZL65514:JZL65591 JZL131050:JZL131127 JZL196586:JZL196663 JZL262122:JZL262199 JZL327658:JZL327735 JZL393194:JZL393271 JZL458730:JZL458807 JZL524266:JZL524343 JZL589802:JZL589879 JZL655338:JZL655415 JZL720874:JZL720951 JZL786410:JZL786487 JZL851946:JZL852023 JZL917482:JZL917559 JZL983018:JZL983095 KJH2:KJH58 KJH65514:KJH65591 KJH131050:KJH131127 KJH196586:KJH196663 KJH262122:KJH262199 KJH327658:KJH327735 KJH393194:KJH393271 KJH458730:KJH458807 KJH524266:KJH524343 KJH589802:KJH589879 KJH655338:KJH655415 KJH720874:KJH720951 KJH786410:KJH786487 KJH851946:KJH852023 KJH917482:KJH917559 KJH983018:KJH983095 KTD2:KTD58 KTD65514:KTD65591 KTD131050:KTD131127 KTD196586:KTD196663 KTD262122:KTD262199 KTD327658:KTD327735 KTD393194:KTD393271 KTD458730:KTD458807 KTD524266:KTD524343 KTD589802:KTD589879 KTD655338:KTD655415 KTD720874:KTD720951 KTD786410:KTD786487 KTD851946:KTD852023 KTD917482:KTD917559 KTD983018:KTD983095 LCZ2:LCZ58 LCZ65514:LCZ65591 LCZ131050:LCZ131127 LCZ196586:LCZ196663 LCZ262122:LCZ262199 LCZ327658:LCZ327735 LCZ393194:LCZ393271 LCZ458730:LCZ458807 LCZ524266:LCZ524343 LCZ589802:LCZ589879 LCZ655338:LCZ655415 LCZ720874:LCZ720951 LCZ786410:LCZ786487 LCZ851946:LCZ852023 LCZ917482:LCZ917559 LCZ983018:LCZ983095 LMV2:LMV58 LMV65514:LMV65591 LMV131050:LMV131127 LMV196586:LMV196663 LMV262122:LMV262199 LMV327658:LMV327735 LMV393194:LMV393271 LMV458730:LMV458807 LMV524266:LMV524343 LMV589802:LMV589879 LMV655338:LMV655415 LMV720874:LMV720951 LMV786410:LMV786487 LMV851946:LMV852023 LMV917482:LMV917559 LMV983018:LMV983095 LWR2:LWR58 LWR65514:LWR65591 LWR131050:LWR131127 LWR196586:LWR196663 LWR262122:LWR262199 LWR327658:LWR327735 LWR393194:LWR393271 LWR458730:LWR458807 LWR524266:LWR524343 LWR589802:LWR589879 LWR655338:LWR655415 LWR720874:LWR720951 LWR786410:LWR786487 LWR851946:LWR852023 LWR917482:LWR917559 LWR983018:LWR983095 MGN2:MGN58 MGN65514:MGN65591 MGN131050:MGN131127 MGN196586:MGN196663 MGN262122:MGN262199 MGN327658:MGN327735 MGN393194:MGN393271 MGN458730:MGN458807 MGN524266:MGN524343 MGN589802:MGN589879 MGN655338:MGN655415 MGN720874:MGN720951 MGN786410:MGN786487 MGN851946:MGN852023 MGN917482:MGN917559 MGN983018:MGN983095 MQJ2:MQJ58 MQJ65514:MQJ65591 MQJ131050:MQJ131127 MQJ196586:MQJ196663 MQJ262122:MQJ262199 MQJ327658:MQJ327735 MQJ393194:MQJ393271 MQJ458730:MQJ458807 MQJ524266:MQJ524343 MQJ589802:MQJ589879 MQJ655338:MQJ655415 MQJ720874:MQJ720951 MQJ786410:MQJ786487 MQJ851946:MQJ852023 MQJ917482:MQJ917559 MQJ983018:MQJ983095 NAF2:NAF58 NAF65514:NAF65591 NAF131050:NAF131127 NAF196586:NAF196663 NAF262122:NAF262199 NAF327658:NAF327735 NAF393194:NAF393271 NAF458730:NAF458807 NAF524266:NAF524343 NAF589802:NAF589879 NAF655338:NAF655415 NAF720874:NAF720951 NAF786410:NAF786487 NAF851946:NAF852023 NAF917482:NAF917559 NAF983018:NAF983095 NKB2:NKB58 NKB65514:NKB65591 NKB131050:NKB131127 NKB196586:NKB196663 NKB262122:NKB262199 NKB327658:NKB327735 NKB393194:NKB393271 NKB458730:NKB458807 NKB524266:NKB524343 NKB589802:NKB589879 NKB655338:NKB655415 NKB720874:NKB720951 NKB786410:NKB786487 NKB851946:NKB852023 NKB917482:NKB917559 NKB983018:NKB983095 NTX2:NTX58 NTX65514:NTX65591 NTX131050:NTX131127 NTX196586:NTX196663 NTX262122:NTX262199 NTX327658:NTX327735 NTX393194:NTX393271 NTX458730:NTX458807 NTX524266:NTX524343 NTX589802:NTX589879 NTX655338:NTX655415 NTX720874:NTX720951 NTX786410:NTX786487 NTX851946:NTX852023 NTX917482:NTX917559 NTX983018:NTX983095 ODT2:ODT58 ODT65514:ODT65591 ODT131050:ODT131127 ODT196586:ODT196663 ODT262122:ODT262199 ODT327658:ODT327735 ODT393194:ODT393271 ODT458730:ODT458807 ODT524266:ODT524343 ODT589802:ODT589879 ODT655338:ODT655415 ODT720874:ODT720951 ODT786410:ODT786487 ODT851946:ODT852023 ODT917482:ODT917559 ODT983018:ODT983095 ONP2:ONP58 ONP65514:ONP65591 ONP131050:ONP131127 ONP196586:ONP196663 ONP262122:ONP262199 ONP327658:ONP327735 ONP393194:ONP393271 ONP458730:ONP458807 ONP524266:ONP524343 ONP589802:ONP589879 ONP655338:ONP655415 ONP720874:ONP720951 ONP786410:ONP786487 ONP851946:ONP852023 ONP917482:ONP917559 ONP983018:ONP983095 OXL2:OXL58 OXL65514:OXL65591 OXL131050:OXL131127 OXL196586:OXL196663 OXL262122:OXL262199 OXL327658:OXL327735 OXL393194:OXL393271 OXL458730:OXL458807 OXL524266:OXL524343 OXL589802:OXL589879 OXL655338:OXL655415 OXL720874:OXL720951 OXL786410:OXL786487 OXL851946:OXL852023 OXL917482:OXL917559 OXL983018:OXL983095 PHH2:PHH58 PHH65514:PHH65591 PHH131050:PHH131127 PHH196586:PHH196663 PHH262122:PHH262199 PHH327658:PHH327735 PHH393194:PHH393271 PHH458730:PHH458807 PHH524266:PHH524343 PHH589802:PHH589879 PHH655338:PHH655415 PHH720874:PHH720951 PHH786410:PHH786487 PHH851946:PHH852023 PHH917482:PHH917559 PHH983018:PHH983095 PRD2:PRD58 PRD65514:PRD65591 PRD131050:PRD131127 PRD196586:PRD196663 PRD262122:PRD262199 PRD327658:PRD327735 PRD393194:PRD393271 PRD458730:PRD458807 PRD524266:PRD524343 PRD589802:PRD589879 PRD655338:PRD655415 PRD720874:PRD720951 PRD786410:PRD786487 PRD851946:PRD852023 PRD917482:PRD917559 PRD983018:PRD983095 QAZ2:QAZ58 QAZ65514:QAZ65591 QAZ131050:QAZ131127 QAZ196586:QAZ196663 QAZ262122:QAZ262199 QAZ327658:QAZ327735 QAZ393194:QAZ393271 QAZ458730:QAZ458807 QAZ524266:QAZ524343 QAZ589802:QAZ589879 QAZ655338:QAZ655415 QAZ720874:QAZ720951 QAZ786410:QAZ786487 QAZ851946:QAZ852023 QAZ917482:QAZ917559 QAZ983018:QAZ983095 QKV2:QKV58 QKV65514:QKV65591 QKV131050:QKV131127 QKV196586:QKV196663 QKV262122:QKV262199 QKV327658:QKV327735 QKV393194:QKV393271 QKV458730:QKV458807 QKV524266:QKV524343 QKV589802:QKV589879 QKV655338:QKV655415 QKV720874:QKV720951 QKV786410:QKV786487 QKV851946:QKV852023 QKV917482:QKV917559 QKV983018:QKV983095 QUR2:QUR58 QUR65514:QUR65591 QUR131050:QUR131127 QUR196586:QUR196663 QUR262122:QUR262199 QUR327658:QUR327735 QUR393194:QUR393271 QUR458730:QUR458807 QUR524266:QUR524343 QUR589802:QUR589879 QUR655338:QUR655415 QUR720874:QUR720951 QUR786410:QUR786487 QUR851946:QUR852023 QUR917482:QUR917559 QUR983018:QUR983095 REN2:REN58 REN65514:REN65591 REN131050:REN131127 REN196586:REN196663 REN262122:REN262199 REN327658:REN327735 REN393194:REN393271 REN458730:REN458807 REN524266:REN524343 REN589802:REN589879 REN655338:REN655415 REN720874:REN720951 REN786410:REN786487 REN851946:REN852023 REN917482:REN917559 REN983018:REN983095 ROJ2:ROJ58 ROJ65514:ROJ65591 ROJ131050:ROJ131127 ROJ196586:ROJ196663 ROJ262122:ROJ262199 ROJ327658:ROJ327735 ROJ393194:ROJ393271 ROJ458730:ROJ458807 ROJ524266:ROJ524343 ROJ589802:ROJ589879 ROJ655338:ROJ655415 ROJ720874:ROJ720951 ROJ786410:ROJ786487 ROJ851946:ROJ852023 ROJ917482:ROJ917559 ROJ983018:ROJ983095 RYF2:RYF58 RYF65514:RYF65591 RYF131050:RYF131127 RYF196586:RYF196663 RYF262122:RYF262199 RYF327658:RYF327735 RYF393194:RYF393271 RYF458730:RYF458807 RYF524266:RYF524343 RYF589802:RYF589879 RYF655338:RYF655415 RYF720874:RYF720951 RYF786410:RYF786487 RYF851946:RYF852023 RYF917482:RYF917559 RYF983018:RYF983095 SIB2:SIB58 SIB65514:SIB65591 SIB131050:SIB131127 SIB196586:SIB196663 SIB262122:SIB262199 SIB327658:SIB327735 SIB393194:SIB393271 SIB458730:SIB458807 SIB524266:SIB524343 SIB589802:SIB589879 SIB655338:SIB655415 SIB720874:SIB720951 SIB786410:SIB786487 SIB851946:SIB852023 SIB917482:SIB917559 SIB983018:SIB983095 SRX2:SRX58 SRX65514:SRX65591 SRX131050:SRX131127 SRX196586:SRX196663 SRX262122:SRX262199 SRX327658:SRX327735 SRX393194:SRX393271 SRX458730:SRX458807 SRX524266:SRX524343 SRX589802:SRX589879 SRX655338:SRX655415 SRX720874:SRX720951 SRX786410:SRX786487 SRX851946:SRX852023 SRX917482:SRX917559 SRX983018:SRX983095 TBT2:TBT58 TBT65514:TBT65591 TBT131050:TBT131127 TBT196586:TBT196663 TBT262122:TBT262199 TBT327658:TBT327735 TBT393194:TBT393271 TBT458730:TBT458807 TBT524266:TBT524343 TBT589802:TBT589879 TBT655338:TBT655415 TBT720874:TBT720951 TBT786410:TBT786487 TBT851946:TBT852023 TBT917482:TBT917559 TBT983018:TBT983095 TLP2:TLP58 TLP65514:TLP65591 TLP131050:TLP131127 TLP196586:TLP196663 TLP262122:TLP262199 TLP327658:TLP327735 TLP393194:TLP393271 TLP458730:TLP458807 TLP524266:TLP524343 TLP589802:TLP589879 TLP655338:TLP655415 TLP720874:TLP720951 TLP786410:TLP786487 TLP851946:TLP852023 TLP917482:TLP917559 TLP983018:TLP983095 TVL2:TVL58 TVL65514:TVL65591 TVL131050:TVL131127 TVL196586:TVL196663 TVL262122:TVL262199 TVL327658:TVL327735 TVL393194:TVL393271 TVL458730:TVL458807 TVL524266:TVL524343 TVL589802:TVL589879 TVL655338:TVL655415 TVL720874:TVL720951 TVL786410:TVL786487 TVL851946:TVL852023 TVL917482:TVL917559 TVL983018:TVL983095 UFH2:UFH58 UFH65514:UFH65591 UFH131050:UFH131127 UFH196586:UFH196663 UFH262122:UFH262199 UFH327658:UFH327735 UFH393194:UFH393271 UFH458730:UFH458807 UFH524266:UFH524343 UFH589802:UFH589879 UFH655338:UFH655415 UFH720874:UFH720951 UFH786410:UFH786487 UFH851946:UFH852023 UFH917482:UFH917559 UFH983018:UFH983095 UPD2:UPD58 UPD65514:UPD65591 UPD131050:UPD131127 UPD196586:UPD196663 UPD262122:UPD262199 UPD327658:UPD327735 UPD393194:UPD393271 UPD458730:UPD458807 UPD524266:UPD524343 UPD589802:UPD589879 UPD655338:UPD655415 UPD720874:UPD720951 UPD786410:UPD786487 UPD851946:UPD852023 UPD917482:UPD917559 UPD983018:UPD983095 UYZ2:UYZ58 UYZ65514:UYZ65591 UYZ131050:UYZ131127 UYZ196586:UYZ196663 UYZ262122:UYZ262199 UYZ327658:UYZ327735 UYZ393194:UYZ393271 UYZ458730:UYZ458807 UYZ524266:UYZ524343 UYZ589802:UYZ589879 UYZ655338:UYZ655415 UYZ720874:UYZ720951 UYZ786410:UYZ786487 UYZ851946:UYZ852023 UYZ917482:UYZ917559 UYZ983018:UYZ983095 VIV2:VIV58 VIV65514:VIV65591 VIV131050:VIV131127 VIV196586:VIV196663 VIV262122:VIV262199 VIV327658:VIV327735 VIV393194:VIV393271 VIV458730:VIV458807 VIV524266:VIV524343 VIV589802:VIV589879 VIV655338:VIV655415 VIV720874:VIV720951 VIV786410:VIV786487 VIV851946:VIV852023 VIV917482:VIV917559 VIV983018:VIV983095 VSR2:VSR58 VSR65514:VSR65591 VSR131050:VSR131127 VSR196586:VSR196663 VSR262122:VSR262199 VSR327658:VSR327735 VSR393194:VSR393271 VSR458730:VSR458807 VSR524266:VSR524343 VSR589802:VSR589879 VSR655338:VSR655415 VSR720874:VSR720951 VSR786410:VSR786487 VSR851946:VSR852023 VSR917482:VSR917559 VSR983018:VSR983095 WCN2:WCN58 WCN65514:WCN65591 WCN131050:WCN131127 WCN196586:WCN196663 WCN262122:WCN262199 WCN327658:WCN327735 WCN393194:WCN393271 WCN458730:WCN458807 WCN524266:WCN524343 WCN589802:WCN589879 WCN655338:WCN655415 WCN720874:WCN720951 WCN786410:WCN786487 WCN851946:WCN852023 WCN917482:WCN917559 WCN983018:WCN983095 WMJ2:WMJ58 WMJ65514:WMJ65591 WMJ131050:WMJ131127 WMJ196586:WMJ196663 WMJ262122:WMJ262199 WMJ327658:WMJ327735 WMJ393194:WMJ393271 WMJ458730:WMJ458807 WMJ524266:WMJ524343 WMJ589802:WMJ589879 WMJ655338:WMJ655415 WMJ720874:WMJ720951 WMJ786410:WMJ786487 WMJ851946:WMJ852023 WMJ917482:WMJ917559 WMJ983018:WMJ983095 WWF2:WWF58 WWF65514:WWF65591 WWF131050:WWF131127 WWF196586:WWF196663 WWF262122:WWF262199 WWF327658:WWF327735 WWF393194:WWF393271 WWF458730:WWF458807 WWF524266:WWF524343 WWF589802:WWF589879 WWF655338:WWF655415 WWF720874:WWF720951 WWF786410:WWF786487 WWF851946:WWF852023 WWF917482:WWF917559 WWF983018:WWF983095">
      <formula1>$AT$2:$AT$3</formula1>
    </dataValidation>
    <dataValidation type="list" allowBlank="1" showInputMessage="1" showErrorMessage="1" sqref="F2:F707 F65514:F65591 F131050:F131127 F196586:F196663 F262122:F262199 F327658:F327735 F393194:F393271 F458730:F458807 F524266:F524343 F589802:F589879 F655338:F655415 F720874:F720951 F786410:F786487 F851946:F852023 F917482:F917559 F983018:F983095 JB2:JB58 JB65514:JB65591 JB131050:JB131127 JB196586:JB196663 JB262122:JB262199 JB327658:JB327735 JB393194:JB393271 JB458730:JB458807 JB524266:JB524343 JB589802:JB589879 JB655338:JB655415 JB720874:JB720951 JB786410:JB786487 JB851946:JB852023 JB917482:JB917559 JB983018:JB983095 SX2:SX58 SX65514:SX65591 SX131050:SX131127 SX196586:SX196663 SX262122:SX262199 SX327658:SX327735 SX393194:SX393271 SX458730:SX458807 SX524266:SX524343 SX589802:SX589879 SX655338:SX655415 SX720874:SX720951 SX786410:SX786487 SX851946:SX852023 SX917482:SX917559 SX983018:SX983095 ACT2:ACT58 ACT65514:ACT65591 ACT131050:ACT131127 ACT196586:ACT196663 ACT262122:ACT262199 ACT327658:ACT327735 ACT393194:ACT393271 ACT458730:ACT458807 ACT524266:ACT524343 ACT589802:ACT589879 ACT655338:ACT655415 ACT720874:ACT720951 ACT786410:ACT786487 ACT851946:ACT852023 ACT917482:ACT917559 ACT983018:ACT983095 AMP2:AMP58 AMP65514:AMP65591 AMP131050:AMP131127 AMP196586:AMP196663 AMP262122:AMP262199 AMP327658:AMP327735 AMP393194:AMP393271 AMP458730:AMP458807 AMP524266:AMP524343 AMP589802:AMP589879 AMP655338:AMP655415 AMP720874:AMP720951 AMP786410:AMP786487 AMP851946:AMP852023 AMP917482:AMP917559 AMP983018:AMP983095 AWL2:AWL58 AWL65514:AWL65591 AWL131050:AWL131127 AWL196586:AWL196663 AWL262122:AWL262199 AWL327658:AWL327735 AWL393194:AWL393271 AWL458730:AWL458807 AWL524266:AWL524343 AWL589802:AWL589879 AWL655338:AWL655415 AWL720874:AWL720951 AWL786410:AWL786487 AWL851946:AWL852023 AWL917482:AWL917559 AWL983018:AWL983095 BGH2:BGH58 BGH65514:BGH65591 BGH131050:BGH131127 BGH196586:BGH196663 BGH262122:BGH262199 BGH327658:BGH327735 BGH393194:BGH393271 BGH458730:BGH458807 BGH524266:BGH524343 BGH589802:BGH589879 BGH655338:BGH655415 BGH720874:BGH720951 BGH786410:BGH786487 BGH851946:BGH852023 BGH917482:BGH917559 BGH983018:BGH983095 BQD2:BQD58 BQD65514:BQD65591 BQD131050:BQD131127 BQD196586:BQD196663 BQD262122:BQD262199 BQD327658:BQD327735 BQD393194:BQD393271 BQD458730:BQD458807 BQD524266:BQD524343 BQD589802:BQD589879 BQD655338:BQD655415 BQD720874:BQD720951 BQD786410:BQD786487 BQD851946:BQD852023 BQD917482:BQD917559 BQD983018:BQD983095 BZZ2:BZZ58 BZZ65514:BZZ65591 BZZ131050:BZZ131127 BZZ196586:BZZ196663 BZZ262122:BZZ262199 BZZ327658:BZZ327735 BZZ393194:BZZ393271 BZZ458730:BZZ458807 BZZ524266:BZZ524343 BZZ589802:BZZ589879 BZZ655338:BZZ655415 BZZ720874:BZZ720951 BZZ786410:BZZ786487 BZZ851946:BZZ852023 BZZ917482:BZZ917559 BZZ983018:BZZ983095 CJV2:CJV58 CJV65514:CJV65591 CJV131050:CJV131127 CJV196586:CJV196663 CJV262122:CJV262199 CJV327658:CJV327735 CJV393194:CJV393271 CJV458730:CJV458807 CJV524266:CJV524343 CJV589802:CJV589879 CJV655338:CJV655415 CJV720874:CJV720951 CJV786410:CJV786487 CJV851946:CJV852023 CJV917482:CJV917559 CJV983018:CJV983095 CTR2:CTR58 CTR65514:CTR65591 CTR131050:CTR131127 CTR196586:CTR196663 CTR262122:CTR262199 CTR327658:CTR327735 CTR393194:CTR393271 CTR458730:CTR458807 CTR524266:CTR524343 CTR589802:CTR589879 CTR655338:CTR655415 CTR720874:CTR720951 CTR786410:CTR786487 CTR851946:CTR852023 CTR917482:CTR917559 CTR983018:CTR983095 DDN2:DDN58 DDN65514:DDN65591 DDN131050:DDN131127 DDN196586:DDN196663 DDN262122:DDN262199 DDN327658:DDN327735 DDN393194:DDN393271 DDN458730:DDN458807 DDN524266:DDN524343 DDN589802:DDN589879 DDN655338:DDN655415 DDN720874:DDN720951 DDN786410:DDN786487 DDN851946:DDN852023 DDN917482:DDN917559 DDN983018:DDN983095 DNJ2:DNJ58 DNJ65514:DNJ65591 DNJ131050:DNJ131127 DNJ196586:DNJ196663 DNJ262122:DNJ262199 DNJ327658:DNJ327735 DNJ393194:DNJ393271 DNJ458730:DNJ458807 DNJ524266:DNJ524343 DNJ589802:DNJ589879 DNJ655338:DNJ655415 DNJ720874:DNJ720951 DNJ786410:DNJ786487 DNJ851946:DNJ852023 DNJ917482:DNJ917559 DNJ983018:DNJ983095 DXF2:DXF58 DXF65514:DXF65591 DXF131050:DXF131127 DXF196586:DXF196663 DXF262122:DXF262199 DXF327658:DXF327735 DXF393194:DXF393271 DXF458730:DXF458807 DXF524266:DXF524343 DXF589802:DXF589879 DXF655338:DXF655415 DXF720874:DXF720951 DXF786410:DXF786487 DXF851946:DXF852023 DXF917482:DXF917559 DXF983018:DXF983095 EHB2:EHB58 EHB65514:EHB65591 EHB131050:EHB131127 EHB196586:EHB196663 EHB262122:EHB262199 EHB327658:EHB327735 EHB393194:EHB393271 EHB458730:EHB458807 EHB524266:EHB524343 EHB589802:EHB589879 EHB655338:EHB655415 EHB720874:EHB720951 EHB786410:EHB786487 EHB851946:EHB852023 EHB917482:EHB917559 EHB983018:EHB983095 EQX2:EQX58 EQX65514:EQX65591 EQX131050:EQX131127 EQX196586:EQX196663 EQX262122:EQX262199 EQX327658:EQX327735 EQX393194:EQX393271 EQX458730:EQX458807 EQX524266:EQX524343 EQX589802:EQX589879 EQX655338:EQX655415 EQX720874:EQX720951 EQX786410:EQX786487 EQX851946:EQX852023 EQX917482:EQX917559 EQX983018:EQX983095 FAT2:FAT58 FAT65514:FAT65591 FAT131050:FAT131127 FAT196586:FAT196663 FAT262122:FAT262199 FAT327658:FAT327735 FAT393194:FAT393271 FAT458730:FAT458807 FAT524266:FAT524343 FAT589802:FAT589879 FAT655338:FAT655415 FAT720874:FAT720951 FAT786410:FAT786487 FAT851946:FAT852023 FAT917482:FAT917559 FAT983018:FAT983095 FKP2:FKP58 FKP65514:FKP65591 FKP131050:FKP131127 FKP196586:FKP196663 FKP262122:FKP262199 FKP327658:FKP327735 FKP393194:FKP393271 FKP458730:FKP458807 FKP524266:FKP524343 FKP589802:FKP589879 FKP655338:FKP655415 FKP720874:FKP720951 FKP786410:FKP786487 FKP851946:FKP852023 FKP917482:FKP917559 FKP983018:FKP983095 FUL2:FUL58 FUL65514:FUL65591 FUL131050:FUL131127 FUL196586:FUL196663 FUL262122:FUL262199 FUL327658:FUL327735 FUL393194:FUL393271 FUL458730:FUL458807 FUL524266:FUL524343 FUL589802:FUL589879 FUL655338:FUL655415 FUL720874:FUL720951 FUL786410:FUL786487 FUL851946:FUL852023 FUL917482:FUL917559 FUL983018:FUL983095 GEH2:GEH58 GEH65514:GEH65591 GEH131050:GEH131127 GEH196586:GEH196663 GEH262122:GEH262199 GEH327658:GEH327735 GEH393194:GEH393271 GEH458730:GEH458807 GEH524266:GEH524343 GEH589802:GEH589879 GEH655338:GEH655415 GEH720874:GEH720951 GEH786410:GEH786487 GEH851946:GEH852023 GEH917482:GEH917559 GEH983018:GEH983095 GOD2:GOD58 GOD65514:GOD65591 GOD131050:GOD131127 GOD196586:GOD196663 GOD262122:GOD262199 GOD327658:GOD327735 GOD393194:GOD393271 GOD458730:GOD458807 GOD524266:GOD524343 GOD589802:GOD589879 GOD655338:GOD655415 GOD720874:GOD720951 GOD786410:GOD786487 GOD851946:GOD852023 GOD917482:GOD917559 GOD983018:GOD983095 GXZ2:GXZ58 GXZ65514:GXZ65591 GXZ131050:GXZ131127 GXZ196586:GXZ196663 GXZ262122:GXZ262199 GXZ327658:GXZ327735 GXZ393194:GXZ393271 GXZ458730:GXZ458807 GXZ524266:GXZ524343 GXZ589802:GXZ589879 GXZ655338:GXZ655415 GXZ720874:GXZ720951 GXZ786410:GXZ786487 GXZ851946:GXZ852023 GXZ917482:GXZ917559 GXZ983018:GXZ983095 HHV2:HHV58 HHV65514:HHV65591 HHV131050:HHV131127 HHV196586:HHV196663 HHV262122:HHV262199 HHV327658:HHV327735 HHV393194:HHV393271 HHV458730:HHV458807 HHV524266:HHV524343 HHV589802:HHV589879 HHV655338:HHV655415 HHV720874:HHV720951 HHV786410:HHV786487 HHV851946:HHV852023 HHV917482:HHV917559 HHV983018:HHV983095 HRR2:HRR58 HRR65514:HRR65591 HRR131050:HRR131127 HRR196586:HRR196663 HRR262122:HRR262199 HRR327658:HRR327735 HRR393194:HRR393271 HRR458730:HRR458807 HRR524266:HRR524343 HRR589802:HRR589879 HRR655338:HRR655415 HRR720874:HRR720951 HRR786410:HRR786487 HRR851946:HRR852023 HRR917482:HRR917559 HRR983018:HRR983095 IBN2:IBN58 IBN65514:IBN65591 IBN131050:IBN131127 IBN196586:IBN196663 IBN262122:IBN262199 IBN327658:IBN327735 IBN393194:IBN393271 IBN458730:IBN458807 IBN524266:IBN524343 IBN589802:IBN589879 IBN655338:IBN655415 IBN720874:IBN720951 IBN786410:IBN786487 IBN851946:IBN852023 IBN917482:IBN917559 IBN983018:IBN983095 ILJ2:ILJ58 ILJ65514:ILJ65591 ILJ131050:ILJ131127 ILJ196586:ILJ196663 ILJ262122:ILJ262199 ILJ327658:ILJ327735 ILJ393194:ILJ393271 ILJ458730:ILJ458807 ILJ524266:ILJ524343 ILJ589802:ILJ589879 ILJ655338:ILJ655415 ILJ720874:ILJ720951 ILJ786410:ILJ786487 ILJ851946:ILJ852023 ILJ917482:ILJ917559 ILJ983018:ILJ983095 IVF2:IVF58 IVF65514:IVF65591 IVF131050:IVF131127 IVF196586:IVF196663 IVF262122:IVF262199 IVF327658:IVF327735 IVF393194:IVF393271 IVF458730:IVF458807 IVF524266:IVF524343 IVF589802:IVF589879 IVF655338:IVF655415 IVF720874:IVF720951 IVF786410:IVF786487 IVF851946:IVF852023 IVF917482:IVF917559 IVF983018:IVF983095 JFB2:JFB58 JFB65514:JFB65591 JFB131050:JFB131127 JFB196586:JFB196663 JFB262122:JFB262199 JFB327658:JFB327735 JFB393194:JFB393271 JFB458730:JFB458807 JFB524266:JFB524343 JFB589802:JFB589879 JFB655338:JFB655415 JFB720874:JFB720951 JFB786410:JFB786487 JFB851946:JFB852023 JFB917482:JFB917559 JFB983018:JFB983095 JOX2:JOX58 JOX65514:JOX65591 JOX131050:JOX131127 JOX196586:JOX196663 JOX262122:JOX262199 JOX327658:JOX327735 JOX393194:JOX393271 JOX458730:JOX458807 JOX524266:JOX524343 JOX589802:JOX589879 JOX655338:JOX655415 JOX720874:JOX720951 JOX786410:JOX786487 JOX851946:JOX852023 JOX917482:JOX917559 JOX983018:JOX983095 JYT2:JYT58 JYT65514:JYT65591 JYT131050:JYT131127 JYT196586:JYT196663 JYT262122:JYT262199 JYT327658:JYT327735 JYT393194:JYT393271 JYT458730:JYT458807 JYT524266:JYT524343 JYT589802:JYT589879 JYT655338:JYT655415 JYT720874:JYT720951 JYT786410:JYT786487 JYT851946:JYT852023 JYT917482:JYT917559 JYT983018:JYT983095 KIP2:KIP58 KIP65514:KIP65591 KIP131050:KIP131127 KIP196586:KIP196663 KIP262122:KIP262199 KIP327658:KIP327735 KIP393194:KIP393271 KIP458730:KIP458807 KIP524266:KIP524343 KIP589802:KIP589879 KIP655338:KIP655415 KIP720874:KIP720951 KIP786410:KIP786487 KIP851946:KIP852023 KIP917482:KIP917559 KIP983018:KIP983095 KSL2:KSL58 KSL65514:KSL65591 KSL131050:KSL131127 KSL196586:KSL196663 KSL262122:KSL262199 KSL327658:KSL327735 KSL393194:KSL393271 KSL458730:KSL458807 KSL524266:KSL524343 KSL589802:KSL589879 KSL655338:KSL655415 KSL720874:KSL720951 KSL786410:KSL786487 KSL851946:KSL852023 KSL917482:KSL917559 KSL983018:KSL983095 LCH2:LCH58 LCH65514:LCH65591 LCH131050:LCH131127 LCH196586:LCH196663 LCH262122:LCH262199 LCH327658:LCH327735 LCH393194:LCH393271 LCH458730:LCH458807 LCH524266:LCH524343 LCH589802:LCH589879 LCH655338:LCH655415 LCH720874:LCH720951 LCH786410:LCH786487 LCH851946:LCH852023 LCH917482:LCH917559 LCH983018:LCH983095 LMD2:LMD58 LMD65514:LMD65591 LMD131050:LMD131127 LMD196586:LMD196663 LMD262122:LMD262199 LMD327658:LMD327735 LMD393194:LMD393271 LMD458730:LMD458807 LMD524266:LMD524343 LMD589802:LMD589879 LMD655338:LMD655415 LMD720874:LMD720951 LMD786410:LMD786487 LMD851946:LMD852023 LMD917482:LMD917559 LMD983018:LMD983095 LVZ2:LVZ58 LVZ65514:LVZ65591 LVZ131050:LVZ131127 LVZ196586:LVZ196663 LVZ262122:LVZ262199 LVZ327658:LVZ327735 LVZ393194:LVZ393271 LVZ458730:LVZ458807 LVZ524266:LVZ524343 LVZ589802:LVZ589879 LVZ655338:LVZ655415 LVZ720874:LVZ720951 LVZ786410:LVZ786487 LVZ851946:LVZ852023 LVZ917482:LVZ917559 LVZ983018:LVZ983095 MFV2:MFV58 MFV65514:MFV65591 MFV131050:MFV131127 MFV196586:MFV196663 MFV262122:MFV262199 MFV327658:MFV327735 MFV393194:MFV393271 MFV458730:MFV458807 MFV524266:MFV524343 MFV589802:MFV589879 MFV655338:MFV655415 MFV720874:MFV720951 MFV786410:MFV786487 MFV851946:MFV852023 MFV917482:MFV917559 MFV983018:MFV983095 MPR2:MPR58 MPR65514:MPR65591 MPR131050:MPR131127 MPR196586:MPR196663 MPR262122:MPR262199 MPR327658:MPR327735 MPR393194:MPR393271 MPR458730:MPR458807 MPR524266:MPR524343 MPR589802:MPR589879 MPR655338:MPR655415 MPR720874:MPR720951 MPR786410:MPR786487 MPR851946:MPR852023 MPR917482:MPR917559 MPR983018:MPR983095 MZN2:MZN58 MZN65514:MZN65591 MZN131050:MZN131127 MZN196586:MZN196663 MZN262122:MZN262199 MZN327658:MZN327735 MZN393194:MZN393271 MZN458730:MZN458807 MZN524266:MZN524343 MZN589802:MZN589879 MZN655338:MZN655415 MZN720874:MZN720951 MZN786410:MZN786487 MZN851946:MZN852023 MZN917482:MZN917559 MZN983018:MZN983095 NJJ2:NJJ58 NJJ65514:NJJ65591 NJJ131050:NJJ131127 NJJ196586:NJJ196663 NJJ262122:NJJ262199 NJJ327658:NJJ327735 NJJ393194:NJJ393271 NJJ458730:NJJ458807 NJJ524266:NJJ524343 NJJ589802:NJJ589879 NJJ655338:NJJ655415 NJJ720874:NJJ720951 NJJ786410:NJJ786487 NJJ851946:NJJ852023 NJJ917482:NJJ917559 NJJ983018:NJJ983095 NTF2:NTF58 NTF65514:NTF65591 NTF131050:NTF131127 NTF196586:NTF196663 NTF262122:NTF262199 NTF327658:NTF327735 NTF393194:NTF393271 NTF458730:NTF458807 NTF524266:NTF524343 NTF589802:NTF589879 NTF655338:NTF655415 NTF720874:NTF720951 NTF786410:NTF786487 NTF851946:NTF852023 NTF917482:NTF917559 NTF983018:NTF983095 ODB2:ODB58 ODB65514:ODB65591 ODB131050:ODB131127 ODB196586:ODB196663 ODB262122:ODB262199 ODB327658:ODB327735 ODB393194:ODB393271 ODB458730:ODB458807 ODB524266:ODB524343 ODB589802:ODB589879 ODB655338:ODB655415 ODB720874:ODB720951 ODB786410:ODB786487 ODB851946:ODB852023 ODB917482:ODB917559 ODB983018:ODB983095 OMX2:OMX58 OMX65514:OMX65591 OMX131050:OMX131127 OMX196586:OMX196663 OMX262122:OMX262199 OMX327658:OMX327735 OMX393194:OMX393271 OMX458730:OMX458807 OMX524266:OMX524343 OMX589802:OMX589879 OMX655338:OMX655415 OMX720874:OMX720951 OMX786410:OMX786487 OMX851946:OMX852023 OMX917482:OMX917559 OMX983018:OMX983095 OWT2:OWT58 OWT65514:OWT65591 OWT131050:OWT131127 OWT196586:OWT196663 OWT262122:OWT262199 OWT327658:OWT327735 OWT393194:OWT393271 OWT458730:OWT458807 OWT524266:OWT524343 OWT589802:OWT589879 OWT655338:OWT655415 OWT720874:OWT720951 OWT786410:OWT786487 OWT851946:OWT852023 OWT917482:OWT917559 OWT983018:OWT983095 PGP2:PGP58 PGP65514:PGP65591 PGP131050:PGP131127 PGP196586:PGP196663 PGP262122:PGP262199 PGP327658:PGP327735 PGP393194:PGP393271 PGP458730:PGP458807 PGP524266:PGP524343 PGP589802:PGP589879 PGP655338:PGP655415 PGP720874:PGP720951 PGP786410:PGP786487 PGP851946:PGP852023 PGP917482:PGP917559 PGP983018:PGP983095 PQL2:PQL58 PQL65514:PQL65591 PQL131050:PQL131127 PQL196586:PQL196663 PQL262122:PQL262199 PQL327658:PQL327735 PQL393194:PQL393271 PQL458730:PQL458807 PQL524266:PQL524343 PQL589802:PQL589879 PQL655338:PQL655415 PQL720874:PQL720951 PQL786410:PQL786487 PQL851946:PQL852023 PQL917482:PQL917559 PQL983018:PQL983095 QAH2:QAH58 QAH65514:QAH65591 QAH131050:QAH131127 QAH196586:QAH196663 QAH262122:QAH262199 QAH327658:QAH327735 QAH393194:QAH393271 QAH458730:QAH458807 QAH524266:QAH524343 QAH589802:QAH589879 QAH655338:QAH655415 QAH720874:QAH720951 QAH786410:QAH786487 QAH851946:QAH852023 QAH917482:QAH917559 QAH983018:QAH983095 QKD2:QKD58 QKD65514:QKD65591 QKD131050:QKD131127 QKD196586:QKD196663 QKD262122:QKD262199 QKD327658:QKD327735 QKD393194:QKD393271 QKD458730:QKD458807 QKD524266:QKD524343 QKD589802:QKD589879 QKD655338:QKD655415 QKD720874:QKD720951 QKD786410:QKD786487 QKD851946:QKD852023 QKD917482:QKD917559 QKD983018:QKD983095 QTZ2:QTZ58 QTZ65514:QTZ65591 QTZ131050:QTZ131127 QTZ196586:QTZ196663 QTZ262122:QTZ262199 QTZ327658:QTZ327735 QTZ393194:QTZ393271 QTZ458730:QTZ458807 QTZ524266:QTZ524343 QTZ589802:QTZ589879 QTZ655338:QTZ655415 QTZ720874:QTZ720951 QTZ786410:QTZ786487 QTZ851946:QTZ852023 QTZ917482:QTZ917559 QTZ983018:QTZ983095 RDV2:RDV58 RDV65514:RDV65591 RDV131050:RDV131127 RDV196586:RDV196663 RDV262122:RDV262199 RDV327658:RDV327735 RDV393194:RDV393271 RDV458730:RDV458807 RDV524266:RDV524343 RDV589802:RDV589879 RDV655338:RDV655415 RDV720874:RDV720951 RDV786410:RDV786487 RDV851946:RDV852023 RDV917482:RDV917559 RDV983018:RDV983095 RNR2:RNR58 RNR65514:RNR65591 RNR131050:RNR131127 RNR196586:RNR196663 RNR262122:RNR262199 RNR327658:RNR327735 RNR393194:RNR393271 RNR458730:RNR458807 RNR524266:RNR524343 RNR589802:RNR589879 RNR655338:RNR655415 RNR720874:RNR720951 RNR786410:RNR786487 RNR851946:RNR852023 RNR917482:RNR917559 RNR983018:RNR983095 RXN2:RXN58 RXN65514:RXN65591 RXN131050:RXN131127 RXN196586:RXN196663 RXN262122:RXN262199 RXN327658:RXN327735 RXN393194:RXN393271 RXN458730:RXN458807 RXN524266:RXN524343 RXN589802:RXN589879 RXN655338:RXN655415 RXN720874:RXN720951 RXN786410:RXN786487 RXN851946:RXN852023 RXN917482:RXN917559 RXN983018:RXN983095 SHJ2:SHJ58 SHJ65514:SHJ65591 SHJ131050:SHJ131127 SHJ196586:SHJ196663 SHJ262122:SHJ262199 SHJ327658:SHJ327735 SHJ393194:SHJ393271 SHJ458730:SHJ458807 SHJ524266:SHJ524343 SHJ589802:SHJ589879 SHJ655338:SHJ655415 SHJ720874:SHJ720951 SHJ786410:SHJ786487 SHJ851946:SHJ852023 SHJ917482:SHJ917559 SHJ983018:SHJ983095 SRF2:SRF58 SRF65514:SRF65591 SRF131050:SRF131127 SRF196586:SRF196663 SRF262122:SRF262199 SRF327658:SRF327735 SRF393194:SRF393271 SRF458730:SRF458807 SRF524266:SRF524343 SRF589802:SRF589879 SRF655338:SRF655415 SRF720874:SRF720951 SRF786410:SRF786487 SRF851946:SRF852023 SRF917482:SRF917559 SRF983018:SRF983095 TBB2:TBB58 TBB65514:TBB65591 TBB131050:TBB131127 TBB196586:TBB196663 TBB262122:TBB262199 TBB327658:TBB327735 TBB393194:TBB393271 TBB458730:TBB458807 TBB524266:TBB524343 TBB589802:TBB589879 TBB655338:TBB655415 TBB720874:TBB720951 TBB786410:TBB786487 TBB851946:TBB852023 TBB917482:TBB917559 TBB983018:TBB983095 TKX2:TKX58 TKX65514:TKX65591 TKX131050:TKX131127 TKX196586:TKX196663 TKX262122:TKX262199 TKX327658:TKX327735 TKX393194:TKX393271 TKX458730:TKX458807 TKX524266:TKX524343 TKX589802:TKX589879 TKX655338:TKX655415 TKX720874:TKX720951 TKX786410:TKX786487 TKX851946:TKX852023 TKX917482:TKX917559 TKX983018:TKX983095 TUT2:TUT58 TUT65514:TUT65591 TUT131050:TUT131127 TUT196586:TUT196663 TUT262122:TUT262199 TUT327658:TUT327735 TUT393194:TUT393271 TUT458730:TUT458807 TUT524266:TUT524343 TUT589802:TUT589879 TUT655338:TUT655415 TUT720874:TUT720951 TUT786410:TUT786487 TUT851946:TUT852023 TUT917482:TUT917559 TUT983018:TUT983095 UEP2:UEP58 UEP65514:UEP65591 UEP131050:UEP131127 UEP196586:UEP196663 UEP262122:UEP262199 UEP327658:UEP327735 UEP393194:UEP393271 UEP458730:UEP458807 UEP524266:UEP524343 UEP589802:UEP589879 UEP655338:UEP655415 UEP720874:UEP720951 UEP786410:UEP786487 UEP851946:UEP852023 UEP917482:UEP917559 UEP983018:UEP983095 UOL2:UOL58 UOL65514:UOL65591 UOL131050:UOL131127 UOL196586:UOL196663 UOL262122:UOL262199 UOL327658:UOL327735 UOL393194:UOL393271 UOL458730:UOL458807 UOL524266:UOL524343 UOL589802:UOL589879 UOL655338:UOL655415 UOL720874:UOL720951 UOL786410:UOL786487 UOL851946:UOL852023 UOL917482:UOL917559 UOL983018:UOL983095 UYH2:UYH58 UYH65514:UYH65591 UYH131050:UYH131127 UYH196586:UYH196663 UYH262122:UYH262199 UYH327658:UYH327735 UYH393194:UYH393271 UYH458730:UYH458807 UYH524266:UYH524343 UYH589802:UYH589879 UYH655338:UYH655415 UYH720874:UYH720951 UYH786410:UYH786487 UYH851946:UYH852023 UYH917482:UYH917559 UYH983018:UYH983095 VID2:VID58 VID65514:VID65591 VID131050:VID131127 VID196586:VID196663 VID262122:VID262199 VID327658:VID327735 VID393194:VID393271 VID458730:VID458807 VID524266:VID524343 VID589802:VID589879 VID655338:VID655415 VID720874:VID720951 VID786410:VID786487 VID851946:VID852023 VID917482:VID917559 VID983018:VID983095 VRZ2:VRZ58 VRZ65514:VRZ65591 VRZ131050:VRZ131127 VRZ196586:VRZ196663 VRZ262122:VRZ262199 VRZ327658:VRZ327735 VRZ393194:VRZ393271 VRZ458730:VRZ458807 VRZ524266:VRZ524343 VRZ589802:VRZ589879 VRZ655338:VRZ655415 VRZ720874:VRZ720951 VRZ786410:VRZ786487 VRZ851946:VRZ852023 VRZ917482:VRZ917559 VRZ983018:VRZ983095 WBV2:WBV58 WBV65514:WBV65591 WBV131050:WBV131127 WBV196586:WBV196663 WBV262122:WBV262199 WBV327658:WBV327735 WBV393194:WBV393271 WBV458730:WBV458807 WBV524266:WBV524343 WBV589802:WBV589879 WBV655338:WBV655415 WBV720874:WBV720951 WBV786410:WBV786487 WBV851946:WBV852023 WBV917482:WBV917559 WBV983018:WBV983095 WLR2:WLR58 WLR65514:WLR65591 WLR131050:WLR131127 WLR196586:WLR196663 WLR262122:WLR262199 WLR327658:WLR327735 WLR393194:WLR393271 WLR458730:WLR458807 WLR524266:WLR524343 WLR589802:WLR589879 WLR655338:WLR655415 WLR720874:WLR720951 WLR786410:WLR786487 WLR851946:WLR852023 WLR917482:WLR917559 WLR983018:WLR983095 WVN2:WVN58 WVN65514:WVN65591 WVN131050:WVN131127 WVN196586:WVN196663 WVN262122:WVN262199 WVN327658:WVN327735 WVN393194:WVN393271 WVN458730:WVN458807 WVN524266:WVN524343 WVN589802:WVN589879 WVN655338:WVN655415 WVN720874:WVN720951 WVN786410:WVN786487 WVN851946:WVN852023 WVN917482:WVN917559 WVN983018:WVN983095">
      <formula1>$AH$2:$AH$11</formula1>
    </dataValidation>
    <dataValidation type="list" allowBlank="1" showInputMessage="1" showErrorMessage="1" sqref="E2:E708 E65514:E65591 E131050:E131127 E196586:E196663 E262122:E262199 E327658:E327735 E393194:E393271 E458730:E458807 E524266:E524343 E589802:E589879 E655338:E655415 E720874:E720951 E786410:E786487 E851946:E852023 E917482:E917559 E983018:E983095 JA2:JA58 JA65514:JA65591 JA131050:JA131127 JA196586:JA196663 JA262122:JA262199 JA327658:JA327735 JA393194:JA393271 JA458730:JA458807 JA524266:JA524343 JA589802:JA589879 JA655338:JA655415 JA720874:JA720951 JA786410:JA786487 JA851946:JA852023 JA917482:JA917559 JA983018:JA983095 SW2:SW58 SW65514:SW65591 SW131050:SW131127 SW196586:SW196663 SW262122:SW262199 SW327658:SW327735 SW393194:SW393271 SW458730:SW458807 SW524266:SW524343 SW589802:SW589879 SW655338:SW655415 SW720874:SW720951 SW786410:SW786487 SW851946:SW852023 SW917482:SW917559 SW983018:SW983095 ACS2:ACS58 ACS65514:ACS65591 ACS131050:ACS131127 ACS196586:ACS196663 ACS262122:ACS262199 ACS327658:ACS327735 ACS393194:ACS393271 ACS458730:ACS458807 ACS524266:ACS524343 ACS589802:ACS589879 ACS655338:ACS655415 ACS720874:ACS720951 ACS786410:ACS786487 ACS851946:ACS852023 ACS917482:ACS917559 ACS983018:ACS983095 AMO2:AMO58 AMO65514:AMO65591 AMO131050:AMO131127 AMO196586:AMO196663 AMO262122:AMO262199 AMO327658:AMO327735 AMO393194:AMO393271 AMO458730:AMO458807 AMO524266:AMO524343 AMO589802:AMO589879 AMO655338:AMO655415 AMO720874:AMO720951 AMO786410:AMO786487 AMO851946:AMO852023 AMO917482:AMO917559 AMO983018:AMO983095 AWK2:AWK58 AWK65514:AWK65591 AWK131050:AWK131127 AWK196586:AWK196663 AWK262122:AWK262199 AWK327658:AWK327735 AWK393194:AWK393271 AWK458730:AWK458807 AWK524266:AWK524343 AWK589802:AWK589879 AWK655338:AWK655415 AWK720874:AWK720951 AWK786410:AWK786487 AWK851946:AWK852023 AWK917482:AWK917559 AWK983018:AWK983095 BGG2:BGG58 BGG65514:BGG65591 BGG131050:BGG131127 BGG196586:BGG196663 BGG262122:BGG262199 BGG327658:BGG327735 BGG393194:BGG393271 BGG458730:BGG458807 BGG524266:BGG524343 BGG589802:BGG589879 BGG655338:BGG655415 BGG720874:BGG720951 BGG786410:BGG786487 BGG851946:BGG852023 BGG917482:BGG917559 BGG983018:BGG983095 BQC2:BQC58 BQC65514:BQC65591 BQC131050:BQC131127 BQC196586:BQC196663 BQC262122:BQC262199 BQC327658:BQC327735 BQC393194:BQC393271 BQC458730:BQC458807 BQC524266:BQC524343 BQC589802:BQC589879 BQC655338:BQC655415 BQC720874:BQC720951 BQC786410:BQC786487 BQC851946:BQC852023 BQC917482:BQC917559 BQC983018:BQC983095 BZY2:BZY58 BZY65514:BZY65591 BZY131050:BZY131127 BZY196586:BZY196663 BZY262122:BZY262199 BZY327658:BZY327735 BZY393194:BZY393271 BZY458730:BZY458807 BZY524266:BZY524343 BZY589802:BZY589879 BZY655338:BZY655415 BZY720874:BZY720951 BZY786410:BZY786487 BZY851946:BZY852023 BZY917482:BZY917559 BZY983018:BZY983095 CJU2:CJU58 CJU65514:CJU65591 CJU131050:CJU131127 CJU196586:CJU196663 CJU262122:CJU262199 CJU327658:CJU327735 CJU393194:CJU393271 CJU458730:CJU458807 CJU524266:CJU524343 CJU589802:CJU589879 CJU655338:CJU655415 CJU720874:CJU720951 CJU786410:CJU786487 CJU851946:CJU852023 CJU917482:CJU917559 CJU983018:CJU983095 CTQ2:CTQ58 CTQ65514:CTQ65591 CTQ131050:CTQ131127 CTQ196586:CTQ196663 CTQ262122:CTQ262199 CTQ327658:CTQ327735 CTQ393194:CTQ393271 CTQ458730:CTQ458807 CTQ524266:CTQ524343 CTQ589802:CTQ589879 CTQ655338:CTQ655415 CTQ720874:CTQ720951 CTQ786410:CTQ786487 CTQ851946:CTQ852023 CTQ917482:CTQ917559 CTQ983018:CTQ983095 DDM2:DDM58 DDM65514:DDM65591 DDM131050:DDM131127 DDM196586:DDM196663 DDM262122:DDM262199 DDM327658:DDM327735 DDM393194:DDM393271 DDM458730:DDM458807 DDM524266:DDM524343 DDM589802:DDM589879 DDM655338:DDM655415 DDM720874:DDM720951 DDM786410:DDM786487 DDM851946:DDM852023 DDM917482:DDM917559 DDM983018:DDM983095 DNI2:DNI58 DNI65514:DNI65591 DNI131050:DNI131127 DNI196586:DNI196663 DNI262122:DNI262199 DNI327658:DNI327735 DNI393194:DNI393271 DNI458730:DNI458807 DNI524266:DNI524343 DNI589802:DNI589879 DNI655338:DNI655415 DNI720874:DNI720951 DNI786410:DNI786487 DNI851946:DNI852023 DNI917482:DNI917559 DNI983018:DNI983095 DXE2:DXE58 DXE65514:DXE65591 DXE131050:DXE131127 DXE196586:DXE196663 DXE262122:DXE262199 DXE327658:DXE327735 DXE393194:DXE393271 DXE458730:DXE458807 DXE524266:DXE524343 DXE589802:DXE589879 DXE655338:DXE655415 DXE720874:DXE720951 DXE786410:DXE786487 DXE851946:DXE852023 DXE917482:DXE917559 DXE983018:DXE983095 EHA2:EHA58 EHA65514:EHA65591 EHA131050:EHA131127 EHA196586:EHA196663 EHA262122:EHA262199 EHA327658:EHA327735 EHA393194:EHA393271 EHA458730:EHA458807 EHA524266:EHA524343 EHA589802:EHA589879 EHA655338:EHA655415 EHA720874:EHA720951 EHA786410:EHA786487 EHA851946:EHA852023 EHA917482:EHA917559 EHA983018:EHA983095 EQW2:EQW58 EQW65514:EQW65591 EQW131050:EQW131127 EQW196586:EQW196663 EQW262122:EQW262199 EQW327658:EQW327735 EQW393194:EQW393271 EQW458730:EQW458807 EQW524266:EQW524343 EQW589802:EQW589879 EQW655338:EQW655415 EQW720874:EQW720951 EQW786410:EQW786487 EQW851946:EQW852023 EQW917482:EQW917559 EQW983018:EQW983095 FAS2:FAS58 FAS65514:FAS65591 FAS131050:FAS131127 FAS196586:FAS196663 FAS262122:FAS262199 FAS327658:FAS327735 FAS393194:FAS393271 FAS458730:FAS458807 FAS524266:FAS524343 FAS589802:FAS589879 FAS655338:FAS655415 FAS720874:FAS720951 FAS786410:FAS786487 FAS851946:FAS852023 FAS917482:FAS917559 FAS983018:FAS983095 FKO2:FKO58 FKO65514:FKO65591 FKO131050:FKO131127 FKO196586:FKO196663 FKO262122:FKO262199 FKO327658:FKO327735 FKO393194:FKO393271 FKO458730:FKO458807 FKO524266:FKO524343 FKO589802:FKO589879 FKO655338:FKO655415 FKO720874:FKO720951 FKO786410:FKO786487 FKO851946:FKO852023 FKO917482:FKO917559 FKO983018:FKO983095 FUK2:FUK58 FUK65514:FUK65591 FUK131050:FUK131127 FUK196586:FUK196663 FUK262122:FUK262199 FUK327658:FUK327735 FUK393194:FUK393271 FUK458730:FUK458807 FUK524266:FUK524343 FUK589802:FUK589879 FUK655338:FUK655415 FUK720874:FUK720951 FUK786410:FUK786487 FUK851946:FUK852023 FUK917482:FUK917559 FUK983018:FUK983095 GEG2:GEG58 GEG65514:GEG65591 GEG131050:GEG131127 GEG196586:GEG196663 GEG262122:GEG262199 GEG327658:GEG327735 GEG393194:GEG393271 GEG458730:GEG458807 GEG524266:GEG524343 GEG589802:GEG589879 GEG655338:GEG655415 GEG720874:GEG720951 GEG786410:GEG786487 GEG851946:GEG852023 GEG917482:GEG917559 GEG983018:GEG983095 GOC2:GOC58 GOC65514:GOC65591 GOC131050:GOC131127 GOC196586:GOC196663 GOC262122:GOC262199 GOC327658:GOC327735 GOC393194:GOC393271 GOC458730:GOC458807 GOC524266:GOC524343 GOC589802:GOC589879 GOC655338:GOC655415 GOC720874:GOC720951 GOC786410:GOC786487 GOC851946:GOC852023 GOC917482:GOC917559 GOC983018:GOC983095 GXY2:GXY58 GXY65514:GXY65591 GXY131050:GXY131127 GXY196586:GXY196663 GXY262122:GXY262199 GXY327658:GXY327735 GXY393194:GXY393271 GXY458730:GXY458807 GXY524266:GXY524343 GXY589802:GXY589879 GXY655338:GXY655415 GXY720874:GXY720951 GXY786410:GXY786487 GXY851946:GXY852023 GXY917482:GXY917559 GXY983018:GXY983095 HHU2:HHU58 HHU65514:HHU65591 HHU131050:HHU131127 HHU196586:HHU196663 HHU262122:HHU262199 HHU327658:HHU327735 HHU393194:HHU393271 HHU458730:HHU458807 HHU524266:HHU524343 HHU589802:HHU589879 HHU655338:HHU655415 HHU720874:HHU720951 HHU786410:HHU786487 HHU851946:HHU852023 HHU917482:HHU917559 HHU983018:HHU983095 HRQ2:HRQ58 HRQ65514:HRQ65591 HRQ131050:HRQ131127 HRQ196586:HRQ196663 HRQ262122:HRQ262199 HRQ327658:HRQ327735 HRQ393194:HRQ393271 HRQ458730:HRQ458807 HRQ524266:HRQ524343 HRQ589802:HRQ589879 HRQ655338:HRQ655415 HRQ720874:HRQ720951 HRQ786410:HRQ786487 HRQ851946:HRQ852023 HRQ917482:HRQ917559 HRQ983018:HRQ983095 IBM2:IBM58 IBM65514:IBM65591 IBM131050:IBM131127 IBM196586:IBM196663 IBM262122:IBM262199 IBM327658:IBM327735 IBM393194:IBM393271 IBM458730:IBM458807 IBM524266:IBM524343 IBM589802:IBM589879 IBM655338:IBM655415 IBM720874:IBM720951 IBM786410:IBM786487 IBM851946:IBM852023 IBM917482:IBM917559 IBM983018:IBM983095 ILI2:ILI58 ILI65514:ILI65591 ILI131050:ILI131127 ILI196586:ILI196663 ILI262122:ILI262199 ILI327658:ILI327735 ILI393194:ILI393271 ILI458730:ILI458807 ILI524266:ILI524343 ILI589802:ILI589879 ILI655338:ILI655415 ILI720874:ILI720951 ILI786410:ILI786487 ILI851946:ILI852023 ILI917482:ILI917559 ILI983018:ILI983095 IVE2:IVE58 IVE65514:IVE65591 IVE131050:IVE131127 IVE196586:IVE196663 IVE262122:IVE262199 IVE327658:IVE327735 IVE393194:IVE393271 IVE458730:IVE458807 IVE524266:IVE524343 IVE589802:IVE589879 IVE655338:IVE655415 IVE720874:IVE720951 IVE786410:IVE786487 IVE851946:IVE852023 IVE917482:IVE917559 IVE983018:IVE983095 JFA2:JFA58 JFA65514:JFA65591 JFA131050:JFA131127 JFA196586:JFA196663 JFA262122:JFA262199 JFA327658:JFA327735 JFA393194:JFA393271 JFA458730:JFA458807 JFA524266:JFA524343 JFA589802:JFA589879 JFA655338:JFA655415 JFA720874:JFA720951 JFA786410:JFA786487 JFA851946:JFA852023 JFA917482:JFA917559 JFA983018:JFA983095 JOW2:JOW58 JOW65514:JOW65591 JOW131050:JOW131127 JOW196586:JOW196663 JOW262122:JOW262199 JOW327658:JOW327735 JOW393194:JOW393271 JOW458730:JOW458807 JOW524266:JOW524343 JOW589802:JOW589879 JOW655338:JOW655415 JOW720874:JOW720951 JOW786410:JOW786487 JOW851946:JOW852023 JOW917482:JOW917559 JOW983018:JOW983095 JYS2:JYS58 JYS65514:JYS65591 JYS131050:JYS131127 JYS196586:JYS196663 JYS262122:JYS262199 JYS327658:JYS327735 JYS393194:JYS393271 JYS458730:JYS458807 JYS524266:JYS524343 JYS589802:JYS589879 JYS655338:JYS655415 JYS720874:JYS720951 JYS786410:JYS786487 JYS851946:JYS852023 JYS917482:JYS917559 JYS983018:JYS983095 KIO2:KIO58 KIO65514:KIO65591 KIO131050:KIO131127 KIO196586:KIO196663 KIO262122:KIO262199 KIO327658:KIO327735 KIO393194:KIO393271 KIO458730:KIO458807 KIO524266:KIO524343 KIO589802:KIO589879 KIO655338:KIO655415 KIO720874:KIO720951 KIO786410:KIO786487 KIO851946:KIO852023 KIO917482:KIO917559 KIO983018:KIO983095 KSK2:KSK58 KSK65514:KSK65591 KSK131050:KSK131127 KSK196586:KSK196663 KSK262122:KSK262199 KSK327658:KSK327735 KSK393194:KSK393271 KSK458730:KSK458807 KSK524266:KSK524343 KSK589802:KSK589879 KSK655338:KSK655415 KSK720874:KSK720951 KSK786410:KSK786487 KSK851946:KSK852023 KSK917482:KSK917559 KSK983018:KSK983095 LCG2:LCG58 LCG65514:LCG65591 LCG131050:LCG131127 LCG196586:LCG196663 LCG262122:LCG262199 LCG327658:LCG327735 LCG393194:LCG393271 LCG458730:LCG458807 LCG524266:LCG524343 LCG589802:LCG589879 LCG655338:LCG655415 LCG720874:LCG720951 LCG786410:LCG786487 LCG851946:LCG852023 LCG917482:LCG917559 LCG983018:LCG983095 LMC2:LMC58 LMC65514:LMC65591 LMC131050:LMC131127 LMC196586:LMC196663 LMC262122:LMC262199 LMC327658:LMC327735 LMC393194:LMC393271 LMC458730:LMC458807 LMC524266:LMC524343 LMC589802:LMC589879 LMC655338:LMC655415 LMC720874:LMC720951 LMC786410:LMC786487 LMC851946:LMC852023 LMC917482:LMC917559 LMC983018:LMC983095 LVY2:LVY58 LVY65514:LVY65591 LVY131050:LVY131127 LVY196586:LVY196663 LVY262122:LVY262199 LVY327658:LVY327735 LVY393194:LVY393271 LVY458730:LVY458807 LVY524266:LVY524343 LVY589802:LVY589879 LVY655338:LVY655415 LVY720874:LVY720951 LVY786410:LVY786487 LVY851946:LVY852023 LVY917482:LVY917559 LVY983018:LVY983095 MFU2:MFU58 MFU65514:MFU65591 MFU131050:MFU131127 MFU196586:MFU196663 MFU262122:MFU262199 MFU327658:MFU327735 MFU393194:MFU393271 MFU458730:MFU458807 MFU524266:MFU524343 MFU589802:MFU589879 MFU655338:MFU655415 MFU720874:MFU720951 MFU786410:MFU786487 MFU851946:MFU852023 MFU917482:MFU917559 MFU983018:MFU983095 MPQ2:MPQ58 MPQ65514:MPQ65591 MPQ131050:MPQ131127 MPQ196586:MPQ196663 MPQ262122:MPQ262199 MPQ327658:MPQ327735 MPQ393194:MPQ393271 MPQ458730:MPQ458807 MPQ524266:MPQ524343 MPQ589802:MPQ589879 MPQ655338:MPQ655415 MPQ720874:MPQ720951 MPQ786410:MPQ786487 MPQ851946:MPQ852023 MPQ917482:MPQ917559 MPQ983018:MPQ983095 MZM2:MZM58 MZM65514:MZM65591 MZM131050:MZM131127 MZM196586:MZM196663 MZM262122:MZM262199 MZM327658:MZM327735 MZM393194:MZM393271 MZM458730:MZM458807 MZM524266:MZM524343 MZM589802:MZM589879 MZM655338:MZM655415 MZM720874:MZM720951 MZM786410:MZM786487 MZM851946:MZM852023 MZM917482:MZM917559 MZM983018:MZM983095 NJI2:NJI58 NJI65514:NJI65591 NJI131050:NJI131127 NJI196586:NJI196663 NJI262122:NJI262199 NJI327658:NJI327735 NJI393194:NJI393271 NJI458730:NJI458807 NJI524266:NJI524343 NJI589802:NJI589879 NJI655338:NJI655415 NJI720874:NJI720951 NJI786410:NJI786487 NJI851946:NJI852023 NJI917482:NJI917559 NJI983018:NJI983095 NTE2:NTE58 NTE65514:NTE65591 NTE131050:NTE131127 NTE196586:NTE196663 NTE262122:NTE262199 NTE327658:NTE327735 NTE393194:NTE393271 NTE458730:NTE458807 NTE524266:NTE524343 NTE589802:NTE589879 NTE655338:NTE655415 NTE720874:NTE720951 NTE786410:NTE786487 NTE851946:NTE852023 NTE917482:NTE917559 NTE983018:NTE983095 ODA2:ODA58 ODA65514:ODA65591 ODA131050:ODA131127 ODA196586:ODA196663 ODA262122:ODA262199 ODA327658:ODA327735 ODA393194:ODA393271 ODA458730:ODA458807 ODA524266:ODA524343 ODA589802:ODA589879 ODA655338:ODA655415 ODA720874:ODA720951 ODA786410:ODA786487 ODA851946:ODA852023 ODA917482:ODA917559 ODA983018:ODA983095 OMW2:OMW58 OMW65514:OMW65591 OMW131050:OMW131127 OMW196586:OMW196663 OMW262122:OMW262199 OMW327658:OMW327735 OMW393194:OMW393271 OMW458730:OMW458807 OMW524266:OMW524343 OMW589802:OMW589879 OMW655338:OMW655415 OMW720874:OMW720951 OMW786410:OMW786487 OMW851946:OMW852023 OMW917482:OMW917559 OMW983018:OMW983095 OWS2:OWS58 OWS65514:OWS65591 OWS131050:OWS131127 OWS196586:OWS196663 OWS262122:OWS262199 OWS327658:OWS327735 OWS393194:OWS393271 OWS458730:OWS458807 OWS524266:OWS524343 OWS589802:OWS589879 OWS655338:OWS655415 OWS720874:OWS720951 OWS786410:OWS786487 OWS851946:OWS852023 OWS917482:OWS917559 OWS983018:OWS983095 PGO2:PGO58 PGO65514:PGO65591 PGO131050:PGO131127 PGO196586:PGO196663 PGO262122:PGO262199 PGO327658:PGO327735 PGO393194:PGO393271 PGO458730:PGO458807 PGO524266:PGO524343 PGO589802:PGO589879 PGO655338:PGO655415 PGO720874:PGO720951 PGO786410:PGO786487 PGO851946:PGO852023 PGO917482:PGO917559 PGO983018:PGO983095 PQK2:PQK58 PQK65514:PQK65591 PQK131050:PQK131127 PQK196586:PQK196663 PQK262122:PQK262199 PQK327658:PQK327735 PQK393194:PQK393271 PQK458730:PQK458807 PQK524266:PQK524343 PQK589802:PQK589879 PQK655338:PQK655415 PQK720874:PQK720951 PQK786410:PQK786487 PQK851946:PQK852023 PQK917482:PQK917559 PQK983018:PQK983095 QAG2:QAG58 QAG65514:QAG65591 QAG131050:QAG131127 QAG196586:QAG196663 QAG262122:QAG262199 QAG327658:QAG327735 QAG393194:QAG393271 QAG458730:QAG458807 QAG524266:QAG524343 QAG589802:QAG589879 QAG655338:QAG655415 QAG720874:QAG720951 QAG786410:QAG786487 QAG851946:QAG852023 QAG917482:QAG917559 QAG983018:QAG983095 QKC2:QKC58 QKC65514:QKC65591 QKC131050:QKC131127 QKC196586:QKC196663 QKC262122:QKC262199 QKC327658:QKC327735 QKC393194:QKC393271 QKC458730:QKC458807 QKC524266:QKC524343 QKC589802:QKC589879 QKC655338:QKC655415 QKC720874:QKC720951 QKC786410:QKC786487 QKC851946:QKC852023 QKC917482:QKC917559 QKC983018:QKC983095 QTY2:QTY58 QTY65514:QTY65591 QTY131050:QTY131127 QTY196586:QTY196663 QTY262122:QTY262199 QTY327658:QTY327735 QTY393194:QTY393271 QTY458730:QTY458807 QTY524266:QTY524343 QTY589802:QTY589879 QTY655338:QTY655415 QTY720874:QTY720951 QTY786410:QTY786487 QTY851946:QTY852023 QTY917482:QTY917559 QTY983018:QTY983095 RDU2:RDU58 RDU65514:RDU65591 RDU131050:RDU131127 RDU196586:RDU196663 RDU262122:RDU262199 RDU327658:RDU327735 RDU393194:RDU393271 RDU458730:RDU458807 RDU524266:RDU524343 RDU589802:RDU589879 RDU655338:RDU655415 RDU720874:RDU720951 RDU786410:RDU786487 RDU851946:RDU852023 RDU917482:RDU917559 RDU983018:RDU983095 RNQ2:RNQ58 RNQ65514:RNQ65591 RNQ131050:RNQ131127 RNQ196586:RNQ196663 RNQ262122:RNQ262199 RNQ327658:RNQ327735 RNQ393194:RNQ393271 RNQ458730:RNQ458807 RNQ524266:RNQ524343 RNQ589802:RNQ589879 RNQ655338:RNQ655415 RNQ720874:RNQ720951 RNQ786410:RNQ786487 RNQ851946:RNQ852023 RNQ917482:RNQ917559 RNQ983018:RNQ983095 RXM2:RXM58 RXM65514:RXM65591 RXM131050:RXM131127 RXM196586:RXM196663 RXM262122:RXM262199 RXM327658:RXM327735 RXM393194:RXM393271 RXM458730:RXM458807 RXM524266:RXM524343 RXM589802:RXM589879 RXM655338:RXM655415 RXM720874:RXM720951 RXM786410:RXM786487 RXM851946:RXM852023 RXM917482:RXM917559 RXM983018:RXM983095 SHI2:SHI58 SHI65514:SHI65591 SHI131050:SHI131127 SHI196586:SHI196663 SHI262122:SHI262199 SHI327658:SHI327735 SHI393194:SHI393271 SHI458730:SHI458807 SHI524266:SHI524343 SHI589802:SHI589879 SHI655338:SHI655415 SHI720874:SHI720951 SHI786410:SHI786487 SHI851946:SHI852023 SHI917482:SHI917559 SHI983018:SHI983095 SRE2:SRE58 SRE65514:SRE65591 SRE131050:SRE131127 SRE196586:SRE196663 SRE262122:SRE262199 SRE327658:SRE327735 SRE393194:SRE393271 SRE458730:SRE458807 SRE524266:SRE524343 SRE589802:SRE589879 SRE655338:SRE655415 SRE720874:SRE720951 SRE786410:SRE786487 SRE851946:SRE852023 SRE917482:SRE917559 SRE983018:SRE983095 TBA2:TBA58 TBA65514:TBA65591 TBA131050:TBA131127 TBA196586:TBA196663 TBA262122:TBA262199 TBA327658:TBA327735 TBA393194:TBA393271 TBA458730:TBA458807 TBA524266:TBA524343 TBA589802:TBA589879 TBA655338:TBA655415 TBA720874:TBA720951 TBA786410:TBA786487 TBA851946:TBA852023 TBA917482:TBA917559 TBA983018:TBA983095 TKW2:TKW58 TKW65514:TKW65591 TKW131050:TKW131127 TKW196586:TKW196663 TKW262122:TKW262199 TKW327658:TKW327735 TKW393194:TKW393271 TKW458730:TKW458807 TKW524266:TKW524343 TKW589802:TKW589879 TKW655338:TKW655415 TKW720874:TKW720951 TKW786410:TKW786487 TKW851946:TKW852023 TKW917482:TKW917559 TKW983018:TKW983095 TUS2:TUS58 TUS65514:TUS65591 TUS131050:TUS131127 TUS196586:TUS196663 TUS262122:TUS262199 TUS327658:TUS327735 TUS393194:TUS393271 TUS458730:TUS458807 TUS524266:TUS524343 TUS589802:TUS589879 TUS655338:TUS655415 TUS720874:TUS720951 TUS786410:TUS786487 TUS851946:TUS852023 TUS917482:TUS917559 TUS983018:TUS983095 UEO2:UEO58 UEO65514:UEO65591 UEO131050:UEO131127 UEO196586:UEO196663 UEO262122:UEO262199 UEO327658:UEO327735 UEO393194:UEO393271 UEO458730:UEO458807 UEO524266:UEO524343 UEO589802:UEO589879 UEO655338:UEO655415 UEO720874:UEO720951 UEO786410:UEO786487 UEO851946:UEO852023 UEO917482:UEO917559 UEO983018:UEO983095 UOK2:UOK58 UOK65514:UOK65591 UOK131050:UOK131127 UOK196586:UOK196663 UOK262122:UOK262199 UOK327658:UOK327735 UOK393194:UOK393271 UOK458730:UOK458807 UOK524266:UOK524343 UOK589802:UOK589879 UOK655338:UOK655415 UOK720874:UOK720951 UOK786410:UOK786487 UOK851946:UOK852023 UOK917482:UOK917559 UOK983018:UOK983095 UYG2:UYG58 UYG65514:UYG65591 UYG131050:UYG131127 UYG196586:UYG196663 UYG262122:UYG262199 UYG327658:UYG327735 UYG393194:UYG393271 UYG458730:UYG458807 UYG524266:UYG524343 UYG589802:UYG589879 UYG655338:UYG655415 UYG720874:UYG720951 UYG786410:UYG786487 UYG851946:UYG852023 UYG917482:UYG917559 UYG983018:UYG983095 VIC2:VIC58 VIC65514:VIC65591 VIC131050:VIC131127 VIC196586:VIC196663 VIC262122:VIC262199 VIC327658:VIC327735 VIC393194:VIC393271 VIC458730:VIC458807 VIC524266:VIC524343 VIC589802:VIC589879 VIC655338:VIC655415 VIC720874:VIC720951 VIC786410:VIC786487 VIC851946:VIC852023 VIC917482:VIC917559 VIC983018:VIC983095 VRY2:VRY58 VRY65514:VRY65591 VRY131050:VRY131127 VRY196586:VRY196663 VRY262122:VRY262199 VRY327658:VRY327735 VRY393194:VRY393271 VRY458730:VRY458807 VRY524266:VRY524343 VRY589802:VRY589879 VRY655338:VRY655415 VRY720874:VRY720951 VRY786410:VRY786487 VRY851946:VRY852023 VRY917482:VRY917559 VRY983018:VRY983095 WBU2:WBU58 WBU65514:WBU65591 WBU131050:WBU131127 WBU196586:WBU196663 WBU262122:WBU262199 WBU327658:WBU327735 WBU393194:WBU393271 WBU458730:WBU458807 WBU524266:WBU524343 WBU589802:WBU589879 WBU655338:WBU655415 WBU720874:WBU720951 WBU786410:WBU786487 WBU851946:WBU852023 WBU917482:WBU917559 WBU983018:WBU983095 WLQ2:WLQ58 WLQ65514:WLQ65591 WLQ131050:WLQ131127 WLQ196586:WLQ196663 WLQ262122:WLQ262199 WLQ327658:WLQ327735 WLQ393194:WLQ393271 WLQ458730:WLQ458807 WLQ524266:WLQ524343 WLQ589802:WLQ589879 WLQ655338:WLQ655415 WLQ720874:WLQ720951 WLQ786410:WLQ786487 WLQ851946:WLQ852023 WLQ917482:WLQ917559 WLQ983018:WLQ983095 WVM2:WVM58 WVM65514:WVM65591 WVM131050:WVM131127 WVM196586:WVM196663 WVM262122:WVM262199 WVM327658:WVM327735 WVM393194:WVM393271 WVM458730:WVM458807 WVM524266:WVM524343 WVM589802:WVM589879 WVM655338:WVM655415 WVM720874:WVM720951 WVM786410:WVM786487 WVM851946:WVM852023 WVM917482:WVM917559 WVM983018:WVM983095">
      <formula1>$AG$2:$AG$11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14 IX65514 ST65514 ACP65514 AML65514 AWH65514 BGD65514 BPZ65514 BZV65514 CJR65514 CTN65514 DDJ65514 DNF65514 DXB65514 EGX65514 EQT65514 FAP65514 FKL65514 FUH65514 GED65514 GNZ65514 GXV65514 HHR65514 HRN65514 IBJ65514 ILF65514 IVB65514 JEX65514 JOT65514 JYP65514 KIL65514 KSH65514 LCD65514 LLZ65514 LVV65514 MFR65514 MPN65514 MZJ65514 NJF65514 NTB65514 OCX65514 OMT65514 OWP65514 PGL65514 PQH65514 QAD65514 QJZ65514 QTV65514 RDR65514 RNN65514 RXJ65514 SHF65514 SRB65514 TAX65514 TKT65514 TUP65514 UEL65514 UOH65514 UYD65514 VHZ65514 VRV65514 WBR65514 WLN65514 WVJ65514 B131050 IX131050 ST131050 ACP131050 AML131050 AWH131050 BGD131050 BPZ131050 BZV131050 CJR131050 CTN131050 DDJ131050 DNF131050 DXB131050 EGX131050 EQT131050 FAP131050 FKL131050 FUH131050 GED131050 GNZ131050 GXV131050 HHR131050 HRN131050 IBJ131050 ILF131050 IVB131050 JEX131050 JOT131050 JYP131050 KIL131050 KSH131050 LCD131050 LLZ131050 LVV131050 MFR131050 MPN131050 MZJ131050 NJF131050 NTB131050 OCX131050 OMT131050 OWP131050 PGL131050 PQH131050 QAD131050 QJZ131050 QTV131050 RDR131050 RNN131050 RXJ131050 SHF131050 SRB131050 TAX131050 TKT131050 TUP131050 UEL131050 UOH131050 UYD131050 VHZ131050 VRV131050 WBR131050 WLN131050 WVJ131050 B196586 IX196586 ST196586 ACP196586 AML196586 AWH196586 BGD196586 BPZ196586 BZV196586 CJR196586 CTN196586 DDJ196586 DNF196586 DXB196586 EGX196586 EQT196586 FAP196586 FKL196586 FUH196586 GED196586 GNZ196586 GXV196586 HHR196586 HRN196586 IBJ196586 ILF196586 IVB196586 JEX196586 JOT196586 JYP196586 KIL196586 KSH196586 LCD196586 LLZ196586 LVV196586 MFR196586 MPN196586 MZJ196586 NJF196586 NTB196586 OCX196586 OMT196586 OWP196586 PGL196586 PQH196586 QAD196586 QJZ196586 QTV196586 RDR196586 RNN196586 RXJ196586 SHF196586 SRB196586 TAX196586 TKT196586 TUP196586 UEL196586 UOH196586 UYD196586 VHZ196586 VRV196586 WBR196586 WLN196586 WVJ196586 B262122 IX262122 ST262122 ACP262122 AML262122 AWH262122 BGD262122 BPZ262122 BZV262122 CJR262122 CTN262122 DDJ262122 DNF262122 DXB262122 EGX262122 EQT262122 FAP262122 FKL262122 FUH262122 GED262122 GNZ262122 GXV262122 HHR262122 HRN262122 IBJ262122 ILF262122 IVB262122 JEX262122 JOT262122 JYP262122 KIL262122 KSH262122 LCD262122 LLZ262122 LVV262122 MFR262122 MPN262122 MZJ262122 NJF262122 NTB262122 OCX262122 OMT262122 OWP262122 PGL262122 PQH262122 QAD262122 QJZ262122 QTV262122 RDR262122 RNN262122 RXJ262122 SHF262122 SRB262122 TAX262122 TKT262122 TUP262122 UEL262122 UOH262122 UYD262122 VHZ262122 VRV262122 WBR262122 WLN262122 WVJ262122 B327658 IX327658 ST327658 ACP327658 AML327658 AWH327658 BGD327658 BPZ327658 BZV327658 CJR327658 CTN327658 DDJ327658 DNF327658 DXB327658 EGX327658 EQT327658 FAP327658 FKL327658 FUH327658 GED327658 GNZ327658 GXV327658 HHR327658 HRN327658 IBJ327658 ILF327658 IVB327658 JEX327658 JOT327658 JYP327658 KIL327658 KSH327658 LCD327658 LLZ327658 LVV327658 MFR327658 MPN327658 MZJ327658 NJF327658 NTB327658 OCX327658 OMT327658 OWP327658 PGL327658 PQH327658 QAD327658 QJZ327658 QTV327658 RDR327658 RNN327658 RXJ327658 SHF327658 SRB327658 TAX327658 TKT327658 TUP327658 UEL327658 UOH327658 UYD327658 VHZ327658 VRV327658 WBR327658 WLN327658 WVJ327658 B393194 IX393194 ST393194 ACP393194 AML393194 AWH393194 BGD393194 BPZ393194 BZV393194 CJR393194 CTN393194 DDJ393194 DNF393194 DXB393194 EGX393194 EQT393194 FAP393194 FKL393194 FUH393194 GED393194 GNZ393194 GXV393194 HHR393194 HRN393194 IBJ393194 ILF393194 IVB393194 JEX393194 JOT393194 JYP393194 KIL393194 KSH393194 LCD393194 LLZ393194 LVV393194 MFR393194 MPN393194 MZJ393194 NJF393194 NTB393194 OCX393194 OMT393194 OWP393194 PGL393194 PQH393194 QAD393194 QJZ393194 QTV393194 RDR393194 RNN393194 RXJ393194 SHF393194 SRB393194 TAX393194 TKT393194 TUP393194 UEL393194 UOH393194 UYD393194 VHZ393194 VRV393194 WBR393194 WLN393194 WVJ393194 B458730 IX458730 ST458730 ACP458730 AML458730 AWH458730 BGD458730 BPZ458730 BZV458730 CJR458730 CTN458730 DDJ458730 DNF458730 DXB458730 EGX458730 EQT458730 FAP458730 FKL458730 FUH458730 GED458730 GNZ458730 GXV458730 HHR458730 HRN458730 IBJ458730 ILF458730 IVB458730 JEX458730 JOT458730 JYP458730 KIL458730 KSH458730 LCD458730 LLZ458730 LVV458730 MFR458730 MPN458730 MZJ458730 NJF458730 NTB458730 OCX458730 OMT458730 OWP458730 PGL458730 PQH458730 QAD458730 QJZ458730 QTV458730 RDR458730 RNN458730 RXJ458730 SHF458730 SRB458730 TAX458730 TKT458730 TUP458730 UEL458730 UOH458730 UYD458730 VHZ458730 VRV458730 WBR458730 WLN458730 WVJ458730 B524266 IX524266 ST524266 ACP524266 AML524266 AWH524266 BGD524266 BPZ524266 BZV524266 CJR524266 CTN524266 DDJ524266 DNF524266 DXB524266 EGX524266 EQT524266 FAP524266 FKL524266 FUH524266 GED524266 GNZ524266 GXV524266 HHR524266 HRN524266 IBJ524266 ILF524266 IVB524266 JEX524266 JOT524266 JYP524266 KIL524266 KSH524266 LCD524266 LLZ524266 LVV524266 MFR524266 MPN524266 MZJ524266 NJF524266 NTB524266 OCX524266 OMT524266 OWP524266 PGL524266 PQH524266 QAD524266 QJZ524266 QTV524266 RDR524266 RNN524266 RXJ524266 SHF524266 SRB524266 TAX524266 TKT524266 TUP524266 UEL524266 UOH524266 UYD524266 VHZ524266 VRV524266 WBR524266 WLN524266 WVJ524266 B589802 IX589802 ST589802 ACP589802 AML589802 AWH589802 BGD589802 BPZ589802 BZV589802 CJR589802 CTN589802 DDJ589802 DNF589802 DXB589802 EGX589802 EQT589802 FAP589802 FKL589802 FUH589802 GED589802 GNZ589802 GXV589802 HHR589802 HRN589802 IBJ589802 ILF589802 IVB589802 JEX589802 JOT589802 JYP589802 KIL589802 KSH589802 LCD589802 LLZ589802 LVV589802 MFR589802 MPN589802 MZJ589802 NJF589802 NTB589802 OCX589802 OMT589802 OWP589802 PGL589802 PQH589802 QAD589802 QJZ589802 QTV589802 RDR589802 RNN589802 RXJ589802 SHF589802 SRB589802 TAX589802 TKT589802 TUP589802 UEL589802 UOH589802 UYD589802 VHZ589802 VRV589802 WBR589802 WLN589802 WVJ589802 B655338 IX655338 ST655338 ACP655338 AML655338 AWH655338 BGD655338 BPZ655338 BZV655338 CJR655338 CTN655338 DDJ655338 DNF655338 DXB655338 EGX655338 EQT655338 FAP655338 FKL655338 FUH655338 GED655338 GNZ655338 GXV655338 HHR655338 HRN655338 IBJ655338 ILF655338 IVB655338 JEX655338 JOT655338 JYP655338 KIL655338 KSH655338 LCD655338 LLZ655338 LVV655338 MFR655338 MPN655338 MZJ655338 NJF655338 NTB655338 OCX655338 OMT655338 OWP655338 PGL655338 PQH655338 QAD655338 QJZ655338 QTV655338 RDR655338 RNN655338 RXJ655338 SHF655338 SRB655338 TAX655338 TKT655338 TUP655338 UEL655338 UOH655338 UYD655338 VHZ655338 VRV655338 WBR655338 WLN655338 WVJ655338 B720874 IX720874 ST720874 ACP720874 AML720874 AWH720874 BGD720874 BPZ720874 BZV720874 CJR720874 CTN720874 DDJ720874 DNF720874 DXB720874 EGX720874 EQT720874 FAP720874 FKL720874 FUH720874 GED720874 GNZ720874 GXV720874 HHR720874 HRN720874 IBJ720874 ILF720874 IVB720874 JEX720874 JOT720874 JYP720874 KIL720874 KSH720874 LCD720874 LLZ720874 LVV720874 MFR720874 MPN720874 MZJ720874 NJF720874 NTB720874 OCX720874 OMT720874 OWP720874 PGL720874 PQH720874 QAD720874 QJZ720874 QTV720874 RDR720874 RNN720874 RXJ720874 SHF720874 SRB720874 TAX720874 TKT720874 TUP720874 UEL720874 UOH720874 UYD720874 VHZ720874 VRV720874 WBR720874 WLN720874 WVJ720874 B786410 IX786410 ST786410 ACP786410 AML786410 AWH786410 BGD786410 BPZ786410 BZV786410 CJR786410 CTN786410 DDJ786410 DNF786410 DXB786410 EGX786410 EQT786410 FAP786410 FKL786410 FUH786410 GED786410 GNZ786410 GXV786410 HHR786410 HRN786410 IBJ786410 ILF786410 IVB786410 JEX786410 JOT786410 JYP786410 KIL786410 KSH786410 LCD786410 LLZ786410 LVV786410 MFR786410 MPN786410 MZJ786410 NJF786410 NTB786410 OCX786410 OMT786410 OWP786410 PGL786410 PQH786410 QAD786410 QJZ786410 QTV786410 RDR786410 RNN786410 RXJ786410 SHF786410 SRB786410 TAX786410 TKT786410 TUP786410 UEL786410 UOH786410 UYD786410 VHZ786410 VRV786410 WBR786410 WLN786410 WVJ786410 B851946 IX851946 ST851946 ACP851946 AML851946 AWH851946 BGD851946 BPZ851946 BZV851946 CJR851946 CTN851946 DDJ851946 DNF851946 DXB851946 EGX851946 EQT851946 FAP851946 FKL851946 FUH851946 GED851946 GNZ851946 GXV851946 HHR851946 HRN851946 IBJ851946 ILF851946 IVB851946 JEX851946 JOT851946 JYP851946 KIL851946 KSH851946 LCD851946 LLZ851946 LVV851946 MFR851946 MPN851946 MZJ851946 NJF851946 NTB851946 OCX851946 OMT851946 OWP851946 PGL851946 PQH851946 QAD851946 QJZ851946 QTV851946 RDR851946 RNN851946 RXJ851946 SHF851946 SRB851946 TAX851946 TKT851946 TUP851946 UEL851946 UOH851946 UYD851946 VHZ851946 VRV851946 WBR851946 WLN851946 WVJ851946 B917482 IX917482 ST917482 ACP917482 AML917482 AWH917482 BGD917482 BPZ917482 BZV917482 CJR917482 CTN917482 DDJ917482 DNF917482 DXB917482 EGX917482 EQT917482 FAP917482 FKL917482 FUH917482 GED917482 GNZ917482 GXV917482 HHR917482 HRN917482 IBJ917482 ILF917482 IVB917482 JEX917482 JOT917482 JYP917482 KIL917482 KSH917482 LCD917482 LLZ917482 LVV917482 MFR917482 MPN917482 MZJ917482 NJF917482 NTB917482 OCX917482 OMT917482 OWP917482 PGL917482 PQH917482 QAD917482 QJZ917482 QTV917482 RDR917482 RNN917482 RXJ917482 SHF917482 SRB917482 TAX917482 TKT917482 TUP917482 UEL917482 UOH917482 UYD917482 VHZ917482 VRV917482 WBR917482 WLN917482 WVJ917482 B983018 IX983018 ST983018 ACP983018 AML983018 AWH983018 BGD983018 BPZ983018 BZV983018 CJR983018 CTN983018 DDJ983018 DNF983018 DXB983018 EGX983018 EQT983018 FAP983018 FKL983018 FUH983018 GED983018 GNZ983018 GXV983018 HHR983018 HRN983018 IBJ983018 ILF983018 IVB983018 JEX983018 JOT983018 JYP983018 KIL983018 KSH983018 LCD983018 LLZ983018 LVV983018 MFR983018 MPN983018 MZJ983018 NJF983018 NTB983018 OCX983018 OMT983018 OWP983018 PGL983018 PQH983018 QAD983018 QJZ983018 QTV983018 RDR983018 RNN983018 RXJ983018 SHF983018 SRB983018 TAX983018 TKT983018 TUP983018 UEL983018 UOH983018 UYD983018 VHZ983018 VRV983018 WBR983018 WLN983018 WVJ983018 B2:B64"/>
    <dataValidation type="list" allowBlank="1" showInputMessage="1" showErrorMessage="1" sqref="A2:A476 A65514:A65591 A131050:A131127 A196586:A196663 A262122:A262199 A327658:A327735 A393194:A393271 A458730:A458807 A524266:A524343 A589802:A589879 A655338:A655415 A720874:A720951 A786410:A786487 A851946:A852023 A917482:A917559 A983018:A983095 IW2:IW58 IW65514:IW65591 IW131050:IW131127 IW196586:IW196663 IW262122:IW262199 IW327658:IW327735 IW393194:IW393271 IW458730:IW458807 IW524266:IW524343 IW589802:IW589879 IW655338:IW655415 IW720874:IW720951 IW786410:IW786487 IW851946:IW852023 IW917482:IW917559 IW983018:IW983095 SS2:SS58 SS65514:SS65591 SS131050:SS131127 SS196586:SS196663 SS262122:SS262199 SS327658:SS327735 SS393194:SS393271 SS458730:SS458807 SS524266:SS524343 SS589802:SS589879 SS655338:SS655415 SS720874:SS720951 SS786410:SS786487 SS851946:SS852023 SS917482:SS917559 SS983018:SS983095 ACO2:ACO58 ACO65514:ACO65591 ACO131050:ACO131127 ACO196586:ACO196663 ACO262122:ACO262199 ACO327658:ACO327735 ACO393194:ACO393271 ACO458730:ACO458807 ACO524266:ACO524343 ACO589802:ACO589879 ACO655338:ACO655415 ACO720874:ACO720951 ACO786410:ACO786487 ACO851946:ACO852023 ACO917482:ACO917559 ACO983018:ACO983095 AMK2:AMK58 AMK65514:AMK65591 AMK131050:AMK131127 AMK196586:AMK196663 AMK262122:AMK262199 AMK327658:AMK327735 AMK393194:AMK393271 AMK458730:AMK458807 AMK524266:AMK524343 AMK589802:AMK589879 AMK655338:AMK655415 AMK720874:AMK720951 AMK786410:AMK786487 AMK851946:AMK852023 AMK917482:AMK917559 AMK983018:AMK983095 AWG2:AWG58 AWG65514:AWG65591 AWG131050:AWG131127 AWG196586:AWG196663 AWG262122:AWG262199 AWG327658:AWG327735 AWG393194:AWG393271 AWG458730:AWG458807 AWG524266:AWG524343 AWG589802:AWG589879 AWG655338:AWG655415 AWG720874:AWG720951 AWG786410:AWG786487 AWG851946:AWG852023 AWG917482:AWG917559 AWG983018:AWG983095 BGC2:BGC58 BGC65514:BGC65591 BGC131050:BGC131127 BGC196586:BGC196663 BGC262122:BGC262199 BGC327658:BGC327735 BGC393194:BGC393271 BGC458730:BGC458807 BGC524266:BGC524343 BGC589802:BGC589879 BGC655338:BGC655415 BGC720874:BGC720951 BGC786410:BGC786487 BGC851946:BGC852023 BGC917482:BGC917559 BGC983018:BGC983095 BPY2:BPY58 BPY65514:BPY65591 BPY131050:BPY131127 BPY196586:BPY196663 BPY262122:BPY262199 BPY327658:BPY327735 BPY393194:BPY393271 BPY458730:BPY458807 BPY524266:BPY524343 BPY589802:BPY589879 BPY655338:BPY655415 BPY720874:BPY720951 BPY786410:BPY786487 BPY851946:BPY852023 BPY917482:BPY917559 BPY983018:BPY983095 BZU2:BZU58 BZU65514:BZU65591 BZU131050:BZU131127 BZU196586:BZU196663 BZU262122:BZU262199 BZU327658:BZU327735 BZU393194:BZU393271 BZU458730:BZU458807 BZU524266:BZU524343 BZU589802:BZU589879 BZU655338:BZU655415 BZU720874:BZU720951 BZU786410:BZU786487 BZU851946:BZU852023 BZU917482:BZU917559 BZU983018:BZU983095 CJQ2:CJQ58 CJQ65514:CJQ65591 CJQ131050:CJQ131127 CJQ196586:CJQ196663 CJQ262122:CJQ262199 CJQ327658:CJQ327735 CJQ393194:CJQ393271 CJQ458730:CJQ458807 CJQ524266:CJQ524343 CJQ589802:CJQ589879 CJQ655338:CJQ655415 CJQ720874:CJQ720951 CJQ786410:CJQ786487 CJQ851946:CJQ852023 CJQ917482:CJQ917559 CJQ983018:CJQ983095 CTM2:CTM58 CTM65514:CTM65591 CTM131050:CTM131127 CTM196586:CTM196663 CTM262122:CTM262199 CTM327658:CTM327735 CTM393194:CTM393271 CTM458730:CTM458807 CTM524266:CTM524343 CTM589802:CTM589879 CTM655338:CTM655415 CTM720874:CTM720951 CTM786410:CTM786487 CTM851946:CTM852023 CTM917482:CTM917559 CTM983018:CTM983095 DDI2:DDI58 DDI65514:DDI65591 DDI131050:DDI131127 DDI196586:DDI196663 DDI262122:DDI262199 DDI327658:DDI327735 DDI393194:DDI393271 DDI458730:DDI458807 DDI524266:DDI524343 DDI589802:DDI589879 DDI655338:DDI655415 DDI720874:DDI720951 DDI786410:DDI786487 DDI851946:DDI852023 DDI917482:DDI917559 DDI983018:DDI983095 DNE2:DNE58 DNE65514:DNE65591 DNE131050:DNE131127 DNE196586:DNE196663 DNE262122:DNE262199 DNE327658:DNE327735 DNE393194:DNE393271 DNE458730:DNE458807 DNE524266:DNE524343 DNE589802:DNE589879 DNE655338:DNE655415 DNE720874:DNE720951 DNE786410:DNE786487 DNE851946:DNE852023 DNE917482:DNE917559 DNE983018:DNE983095 DXA2:DXA58 DXA65514:DXA65591 DXA131050:DXA131127 DXA196586:DXA196663 DXA262122:DXA262199 DXA327658:DXA327735 DXA393194:DXA393271 DXA458730:DXA458807 DXA524266:DXA524343 DXA589802:DXA589879 DXA655338:DXA655415 DXA720874:DXA720951 DXA786410:DXA786487 DXA851946:DXA852023 DXA917482:DXA917559 DXA983018:DXA983095 EGW2:EGW58 EGW65514:EGW65591 EGW131050:EGW131127 EGW196586:EGW196663 EGW262122:EGW262199 EGW327658:EGW327735 EGW393194:EGW393271 EGW458730:EGW458807 EGW524266:EGW524343 EGW589802:EGW589879 EGW655338:EGW655415 EGW720874:EGW720951 EGW786410:EGW786487 EGW851946:EGW852023 EGW917482:EGW917559 EGW983018:EGW983095 EQS2:EQS58 EQS65514:EQS65591 EQS131050:EQS131127 EQS196586:EQS196663 EQS262122:EQS262199 EQS327658:EQS327735 EQS393194:EQS393271 EQS458730:EQS458807 EQS524266:EQS524343 EQS589802:EQS589879 EQS655338:EQS655415 EQS720874:EQS720951 EQS786410:EQS786487 EQS851946:EQS852023 EQS917482:EQS917559 EQS983018:EQS983095 FAO2:FAO58 FAO65514:FAO65591 FAO131050:FAO131127 FAO196586:FAO196663 FAO262122:FAO262199 FAO327658:FAO327735 FAO393194:FAO393271 FAO458730:FAO458807 FAO524266:FAO524343 FAO589802:FAO589879 FAO655338:FAO655415 FAO720874:FAO720951 FAO786410:FAO786487 FAO851946:FAO852023 FAO917482:FAO917559 FAO983018:FAO983095 FKK2:FKK58 FKK65514:FKK65591 FKK131050:FKK131127 FKK196586:FKK196663 FKK262122:FKK262199 FKK327658:FKK327735 FKK393194:FKK393271 FKK458730:FKK458807 FKK524266:FKK524343 FKK589802:FKK589879 FKK655338:FKK655415 FKK720874:FKK720951 FKK786410:FKK786487 FKK851946:FKK852023 FKK917482:FKK917559 FKK983018:FKK983095 FUG2:FUG58 FUG65514:FUG65591 FUG131050:FUG131127 FUG196586:FUG196663 FUG262122:FUG262199 FUG327658:FUG327735 FUG393194:FUG393271 FUG458730:FUG458807 FUG524266:FUG524343 FUG589802:FUG589879 FUG655338:FUG655415 FUG720874:FUG720951 FUG786410:FUG786487 FUG851946:FUG852023 FUG917482:FUG917559 FUG983018:FUG983095 GEC2:GEC58 GEC65514:GEC65591 GEC131050:GEC131127 GEC196586:GEC196663 GEC262122:GEC262199 GEC327658:GEC327735 GEC393194:GEC393271 GEC458730:GEC458807 GEC524266:GEC524343 GEC589802:GEC589879 GEC655338:GEC655415 GEC720874:GEC720951 GEC786410:GEC786487 GEC851946:GEC852023 GEC917482:GEC917559 GEC983018:GEC983095 GNY2:GNY58 GNY65514:GNY65591 GNY131050:GNY131127 GNY196586:GNY196663 GNY262122:GNY262199 GNY327658:GNY327735 GNY393194:GNY393271 GNY458730:GNY458807 GNY524266:GNY524343 GNY589802:GNY589879 GNY655338:GNY655415 GNY720874:GNY720951 GNY786410:GNY786487 GNY851946:GNY852023 GNY917482:GNY917559 GNY983018:GNY983095 GXU2:GXU58 GXU65514:GXU65591 GXU131050:GXU131127 GXU196586:GXU196663 GXU262122:GXU262199 GXU327658:GXU327735 GXU393194:GXU393271 GXU458730:GXU458807 GXU524266:GXU524343 GXU589802:GXU589879 GXU655338:GXU655415 GXU720874:GXU720951 GXU786410:GXU786487 GXU851946:GXU852023 GXU917482:GXU917559 GXU983018:GXU983095 HHQ2:HHQ58 HHQ65514:HHQ65591 HHQ131050:HHQ131127 HHQ196586:HHQ196663 HHQ262122:HHQ262199 HHQ327658:HHQ327735 HHQ393194:HHQ393271 HHQ458730:HHQ458807 HHQ524266:HHQ524343 HHQ589802:HHQ589879 HHQ655338:HHQ655415 HHQ720874:HHQ720951 HHQ786410:HHQ786487 HHQ851946:HHQ852023 HHQ917482:HHQ917559 HHQ983018:HHQ983095 HRM2:HRM58 HRM65514:HRM65591 HRM131050:HRM131127 HRM196586:HRM196663 HRM262122:HRM262199 HRM327658:HRM327735 HRM393194:HRM393271 HRM458730:HRM458807 HRM524266:HRM524343 HRM589802:HRM589879 HRM655338:HRM655415 HRM720874:HRM720951 HRM786410:HRM786487 HRM851946:HRM852023 HRM917482:HRM917559 HRM983018:HRM983095 IBI2:IBI58 IBI65514:IBI65591 IBI131050:IBI131127 IBI196586:IBI196663 IBI262122:IBI262199 IBI327658:IBI327735 IBI393194:IBI393271 IBI458730:IBI458807 IBI524266:IBI524343 IBI589802:IBI589879 IBI655338:IBI655415 IBI720874:IBI720951 IBI786410:IBI786487 IBI851946:IBI852023 IBI917482:IBI917559 IBI983018:IBI983095 ILE2:ILE58 ILE65514:ILE65591 ILE131050:ILE131127 ILE196586:ILE196663 ILE262122:ILE262199 ILE327658:ILE327735 ILE393194:ILE393271 ILE458730:ILE458807 ILE524266:ILE524343 ILE589802:ILE589879 ILE655338:ILE655415 ILE720874:ILE720951 ILE786410:ILE786487 ILE851946:ILE852023 ILE917482:ILE917559 ILE983018:ILE983095 IVA2:IVA58 IVA65514:IVA65591 IVA131050:IVA131127 IVA196586:IVA196663 IVA262122:IVA262199 IVA327658:IVA327735 IVA393194:IVA393271 IVA458730:IVA458807 IVA524266:IVA524343 IVA589802:IVA589879 IVA655338:IVA655415 IVA720874:IVA720951 IVA786410:IVA786487 IVA851946:IVA852023 IVA917482:IVA917559 IVA983018:IVA983095 JEW2:JEW58 JEW65514:JEW65591 JEW131050:JEW131127 JEW196586:JEW196663 JEW262122:JEW262199 JEW327658:JEW327735 JEW393194:JEW393271 JEW458730:JEW458807 JEW524266:JEW524343 JEW589802:JEW589879 JEW655338:JEW655415 JEW720874:JEW720951 JEW786410:JEW786487 JEW851946:JEW852023 JEW917482:JEW917559 JEW983018:JEW983095 JOS2:JOS58 JOS65514:JOS65591 JOS131050:JOS131127 JOS196586:JOS196663 JOS262122:JOS262199 JOS327658:JOS327735 JOS393194:JOS393271 JOS458730:JOS458807 JOS524266:JOS524343 JOS589802:JOS589879 JOS655338:JOS655415 JOS720874:JOS720951 JOS786410:JOS786487 JOS851946:JOS852023 JOS917482:JOS917559 JOS983018:JOS983095 JYO2:JYO58 JYO65514:JYO65591 JYO131050:JYO131127 JYO196586:JYO196663 JYO262122:JYO262199 JYO327658:JYO327735 JYO393194:JYO393271 JYO458730:JYO458807 JYO524266:JYO524343 JYO589802:JYO589879 JYO655338:JYO655415 JYO720874:JYO720951 JYO786410:JYO786487 JYO851946:JYO852023 JYO917482:JYO917559 JYO983018:JYO983095 KIK2:KIK58 KIK65514:KIK65591 KIK131050:KIK131127 KIK196586:KIK196663 KIK262122:KIK262199 KIK327658:KIK327735 KIK393194:KIK393271 KIK458730:KIK458807 KIK524266:KIK524343 KIK589802:KIK589879 KIK655338:KIK655415 KIK720874:KIK720951 KIK786410:KIK786487 KIK851946:KIK852023 KIK917482:KIK917559 KIK983018:KIK983095 KSG2:KSG58 KSG65514:KSG65591 KSG131050:KSG131127 KSG196586:KSG196663 KSG262122:KSG262199 KSG327658:KSG327735 KSG393194:KSG393271 KSG458730:KSG458807 KSG524266:KSG524343 KSG589802:KSG589879 KSG655338:KSG655415 KSG720874:KSG720951 KSG786410:KSG786487 KSG851946:KSG852023 KSG917482:KSG917559 KSG983018:KSG983095 LCC2:LCC58 LCC65514:LCC65591 LCC131050:LCC131127 LCC196586:LCC196663 LCC262122:LCC262199 LCC327658:LCC327735 LCC393194:LCC393271 LCC458730:LCC458807 LCC524266:LCC524343 LCC589802:LCC589879 LCC655338:LCC655415 LCC720874:LCC720951 LCC786410:LCC786487 LCC851946:LCC852023 LCC917482:LCC917559 LCC983018:LCC983095 LLY2:LLY58 LLY65514:LLY65591 LLY131050:LLY131127 LLY196586:LLY196663 LLY262122:LLY262199 LLY327658:LLY327735 LLY393194:LLY393271 LLY458730:LLY458807 LLY524266:LLY524343 LLY589802:LLY589879 LLY655338:LLY655415 LLY720874:LLY720951 LLY786410:LLY786487 LLY851946:LLY852023 LLY917482:LLY917559 LLY983018:LLY983095 LVU2:LVU58 LVU65514:LVU65591 LVU131050:LVU131127 LVU196586:LVU196663 LVU262122:LVU262199 LVU327658:LVU327735 LVU393194:LVU393271 LVU458730:LVU458807 LVU524266:LVU524343 LVU589802:LVU589879 LVU655338:LVU655415 LVU720874:LVU720951 LVU786410:LVU786487 LVU851946:LVU852023 LVU917482:LVU917559 LVU983018:LVU983095 MFQ2:MFQ58 MFQ65514:MFQ65591 MFQ131050:MFQ131127 MFQ196586:MFQ196663 MFQ262122:MFQ262199 MFQ327658:MFQ327735 MFQ393194:MFQ393271 MFQ458730:MFQ458807 MFQ524266:MFQ524343 MFQ589802:MFQ589879 MFQ655338:MFQ655415 MFQ720874:MFQ720951 MFQ786410:MFQ786487 MFQ851946:MFQ852023 MFQ917482:MFQ917559 MFQ983018:MFQ983095 MPM2:MPM58 MPM65514:MPM65591 MPM131050:MPM131127 MPM196586:MPM196663 MPM262122:MPM262199 MPM327658:MPM327735 MPM393194:MPM393271 MPM458730:MPM458807 MPM524266:MPM524343 MPM589802:MPM589879 MPM655338:MPM655415 MPM720874:MPM720951 MPM786410:MPM786487 MPM851946:MPM852023 MPM917482:MPM917559 MPM983018:MPM983095 MZI2:MZI58 MZI65514:MZI65591 MZI131050:MZI131127 MZI196586:MZI196663 MZI262122:MZI262199 MZI327658:MZI327735 MZI393194:MZI393271 MZI458730:MZI458807 MZI524266:MZI524343 MZI589802:MZI589879 MZI655338:MZI655415 MZI720874:MZI720951 MZI786410:MZI786487 MZI851946:MZI852023 MZI917482:MZI917559 MZI983018:MZI983095 NJE2:NJE58 NJE65514:NJE65591 NJE131050:NJE131127 NJE196586:NJE196663 NJE262122:NJE262199 NJE327658:NJE327735 NJE393194:NJE393271 NJE458730:NJE458807 NJE524266:NJE524343 NJE589802:NJE589879 NJE655338:NJE655415 NJE720874:NJE720951 NJE786410:NJE786487 NJE851946:NJE852023 NJE917482:NJE917559 NJE983018:NJE983095 NTA2:NTA58 NTA65514:NTA65591 NTA131050:NTA131127 NTA196586:NTA196663 NTA262122:NTA262199 NTA327658:NTA327735 NTA393194:NTA393271 NTA458730:NTA458807 NTA524266:NTA524343 NTA589802:NTA589879 NTA655338:NTA655415 NTA720874:NTA720951 NTA786410:NTA786487 NTA851946:NTA852023 NTA917482:NTA917559 NTA983018:NTA983095 OCW2:OCW58 OCW65514:OCW65591 OCW131050:OCW131127 OCW196586:OCW196663 OCW262122:OCW262199 OCW327658:OCW327735 OCW393194:OCW393271 OCW458730:OCW458807 OCW524266:OCW524343 OCW589802:OCW589879 OCW655338:OCW655415 OCW720874:OCW720951 OCW786410:OCW786487 OCW851946:OCW852023 OCW917482:OCW917559 OCW983018:OCW983095 OMS2:OMS58 OMS65514:OMS65591 OMS131050:OMS131127 OMS196586:OMS196663 OMS262122:OMS262199 OMS327658:OMS327735 OMS393194:OMS393271 OMS458730:OMS458807 OMS524266:OMS524343 OMS589802:OMS589879 OMS655338:OMS655415 OMS720874:OMS720951 OMS786410:OMS786487 OMS851946:OMS852023 OMS917482:OMS917559 OMS983018:OMS983095 OWO2:OWO58 OWO65514:OWO65591 OWO131050:OWO131127 OWO196586:OWO196663 OWO262122:OWO262199 OWO327658:OWO327735 OWO393194:OWO393271 OWO458730:OWO458807 OWO524266:OWO524343 OWO589802:OWO589879 OWO655338:OWO655415 OWO720874:OWO720951 OWO786410:OWO786487 OWO851946:OWO852023 OWO917482:OWO917559 OWO983018:OWO983095 PGK2:PGK58 PGK65514:PGK65591 PGK131050:PGK131127 PGK196586:PGK196663 PGK262122:PGK262199 PGK327658:PGK327735 PGK393194:PGK393271 PGK458730:PGK458807 PGK524266:PGK524343 PGK589802:PGK589879 PGK655338:PGK655415 PGK720874:PGK720951 PGK786410:PGK786487 PGK851946:PGK852023 PGK917482:PGK917559 PGK983018:PGK983095 PQG2:PQG58 PQG65514:PQG65591 PQG131050:PQG131127 PQG196586:PQG196663 PQG262122:PQG262199 PQG327658:PQG327735 PQG393194:PQG393271 PQG458730:PQG458807 PQG524266:PQG524343 PQG589802:PQG589879 PQG655338:PQG655415 PQG720874:PQG720951 PQG786410:PQG786487 PQG851946:PQG852023 PQG917482:PQG917559 PQG983018:PQG983095 QAC2:QAC58 QAC65514:QAC65591 QAC131050:QAC131127 QAC196586:QAC196663 QAC262122:QAC262199 QAC327658:QAC327735 QAC393194:QAC393271 QAC458730:QAC458807 QAC524266:QAC524343 QAC589802:QAC589879 QAC655338:QAC655415 QAC720874:QAC720951 QAC786410:QAC786487 QAC851946:QAC852023 QAC917482:QAC917559 QAC983018:QAC983095 QJY2:QJY58 QJY65514:QJY65591 QJY131050:QJY131127 QJY196586:QJY196663 QJY262122:QJY262199 QJY327658:QJY327735 QJY393194:QJY393271 QJY458730:QJY458807 QJY524266:QJY524343 QJY589802:QJY589879 QJY655338:QJY655415 QJY720874:QJY720951 QJY786410:QJY786487 QJY851946:QJY852023 QJY917482:QJY917559 QJY983018:QJY983095 QTU2:QTU58 QTU65514:QTU65591 QTU131050:QTU131127 QTU196586:QTU196663 QTU262122:QTU262199 QTU327658:QTU327735 QTU393194:QTU393271 QTU458730:QTU458807 QTU524266:QTU524343 QTU589802:QTU589879 QTU655338:QTU655415 QTU720874:QTU720951 QTU786410:QTU786487 QTU851946:QTU852023 QTU917482:QTU917559 QTU983018:QTU983095 RDQ2:RDQ58 RDQ65514:RDQ65591 RDQ131050:RDQ131127 RDQ196586:RDQ196663 RDQ262122:RDQ262199 RDQ327658:RDQ327735 RDQ393194:RDQ393271 RDQ458730:RDQ458807 RDQ524266:RDQ524343 RDQ589802:RDQ589879 RDQ655338:RDQ655415 RDQ720874:RDQ720951 RDQ786410:RDQ786487 RDQ851946:RDQ852023 RDQ917482:RDQ917559 RDQ983018:RDQ983095 RNM2:RNM58 RNM65514:RNM65591 RNM131050:RNM131127 RNM196586:RNM196663 RNM262122:RNM262199 RNM327658:RNM327735 RNM393194:RNM393271 RNM458730:RNM458807 RNM524266:RNM524343 RNM589802:RNM589879 RNM655338:RNM655415 RNM720874:RNM720951 RNM786410:RNM786487 RNM851946:RNM852023 RNM917482:RNM917559 RNM983018:RNM983095 RXI2:RXI58 RXI65514:RXI65591 RXI131050:RXI131127 RXI196586:RXI196663 RXI262122:RXI262199 RXI327658:RXI327735 RXI393194:RXI393271 RXI458730:RXI458807 RXI524266:RXI524343 RXI589802:RXI589879 RXI655338:RXI655415 RXI720874:RXI720951 RXI786410:RXI786487 RXI851946:RXI852023 RXI917482:RXI917559 RXI983018:RXI983095 SHE2:SHE58 SHE65514:SHE65591 SHE131050:SHE131127 SHE196586:SHE196663 SHE262122:SHE262199 SHE327658:SHE327735 SHE393194:SHE393271 SHE458730:SHE458807 SHE524266:SHE524343 SHE589802:SHE589879 SHE655338:SHE655415 SHE720874:SHE720951 SHE786410:SHE786487 SHE851946:SHE852023 SHE917482:SHE917559 SHE983018:SHE983095 SRA2:SRA58 SRA65514:SRA65591 SRA131050:SRA131127 SRA196586:SRA196663 SRA262122:SRA262199 SRA327658:SRA327735 SRA393194:SRA393271 SRA458730:SRA458807 SRA524266:SRA524343 SRA589802:SRA589879 SRA655338:SRA655415 SRA720874:SRA720951 SRA786410:SRA786487 SRA851946:SRA852023 SRA917482:SRA917559 SRA983018:SRA983095 TAW2:TAW58 TAW65514:TAW65591 TAW131050:TAW131127 TAW196586:TAW196663 TAW262122:TAW262199 TAW327658:TAW327735 TAW393194:TAW393271 TAW458730:TAW458807 TAW524266:TAW524343 TAW589802:TAW589879 TAW655338:TAW655415 TAW720874:TAW720951 TAW786410:TAW786487 TAW851946:TAW852023 TAW917482:TAW917559 TAW983018:TAW983095 TKS2:TKS58 TKS65514:TKS65591 TKS131050:TKS131127 TKS196586:TKS196663 TKS262122:TKS262199 TKS327658:TKS327735 TKS393194:TKS393271 TKS458730:TKS458807 TKS524266:TKS524343 TKS589802:TKS589879 TKS655338:TKS655415 TKS720874:TKS720951 TKS786410:TKS786487 TKS851946:TKS852023 TKS917482:TKS917559 TKS983018:TKS983095 TUO2:TUO58 TUO65514:TUO65591 TUO131050:TUO131127 TUO196586:TUO196663 TUO262122:TUO262199 TUO327658:TUO327735 TUO393194:TUO393271 TUO458730:TUO458807 TUO524266:TUO524343 TUO589802:TUO589879 TUO655338:TUO655415 TUO720874:TUO720951 TUO786410:TUO786487 TUO851946:TUO852023 TUO917482:TUO917559 TUO983018:TUO983095 UEK2:UEK58 UEK65514:UEK65591 UEK131050:UEK131127 UEK196586:UEK196663 UEK262122:UEK262199 UEK327658:UEK327735 UEK393194:UEK393271 UEK458730:UEK458807 UEK524266:UEK524343 UEK589802:UEK589879 UEK655338:UEK655415 UEK720874:UEK720951 UEK786410:UEK786487 UEK851946:UEK852023 UEK917482:UEK917559 UEK983018:UEK983095 UOG2:UOG58 UOG65514:UOG65591 UOG131050:UOG131127 UOG196586:UOG196663 UOG262122:UOG262199 UOG327658:UOG327735 UOG393194:UOG393271 UOG458730:UOG458807 UOG524266:UOG524343 UOG589802:UOG589879 UOG655338:UOG655415 UOG720874:UOG720951 UOG786410:UOG786487 UOG851946:UOG852023 UOG917482:UOG917559 UOG983018:UOG983095 UYC2:UYC58 UYC65514:UYC65591 UYC131050:UYC131127 UYC196586:UYC196663 UYC262122:UYC262199 UYC327658:UYC327735 UYC393194:UYC393271 UYC458730:UYC458807 UYC524266:UYC524343 UYC589802:UYC589879 UYC655338:UYC655415 UYC720874:UYC720951 UYC786410:UYC786487 UYC851946:UYC852023 UYC917482:UYC917559 UYC983018:UYC983095 VHY2:VHY58 VHY65514:VHY65591 VHY131050:VHY131127 VHY196586:VHY196663 VHY262122:VHY262199 VHY327658:VHY327735 VHY393194:VHY393271 VHY458730:VHY458807 VHY524266:VHY524343 VHY589802:VHY589879 VHY655338:VHY655415 VHY720874:VHY720951 VHY786410:VHY786487 VHY851946:VHY852023 VHY917482:VHY917559 VHY983018:VHY983095 VRU2:VRU58 VRU65514:VRU65591 VRU131050:VRU131127 VRU196586:VRU196663 VRU262122:VRU262199 VRU327658:VRU327735 VRU393194:VRU393271 VRU458730:VRU458807 VRU524266:VRU524343 VRU589802:VRU589879 VRU655338:VRU655415 VRU720874:VRU720951 VRU786410:VRU786487 VRU851946:VRU852023 VRU917482:VRU917559 VRU983018:VRU983095 WBQ2:WBQ58 WBQ65514:WBQ65591 WBQ131050:WBQ131127 WBQ196586:WBQ196663 WBQ262122:WBQ262199 WBQ327658:WBQ327735 WBQ393194:WBQ393271 WBQ458730:WBQ458807 WBQ524266:WBQ524343 WBQ589802:WBQ589879 WBQ655338:WBQ655415 WBQ720874:WBQ720951 WBQ786410:WBQ786487 WBQ851946:WBQ852023 WBQ917482:WBQ917559 WBQ983018:WBQ983095 WLM2:WLM58 WLM65514:WLM65591 WLM131050:WLM131127 WLM196586:WLM196663 WLM262122:WLM262199 WLM327658:WLM327735 WLM393194:WLM393271 WLM458730:WLM458807 WLM524266:WLM524343 WLM589802:WLM589879 WLM655338:WLM655415 WLM720874:WLM720951 WLM786410:WLM786487 WLM851946:WLM852023 WLM917482:WLM917559 WLM983018:WLM983095 WVI2:WVI58 WVI65514:WVI65591 WVI131050:WVI131127 WVI196586:WVI196663 WVI262122:WVI262199 WVI327658:WVI327735 WVI393194:WVI393271 WVI458730:WVI458807 WVI524266:WVI524343 WVI589802:WVI589879 WVI655338:WVI655415 WVI720874:WVI720951 WVI786410:WVI786487 WVI851946:WVI852023 WVI917482:WVI917559 WVI983018:WVI983095">
      <formula1>$AE$2:$AE$19</formula1>
    </dataValidation>
    <dataValidation type="list" allowBlank="1" showInputMessage="1" showErrorMessage="1" sqref="G2:G476 G65514:G65591 G131050:G131127 G196586:G196663 G262122:G262199 G327658:G327735 G393194:G393271 G458730:G458807 G524266:G524343 G589802:G589879 G655338:G655415 G720874:G720951 G786410:G786487 G851946:G852023 G917482:G917559 G983018:G983095 JC2:JC58 JC65514:JC65591 JC131050:JC131127 JC196586:JC196663 JC262122:JC262199 JC327658:JC327735 JC393194:JC393271 JC458730:JC458807 JC524266:JC524343 JC589802:JC589879 JC655338:JC655415 JC720874:JC720951 JC786410:JC786487 JC851946:JC852023 JC917482:JC917559 JC983018:JC983095 SY2:SY58 SY65514:SY65591 SY131050:SY131127 SY196586:SY196663 SY262122:SY262199 SY327658:SY327735 SY393194:SY393271 SY458730:SY458807 SY524266:SY524343 SY589802:SY589879 SY655338:SY655415 SY720874:SY720951 SY786410:SY786487 SY851946:SY852023 SY917482:SY917559 SY983018:SY983095 ACU2:ACU58 ACU65514:ACU65591 ACU131050:ACU131127 ACU196586:ACU196663 ACU262122:ACU262199 ACU327658:ACU327735 ACU393194:ACU393271 ACU458730:ACU458807 ACU524266:ACU524343 ACU589802:ACU589879 ACU655338:ACU655415 ACU720874:ACU720951 ACU786410:ACU786487 ACU851946:ACU852023 ACU917482:ACU917559 ACU983018:ACU983095 AMQ2:AMQ58 AMQ65514:AMQ65591 AMQ131050:AMQ131127 AMQ196586:AMQ196663 AMQ262122:AMQ262199 AMQ327658:AMQ327735 AMQ393194:AMQ393271 AMQ458730:AMQ458807 AMQ524266:AMQ524343 AMQ589802:AMQ589879 AMQ655338:AMQ655415 AMQ720874:AMQ720951 AMQ786410:AMQ786487 AMQ851946:AMQ852023 AMQ917482:AMQ917559 AMQ983018:AMQ983095 AWM2:AWM58 AWM65514:AWM65591 AWM131050:AWM131127 AWM196586:AWM196663 AWM262122:AWM262199 AWM327658:AWM327735 AWM393194:AWM393271 AWM458730:AWM458807 AWM524266:AWM524343 AWM589802:AWM589879 AWM655338:AWM655415 AWM720874:AWM720951 AWM786410:AWM786487 AWM851946:AWM852023 AWM917482:AWM917559 AWM983018:AWM983095 BGI2:BGI58 BGI65514:BGI65591 BGI131050:BGI131127 BGI196586:BGI196663 BGI262122:BGI262199 BGI327658:BGI327735 BGI393194:BGI393271 BGI458730:BGI458807 BGI524266:BGI524343 BGI589802:BGI589879 BGI655338:BGI655415 BGI720874:BGI720951 BGI786410:BGI786487 BGI851946:BGI852023 BGI917482:BGI917559 BGI983018:BGI983095 BQE2:BQE58 BQE65514:BQE65591 BQE131050:BQE131127 BQE196586:BQE196663 BQE262122:BQE262199 BQE327658:BQE327735 BQE393194:BQE393271 BQE458730:BQE458807 BQE524266:BQE524343 BQE589802:BQE589879 BQE655338:BQE655415 BQE720874:BQE720951 BQE786410:BQE786487 BQE851946:BQE852023 BQE917482:BQE917559 BQE983018:BQE983095 CAA2:CAA58 CAA65514:CAA65591 CAA131050:CAA131127 CAA196586:CAA196663 CAA262122:CAA262199 CAA327658:CAA327735 CAA393194:CAA393271 CAA458730:CAA458807 CAA524266:CAA524343 CAA589802:CAA589879 CAA655338:CAA655415 CAA720874:CAA720951 CAA786410:CAA786487 CAA851946:CAA852023 CAA917482:CAA917559 CAA983018:CAA983095 CJW2:CJW58 CJW65514:CJW65591 CJW131050:CJW131127 CJW196586:CJW196663 CJW262122:CJW262199 CJW327658:CJW327735 CJW393194:CJW393271 CJW458730:CJW458807 CJW524266:CJW524343 CJW589802:CJW589879 CJW655338:CJW655415 CJW720874:CJW720951 CJW786410:CJW786487 CJW851946:CJW852023 CJW917482:CJW917559 CJW983018:CJW983095 CTS2:CTS58 CTS65514:CTS65591 CTS131050:CTS131127 CTS196586:CTS196663 CTS262122:CTS262199 CTS327658:CTS327735 CTS393194:CTS393271 CTS458730:CTS458807 CTS524266:CTS524343 CTS589802:CTS589879 CTS655338:CTS655415 CTS720874:CTS720951 CTS786410:CTS786487 CTS851946:CTS852023 CTS917482:CTS917559 CTS983018:CTS983095 DDO2:DDO58 DDO65514:DDO65591 DDO131050:DDO131127 DDO196586:DDO196663 DDO262122:DDO262199 DDO327658:DDO327735 DDO393194:DDO393271 DDO458730:DDO458807 DDO524266:DDO524343 DDO589802:DDO589879 DDO655338:DDO655415 DDO720874:DDO720951 DDO786410:DDO786487 DDO851946:DDO852023 DDO917482:DDO917559 DDO983018:DDO983095 DNK2:DNK58 DNK65514:DNK65591 DNK131050:DNK131127 DNK196586:DNK196663 DNK262122:DNK262199 DNK327658:DNK327735 DNK393194:DNK393271 DNK458730:DNK458807 DNK524266:DNK524343 DNK589802:DNK589879 DNK655338:DNK655415 DNK720874:DNK720951 DNK786410:DNK786487 DNK851946:DNK852023 DNK917482:DNK917559 DNK983018:DNK983095 DXG2:DXG58 DXG65514:DXG65591 DXG131050:DXG131127 DXG196586:DXG196663 DXG262122:DXG262199 DXG327658:DXG327735 DXG393194:DXG393271 DXG458730:DXG458807 DXG524266:DXG524343 DXG589802:DXG589879 DXG655338:DXG655415 DXG720874:DXG720951 DXG786410:DXG786487 DXG851946:DXG852023 DXG917482:DXG917559 DXG983018:DXG983095 EHC2:EHC58 EHC65514:EHC65591 EHC131050:EHC131127 EHC196586:EHC196663 EHC262122:EHC262199 EHC327658:EHC327735 EHC393194:EHC393271 EHC458730:EHC458807 EHC524266:EHC524343 EHC589802:EHC589879 EHC655338:EHC655415 EHC720874:EHC720951 EHC786410:EHC786487 EHC851946:EHC852023 EHC917482:EHC917559 EHC983018:EHC983095 EQY2:EQY58 EQY65514:EQY65591 EQY131050:EQY131127 EQY196586:EQY196663 EQY262122:EQY262199 EQY327658:EQY327735 EQY393194:EQY393271 EQY458730:EQY458807 EQY524266:EQY524343 EQY589802:EQY589879 EQY655338:EQY655415 EQY720874:EQY720951 EQY786410:EQY786487 EQY851946:EQY852023 EQY917482:EQY917559 EQY983018:EQY983095 FAU2:FAU58 FAU65514:FAU65591 FAU131050:FAU131127 FAU196586:FAU196663 FAU262122:FAU262199 FAU327658:FAU327735 FAU393194:FAU393271 FAU458730:FAU458807 FAU524266:FAU524343 FAU589802:FAU589879 FAU655338:FAU655415 FAU720874:FAU720951 FAU786410:FAU786487 FAU851946:FAU852023 FAU917482:FAU917559 FAU983018:FAU983095 FKQ2:FKQ58 FKQ65514:FKQ65591 FKQ131050:FKQ131127 FKQ196586:FKQ196663 FKQ262122:FKQ262199 FKQ327658:FKQ327735 FKQ393194:FKQ393271 FKQ458730:FKQ458807 FKQ524266:FKQ524343 FKQ589802:FKQ589879 FKQ655338:FKQ655415 FKQ720874:FKQ720951 FKQ786410:FKQ786487 FKQ851946:FKQ852023 FKQ917482:FKQ917559 FKQ983018:FKQ983095 FUM2:FUM58 FUM65514:FUM65591 FUM131050:FUM131127 FUM196586:FUM196663 FUM262122:FUM262199 FUM327658:FUM327735 FUM393194:FUM393271 FUM458730:FUM458807 FUM524266:FUM524343 FUM589802:FUM589879 FUM655338:FUM655415 FUM720874:FUM720951 FUM786410:FUM786487 FUM851946:FUM852023 FUM917482:FUM917559 FUM983018:FUM983095 GEI2:GEI58 GEI65514:GEI65591 GEI131050:GEI131127 GEI196586:GEI196663 GEI262122:GEI262199 GEI327658:GEI327735 GEI393194:GEI393271 GEI458730:GEI458807 GEI524266:GEI524343 GEI589802:GEI589879 GEI655338:GEI655415 GEI720874:GEI720951 GEI786410:GEI786487 GEI851946:GEI852023 GEI917482:GEI917559 GEI983018:GEI983095 GOE2:GOE58 GOE65514:GOE65591 GOE131050:GOE131127 GOE196586:GOE196663 GOE262122:GOE262199 GOE327658:GOE327735 GOE393194:GOE393271 GOE458730:GOE458807 GOE524266:GOE524343 GOE589802:GOE589879 GOE655338:GOE655415 GOE720874:GOE720951 GOE786410:GOE786487 GOE851946:GOE852023 GOE917482:GOE917559 GOE983018:GOE983095 GYA2:GYA58 GYA65514:GYA65591 GYA131050:GYA131127 GYA196586:GYA196663 GYA262122:GYA262199 GYA327658:GYA327735 GYA393194:GYA393271 GYA458730:GYA458807 GYA524266:GYA524343 GYA589802:GYA589879 GYA655338:GYA655415 GYA720874:GYA720951 GYA786410:GYA786487 GYA851946:GYA852023 GYA917482:GYA917559 GYA983018:GYA983095 HHW2:HHW58 HHW65514:HHW65591 HHW131050:HHW131127 HHW196586:HHW196663 HHW262122:HHW262199 HHW327658:HHW327735 HHW393194:HHW393271 HHW458730:HHW458807 HHW524266:HHW524343 HHW589802:HHW589879 HHW655338:HHW655415 HHW720874:HHW720951 HHW786410:HHW786487 HHW851946:HHW852023 HHW917482:HHW917559 HHW983018:HHW983095 HRS2:HRS58 HRS65514:HRS65591 HRS131050:HRS131127 HRS196586:HRS196663 HRS262122:HRS262199 HRS327658:HRS327735 HRS393194:HRS393271 HRS458730:HRS458807 HRS524266:HRS524343 HRS589802:HRS589879 HRS655338:HRS655415 HRS720874:HRS720951 HRS786410:HRS786487 HRS851946:HRS852023 HRS917482:HRS917559 HRS983018:HRS983095 IBO2:IBO58 IBO65514:IBO65591 IBO131050:IBO131127 IBO196586:IBO196663 IBO262122:IBO262199 IBO327658:IBO327735 IBO393194:IBO393271 IBO458730:IBO458807 IBO524266:IBO524343 IBO589802:IBO589879 IBO655338:IBO655415 IBO720874:IBO720951 IBO786410:IBO786487 IBO851946:IBO852023 IBO917482:IBO917559 IBO983018:IBO983095 ILK2:ILK58 ILK65514:ILK65591 ILK131050:ILK131127 ILK196586:ILK196663 ILK262122:ILK262199 ILK327658:ILK327735 ILK393194:ILK393271 ILK458730:ILK458807 ILK524266:ILK524343 ILK589802:ILK589879 ILK655338:ILK655415 ILK720874:ILK720951 ILK786410:ILK786487 ILK851946:ILK852023 ILK917482:ILK917559 ILK983018:ILK983095 IVG2:IVG58 IVG65514:IVG65591 IVG131050:IVG131127 IVG196586:IVG196663 IVG262122:IVG262199 IVG327658:IVG327735 IVG393194:IVG393271 IVG458730:IVG458807 IVG524266:IVG524343 IVG589802:IVG589879 IVG655338:IVG655415 IVG720874:IVG720951 IVG786410:IVG786487 IVG851946:IVG852023 IVG917482:IVG917559 IVG983018:IVG983095 JFC2:JFC58 JFC65514:JFC65591 JFC131050:JFC131127 JFC196586:JFC196663 JFC262122:JFC262199 JFC327658:JFC327735 JFC393194:JFC393271 JFC458730:JFC458807 JFC524266:JFC524343 JFC589802:JFC589879 JFC655338:JFC655415 JFC720874:JFC720951 JFC786410:JFC786487 JFC851946:JFC852023 JFC917482:JFC917559 JFC983018:JFC983095 JOY2:JOY58 JOY65514:JOY65591 JOY131050:JOY131127 JOY196586:JOY196663 JOY262122:JOY262199 JOY327658:JOY327735 JOY393194:JOY393271 JOY458730:JOY458807 JOY524266:JOY524343 JOY589802:JOY589879 JOY655338:JOY655415 JOY720874:JOY720951 JOY786410:JOY786487 JOY851946:JOY852023 JOY917482:JOY917559 JOY983018:JOY983095 JYU2:JYU58 JYU65514:JYU65591 JYU131050:JYU131127 JYU196586:JYU196663 JYU262122:JYU262199 JYU327658:JYU327735 JYU393194:JYU393271 JYU458730:JYU458807 JYU524266:JYU524343 JYU589802:JYU589879 JYU655338:JYU655415 JYU720874:JYU720951 JYU786410:JYU786487 JYU851946:JYU852023 JYU917482:JYU917559 JYU983018:JYU983095 KIQ2:KIQ58 KIQ65514:KIQ65591 KIQ131050:KIQ131127 KIQ196586:KIQ196663 KIQ262122:KIQ262199 KIQ327658:KIQ327735 KIQ393194:KIQ393271 KIQ458730:KIQ458807 KIQ524266:KIQ524343 KIQ589802:KIQ589879 KIQ655338:KIQ655415 KIQ720874:KIQ720951 KIQ786410:KIQ786487 KIQ851946:KIQ852023 KIQ917482:KIQ917559 KIQ983018:KIQ983095 KSM2:KSM58 KSM65514:KSM65591 KSM131050:KSM131127 KSM196586:KSM196663 KSM262122:KSM262199 KSM327658:KSM327735 KSM393194:KSM393271 KSM458730:KSM458807 KSM524266:KSM524343 KSM589802:KSM589879 KSM655338:KSM655415 KSM720874:KSM720951 KSM786410:KSM786487 KSM851946:KSM852023 KSM917482:KSM917559 KSM983018:KSM983095 LCI2:LCI58 LCI65514:LCI65591 LCI131050:LCI131127 LCI196586:LCI196663 LCI262122:LCI262199 LCI327658:LCI327735 LCI393194:LCI393271 LCI458730:LCI458807 LCI524266:LCI524343 LCI589802:LCI589879 LCI655338:LCI655415 LCI720874:LCI720951 LCI786410:LCI786487 LCI851946:LCI852023 LCI917482:LCI917559 LCI983018:LCI983095 LME2:LME58 LME65514:LME65591 LME131050:LME131127 LME196586:LME196663 LME262122:LME262199 LME327658:LME327735 LME393194:LME393271 LME458730:LME458807 LME524266:LME524343 LME589802:LME589879 LME655338:LME655415 LME720874:LME720951 LME786410:LME786487 LME851946:LME852023 LME917482:LME917559 LME983018:LME983095 LWA2:LWA58 LWA65514:LWA65591 LWA131050:LWA131127 LWA196586:LWA196663 LWA262122:LWA262199 LWA327658:LWA327735 LWA393194:LWA393271 LWA458730:LWA458807 LWA524266:LWA524343 LWA589802:LWA589879 LWA655338:LWA655415 LWA720874:LWA720951 LWA786410:LWA786487 LWA851946:LWA852023 LWA917482:LWA917559 LWA983018:LWA983095 MFW2:MFW58 MFW65514:MFW65591 MFW131050:MFW131127 MFW196586:MFW196663 MFW262122:MFW262199 MFW327658:MFW327735 MFW393194:MFW393271 MFW458730:MFW458807 MFW524266:MFW524343 MFW589802:MFW589879 MFW655338:MFW655415 MFW720874:MFW720951 MFW786410:MFW786487 MFW851946:MFW852023 MFW917482:MFW917559 MFW983018:MFW983095 MPS2:MPS58 MPS65514:MPS65591 MPS131050:MPS131127 MPS196586:MPS196663 MPS262122:MPS262199 MPS327658:MPS327735 MPS393194:MPS393271 MPS458730:MPS458807 MPS524266:MPS524343 MPS589802:MPS589879 MPS655338:MPS655415 MPS720874:MPS720951 MPS786410:MPS786487 MPS851946:MPS852023 MPS917482:MPS917559 MPS983018:MPS983095 MZO2:MZO58 MZO65514:MZO65591 MZO131050:MZO131127 MZO196586:MZO196663 MZO262122:MZO262199 MZO327658:MZO327735 MZO393194:MZO393271 MZO458730:MZO458807 MZO524266:MZO524343 MZO589802:MZO589879 MZO655338:MZO655415 MZO720874:MZO720951 MZO786410:MZO786487 MZO851946:MZO852023 MZO917482:MZO917559 MZO983018:MZO983095 NJK2:NJK58 NJK65514:NJK65591 NJK131050:NJK131127 NJK196586:NJK196663 NJK262122:NJK262199 NJK327658:NJK327735 NJK393194:NJK393271 NJK458730:NJK458807 NJK524266:NJK524343 NJK589802:NJK589879 NJK655338:NJK655415 NJK720874:NJK720951 NJK786410:NJK786487 NJK851946:NJK852023 NJK917482:NJK917559 NJK983018:NJK983095 NTG2:NTG58 NTG65514:NTG65591 NTG131050:NTG131127 NTG196586:NTG196663 NTG262122:NTG262199 NTG327658:NTG327735 NTG393194:NTG393271 NTG458730:NTG458807 NTG524266:NTG524343 NTG589802:NTG589879 NTG655338:NTG655415 NTG720874:NTG720951 NTG786410:NTG786487 NTG851946:NTG852023 NTG917482:NTG917559 NTG983018:NTG983095 ODC2:ODC58 ODC65514:ODC65591 ODC131050:ODC131127 ODC196586:ODC196663 ODC262122:ODC262199 ODC327658:ODC327735 ODC393194:ODC393271 ODC458730:ODC458807 ODC524266:ODC524343 ODC589802:ODC589879 ODC655338:ODC655415 ODC720874:ODC720951 ODC786410:ODC786487 ODC851946:ODC852023 ODC917482:ODC917559 ODC983018:ODC983095 OMY2:OMY58 OMY65514:OMY65591 OMY131050:OMY131127 OMY196586:OMY196663 OMY262122:OMY262199 OMY327658:OMY327735 OMY393194:OMY393271 OMY458730:OMY458807 OMY524266:OMY524343 OMY589802:OMY589879 OMY655338:OMY655415 OMY720874:OMY720951 OMY786410:OMY786487 OMY851946:OMY852023 OMY917482:OMY917559 OMY983018:OMY983095 OWU2:OWU58 OWU65514:OWU65591 OWU131050:OWU131127 OWU196586:OWU196663 OWU262122:OWU262199 OWU327658:OWU327735 OWU393194:OWU393271 OWU458730:OWU458807 OWU524266:OWU524343 OWU589802:OWU589879 OWU655338:OWU655415 OWU720874:OWU720951 OWU786410:OWU786487 OWU851946:OWU852023 OWU917482:OWU917559 OWU983018:OWU983095 PGQ2:PGQ58 PGQ65514:PGQ65591 PGQ131050:PGQ131127 PGQ196586:PGQ196663 PGQ262122:PGQ262199 PGQ327658:PGQ327735 PGQ393194:PGQ393271 PGQ458730:PGQ458807 PGQ524266:PGQ524343 PGQ589802:PGQ589879 PGQ655338:PGQ655415 PGQ720874:PGQ720951 PGQ786410:PGQ786487 PGQ851946:PGQ852023 PGQ917482:PGQ917559 PGQ983018:PGQ983095 PQM2:PQM58 PQM65514:PQM65591 PQM131050:PQM131127 PQM196586:PQM196663 PQM262122:PQM262199 PQM327658:PQM327735 PQM393194:PQM393271 PQM458730:PQM458807 PQM524266:PQM524343 PQM589802:PQM589879 PQM655338:PQM655415 PQM720874:PQM720951 PQM786410:PQM786487 PQM851946:PQM852023 PQM917482:PQM917559 PQM983018:PQM983095 QAI2:QAI58 QAI65514:QAI65591 QAI131050:QAI131127 QAI196586:QAI196663 QAI262122:QAI262199 QAI327658:QAI327735 QAI393194:QAI393271 QAI458730:QAI458807 QAI524266:QAI524343 QAI589802:QAI589879 QAI655338:QAI655415 QAI720874:QAI720951 QAI786410:QAI786487 QAI851946:QAI852023 QAI917482:QAI917559 QAI983018:QAI983095 QKE2:QKE58 QKE65514:QKE65591 QKE131050:QKE131127 QKE196586:QKE196663 QKE262122:QKE262199 QKE327658:QKE327735 QKE393194:QKE393271 QKE458730:QKE458807 QKE524266:QKE524343 QKE589802:QKE589879 QKE655338:QKE655415 QKE720874:QKE720951 QKE786410:QKE786487 QKE851946:QKE852023 QKE917482:QKE917559 QKE983018:QKE983095 QUA2:QUA58 QUA65514:QUA65591 QUA131050:QUA131127 QUA196586:QUA196663 QUA262122:QUA262199 QUA327658:QUA327735 QUA393194:QUA393271 QUA458730:QUA458807 QUA524266:QUA524343 QUA589802:QUA589879 QUA655338:QUA655415 QUA720874:QUA720951 QUA786410:QUA786487 QUA851946:QUA852023 QUA917482:QUA917559 QUA983018:QUA983095 RDW2:RDW58 RDW65514:RDW65591 RDW131050:RDW131127 RDW196586:RDW196663 RDW262122:RDW262199 RDW327658:RDW327735 RDW393194:RDW393271 RDW458730:RDW458807 RDW524266:RDW524343 RDW589802:RDW589879 RDW655338:RDW655415 RDW720874:RDW720951 RDW786410:RDW786487 RDW851946:RDW852023 RDW917482:RDW917559 RDW983018:RDW983095 RNS2:RNS58 RNS65514:RNS65591 RNS131050:RNS131127 RNS196586:RNS196663 RNS262122:RNS262199 RNS327658:RNS327735 RNS393194:RNS393271 RNS458730:RNS458807 RNS524266:RNS524343 RNS589802:RNS589879 RNS655338:RNS655415 RNS720874:RNS720951 RNS786410:RNS786487 RNS851946:RNS852023 RNS917482:RNS917559 RNS983018:RNS983095 RXO2:RXO58 RXO65514:RXO65591 RXO131050:RXO131127 RXO196586:RXO196663 RXO262122:RXO262199 RXO327658:RXO327735 RXO393194:RXO393271 RXO458730:RXO458807 RXO524266:RXO524343 RXO589802:RXO589879 RXO655338:RXO655415 RXO720874:RXO720951 RXO786410:RXO786487 RXO851946:RXO852023 RXO917482:RXO917559 RXO983018:RXO983095 SHK2:SHK58 SHK65514:SHK65591 SHK131050:SHK131127 SHK196586:SHK196663 SHK262122:SHK262199 SHK327658:SHK327735 SHK393194:SHK393271 SHK458730:SHK458807 SHK524266:SHK524343 SHK589802:SHK589879 SHK655338:SHK655415 SHK720874:SHK720951 SHK786410:SHK786487 SHK851946:SHK852023 SHK917482:SHK917559 SHK983018:SHK983095 SRG2:SRG58 SRG65514:SRG65591 SRG131050:SRG131127 SRG196586:SRG196663 SRG262122:SRG262199 SRG327658:SRG327735 SRG393194:SRG393271 SRG458730:SRG458807 SRG524266:SRG524343 SRG589802:SRG589879 SRG655338:SRG655415 SRG720874:SRG720951 SRG786410:SRG786487 SRG851946:SRG852023 SRG917482:SRG917559 SRG983018:SRG983095 TBC2:TBC58 TBC65514:TBC65591 TBC131050:TBC131127 TBC196586:TBC196663 TBC262122:TBC262199 TBC327658:TBC327735 TBC393194:TBC393271 TBC458730:TBC458807 TBC524266:TBC524343 TBC589802:TBC589879 TBC655338:TBC655415 TBC720874:TBC720951 TBC786410:TBC786487 TBC851946:TBC852023 TBC917482:TBC917559 TBC983018:TBC983095 TKY2:TKY58 TKY65514:TKY65591 TKY131050:TKY131127 TKY196586:TKY196663 TKY262122:TKY262199 TKY327658:TKY327735 TKY393194:TKY393271 TKY458730:TKY458807 TKY524266:TKY524343 TKY589802:TKY589879 TKY655338:TKY655415 TKY720874:TKY720951 TKY786410:TKY786487 TKY851946:TKY852023 TKY917482:TKY917559 TKY983018:TKY983095 TUU2:TUU58 TUU65514:TUU65591 TUU131050:TUU131127 TUU196586:TUU196663 TUU262122:TUU262199 TUU327658:TUU327735 TUU393194:TUU393271 TUU458730:TUU458807 TUU524266:TUU524343 TUU589802:TUU589879 TUU655338:TUU655415 TUU720874:TUU720951 TUU786410:TUU786487 TUU851946:TUU852023 TUU917482:TUU917559 TUU983018:TUU983095 UEQ2:UEQ58 UEQ65514:UEQ65591 UEQ131050:UEQ131127 UEQ196586:UEQ196663 UEQ262122:UEQ262199 UEQ327658:UEQ327735 UEQ393194:UEQ393271 UEQ458730:UEQ458807 UEQ524266:UEQ524343 UEQ589802:UEQ589879 UEQ655338:UEQ655415 UEQ720874:UEQ720951 UEQ786410:UEQ786487 UEQ851946:UEQ852023 UEQ917482:UEQ917559 UEQ983018:UEQ983095 UOM2:UOM58 UOM65514:UOM65591 UOM131050:UOM131127 UOM196586:UOM196663 UOM262122:UOM262199 UOM327658:UOM327735 UOM393194:UOM393271 UOM458730:UOM458807 UOM524266:UOM524343 UOM589802:UOM589879 UOM655338:UOM655415 UOM720874:UOM720951 UOM786410:UOM786487 UOM851946:UOM852023 UOM917482:UOM917559 UOM983018:UOM983095 UYI2:UYI58 UYI65514:UYI65591 UYI131050:UYI131127 UYI196586:UYI196663 UYI262122:UYI262199 UYI327658:UYI327735 UYI393194:UYI393271 UYI458730:UYI458807 UYI524266:UYI524343 UYI589802:UYI589879 UYI655338:UYI655415 UYI720874:UYI720951 UYI786410:UYI786487 UYI851946:UYI852023 UYI917482:UYI917559 UYI983018:UYI983095 VIE2:VIE58 VIE65514:VIE65591 VIE131050:VIE131127 VIE196586:VIE196663 VIE262122:VIE262199 VIE327658:VIE327735 VIE393194:VIE393271 VIE458730:VIE458807 VIE524266:VIE524343 VIE589802:VIE589879 VIE655338:VIE655415 VIE720874:VIE720951 VIE786410:VIE786487 VIE851946:VIE852023 VIE917482:VIE917559 VIE983018:VIE983095 VSA2:VSA58 VSA65514:VSA65591 VSA131050:VSA131127 VSA196586:VSA196663 VSA262122:VSA262199 VSA327658:VSA327735 VSA393194:VSA393271 VSA458730:VSA458807 VSA524266:VSA524343 VSA589802:VSA589879 VSA655338:VSA655415 VSA720874:VSA720951 VSA786410:VSA786487 VSA851946:VSA852023 VSA917482:VSA917559 VSA983018:VSA983095 WBW2:WBW58 WBW65514:WBW65591 WBW131050:WBW131127 WBW196586:WBW196663 WBW262122:WBW262199 WBW327658:WBW327735 WBW393194:WBW393271 WBW458730:WBW458807 WBW524266:WBW524343 WBW589802:WBW589879 WBW655338:WBW655415 WBW720874:WBW720951 WBW786410:WBW786487 WBW851946:WBW852023 WBW917482:WBW917559 WBW983018:WBW983095 WLS2:WLS58 WLS65514:WLS65591 WLS131050:WLS131127 WLS196586:WLS196663 WLS262122:WLS262199 WLS327658:WLS327735 WLS393194:WLS393271 WLS458730:WLS458807 WLS524266:WLS524343 WLS589802:WLS589879 WLS655338:WLS655415 WLS720874:WLS720951 WLS786410:WLS786487 WLS851946:WLS852023 WLS917482:WLS917559 WLS983018:WLS983095 WVO2:WVO58 WVO65514:WVO65591 WVO131050:WVO131127 WVO196586:WVO196663 WVO262122:WVO262199 WVO327658:WVO327735 WVO393194:WVO393271 WVO458730:WVO458807 WVO524266:WVO524343 WVO589802:WVO589879 WVO655338:WVO655415 WVO720874:WVO720951 WVO786410:WVO786487 WVO851946:WVO852023 WVO917482:WVO917559 WVO983018:WVO983095">
      <formula1>$AJ$2:$AJ$4</formula1>
    </dataValidation>
    <dataValidation type="list" allowBlank="1" showInputMessage="1" showErrorMessage="1" sqref="I2:I476 I65514:I65591 I131050:I131127 I196586:I196663 I262122:I262199 I327658:I327735 I393194:I393271 I458730:I458807 I524266:I524343 I589802:I589879 I655338:I655415 I720874:I720951 I786410:I786487 I851946:I852023 I917482:I917559 I983018:I983095 JE2:JE58 JE65514:JE65591 JE131050:JE131127 JE196586:JE196663 JE262122:JE262199 JE327658:JE327735 JE393194:JE393271 JE458730:JE458807 JE524266:JE524343 JE589802:JE589879 JE655338:JE655415 JE720874:JE720951 JE786410:JE786487 JE851946:JE852023 JE917482:JE917559 JE983018:JE983095 TA2:TA58 TA65514:TA65591 TA131050:TA131127 TA196586:TA196663 TA262122:TA262199 TA327658:TA327735 TA393194:TA393271 TA458730:TA458807 TA524266:TA524343 TA589802:TA589879 TA655338:TA655415 TA720874:TA720951 TA786410:TA786487 TA851946:TA852023 TA917482:TA917559 TA983018:TA983095 ACW2:ACW58 ACW65514:ACW65591 ACW131050:ACW131127 ACW196586:ACW196663 ACW262122:ACW262199 ACW327658:ACW327735 ACW393194:ACW393271 ACW458730:ACW458807 ACW524266:ACW524343 ACW589802:ACW589879 ACW655338:ACW655415 ACW720874:ACW720951 ACW786410:ACW786487 ACW851946:ACW852023 ACW917482:ACW917559 ACW983018:ACW983095 AMS2:AMS58 AMS65514:AMS65591 AMS131050:AMS131127 AMS196586:AMS196663 AMS262122:AMS262199 AMS327658:AMS327735 AMS393194:AMS393271 AMS458730:AMS458807 AMS524266:AMS524343 AMS589802:AMS589879 AMS655338:AMS655415 AMS720874:AMS720951 AMS786410:AMS786487 AMS851946:AMS852023 AMS917482:AMS917559 AMS983018:AMS983095 AWO2:AWO58 AWO65514:AWO65591 AWO131050:AWO131127 AWO196586:AWO196663 AWO262122:AWO262199 AWO327658:AWO327735 AWO393194:AWO393271 AWO458730:AWO458807 AWO524266:AWO524343 AWO589802:AWO589879 AWO655338:AWO655415 AWO720874:AWO720951 AWO786410:AWO786487 AWO851946:AWO852023 AWO917482:AWO917559 AWO983018:AWO983095 BGK2:BGK58 BGK65514:BGK65591 BGK131050:BGK131127 BGK196586:BGK196663 BGK262122:BGK262199 BGK327658:BGK327735 BGK393194:BGK393271 BGK458730:BGK458807 BGK524266:BGK524343 BGK589802:BGK589879 BGK655338:BGK655415 BGK720874:BGK720951 BGK786410:BGK786487 BGK851946:BGK852023 BGK917482:BGK917559 BGK983018:BGK983095 BQG2:BQG58 BQG65514:BQG65591 BQG131050:BQG131127 BQG196586:BQG196663 BQG262122:BQG262199 BQG327658:BQG327735 BQG393194:BQG393271 BQG458730:BQG458807 BQG524266:BQG524343 BQG589802:BQG589879 BQG655338:BQG655415 BQG720874:BQG720951 BQG786410:BQG786487 BQG851946:BQG852023 BQG917482:BQG917559 BQG983018:BQG983095 CAC2:CAC58 CAC65514:CAC65591 CAC131050:CAC131127 CAC196586:CAC196663 CAC262122:CAC262199 CAC327658:CAC327735 CAC393194:CAC393271 CAC458730:CAC458807 CAC524266:CAC524343 CAC589802:CAC589879 CAC655338:CAC655415 CAC720874:CAC720951 CAC786410:CAC786487 CAC851946:CAC852023 CAC917482:CAC917559 CAC983018:CAC983095 CJY2:CJY58 CJY65514:CJY65591 CJY131050:CJY131127 CJY196586:CJY196663 CJY262122:CJY262199 CJY327658:CJY327735 CJY393194:CJY393271 CJY458730:CJY458807 CJY524266:CJY524343 CJY589802:CJY589879 CJY655338:CJY655415 CJY720874:CJY720951 CJY786410:CJY786487 CJY851946:CJY852023 CJY917482:CJY917559 CJY983018:CJY983095 CTU2:CTU58 CTU65514:CTU65591 CTU131050:CTU131127 CTU196586:CTU196663 CTU262122:CTU262199 CTU327658:CTU327735 CTU393194:CTU393271 CTU458730:CTU458807 CTU524266:CTU524343 CTU589802:CTU589879 CTU655338:CTU655415 CTU720874:CTU720951 CTU786410:CTU786487 CTU851946:CTU852023 CTU917482:CTU917559 CTU983018:CTU983095 DDQ2:DDQ58 DDQ65514:DDQ65591 DDQ131050:DDQ131127 DDQ196586:DDQ196663 DDQ262122:DDQ262199 DDQ327658:DDQ327735 DDQ393194:DDQ393271 DDQ458730:DDQ458807 DDQ524266:DDQ524343 DDQ589802:DDQ589879 DDQ655338:DDQ655415 DDQ720874:DDQ720951 DDQ786410:DDQ786487 DDQ851946:DDQ852023 DDQ917482:DDQ917559 DDQ983018:DDQ983095 DNM2:DNM58 DNM65514:DNM65591 DNM131050:DNM131127 DNM196586:DNM196663 DNM262122:DNM262199 DNM327658:DNM327735 DNM393194:DNM393271 DNM458730:DNM458807 DNM524266:DNM524343 DNM589802:DNM589879 DNM655338:DNM655415 DNM720874:DNM720951 DNM786410:DNM786487 DNM851946:DNM852023 DNM917482:DNM917559 DNM983018:DNM983095 DXI2:DXI58 DXI65514:DXI65591 DXI131050:DXI131127 DXI196586:DXI196663 DXI262122:DXI262199 DXI327658:DXI327735 DXI393194:DXI393271 DXI458730:DXI458807 DXI524266:DXI524343 DXI589802:DXI589879 DXI655338:DXI655415 DXI720874:DXI720951 DXI786410:DXI786487 DXI851946:DXI852023 DXI917482:DXI917559 DXI983018:DXI983095 EHE2:EHE58 EHE65514:EHE65591 EHE131050:EHE131127 EHE196586:EHE196663 EHE262122:EHE262199 EHE327658:EHE327735 EHE393194:EHE393271 EHE458730:EHE458807 EHE524266:EHE524343 EHE589802:EHE589879 EHE655338:EHE655415 EHE720874:EHE720951 EHE786410:EHE786487 EHE851946:EHE852023 EHE917482:EHE917559 EHE983018:EHE983095 ERA2:ERA58 ERA65514:ERA65591 ERA131050:ERA131127 ERA196586:ERA196663 ERA262122:ERA262199 ERA327658:ERA327735 ERA393194:ERA393271 ERA458730:ERA458807 ERA524266:ERA524343 ERA589802:ERA589879 ERA655338:ERA655415 ERA720874:ERA720951 ERA786410:ERA786487 ERA851946:ERA852023 ERA917482:ERA917559 ERA983018:ERA983095 FAW2:FAW58 FAW65514:FAW65591 FAW131050:FAW131127 FAW196586:FAW196663 FAW262122:FAW262199 FAW327658:FAW327735 FAW393194:FAW393271 FAW458730:FAW458807 FAW524266:FAW524343 FAW589802:FAW589879 FAW655338:FAW655415 FAW720874:FAW720951 FAW786410:FAW786487 FAW851946:FAW852023 FAW917482:FAW917559 FAW983018:FAW983095 FKS2:FKS58 FKS65514:FKS65591 FKS131050:FKS131127 FKS196586:FKS196663 FKS262122:FKS262199 FKS327658:FKS327735 FKS393194:FKS393271 FKS458730:FKS458807 FKS524266:FKS524343 FKS589802:FKS589879 FKS655338:FKS655415 FKS720874:FKS720951 FKS786410:FKS786487 FKS851946:FKS852023 FKS917482:FKS917559 FKS983018:FKS983095 FUO2:FUO58 FUO65514:FUO65591 FUO131050:FUO131127 FUO196586:FUO196663 FUO262122:FUO262199 FUO327658:FUO327735 FUO393194:FUO393271 FUO458730:FUO458807 FUO524266:FUO524343 FUO589802:FUO589879 FUO655338:FUO655415 FUO720874:FUO720951 FUO786410:FUO786487 FUO851946:FUO852023 FUO917482:FUO917559 FUO983018:FUO983095 GEK2:GEK58 GEK65514:GEK65591 GEK131050:GEK131127 GEK196586:GEK196663 GEK262122:GEK262199 GEK327658:GEK327735 GEK393194:GEK393271 GEK458730:GEK458807 GEK524266:GEK524343 GEK589802:GEK589879 GEK655338:GEK655415 GEK720874:GEK720951 GEK786410:GEK786487 GEK851946:GEK852023 GEK917482:GEK917559 GEK983018:GEK983095 GOG2:GOG58 GOG65514:GOG65591 GOG131050:GOG131127 GOG196586:GOG196663 GOG262122:GOG262199 GOG327658:GOG327735 GOG393194:GOG393271 GOG458730:GOG458807 GOG524266:GOG524343 GOG589802:GOG589879 GOG655338:GOG655415 GOG720874:GOG720951 GOG786410:GOG786487 GOG851946:GOG852023 GOG917482:GOG917559 GOG983018:GOG983095 GYC2:GYC58 GYC65514:GYC65591 GYC131050:GYC131127 GYC196586:GYC196663 GYC262122:GYC262199 GYC327658:GYC327735 GYC393194:GYC393271 GYC458730:GYC458807 GYC524266:GYC524343 GYC589802:GYC589879 GYC655338:GYC655415 GYC720874:GYC720951 GYC786410:GYC786487 GYC851946:GYC852023 GYC917482:GYC917559 GYC983018:GYC983095 HHY2:HHY58 HHY65514:HHY65591 HHY131050:HHY131127 HHY196586:HHY196663 HHY262122:HHY262199 HHY327658:HHY327735 HHY393194:HHY393271 HHY458730:HHY458807 HHY524266:HHY524343 HHY589802:HHY589879 HHY655338:HHY655415 HHY720874:HHY720951 HHY786410:HHY786487 HHY851946:HHY852023 HHY917482:HHY917559 HHY983018:HHY983095 HRU2:HRU58 HRU65514:HRU65591 HRU131050:HRU131127 HRU196586:HRU196663 HRU262122:HRU262199 HRU327658:HRU327735 HRU393194:HRU393271 HRU458730:HRU458807 HRU524266:HRU524343 HRU589802:HRU589879 HRU655338:HRU655415 HRU720874:HRU720951 HRU786410:HRU786487 HRU851946:HRU852023 HRU917482:HRU917559 HRU983018:HRU983095 IBQ2:IBQ58 IBQ65514:IBQ65591 IBQ131050:IBQ131127 IBQ196586:IBQ196663 IBQ262122:IBQ262199 IBQ327658:IBQ327735 IBQ393194:IBQ393271 IBQ458730:IBQ458807 IBQ524266:IBQ524343 IBQ589802:IBQ589879 IBQ655338:IBQ655415 IBQ720874:IBQ720951 IBQ786410:IBQ786487 IBQ851946:IBQ852023 IBQ917482:IBQ917559 IBQ983018:IBQ983095 ILM2:ILM58 ILM65514:ILM65591 ILM131050:ILM131127 ILM196586:ILM196663 ILM262122:ILM262199 ILM327658:ILM327735 ILM393194:ILM393271 ILM458730:ILM458807 ILM524266:ILM524343 ILM589802:ILM589879 ILM655338:ILM655415 ILM720874:ILM720951 ILM786410:ILM786487 ILM851946:ILM852023 ILM917482:ILM917559 ILM983018:ILM983095 IVI2:IVI58 IVI65514:IVI65591 IVI131050:IVI131127 IVI196586:IVI196663 IVI262122:IVI262199 IVI327658:IVI327735 IVI393194:IVI393271 IVI458730:IVI458807 IVI524266:IVI524343 IVI589802:IVI589879 IVI655338:IVI655415 IVI720874:IVI720951 IVI786410:IVI786487 IVI851946:IVI852023 IVI917482:IVI917559 IVI983018:IVI983095 JFE2:JFE58 JFE65514:JFE65591 JFE131050:JFE131127 JFE196586:JFE196663 JFE262122:JFE262199 JFE327658:JFE327735 JFE393194:JFE393271 JFE458730:JFE458807 JFE524266:JFE524343 JFE589802:JFE589879 JFE655338:JFE655415 JFE720874:JFE720951 JFE786410:JFE786487 JFE851946:JFE852023 JFE917482:JFE917559 JFE983018:JFE983095 JPA2:JPA58 JPA65514:JPA65591 JPA131050:JPA131127 JPA196586:JPA196663 JPA262122:JPA262199 JPA327658:JPA327735 JPA393194:JPA393271 JPA458730:JPA458807 JPA524266:JPA524343 JPA589802:JPA589879 JPA655338:JPA655415 JPA720874:JPA720951 JPA786410:JPA786487 JPA851946:JPA852023 JPA917482:JPA917559 JPA983018:JPA983095 JYW2:JYW58 JYW65514:JYW65591 JYW131050:JYW131127 JYW196586:JYW196663 JYW262122:JYW262199 JYW327658:JYW327735 JYW393194:JYW393271 JYW458730:JYW458807 JYW524266:JYW524343 JYW589802:JYW589879 JYW655338:JYW655415 JYW720874:JYW720951 JYW786410:JYW786487 JYW851946:JYW852023 JYW917482:JYW917559 JYW983018:JYW983095 KIS2:KIS58 KIS65514:KIS65591 KIS131050:KIS131127 KIS196586:KIS196663 KIS262122:KIS262199 KIS327658:KIS327735 KIS393194:KIS393271 KIS458730:KIS458807 KIS524266:KIS524343 KIS589802:KIS589879 KIS655338:KIS655415 KIS720874:KIS720951 KIS786410:KIS786487 KIS851946:KIS852023 KIS917482:KIS917559 KIS983018:KIS983095 KSO2:KSO58 KSO65514:KSO65591 KSO131050:KSO131127 KSO196586:KSO196663 KSO262122:KSO262199 KSO327658:KSO327735 KSO393194:KSO393271 KSO458730:KSO458807 KSO524266:KSO524343 KSO589802:KSO589879 KSO655338:KSO655415 KSO720874:KSO720951 KSO786410:KSO786487 KSO851946:KSO852023 KSO917482:KSO917559 KSO983018:KSO983095 LCK2:LCK58 LCK65514:LCK65591 LCK131050:LCK131127 LCK196586:LCK196663 LCK262122:LCK262199 LCK327658:LCK327735 LCK393194:LCK393271 LCK458730:LCK458807 LCK524266:LCK524343 LCK589802:LCK589879 LCK655338:LCK655415 LCK720874:LCK720951 LCK786410:LCK786487 LCK851946:LCK852023 LCK917482:LCK917559 LCK983018:LCK983095 LMG2:LMG58 LMG65514:LMG65591 LMG131050:LMG131127 LMG196586:LMG196663 LMG262122:LMG262199 LMG327658:LMG327735 LMG393194:LMG393271 LMG458730:LMG458807 LMG524266:LMG524343 LMG589802:LMG589879 LMG655338:LMG655415 LMG720874:LMG720951 LMG786410:LMG786487 LMG851946:LMG852023 LMG917482:LMG917559 LMG983018:LMG983095 LWC2:LWC58 LWC65514:LWC65591 LWC131050:LWC131127 LWC196586:LWC196663 LWC262122:LWC262199 LWC327658:LWC327735 LWC393194:LWC393271 LWC458730:LWC458807 LWC524266:LWC524343 LWC589802:LWC589879 LWC655338:LWC655415 LWC720874:LWC720951 LWC786410:LWC786487 LWC851946:LWC852023 LWC917482:LWC917559 LWC983018:LWC983095 MFY2:MFY58 MFY65514:MFY65591 MFY131050:MFY131127 MFY196586:MFY196663 MFY262122:MFY262199 MFY327658:MFY327735 MFY393194:MFY393271 MFY458730:MFY458807 MFY524266:MFY524343 MFY589802:MFY589879 MFY655338:MFY655415 MFY720874:MFY720951 MFY786410:MFY786487 MFY851946:MFY852023 MFY917482:MFY917559 MFY983018:MFY983095 MPU2:MPU58 MPU65514:MPU65591 MPU131050:MPU131127 MPU196586:MPU196663 MPU262122:MPU262199 MPU327658:MPU327735 MPU393194:MPU393271 MPU458730:MPU458807 MPU524266:MPU524343 MPU589802:MPU589879 MPU655338:MPU655415 MPU720874:MPU720951 MPU786410:MPU786487 MPU851946:MPU852023 MPU917482:MPU917559 MPU983018:MPU983095 MZQ2:MZQ58 MZQ65514:MZQ65591 MZQ131050:MZQ131127 MZQ196586:MZQ196663 MZQ262122:MZQ262199 MZQ327658:MZQ327735 MZQ393194:MZQ393271 MZQ458730:MZQ458807 MZQ524266:MZQ524343 MZQ589802:MZQ589879 MZQ655338:MZQ655415 MZQ720874:MZQ720951 MZQ786410:MZQ786487 MZQ851946:MZQ852023 MZQ917482:MZQ917559 MZQ983018:MZQ983095 NJM2:NJM58 NJM65514:NJM65591 NJM131050:NJM131127 NJM196586:NJM196663 NJM262122:NJM262199 NJM327658:NJM327735 NJM393194:NJM393271 NJM458730:NJM458807 NJM524266:NJM524343 NJM589802:NJM589879 NJM655338:NJM655415 NJM720874:NJM720951 NJM786410:NJM786487 NJM851946:NJM852023 NJM917482:NJM917559 NJM983018:NJM983095 NTI2:NTI58 NTI65514:NTI65591 NTI131050:NTI131127 NTI196586:NTI196663 NTI262122:NTI262199 NTI327658:NTI327735 NTI393194:NTI393271 NTI458730:NTI458807 NTI524266:NTI524343 NTI589802:NTI589879 NTI655338:NTI655415 NTI720874:NTI720951 NTI786410:NTI786487 NTI851946:NTI852023 NTI917482:NTI917559 NTI983018:NTI983095 ODE2:ODE58 ODE65514:ODE65591 ODE131050:ODE131127 ODE196586:ODE196663 ODE262122:ODE262199 ODE327658:ODE327735 ODE393194:ODE393271 ODE458730:ODE458807 ODE524266:ODE524343 ODE589802:ODE589879 ODE655338:ODE655415 ODE720874:ODE720951 ODE786410:ODE786487 ODE851946:ODE852023 ODE917482:ODE917559 ODE983018:ODE983095 ONA2:ONA58 ONA65514:ONA65591 ONA131050:ONA131127 ONA196586:ONA196663 ONA262122:ONA262199 ONA327658:ONA327735 ONA393194:ONA393271 ONA458730:ONA458807 ONA524266:ONA524343 ONA589802:ONA589879 ONA655338:ONA655415 ONA720874:ONA720951 ONA786410:ONA786487 ONA851946:ONA852023 ONA917482:ONA917559 ONA983018:ONA983095 OWW2:OWW58 OWW65514:OWW65591 OWW131050:OWW131127 OWW196586:OWW196663 OWW262122:OWW262199 OWW327658:OWW327735 OWW393194:OWW393271 OWW458730:OWW458807 OWW524266:OWW524343 OWW589802:OWW589879 OWW655338:OWW655415 OWW720874:OWW720951 OWW786410:OWW786487 OWW851946:OWW852023 OWW917482:OWW917559 OWW983018:OWW983095 PGS2:PGS58 PGS65514:PGS65591 PGS131050:PGS131127 PGS196586:PGS196663 PGS262122:PGS262199 PGS327658:PGS327735 PGS393194:PGS393271 PGS458730:PGS458807 PGS524266:PGS524343 PGS589802:PGS589879 PGS655338:PGS655415 PGS720874:PGS720951 PGS786410:PGS786487 PGS851946:PGS852023 PGS917482:PGS917559 PGS983018:PGS983095 PQO2:PQO58 PQO65514:PQO65591 PQO131050:PQO131127 PQO196586:PQO196663 PQO262122:PQO262199 PQO327658:PQO327735 PQO393194:PQO393271 PQO458730:PQO458807 PQO524266:PQO524343 PQO589802:PQO589879 PQO655338:PQO655415 PQO720874:PQO720951 PQO786410:PQO786487 PQO851946:PQO852023 PQO917482:PQO917559 PQO983018:PQO983095 QAK2:QAK58 QAK65514:QAK65591 QAK131050:QAK131127 QAK196586:QAK196663 QAK262122:QAK262199 QAK327658:QAK327735 QAK393194:QAK393271 QAK458730:QAK458807 QAK524266:QAK524343 QAK589802:QAK589879 QAK655338:QAK655415 QAK720874:QAK720951 QAK786410:QAK786487 QAK851946:QAK852023 QAK917482:QAK917559 QAK983018:QAK983095 QKG2:QKG58 QKG65514:QKG65591 QKG131050:QKG131127 QKG196586:QKG196663 QKG262122:QKG262199 QKG327658:QKG327735 QKG393194:QKG393271 QKG458730:QKG458807 QKG524266:QKG524343 QKG589802:QKG589879 QKG655338:QKG655415 QKG720874:QKG720951 QKG786410:QKG786487 QKG851946:QKG852023 QKG917482:QKG917559 QKG983018:QKG983095 QUC2:QUC58 QUC65514:QUC65591 QUC131050:QUC131127 QUC196586:QUC196663 QUC262122:QUC262199 QUC327658:QUC327735 QUC393194:QUC393271 QUC458730:QUC458807 QUC524266:QUC524343 QUC589802:QUC589879 QUC655338:QUC655415 QUC720874:QUC720951 QUC786410:QUC786487 QUC851946:QUC852023 QUC917482:QUC917559 QUC983018:QUC983095 RDY2:RDY58 RDY65514:RDY65591 RDY131050:RDY131127 RDY196586:RDY196663 RDY262122:RDY262199 RDY327658:RDY327735 RDY393194:RDY393271 RDY458730:RDY458807 RDY524266:RDY524343 RDY589802:RDY589879 RDY655338:RDY655415 RDY720874:RDY720951 RDY786410:RDY786487 RDY851946:RDY852023 RDY917482:RDY917559 RDY983018:RDY983095 RNU2:RNU58 RNU65514:RNU65591 RNU131050:RNU131127 RNU196586:RNU196663 RNU262122:RNU262199 RNU327658:RNU327735 RNU393194:RNU393271 RNU458730:RNU458807 RNU524266:RNU524343 RNU589802:RNU589879 RNU655338:RNU655415 RNU720874:RNU720951 RNU786410:RNU786487 RNU851946:RNU852023 RNU917482:RNU917559 RNU983018:RNU983095 RXQ2:RXQ58 RXQ65514:RXQ65591 RXQ131050:RXQ131127 RXQ196586:RXQ196663 RXQ262122:RXQ262199 RXQ327658:RXQ327735 RXQ393194:RXQ393271 RXQ458730:RXQ458807 RXQ524266:RXQ524343 RXQ589802:RXQ589879 RXQ655338:RXQ655415 RXQ720874:RXQ720951 RXQ786410:RXQ786487 RXQ851946:RXQ852023 RXQ917482:RXQ917559 RXQ983018:RXQ983095 SHM2:SHM58 SHM65514:SHM65591 SHM131050:SHM131127 SHM196586:SHM196663 SHM262122:SHM262199 SHM327658:SHM327735 SHM393194:SHM393271 SHM458730:SHM458807 SHM524266:SHM524343 SHM589802:SHM589879 SHM655338:SHM655415 SHM720874:SHM720951 SHM786410:SHM786487 SHM851946:SHM852023 SHM917482:SHM917559 SHM983018:SHM983095 SRI2:SRI58 SRI65514:SRI65591 SRI131050:SRI131127 SRI196586:SRI196663 SRI262122:SRI262199 SRI327658:SRI327735 SRI393194:SRI393271 SRI458730:SRI458807 SRI524266:SRI524343 SRI589802:SRI589879 SRI655338:SRI655415 SRI720874:SRI720951 SRI786410:SRI786487 SRI851946:SRI852023 SRI917482:SRI917559 SRI983018:SRI983095 TBE2:TBE58 TBE65514:TBE65591 TBE131050:TBE131127 TBE196586:TBE196663 TBE262122:TBE262199 TBE327658:TBE327735 TBE393194:TBE393271 TBE458730:TBE458807 TBE524266:TBE524343 TBE589802:TBE589879 TBE655338:TBE655415 TBE720874:TBE720951 TBE786410:TBE786487 TBE851946:TBE852023 TBE917482:TBE917559 TBE983018:TBE983095 TLA2:TLA58 TLA65514:TLA65591 TLA131050:TLA131127 TLA196586:TLA196663 TLA262122:TLA262199 TLA327658:TLA327735 TLA393194:TLA393271 TLA458730:TLA458807 TLA524266:TLA524343 TLA589802:TLA589879 TLA655338:TLA655415 TLA720874:TLA720951 TLA786410:TLA786487 TLA851946:TLA852023 TLA917482:TLA917559 TLA983018:TLA983095 TUW2:TUW58 TUW65514:TUW65591 TUW131050:TUW131127 TUW196586:TUW196663 TUW262122:TUW262199 TUW327658:TUW327735 TUW393194:TUW393271 TUW458730:TUW458807 TUW524266:TUW524343 TUW589802:TUW589879 TUW655338:TUW655415 TUW720874:TUW720951 TUW786410:TUW786487 TUW851946:TUW852023 TUW917482:TUW917559 TUW983018:TUW983095 UES2:UES58 UES65514:UES65591 UES131050:UES131127 UES196586:UES196663 UES262122:UES262199 UES327658:UES327735 UES393194:UES393271 UES458730:UES458807 UES524266:UES524343 UES589802:UES589879 UES655338:UES655415 UES720874:UES720951 UES786410:UES786487 UES851946:UES852023 UES917482:UES917559 UES983018:UES983095 UOO2:UOO58 UOO65514:UOO65591 UOO131050:UOO131127 UOO196586:UOO196663 UOO262122:UOO262199 UOO327658:UOO327735 UOO393194:UOO393271 UOO458730:UOO458807 UOO524266:UOO524343 UOO589802:UOO589879 UOO655338:UOO655415 UOO720874:UOO720951 UOO786410:UOO786487 UOO851946:UOO852023 UOO917482:UOO917559 UOO983018:UOO983095 UYK2:UYK58 UYK65514:UYK65591 UYK131050:UYK131127 UYK196586:UYK196663 UYK262122:UYK262199 UYK327658:UYK327735 UYK393194:UYK393271 UYK458730:UYK458807 UYK524266:UYK524343 UYK589802:UYK589879 UYK655338:UYK655415 UYK720874:UYK720951 UYK786410:UYK786487 UYK851946:UYK852023 UYK917482:UYK917559 UYK983018:UYK983095 VIG2:VIG58 VIG65514:VIG65591 VIG131050:VIG131127 VIG196586:VIG196663 VIG262122:VIG262199 VIG327658:VIG327735 VIG393194:VIG393271 VIG458730:VIG458807 VIG524266:VIG524343 VIG589802:VIG589879 VIG655338:VIG655415 VIG720874:VIG720951 VIG786410:VIG786487 VIG851946:VIG852023 VIG917482:VIG917559 VIG983018:VIG983095 VSC2:VSC58 VSC65514:VSC65591 VSC131050:VSC131127 VSC196586:VSC196663 VSC262122:VSC262199 VSC327658:VSC327735 VSC393194:VSC393271 VSC458730:VSC458807 VSC524266:VSC524343 VSC589802:VSC589879 VSC655338:VSC655415 VSC720874:VSC720951 VSC786410:VSC786487 VSC851946:VSC852023 VSC917482:VSC917559 VSC983018:VSC983095 WBY2:WBY58 WBY65514:WBY65591 WBY131050:WBY131127 WBY196586:WBY196663 WBY262122:WBY262199 WBY327658:WBY327735 WBY393194:WBY393271 WBY458730:WBY458807 WBY524266:WBY524343 WBY589802:WBY589879 WBY655338:WBY655415 WBY720874:WBY720951 WBY786410:WBY786487 WBY851946:WBY852023 WBY917482:WBY917559 WBY983018:WBY983095 WLU2:WLU58 WLU65514:WLU65591 WLU131050:WLU131127 WLU196586:WLU196663 WLU262122:WLU262199 WLU327658:WLU327735 WLU393194:WLU393271 WLU458730:WLU458807 WLU524266:WLU524343 WLU589802:WLU589879 WLU655338:WLU655415 WLU720874:WLU720951 WLU786410:WLU786487 WLU851946:WLU852023 WLU917482:WLU917559 WLU983018:WLU983095 WVQ2:WVQ58 WVQ65514:WVQ65591 WVQ131050:WVQ131127 WVQ196586:WVQ196663 WVQ262122:WVQ262199 WVQ327658:WVQ327735 WVQ393194:WVQ393271 WVQ458730:WVQ458807 WVQ524266:WVQ524343 WVQ589802:WVQ589879 WVQ655338:WVQ655415 WVQ720874:WVQ720951 WVQ786410:WVQ786487 WVQ851946:WVQ852023 WVQ917482:WVQ917559 WVQ983018:WVQ983095">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4"/>
  <sheetViews>
    <sheetView topLeftCell="A10" zoomScale="80" zoomScaleNormal="80" workbookViewId="0">
      <selection activeCell="O68" sqref="O68"/>
    </sheetView>
  </sheetViews>
  <sheetFormatPr defaultRowHeight="13.5" x14ac:dyDescent="0.15"/>
  <cols>
    <col min="1" max="3" width="9" style="208" customWidth="1"/>
    <col min="4" max="4" width="10.5" style="208" customWidth="1"/>
    <col min="5" max="5" width="11.25" style="208" bestFit="1" customWidth="1"/>
    <col min="6" max="7" width="9" style="208"/>
    <col min="8" max="10" width="9" style="208" customWidth="1"/>
    <col min="11" max="11" width="11.375" style="208" customWidth="1"/>
    <col min="12" max="16" width="9" style="208" customWidth="1"/>
    <col min="17" max="17" width="9" style="217" customWidth="1"/>
    <col min="18" max="18" width="9" style="208"/>
    <col min="19" max="19" width="9.5" style="208" bestFit="1" customWidth="1"/>
    <col min="20" max="20" width="9" style="217" customWidth="1"/>
    <col min="21" max="21" width="9" style="208"/>
    <col min="22" max="22" width="9" style="217" customWidth="1"/>
    <col min="23" max="28" width="9" style="208"/>
    <col min="29" max="29" width="26.5" style="208" customWidth="1"/>
    <col min="30" max="32" width="9" style="208"/>
    <col min="33" max="33" width="15.75" style="208" bestFit="1" customWidth="1"/>
    <col min="34" max="34" width="15" style="208" bestFit="1" customWidth="1"/>
    <col min="35" max="256" width="9" style="208"/>
    <col min="257" max="259" width="9" style="208" customWidth="1"/>
    <col min="260" max="260" width="10.5" style="208" customWidth="1"/>
    <col min="261" max="261" width="11.25" style="208" bestFit="1" customWidth="1"/>
    <col min="262" max="263" width="9" style="208"/>
    <col min="264" max="273" width="9" style="208" customWidth="1"/>
    <col min="274" max="274" width="9" style="208"/>
    <col min="275" max="275" width="9.5" style="208" bestFit="1" customWidth="1"/>
    <col min="276" max="276" width="9" style="208" customWidth="1"/>
    <col min="277" max="277" width="9" style="208"/>
    <col min="278" max="278" width="9" style="208" customWidth="1"/>
    <col min="279" max="284" width="9" style="208"/>
    <col min="285" max="285" width="26.5" style="208" customWidth="1"/>
    <col min="286" max="288" width="9" style="208"/>
    <col min="289" max="289" width="14.75" style="208" bestFit="1" customWidth="1"/>
    <col min="290" max="512" width="9" style="208"/>
    <col min="513" max="515" width="9" style="208" customWidth="1"/>
    <col min="516" max="516" width="10.5" style="208" customWidth="1"/>
    <col min="517" max="517" width="11.25" style="208" bestFit="1" customWidth="1"/>
    <col min="518" max="519" width="9" style="208"/>
    <col min="520" max="529" width="9" style="208" customWidth="1"/>
    <col min="530" max="530" width="9" style="208"/>
    <col min="531" max="531" width="9.5" style="208" bestFit="1" customWidth="1"/>
    <col min="532" max="532" width="9" style="208" customWidth="1"/>
    <col min="533" max="533" width="9" style="208"/>
    <col min="534" max="534" width="9" style="208" customWidth="1"/>
    <col min="535" max="540" width="9" style="208"/>
    <col min="541" max="541" width="26.5" style="208" customWidth="1"/>
    <col min="542" max="544" width="9" style="208"/>
    <col min="545" max="545" width="14.75" style="208" bestFit="1" customWidth="1"/>
    <col min="546" max="768" width="9" style="208"/>
    <col min="769" max="771" width="9" style="208" customWidth="1"/>
    <col min="772" max="772" width="10.5" style="208" customWidth="1"/>
    <col min="773" max="773" width="11.25" style="208" bestFit="1" customWidth="1"/>
    <col min="774" max="775" width="9" style="208"/>
    <col min="776" max="785" width="9" style="208" customWidth="1"/>
    <col min="786" max="786" width="9" style="208"/>
    <col min="787" max="787" width="9.5" style="208" bestFit="1" customWidth="1"/>
    <col min="788" max="788" width="9" style="208" customWidth="1"/>
    <col min="789" max="789" width="9" style="208"/>
    <col min="790" max="790" width="9" style="208" customWidth="1"/>
    <col min="791" max="796" width="9" style="208"/>
    <col min="797" max="797" width="26.5" style="208" customWidth="1"/>
    <col min="798" max="800" width="9" style="208"/>
    <col min="801" max="801" width="14.75" style="208" bestFit="1" customWidth="1"/>
    <col min="802" max="1024" width="9" style="208"/>
    <col min="1025" max="1027" width="9" style="208" customWidth="1"/>
    <col min="1028" max="1028" width="10.5" style="208" customWidth="1"/>
    <col min="1029" max="1029" width="11.25" style="208" bestFit="1" customWidth="1"/>
    <col min="1030" max="1031" width="9" style="208"/>
    <col min="1032" max="1041" width="9" style="208" customWidth="1"/>
    <col min="1042" max="1042" width="9" style="208"/>
    <col min="1043" max="1043" width="9.5" style="208" bestFit="1" customWidth="1"/>
    <col min="1044" max="1044" width="9" style="208" customWidth="1"/>
    <col min="1045" max="1045" width="9" style="208"/>
    <col min="1046" max="1046" width="9" style="208" customWidth="1"/>
    <col min="1047" max="1052" width="9" style="208"/>
    <col min="1053" max="1053" width="26.5" style="208" customWidth="1"/>
    <col min="1054" max="1056" width="9" style="208"/>
    <col min="1057" max="1057" width="14.75" style="208" bestFit="1" customWidth="1"/>
    <col min="1058" max="1280" width="9" style="208"/>
    <col min="1281" max="1283" width="9" style="208" customWidth="1"/>
    <col min="1284" max="1284" width="10.5" style="208" customWidth="1"/>
    <col min="1285" max="1285" width="11.25" style="208" bestFit="1" customWidth="1"/>
    <col min="1286" max="1287" width="9" style="208"/>
    <col min="1288" max="1297" width="9" style="208" customWidth="1"/>
    <col min="1298" max="1298" width="9" style="208"/>
    <col min="1299" max="1299" width="9.5" style="208" bestFit="1" customWidth="1"/>
    <col min="1300" max="1300" width="9" style="208" customWidth="1"/>
    <col min="1301" max="1301" width="9" style="208"/>
    <col min="1302" max="1302" width="9" style="208" customWidth="1"/>
    <col min="1303" max="1308" width="9" style="208"/>
    <col min="1309" max="1309" width="26.5" style="208" customWidth="1"/>
    <col min="1310" max="1312" width="9" style="208"/>
    <col min="1313" max="1313" width="14.75" style="208" bestFit="1" customWidth="1"/>
    <col min="1314" max="1536" width="9" style="208"/>
    <col min="1537" max="1539" width="9" style="208" customWidth="1"/>
    <col min="1540" max="1540" width="10.5" style="208" customWidth="1"/>
    <col min="1541" max="1541" width="11.25" style="208" bestFit="1" customWidth="1"/>
    <col min="1542" max="1543" width="9" style="208"/>
    <col min="1544" max="1553" width="9" style="208" customWidth="1"/>
    <col min="1554" max="1554" width="9" style="208"/>
    <col min="1555" max="1555" width="9.5" style="208" bestFit="1" customWidth="1"/>
    <col min="1556" max="1556" width="9" style="208" customWidth="1"/>
    <col min="1557" max="1557" width="9" style="208"/>
    <col min="1558" max="1558" width="9" style="208" customWidth="1"/>
    <col min="1559" max="1564" width="9" style="208"/>
    <col min="1565" max="1565" width="26.5" style="208" customWidth="1"/>
    <col min="1566" max="1568" width="9" style="208"/>
    <col min="1569" max="1569" width="14.75" style="208" bestFit="1" customWidth="1"/>
    <col min="1570" max="1792" width="9" style="208"/>
    <col min="1793" max="1795" width="9" style="208" customWidth="1"/>
    <col min="1796" max="1796" width="10.5" style="208" customWidth="1"/>
    <col min="1797" max="1797" width="11.25" style="208" bestFit="1" customWidth="1"/>
    <col min="1798" max="1799" width="9" style="208"/>
    <col min="1800" max="1809" width="9" style="208" customWidth="1"/>
    <col min="1810" max="1810" width="9" style="208"/>
    <col min="1811" max="1811" width="9.5" style="208" bestFit="1" customWidth="1"/>
    <col min="1812" max="1812" width="9" style="208" customWidth="1"/>
    <col min="1813" max="1813" width="9" style="208"/>
    <col min="1814" max="1814" width="9" style="208" customWidth="1"/>
    <col min="1815" max="1820" width="9" style="208"/>
    <col min="1821" max="1821" width="26.5" style="208" customWidth="1"/>
    <col min="1822" max="1824" width="9" style="208"/>
    <col min="1825" max="1825" width="14.75" style="208" bestFit="1" customWidth="1"/>
    <col min="1826" max="2048" width="9" style="208"/>
    <col min="2049" max="2051" width="9" style="208" customWidth="1"/>
    <col min="2052" max="2052" width="10.5" style="208" customWidth="1"/>
    <col min="2053" max="2053" width="11.25" style="208" bestFit="1" customWidth="1"/>
    <col min="2054" max="2055" width="9" style="208"/>
    <col min="2056" max="2065" width="9" style="208" customWidth="1"/>
    <col min="2066" max="2066" width="9" style="208"/>
    <col min="2067" max="2067" width="9.5" style="208" bestFit="1" customWidth="1"/>
    <col min="2068" max="2068" width="9" style="208" customWidth="1"/>
    <col min="2069" max="2069" width="9" style="208"/>
    <col min="2070" max="2070" width="9" style="208" customWidth="1"/>
    <col min="2071" max="2076" width="9" style="208"/>
    <col min="2077" max="2077" width="26.5" style="208" customWidth="1"/>
    <col min="2078" max="2080" width="9" style="208"/>
    <col min="2081" max="2081" width="14.75" style="208" bestFit="1" customWidth="1"/>
    <col min="2082" max="2304" width="9" style="208"/>
    <col min="2305" max="2307" width="9" style="208" customWidth="1"/>
    <col min="2308" max="2308" width="10.5" style="208" customWidth="1"/>
    <col min="2309" max="2309" width="11.25" style="208" bestFit="1" customWidth="1"/>
    <col min="2310" max="2311" width="9" style="208"/>
    <col min="2312" max="2321" width="9" style="208" customWidth="1"/>
    <col min="2322" max="2322" width="9" style="208"/>
    <col min="2323" max="2323" width="9.5" style="208" bestFit="1" customWidth="1"/>
    <col min="2324" max="2324" width="9" style="208" customWidth="1"/>
    <col min="2325" max="2325" width="9" style="208"/>
    <col min="2326" max="2326" width="9" style="208" customWidth="1"/>
    <col min="2327" max="2332" width="9" style="208"/>
    <col min="2333" max="2333" width="26.5" style="208" customWidth="1"/>
    <col min="2334" max="2336" width="9" style="208"/>
    <col min="2337" max="2337" width="14.75" style="208" bestFit="1" customWidth="1"/>
    <col min="2338" max="2560" width="9" style="208"/>
    <col min="2561" max="2563" width="9" style="208" customWidth="1"/>
    <col min="2564" max="2564" width="10.5" style="208" customWidth="1"/>
    <col min="2565" max="2565" width="11.25" style="208" bestFit="1" customWidth="1"/>
    <col min="2566" max="2567" width="9" style="208"/>
    <col min="2568" max="2577" width="9" style="208" customWidth="1"/>
    <col min="2578" max="2578" width="9" style="208"/>
    <col min="2579" max="2579" width="9.5" style="208" bestFit="1" customWidth="1"/>
    <col min="2580" max="2580" width="9" style="208" customWidth="1"/>
    <col min="2581" max="2581" width="9" style="208"/>
    <col min="2582" max="2582" width="9" style="208" customWidth="1"/>
    <col min="2583" max="2588" width="9" style="208"/>
    <col min="2589" max="2589" width="26.5" style="208" customWidth="1"/>
    <col min="2590" max="2592" width="9" style="208"/>
    <col min="2593" max="2593" width="14.75" style="208" bestFit="1" customWidth="1"/>
    <col min="2594" max="2816" width="9" style="208"/>
    <col min="2817" max="2819" width="9" style="208" customWidth="1"/>
    <col min="2820" max="2820" width="10.5" style="208" customWidth="1"/>
    <col min="2821" max="2821" width="11.25" style="208" bestFit="1" customWidth="1"/>
    <col min="2822" max="2823" width="9" style="208"/>
    <col min="2824" max="2833" width="9" style="208" customWidth="1"/>
    <col min="2834" max="2834" width="9" style="208"/>
    <col min="2835" max="2835" width="9.5" style="208" bestFit="1" customWidth="1"/>
    <col min="2836" max="2836" width="9" style="208" customWidth="1"/>
    <col min="2837" max="2837" width="9" style="208"/>
    <col min="2838" max="2838" width="9" style="208" customWidth="1"/>
    <col min="2839" max="2844" width="9" style="208"/>
    <col min="2845" max="2845" width="26.5" style="208" customWidth="1"/>
    <col min="2846" max="2848" width="9" style="208"/>
    <col min="2849" max="2849" width="14.75" style="208" bestFit="1" customWidth="1"/>
    <col min="2850" max="3072" width="9" style="208"/>
    <col min="3073" max="3075" width="9" style="208" customWidth="1"/>
    <col min="3076" max="3076" width="10.5" style="208" customWidth="1"/>
    <col min="3077" max="3077" width="11.25" style="208" bestFit="1" customWidth="1"/>
    <col min="3078" max="3079" width="9" style="208"/>
    <col min="3080" max="3089" width="9" style="208" customWidth="1"/>
    <col min="3090" max="3090" width="9" style="208"/>
    <col min="3091" max="3091" width="9.5" style="208" bestFit="1" customWidth="1"/>
    <col min="3092" max="3092" width="9" style="208" customWidth="1"/>
    <col min="3093" max="3093" width="9" style="208"/>
    <col min="3094" max="3094" width="9" style="208" customWidth="1"/>
    <col min="3095" max="3100" width="9" style="208"/>
    <col min="3101" max="3101" width="26.5" style="208" customWidth="1"/>
    <col min="3102" max="3104" width="9" style="208"/>
    <col min="3105" max="3105" width="14.75" style="208" bestFit="1" customWidth="1"/>
    <col min="3106" max="3328" width="9" style="208"/>
    <col min="3329" max="3331" width="9" style="208" customWidth="1"/>
    <col min="3332" max="3332" width="10.5" style="208" customWidth="1"/>
    <col min="3333" max="3333" width="11.25" style="208" bestFit="1" customWidth="1"/>
    <col min="3334" max="3335" width="9" style="208"/>
    <col min="3336" max="3345" width="9" style="208" customWidth="1"/>
    <col min="3346" max="3346" width="9" style="208"/>
    <col min="3347" max="3347" width="9.5" style="208" bestFit="1" customWidth="1"/>
    <col min="3348" max="3348" width="9" style="208" customWidth="1"/>
    <col min="3349" max="3349" width="9" style="208"/>
    <col min="3350" max="3350" width="9" style="208" customWidth="1"/>
    <col min="3351" max="3356" width="9" style="208"/>
    <col min="3357" max="3357" width="26.5" style="208" customWidth="1"/>
    <col min="3358" max="3360" width="9" style="208"/>
    <col min="3361" max="3361" width="14.75" style="208" bestFit="1" customWidth="1"/>
    <col min="3362" max="3584" width="9" style="208"/>
    <col min="3585" max="3587" width="9" style="208" customWidth="1"/>
    <col min="3588" max="3588" width="10.5" style="208" customWidth="1"/>
    <col min="3589" max="3589" width="11.25" style="208" bestFit="1" customWidth="1"/>
    <col min="3590" max="3591" width="9" style="208"/>
    <col min="3592" max="3601" width="9" style="208" customWidth="1"/>
    <col min="3602" max="3602" width="9" style="208"/>
    <col min="3603" max="3603" width="9.5" style="208" bestFit="1" customWidth="1"/>
    <col min="3604" max="3604" width="9" style="208" customWidth="1"/>
    <col min="3605" max="3605" width="9" style="208"/>
    <col min="3606" max="3606" width="9" style="208" customWidth="1"/>
    <col min="3607" max="3612" width="9" style="208"/>
    <col min="3613" max="3613" width="26.5" style="208" customWidth="1"/>
    <col min="3614" max="3616" width="9" style="208"/>
    <col min="3617" max="3617" width="14.75" style="208" bestFit="1" customWidth="1"/>
    <col min="3618" max="3840" width="9" style="208"/>
    <col min="3841" max="3843" width="9" style="208" customWidth="1"/>
    <col min="3844" max="3844" width="10.5" style="208" customWidth="1"/>
    <col min="3845" max="3845" width="11.25" style="208" bestFit="1" customWidth="1"/>
    <col min="3846" max="3847" width="9" style="208"/>
    <col min="3848" max="3857" width="9" style="208" customWidth="1"/>
    <col min="3858" max="3858" width="9" style="208"/>
    <col min="3859" max="3859" width="9.5" style="208" bestFit="1" customWidth="1"/>
    <col min="3860" max="3860" width="9" style="208" customWidth="1"/>
    <col min="3861" max="3861" width="9" style="208"/>
    <col min="3862" max="3862" width="9" style="208" customWidth="1"/>
    <col min="3863" max="3868" width="9" style="208"/>
    <col min="3869" max="3869" width="26.5" style="208" customWidth="1"/>
    <col min="3870" max="3872" width="9" style="208"/>
    <col min="3873" max="3873" width="14.75" style="208" bestFit="1" customWidth="1"/>
    <col min="3874" max="4096" width="9" style="208"/>
    <col min="4097" max="4099" width="9" style="208" customWidth="1"/>
    <col min="4100" max="4100" width="10.5" style="208" customWidth="1"/>
    <col min="4101" max="4101" width="11.25" style="208" bestFit="1" customWidth="1"/>
    <col min="4102" max="4103" width="9" style="208"/>
    <col min="4104" max="4113" width="9" style="208" customWidth="1"/>
    <col min="4114" max="4114" width="9" style="208"/>
    <col min="4115" max="4115" width="9.5" style="208" bestFit="1" customWidth="1"/>
    <col min="4116" max="4116" width="9" style="208" customWidth="1"/>
    <col min="4117" max="4117" width="9" style="208"/>
    <col min="4118" max="4118" width="9" style="208" customWidth="1"/>
    <col min="4119" max="4124" width="9" style="208"/>
    <col min="4125" max="4125" width="26.5" style="208" customWidth="1"/>
    <col min="4126" max="4128" width="9" style="208"/>
    <col min="4129" max="4129" width="14.75" style="208" bestFit="1" customWidth="1"/>
    <col min="4130" max="4352" width="9" style="208"/>
    <col min="4353" max="4355" width="9" style="208" customWidth="1"/>
    <col min="4356" max="4356" width="10.5" style="208" customWidth="1"/>
    <col min="4357" max="4357" width="11.25" style="208" bestFit="1" customWidth="1"/>
    <col min="4358" max="4359" width="9" style="208"/>
    <col min="4360" max="4369" width="9" style="208" customWidth="1"/>
    <col min="4370" max="4370" width="9" style="208"/>
    <col min="4371" max="4371" width="9.5" style="208" bestFit="1" customWidth="1"/>
    <col min="4372" max="4372" width="9" style="208" customWidth="1"/>
    <col min="4373" max="4373" width="9" style="208"/>
    <col min="4374" max="4374" width="9" style="208" customWidth="1"/>
    <col min="4375" max="4380" width="9" style="208"/>
    <col min="4381" max="4381" width="26.5" style="208" customWidth="1"/>
    <col min="4382" max="4384" width="9" style="208"/>
    <col min="4385" max="4385" width="14.75" style="208" bestFit="1" customWidth="1"/>
    <col min="4386" max="4608" width="9" style="208"/>
    <col min="4609" max="4611" width="9" style="208" customWidth="1"/>
    <col min="4612" max="4612" width="10.5" style="208" customWidth="1"/>
    <col min="4613" max="4613" width="11.25" style="208" bestFit="1" customWidth="1"/>
    <col min="4614" max="4615" width="9" style="208"/>
    <col min="4616" max="4625" width="9" style="208" customWidth="1"/>
    <col min="4626" max="4626" width="9" style="208"/>
    <col min="4627" max="4627" width="9.5" style="208" bestFit="1" customWidth="1"/>
    <col min="4628" max="4628" width="9" style="208" customWidth="1"/>
    <col min="4629" max="4629" width="9" style="208"/>
    <col min="4630" max="4630" width="9" style="208" customWidth="1"/>
    <col min="4631" max="4636" width="9" style="208"/>
    <col min="4637" max="4637" width="26.5" style="208" customWidth="1"/>
    <col min="4638" max="4640" width="9" style="208"/>
    <col min="4641" max="4641" width="14.75" style="208" bestFit="1" customWidth="1"/>
    <col min="4642" max="4864" width="9" style="208"/>
    <col min="4865" max="4867" width="9" style="208" customWidth="1"/>
    <col min="4868" max="4868" width="10.5" style="208" customWidth="1"/>
    <col min="4869" max="4869" width="11.25" style="208" bestFit="1" customWidth="1"/>
    <col min="4870" max="4871" width="9" style="208"/>
    <col min="4872" max="4881" width="9" style="208" customWidth="1"/>
    <col min="4882" max="4882" width="9" style="208"/>
    <col min="4883" max="4883" width="9.5" style="208" bestFit="1" customWidth="1"/>
    <col min="4884" max="4884" width="9" style="208" customWidth="1"/>
    <col min="4885" max="4885" width="9" style="208"/>
    <col min="4886" max="4886" width="9" style="208" customWidth="1"/>
    <col min="4887" max="4892" width="9" style="208"/>
    <col min="4893" max="4893" width="26.5" style="208" customWidth="1"/>
    <col min="4894" max="4896" width="9" style="208"/>
    <col min="4897" max="4897" width="14.75" style="208" bestFit="1" customWidth="1"/>
    <col min="4898" max="5120" width="9" style="208"/>
    <col min="5121" max="5123" width="9" style="208" customWidth="1"/>
    <col min="5124" max="5124" width="10.5" style="208" customWidth="1"/>
    <col min="5125" max="5125" width="11.25" style="208" bestFit="1" customWidth="1"/>
    <col min="5126" max="5127" width="9" style="208"/>
    <col min="5128" max="5137" width="9" style="208" customWidth="1"/>
    <col min="5138" max="5138" width="9" style="208"/>
    <col min="5139" max="5139" width="9.5" style="208" bestFit="1" customWidth="1"/>
    <col min="5140" max="5140" width="9" style="208" customWidth="1"/>
    <col min="5141" max="5141" width="9" style="208"/>
    <col min="5142" max="5142" width="9" style="208" customWidth="1"/>
    <col min="5143" max="5148" width="9" style="208"/>
    <col min="5149" max="5149" width="26.5" style="208" customWidth="1"/>
    <col min="5150" max="5152" width="9" style="208"/>
    <col min="5153" max="5153" width="14.75" style="208" bestFit="1" customWidth="1"/>
    <col min="5154" max="5376" width="9" style="208"/>
    <col min="5377" max="5379" width="9" style="208" customWidth="1"/>
    <col min="5380" max="5380" width="10.5" style="208" customWidth="1"/>
    <col min="5381" max="5381" width="11.25" style="208" bestFit="1" customWidth="1"/>
    <col min="5382" max="5383" width="9" style="208"/>
    <col min="5384" max="5393" width="9" style="208" customWidth="1"/>
    <col min="5394" max="5394" width="9" style="208"/>
    <col min="5395" max="5395" width="9.5" style="208" bestFit="1" customWidth="1"/>
    <col min="5396" max="5396" width="9" style="208" customWidth="1"/>
    <col min="5397" max="5397" width="9" style="208"/>
    <col min="5398" max="5398" width="9" style="208" customWidth="1"/>
    <col min="5399" max="5404" width="9" style="208"/>
    <col min="5405" max="5405" width="26.5" style="208" customWidth="1"/>
    <col min="5406" max="5408" width="9" style="208"/>
    <col min="5409" max="5409" width="14.75" style="208" bestFit="1" customWidth="1"/>
    <col min="5410" max="5632" width="9" style="208"/>
    <col min="5633" max="5635" width="9" style="208" customWidth="1"/>
    <col min="5636" max="5636" width="10.5" style="208" customWidth="1"/>
    <col min="5637" max="5637" width="11.25" style="208" bestFit="1" customWidth="1"/>
    <col min="5638" max="5639" width="9" style="208"/>
    <col min="5640" max="5649" width="9" style="208" customWidth="1"/>
    <col min="5650" max="5650" width="9" style="208"/>
    <col min="5651" max="5651" width="9.5" style="208" bestFit="1" customWidth="1"/>
    <col min="5652" max="5652" width="9" style="208" customWidth="1"/>
    <col min="5653" max="5653" width="9" style="208"/>
    <col min="5654" max="5654" width="9" style="208" customWidth="1"/>
    <col min="5655" max="5660" width="9" style="208"/>
    <col min="5661" max="5661" width="26.5" style="208" customWidth="1"/>
    <col min="5662" max="5664" width="9" style="208"/>
    <col min="5665" max="5665" width="14.75" style="208" bestFit="1" customWidth="1"/>
    <col min="5666" max="5888" width="9" style="208"/>
    <col min="5889" max="5891" width="9" style="208" customWidth="1"/>
    <col min="5892" max="5892" width="10.5" style="208" customWidth="1"/>
    <col min="5893" max="5893" width="11.25" style="208" bestFit="1" customWidth="1"/>
    <col min="5894" max="5895" width="9" style="208"/>
    <col min="5896" max="5905" width="9" style="208" customWidth="1"/>
    <col min="5906" max="5906" width="9" style="208"/>
    <col min="5907" max="5907" width="9.5" style="208" bestFit="1" customWidth="1"/>
    <col min="5908" max="5908" width="9" style="208" customWidth="1"/>
    <col min="5909" max="5909" width="9" style="208"/>
    <col min="5910" max="5910" width="9" style="208" customWidth="1"/>
    <col min="5911" max="5916" width="9" style="208"/>
    <col min="5917" max="5917" width="26.5" style="208" customWidth="1"/>
    <col min="5918" max="5920" width="9" style="208"/>
    <col min="5921" max="5921" width="14.75" style="208" bestFit="1" customWidth="1"/>
    <col min="5922" max="6144" width="9" style="208"/>
    <col min="6145" max="6147" width="9" style="208" customWidth="1"/>
    <col min="6148" max="6148" width="10.5" style="208" customWidth="1"/>
    <col min="6149" max="6149" width="11.25" style="208" bestFit="1" customWidth="1"/>
    <col min="6150" max="6151" width="9" style="208"/>
    <col min="6152" max="6161" width="9" style="208" customWidth="1"/>
    <col min="6162" max="6162" width="9" style="208"/>
    <col min="6163" max="6163" width="9.5" style="208" bestFit="1" customWidth="1"/>
    <col min="6164" max="6164" width="9" style="208" customWidth="1"/>
    <col min="6165" max="6165" width="9" style="208"/>
    <col min="6166" max="6166" width="9" style="208" customWidth="1"/>
    <col min="6167" max="6172" width="9" style="208"/>
    <col min="6173" max="6173" width="26.5" style="208" customWidth="1"/>
    <col min="6174" max="6176" width="9" style="208"/>
    <col min="6177" max="6177" width="14.75" style="208" bestFit="1" customWidth="1"/>
    <col min="6178" max="6400" width="9" style="208"/>
    <col min="6401" max="6403" width="9" style="208" customWidth="1"/>
    <col min="6404" max="6404" width="10.5" style="208" customWidth="1"/>
    <col min="6405" max="6405" width="11.25" style="208" bestFit="1" customWidth="1"/>
    <col min="6406" max="6407" width="9" style="208"/>
    <col min="6408" max="6417" width="9" style="208" customWidth="1"/>
    <col min="6418" max="6418" width="9" style="208"/>
    <col min="6419" max="6419" width="9.5" style="208" bestFit="1" customWidth="1"/>
    <col min="6420" max="6420" width="9" style="208" customWidth="1"/>
    <col min="6421" max="6421" width="9" style="208"/>
    <col min="6422" max="6422" width="9" style="208" customWidth="1"/>
    <col min="6423" max="6428" width="9" style="208"/>
    <col min="6429" max="6429" width="26.5" style="208" customWidth="1"/>
    <col min="6430" max="6432" width="9" style="208"/>
    <col min="6433" max="6433" width="14.75" style="208" bestFit="1" customWidth="1"/>
    <col min="6434" max="6656" width="9" style="208"/>
    <col min="6657" max="6659" width="9" style="208" customWidth="1"/>
    <col min="6660" max="6660" width="10.5" style="208" customWidth="1"/>
    <col min="6661" max="6661" width="11.25" style="208" bestFit="1" customWidth="1"/>
    <col min="6662" max="6663" width="9" style="208"/>
    <col min="6664" max="6673" width="9" style="208" customWidth="1"/>
    <col min="6674" max="6674" width="9" style="208"/>
    <col min="6675" max="6675" width="9.5" style="208" bestFit="1" customWidth="1"/>
    <col min="6676" max="6676" width="9" style="208" customWidth="1"/>
    <col min="6677" max="6677" width="9" style="208"/>
    <col min="6678" max="6678" width="9" style="208" customWidth="1"/>
    <col min="6679" max="6684" width="9" style="208"/>
    <col min="6685" max="6685" width="26.5" style="208" customWidth="1"/>
    <col min="6686" max="6688" width="9" style="208"/>
    <col min="6689" max="6689" width="14.75" style="208" bestFit="1" customWidth="1"/>
    <col min="6690" max="6912" width="9" style="208"/>
    <col min="6913" max="6915" width="9" style="208" customWidth="1"/>
    <col min="6916" max="6916" width="10.5" style="208" customWidth="1"/>
    <col min="6917" max="6917" width="11.25" style="208" bestFit="1" customWidth="1"/>
    <col min="6918" max="6919" width="9" style="208"/>
    <col min="6920" max="6929" width="9" style="208" customWidth="1"/>
    <col min="6930" max="6930" width="9" style="208"/>
    <col min="6931" max="6931" width="9.5" style="208" bestFit="1" customWidth="1"/>
    <col min="6932" max="6932" width="9" style="208" customWidth="1"/>
    <col min="6933" max="6933" width="9" style="208"/>
    <col min="6934" max="6934" width="9" style="208" customWidth="1"/>
    <col min="6935" max="6940" width="9" style="208"/>
    <col min="6941" max="6941" width="26.5" style="208" customWidth="1"/>
    <col min="6942" max="6944" width="9" style="208"/>
    <col min="6945" max="6945" width="14.75" style="208" bestFit="1" customWidth="1"/>
    <col min="6946" max="7168" width="9" style="208"/>
    <col min="7169" max="7171" width="9" style="208" customWidth="1"/>
    <col min="7172" max="7172" width="10.5" style="208" customWidth="1"/>
    <col min="7173" max="7173" width="11.25" style="208" bestFit="1" customWidth="1"/>
    <col min="7174" max="7175" width="9" style="208"/>
    <col min="7176" max="7185" width="9" style="208" customWidth="1"/>
    <col min="7186" max="7186" width="9" style="208"/>
    <col min="7187" max="7187" width="9.5" style="208" bestFit="1" customWidth="1"/>
    <col min="7188" max="7188" width="9" style="208" customWidth="1"/>
    <col min="7189" max="7189" width="9" style="208"/>
    <col min="7190" max="7190" width="9" style="208" customWidth="1"/>
    <col min="7191" max="7196" width="9" style="208"/>
    <col min="7197" max="7197" width="26.5" style="208" customWidth="1"/>
    <col min="7198" max="7200" width="9" style="208"/>
    <col min="7201" max="7201" width="14.75" style="208" bestFit="1" customWidth="1"/>
    <col min="7202" max="7424" width="9" style="208"/>
    <col min="7425" max="7427" width="9" style="208" customWidth="1"/>
    <col min="7428" max="7428" width="10.5" style="208" customWidth="1"/>
    <col min="7429" max="7429" width="11.25" style="208" bestFit="1" customWidth="1"/>
    <col min="7430" max="7431" width="9" style="208"/>
    <col min="7432" max="7441" width="9" style="208" customWidth="1"/>
    <col min="7442" max="7442" width="9" style="208"/>
    <col min="7443" max="7443" width="9.5" style="208" bestFit="1" customWidth="1"/>
    <col min="7444" max="7444" width="9" style="208" customWidth="1"/>
    <col min="7445" max="7445" width="9" style="208"/>
    <col min="7446" max="7446" width="9" style="208" customWidth="1"/>
    <col min="7447" max="7452" width="9" style="208"/>
    <col min="7453" max="7453" width="26.5" style="208" customWidth="1"/>
    <col min="7454" max="7456" width="9" style="208"/>
    <col min="7457" max="7457" width="14.75" style="208" bestFit="1" customWidth="1"/>
    <col min="7458" max="7680" width="9" style="208"/>
    <col min="7681" max="7683" width="9" style="208" customWidth="1"/>
    <col min="7684" max="7684" width="10.5" style="208" customWidth="1"/>
    <col min="7685" max="7685" width="11.25" style="208" bestFit="1" customWidth="1"/>
    <col min="7686" max="7687" width="9" style="208"/>
    <col min="7688" max="7697" width="9" style="208" customWidth="1"/>
    <col min="7698" max="7698" width="9" style="208"/>
    <col min="7699" max="7699" width="9.5" style="208" bestFit="1" customWidth="1"/>
    <col min="7700" max="7700" width="9" style="208" customWidth="1"/>
    <col min="7701" max="7701" width="9" style="208"/>
    <col min="7702" max="7702" width="9" style="208" customWidth="1"/>
    <col min="7703" max="7708" width="9" style="208"/>
    <col min="7709" max="7709" width="26.5" style="208" customWidth="1"/>
    <col min="7710" max="7712" width="9" style="208"/>
    <col min="7713" max="7713" width="14.75" style="208" bestFit="1" customWidth="1"/>
    <col min="7714" max="7936" width="9" style="208"/>
    <col min="7937" max="7939" width="9" style="208" customWidth="1"/>
    <col min="7940" max="7940" width="10.5" style="208" customWidth="1"/>
    <col min="7941" max="7941" width="11.25" style="208" bestFit="1" customWidth="1"/>
    <col min="7942" max="7943" width="9" style="208"/>
    <col min="7944" max="7953" width="9" style="208" customWidth="1"/>
    <col min="7954" max="7954" width="9" style="208"/>
    <col min="7955" max="7955" width="9.5" style="208" bestFit="1" customWidth="1"/>
    <col min="7956" max="7956" width="9" style="208" customWidth="1"/>
    <col min="7957" max="7957" width="9" style="208"/>
    <col min="7958" max="7958" width="9" style="208" customWidth="1"/>
    <col min="7959" max="7964" width="9" style="208"/>
    <col min="7965" max="7965" width="26.5" style="208" customWidth="1"/>
    <col min="7966" max="7968" width="9" style="208"/>
    <col min="7969" max="7969" width="14.75" style="208" bestFit="1" customWidth="1"/>
    <col min="7970" max="8192" width="9" style="208"/>
    <col min="8193" max="8195" width="9" style="208" customWidth="1"/>
    <col min="8196" max="8196" width="10.5" style="208" customWidth="1"/>
    <col min="8197" max="8197" width="11.25" style="208" bestFit="1" customWidth="1"/>
    <col min="8198" max="8199" width="9" style="208"/>
    <col min="8200" max="8209" width="9" style="208" customWidth="1"/>
    <col min="8210" max="8210" width="9" style="208"/>
    <col min="8211" max="8211" width="9.5" style="208" bestFit="1" customWidth="1"/>
    <col min="8212" max="8212" width="9" style="208" customWidth="1"/>
    <col min="8213" max="8213" width="9" style="208"/>
    <col min="8214" max="8214" width="9" style="208" customWidth="1"/>
    <col min="8215" max="8220" width="9" style="208"/>
    <col min="8221" max="8221" width="26.5" style="208" customWidth="1"/>
    <col min="8222" max="8224" width="9" style="208"/>
    <col min="8225" max="8225" width="14.75" style="208" bestFit="1" customWidth="1"/>
    <col min="8226" max="8448" width="9" style="208"/>
    <col min="8449" max="8451" width="9" style="208" customWidth="1"/>
    <col min="8452" max="8452" width="10.5" style="208" customWidth="1"/>
    <col min="8453" max="8453" width="11.25" style="208" bestFit="1" customWidth="1"/>
    <col min="8454" max="8455" width="9" style="208"/>
    <col min="8456" max="8465" width="9" style="208" customWidth="1"/>
    <col min="8466" max="8466" width="9" style="208"/>
    <col min="8467" max="8467" width="9.5" style="208" bestFit="1" customWidth="1"/>
    <col min="8468" max="8468" width="9" style="208" customWidth="1"/>
    <col min="8469" max="8469" width="9" style="208"/>
    <col min="8470" max="8470" width="9" style="208" customWidth="1"/>
    <col min="8471" max="8476" width="9" style="208"/>
    <col min="8477" max="8477" width="26.5" style="208" customWidth="1"/>
    <col min="8478" max="8480" width="9" style="208"/>
    <col min="8481" max="8481" width="14.75" style="208" bestFit="1" customWidth="1"/>
    <col min="8482" max="8704" width="9" style="208"/>
    <col min="8705" max="8707" width="9" style="208" customWidth="1"/>
    <col min="8708" max="8708" width="10.5" style="208" customWidth="1"/>
    <col min="8709" max="8709" width="11.25" style="208" bestFit="1" customWidth="1"/>
    <col min="8710" max="8711" width="9" style="208"/>
    <col min="8712" max="8721" width="9" style="208" customWidth="1"/>
    <col min="8722" max="8722" width="9" style="208"/>
    <col min="8723" max="8723" width="9.5" style="208" bestFit="1" customWidth="1"/>
    <col min="8724" max="8724" width="9" style="208" customWidth="1"/>
    <col min="8725" max="8725" width="9" style="208"/>
    <col min="8726" max="8726" width="9" style="208" customWidth="1"/>
    <col min="8727" max="8732" width="9" style="208"/>
    <col min="8733" max="8733" width="26.5" style="208" customWidth="1"/>
    <col min="8734" max="8736" width="9" style="208"/>
    <col min="8737" max="8737" width="14.75" style="208" bestFit="1" customWidth="1"/>
    <col min="8738" max="8960" width="9" style="208"/>
    <col min="8961" max="8963" width="9" style="208" customWidth="1"/>
    <col min="8964" max="8964" width="10.5" style="208" customWidth="1"/>
    <col min="8965" max="8965" width="11.25" style="208" bestFit="1" customWidth="1"/>
    <col min="8966" max="8967" width="9" style="208"/>
    <col min="8968" max="8977" width="9" style="208" customWidth="1"/>
    <col min="8978" max="8978" width="9" style="208"/>
    <col min="8979" max="8979" width="9.5" style="208" bestFit="1" customWidth="1"/>
    <col min="8980" max="8980" width="9" style="208" customWidth="1"/>
    <col min="8981" max="8981" width="9" style="208"/>
    <col min="8982" max="8982" width="9" style="208" customWidth="1"/>
    <col min="8983" max="8988" width="9" style="208"/>
    <col min="8989" max="8989" width="26.5" style="208" customWidth="1"/>
    <col min="8990" max="8992" width="9" style="208"/>
    <col min="8993" max="8993" width="14.75" style="208" bestFit="1" customWidth="1"/>
    <col min="8994" max="9216" width="9" style="208"/>
    <col min="9217" max="9219" width="9" style="208" customWidth="1"/>
    <col min="9220" max="9220" width="10.5" style="208" customWidth="1"/>
    <col min="9221" max="9221" width="11.25" style="208" bestFit="1" customWidth="1"/>
    <col min="9222" max="9223" width="9" style="208"/>
    <col min="9224" max="9233" width="9" style="208" customWidth="1"/>
    <col min="9234" max="9234" width="9" style="208"/>
    <col min="9235" max="9235" width="9.5" style="208" bestFit="1" customWidth="1"/>
    <col min="9236" max="9236" width="9" style="208" customWidth="1"/>
    <col min="9237" max="9237" width="9" style="208"/>
    <col min="9238" max="9238" width="9" style="208" customWidth="1"/>
    <col min="9239" max="9244" width="9" style="208"/>
    <col min="9245" max="9245" width="26.5" style="208" customWidth="1"/>
    <col min="9246" max="9248" width="9" style="208"/>
    <col min="9249" max="9249" width="14.75" style="208" bestFit="1" customWidth="1"/>
    <col min="9250" max="9472" width="9" style="208"/>
    <col min="9473" max="9475" width="9" style="208" customWidth="1"/>
    <col min="9476" max="9476" width="10.5" style="208" customWidth="1"/>
    <col min="9477" max="9477" width="11.25" style="208" bestFit="1" customWidth="1"/>
    <col min="9478" max="9479" width="9" style="208"/>
    <col min="9480" max="9489" width="9" style="208" customWidth="1"/>
    <col min="9490" max="9490" width="9" style="208"/>
    <col min="9491" max="9491" width="9.5" style="208" bestFit="1" customWidth="1"/>
    <col min="9492" max="9492" width="9" style="208" customWidth="1"/>
    <col min="9493" max="9493" width="9" style="208"/>
    <col min="9494" max="9494" width="9" style="208" customWidth="1"/>
    <col min="9495" max="9500" width="9" style="208"/>
    <col min="9501" max="9501" width="26.5" style="208" customWidth="1"/>
    <col min="9502" max="9504" width="9" style="208"/>
    <col min="9505" max="9505" width="14.75" style="208" bestFit="1" customWidth="1"/>
    <col min="9506" max="9728" width="9" style="208"/>
    <col min="9729" max="9731" width="9" style="208" customWidth="1"/>
    <col min="9732" max="9732" width="10.5" style="208" customWidth="1"/>
    <col min="9733" max="9733" width="11.25" style="208" bestFit="1" customWidth="1"/>
    <col min="9734" max="9735" width="9" style="208"/>
    <col min="9736" max="9745" width="9" style="208" customWidth="1"/>
    <col min="9746" max="9746" width="9" style="208"/>
    <col min="9747" max="9747" width="9.5" style="208" bestFit="1" customWidth="1"/>
    <col min="9748" max="9748" width="9" style="208" customWidth="1"/>
    <col min="9749" max="9749" width="9" style="208"/>
    <col min="9750" max="9750" width="9" style="208" customWidth="1"/>
    <col min="9751" max="9756" width="9" style="208"/>
    <col min="9757" max="9757" width="26.5" style="208" customWidth="1"/>
    <col min="9758" max="9760" width="9" style="208"/>
    <col min="9761" max="9761" width="14.75" style="208" bestFit="1" customWidth="1"/>
    <col min="9762" max="9984" width="9" style="208"/>
    <col min="9985" max="9987" width="9" style="208" customWidth="1"/>
    <col min="9988" max="9988" width="10.5" style="208" customWidth="1"/>
    <col min="9989" max="9989" width="11.25" style="208" bestFit="1" customWidth="1"/>
    <col min="9990" max="9991" width="9" style="208"/>
    <col min="9992" max="10001" width="9" style="208" customWidth="1"/>
    <col min="10002" max="10002" width="9" style="208"/>
    <col min="10003" max="10003" width="9.5" style="208" bestFit="1" customWidth="1"/>
    <col min="10004" max="10004" width="9" style="208" customWidth="1"/>
    <col min="10005" max="10005" width="9" style="208"/>
    <col min="10006" max="10006" width="9" style="208" customWidth="1"/>
    <col min="10007" max="10012" width="9" style="208"/>
    <col min="10013" max="10013" width="26.5" style="208" customWidth="1"/>
    <col min="10014" max="10016" width="9" style="208"/>
    <col min="10017" max="10017" width="14.75" style="208" bestFit="1" customWidth="1"/>
    <col min="10018" max="10240" width="9" style="208"/>
    <col min="10241" max="10243" width="9" style="208" customWidth="1"/>
    <col min="10244" max="10244" width="10.5" style="208" customWidth="1"/>
    <col min="10245" max="10245" width="11.25" style="208" bestFit="1" customWidth="1"/>
    <col min="10246" max="10247" width="9" style="208"/>
    <col min="10248" max="10257" width="9" style="208" customWidth="1"/>
    <col min="10258" max="10258" width="9" style="208"/>
    <col min="10259" max="10259" width="9.5" style="208" bestFit="1" customWidth="1"/>
    <col min="10260" max="10260" width="9" style="208" customWidth="1"/>
    <col min="10261" max="10261" width="9" style="208"/>
    <col min="10262" max="10262" width="9" style="208" customWidth="1"/>
    <col min="10263" max="10268" width="9" style="208"/>
    <col min="10269" max="10269" width="26.5" style="208" customWidth="1"/>
    <col min="10270" max="10272" width="9" style="208"/>
    <col min="10273" max="10273" width="14.75" style="208" bestFit="1" customWidth="1"/>
    <col min="10274" max="10496" width="9" style="208"/>
    <col min="10497" max="10499" width="9" style="208" customWidth="1"/>
    <col min="10500" max="10500" width="10.5" style="208" customWidth="1"/>
    <col min="10501" max="10501" width="11.25" style="208" bestFit="1" customWidth="1"/>
    <col min="10502" max="10503" width="9" style="208"/>
    <col min="10504" max="10513" width="9" style="208" customWidth="1"/>
    <col min="10514" max="10514" width="9" style="208"/>
    <col min="10515" max="10515" width="9.5" style="208" bestFit="1" customWidth="1"/>
    <col min="10516" max="10516" width="9" style="208" customWidth="1"/>
    <col min="10517" max="10517" width="9" style="208"/>
    <col min="10518" max="10518" width="9" style="208" customWidth="1"/>
    <col min="10519" max="10524" width="9" style="208"/>
    <col min="10525" max="10525" width="26.5" style="208" customWidth="1"/>
    <col min="10526" max="10528" width="9" style="208"/>
    <col min="10529" max="10529" width="14.75" style="208" bestFit="1" customWidth="1"/>
    <col min="10530" max="10752" width="9" style="208"/>
    <col min="10753" max="10755" width="9" style="208" customWidth="1"/>
    <col min="10756" max="10756" width="10.5" style="208" customWidth="1"/>
    <col min="10757" max="10757" width="11.25" style="208" bestFit="1" customWidth="1"/>
    <col min="10758" max="10759" width="9" style="208"/>
    <col min="10760" max="10769" width="9" style="208" customWidth="1"/>
    <col min="10770" max="10770" width="9" style="208"/>
    <col min="10771" max="10771" width="9.5" style="208" bestFit="1" customWidth="1"/>
    <col min="10772" max="10772" width="9" style="208" customWidth="1"/>
    <col min="10773" max="10773" width="9" style="208"/>
    <col min="10774" max="10774" width="9" style="208" customWidth="1"/>
    <col min="10775" max="10780" width="9" style="208"/>
    <col min="10781" max="10781" width="26.5" style="208" customWidth="1"/>
    <col min="10782" max="10784" width="9" style="208"/>
    <col min="10785" max="10785" width="14.75" style="208" bestFit="1" customWidth="1"/>
    <col min="10786" max="11008" width="9" style="208"/>
    <col min="11009" max="11011" width="9" style="208" customWidth="1"/>
    <col min="11012" max="11012" width="10.5" style="208" customWidth="1"/>
    <col min="11013" max="11013" width="11.25" style="208" bestFit="1" customWidth="1"/>
    <col min="11014" max="11015" width="9" style="208"/>
    <col min="11016" max="11025" width="9" style="208" customWidth="1"/>
    <col min="11026" max="11026" width="9" style="208"/>
    <col min="11027" max="11027" width="9.5" style="208" bestFit="1" customWidth="1"/>
    <col min="11028" max="11028" width="9" style="208" customWidth="1"/>
    <col min="11029" max="11029" width="9" style="208"/>
    <col min="11030" max="11030" width="9" style="208" customWidth="1"/>
    <col min="11031" max="11036" width="9" style="208"/>
    <col min="11037" max="11037" width="26.5" style="208" customWidth="1"/>
    <col min="11038" max="11040" width="9" style="208"/>
    <col min="11041" max="11041" width="14.75" style="208" bestFit="1" customWidth="1"/>
    <col min="11042" max="11264" width="9" style="208"/>
    <col min="11265" max="11267" width="9" style="208" customWidth="1"/>
    <col min="11268" max="11268" width="10.5" style="208" customWidth="1"/>
    <col min="11269" max="11269" width="11.25" style="208" bestFit="1" customWidth="1"/>
    <col min="11270" max="11271" width="9" style="208"/>
    <col min="11272" max="11281" width="9" style="208" customWidth="1"/>
    <col min="11282" max="11282" width="9" style="208"/>
    <col min="11283" max="11283" width="9.5" style="208" bestFit="1" customWidth="1"/>
    <col min="11284" max="11284" width="9" style="208" customWidth="1"/>
    <col min="11285" max="11285" width="9" style="208"/>
    <col min="11286" max="11286" width="9" style="208" customWidth="1"/>
    <col min="11287" max="11292" width="9" style="208"/>
    <col min="11293" max="11293" width="26.5" style="208" customWidth="1"/>
    <col min="11294" max="11296" width="9" style="208"/>
    <col min="11297" max="11297" width="14.75" style="208" bestFit="1" customWidth="1"/>
    <col min="11298" max="11520" width="9" style="208"/>
    <col min="11521" max="11523" width="9" style="208" customWidth="1"/>
    <col min="11524" max="11524" width="10.5" style="208" customWidth="1"/>
    <col min="11525" max="11525" width="11.25" style="208" bestFit="1" customWidth="1"/>
    <col min="11526" max="11527" width="9" style="208"/>
    <col min="11528" max="11537" width="9" style="208" customWidth="1"/>
    <col min="11538" max="11538" width="9" style="208"/>
    <col min="11539" max="11539" width="9.5" style="208" bestFit="1" customWidth="1"/>
    <col min="11540" max="11540" width="9" style="208" customWidth="1"/>
    <col min="11541" max="11541" width="9" style="208"/>
    <col min="11542" max="11542" width="9" style="208" customWidth="1"/>
    <col min="11543" max="11548" width="9" style="208"/>
    <col min="11549" max="11549" width="26.5" style="208" customWidth="1"/>
    <col min="11550" max="11552" width="9" style="208"/>
    <col min="11553" max="11553" width="14.75" style="208" bestFit="1" customWidth="1"/>
    <col min="11554" max="11776" width="9" style="208"/>
    <col min="11777" max="11779" width="9" style="208" customWidth="1"/>
    <col min="11780" max="11780" width="10.5" style="208" customWidth="1"/>
    <col min="11781" max="11781" width="11.25" style="208" bestFit="1" customWidth="1"/>
    <col min="11782" max="11783" width="9" style="208"/>
    <col min="11784" max="11793" width="9" style="208" customWidth="1"/>
    <col min="11794" max="11794" width="9" style="208"/>
    <col min="11795" max="11795" width="9.5" style="208" bestFit="1" customWidth="1"/>
    <col min="11796" max="11796" width="9" style="208" customWidth="1"/>
    <col min="11797" max="11797" width="9" style="208"/>
    <col min="11798" max="11798" width="9" style="208" customWidth="1"/>
    <col min="11799" max="11804" width="9" style="208"/>
    <col min="11805" max="11805" width="26.5" style="208" customWidth="1"/>
    <col min="11806" max="11808" width="9" style="208"/>
    <col min="11809" max="11809" width="14.75" style="208" bestFit="1" customWidth="1"/>
    <col min="11810" max="12032" width="9" style="208"/>
    <col min="12033" max="12035" width="9" style="208" customWidth="1"/>
    <col min="12036" max="12036" width="10.5" style="208" customWidth="1"/>
    <col min="12037" max="12037" width="11.25" style="208" bestFit="1" customWidth="1"/>
    <col min="12038" max="12039" width="9" style="208"/>
    <col min="12040" max="12049" width="9" style="208" customWidth="1"/>
    <col min="12050" max="12050" width="9" style="208"/>
    <col min="12051" max="12051" width="9.5" style="208" bestFit="1" customWidth="1"/>
    <col min="12052" max="12052" width="9" style="208" customWidth="1"/>
    <col min="12053" max="12053" width="9" style="208"/>
    <col min="12054" max="12054" width="9" style="208" customWidth="1"/>
    <col min="12055" max="12060" width="9" style="208"/>
    <col min="12061" max="12061" width="26.5" style="208" customWidth="1"/>
    <col min="12062" max="12064" width="9" style="208"/>
    <col min="12065" max="12065" width="14.75" style="208" bestFit="1" customWidth="1"/>
    <col min="12066" max="12288" width="9" style="208"/>
    <col min="12289" max="12291" width="9" style="208" customWidth="1"/>
    <col min="12292" max="12292" width="10.5" style="208" customWidth="1"/>
    <col min="12293" max="12293" width="11.25" style="208" bestFit="1" customWidth="1"/>
    <col min="12294" max="12295" width="9" style="208"/>
    <col min="12296" max="12305" width="9" style="208" customWidth="1"/>
    <col min="12306" max="12306" width="9" style="208"/>
    <col min="12307" max="12307" width="9.5" style="208" bestFit="1" customWidth="1"/>
    <col min="12308" max="12308" width="9" style="208" customWidth="1"/>
    <col min="12309" max="12309" width="9" style="208"/>
    <col min="12310" max="12310" width="9" style="208" customWidth="1"/>
    <col min="12311" max="12316" width="9" style="208"/>
    <col min="12317" max="12317" width="26.5" style="208" customWidth="1"/>
    <col min="12318" max="12320" width="9" style="208"/>
    <col min="12321" max="12321" width="14.75" style="208" bestFit="1" customWidth="1"/>
    <col min="12322" max="12544" width="9" style="208"/>
    <col min="12545" max="12547" width="9" style="208" customWidth="1"/>
    <col min="12548" max="12548" width="10.5" style="208" customWidth="1"/>
    <col min="12549" max="12549" width="11.25" style="208" bestFit="1" customWidth="1"/>
    <col min="12550" max="12551" width="9" style="208"/>
    <col min="12552" max="12561" width="9" style="208" customWidth="1"/>
    <col min="12562" max="12562" width="9" style="208"/>
    <col min="12563" max="12563" width="9.5" style="208" bestFit="1" customWidth="1"/>
    <col min="12564" max="12564" width="9" style="208" customWidth="1"/>
    <col min="12565" max="12565" width="9" style="208"/>
    <col min="12566" max="12566" width="9" style="208" customWidth="1"/>
    <col min="12567" max="12572" width="9" style="208"/>
    <col min="12573" max="12573" width="26.5" style="208" customWidth="1"/>
    <col min="12574" max="12576" width="9" style="208"/>
    <col min="12577" max="12577" width="14.75" style="208" bestFit="1" customWidth="1"/>
    <col min="12578" max="12800" width="9" style="208"/>
    <col min="12801" max="12803" width="9" style="208" customWidth="1"/>
    <col min="12804" max="12804" width="10.5" style="208" customWidth="1"/>
    <col min="12805" max="12805" width="11.25" style="208" bestFit="1" customWidth="1"/>
    <col min="12806" max="12807" width="9" style="208"/>
    <col min="12808" max="12817" width="9" style="208" customWidth="1"/>
    <col min="12818" max="12818" width="9" style="208"/>
    <col min="12819" max="12819" width="9.5" style="208" bestFit="1" customWidth="1"/>
    <col min="12820" max="12820" width="9" style="208" customWidth="1"/>
    <col min="12821" max="12821" width="9" style="208"/>
    <col min="12822" max="12822" width="9" style="208" customWidth="1"/>
    <col min="12823" max="12828" width="9" style="208"/>
    <col min="12829" max="12829" width="26.5" style="208" customWidth="1"/>
    <col min="12830" max="12832" width="9" style="208"/>
    <col min="12833" max="12833" width="14.75" style="208" bestFit="1" customWidth="1"/>
    <col min="12834" max="13056" width="9" style="208"/>
    <col min="13057" max="13059" width="9" style="208" customWidth="1"/>
    <col min="13060" max="13060" width="10.5" style="208" customWidth="1"/>
    <col min="13061" max="13061" width="11.25" style="208" bestFit="1" customWidth="1"/>
    <col min="13062" max="13063" width="9" style="208"/>
    <col min="13064" max="13073" width="9" style="208" customWidth="1"/>
    <col min="13074" max="13074" width="9" style="208"/>
    <col min="13075" max="13075" width="9.5" style="208" bestFit="1" customWidth="1"/>
    <col min="13076" max="13076" width="9" style="208" customWidth="1"/>
    <col min="13077" max="13077" width="9" style="208"/>
    <col min="13078" max="13078" width="9" style="208" customWidth="1"/>
    <col min="13079" max="13084" width="9" style="208"/>
    <col min="13085" max="13085" width="26.5" style="208" customWidth="1"/>
    <col min="13086" max="13088" width="9" style="208"/>
    <col min="13089" max="13089" width="14.75" style="208" bestFit="1" customWidth="1"/>
    <col min="13090" max="13312" width="9" style="208"/>
    <col min="13313" max="13315" width="9" style="208" customWidth="1"/>
    <col min="13316" max="13316" width="10.5" style="208" customWidth="1"/>
    <col min="13317" max="13317" width="11.25" style="208" bestFit="1" customWidth="1"/>
    <col min="13318" max="13319" width="9" style="208"/>
    <col min="13320" max="13329" width="9" style="208" customWidth="1"/>
    <col min="13330" max="13330" width="9" style="208"/>
    <col min="13331" max="13331" width="9.5" style="208" bestFit="1" customWidth="1"/>
    <col min="13332" max="13332" width="9" style="208" customWidth="1"/>
    <col min="13333" max="13333" width="9" style="208"/>
    <col min="13334" max="13334" width="9" style="208" customWidth="1"/>
    <col min="13335" max="13340" width="9" style="208"/>
    <col min="13341" max="13341" width="26.5" style="208" customWidth="1"/>
    <col min="13342" max="13344" width="9" style="208"/>
    <col min="13345" max="13345" width="14.75" style="208" bestFit="1" customWidth="1"/>
    <col min="13346" max="13568" width="9" style="208"/>
    <col min="13569" max="13571" width="9" style="208" customWidth="1"/>
    <col min="13572" max="13572" width="10.5" style="208" customWidth="1"/>
    <col min="13573" max="13573" width="11.25" style="208" bestFit="1" customWidth="1"/>
    <col min="13574" max="13575" width="9" style="208"/>
    <col min="13576" max="13585" width="9" style="208" customWidth="1"/>
    <col min="13586" max="13586" width="9" style="208"/>
    <col min="13587" max="13587" width="9.5" style="208" bestFit="1" customWidth="1"/>
    <col min="13588" max="13588" width="9" style="208" customWidth="1"/>
    <col min="13589" max="13589" width="9" style="208"/>
    <col min="13590" max="13590" width="9" style="208" customWidth="1"/>
    <col min="13591" max="13596" width="9" style="208"/>
    <col min="13597" max="13597" width="26.5" style="208" customWidth="1"/>
    <col min="13598" max="13600" width="9" style="208"/>
    <col min="13601" max="13601" width="14.75" style="208" bestFit="1" customWidth="1"/>
    <col min="13602" max="13824" width="9" style="208"/>
    <col min="13825" max="13827" width="9" style="208" customWidth="1"/>
    <col min="13828" max="13828" width="10.5" style="208" customWidth="1"/>
    <col min="13829" max="13829" width="11.25" style="208" bestFit="1" customWidth="1"/>
    <col min="13830" max="13831" width="9" style="208"/>
    <col min="13832" max="13841" width="9" style="208" customWidth="1"/>
    <col min="13842" max="13842" width="9" style="208"/>
    <col min="13843" max="13843" width="9.5" style="208" bestFit="1" customWidth="1"/>
    <col min="13844" max="13844" width="9" style="208" customWidth="1"/>
    <col min="13845" max="13845" width="9" style="208"/>
    <col min="13846" max="13846" width="9" style="208" customWidth="1"/>
    <col min="13847" max="13852" width="9" style="208"/>
    <col min="13853" max="13853" width="26.5" style="208" customWidth="1"/>
    <col min="13854" max="13856" width="9" style="208"/>
    <col min="13857" max="13857" width="14.75" style="208" bestFit="1" customWidth="1"/>
    <col min="13858" max="14080" width="9" style="208"/>
    <col min="14081" max="14083" width="9" style="208" customWidth="1"/>
    <col min="14084" max="14084" width="10.5" style="208" customWidth="1"/>
    <col min="14085" max="14085" width="11.25" style="208" bestFit="1" customWidth="1"/>
    <col min="14086" max="14087" width="9" style="208"/>
    <col min="14088" max="14097" width="9" style="208" customWidth="1"/>
    <col min="14098" max="14098" width="9" style="208"/>
    <col min="14099" max="14099" width="9.5" style="208" bestFit="1" customWidth="1"/>
    <col min="14100" max="14100" width="9" style="208" customWidth="1"/>
    <col min="14101" max="14101" width="9" style="208"/>
    <col min="14102" max="14102" width="9" style="208" customWidth="1"/>
    <col min="14103" max="14108" width="9" style="208"/>
    <col min="14109" max="14109" width="26.5" style="208" customWidth="1"/>
    <col min="14110" max="14112" width="9" style="208"/>
    <col min="14113" max="14113" width="14.75" style="208" bestFit="1" customWidth="1"/>
    <col min="14114" max="14336" width="9" style="208"/>
    <col min="14337" max="14339" width="9" style="208" customWidth="1"/>
    <col min="14340" max="14340" width="10.5" style="208" customWidth="1"/>
    <col min="14341" max="14341" width="11.25" style="208" bestFit="1" customWidth="1"/>
    <col min="14342" max="14343" width="9" style="208"/>
    <col min="14344" max="14353" width="9" style="208" customWidth="1"/>
    <col min="14354" max="14354" width="9" style="208"/>
    <col min="14355" max="14355" width="9.5" style="208" bestFit="1" customWidth="1"/>
    <col min="14356" max="14356" width="9" style="208" customWidth="1"/>
    <col min="14357" max="14357" width="9" style="208"/>
    <col min="14358" max="14358" width="9" style="208" customWidth="1"/>
    <col min="14359" max="14364" width="9" style="208"/>
    <col min="14365" max="14365" width="26.5" style="208" customWidth="1"/>
    <col min="14366" max="14368" width="9" style="208"/>
    <col min="14369" max="14369" width="14.75" style="208" bestFit="1" customWidth="1"/>
    <col min="14370" max="14592" width="9" style="208"/>
    <col min="14593" max="14595" width="9" style="208" customWidth="1"/>
    <col min="14596" max="14596" width="10.5" style="208" customWidth="1"/>
    <col min="14597" max="14597" width="11.25" style="208" bestFit="1" customWidth="1"/>
    <col min="14598" max="14599" width="9" style="208"/>
    <col min="14600" max="14609" width="9" style="208" customWidth="1"/>
    <col min="14610" max="14610" width="9" style="208"/>
    <col min="14611" max="14611" width="9.5" style="208" bestFit="1" customWidth="1"/>
    <col min="14612" max="14612" width="9" style="208" customWidth="1"/>
    <col min="14613" max="14613" width="9" style="208"/>
    <col min="14614" max="14614" width="9" style="208" customWidth="1"/>
    <col min="14615" max="14620" width="9" style="208"/>
    <col min="14621" max="14621" width="26.5" style="208" customWidth="1"/>
    <col min="14622" max="14624" width="9" style="208"/>
    <col min="14625" max="14625" width="14.75" style="208" bestFit="1" customWidth="1"/>
    <col min="14626" max="14848" width="9" style="208"/>
    <col min="14849" max="14851" width="9" style="208" customWidth="1"/>
    <col min="14852" max="14852" width="10.5" style="208" customWidth="1"/>
    <col min="14853" max="14853" width="11.25" style="208" bestFit="1" customWidth="1"/>
    <col min="14854" max="14855" width="9" style="208"/>
    <col min="14856" max="14865" width="9" style="208" customWidth="1"/>
    <col min="14866" max="14866" width="9" style="208"/>
    <col min="14867" max="14867" width="9.5" style="208" bestFit="1" customWidth="1"/>
    <col min="14868" max="14868" width="9" style="208" customWidth="1"/>
    <col min="14869" max="14869" width="9" style="208"/>
    <col min="14870" max="14870" width="9" style="208" customWidth="1"/>
    <col min="14871" max="14876" width="9" style="208"/>
    <col min="14877" max="14877" width="26.5" style="208" customWidth="1"/>
    <col min="14878" max="14880" width="9" style="208"/>
    <col min="14881" max="14881" width="14.75" style="208" bestFit="1" customWidth="1"/>
    <col min="14882" max="15104" width="9" style="208"/>
    <col min="15105" max="15107" width="9" style="208" customWidth="1"/>
    <col min="15108" max="15108" width="10.5" style="208" customWidth="1"/>
    <col min="15109" max="15109" width="11.25" style="208" bestFit="1" customWidth="1"/>
    <col min="15110" max="15111" width="9" style="208"/>
    <col min="15112" max="15121" width="9" style="208" customWidth="1"/>
    <col min="15122" max="15122" width="9" style="208"/>
    <col min="15123" max="15123" width="9.5" style="208" bestFit="1" customWidth="1"/>
    <col min="15124" max="15124" width="9" style="208" customWidth="1"/>
    <col min="15125" max="15125" width="9" style="208"/>
    <col min="15126" max="15126" width="9" style="208" customWidth="1"/>
    <col min="15127" max="15132" width="9" style="208"/>
    <col min="15133" max="15133" width="26.5" style="208" customWidth="1"/>
    <col min="15134" max="15136" width="9" style="208"/>
    <col min="15137" max="15137" width="14.75" style="208" bestFit="1" customWidth="1"/>
    <col min="15138" max="15360" width="9" style="208"/>
    <col min="15361" max="15363" width="9" style="208" customWidth="1"/>
    <col min="15364" max="15364" width="10.5" style="208" customWidth="1"/>
    <col min="15365" max="15365" width="11.25" style="208" bestFit="1" customWidth="1"/>
    <col min="15366" max="15367" width="9" style="208"/>
    <col min="15368" max="15377" width="9" style="208" customWidth="1"/>
    <col min="15378" max="15378" width="9" style="208"/>
    <col min="15379" max="15379" width="9.5" style="208" bestFit="1" customWidth="1"/>
    <col min="15380" max="15380" width="9" style="208" customWidth="1"/>
    <col min="15381" max="15381" width="9" style="208"/>
    <col min="15382" max="15382" width="9" style="208" customWidth="1"/>
    <col min="15383" max="15388" width="9" style="208"/>
    <col min="15389" max="15389" width="26.5" style="208" customWidth="1"/>
    <col min="15390" max="15392" width="9" style="208"/>
    <col min="15393" max="15393" width="14.75" style="208" bestFit="1" customWidth="1"/>
    <col min="15394" max="15616" width="9" style="208"/>
    <col min="15617" max="15619" width="9" style="208" customWidth="1"/>
    <col min="15620" max="15620" width="10.5" style="208" customWidth="1"/>
    <col min="15621" max="15621" width="11.25" style="208" bestFit="1" customWidth="1"/>
    <col min="15622" max="15623" width="9" style="208"/>
    <col min="15624" max="15633" width="9" style="208" customWidth="1"/>
    <col min="15634" max="15634" width="9" style="208"/>
    <col min="15635" max="15635" width="9.5" style="208" bestFit="1" customWidth="1"/>
    <col min="15636" max="15636" width="9" style="208" customWidth="1"/>
    <col min="15637" max="15637" width="9" style="208"/>
    <col min="15638" max="15638" width="9" style="208" customWidth="1"/>
    <col min="15639" max="15644" width="9" style="208"/>
    <col min="15645" max="15645" width="26.5" style="208" customWidth="1"/>
    <col min="15646" max="15648" width="9" style="208"/>
    <col min="15649" max="15649" width="14.75" style="208" bestFit="1" customWidth="1"/>
    <col min="15650" max="15872" width="9" style="208"/>
    <col min="15873" max="15875" width="9" style="208" customWidth="1"/>
    <col min="15876" max="15876" width="10.5" style="208" customWidth="1"/>
    <col min="15877" max="15877" width="11.25" style="208" bestFit="1" customWidth="1"/>
    <col min="15878" max="15879" width="9" style="208"/>
    <col min="15880" max="15889" width="9" style="208" customWidth="1"/>
    <col min="15890" max="15890" width="9" style="208"/>
    <col min="15891" max="15891" width="9.5" style="208" bestFit="1" customWidth="1"/>
    <col min="15892" max="15892" width="9" style="208" customWidth="1"/>
    <col min="15893" max="15893" width="9" style="208"/>
    <col min="15894" max="15894" width="9" style="208" customWidth="1"/>
    <col min="15895" max="15900" width="9" style="208"/>
    <col min="15901" max="15901" width="26.5" style="208" customWidth="1"/>
    <col min="15902" max="15904" width="9" style="208"/>
    <col min="15905" max="15905" width="14.75" style="208" bestFit="1" customWidth="1"/>
    <col min="15906" max="16128" width="9" style="208"/>
    <col min="16129" max="16131" width="9" style="208" customWidth="1"/>
    <col min="16132" max="16132" width="10.5" style="208" customWidth="1"/>
    <col min="16133" max="16133" width="11.25" style="208" bestFit="1" customWidth="1"/>
    <col min="16134" max="16135" width="9" style="208"/>
    <col min="16136" max="16145" width="9" style="208" customWidth="1"/>
    <col min="16146" max="16146" width="9" style="208"/>
    <col min="16147" max="16147" width="9.5" style="208" bestFit="1" customWidth="1"/>
    <col min="16148" max="16148" width="9" style="208" customWidth="1"/>
    <col min="16149" max="16149" width="9" style="208"/>
    <col min="16150" max="16150" width="9" style="208" customWidth="1"/>
    <col min="16151" max="16156" width="9" style="208"/>
    <col min="16157" max="16157" width="26.5" style="208" customWidth="1"/>
    <col min="16158" max="16160" width="9" style="208"/>
    <col min="16161" max="16161" width="14.75" style="208" bestFit="1" customWidth="1"/>
    <col min="16162" max="16384" width="9" style="208"/>
  </cols>
  <sheetData>
    <row r="1" spans="1:53" ht="44.25" customHeight="1" x14ac:dyDescent="0.15">
      <c r="A1" s="133" t="s">
        <v>394</v>
      </c>
      <c r="B1" s="202" t="s">
        <v>1</v>
      </c>
      <c r="C1" s="202" t="s">
        <v>323</v>
      </c>
      <c r="D1" s="203" t="s">
        <v>3</v>
      </c>
      <c r="E1" s="203" t="s">
        <v>395</v>
      </c>
      <c r="F1" s="203" t="s">
        <v>5</v>
      </c>
      <c r="G1" s="203" t="s">
        <v>6</v>
      </c>
      <c r="H1" s="203" t="s">
        <v>396</v>
      </c>
      <c r="I1" s="203" t="s">
        <v>8</v>
      </c>
      <c r="J1" s="203" t="s">
        <v>9</v>
      </c>
      <c r="K1" s="203" t="s">
        <v>10</v>
      </c>
      <c r="L1" s="203" t="s">
        <v>324</v>
      </c>
      <c r="M1" s="203" t="s">
        <v>12</v>
      </c>
      <c r="N1" s="203" t="s">
        <v>13</v>
      </c>
      <c r="O1" s="203" t="s">
        <v>325</v>
      </c>
      <c r="P1" s="203" t="s">
        <v>326</v>
      </c>
      <c r="Q1" s="204" t="s">
        <v>16</v>
      </c>
      <c r="R1" s="203" t="s">
        <v>327</v>
      </c>
      <c r="S1" s="203" t="s">
        <v>328</v>
      </c>
      <c r="T1" s="204" t="s">
        <v>19</v>
      </c>
      <c r="U1" s="205" t="s">
        <v>108</v>
      </c>
      <c r="V1" s="206" t="s">
        <v>20</v>
      </c>
      <c r="W1" s="203" t="s">
        <v>21</v>
      </c>
      <c r="X1" s="203" t="s">
        <v>22</v>
      </c>
      <c r="Y1" s="203" t="s">
        <v>23</v>
      </c>
      <c r="Z1" s="203" t="s">
        <v>24</v>
      </c>
      <c r="AA1" s="134" t="s">
        <v>25</v>
      </c>
      <c r="AB1" s="135" t="s">
        <v>329</v>
      </c>
      <c r="AC1" s="136"/>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330</v>
      </c>
      <c r="AY1" s="214" t="s">
        <v>331</v>
      </c>
      <c r="AZ1" s="214" t="s">
        <v>332</v>
      </c>
      <c r="BA1" s="215" t="s">
        <v>333</v>
      </c>
    </row>
    <row r="2" spans="1:53" s="143" customFormat="1" x14ac:dyDescent="0.15">
      <c r="A2" s="137" t="s">
        <v>61</v>
      </c>
      <c r="B2" s="137" t="s">
        <v>349</v>
      </c>
      <c r="C2" s="137">
        <v>2018</v>
      </c>
      <c r="D2" s="138" t="s">
        <v>334</v>
      </c>
      <c r="E2" s="137" t="s">
        <v>225</v>
      </c>
      <c r="F2" s="137" t="s">
        <v>224</v>
      </c>
      <c r="G2" s="137" t="s">
        <v>42</v>
      </c>
      <c r="H2" s="247" t="s">
        <v>155</v>
      </c>
      <c r="I2" s="247" t="s">
        <v>153</v>
      </c>
      <c r="J2" s="137" t="s">
        <v>38</v>
      </c>
      <c r="K2" s="247" t="s">
        <v>154</v>
      </c>
      <c r="L2" s="247">
        <v>1</v>
      </c>
      <c r="M2" s="247"/>
      <c r="N2" s="247">
        <v>1</v>
      </c>
      <c r="O2" s="247">
        <v>0.6</v>
      </c>
      <c r="P2" s="247">
        <v>0.65</v>
      </c>
      <c r="Q2" s="139">
        <f t="shared" ref="Q2:Q65" si="0">IF(OR(O2="",P2=""),"",AVERAGE(O2,P2))</f>
        <v>0.625</v>
      </c>
      <c r="R2" s="247">
        <v>14.9</v>
      </c>
      <c r="S2" s="247">
        <v>148</v>
      </c>
      <c r="T2" s="140">
        <f t="shared" ref="T2:T65" si="1">IF(H2="","",IF(OR(H2="GREEN",H2="GK"),IF(S2&gt;=$AX$2,VLOOKUP(S2,$AX$2:$AY$15,2,1),""),IF(S2&gt;=$AZ$2,VLOOKUP(S2,$AZ$2:$BA$15,2,1),"")))</f>
        <v>22</v>
      </c>
      <c r="U2" s="247">
        <v>148</v>
      </c>
      <c r="V2" s="141">
        <f t="shared" ref="V2:V65" si="2">IF(OR(N2="",U2="",T2=""),"",U2/N2*T2)</f>
        <v>3256</v>
      </c>
      <c r="W2" s="247">
        <v>2</v>
      </c>
      <c r="X2" s="137" t="s">
        <v>39</v>
      </c>
      <c r="Y2" s="247" t="s">
        <v>102</v>
      </c>
      <c r="Z2" s="247" t="s">
        <v>90</v>
      </c>
      <c r="AA2" s="247" t="s">
        <v>50</v>
      </c>
      <c r="AB2" s="137" t="s">
        <v>397</v>
      </c>
      <c r="AC2" s="142"/>
      <c r="AE2" s="218" t="s">
        <v>35</v>
      </c>
      <c r="AG2" s="49" t="s">
        <v>225</v>
      </c>
      <c r="AH2" s="49" t="s">
        <v>224</v>
      </c>
      <c r="AJ2" s="144" t="s">
        <v>36</v>
      </c>
      <c r="AL2" s="219" t="s">
        <v>127</v>
      </c>
      <c r="AN2" s="144" t="s">
        <v>37</v>
      </c>
      <c r="AP2" s="219" t="s">
        <v>38</v>
      </c>
      <c r="AR2" s="219" t="s">
        <v>398</v>
      </c>
      <c r="AT2" s="144" t="s">
        <v>39</v>
      </c>
      <c r="AV2" s="219" t="s">
        <v>40</v>
      </c>
      <c r="AX2" s="145">
        <v>1</v>
      </c>
      <c r="AY2" s="146">
        <v>50</v>
      </c>
      <c r="AZ2" s="146">
        <v>1</v>
      </c>
      <c r="BA2" s="147">
        <v>50</v>
      </c>
    </row>
    <row r="3" spans="1:53" x14ac:dyDescent="0.15">
      <c r="A3" s="137" t="s">
        <v>61</v>
      </c>
      <c r="B3" s="137" t="s">
        <v>399</v>
      </c>
      <c r="C3" s="137">
        <v>2018</v>
      </c>
      <c r="D3" s="138" t="s">
        <v>400</v>
      </c>
      <c r="E3" s="137" t="s">
        <v>225</v>
      </c>
      <c r="F3" s="137" t="s">
        <v>224</v>
      </c>
      <c r="G3" s="137" t="s">
        <v>42</v>
      </c>
      <c r="H3" s="247" t="s">
        <v>155</v>
      </c>
      <c r="I3" s="247" t="s">
        <v>153</v>
      </c>
      <c r="J3" s="137" t="s">
        <v>38</v>
      </c>
      <c r="K3" s="247" t="s">
        <v>154</v>
      </c>
      <c r="L3" s="247">
        <v>2</v>
      </c>
      <c r="M3" s="247"/>
      <c r="N3" s="247">
        <v>1</v>
      </c>
      <c r="O3" s="247">
        <v>0.6</v>
      </c>
      <c r="P3" s="247">
        <v>0.5</v>
      </c>
      <c r="Q3" s="139">
        <f t="shared" si="0"/>
        <v>0.55000000000000004</v>
      </c>
      <c r="R3" s="247">
        <v>15.8</v>
      </c>
      <c r="S3" s="247">
        <v>146</v>
      </c>
      <c r="T3" s="140">
        <f t="shared" si="1"/>
        <v>22</v>
      </c>
      <c r="U3" s="247">
        <v>148</v>
      </c>
      <c r="V3" s="141">
        <f t="shared" si="2"/>
        <v>3256</v>
      </c>
      <c r="W3" s="247">
        <v>2</v>
      </c>
      <c r="X3" s="137" t="s">
        <v>39</v>
      </c>
      <c r="Y3" s="247" t="s">
        <v>102</v>
      </c>
      <c r="Z3" s="247" t="s">
        <v>90</v>
      </c>
      <c r="AA3" s="247" t="s">
        <v>50</v>
      </c>
      <c r="AB3" s="137" t="s">
        <v>397</v>
      </c>
      <c r="AC3" s="142"/>
      <c r="AE3" s="223" t="s">
        <v>41</v>
      </c>
      <c r="AG3" s="49" t="s">
        <v>226</v>
      </c>
      <c r="AH3" s="49" t="s">
        <v>227</v>
      </c>
      <c r="AJ3" s="224" t="s">
        <v>42</v>
      </c>
      <c r="AL3" s="224" t="s">
        <v>128</v>
      </c>
      <c r="AN3" s="224" t="s">
        <v>43</v>
      </c>
      <c r="AP3" s="224" t="s">
        <v>44</v>
      </c>
      <c r="AR3" s="238" t="s">
        <v>45</v>
      </c>
      <c r="AT3" s="224" t="s">
        <v>46</v>
      </c>
      <c r="AV3" s="238" t="s">
        <v>47</v>
      </c>
      <c r="AX3" s="225">
        <v>72</v>
      </c>
      <c r="AY3" s="226">
        <v>46</v>
      </c>
      <c r="AZ3" s="226">
        <v>71</v>
      </c>
      <c r="BA3" s="227">
        <v>42</v>
      </c>
    </row>
    <row r="4" spans="1:53" x14ac:dyDescent="0.15">
      <c r="A4" s="137" t="s">
        <v>61</v>
      </c>
      <c r="B4" s="137" t="s">
        <v>399</v>
      </c>
      <c r="C4" s="137">
        <v>2018</v>
      </c>
      <c r="D4" s="138" t="s">
        <v>400</v>
      </c>
      <c r="E4" s="137" t="s">
        <v>225</v>
      </c>
      <c r="F4" s="137" t="s">
        <v>224</v>
      </c>
      <c r="G4" s="137" t="s">
        <v>42</v>
      </c>
      <c r="H4" s="247" t="s">
        <v>155</v>
      </c>
      <c r="I4" s="247" t="s">
        <v>153</v>
      </c>
      <c r="J4" s="137" t="s">
        <v>38</v>
      </c>
      <c r="K4" s="247" t="s">
        <v>154</v>
      </c>
      <c r="L4" s="247">
        <v>3</v>
      </c>
      <c r="M4" s="247"/>
      <c r="N4" s="247">
        <v>1</v>
      </c>
      <c r="O4" s="247">
        <v>0.65</v>
      </c>
      <c r="P4" s="247">
        <v>0.6</v>
      </c>
      <c r="Q4" s="139">
        <f t="shared" si="0"/>
        <v>0.625</v>
      </c>
      <c r="R4" s="247">
        <v>16.100000000000001</v>
      </c>
      <c r="S4" s="247">
        <v>137</v>
      </c>
      <c r="T4" s="140">
        <f t="shared" si="1"/>
        <v>25</v>
      </c>
      <c r="U4" s="247">
        <v>148</v>
      </c>
      <c r="V4" s="141">
        <f t="shared" si="2"/>
        <v>3700</v>
      </c>
      <c r="W4" s="247">
        <v>2</v>
      </c>
      <c r="X4" s="137" t="s">
        <v>39</v>
      </c>
      <c r="Y4" s="247" t="s">
        <v>102</v>
      </c>
      <c r="Z4" s="247" t="s">
        <v>90</v>
      </c>
      <c r="AA4" s="247" t="s">
        <v>50</v>
      </c>
      <c r="AB4" s="137" t="s">
        <v>397</v>
      </c>
      <c r="AC4" s="142"/>
      <c r="AE4" s="223" t="s">
        <v>34</v>
      </c>
      <c r="AG4" s="49" t="s">
        <v>228</v>
      </c>
      <c r="AH4" s="49" t="s">
        <v>229</v>
      </c>
      <c r="AJ4" s="228" t="s">
        <v>48</v>
      </c>
      <c r="AL4" s="228" t="s">
        <v>129</v>
      </c>
      <c r="AN4" s="229" t="s">
        <v>49</v>
      </c>
      <c r="AP4" s="224" t="s">
        <v>401</v>
      </c>
      <c r="AR4" s="238" t="s">
        <v>402</v>
      </c>
      <c r="AT4" s="229"/>
      <c r="AV4" s="238" t="s">
        <v>50</v>
      </c>
      <c r="AX4" s="225">
        <v>75</v>
      </c>
      <c r="AY4" s="226">
        <v>42</v>
      </c>
      <c r="AZ4" s="226">
        <v>76</v>
      </c>
      <c r="BA4" s="227">
        <v>39</v>
      </c>
    </row>
    <row r="5" spans="1:53" x14ac:dyDescent="0.15">
      <c r="A5" s="137" t="s">
        <v>61</v>
      </c>
      <c r="B5" s="137" t="s">
        <v>399</v>
      </c>
      <c r="C5" s="137">
        <v>2018</v>
      </c>
      <c r="D5" s="138" t="s">
        <v>400</v>
      </c>
      <c r="E5" s="137" t="s">
        <v>225</v>
      </c>
      <c r="F5" s="137" t="s">
        <v>224</v>
      </c>
      <c r="G5" s="137" t="s">
        <v>42</v>
      </c>
      <c r="H5" s="247" t="s">
        <v>157</v>
      </c>
      <c r="I5" s="247" t="s">
        <v>153</v>
      </c>
      <c r="J5" s="137" t="s">
        <v>38</v>
      </c>
      <c r="K5" s="247" t="s">
        <v>154</v>
      </c>
      <c r="L5" s="247">
        <v>1</v>
      </c>
      <c r="M5" s="247"/>
      <c r="N5" s="247">
        <v>1</v>
      </c>
      <c r="O5" s="247">
        <v>0.7</v>
      </c>
      <c r="P5" s="247">
        <v>0.7</v>
      </c>
      <c r="Q5" s="139">
        <f t="shared" si="0"/>
        <v>0.7</v>
      </c>
      <c r="R5" s="247">
        <v>17.399999999999999</v>
      </c>
      <c r="S5" s="247">
        <v>125</v>
      </c>
      <c r="T5" s="140">
        <f t="shared" si="1"/>
        <v>27</v>
      </c>
      <c r="U5" s="247">
        <v>166</v>
      </c>
      <c r="V5" s="141">
        <f t="shared" si="2"/>
        <v>4482</v>
      </c>
      <c r="W5" s="247">
        <v>2</v>
      </c>
      <c r="X5" s="137" t="s">
        <v>39</v>
      </c>
      <c r="Y5" s="247" t="s">
        <v>102</v>
      </c>
      <c r="Z5" s="247" t="s">
        <v>90</v>
      </c>
      <c r="AA5" s="247" t="s">
        <v>50</v>
      </c>
      <c r="AB5" s="137" t="s">
        <v>397</v>
      </c>
      <c r="AC5" s="142"/>
      <c r="AE5" s="223" t="s">
        <v>51</v>
      </c>
      <c r="AG5" s="49" t="s">
        <v>230</v>
      </c>
      <c r="AH5" s="49" t="s">
        <v>231</v>
      </c>
      <c r="AJ5" s="228"/>
      <c r="AL5" s="230" t="s">
        <v>403</v>
      </c>
      <c r="AN5" s="230" t="s">
        <v>404</v>
      </c>
      <c r="AP5" s="224" t="s">
        <v>405</v>
      </c>
      <c r="AR5" s="238" t="s">
        <v>54</v>
      </c>
      <c r="AT5" s="247"/>
      <c r="AV5" s="238" t="s">
        <v>55</v>
      </c>
      <c r="AX5" s="225">
        <v>84</v>
      </c>
      <c r="AY5" s="226">
        <v>39</v>
      </c>
      <c r="AZ5" s="226">
        <v>84</v>
      </c>
      <c r="BA5" s="227">
        <v>36</v>
      </c>
    </row>
    <row r="6" spans="1:53" x14ac:dyDescent="0.15">
      <c r="A6" s="137" t="s">
        <v>61</v>
      </c>
      <c r="B6" s="137" t="s">
        <v>399</v>
      </c>
      <c r="C6" s="137">
        <v>2018</v>
      </c>
      <c r="D6" s="138" t="s">
        <v>400</v>
      </c>
      <c r="E6" s="137" t="s">
        <v>225</v>
      </c>
      <c r="F6" s="137" t="s">
        <v>224</v>
      </c>
      <c r="G6" s="137" t="s">
        <v>42</v>
      </c>
      <c r="H6" s="247" t="s">
        <v>157</v>
      </c>
      <c r="I6" s="247" t="s">
        <v>153</v>
      </c>
      <c r="J6" s="137" t="s">
        <v>38</v>
      </c>
      <c r="K6" s="247" t="s">
        <v>154</v>
      </c>
      <c r="L6" s="247">
        <v>2</v>
      </c>
      <c r="M6" s="247"/>
      <c r="N6" s="247">
        <v>1</v>
      </c>
      <c r="O6" s="247">
        <v>0.6</v>
      </c>
      <c r="P6" s="247">
        <v>0.6</v>
      </c>
      <c r="Q6" s="139">
        <f t="shared" si="0"/>
        <v>0.6</v>
      </c>
      <c r="R6" s="247">
        <v>17.100000000000001</v>
      </c>
      <c r="S6" s="247">
        <v>123</v>
      </c>
      <c r="T6" s="140">
        <f t="shared" si="1"/>
        <v>27</v>
      </c>
      <c r="U6" s="247">
        <v>166</v>
      </c>
      <c r="V6" s="141">
        <f t="shared" si="2"/>
        <v>4482</v>
      </c>
      <c r="W6" s="247">
        <v>2</v>
      </c>
      <c r="X6" s="137" t="s">
        <v>39</v>
      </c>
      <c r="Y6" s="247" t="s">
        <v>102</v>
      </c>
      <c r="Z6" s="247" t="s">
        <v>90</v>
      </c>
      <c r="AA6" s="247" t="s">
        <v>50</v>
      </c>
      <c r="AB6" s="137" t="s">
        <v>397</v>
      </c>
      <c r="AC6" s="142"/>
      <c r="AE6" s="223" t="s">
        <v>56</v>
      </c>
      <c r="AG6" s="49" t="s">
        <v>232</v>
      </c>
      <c r="AH6" s="49" t="s">
        <v>233</v>
      </c>
      <c r="AJ6" s="228"/>
      <c r="AL6" s="230" t="s">
        <v>406</v>
      </c>
      <c r="AN6" s="230" t="s">
        <v>407</v>
      </c>
      <c r="AP6" s="224" t="s">
        <v>53</v>
      </c>
      <c r="AR6" s="238" t="s">
        <v>59</v>
      </c>
      <c r="AT6" s="247"/>
      <c r="AV6" s="238" t="s">
        <v>60</v>
      </c>
      <c r="AX6" s="225">
        <v>97</v>
      </c>
      <c r="AY6" s="226">
        <v>36</v>
      </c>
      <c r="AZ6" s="226">
        <v>99</v>
      </c>
      <c r="BA6" s="227">
        <v>33</v>
      </c>
    </row>
    <row r="7" spans="1:53" x14ac:dyDescent="0.15">
      <c r="A7" s="137" t="s">
        <v>61</v>
      </c>
      <c r="B7" s="137" t="s">
        <v>399</v>
      </c>
      <c r="C7" s="137">
        <v>2018</v>
      </c>
      <c r="D7" s="138" t="s">
        <v>400</v>
      </c>
      <c r="E7" s="137" t="s">
        <v>225</v>
      </c>
      <c r="F7" s="137" t="s">
        <v>224</v>
      </c>
      <c r="G7" s="137" t="s">
        <v>42</v>
      </c>
      <c r="H7" s="247" t="s">
        <v>157</v>
      </c>
      <c r="I7" s="247" t="s">
        <v>153</v>
      </c>
      <c r="J7" s="137" t="s">
        <v>38</v>
      </c>
      <c r="K7" s="247" t="s">
        <v>154</v>
      </c>
      <c r="L7" s="247">
        <v>3</v>
      </c>
      <c r="M7" s="247"/>
      <c r="N7" s="247">
        <v>1</v>
      </c>
      <c r="O7" s="247">
        <v>0.6</v>
      </c>
      <c r="P7" s="247">
        <v>0.55000000000000004</v>
      </c>
      <c r="Q7" s="139">
        <f t="shared" si="0"/>
        <v>0.57499999999999996</v>
      </c>
      <c r="R7" s="247">
        <v>17</v>
      </c>
      <c r="S7" s="247">
        <v>133</v>
      </c>
      <c r="T7" s="140">
        <f t="shared" si="1"/>
        <v>25</v>
      </c>
      <c r="U7" s="247">
        <v>166</v>
      </c>
      <c r="V7" s="141">
        <f t="shared" si="2"/>
        <v>4150</v>
      </c>
      <c r="W7" s="247">
        <v>2</v>
      </c>
      <c r="X7" s="137" t="s">
        <v>39</v>
      </c>
      <c r="Y7" s="247" t="s">
        <v>102</v>
      </c>
      <c r="Z7" s="247" t="s">
        <v>90</v>
      </c>
      <c r="AA7" s="247" t="s">
        <v>50</v>
      </c>
      <c r="AB7" s="137" t="s">
        <v>397</v>
      </c>
      <c r="AC7" s="142"/>
      <c r="AE7" s="223" t="s">
        <v>61</v>
      </c>
      <c r="AG7" s="49" t="s">
        <v>234</v>
      </c>
      <c r="AH7" s="49" t="s">
        <v>235</v>
      </c>
      <c r="AJ7" s="228"/>
      <c r="AL7" s="235" t="s">
        <v>408</v>
      </c>
      <c r="AN7" s="148"/>
      <c r="AP7" s="224" t="s">
        <v>58</v>
      </c>
      <c r="AR7" s="231" t="s">
        <v>122</v>
      </c>
      <c r="AT7" s="247"/>
      <c r="AV7" s="238" t="s">
        <v>64</v>
      </c>
      <c r="AX7" s="225">
        <v>109</v>
      </c>
      <c r="AY7" s="226">
        <v>33</v>
      </c>
      <c r="AZ7" s="226">
        <v>113</v>
      </c>
      <c r="BA7" s="227">
        <v>30</v>
      </c>
    </row>
    <row r="8" spans="1:53" x14ac:dyDescent="0.15">
      <c r="A8" s="137" t="s">
        <v>61</v>
      </c>
      <c r="B8" s="137" t="s">
        <v>365</v>
      </c>
      <c r="C8" s="137">
        <v>2018</v>
      </c>
      <c r="D8" s="138" t="s">
        <v>409</v>
      </c>
      <c r="E8" s="137" t="s">
        <v>226</v>
      </c>
      <c r="F8" s="137" t="s">
        <v>227</v>
      </c>
      <c r="G8" s="137" t="s">
        <v>42</v>
      </c>
      <c r="H8" s="247" t="s">
        <v>155</v>
      </c>
      <c r="I8" s="247" t="s">
        <v>153</v>
      </c>
      <c r="J8" s="137" t="s">
        <v>38</v>
      </c>
      <c r="K8" s="247" t="s">
        <v>154</v>
      </c>
      <c r="L8" s="247">
        <v>1</v>
      </c>
      <c r="M8" s="247"/>
      <c r="N8" s="247">
        <v>1</v>
      </c>
      <c r="O8" s="247">
        <v>0.9</v>
      </c>
      <c r="P8" s="247">
        <v>0.9</v>
      </c>
      <c r="Q8" s="139">
        <f t="shared" si="0"/>
        <v>0.9</v>
      </c>
      <c r="R8" s="247">
        <v>17.100000000000001</v>
      </c>
      <c r="S8" s="247">
        <v>132</v>
      </c>
      <c r="T8" s="140">
        <f t="shared" si="1"/>
        <v>25</v>
      </c>
      <c r="U8" s="247">
        <v>138</v>
      </c>
      <c r="V8" s="141">
        <f t="shared" si="2"/>
        <v>3450</v>
      </c>
      <c r="W8" s="247">
        <v>6</v>
      </c>
      <c r="X8" s="137" t="s">
        <v>46</v>
      </c>
      <c r="Y8" s="247" t="s">
        <v>84</v>
      </c>
      <c r="Z8" s="247" t="s">
        <v>90</v>
      </c>
      <c r="AA8" s="247" t="s">
        <v>78</v>
      </c>
      <c r="AB8" s="137" t="s">
        <v>410</v>
      </c>
      <c r="AC8" s="142"/>
      <c r="AE8" s="223" t="s">
        <v>59</v>
      </c>
      <c r="AG8" s="49" t="s">
        <v>236</v>
      </c>
      <c r="AH8" s="49" t="s">
        <v>237</v>
      </c>
      <c r="AJ8" s="229"/>
      <c r="AL8" s="142" t="s">
        <v>346</v>
      </c>
      <c r="AN8" s="230"/>
      <c r="AP8" s="224" t="s">
        <v>62</v>
      </c>
      <c r="AR8" s="238" t="s">
        <v>81</v>
      </c>
      <c r="AT8" s="247"/>
      <c r="AV8" s="238" t="s">
        <v>97</v>
      </c>
      <c r="AX8" s="225">
        <v>119</v>
      </c>
      <c r="AY8" s="226">
        <v>30</v>
      </c>
      <c r="AZ8" s="226">
        <v>121</v>
      </c>
      <c r="BA8" s="227">
        <v>27</v>
      </c>
    </row>
    <row r="9" spans="1:53" x14ac:dyDescent="0.15">
      <c r="A9" s="137" t="s">
        <v>61</v>
      </c>
      <c r="B9" s="137" t="s">
        <v>365</v>
      </c>
      <c r="C9" s="137">
        <v>2018</v>
      </c>
      <c r="D9" s="138" t="s">
        <v>409</v>
      </c>
      <c r="E9" s="137" t="s">
        <v>226</v>
      </c>
      <c r="F9" s="137" t="s">
        <v>227</v>
      </c>
      <c r="G9" s="137" t="s">
        <v>42</v>
      </c>
      <c r="H9" s="247" t="s">
        <v>155</v>
      </c>
      <c r="I9" s="247" t="s">
        <v>153</v>
      </c>
      <c r="J9" s="137" t="s">
        <v>38</v>
      </c>
      <c r="K9" s="247" t="s">
        <v>154</v>
      </c>
      <c r="L9" s="247">
        <v>2</v>
      </c>
      <c r="M9" s="247"/>
      <c r="N9" s="247">
        <v>1</v>
      </c>
      <c r="O9" s="247">
        <v>0.85</v>
      </c>
      <c r="P9" s="247">
        <v>0.8</v>
      </c>
      <c r="Q9" s="139">
        <f t="shared" si="0"/>
        <v>0.82499999999999996</v>
      </c>
      <c r="R9" s="247">
        <v>17.100000000000001</v>
      </c>
      <c r="S9" s="247">
        <v>138</v>
      </c>
      <c r="T9" s="140">
        <f t="shared" si="1"/>
        <v>22</v>
      </c>
      <c r="U9" s="247">
        <v>138</v>
      </c>
      <c r="V9" s="141">
        <f t="shared" si="2"/>
        <v>3036</v>
      </c>
      <c r="W9" s="247">
        <v>6</v>
      </c>
      <c r="X9" s="137" t="s">
        <v>46</v>
      </c>
      <c r="Y9" s="247" t="s">
        <v>84</v>
      </c>
      <c r="Z9" s="247" t="s">
        <v>90</v>
      </c>
      <c r="AA9" s="247" t="s">
        <v>78</v>
      </c>
      <c r="AB9" s="137" t="s">
        <v>410</v>
      </c>
      <c r="AC9" s="142"/>
      <c r="AE9" s="223" t="s">
        <v>98</v>
      </c>
      <c r="AG9" s="49" t="s">
        <v>133</v>
      </c>
      <c r="AH9" s="49" t="s">
        <v>238</v>
      </c>
      <c r="AJ9" s="247"/>
      <c r="AL9" s="230"/>
      <c r="AN9" s="230"/>
      <c r="AP9" s="224" t="s">
        <v>95</v>
      </c>
      <c r="AR9" s="231" t="s">
        <v>89</v>
      </c>
      <c r="AT9" s="247"/>
      <c r="AV9" s="238" t="s">
        <v>102</v>
      </c>
      <c r="AX9" s="225">
        <v>128</v>
      </c>
      <c r="AY9" s="226">
        <v>27</v>
      </c>
      <c r="AZ9" s="226">
        <v>129</v>
      </c>
      <c r="BA9" s="227">
        <v>25</v>
      </c>
    </row>
    <row r="10" spans="1:53" x14ac:dyDescent="0.15">
      <c r="A10" s="137" t="s">
        <v>61</v>
      </c>
      <c r="B10" s="137" t="s">
        <v>368</v>
      </c>
      <c r="C10" s="137">
        <v>2018</v>
      </c>
      <c r="D10" s="138" t="s">
        <v>411</v>
      </c>
      <c r="E10" s="137" t="s">
        <v>226</v>
      </c>
      <c r="F10" s="137" t="s">
        <v>227</v>
      </c>
      <c r="G10" s="137" t="s">
        <v>42</v>
      </c>
      <c r="H10" s="247" t="s">
        <v>155</v>
      </c>
      <c r="I10" s="247" t="s">
        <v>153</v>
      </c>
      <c r="J10" s="137" t="s">
        <v>38</v>
      </c>
      <c r="K10" s="247" t="s">
        <v>154</v>
      </c>
      <c r="L10" s="247">
        <v>3</v>
      </c>
      <c r="M10" s="247"/>
      <c r="N10" s="247">
        <v>1</v>
      </c>
      <c r="O10" s="247">
        <v>0.8</v>
      </c>
      <c r="P10" s="247">
        <v>0.75</v>
      </c>
      <c r="Q10" s="139">
        <f t="shared" si="0"/>
        <v>0.77500000000000002</v>
      </c>
      <c r="R10" s="247">
        <v>17.399999999999999</v>
      </c>
      <c r="S10" s="247">
        <v>144</v>
      </c>
      <c r="T10" s="140">
        <f t="shared" si="1"/>
        <v>22</v>
      </c>
      <c r="U10" s="247">
        <v>138</v>
      </c>
      <c r="V10" s="141">
        <f t="shared" si="2"/>
        <v>3036</v>
      </c>
      <c r="W10" s="247">
        <v>6</v>
      </c>
      <c r="X10" s="137" t="s">
        <v>46</v>
      </c>
      <c r="Y10" s="247" t="s">
        <v>84</v>
      </c>
      <c r="Z10" s="247" t="s">
        <v>90</v>
      </c>
      <c r="AA10" s="247" t="s">
        <v>78</v>
      </c>
      <c r="AB10" s="137" t="s">
        <v>412</v>
      </c>
      <c r="AC10" s="142"/>
      <c r="AE10" s="223" t="s">
        <v>103</v>
      </c>
      <c r="AG10" s="49" t="s">
        <v>239</v>
      </c>
      <c r="AH10" s="49" t="s">
        <v>240</v>
      </c>
      <c r="AJ10" s="247"/>
      <c r="AL10" s="228"/>
      <c r="AN10" s="247"/>
      <c r="AP10" s="224" t="s">
        <v>100</v>
      </c>
      <c r="AR10" s="231" t="s">
        <v>123</v>
      </c>
      <c r="AT10" s="247"/>
      <c r="AV10" s="238" t="s">
        <v>106</v>
      </c>
      <c r="AX10" s="225">
        <v>138</v>
      </c>
      <c r="AY10" s="226">
        <v>25</v>
      </c>
      <c r="AZ10" s="226">
        <v>138</v>
      </c>
      <c r="BA10" s="227">
        <v>22</v>
      </c>
    </row>
    <row r="11" spans="1:53" x14ac:dyDescent="0.15">
      <c r="A11" s="137" t="s">
        <v>61</v>
      </c>
      <c r="B11" s="137" t="s">
        <v>368</v>
      </c>
      <c r="C11" s="137">
        <v>2018</v>
      </c>
      <c r="D11" s="138" t="s">
        <v>411</v>
      </c>
      <c r="E11" s="137" t="s">
        <v>226</v>
      </c>
      <c r="F11" s="137" t="s">
        <v>227</v>
      </c>
      <c r="G11" s="137" t="s">
        <v>42</v>
      </c>
      <c r="H11" s="247" t="s">
        <v>157</v>
      </c>
      <c r="I11" s="247" t="s">
        <v>153</v>
      </c>
      <c r="J11" s="137" t="s">
        <v>38</v>
      </c>
      <c r="K11" s="247" t="s">
        <v>154</v>
      </c>
      <c r="L11" s="247">
        <v>1</v>
      </c>
      <c r="M11" s="247"/>
      <c r="N11" s="247">
        <v>4</v>
      </c>
      <c r="O11" s="247">
        <v>0.5</v>
      </c>
      <c r="P11" s="247">
        <v>0.5</v>
      </c>
      <c r="Q11" s="139">
        <f t="shared" si="0"/>
        <v>0.5</v>
      </c>
      <c r="R11" s="247">
        <v>18</v>
      </c>
      <c r="S11" s="247">
        <v>111</v>
      </c>
      <c r="T11" s="140">
        <f t="shared" si="1"/>
        <v>33</v>
      </c>
      <c r="U11" s="247">
        <v>498</v>
      </c>
      <c r="V11" s="141">
        <f t="shared" si="2"/>
        <v>4108.5</v>
      </c>
      <c r="W11" s="247">
        <v>6</v>
      </c>
      <c r="X11" s="137" t="s">
        <v>46</v>
      </c>
      <c r="Y11" s="247" t="s">
        <v>84</v>
      </c>
      <c r="Z11" s="247" t="s">
        <v>90</v>
      </c>
      <c r="AA11" s="247" t="s">
        <v>78</v>
      </c>
      <c r="AB11" s="137" t="s">
        <v>412</v>
      </c>
      <c r="AC11" s="142"/>
      <c r="AE11" s="223" t="s">
        <v>65</v>
      </c>
      <c r="AG11" s="49" t="s">
        <v>241</v>
      </c>
      <c r="AH11" s="49" t="s">
        <v>240</v>
      </c>
      <c r="AJ11" s="247"/>
      <c r="AL11" s="149"/>
      <c r="AN11" s="247"/>
      <c r="AP11" s="224" t="s">
        <v>104</v>
      </c>
      <c r="AR11" s="231" t="s">
        <v>87</v>
      </c>
      <c r="AV11" s="150" t="s">
        <v>413</v>
      </c>
      <c r="AX11" s="225">
        <v>151</v>
      </c>
      <c r="AY11" s="226">
        <v>22</v>
      </c>
      <c r="AZ11" s="226">
        <v>152</v>
      </c>
      <c r="BA11" s="227">
        <v>18</v>
      </c>
    </row>
    <row r="12" spans="1:53" x14ac:dyDescent="0.15">
      <c r="A12" s="137" t="s">
        <v>61</v>
      </c>
      <c r="B12" s="137" t="s">
        <v>373</v>
      </c>
      <c r="C12" s="137">
        <v>2018</v>
      </c>
      <c r="D12" s="138" t="s">
        <v>414</v>
      </c>
      <c r="E12" s="137" t="s">
        <v>226</v>
      </c>
      <c r="F12" s="137" t="s">
        <v>227</v>
      </c>
      <c r="G12" s="137" t="s">
        <v>42</v>
      </c>
      <c r="H12" s="247" t="s">
        <v>157</v>
      </c>
      <c r="I12" s="247" t="s">
        <v>153</v>
      </c>
      <c r="J12" s="137" t="s">
        <v>38</v>
      </c>
      <c r="K12" s="247" t="s">
        <v>154</v>
      </c>
      <c r="L12" s="247">
        <v>2</v>
      </c>
      <c r="M12" s="247"/>
      <c r="N12" s="247">
        <v>4</v>
      </c>
      <c r="O12" s="247">
        <v>0.5</v>
      </c>
      <c r="P12" s="247">
        <v>0.55000000000000004</v>
      </c>
      <c r="Q12" s="139">
        <f t="shared" si="0"/>
        <v>0.52500000000000002</v>
      </c>
      <c r="R12" s="247">
        <v>18.399999999999999</v>
      </c>
      <c r="S12" s="247">
        <v>108</v>
      </c>
      <c r="T12" s="140">
        <f t="shared" si="1"/>
        <v>33</v>
      </c>
      <c r="U12" s="247">
        <v>498</v>
      </c>
      <c r="V12" s="141">
        <f t="shared" si="2"/>
        <v>4108.5</v>
      </c>
      <c r="W12" s="247">
        <v>6</v>
      </c>
      <c r="X12" s="137" t="s">
        <v>46</v>
      </c>
      <c r="Y12" s="247" t="s">
        <v>84</v>
      </c>
      <c r="Z12" s="247" t="s">
        <v>90</v>
      </c>
      <c r="AA12" s="247" t="s">
        <v>78</v>
      </c>
      <c r="AB12" s="137" t="s">
        <v>415</v>
      </c>
      <c r="AC12" s="142"/>
      <c r="AE12" s="223" t="s">
        <v>70</v>
      </c>
      <c r="AG12" s="224"/>
      <c r="AH12" s="223"/>
      <c r="AJ12" s="247"/>
      <c r="AL12" s="149"/>
      <c r="AN12" s="247"/>
      <c r="AP12" s="224" t="s">
        <v>67</v>
      </c>
      <c r="AR12" s="231" t="s">
        <v>124</v>
      </c>
      <c r="AV12" s="150" t="s">
        <v>416</v>
      </c>
      <c r="AX12" s="225">
        <v>180</v>
      </c>
      <c r="AY12" s="226">
        <v>18</v>
      </c>
      <c r="AZ12" s="226">
        <v>181</v>
      </c>
      <c r="BA12" s="227">
        <v>16</v>
      </c>
    </row>
    <row r="13" spans="1:53" x14ac:dyDescent="0.15">
      <c r="A13" s="137" t="s">
        <v>61</v>
      </c>
      <c r="B13" s="137" t="s">
        <v>377</v>
      </c>
      <c r="C13" s="137">
        <v>2018</v>
      </c>
      <c r="D13" s="138" t="s">
        <v>417</v>
      </c>
      <c r="E13" s="137" t="s">
        <v>226</v>
      </c>
      <c r="F13" s="137" t="s">
        <v>227</v>
      </c>
      <c r="G13" s="137" t="s">
        <v>42</v>
      </c>
      <c r="H13" s="247" t="s">
        <v>157</v>
      </c>
      <c r="I13" s="247" t="s">
        <v>153</v>
      </c>
      <c r="J13" s="137" t="s">
        <v>38</v>
      </c>
      <c r="K13" s="247" t="s">
        <v>154</v>
      </c>
      <c r="L13" s="247">
        <v>3</v>
      </c>
      <c r="M13" s="247"/>
      <c r="N13" s="247">
        <v>4</v>
      </c>
      <c r="O13" s="247">
        <v>0.5</v>
      </c>
      <c r="P13" s="247">
        <v>0.5</v>
      </c>
      <c r="Q13" s="139">
        <f t="shared" si="0"/>
        <v>0.5</v>
      </c>
      <c r="R13" s="247">
        <v>18.399999999999999</v>
      </c>
      <c r="S13" s="247">
        <v>105</v>
      </c>
      <c r="T13" s="140">
        <f t="shared" si="1"/>
        <v>33</v>
      </c>
      <c r="U13" s="247">
        <v>498</v>
      </c>
      <c r="V13" s="141">
        <f t="shared" si="2"/>
        <v>4108.5</v>
      </c>
      <c r="W13" s="247">
        <v>6</v>
      </c>
      <c r="X13" s="137" t="s">
        <v>46</v>
      </c>
      <c r="Y13" s="247" t="s">
        <v>84</v>
      </c>
      <c r="Z13" s="247" t="s">
        <v>90</v>
      </c>
      <c r="AA13" s="247" t="s">
        <v>78</v>
      </c>
      <c r="AB13" s="137" t="s">
        <v>418</v>
      </c>
      <c r="AC13" s="142"/>
      <c r="AE13" s="223" t="s">
        <v>73</v>
      </c>
      <c r="AG13" s="224"/>
      <c r="AH13" s="223"/>
      <c r="AJ13" s="247"/>
      <c r="AL13" s="151"/>
      <c r="AN13" s="247"/>
      <c r="AP13" s="224" t="s">
        <v>71</v>
      </c>
      <c r="AR13" s="231" t="s">
        <v>103</v>
      </c>
      <c r="AV13" s="150" t="s">
        <v>419</v>
      </c>
      <c r="AX13" s="225"/>
      <c r="AY13" s="226"/>
      <c r="AZ13" s="226"/>
      <c r="BA13" s="227"/>
    </row>
    <row r="14" spans="1:53" x14ac:dyDescent="0.15">
      <c r="A14" s="137" t="s">
        <v>61</v>
      </c>
      <c r="B14" s="137" t="s">
        <v>379</v>
      </c>
      <c r="C14" s="137">
        <v>2018</v>
      </c>
      <c r="D14" s="138" t="s">
        <v>420</v>
      </c>
      <c r="E14" s="137" t="s">
        <v>228</v>
      </c>
      <c r="F14" s="137" t="s">
        <v>229</v>
      </c>
      <c r="G14" s="137" t="s">
        <v>42</v>
      </c>
      <c r="H14" s="247" t="s">
        <v>155</v>
      </c>
      <c r="I14" s="247" t="s">
        <v>153</v>
      </c>
      <c r="J14" s="137" t="s">
        <v>38</v>
      </c>
      <c r="K14" s="247" t="s">
        <v>154</v>
      </c>
      <c r="L14" s="247">
        <v>1</v>
      </c>
      <c r="M14" s="247"/>
      <c r="N14" s="247">
        <v>5</v>
      </c>
      <c r="O14" s="247">
        <v>0.55000000000000004</v>
      </c>
      <c r="P14" s="247">
        <v>0.55000000000000004</v>
      </c>
      <c r="Q14" s="139">
        <f t="shared" si="0"/>
        <v>0.55000000000000004</v>
      </c>
      <c r="R14" s="247">
        <v>18.100000000000001</v>
      </c>
      <c r="S14" s="247">
        <v>87</v>
      </c>
      <c r="T14" s="140">
        <f t="shared" si="1"/>
        <v>36</v>
      </c>
      <c r="U14" s="247">
        <v>298</v>
      </c>
      <c r="V14" s="141">
        <f t="shared" si="2"/>
        <v>2145.6</v>
      </c>
      <c r="W14" s="247">
        <v>13</v>
      </c>
      <c r="X14" s="137" t="s">
        <v>46</v>
      </c>
      <c r="Y14" s="247" t="s">
        <v>90</v>
      </c>
      <c r="Z14" s="247" t="s">
        <v>84</v>
      </c>
      <c r="AA14" s="247" t="s">
        <v>102</v>
      </c>
      <c r="AB14" s="137" t="s">
        <v>421</v>
      </c>
      <c r="AC14" s="142"/>
      <c r="AE14" s="223" t="s">
        <v>76</v>
      </c>
      <c r="AG14" s="224"/>
      <c r="AH14" s="223"/>
      <c r="AL14" s="235"/>
      <c r="AP14" s="224" t="s">
        <v>74</v>
      </c>
      <c r="AR14" s="231" t="s">
        <v>125</v>
      </c>
      <c r="AV14" s="150" t="s">
        <v>422</v>
      </c>
      <c r="AX14" s="225"/>
      <c r="AY14" s="226"/>
      <c r="AZ14" s="226"/>
      <c r="BA14" s="227"/>
    </row>
    <row r="15" spans="1:53" x14ac:dyDescent="0.15">
      <c r="A15" s="137" t="s">
        <v>61</v>
      </c>
      <c r="B15" s="137" t="s">
        <v>379</v>
      </c>
      <c r="C15" s="137">
        <v>2018</v>
      </c>
      <c r="D15" s="138" t="s">
        <v>420</v>
      </c>
      <c r="E15" s="137" t="s">
        <v>228</v>
      </c>
      <c r="F15" s="137" t="s">
        <v>229</v>
      </c>
      <c r="G15" s="137" t="s">
        <v>42</v>
      </c>
      <c r="H15" s="247" t="s">
        <v>155</v>
      </c>
      <c r="I15" s="247" t="s">
        <v>153</v>
      </c>
      <c r="J15" s="137" t="s">
        <v>38</v>
      </c>
      <c r="K15" s="247" t="s">
        <v>154</v>
      </c>
      <c r="L15" s="247">
        <v>2</v>
      </c>
      <c r="M15" s="247"/>
      <c r="N15" s="247">
        <v>5</v>
      </c>
      <c r="O15" s="247">
        <v>0.5</v>
      </c>
      <c r="P15" s="247">
        <v>0.5</v>
      </c>
      <c r="Q15" s="139">
        <f t="shared" si="0"/>
        <v>0.5</v>
      </c>
      <c r="R15" s="142">
        <v>18</v>
      </c>
      <c r="S15" s="247">
        <v>90</v>
      </c>
      <c r="T15" s="140">
        <f t="shared" si="1"/>
        <v>36</v>
      </c>
      <c r="U15" s="247">
        <v>298</v>
      </c>
      <c r="V15" s="141">
        <f t="shared" si="2"/>
        <v>2145.6</v>
      </c>
      <c r="W15" s="247">
        <v>13</v>
      </c>
      <c r="X15" s="137" t="s">
        <v>46</v>
      </c>
      <c r="Y15" s="247" t="s">
        <v>90</v>
      </c>
      <c r="Z15" s="247" t="s">
        <v>84</v>
      </c>
      <c r="AA15" s="247" t="s">
        <v>102</v>
      </c>
      <c r="AB15" s="137" t="s">
        <v>421</v>
      </c>
      <c r="AC15" s="142"/>
      <c r="AE15" s="223" t="s">
        <v>79</v>
      </c>
      <c r="AG15" s="224"/>
      <c r="AH15" s="224"/>
      <c r="AL15" s="235"/>
      <c r="AP15" s="224" t="s">
        <v>77</v>
      </c>
      <c r="AR15" s="231" t="s">
        <v>94</v>
      </c>
      <c r="AV15" s="150" t="s">
        <v>423</v>
      </c>
      <c r="AX15" s="232"/>
      <c r="AY15" s="233"/>
      <c r="AZ15" s="233"/>
      <c r="BA15" s="234"/>
    </row>
    <row r="16" spans="1:53" x14ac:dyDescent="0.15">
      <c r="A16" s="137" t="s">
        <v>61</v>
      </c>
      <c r="B16" s="137" t="s">
        <v>383</v>
      </c>
      <c r="C16" s="137">
        <v>2018</v>
      </c>
      <c r="D16" s="138" t="s">
        <v>424</v>
      </c>
      <c r="E16" s="137" t="s">
        <v>228</v>
      </c>
      <c r="F16" s="137" t="s">
        <v>229</v>
      </c>
      <c r="G16" s="137" t="s">
        <v>42</v>
      </c>
      <c r="H16" s="247" t="s">
        <v>155</v>
      </c>
      <c r="I16" s="247" t="s">
        <v>153</v>
      </c>
      <c r="J16" s="137" t="s">
        <v>38</v>
      </c>
      <c r="K16" s="247" t="s">
        <v>154</v>
      </c>
      <c r="L16" s="247">
        <v>3</v>
      </c>
      <c r="M16" s="247"/>
      <c r="N16" s="247">
        <v>5</v>
      </c>
      <c r="O16" s="247">
        <v>0.5</v>
      </c>
      <c r="P16" s="247">
        <v>0.55000000000000004</v>
      </c>
      <c r="Q16" s="139">
        <f t="shared" si="0"/>
        <v>0.52500000000000002</v>
      </c>
      <c r="R16" s="247">
        <v>17.8</v>
      </c>
      <c r="S16" s="247">
        <v>86</v>
      </c>
      <c r="T16" s="140">
        <f t="shared" si="1"/>
        <v>36</v>
      </c>
      <c r="U16" s="247">
        <v>298</v>
      </c>
      <c r="V16" s="141">
        <f t="shared" si="2"/>
        <v>2145.6</v>
      </c>
      <c r="W16" s="247">
        <v>13</v>
      </c>
      <c r="X16" s="137" t="s">
        <v>46</v>
      </c>
      <c r="Y16" s="247" t="s">
        <v>90</v>
      </c>
      <c r="Z16" s="247" t="s">
        <v>84</v>
      </c>
      <c r="AA16" s="247" t="s">
        <v>102</v>
      </c>
      <c r="AB16" s="137" t="s">
        <v>425</v>
      </c>
      <c r="AC16" s="142"/>
      <c r="AE16" s="223" t="s">
        <v>82</v>
      </c>
      <c r="AG16" s="224"/>
      <c r="AH16" s="224"/>
      <c r="AP16" s="224" t="s">
        <v>80</v>
      </c>
      <c r="AR16" s="238" t="s">
        <v>63</v>
      </c>
      <c r="AV16" s="150" t="s">
        <v>426</v>
      </c>
    </row>
    <row r="17" spans="1:48" x14ac:dyDescent="0.15">
      <c r="A17" s="137" t="s">
        <v>61</v>
      </c>
      <c r="B17" s="137" t="s">
        <v>383</v>
      </c>
      <c r="C17" s="137">
        <v>2018</v>
      </c>
      <c r="D17" s="138" t="s">
        <v>424</v>
      </c>
      <c r="E17" s="137" t="s">
        <v>228</v>
      </c>
      <c r="F17" s="137" t="s">
        <v>229</v>
      </c>
      <c r="G17" s="137" t="s">
        <v>42</v>
      </c>
      <c r="H17" s="247" t="s">
        <v>157</v>
      </c>
      <c r="I17" s="247" t="s">
        <v>153</v>
      </c>
      <c r="J17" s="137" t="s">
        <v>38</v>
      </c>
      <c r="K17" s="247" t="s">
        <v>154</v>
      </c>
      <c r="L17" s="247">
        <v>1</v>
      </c>
      <c r="M17" s="247"/>
      <c r="N17" s="247">
        <v>1</v>
      </c>
      <c r="O17" s="247">
        <v>0.6</v>
      </c>
      <c r="P17" s="247">
        <v>0.6</v>
      </c>
      <c r="Q17" s="139">
        <f t="shared" si="0"/>
        <v>0.6</v>
      </c>
      <c r="R17" s="247">
        <v>17.600000000000001</v>
      </c>
      <c r="S17" s="247">
        <v>157</v>
      </c>
      <c r="T17" s="140">
        <f t="shared" si="1"/>
        <v>18</v>
      </c>
      <c r="U17" s="247">
        <v>158</v>
      </c>
      <c r="V17" s="141">
        <f t="shared" si="2"/>
        <v>2844</v>
      </c>
      <c r="W17" s="247">
        <v>13</v>
      </c>
      <c r="X17" s="137" t="s">
        <v>46</v>
      </c>
      <c r="Y17" s="247" t="s">
        <v>90</v>
      </c>
      <c r="Z17" s="247" t="s">
        <v>84</v>
      </c>
      <c r="AA17" s="247" t="s">
        <v>102</v>
      </c>
      <c r="AB17" s="137" t="s">
        <v>425</v>
      </c>
      <c r="AC17" s="142"/>
      <c r="AE17" s="223" t="s">
        <v>85</v>
      </c>
      <c r="AP17" s="239" t="s">
        <v>110</v>
      </c>
      <c r="AR17" s="238" t="s">
        <v>96</v>
      </c>
      <c r="AV17" s="150" t="s">
        <v>427</v>
      </c>
    </row>
    <row r="18" spans="1:48" x14ac:dyDescent="0.15">
      <c r="A18" s="137" t="s">
        <v>61</v>
      </c>
      <c r="B18" s="137" t="s">
        <v>383</v>
      </c>
      <c r="C18" s="137">
        <v>2018</v>
      </c>
      <c r="D18" s="138" t="s">
        <v>424</v>
      </c>
      <c r="E18" s="137" t="s">
        <v>228</v>
      </c>
      <c r="F18" s="137" t="s">
        <v>229</v>
      </c>
      <c r="G18" s="137" t="s">
        <v>42</v>
      </c>
      <c r="H18" s="247" t="s">
        <v>157</v>
      </c>
      <c r="I18" s="247" t="s">
        <v>153</v>
      </c>
      <c r="J18" s="137" t="s">
        <v>38</v>
      </c>
      <c r="K18" s="247" t="s">
        <v>154</v>
      </c>
      <c r="L18" s="247">
        <v>2</v>
      </c>
      <c r="M18" s="247"/>
      <c r="N18" s="247">
        <v>1</v>
      </c>
      <c r="O18" s="247">
        <v>0.5</v>
      </c>
      <c r="P18" s="247">
        <v>0.55000000000000004</v>
      </c>
      <c r="Q18" s="139">
        <f t="shared" si="0"/>
        <v>0.52500000000000002</v>
      </c>
      <c r="R18" s="247">
        <v>17.600000000000001</v>
      </c>
      <c r="S18" s="247">
        <v>167</v>
      </c>
      <c r="T18" s="140">
        <f t="shared" si="1"/>
        <v>18</v>
      </c>
      <c r="U18" s="247">
        <v>158</v>
      </c>
      <c r="V18" s="141">
        <f t="shared" si="2"/>
        <v>2844</v>
      </c>
      <c r="W18" s="247">
        <v>13</v>
      </c>
      <c r="X18" s="137" t="s">
        <v>46</v>
      </c>
      <c r="Y18" s="247" t="s">
        <v>90</v>
      </c>
      <c r="Z18" s="247" t="s">
        <v>84</v>
      </c>
      <c r="AA18" s="247" t="s">
        <v>102</v>
      </c>
      <c r="AB18" s="137" t="s">
        <v>425</v>
      </c>
      <c r="AC18" s="142"/>
      <c r="AE18" s="223" t="s">
        <v>87</v>
      </c>
      <c r="AP18" s="239" t="s">
        <v>111</v>
      </c>
      <c r="AR18" s="238" t="s">
        <v>101</v>
      </c>
      <c r="AV18" s="150" t="s">
        <v>347</v>
      </c>
    </row>
    <row r="19" spans="1:48" x14ac:dyDescent="0.15">
      <c r="A19" s="137" t="s">
        <v>61</v>
      </c>
      <c r="B19" s="137" t="s">
        <v>373</v>
      </c>
      <c r="C19" s="137">
        <v>2018</v>
      </c>
      <c r="D19" s="138" t="s">
        <v>414</v>
      </c>
      <c r="E19" s="137" t="s">
        <v>228</v>
      </c>
      <c r="F19" s="137" t="s">
        <v>229</v>
      </c>
      <c r="G19" s="137" t="s">
        <v>42</v>
      </c>
      <c r="H19" s="247" t="s">
        <v>157</v>
      </c>
      <c r="I19" s="247" t="s">
        <v>153</v>
      </c>
      <c r="J19" s="137" t="s">
        <v>38</v>
      </c>
      <c r="K19" s="247" t="s">
        <v>154</v>
      </c>
      <c r="L19" s="247">
        <v>3</v>
      </c>
      <c r="M19" s="247"/>
      <c r="N19" s="247">
        <v>1</v>
      </c>
      <c r="O19" s="247">
        <v>0.6</v>
      </c>
      <c r="P19" s="247">
        <v>0.55000000000000004</v>
      </c>
      <c r="Q19" s="139">
        <f t="shared" si="0"/>
        <v>0.57499999999999996</v>
      </c>
      <c r="R19" s="247">
        <v>17.8</v>
      </c>
      <c r="S19" s="247">
        <v>156</v>
      </c>
      <c r="T19" s="140">
        <f t="shared" si="1"/>
        <v>18</v>
      </c>
      <c r="U19" s="247">
        <v>158</v>
      </c>
      <c r="V19" s="141">
        <f t="shared" si="2"/>
        <v>2844</v>
      </c>
      <c r="W19" s="247">
        <v>13</v>
      </c>
      <c r="X19" s="137" t="s">
        <v>46</v>
      </c>
      <c r="Y19" s="247" t="s">
        <v>90</v>
      </c>
      <c r="Z19" s="247" t="s">
        <v>84</v>
      </c>
      <c r="AA19" s="247" t="s">
        <v>102</v>
      </c>
      <c r="AB19" s="137" t="s">
        <v>415</v>
      </c>
      <c r="AC19" s="142"/>
      <c r="AE19" s="236" t="s">
        <v>89</v>
      </c>
      <c r="AP19" s="239" t="s">
        <v>112</v>
      </c>
      <c r="AR19" s="231" t="s">
        <v>126</v>
      </c>
      <c r="AV19" s="150" t="s">
        <v>428</v>
      </c>
    </row>
    <row r="20" spans="1:48" x14ac:dyDescent="0.15">
      <c r="A20" s="137" t="s">
        <v>61</v>
      </c>
      <c r="B20" s="137" t="s">
        <v>373</v>
      </c>
      <c r="C20" s="137">
        <v>2018</v>
      </c>
      <c r="D20" s="138" t="s">
        <v>414</v>
      </c>
      <c r="E20" s="137" t="s">
        <v>230</v>
      </c>
      <c r="F20" s="137" t="s">
        <v>231</v>
      </c>
      <c r="G20" s="137" t="s">
        <v>42</v>
      </c>
      <c r="H20" s="247" t="s">
        <v>155</v>
      </c>
      <c r="I20" s="247" t="s">
        <v>153</v>
      </c>
      <c r="J20" s="137" t="s">
        <v>38</v>
      </c>
      <c r="K20" s="247" t="s">
        <v>154</v>
      </c>
      <c r="L20" s="247">
        <v>1</v>
      </c>
      <c r="M20" s="247"/>
      <c r="N20" s="247">
        <v>4</v>
      </c>
      <c r="O20" s="247">
        <v>0.8</v>
      </c>
      <c r="P20" s="247">
        <v>0.85</v>
      </c>
      <c r="Q20" s="139">
        <f t="shared" si="0"/>
        <v>0.82499999999999996</v>
      </c>
      <c r="R20" s="247">
        <v>15.6</v>
      </c>
      <c r="S20" s="247">
        <v>97</v>
      </c>
      <c r="T20" s="140">
        <f t="shared" si="1"/>
        <v>36</v>
      </c>
      <c r="U20" s="247">
        <v>429</v>
      </c>
      <c r="V20" s="141">
        <f t="shared" si="2"/>
        <v>3861</v>
      </c>
      <c r="W20" s="247">
        <v>17</v>
      </c>
      <c r="X20" s="137" t="s">
        <v>46</v>
      </c>
      <c r="Y20" s="247" t="s">
        <v>84</v>
      </c>
      <c r="Z20" s="247" t="s">
        <v>90</v>
      </c>
      <c r="AA20" s="247" t="s">
        <v>55</v>
      </c>
      <c r="AB20" s="137" t="s">
        <v>415</v>
      </c>
      <c r="AC20" s="142"/>
      <c r="AE20" s="223"/>
      <c r="AG20" s="247"/>
      <c r="AH20" s="247"/>
      <c r="AJ20" s="247"/>
      <c r="AN20" s="247"/>
      <c r="AP20" s="239" t="s">
        <v>113</v>
      </c>
      <c r="AR20" s="238" t="s">
        <v>105</v>
      </c>
      <c r="AV20" s="150" t="s">
        <v>429</v>
      </c>
    </row>
    <row r="21" spans="1:48" x14ac:dyDescent="0.15">
      <c r="A21" s="137" t="s">
        <v>61</v>
      </c>
      <c r="B21" s="137" t="s">
        <v>373</v>
      </c>
      <c r="C21" s="137">
        <v>2018</v>
      </c>
      <c r="D21" s="138" t="s">
        <v>414</v>
      </c>
      <c r="E21" s="137" t="s">
        <v>230</v>
      </c>
      <c r="F21" s="137" t="s">
        <v>231</v>
      </c>
      <c r="G21" s="137" t="s">
        <v>42</v>
      </c>
      <c r="H21" s="247" t="s">
        <v>155</v>
      </c>
      <c r="I21" s="247" t="s">
        <v>153</v>
      </c>
      <c r="J21" s="137" t="s">
        <v>38</v>
      </c>
      <c r="K21" s="247" t="s">
        <v>154</v>
      </c>
      <c r="L21" s="247">
        <v>2</v>
      </c>
      <c r="M21" s="247"/>
      <c r="N21" s="247">
        <v>4</v>
      </c>
      <c r="O21" s="247">
        <v>0.7</v>
      </c>
      <c r="P21" s="247">
        <v>0.7</v>
      </c>
      <c r="Q21" s="139">
        <f t="shared" si="0"/>
        <v>0.7</v>
      </c>
      <c r="R21" s="247">
        <v>16.399999999999999</v>
      </c>
      <c r="S21" s="247">
        <v>94</v>
      </c>
      <c r="T21" s="140">
        <f t="shared" si="1"/>
        <v>36</v>
      </c>
      <c r="U21" s="247">
        <v>429</v>
      </c>
      <c r="V21" s="141">
        <f t="shared" si="2"/>
        <v>3861</v>
      </c>
      <c r="W21" s="247">
        <v>17</v>
      </c>
      <c r="X21" s="137" t="s">
        <v>46</v>
      </c>
      <c r="Y21" s="247" t="s">
        <v>84</v>
      </c>
      <c r="Z21" s="247" t="s">
        <v>90</v>
      </c>
      <c r="AA21" s="247" t="s">
        <v>55</v>
      </c>
      <c r="AB21" s="137" t="s">
        <v>415</v>
      </c>
      <c r="AC21" s="142"/>
      <c r="AE21" s="223"/>
      <c r="AG21" s="247"/>
      <c r="AH21" s="247"/>
      <c r="AL21" s="247"/>
      <c r="AN21" s="247"/>
      <c r="AP21" s="239" t="s">
        <v>114</v>
      </c>
      <c r="AR21" s="238" t="s">
        <v>68</v>
      </c>
      <c r="AV21" s="150" t="s">
        <v>430</v>
      </c>
    </row>
    <row r="22" spans="1:48" x14ac:dyDescent="0.15">
      <c r="A22" s="137" t="s">
        <v>61</v>
      </c>
      <c r="B22" s="137" t="s">
        <v>373</v>
      </c>
      <c r="C22" s="137">
        <v>2018</v>
      </c>
      <c r="D22" s="138" t="s">
        <v>414</v>
      </c>
      <c r="E22" s="137" t="s">
        <v>230</v>
      </c>
      <c r="F22" s="137" t="s">
        <v>231</v>
      </c>
      <c r="G22" s="137" t="s">
        <v>42</v>
      </c>
      <c r="H22" s="247" t="s">
        <v>155</v>
      </c>
      <c r="I22" s="247" t="s">
        <v>153</v>
      </c>
      <c r="J22" s="137" t="s">
        <v>38</v>
      </c>
      <c r="K22" s="247" t="s">
        <v>154</v>
      </c>
      <c r="L22" s="247">
        <v>3</v>
      </c>
      <c r="M22" s="247"/>
      <c r="N22" s="142">
        <v>4</v>
      </c>
      <c r="O22" s="142">
        <v>0.7</v>
      </c>
      <c r="P22" s="247">
        <v>0.7</v>
      </c>
      <c r="Q22" s="139">
        <f t="shared" si="0"/>
        <v>0.7</v>
      </c>
      <c r="R22" s="247">
        <v>16.399999999999999</v>
      </c>
      <c r="S22" s="247">
        <v>105</v>
      </c>
      <c r="T22" s="140">
        <f t="shared" si="1"/>
        <v>33</v>
      </c>
      <c r="U22" s="247">
        <v>429</v>
      </c>
      <c r="V22" s="141">
        <f t="shared" si="2"/>
        <v>3539.25</v>
      </c>
      <c r="W22" s="247">
        <v>17</v>
      </c>
      <c r="X22" s="137" t="s">
        <v>46</v>
      </c>
      <c r="Y22" s="247" t="s">
        <v>84</v>
      </c>
      <c r="Z22" s="247" t="s">
        <v>90</v>
      </c>
      <c r="AA22" s="247" t="s">
        <v>55</v>
      </c>
      <c r="AB22" s="137" t="s">
        <v>415</v>
      </c>
      <c r="AC22" s="142"/>
      <c r="AE22" s="236"/>
      <c r="AG22" s="247"/>
      <c r="AH22" s="247"/>
      <c r="AL22" s="247"/>
      <c r="AP22" s="239" t="s">
        <v>115</v>
      </c>
      <c r="AR22" s="238" t="s">
        <v>83</v>
      </c>
      <c r="AV22" s="224"/>
    </row>
    <row r="23" spans="1:48" x14ac:dyDescent="0.15">
      <c r="A23" s="137" t="s">
        <v>61</v>
      </c>
      <c r="B23" s="137" t="s">
        <v>373</v>
      </c>
      <c r="C23" s="137">
        <v>2018</v>
      </c>
      <c r="D23" s="138" t="s">
        <v>414</v>
      </c>
      <c r="E23" s="137" t="s">
        <v>230</v>
      </c>
      <c r="F23" s="137" t="s">
        <v>231</v>
      </c>
      <c r="G23" s="137" t="s">
        <v>42</v>
      </c>
      <c r="H23" s="247" t="s">
        <v>157</v>
      </c>
      <c r="I23" s="247" t="s">
        <v>153</v>
      </c>
      <c r="J23" s="137" t="s">
        <v>38</v>
      </c>
      <c r="K23" s="247" t="s">
        <v>154</v>
      </c>
      <c r="L23" s="247">
        <v>1</v>
      </c>
      <c r="M23" s="247"/>
      <c r="N23" s="247">
        <v>4</v>
      </c>
      <c r="O23" s="247">
        <v>0.7</v>
      </c>
      <c r="P23" s="142">
        <v>0.75</v>
      </c>
      <c r="Q23" s="139">
        <f t="shared" si="0"/>
        <v>0.72499999999999998</v>
      </c>
      <c r="R23" s="247">
        <v>17.600000000000001</v>
      </c>
      <c r="S23" s="247">
        <v>122</v>
      </c>
      <c r="T23" s="140">
        <f t="shared" si="1"/>
        <v>27</v>
      </c>
      <c r="U23" s="247">
        <v>429</v>
      </c>
      <c r="V23" s="141">
        <f t="shared" si="2"/>
        <v>2895.75</v>
      </c>
      <c r="W23" s="247">
        <v>17</v>
      </c>
      <c r="X23" s="137" t="s">
        <v>46</v>
      </c>
      <c r="Y23" s="247" t="s">
        <v>84</v>
      </c>
      <c r="Z23" s="247" t="s">
        <v>90</v>
      </c>
      <c r="AA23" s="247" t="s">
        <v>55</v>
      </c>
      <c r="AB23" s="137" t="s">
        <v>415</v>
      </c>
      <c r="AC23" s="142"/>
      <c r="AE23" s="223"/>
      <c r="AG23" s="247"/>
      <c r="AH23" s="247"/>
      <c r="AL23" s="247"/>
      <c r="AP23" s="239" t="s">
        <v>388</v>
      </c>
      <c r="AR23" s="238" t="s">
        <v>61</v>
      </c>
      <c r="AV23" s="247"/>
    </row>
    <row r="24" spans="1:48" x14ac:dyDescent="0.15">
      <c r="A24" s="137" t="s">
        <v>61</v>
      </c>
      <c r="B24" s="137" t="s">
        <v>373</v>
      </c>
      <c r="C24" s="137">
        <v>2018</v>
      </c>
      <c r="D24" s="138" t="s">
        <v>414</v>
      </c>
      <c r="E24" s="137" t="s">
        <v>230</v>
      </c>
      <c r="F24" s="137" t="s">
        <v>231</v>
      </c>
      <c r="G24" s="137" t="s">
        <v>42</v>
      </c>
      <c r="H24" s="247" t="s">
        <v>157</v>
      </c>
      <c r="I24" s="247" t="s">
        <v>153</v>
      </c>
      <c r="J24" s="137" t="s">
        <v>38</v>
      </c>
      <c r="K24" s="247" t="s">
        <v>154</v>
      </c>
      <c r="L24" s="247">
        <v>2</v>
      </c>
      <c r="M24" s="247"/>
      <c r="N24" s="247">
        <v>4</v>
      </c>
      <c r="O24" s="247">
        <v>0.7</v>
      </c>
      <c r="P24" s="142">
        <v>0.7</v>
      </c>
      <c r="Q24" s="139">
        <f t="shared" si="0"/>
        <v>0.7</v>
      </c>
      <c r="R24" s="247">
        <v>17.600000000000001</v>
      </c>
      <c r="S24" s="247">
        <v>115</v>
      </c>
      <c r="T24" s="140">
        <f t="shared" si="1"/>
        <v>30</v>
      </c>
      <c r="U24" s="247">
        <v>429</v>
      </c>
      <c r="V24" s="141">
        <f t="shared" si="2"/>
        <v>3217.5</v>
      </c>
      <c r="W24" s="247">
        <v>17</v>
      </c>
      <c r="X24" s="137" t="s">
        <v>46</v>
      </c>
      <c r="Y24" s="247" t="s">
        <v>84</v>
      </c>
      <c r="Z24" s="247" t="s">
        <v>90</v>
      </c>
      <c r="AA24" s="247" t="s">
        <v>55</v>
      </c>
      <c r="AB24" s="137" t="s">
        <v>415</v>
      </c>
      <c r="AC24" s="142"/>
      <c r="AE24" s="223"/>
      <c r="AG24" s="247"/>
      <c r="AH24" s="247"/>
      <c r="AL24" s="247"/>
      <c r="AP24" s="239" t="s">
        <v>389</v>
      </c>
      <c r="AR24" s="238" t="s">
        <v>91</v>
      </c>
      <c r="AV24" s="247"/>
    </row>
    <row r="25" spans="1:48" x14ac:dyDescent="0.15">
      <c r="A25" s="137" t="s">
        <v>61</v>
      </c>
      <c r="B25" s="137" t="s">
        <v>373</v>
      </c>
      <c r="C25" s="137">
        <v>2018</v>
      </c>
      <c r="D25" s="138" t="s">
        <v>414</v>
      </c>
      <c r="E25" s="137" t="s">
        <v>230</v>
      </c>
      <c r="F25" s="137" t="s">
        <v>231</v>
      </c>
      <c r="G25" s="137" t="s">
        <v>42</v>
      </c>
      <c r="H25" s="247" t="s">
        <v>157</v>
      </c>
      <c r="I25" s="247" t="s">
        <v>153</v>
      </c>
      <c r="J25" s="137" t="s">
        <v>38</v>
      </c>
      <c r="K25" s="247" t="s">
        <v>154</v>
      </c>
      <c r="L25" s="247">
        <v>3</v>
      </c>
      <c r="M25" s="247"/>
      <c r="N25" s="247">
        <v>4</v>
      </c>
      <c r="O25" s="247">
        <v>0.6</v>
      </c>
      <c r="P25" s="142">
        <v>0.55000000000000004</v>
      </c>
      <c r="Q25" s="139">
        <f t="shared" si="0"/>
        <v>0.57499999999999996</v>
      </c>
      <c r="R25" s="247">
        <v>18.100000000000001</v>
      </c>
      <c r="S25" s="247">
        <v>117</v>
      </c>
      <c r="T25" s="140">
        <f t="shared" si="1"/>
        <v>30</v>
      </c>
      <c r="U25" s="247">
        <v>429</v>
      </c>
      <c r="V25" s="141">
        <f t="shared" si="2"/>
        <v>3217.5</v>
      </c>
      <c r="W25" s="247">
        <v>17</v>
      </c>
      <c r="X25" s="137" t="s">
        <v>46</v>
      </c>
      <c r="Y25" s="247" t="s">
        <v>84</v>
      </c>
      <c r="Z25" s="247" t="s">
        <v>90</v>
      </c>
      <c r="AA25" s="247" t="s">
        <v>55</v>
      </c>
      <c r="AB25" s="137" t="s">
        <v>415</v>
      </c>
      <c r="AC25" s="142"/>
      <c r="AE25" s="236"/>
      <c r="AG25" s="247"/>
      <c r="AH25" s="247"/>
      <c r="AL25" s="247"/>
      <c r="AP25" s="239" t="s">
        <v>116</v>
      </c>
      <c r="AR25" s="42" t="s">
        <v>92</v>
      </c>
      <c r="AV25" s="247"/>
    </row>
    <row r="26" spans="1:48" x14ac:dyDescent="0.15">
      <c r="A26" s="137" t="s">
        <v>61</v>
      </c>
      <c r="B26" s="137" t="s">
        <v>373</v>
      </c>
      <c r="C26" s="137">
        <v>2018</v>
      </c>
      <c r="D26" s="138" t="s">
        <v>414</v>
      </c>
      <c r="E26" s="137" t="s">
        <v>230</v>
      </c>
      <c r="F26" s="137" t="s">
        <v>231</v>
      </c>
      <c r="G26" s="137" t="s">
        <v>42</v>
      </c>
      <c r="H26" s="247" t="s">
        <v>155</v>
      </c>
      <c r="I26" s="247" t="s">
        <v>156</v>
      </c>
      <c r="J26" s="137" t="s">
        <v>38</v>
      </c>
      <c r="K26" s="247" t="s">
        <v>154</v>
      </c>
      <c r="L26" s="247">
        <v>1</v>
      </c>
      <c r="M26" s="247"/>
      <c r="N26" s="247">
        <v>4</v>
      </c>
      <c r="O26" s="247">
        <v>0.9</v>
      </c>
      <c r="P26" s="142">
        <v>0.9</v>
      </c>
      <c r="Q26" s="139">
        <f t="shared" si="0"/>
        <v>0.9</v>
      </c>
      <c r="R26" s="247">
        <v>13.9</v>
      </c>
      <c r="S26" s="247">
        <v>99</v>
      </c>
      <c r="T26" s="140">
        <f t="shared" si="1"/>
        <v>33</v>
      </c>
      <c r="U26" s="247">
        <v>429</v>
      </c>
      <c r="V26" s="141">
        <f t="shared" si="2"/>
        <v>3539.25</v>
      </c>
      <c r="W26" s="247">
        <v>17</v>
      </c>
      <c r="X26" s="137" t="s">
        <v>46</v>
      </c>
      <c r="Y26" s="247" t="s">
        <v>84</v>
      </c>
      <c r="Z26" s="247" t="s">
        <v>90</v>
      </c>
      <c r="AA26" s="247" t="s">
        <v>55</v>
      </c>
      <c r="AB26" s="137" t="s">
        <v>415</v>
      </c>
      <c r="AC26" s="142"/>
      <c r="AD26" s="235"/>
      <c r="AE26" s="236"/>
      <c r="AG26" s="247"/>
      <c r="AH26" s="247"/>
      <c r="AP26" s="239" t="s">
        <v>117</v>
      </c>
      <c r="AR26" s="224" t="s">
        <v>268</v>
      </c>
      <c r="AV26" s="247"/>
    </row>
    <row r="27" spans="1:48" x14ac:dyDescent="0.15">
      <c r="A27" s="137" t="s">
        <v>61</v>
      </c>
      <c r="B27" s="137" t="s">
        <v>373</v>
      </c>
      <c r="C27" s="137">
        <v>2018</v>
      </c>
      <c r="D27" s="138" t="s">
        <v>414</v>
      </c>
      <c r="E27" s="137" t="s">
        <v>230</v>
      </c>
      <c r="F27" s="137" t="s">
        <v>231</v>
      </c>
      <c r="G27" s="137" t="s">
        <v>42</v>
      </c>
      <c r="H27" s="247" t="s">
        <v>155</v>
      </c>
      <c r="I27" s="247" t="s">
        <v>156</v>
      </c>
      <c r="J27" s="137" t="s">
        <v>38</v>
      </c>
      <c r="K27" s="247" t="s">
        <v>154</v>
      </c>
      <c r="L27" s="247">
        <v>2</v>
      </c>
      <c r="M27" s="247"/>
      <c r="N27" s="247">
        <v>4</v>
      </c>
      <c r="O27" s="247">
        <v>0.9</v>
      </c>
      <c r="P27" s="142">
        <v>0.85</v>
      </c>
      <c r="Q27" s="139">
        <f t="shared" si="0"/>
        <v>0.875</v>
      </c>
      <c r="R27" s="247">
        <v>15.1</v>
      </c>
      <c r="S27" s="247">
        <v>99</v>
      </c>
      <c r="T27" s="140">
        <f t="shared" si="1"/>
        <v>33</v>
      </c>
      <c r="U27" s="247">
        <v>429</v>
      </c>
      <c r="V27" s="141">
        <f t="shared" si="2"/>
        <v>3539.25</v>
      </c>
      <c r="W27" s="247">
        <v>17</v>
      </c>
      <c r="X27" s="137" t="s">
        <v>46</v>
      </c>
      <c r="Y27" s="247" t="s">
        <v>84</v>
      </c>
      <c r="Z27" s="247" t="s">
        <v>90</v>
      </c>
      <c r="AA27" s="247" t="s">
        <v>55</v>
      </c>
      <c r="AB27" s="137" t="s">
        <v>415</v>
      </c>
      <c r="AC27" s="142"/>
      <c r="AD27" s="235"/>
      <c r="AE27" s="229"/>
      <c r="AG27" s="247"/>
      <c r="AH27" s="247"/>
      <c r="AP27" s="239" t="s">
        <v>118</v>
      </c>
      <c r="AR27" s="224"/>
      <c r="AV27" s="247"/>
    </row>
    <row r="28" spans="1:48" x14ac:dyDescent="0.15">
      <c r="A28" s="137" t="s">
        <v>61</v>
      </c>
      <c r="B28" s="137" t="s">
        <v>373</v>
      </c>
      <c r="C28" s="137">
        <v>2018</v>
      </c>
      <c r="D28" s="138" t="s">
        <v>414</v>
      </c>
      <c r="E28" s="137" t="s">
        <v>230</v>
      </c>
      <c r="F28" s="137" t="s">
        <v>231</v>
      </c>
      <c r="G28" s="137" t="s">
        <v>42</v>
      </c>
      <c r="H28" s="247" t="s">
        <v>155</v>
      </c>
      <c r="I28" s="247" t="s">
        <v>156</v>
      </c>
      <c r="J28" s="137" t="s">
        <v>38</v>
      </c>
      <c r="K28" s="247" t="s">
        <v>154</v>
      </c>
      <c r="L28" s="247">
        <v>3</v>
      </c>
      <c r="M28" s="247"/>
      <c r="N28" s="247">
        <v>4</v>
      </c>
      <c r="O28" s="247">
        <v>0.8</v>
      </c>
      <c r="P28" s="142">
        <v>0.8</v>
      </c>
      <c r="Q28" s="139">
        <f t="shared" si="0"/>
        <v>0.8</v>
      </c>
      <c r="R28" s="247">
        <v>15.8</v>
      </c>
      <c r="S28" s="247">
        <v>100</v>
      </c>
      <c r="T28" s="140">
        <f t="shared" si="1"/>
        <v>33</v>
      </c>
      <c r="U28" s="247">
        <v>429</v>
      </c>
      <c r="V28" s="141">
        <f t="shared" si="2"/>
        <v>3539.25</v>
      </c>
      <c r="W28" s="247">
        <v>17</v>
      </c>
      <c r="X28" s="137" t="s">
        <v>46</v>
      </c>
      <c r="Y28" s="247" t="s">
        <v>84</v>
      </c>
      <c r="Z28" s="247" t="s">
        <v>90</v>
      </c>
      <c r="AA28" s="247" t="s">
        <v>55</v>
      </c>
      <c r="AB28" s="137" t="s">
        <v>415</v>
      </c>
      <c r="AC28" s="142"/>
      <c r="AD28" s="235"/>
      <c r="AE28" s="247"/>
      <c r="AG28" s="247"/>
      <c r="AH28" s="247"/>
      <c r="AP28" s="228"/>
      <c r="AR28" s="224"/>
      <c r="AV28" s="247"/>
    </row>
    <row r="29" spans="1:48" x14ac:dyDescent="0.15">
      <c r="A29" s="137" t="s">
        <v>61</v>
      </c>
      <c r="B29" s="137" t="s">
        <v>373</v>
      </c>
      <c r="C29" s="137">
        <v>2018</v>
      </c>
      <c r="D29" s="138" t="s">
        <v>414</v>
      </c>
      <c r="E29" s="137" t="s">
        <v>232</v>
      </c>
      <c r="F29" s="137" t="s">
        <v>233</v>
      </c>
      <c r="G29" s="137" t="s">
        <v>42</v>
      </c>
      <c r="H29" s="247" t="s">
        <v>155</v>
      </c>
      <c r="I29" s="247" t="s">
        <v>153</v>
      </c>
      <c r="J29" s="137" t="s">
        <v>38</v>
      </c>
      <c r="K29" s="247" t="s">
        <v>154</v>
      </c>
      <c r="L29" s="247">
        <v>1</v>
      </c>
      <c r="M29" s="247"/>
      <c r="N29" s="247">
        <v>5</v>
      </c>
      <c r="O29" s="247">
        <v>0.7</v>
      </c>
      <c r="P29" s="247">
        <v>0.75</v>
      </c>
      <c r="Q29" s="139">
        <f t="shared" si="0"/>
        <v>0.72499999999999998</v>
      </c>
      <c r="R29" s="247">
        <v>17.2</v>
      </c>
      <c r="S29" s="247">
        <v>102</v>
      </c>
      <c r="T29" s="140">
        <f t="shared" si="1"/>
        <v>33</v>
      </c>
      <c r="U29" s="247">
        <v>429</v>
      </c>
      <c r="V29" s="141">
        <f t="shared" si="2"/>
        <v>2831.4</v>
      </c>
      <c r="W29" s="247">
        <v>8</v>
      </c>
      <c r="X29" s="137" t="s">
        <v>39</v>
      </c>
      <c r="Y29" s="247" t="s">
        <v>69</v>
      </c>
      <c r="Z29" s="247" t="s">
        <v>84</v>
      </c>
      <c r="AA29" s="247" t="s">
        <v>90</v>
      </c>
      <c r="AB29" s="137" t="s">
        <v>415</v>
      </c>
      <c r="AC29" s="142"/>
    </row>
    <row r="30" spans="1:48" x14ac:dyDescent="0.15">
      <c r="A30" s="137" t="s">
        <v>61</v>
      </c>
      <c r="B30" s="137" t="s">
        <v>373</v>
      </c>
      <c r="C30" s="137">
        <v>2018</v>
      </c>
      <c r="D30" s="138" t="s">
        <v>414</v>
      </c>
      <c r="E30" s="137" t="s">
        <v>232</v>
      </c>
      <c r="F30" s="137" t="s">
        <v>233</v>
      </c>
      <c r="G30" s="137" t="s">
        <v>42</v>
      </c>
      <c r="H30" s="247" t="s">
        <v>155</v>
      </c>
      <c r="I30" s="247" t="s">
        <v>153</v>
      </c>
      <c r="J30" s="137" t="s">
        <v>38</v>
      </c>
      <c r="K30" s="247" t="s">
        <v>154</v>
      </c>
      <c r="L30" s="247">
        <v>2</v>
      </c>
      <c r="M30" s="247"/>
      <c r="N30" s="247">
        <v>5</v>
      </c>
      <c r="O30" s="247">
        <v>0.6</v>
      </c>
      <c r="P30" s="247">
        <v>0.6</v>
      </c>
      <c r="Q30" s="139">
        <f t="shared" si="0"/>
        <v>0.6</v>
      </c>
      <c r="R30" s="247">
        <v>17.3</v>
      </c>
      <c r="S30" s="247">
        <v>106</v>
      </c>
      <c r="T30" s="140">
        <f t="shared" si="1"/>
        <v>33</v>
      </c>
      <c r="U30" s="247">
        <v>429</v>
      </c>
      <c r="V30" s="141">
        <f t="shared" si="2"/>
        <v>2831.4</v>
      </c>
      <c r="W30" s="247">
        <v>8</v>
      </c>
      <c r="X30" s="137" t="s">
        <v>39</v>
      </c>
      <c r="Y30" s="247" t="s">
        <v>69</v>
      </c>
      <c r="Z30" s="247" t="s">
        <v>84</v>
      </c>
      <c r="AA30" s="247" t="s">
        <v>90</v>
      </c>
      <c r="AB30" s="137" t="s">
        <v>415</v>
      </c>
      <c r="AC30" s="142"/>
    </row>
    <row r="31" spans="1:48" x14ac:dyDescent="0.15">
      <c r="A31" s="137" t="s">
        <v>61</v>
      </c>
      <c r="B31" s="137" t="s">
        <v>373</v>
      </c>
      <c r="C31" s="137">
        <v>2018</v>
      </c>
      <c r="D31" s="138" t="s">
        <v>414</v>
      </c>
      <c r="E31" s="137" t="s">
        <v>232</v>
      </c>
      <c r="F31" s="137" t="s">
        <v>233</v>
      </c>
      <c r="G31" s="137" t="s">
        <v>42</v>
      </c>
      <c r="H31" s="247" t="s">
        <v>155</v>
      </c>
      <c r="I31" s="247" t="s">
        <v>153</v>
      </c>
      <c r="J31" s="137" t="s">
        <v>38</v>
      </c>
      <c r="K31" s="247" t="s">
        <v>154</v>
      </c>
      <c r="L31" s="247">
        <v>3</v>
      </c>
      <c r="M31" s="247"/>
      <c r="N31" s="247">
        <v>5</v>
      </c>
      <c r="O31" s="247">
        <v>0.65</v>
      </c>
      <c r="P31" s="247">
        <v>0.6</v>
      </c>
      <c r="Q31" s="139">
        <f t="shared" si="0"/>
        <v>0.625</v>
      </c>
      <c r="R31" s="247">
        <v>17</v>
      </c>
      <c r="S31" s="247">
        <v>110</v>
      </c>
      <c r="T31" s="140">
        <f t="shared" si="1"/>
        <v>33</v>
      </c>
      <c r="U31" s="247">
        <v>429</v>
      </c>
      <c r="V31" s="141">
        <f t="shared" si="2"/>
        <v>2831.4</v>
      </c>
      <c r="W31" s="247">
        <v>8</v>
      </c>
      <c r="X31" s="137" t="s">
        <v>39</v>
      </c>
      <c r="Y31" s="247" t="s">
        <v>69</v>
      </c>
      <c r="Z31" s="247" t="s">
        <v>84</v>
      </c>
      <c r="AA31" s="247" t="s">
        <v>90</v>
      </c>
      <c r="AB31" s="137" t="s">
        <v>415</v>
      </c>
      <c r="AC31" s="142"/>
    </row>
    <row r="32" spans="1:48" x14ac:dyDescent="0.15">
      <c r="A32" s="137" t="s">
        <v>61</v>
      </c>
      <c r="B32" s="137" t="s">
        <v>373</v>
      </c>
      <c r="C32" s="137">
        <v>2018</v>
      </c>
      <c r="D32" s="138" t="s">
        <v>414</v>
      </c>
      <c r="E32" s="137" t="s">
        <v>232</v>
      </c>
      <c r="F32" s="137" t="s">
        <v>233</v>
      </c>
      <c r="G32" s="137" t="s">
        <v>42</v>
      </c>
      <c r="H32" s="247" t="s">
        <v>157</v>
      </c>
      <c r="I32" s="247" t="s">
        <v>153</v>
      </c>
      <c r="J32" s="137" t="s">
        <v>38</v>
      </c>
      <c r="K32" s="247" t="s">
        <v>154</v>
      </c>
      <c r="L32" s="247">
        <v>1</v>
      </c>
      <c r="M32" s="247"/>
      <c r="N32" s="247">
        <v>1</v>
      </c>
      <c r="O32" s="247">
        <v>0.6</v>
      </c>
      <c r="P32" s="247">
        <v>0.65</v>
      </c>
      <c r="Q32" s="139">
        <f t="shared" si="0"/>
        <v>0.625</v>
      </c>
      <c r="R32" s="247">
        <v>17.399999999999999</v>
      </c>
      <c r="S32" s="247">
        <v>140</v>
      </c>
      <c r="T32" s="140">
        <f t="shared" si="1"/>
        <v>22</v>
      </c>
      <c r="U32" s="247">
        <v>138</v>
      </c>
      <c r="V32" s="141">
        <f t="shared" si="2"/>
        <v>3036</v>
      </c>
      <c r="W32" s="247">
        <v>8</v>
      </c>
      <c r="X32" s="137" t="s">
        <v>39</v>
      </c>
      <c r="Y32" s="247" t="s">
        <v>69</v>
      </c>
      <c r="Z32" s="247" t="s">
        <v>84</v>
      </c>
      <c r="AA32" s="247" t="s">
        <v>90</v>
      </c>
      <c r="AB32" s="137" t="s">
        <v>415</v>
      </c>
      <c r="AC32" s="142"/>
    </row>
    <row r="33" spans="1:29" x14ac:dyDescent="0.15">
      <c r="A33" s="137" t="s">
        <v>61</v>
      </c>
      <c r="B33" s="137" t="s">
        <v>373</v>
      </c>
      <c r="C33" s="137">
        <v>2018</v>
      </c>
      <c r="D33" s="138" t="s">
        <v>414</v>
      </c>
      <c r="E33" s="137" t="s">
        <v>232</v>
      </c>
      <c r="F33" s="137" t="s">
        <v>233</v>
      </c>
      <c r="G33" s="137" t="s">
        <v>42</v>
      </c>
      <c r="H33" s="247" t="s">
        <v>157</v>
      </c>
      <c r="I33" s="247" t="s">
        <v>153</v>
      </c>
      <c r="J33" s="137" t="s">
        <v>38</v>
      </c>
      <c r="K33" s="247" t="s">
        <v>154</v>
      </c>
      <c r="L33" s="247">
        <v>2</v>
      </c>
      <c r="M33" s="247"/>
      <c r="N33" s="247">
        <v>1</v>
      </c>
      <c r="O33" s="247">
        <v>0.6</v>
      </c>
      <c r="P33" s="247">
        <v>0.6</v>
      </c>
      <c r="Q33" s="139">
        <f t="shared" si="0"/>
        <v>0.6</v>
      </c>
      <c r="R33" s="247">
        <v>17.5</v>
      </c>
      <c r="S33" s="247">
        <v>139</v>
      </c>
      <c r="T33" s="140">
        <f t="shared" si="1"/>
        <v>22</v>
      </c>
      <c r="U33" s="247">
        <v>138</v>
      </c>
      <c r="V33" s="141">
        <f t="shared" si="2"/>
        <v>3036</v>
      </c>
      <c r="W33" s="247">
        <v>8</v>
      </c>
      <c r="X33" s="137" t="s">
        <v>39</v>
      </c>
      <c r="Y33" s="247" t="s">
        <v>69</v>
      </c>
      <c r="Z33" s="247" t="s">
        <v>84</v>
      </c>
      <c r="AA33" s="247" t="s">
        <v>90</v>
      </c>
      <c r="AB33" s="137" t="s">
        <v>415</v>
      </c>
      <c r="AC33" s="142"/>
    </row>
    <row r="34" spans="1:29" x14ac:dyDescent="0.15">
      <c r="A34" s="137" t="s">
        <v>61</v>
      </c>
      <c r="B34" s="137" t="s">
        <v>373</v>
      </c>
      <c r="C34" s="137">
        <v>2018</v>
      </c>
      <c r="D34" s="138" t="s">
        <v>414</v>
      </c>
      <c r="E34" s="137" t="s">
        <v>232</v>
      </c>
      <c r="F34" s="137" t="s">
        <v>233</v>
      </c>
      <c r="G34" s="137" t="s">
        <v>42</v>
      </c>
      <c r="H34" s="247" t="s">
        <v>157</v>
      </c>
      <c r="I34" s="247" t="s">
        <v>153</v>
      </c>
      <c r="J34" s="137" t="s">
        <v>38</v>
      </c>
      <c r="K34" s="247" t="s">
        <v>154</v>
      </c>
      <c r="L34" s="247">
        <v>3</v>
      </c>
      <c r="M34" s="247"/>
      <c r="N34" s="247">
        <v>1</v>
      </c>
      <c r="O34" s="247">
        <v>0.6</v>
      </c>
      <c r="P34" s="247">
        <v>0.55000000000000004</v>
      </c>
      <c r="Q34" s="139">
        <f t="shared" si="0"/>
        <v>0.57499999999999996</v>
      </c>
      <c r="R34" s="247">
        <v>17.5</v>
      </c>
      <c r="S34" s="247">
        <v>137</v>
      </c>
      <c r="T34" s="140">
        <f t="shared" si="1"/>
        <v>25</v>
      </c>
      <c r="U34" s="247">
        <v>138</v>
      </c>
      <c r="V34" s="141">
        <f t="shared" si="2"/>
        <v>3450</v>
      </c>
      <c r="W34" s="247">
        <v>8</v>
      </c>
      <c r="X34" s="137" t="s">
        <v>39</v>
      </c>
      <c r="Y34" s="247" t="s">
        <v>69</v>
      </c>
      <c r="Z34" s="247" t="s">
        <v>84</v>
      </c>
      <c r="AA34" s="247" t="s">
        <v>90</v>
      </c>
      <c r="AB34" s="137" t="s">
        <v>415</v>
      </c>
      <c r="AC34" s="142"/>
    </row>
    <row r="35" spans="1:29" x14ac:dyDescent="0.15">
      <c r="A35" s="137" t="s">
        <v>61</v>
      </c>
      <c r="B35" s="137" t="s">
        <v>373</v>
      </c>
      <c r="C35" s="137">
        <v>2018</v>
      </c>
      <c r="D35" s="138" t="s">
        <v>414</v>
      </c>
      <c r="E35" s="137" t="s">
        <v>232</v>
      </c>
      <c r="F35" s="137" t="s">
        <v>233</v>
      </c>
      <c r="G35" s="137" t="s">
        <v>42</v>
      </c>
      <c r="H35" s="247" t="s">
        <v>155</v>
      </c>
      <c r="I35" s="247" t="s">
        <v>156</v>
      </c>
      <c r="J35" s="137" t="s">
        <v>38</v>
      </c>
      <c r="K35" s="247" t="s">
        <v>154</v>
      </c>
      <c r="L35" s="247">
        <v>1</v>
      </c>
      <c r="M35" s="247"/>
      <c r="N35" s="247">
        <v>1</v>
      </c>
      <c r="O35" s="247">
        <v>0.8</v>
      </c>
      <c r="P35" s="247">
        <v>0.8</v>
      </c>
      <c r="Q35" s="139">
        <f t="shared" si="0"/>
        <v>0.8</v>
      </c>
      <c r="R35" s="247">
        <v>17.100000000000001</v>
      </c>
      <c r="S35" s="247">
        <v>130</v>
      </c>
      <c r="T35" s="140">
        <f t="shared" si="1"/>
        <v>25</v>
      </c>
      <c r="U35" s="247">
        <v>84</v>
      </c>
      <c r="V35" s="141">
        <f t="shared" si="2"/>
        <v>2100</v>
      </c>
      <c r="W35" s="247">
        <v>8</v>
      </c>
      <c r="X35" s="137" t="s">
        <v>39</v>
      </c>
      <c r="Y35" s="247" t="s">
        <v>69</v>
      </c>
      <c r="Z35" s="247" t="s">
        <v>84</v>
      </c>
      <c r="AA35" s="247" t="s">
        <v>90</v>
      </c>
      <c r="AB35" s="137" t="s">
        <v>415</v>
      </c>
      <c r="AC35" s="142"/>
    </row>
    <row r="36" spans="1:29" x14ac:dyDescent="0.15">
      <c r="A36" s="137" t="s">
        <v>61</v>
      </c>
      <c r="B36" s="137" t="s">
        <v>373</v>
      </c>
      <c r="C36" s="137">
        <v>2018</v>
      </c>
      <c r="D36" s="138" t="s">
        <v>414</v>
      </c>
      <c r="E36" s="137" t="s">
        <v>232</v>
      </c>
      <c r="F36" s="137" t="s">
        <v>233</v>
      </c>
      <c r="G36" s="137" t="s">
        <v>42</v>
      </c>
      <c r="H36" s="247" t="s">
        <v>155</v>
      </c>
      <c r="I36" s="247" t="s">
        <v>156</v>
      </c>
      <c r="J36" s="137" t="s">
        <v>38</v>
      </c>
      <c r="K36" s="247" t="s">
        <v>154</v>
      </c>
      <c r="L36" s="247">
        <v>2</v>
      </c>
      <c r="M36" s="247"/>
      <c r="N36" s="247">
        <v>1</v>
      </c>
      <c r="O36" s="247">
        <v>0.7</v>
      </c>
      <c r="P36" s="247">
        <v>0.7</v>
      </c>
      <c r="Q36" s="139">
        <f t="shared" si="0"/>
        <v>0.7</v>
      </c>
      <c r="R36" s="247">
        <v>17.399999999999999</v>
      </c>
      <c r="S36" s="247">
        <v>133</v>
      </c>
      <c r="T36" s="140">
        <f t="shared" si="1"/>
        <v>25</v>
      </c>
      <c r="U36" s="247">
        <v>84</v>
      </c>
      <c r="V36" s="141">
        <f t="shared" si="2"/>
        <v>2100</v>
      </c>
      <c r="W36" s="247">
        <v>8</v>
      </c>
      <c r="X36" s="137" t="s">
        <v>39</v>
      </c>
      <c r="Y36" s="247" t="s">
        <v>69</v>
      </c>
      <c r="Z36" s="247" t="s">
        <v>84</v>
      </c>
      <c r="AA36" s="247" t="s">
        <v>90</v>
      </c>
      <c r="AB36" s="137" t="s">
        <v>415</v>
      </c>
      <c r="AC36" s="142"/>
    </row>
    <row r="37" spans="1:29" x14ac:dyDescent="0.15">
      <c r="A37" s="137" t="s">
        <v>61</v>
      </c>
      <c r="B37" s="137" t="s">
        <v>373</v>
      </c>
      <c r="C37" s="137">
        <v>2018</v>
      </c>
      <c r="D37" s="138" t="s">
        <v>414</v>
      </c>
      <c r="E37" s="137" t="s">
        <v>232</v>
      </c>
      <c r="F37" s="137" t="s">
        <v>233</v>
      </c>
      <c r="G37" s="137" t="s">
        <v>42</v>
      </c>
      <c r="H37" s="247" t="s">
        <v>155</v>
      </c>
      <c r="I37" s="247" t="s">
        <v>156</v>
      </c>
      <c r="J37" s="137" t="s">
        <v>38</v>
      </c>
      <c r="K37" s="247" t="s">
        <v>154</v>
      </c>
      <c r="L37" s="247">
        <v>3</v>
      </c>
      <c r="M37" s="247"/>
      <c r="N37" s="247">
        <v>1</v>
      </c>
      <c r="O37" s="247">
        <v>0.7</v>
      </c>
      <c r="P37" s="247">
        <v>0.7</v>
      </c>
      <c r="Q37" s="139">
        <f t="shared" si="0"/>
        <v>0.7</v>
      </c>
      <c r="R37" s="247">
        <v>17</v>
      </c>
      <c r="S37" s="247">
        <v>127</v>
      </c>
      <c r="T37" s="140">
        <f t="shared" si="1"/>
        <v>27</v>
      </c>
      <c r="U37" s="247">
        <v>84</v>
      </c>
      <c r="V37" s="141">
        <f t="shared" si="2"/>
        <v>2268</v>
      </c>
      <c r="W37" s="247">
        <v>8</v>
      </c>
      <c r="X37" s="137" t="s">
        <v>39</v>
      </c>
      <c r="Y37" s="247" t="s">
        <v>69</v>
      </c>
      <c r="Z37" s="247" t="s">
        <v>84</v>
      </c>
      <c r="AA37" s="247" t="s">
        <v>90</v>
      </c>
      <c r="AB37" s="137" t="s">
        <v>415</v>
      </c>
      <c r="AC37" s="142"/>
    </row>
    <row r="38" spans="1:29" x14ac:dyDescent="0.15">
      <c r="A38" s="137" t="s">
        <v>61</v>
      </c>
      <c r="B38" s="137" t="s">
        <v>373</v>
      </c>
      <c r="C38" s="137">
        <v>2018</v>
      </c>
      <c r="D38" s="138" t="s">
        <v>414</v>
      </c>
      <c r="E38" s="137" t="s">
        <v>232</v>
      </c>
      <c r="F38" s="137" t="s">
        <v>233</v>
      </c>
      <c r="G38" s="137" t="s">
        <v>42</v>
      </c>
      <c r="H38" s="247" t="s">
        <v>129</v>
      </c>
      <c r="I38" s="247" t="s">
        <v>153</v>
      </c>
      <c r="J38" s="137" t="s">
        <v>221</v>
      </c>
      <c r="K38" s="247" t="s">
        <v>59</v>
      </c>
      <c r="L38" s="247">
        <v>1</v>
      </c>
      <c r="M38" s="247"/>
      <c r="N38" s="247">
        <v>4</v>
      </c>
      <c r="O38" s="247">
        <v>1.2</v>
      </c>
      <c r="P38" s="247">
        <v>1.2</v>
      </c>
      <c r="Q38" s="139">
        <f t="shared" si="0"/>
        <v>1.2</v>
      </c>
      <c r="R38" s="247">
        <v>10.8</v>
      </c>
      <c r="S38" s="247">
        <v>97</v>
      </c>
      <c r="T38" s="140">
        <f t="shared" si="1"/>
        <v>36</v>
      </c>
      <c r="U38" s="247">
        <v>321</v>
      </c>
      <c r="V38" s="141">
        <f t="shared" si="2"/>
        <v>2889</v>
      </c>
      <c r="W38" s="247">
        <v>8</v>
      </c>
      <c r="X38" s="137" t="s">
        <v>39</v>
      </c>
      <c r="Y38" s="247" t="s">
        <v>69</v>
      </c>
      <c r="Z38" s="247" t="s">
        <v>84</v>
      </c>
      <c r="AA38" s="247" t="s">
        <v>90</v>
      </c>
      <c r="AB38" s="137" t="s">
        <v>415</v>
      </c>
      <c r="AC38" s="142"/>
    </row>
    <row r="39" spans="1:29" x14ac:dyDescent="0.15">
      <c r="A39" s="137" t="s">
        <v>61</v>
      </c>
      <c r="B39" s="137" t="s">
        <v>373</v>
      </c>
      <c r="C39" s="137">
        <v>2018</v>
      </c>
      <c r="D39" s="138" t="s">
        <v>414</v>
      </c>
      <c r="E39" s="137" t="s">
        <v>232</v>
      </c>
      <c r="F39" s="137" t="s">
        <v>233</v>
      </c>
      <c r="G39" s="137" t="s">
        <v>42</v>
      </c>
      <c r="H39" s="247" t="s">
        <v>129</v>
      </c>
      <c r="I39" s="247" t="s">
        <v>153</v>
      </c>
      <c r="J39" s="137" t="s">
        <v>221</v>
      </c>
      <c r="K39" s="247" t="s">
        <v>59</v>
      </c>
      <c r="L39" s="247">
        <v>2</v>
      </c>
      <c r="M39" s="247"/>
      <c r="N39" s="247">
        <v>4</v>
      </c>
      <c r="O39" s="247">
        <v>1</v>
      </c>
      <c r="P39" s="247">
        <v>1</v>
      </c>
      <c r="Q39" s="139">
        <f t="shared" si="0"/>
        <v>1</v>
      </c>
      <c r="R39" s="247">
        <v>11</v>
      </c>
      <c r="S39" s="247">
        <v>89</v>
      </c>
      <c r="T39" s="140">
        <f t="shared" si="1"/>
        <v>36</v>
      </c>
      <c r="U39" s="247">
        <v>321</v>
      </c>
      <c r="V39" s="141">
        <f t="shared" si="2"/>
        <v>2889</v>
      </c>
      <c r="W39" s="247">
        <v>8</v>
      </c>
      <c r="X39" s="137" t="s">
        <v>39</v>
      </c>
      <c r="Y39" s="247" t="s">
        <v>69</v>
      </c>
      <c r="Z39" s="247" t="s">
        <v>84</v>
      </c>
      <c r="AA39" s="247" t="s">
        <v>90</v>
      </c>
      <c r="AB39" s="137" t="s">
        <v>415</v>
      </c>
      <c r="AC39" s="142"/>
    </row>
    <row r="40" spans="1:29" x14ac:dyDescent="0.15">
      <c r="A40" s="137" t="s">
        <v>61</v>
      </c>
      <c r="B40" s="137" t="s">
        <v>373</v>
      </c>
      <c r="C40" s="137">
        <v>2018</v>
      </c>
      <c r="D40" s="138" t="s">
        <v>414</v>
      </c>
      <c r="E40" s="137" t="s">
        <v>232</v>
      </c>
      <c r="F40" s="137" t="s">
        <v>233</v>
      </c>
      <c r="G40" s="137" t="s">
        <v>42</v>
      </c>
      <c r="H40" s="247" t="s">
        <v>129</v>
      </c>
      <c r="I40" s="247" t="s">
        <v>153</v>
      </c>
      <c r="J40" s="137" t="s">
        <v>221</v>
      </c>
      <c r="K40" s="247" t="s">
        <v>59</v>
      </c>
      <c r="L40" s="247">
        <v>3</v>
      </c>
      <c r="M40" s="247"/>
      <c r="N40" s="247">
        <v>4</v>
      </c>
      <c r="O40" s="247">
        <v>1.05</v>
      </c>
      <c r="P40" s="247">
        <v>1</v>
      </c>
      <c r="Q40" s="139">
        <f t="shared" si="0"/>
        <v>1.0249999999999999</v>
      </c>
      <c r="R40" s="247">
        <v>11.8</v>
      </c>
      <c r="S40" s="247">
        <v>88</v>
      </c>
      <c r="T40" s="140">
        <f t="shared" si="1"/>
        <v>36</v>
      </c>
      <c r="U40" s="247">
        <v>321</v>
      </c>
      <c r="V40" s="141">
        <f t="shared" si="2"/>
        <v>2889</v>
      </c>
      <c r="W40" s="247">
        <v>8</v>
      </c>
      <c r="X40" s="137" t="s">
        <v>39</v>
      </c>
      <c r="Y40" s="247" t="s">
        <v>69</v>
      </c>
      <c r="Z40" s="247" t="s">
        <v>84</v>
      </c>
      <c r="AA40" s="247" t="s">
        <v>90</v>
      </c>
      <c r="AB40" s="137" t="s">
        <v>415</v>
      </c>
      <c r="AC40" s="142"/>
    </row>
    <row r="41" spans="1:29" x14ac:dyDescent="0.15">
      <c r="A41" s="137" t="s">
        <v>61</v>
      </c>
      <c r="B41" s="137" t="s">
        <v>373</v>
      </c>
      <c r="C41" s="137">
        <v>2018</v>
      </c>
      <c r="D41" s="138" t="s">
        <v>414</v>
      </c>
      <c r="E41" s="137" t="s">
        <v>234</v>
      </c>
      <c r="F41" s="137" t="s">
        <v>235</v>
      </c>
      <c r="G41" s="137" t="s">
        <v>42</v>
      </c>
      <c r="H41" s="247" t="s">
        <v>155</v>
      </c>
      <c r="I41" s="247" t="s">
        <v>153</v>
      </c>
      <c r="J41" s="137" t="s">
        <v>38</v>
      </c>
      <c r="K41" s="247" t="s">
        <v>154</v>
      </c>
      <c r="L41" s="247">
        <v>1</v>
      </c>
      <c r="M41" s="247"/>
      <c r="N41" s="247">
        <v>1</v>
      </c>
      <c r="O41" s="247">
        <v>0.75</v>
      </c>
      <c r="P41" s="247">
        <v>0.8</v>
      </c>
      <c r="Q41" s="139">
        <f t="shared" si="0"/>
        <v>0.77500000000000002</v>
      </c>
      <c r="R41" s="247">
        <v>18.3</v>
      </c>
      <c r="S41" s="247">
        <v>133</v>
      </c>
      <c r="T41" s="140">
        <f t="shared" si="1"/>
        <v>25</v>
      </c>
      <c r="U41" s="247">
        <v>98</v>
      </c>
      <c r="V41" s="141">
        <f t="shared" si="2"/>
        <v>2450</v>
      </c>
      <c r="W41" s="247">
        <v>2</v>
      </c>
      <c r="X41" s="137" t="s">
        <v>39</v>
      </c>
      <c r="Y41" s="247" t="s">
        <v>84</v>
      </c>
      <c r="Z41" s="247" t="s">
        <v>69</v>
      </c>
      <c r="AA41" s="247" t="s">
        <v>90</v>
      </c>
      <c r="AB41" s="137" t="s">
        <v>415</v>
      </c>
      <c r="AC41" s="142"/>
    </row>
    <row r="42" spans="1:29" x14ac:dyDescent="0.15">
      <c r="A42" s="137" t="s">
        <v>61</v>
      </c>
      <c r="B42" s="137" t="s">
        <v>373</v>
      </c>
      <c r="C42" s="137">
        <v>2018</v>
      </c>
      <c r="D42" s="138" t="s">
        <v>414</v>
      </c>
      <c r="E42" s="137" t="s">
        <v>234</v>
      </c>
      <c r="F42" s="137" t="s">
        <v>235</v>
      </c>
      <c r="G42" s="137" t="s">
        <v>42</v>
      </c>
      <c r="H42" s="247" t="s">
        <v>155</v>
      </c>
      <c r="I42" s="247" t="s">
        <v>153</v>
      </c>
      <c r="J42" s="137" t="s">
        <v>38</v>
      </c>
      <c r="K42" s="247" t="s">
        <v>154</v>
      </c>
      <c r="L42" s="247">
        <v>2</v>
      </c>
      <c r="M42" s="247"/>
      <c r="N42" s="247">
        <v>1</v>
      </c>
      <c r="O42" s="247">
        <v>0.6</v>
      </c>
      <c r="P42" s="247">
        <v>0.6</v>
      </c>
      <c r="Q42" s="139">
        <f t="shared" si="0"/>
        <v>0.6</v>
      </c>
      <c r="R42" s="247">
        <v>18.100000000000001</v>
      </c>
      <c r="S42" s="247">
        <v>131</v>
      </c>
      <c r="T42" s="140">
        <f t="shared" si="1"/>
        <v>25</v>
      </c>
      <c r="U42" s="247">
        <v>98</v>
      </c>
      <c r="V42" s="141">
        <f t="shared" si="2"/>
        <v>2450</v>
      </c>
      <c r="W42" s="247">
        <v>2</v>
      </c>
      <c r="X42" s="137" t="s">
        <v>39</v>
      </c>
      <c r="Y42" s="247" t="s">
        <v>84</v>
      </c>
      <c r="Z42" s="247" t="s">
        <v>69</v>
      </c>
      <c r="AA42" s="247" t="s">
        <v>90</v>
      </c>
      <c r="AB42" s="137" t="s">
        <v>415</v>
      </c>
      <c r="AC42" s="142"/>
    </row>
    <row r="43" spans="1:29" x14ac:dyDescent="0.15">
      <c r="A43" s="137" t="s">
        <v>61</v>
      </c>
      <c r="B43" s="137" t="s">
        <v>373</v>
      </c>
      <c r="C43" s="137">
        <v>2018</v>
      </c>
      <c r="D43" s="138" t="s">
        <v>414</v>
      </c>
      <c r="E43" s="137" t="s">
        <v>234</v>
      </c>
      <c r="F43" s="137" t="s">
        <v>235</v>
      </c>
      <c r="G43" s="137" t="s">
        <v>42</v>
      </c>
      <c r="H43" s="247" t="s">
        <v>155</v>
      </c>
      <c r="I43" s="247" t="s">
        <v>153</v>
      </c>
      <c r="J43" s="137" t="s">
        <v>38</v>
      </c>
      <c r="K43" s="247" t="s">
        <v>154</v>
      </c>
      <c r="L43" s="247">
        <v>3</v>
      </c>
      <c r="M43" s="247"/>
      <c r="N43" s="247">
        <v>1</v>
      </c>
      <c r="O43" s="247">
        <v>0.63</v>
      </c>
      <c r="P43" s="247">
        <v>0.6</v>
      </c>
      <c r="Q43" s="139">
        <f t="shared" si="0"/>
        <v>0.61499999999999999</v>
      </c>
      <c r="R43" s="247">
        <v>17.600000000000001</v>
      </c>
      <c r="S43" s="247">
        <v>133</v>
      </c>
      <c r="T43" s="140">
        <f t="shared" si="1"/>
        <v>25</v>
      </c>
      <c r="U43" s="247">
        <v>98</v>
      </c>
      <c r="V43" s="141">
        <f t="shared" si="2"/>
        <v>2450</v>
      </c>
      <c r="W43" s="247">
        <v>2</v>
      </c>
      <c r="X43" s="137" t="s">
        <v>39</v>
      </c>
      <c r="Y43" s="247" t="s">
        <v>84</v>
      </c>
      <c r="Z43" s="247" t="s">
        <v>69</v>
      </c>
      <c r="AA43" s="247" t="s">
        <v>90</v>
      </c>
      <c r="AB43" s="137" t="s">
        <v>415</v>
      </c>
      <c r="AC43" s="142"/>
    </row>
    <row r="44" spans="1:29" x14ac:dyDescent="0.15">
      <c r="A44" s="137" t="s">
        <v>61</v>
      </c>
      <c r="B44" s="137" t="s">
        <v>373</v>
      </c>
      <c r="C44" s="137">
        <v>2018</v>
      </c>
      <c r="D44" s="138" t="s">
        <v>414</v>
      </c>
      <c r="E44" s="137" t="s">
        <v>234</v>
      </c>
      <c r="F44" s="137" t="s">
        <v>235</v>
      </c>
      <c r="G44" s="137" t="s">
        <v>42</v>
      </c>
      <c r="H44" s="247" t="s">
        <v>157</v>
      </c>
      <c r="I44" s="247" t="s">
        <v>153</v>
      </c>
      <c r="J44" s="137" t="s">
        <v>38</v>
      </c>
      <c r="K44" s="247" t="s">
        <v>154</v>
      </c>
      <c r="L44" s="247">
        <v>1</v>
      </c>
      <c r="M44" s="247"/>
      <c r="N44" s="247">
        <v>1</v>
      </c>
      <c r="O44" s="247">
        <v>0.5</v>
      </c>
      <c r="P44" s="247">
        <v>0.55000000000000004</v>
      </c>
      <c r="Q44" s="139">
        <f t="shared" si="0"/>
        <v>0.52500000000000002</v>
      </c>
      <c r="R44" s="247">
        <v>17.5</v>
      </c>
      <c r="S44" s="247">
        <v>138</v>
      </c>
      <c r="T44" s="140">
        <f t="shared" si="1"/>
        <v>22</v>
      </c>
      <c r="U44" s="247">
        <v>138</v>
      </c>
      <c r="V44" s="141">
        <f t="shared" si="2"/>
        <v>3036</v>
      </c>
      <c r="W44" s="247">
        <v>2</v>
      </c>
      <c r="X44" s="137" t="s">
        <v>39</v>
      </c>
      <c r="Y44" s="247" t="s">
        <v>84</v>
      </c>
      <c r="Z44" s="247" t="s">
        <v>69</v>
      </c>
      <c r="AA44" s="247" t="s">
        <v>90</v>
      </c>
      <c r="AB44" s="137" t="s">
        <v>415</v>
      </c>
      <c r="AC44" s="142"/>
    </row>
    <row r="45" spans="1:29" x14ac:dyDescent="0.15">
      <c r="A45" s="137" t="s">
        <v>61</v>
      </c>
      <c r="B45" s="137" t="s">
        <v>373</v>
      </c>
      <c r="C45" s="137">
        <v>2018</v>
      </c>
      <c r="D45" s="138" t="s">
        <v>414</v>
      </c>
      <c r="E45" s="137" t="s">
        <v>234</v>
      </c>
      <c r="F45" s="137" t="s">
        <v>235</v>
      </c>
      <c r="G45" s="137" t="s">
        <v>42</v>
      </c>
      <c r="H45" s="247" t="s">
        <v>157</v>
      </c>
      <c r="I45" s="247" t="s">
        <v>153</v>
      </c>
      <c r="J45" s="137" t="s">
        <v>38</v>
      </c>
      <c r="K45" s="247" t="s">
        <v>154</v>
      </c>
      <c r="L45" s="247">
        <v>2</v>
      </c>
      <c r="M45" s="247"/>
      <c r="N45" s="247">
        <v>1</v>
      </c>
      <c r="O45" s="247">
        <v>0.5</v>
      </c>
      <c r="P45" s="247">
        <v>0.6</v>
      </c>
      <c r="Q45" s="139">
        <f t="shared" si="0"/>
        <v>0.55000000000000004</v>
      </c>
      <c r="R45" s="247">
        <v>17.5</v>
      </c>
      <c r="S45" s="247">
        <v>140</v>
      </c>
      <c r="T45" s="140">
        <f t="shared" si="1"/>
        <v>22</v>
      </c>
      <c r="U45" s="247">
        <v>138</v>
      </c>
      <c r="V45" s="141">
        <f t="shared" si="2"/>
        <v>3036</v>
      </c>
      <c r="W45" s="247">
        <v>2</v>
      </c>
      <c r="X45" s="137" t="s">
        <v>39</v>
      </c>
      <c r="Y45" s="247" t="s">
        <v>84</v>
      </c>
      <c r="Z45" s="247" t="s">
        <v>69</v>
      </c>
      <c r="AA45" s="247" t="s">
        <v>90</v>
      </c>
      <c r="AB45" s="137" t="s">
        <v>415</v>
      </c>
      <c r="AC45" s="142"/>
    </row>
    <row r="46" spans="1:29" x14ac:dyDescent="0.15">
      <c r="A46" s="137" t="s">
        <v>61</v>
      </c>
      <c r="B46" s="137" t="s">
        <v>373</v>
      </c>
      <c r="C46" s="137">
        <v>2018</v>
      </c>
      <c r="D46" s="138" t="s">
        <v>414</v>
      </c>
      <c r="E46" s="137" t="s">
        <v>234</v>
      </c>
      <c r="F46" s="137" t="s">
        <v>235</v>
      </c>
      <c r="G46" s="137" t="s">
        <v>42</v>
      </c>
      <c r="H46" s="247" t="s">
        <v>157</v>
      </c>
      <c r="I46" s="247" t="s">
        <v>153</v>
      </c>
      <c r="J46" s="137" t="s">
        <v>38</v>
      </c>
      <c r="K46" s="247" t="s">
        <v>154</v>
      </c>
      <c r="L46" s="247">
        <v>3</v>
      </c>
      <c r="M46" s="247"/>
      <c r="N46" s="247">
        <v>1</v>
      </c>
      <c r="O46" s="247">
        <v>0.6</v>
      </c>
      <c r="P46" s="247">
        <v>0.6</v>
      </c>
      <c r="Q46" s="139">
        <f t="shared" si="0"/>
        <v>0.6</v>
      </c>
      <c r="R46" s="247">
        <v>18.100000000000001</v>
      </c>
      <c r="S46" s="247">
        <v>134</v>
      </c>
      <c r="T46" s="140">
        <f t="shared" si="1"/>
        <v>25</v>
      </c>
      <c r="U46" s="247">
        <v>138</v>
      </c>
      <c r="V46" s="141">
        <f t="shared" si="2"/>
        <v>3450</v>
      </c>
      <c r="W46" s="247">
        <v>2</v>
      </c>
      <c r="X46" s="137" t="s">
        <v>39</v>
      </c>
      <c r="Y46" s="247" t="s">
        <v>84</v>
      </c>
      <c r="Z46" s="247" t="s">
        <v>69</v>
      </c>
      <c r="AA46" s="247" t="s">
        <v>90</v>
      </c>
      <c r="AB46" s="137" t="s">
        <v>415</v>
      </c>
      <c r="AC46" s="142"/>
    </row>
    <row r="47" spans="1:29" x14ac:dyDescent="0.15">
      <c r="A47" s="137" t="s">
        <v>61</v>
      </c>
      <c r="B47" s="137" t="s">
        <v>373</v>
      </c>
      <c r="C47" s="137">
        <v>2018</v>
      </c>
      <c r="D47" s="138" t="s">
        <v>414</v>
      </c>
      <c r="E47" s="137" t="s">
        <v>236</v>
      </c>
      <c r="F47" s="137" t="s">
        <v>237</v>
      </c>
      <c r="G47" s="137" t="s">
        <v>42</v>
      </c>
      <c r="H47" s="247" t="s">
        <v>155</v>
      </c>
      <c r="I47" s="247" t="s">
        <v>153</v>
      </c>
      <c r="J47" s="137" t="s">
        <v>38</v>
      </c>
      <c r="K47" s="247" t="s">
        <v>154</v>
      </c>
      <c r="L47" s="247">
        <v>1</v>
      </c>
      <c r="M47" s="247"/>
      <c r="N47" s="247">
        <v>4</v>
      </c>
      <c r="O47" s="247">
        <v>0.8</v>
      </c>
      <c r="P47" s="247">
        <v>0.75</v>
      </c>
      <c r="Q47" s="139">
        <f t="shared" si="0"/>
        <v>0.77500000000000002</v>
      </c>
      <c r="R47" s="247">
        <v>17.3</v>
      </c>
      <c r="S47" s="247">
        <v>102</v>
      </c>
      <c r="T47" s="140">
        <f t="shared" si="1"/>
        <v>33</v>
      </c>
      <c r="U47" s="247">
        <v>278</v>
      </c>
      <c r="V47" s="141">
        <f t="shared" si="2"/>
        <v>2293.5</v>
      </c>
      <c r="W47" s="247">
        <v>8</v>
      </c>
      <c r="X47" s="137" t="s">
        <v>39</v>
      </c>
      <c r="Y47" s="247" t="s">
        <v>102</v>
      </c>
      <c r="Z47" s="247" t="s">
        <v>69</v>
      </c>
      <c r="AA47" s="247" t="s">
        <v>84</v>
      </c>
      <c r="AB47" s="137" t="s">
        <v>415</v>
      </c>
      <c r="AC47" s="142"/>
    </row>
    <row r="48" spans="1:29" x14ac:dyDescent="0.15">
      <c r="A48" s="137" t="s">
        <v>61</v>
      </c>
      <c r="B48" s="137" t="s">
        <v>373</v>
      </c>
      <c r="C48" s="137">
        <v>2018</v>
      </c>
      <c r="D48" s="138" t="s">
        <v>414</v>
      </c>
      <c r="E48" s="137" t="s">
        <v>236</v>
      </c>
      <c r="F48" s="137" t="s">
        <v>237</v>
      </c>
      <c r="G48" s="137" t="s">
        <v>42</v>
      </c>
      <c r="H48" s="247" t="s">
        <v>155</v>
      </c>
      <c r="I48" s="247" t="s">
        <v>153</v>
      </c>
      <c r="J48" s="137" t="s">
        <v>38</v>
      </c>
      <c r="K48" s="247" t="s">
        <v>154</v>
      </c>
      <c r="L48" s="247">
        <v>2</v>
      </c>
      <c r="M48" s="247"/>
      <c r="N48" s="247">
        <v>4</v>
      </c>
      <c r="O48" s="247">
        <v>0.7</v>
      </c>
      <c r="P48" s="247">
        <v>0.7</v>
      </c>
      <c r="Q48" s="139">
        <f t="shared" si="0"/>
        <v>0.7</v>
      </c>
      <c r="R48" s="247">
        <v>17.3</v>
      </c>
      <c r="S48" s="247">
        <v>100</v>
      </c>
      <c r="T48" s="140">
        <f t="shared" si="1"/>
        <v>33</v>
      </c>
      <c r="U48" s="247">
        <v>278</v>
      </c>
      <c r="V48" s="141">
        <f t="shared" si="2"/>
        <v>2293.5</v>
      </c>
      <c r="W48" s="247">
        <v>8</v>
      </c>
      <c r="X48" s="137" t="s">
        <v>39</v>
      </c>
      <c r="Y48" s="247" t="s">
        <v>102</v>
      </c>
      <c r="Z48" s="247" t="s">
        <v>69</v>
      </c>
      <c r="AA48" s="247" t="s">
        <v>84</v>
      </c>
      <c r="AB48" s="137" t="s">
        <v>415</v>
      </c>
      <c r="AC48" s="142"/>
    </row>
    <row r="49" spans="1:29" x14ac:dyDescent="0.15">
      <c r="A49" s="137" t="s">
        <v>61</v>
      </c>
      <c r="B49" s="137" t="s">
        <v>373</v>
      </c>
      <c r="C49" s="137">
        <v>2018</v>
      </c>
      <c r="D49" s="138" t="s">
        <v>414</v>
      </c>
      <c r="E49" s="137" t="s">
        <v>236</v>
      </c>
      <c r="F49" s="137" t="s">
        <v>237</v>
      </c>
      <c r="G49" s="137" t="s">
        <v>42</v>
      </c>
      <c r="H49" s="247" t="s">
        <v>155</v>
      </c>
      <c r="I49" s="247" t="s">
        <v>153</v>
      </c>
      <c r="J49" s="137" t="s">
        <v>38</v>
      </c>
      <c r="K49" s="247" t="s">
        <v>154</v>
      </c>
      <c r="L49" s="247">
        <v>3</v>
      </c>
      <c r="M49" s="247"/>
      <c r="N49" s="247">
        <v>4</v>
      </c>
      <c r="O49" s="247">
        <v>0.5</v>
      </c>
      <c r="P49" s="247">
        <v>0.5</v>
      </c>
      <c r="Q49" s="139">
        <f t="shared" si="0"/>
        <v>0.5</v>
      </c>
      <c r="R49" s="247">
        <v>18.100000000000001</v>
      </c>
      <c r="S49" s="247">
        <v>104</v>
      </c>
      <c r="T49" s="140">
        <f t="shared" si="1"/>
        <v>33</v>
      </c>
      <c r="U49" s="247">
        <v>278</v>
      </c>
      <c r="V49" s="141">
        <f t="shared" si="2"/>
        <v>2293.5</v>
      </c>
      <c r="W49" s="247">
        <v>8</v>
      </c>
      <c r="X49" s="137" t="s">
        <v>39</v>
      </c>
      <c r="Y49" s="247" t="s">
        <v>102</v>
      </c>
      <c r="Z49" s="247" t="s">
        <v>69</v>
      </c>
      <c r="AA49" s="247" t="s">
        <v>84</v>
      </c>
      <c r="AB49" s="137" t="s">
        <v>415</v>
      </c>
      <c r="AC49" s="142"/>
    </row>
    <row r="50" spans="1:29" x14ac:dyDescent="0.15">
      <c r="A50" s="137" t="s">
        <v>61</v>
      </c>
      <c r="B50" s="137" t="s">
        <v>373</v>
      </c>
      <c r="C50" s="137">
        <v>2018</v>
      </c>
      <c r="D50" s="138" t="s">
        <v>414</v>
      </c>
      <c r="E50" s="137" t="s">
        <v>236</v>
      </c>
      <c r="F50" s="137" t="s">
        <v>237</v>
      </c>
      <c r="G50" s="137" t="s">
        <v>42</v>
      </c>
      <c r="H50" s="247" t="s">
        <v>157</v>
      </c>
      <c r="I50" s="247" t="s">
        <v>153</v>
      </c>
      <c r="J50" s="137" t="s">
        <v>38</v>
      </c>
      <c r="K50" s="247" t="s">
        <v>154</v>
      </c>
      <c r="L50" s="247">
        <v>1</v>
      </c>
      <c r="M50" s="247"/>
      <c r="N50" s="247">
        <v>3</v>
      </c>
      <c r="O50" s="247">
        <v>0.7</v>
      </c>
      <c r="P50" s="247">
        <v>0.65</v>
      </c>
      <c r="Q50" s="139">
        <f t="shared" si="0"/>
        <v>0.67500000000000004</v>
      </c>
      <c r="R50" s="247">
        <v>17.600000000000001</v>
      </c>
      <c r="S50" s="247">
        <v>130</v>
      </c>
      <c r="T50" s="140">
        <f t="shared" si="1"/>
        <v>25</v>
      </c>
      <c r="U50" s="247">
        <v>429</v>
      </c>
      <c r="V50" s="141">
        <f t="shared" si="2"/>
        <v>3575</v>
      </c>
      <c r="W50" s="247">
        <v>8</v>
      </c>
      <c r="X50" s="137" t="s">
        <v>39</v>
      </c>
      <c r="Y50" s="247" t="s">
        <v>102</v>
      </c>
      <c r="Z50" s="247" t="s">
        <v>69</v>
      </c>
      <c r="AA50" s="247" t="s">
        <v>84</v>
      </c>
      <c r="AB50" s="137" t="s">
        <v>415</v>
      </c>
      <c r="AC50" s="142"/>
    </row>
    <row r="51" spans="1:29" x14ac:dyDescent="0.15">
      <c r="A51" s="137" t="s">
        <v>61</v>
      </c>
      <c r="B51" s="137" t="s">
        <v>373</v>
      </c>
      <c r="C51" s="137">
        <v>2018</v>
      </c>
      <c r="D51" s="138" t="s">
        <v>414</v>
      </c>
      <c r="E51" s="137" t="s">
        <v>236</v>
      </c>
      <c r="F51" s="137" t="s">
        <v>237</v>
      </c>
      <c r="G51" s="137" t="s">
        <v>42</v>
      </c>
      <c r="H51" s="247" t="s">
        <v>157</v>
      </c>
      <c r="I51" s="247" t="s">
        <v>153</v>
      </c>
      <c r="J51" s="137" t="s">
        <v>38</v>
      </c>
      <c r="K51" s="247" t="s">
        <v>154</v>
      </c>
      <c r="L51" s="247">
        <v>2</v>
      </c>
      <c r="M51" s="247"/>
      <c r="N51" s="247">
        <v>3</v>
      </c>
      <c r="O51" s="247">
        <v>0.7</v>
      </c>
      <c r="P51" s="247">
        <v>0.65</v>
      </c>
      <c r="Q51" s="139">
        <f t="shared" si="0"/>
        <v>0.67500000000000004</v>
      </c>
      <c r="R51" s="247">
        <v>17.600000000000001</v>
      </c>
      <c r="S51" s="247">
        <v>132</v>
      </c>
      <c r="T51" s="140">
        <f t="shared" si="1"/>
        <v>25</v>
      </c>
      <c r="U51" s="247">
        <v>429</v>
      </c>
      <c r="V51" s="141">
        <f t="shared" si="2"/>
        <v>3575</v>
      </c>
      <c r="W51" s="247">
        <v>8</v>
      </c>
      <c r="X51" s="137" t="s">
        <v>39</v>
      </c>
      <c r="Y51" s="247" t="s">
        <v>102</v>
      </c>
      <c r="Z51" s="247" t="s">
        <v>69</v>
      </c>
      <c r="AA51" s="247" t="s">
        <v>84</v>
      </c>
      <c r="AB51" s="137" t="s">
        <v>415</v>
      </c>
      <c r="AC51" s="142"/>
    </row>
    <row r="52" spans="1:29" x14ac:dyDescent="0.15">
      <c r="A52" s="137" t="s">
        <v>61</v>
      </c>
      <c r="B52" s="137" t="s">
        <v>373</v>
      </c>
      <c r="C52" s="137">
        <v>2018</v>
      </c>
      <c r="D52" s="138" t="s">
        <v>414</v>
      </c>
      <c r="E52" s="137" t="s">
        <v>236</v>
      </c>
      <c r="F52" s="137" t="s">
        <v>237</v>
      </c>
      <c r="G52" s="137" t="s">
        <v>42</v>
      </c>
      <c r="H52" s="247" t="s">
        <v>157</v>
      </c>
      <c r="I52" s="247" t="s">
        <v>153</v>
      </c>
      <c r="J52" s="137" t="s">
        <v>38</v>
      </c>
      <c r="K52" s="247" t="s">
        <v>154</v>
      </c>
      <c r="L52" s="247">
        <v>3</v>
      </c>
      <c r="M52" s="247"/>
      <c r="N52" s="247">
        <v>3</v>
      </c>
      <c r="O52" s="247">
        <v>0.65</v>
      </c>
      <c r="P52" s="247">
        <v>0.6</v>
      </c>
      <c r="Q52" s="139">
        <f t="shared" si="0"/>
        <v>0.625</v>
      </c>
      <c r="R52" s="247">
        <v>17.399999999999999</v>
      </c>
      <c r="S52" s="247">
        <v>134</v>
      </c>
      <c r="T52" s="140">
        <f t="shared" si="1"/>
        <v>25</v>
      </c>
      <c r="U52" s="247">
        <v>429</v>
      </c>
      <c r="V52" s="141">
        <f t="shared" si="2"/>
        <v>3575</v>
      </c>
      <c r="W52" s="247">
        <v>8</v>
      </c>
      <c r="X52" s="137" t="s">
        <v>39</v>
      </c>
      <c r="Y52" s="247" t="s">
        <v>102</v>
      </c>
      <c r="Z52" s="247" t="s">
        <v>69</v>
      </c>
      <c r="AA52" s="247" t="s">
        <v>84</v>
      </c>
      <c r="AB52" s="137" t="s">
        <v>415</v>
      </c>
      <c r="AC52" s="142"/>
    </row>
    <row r="53" spans="1:29" x14ac:dyDescent="0.15">
      <c r="A53" s="137" t="s">
        <v>61</v>
      </c>
      <c r="B53" s="137" t="s">
        <v>373</v>
      </c>
      <c r="C53" s="137">
        <v>2018</v>
      </c>
      <c r="D53" s="138" t="s">
        <v>414</v>
      </c>
      <c r="E53" s="137" t="s">
        <v>133</v>
      </c>
      <c r="F53" s="137" t="s">
        <v>238</v>
      </c>
      <c r="G53" s="137" t="s">
        <v>42</v>
      </c>
      <c r="H53" s="247" t="s">
        <v>155</v>
      </c>
      <c r="I53" s="247" t="s">
        <v>153</v>
      </c>
      <c r="J53" s="137" t="s">
        <v>38</v>
      </c>
      <c r="K53" s="247" t="s">
        <v>154</v>
      </c>
      <c r="L53" s="247">
        <v>1</v>
      </c>
      <c r="M53" s="247"/>
      <c r="N53" s="247">
        <v>1</v>
      </c>
      <c r="O53" s="247">
        <v>0.7</v>
      </c>
      <c r="P53" s="247">
        <v>0.7</v>
      </c>
      <c r="Q53" s="139">
        <f t="shared" si="0"/>
        <v>0.7</v>
      </c>
      <c r="R53" s="247">
        <v>17.100000000000001</v>
      </c>
      <c r="S53" s="247">
        <v>142</v>
      </c>
      <c r="T53" s="140">
        <f t="shared" si="1"/>
        <v>22</v>
      </c>
      <c r="U53" s="247">
        <v>105</v>
      </c>
      <c r="V53" s="141">
        <f t="shared" si="2"/>
        <v>2310</v>
      </c>
      <c r="W53" s="247">
        <v>15</v>
      </c>
      <c r="X53" s="137" t="s">
        <v>46</v>
      </c>
      <c r="Y53" s="247" t="s">
        <v>78</v>
      </c>
      <c r="Z53" s="247" t="s">
        <v>69</v>
      </c>
      <c r="AA53" s="247" t="s">
        <v>90</v>
      </c>
      <c r="AB53" s="137" t="s">
        <v>415</v>
      </c>
      <c r="AC53" s="247"/>
    </row>
    <row r="54" spans="1:29" x14ac:dyDescent="0.15">
      <c r="A54" s="137" t="s">
        <v>61</v>
      </c>
      <c r="B54" s="137" t="s">
        <v>373</v>
      </c>
      <c r="C54" s="137">
        <v>2018</v>
      </c>
      <c r="D54" s="138" t="s">
        <v>414</v>
      </c>
      <c r="E54" s="137" t="s">
        <v>133</v>
      </c>
      <c r="F54" s="137" t="s">
        <v>238</v>
      </c>
      <c r="G54" s="137" t="s">
        <v>42</v>
      </c>
      <c r="H54" s="247" t="s">
        <v>155</v>
      </c>
      <c r="I54" s="247" t="s">
        <v>153</v>
      </c>
      <c r="J54" s="137" t="s">
        <v>38</v>
      </c>
      <c r="K54" s="247" t="s">
        <v>154</v>
      </c>
      <c r="L54" s="247">
        <v>2</v>
      </c>
      <c r="M54" s="247"/>
      <c r="N54" s="247">
        <v>1</v>
      </c>
      <c r="O54" s="247">
        <v>0.6</v>
      </c>
      <c r="P54" s="247">
        <v>0.65</v>
      </c>
      <c r="Q54" s="139">
        <f t="shared" si="0"/>
        <v>0.625</v>
      </c>
      <c r="R54" s="247">
        <v>17.3</v>
      </c>
      <c r="S54" s="247">
        <v>135</v>
      </c>
      <c r="T54" s="140">
        <f t="shared" si="1"/>
        <v>25</v>
      </c>
      <c r="U54" s="247">
        <v>105</v>
      </c>
      <c r="V54" s="141">
        <f t="shared" si="2"/>
        <v>2625</v>
      </c>
      <c r="W54" s="247">
        <v>15</v>
      </c>
      <c r="X54" s="137" t="s">
        <v>46</v>
      </c>
      <c r="Y54" s="247" t="s">
        <v>78</v>
      </c>
      <c r="Z54" s="247" t="s">
        <v>69</v>
      </c>
      <c r="AA54" s="247" t="s">
        <v>90</v>
      </c>
      <c r="AB54" s="137" t="s">
        <v>415</v>
      </c>
      <c r="AC54" s="247"/>
    </row>
    <row r="55" spans="1:29" x14ac:dyDescent="0.15">
      <c r="A55" s="137" t="s">
        <v>61</v>
      </c>
      <c r="B55" s="137" t="s">
        <v>373</v>
      </c>
      <c r="C55" s="137">
        <v>2018</v>
      </c>
      <c r="D55" s="138" t="s">
        <v>414</v>
      </c>
      <c r="E55" s="137" t="s">
        <v>133</v>
      </c>
      <c r="F55" s="137" t="s">
        <v>238</v>
      </c>
      <c r="G55" s="137" t="s">
        <v>42</v>
      </c>
      <c r="H55" s="247" t="s">
        <v>155</v>
      </c>
      <c r="I55" s="247" t="s">
        <v>153</v>
      </c>
      <c r="J55" s="137" t="s">
        <v>38</v>
      </c>
      <c r="K55" s="247" t="s">
        <v>154</v>
      </c>
      <c r="L55" s="247">
        <v>3</v>
      </c>
      <c r="M55" s="247"/>
      <c r="N55" s="247">
        <v>1</v>
      </c>
      <c r="O55" s="247">
        <v>0.6</v>
      </c>
      <c r="P55" s="247">
        <v>0.6</v>
      </c>
      <c r="Q55" s="139">
        <f t="shared" si="0"/>
        <v>0.6</v>
      </c>
      <c r="R55" s="247">
        <v>17.3</v>
      </c>
      <c r="S55" s="247">
        <v>138</v>
      </c>
      <c r="T55" s="140">
        <f t="shared" si="1"/>
        <v>22</v>
      </c>
      <c r="U55" s="247">
        <v>105</v>
      </c>
      <c r="V55" s="141">
        <f t="shared" si="2"/>
        <v>2310</v>
      </c>
      <c r="W55" s="247">
        <v>15</v>
      </c>
      <c r="X55" s="137" t="s">
        <v>46</v>
      </c>
      <c r="Y55" s="247" t="s">
        <v>78</v>
      </c>
      <c r="Z55" s="247" t="s">
        <v>69</v>
      </c>
      <c r="AA55" s="247" t="s">
        <v>90</v>
      </c>
      <c r="AB55" s="137" t="s">
        <v>415</v>
      </c>
      <c r="AC55" s="247"/>
    </row>
    <row r="56" spans="1:29" x14ac:dyDescent="0.15">
      <c r="A56" s="137" t="s">
        <v>61</v>
      </c>
      <c r="B56" s="137" t="s">
        <v>373</v>
      </c>
      <c r="C56" s="137">
        <v>2018</v>
      </c>
      <c r="D56" s="138" t="s">
        <v>414</v>
      </c>
      <c r="E56" s="137" t="s">
        <v>133</v>
      </c>
      <c r="F56" s="137" t="s">
        <v>238</v>
      </c>
      <c r="G56" s="137" t="s">
        <v>42</v>
      </c>
      <c r="H56" s="247" t="s">
        <v>157</v>
      </c>
      <c r="I56" s="247" t="s">
        <v>153</v>
      </c>
      <c r="J56" s="137" t="s">
        <v>38</v>
      </c>
      <c r="K56" s="247" t="s">
        <v>154</v>
      </c>
      <c r="L56" s="247">
        <v>1</v>
      </c>
      <c r="M56" s="247"/>
      <c r="N56" s="247">
        <v>1</v>
      </c>
      <c r="O56" s="247">
        <v>0.5</v>
      </c>
      <c r="P56" s="247">
        <v>0.5</v>
      </c>
      <c r="Q56" s="139">
        <f t="shared" si="0"/>
        <v>0.5</v>
      </c>
      <c r="R56" s="247">
        <v>17.5</v>
      </c>
      <c r="S56" s="247">
        <v>178</v>
      </c>
      <c r="T56" s="140">
        <f t="shared" si="1"/>
        <v>18</v>
      </c>
      <c r="U56" s="247">
        <v>159</v>
      </c>
      <c r="V56" s="141">
        <f t="shared" si="2"/>
        <v>2862</v>
      </c>
      <c r="W56" s="247">
        <v>15</v>
      </c>
      <c r="X56" s="137" t="s">
        <v>46</v>
      </c>
      <c r="Y56" s="247" t="s">
        <v>78</v>
      </c>
      <c r="Z56" s="247" t="s">
        <v>69</v>
      </c>
      <c r="AA56" s="247" t="s">
        <v>90</v>
      </c>
      <c r="AB56" s="137" t="s">
        <v>415</v>
      </c>
      <c r="AC56" s="247"/>
    </row>
    <row r="57" spans="1:29" x14ac:dyDescent="0.15">
      <c r="A57" s="137" t="s">
        <v>61</v>
      </c>
      <c r="B57" s="137" t="s">
        <v>373</v>
      </c>
      <c r="C57" s="137">
        <v>2018</v>
      </c>
      <c r="D57" s="138" t="s">
        <v>414</v>
      </c>
      <c r="E57" s="137" t="s">
        <v>133</v>
      </c>
      <c r="F57" s="137" t="s">
        <v>238</v>
      </c>
      <c r="G57" s="137" t="s">
        <v>42</v>
      </c>
      <c r="H57" s="247" t="s">
        <v>157</v>
      </c>
      <c r="I57" s="247" t="s">
        <v>153</v>
      </c>
      <c r="J57" s="137" t="s">
        <v>38</v>
      </c>
      <c r="K57" s="247" t="s">
        <v>154</v>
      </c>
      <c r="L57" s="247">
        <v>2</v>
      </c>
      <c r="M57" s="247"/>
      <c r="N57" s="247">
        <v>1</v>
      </c>
      <c r="O57" s="247">
        <v>0.55000000000000004</v>
      </c>
      <c r="P57" s="247">
        <v>0.5</v>
      </c>
      <c r="Q57" s="139">
        <f t="shared" si="0"/>
        <v>0.52500000000000002</v>
      </c>
      <c r="R57" s="247">
        <v>17.399999999999999</v>
      </c>
      <c r="S57" s="247">
        <v>170</v>
      </c>
      <c r="T57" s="140">
        <f t="shared" si="1"/>
        <v>18</v>
      </c>
      <c r="U57" s="247">
        <v>159</v>
      </c>
      <c r="V57" s="141">
        <f t="shared" si="2"/>
        <v>2862</v>
      </c>
      <c r="W57" s="247">
        <v>15</v>
      </c>
      <c r="X57" s="137" t="s">
        <v>46</v>
      </c>
      <c r="Y57" s="247" t="s">
        <v>78</v>
      </c>
      <c r="Z57" s="247" t="s">
        <v>69</v>
      </c>
      <c r="AA57" s="247" t="s">
        <v>90</v>
      </c>
      <c r="AB57" s="137" t="s">
        <v>415</v>
      </c>
      <c r="AC57" s="247"/>
    </row>
    <row r="58" spans="1:29" x14ac:dyDescent="0.15">
      <c r="A58" s="137" t="s">
        <v>61</v>
      </c>
      <c r="B58" s="137" t="s">
        <v>373</v>
      </c>
      <c r="C58" s="137">
        <v>2018</v>
      </c>
      <c r="D58" s="138" t="s">
        <v>414</v>
      </c>
      <c r="E58" s="137" t="s">
        <v>133</v>
      </c>
      <c r="F58" s="137" t="s">
        <v>238</v>
      </c>
      <c r="G58" s="137" t="s">
        <v>42</v>
      </c>
      <c r="H58" s="247" t="s">
        <v>157</v>
      </c>
      <c r="I58" s="247" t="s">
        <v>153</v>
      </c>
      <c r="J58" s="137" t="s">
        <v>38</v>
      </c>
      <c r="K58" s="247" t="s">
        <v>154</v>
      </c>
      <c r="L58" s="247">
        <v>3</v>
      </c>
      <c r="M58" s="247"/>
      <c r="N58" s="247">
        <v>1</v>
      </c>
      <c r="O58" s="247">
        <v>0.6</v>
      </c>
      <c r="P58" s="247">
        <v>0.6</v>
      </c>
      <c r="Q58" s="139">
        <f t="shared" si="0"/>
        <v>0.6</v>
      </c>
      <c r="R58" s="247">
        <v>17.399999999999999</v>
      </c>
      <c r="S58" s="247">
        <v>150</v>
      </c>
      <c r="T58" s="140">
        <f t="shared" si="1"/>
        <v>22</v>
      </c>
      <c r="U58" s="247">
        <v>159</v>
      </c>
      <c r="V58" s="141">
        <f t="shared" si="2"/>
        <v>3498</v>
      </c>
      <c r="W58" s="247">
        <v>15</v>
      </c>
      <c r="X58" s="137" t="s">
        <v>46</v>
      </c>
      <c r="Y58" s="247" t="s">
        <v>78</v>
      </c>
      <c r="Z58" s="247" t="s">
        <v>69</v>
      </c>
      <c r="AA58" s="247" t="s">
        <v>90</v>
      </c>
      <c r="AB58" s="137" t="s">
        <v>415</v>
      </c>
      <c r="AC58" s="247"/>
    </row>
    <row r="59" spans="1:29" x14ac:dyDescent="0.15">
      <c r="A59" s="137" t="s">
        <v>61</v>
      </c>
      <c r="B59" s="137" t="s">
        <v>373</v>
      </c>
      <c r="C59" s="137">
        <v>2018</v>
      </c>
      <c r="D59" s="138" t="s">
        <v>414</v>
      </c>
      <c r="E59" s="137" t="s">
        <v>133</v>
      </c>
      <c r="F59" s="137" t="s">
        <v>238</v>
      </c>
      <c r="G59" s="137" t="s">
        <v>42</v>
      </c>
      <c r="H59" s="247" t="s">
        <v>128</v>
      </c>
      <c r="I59" s="247" t="s">
        <v>153</v>
      </c>
      <c r="J59" s="137" t="s">
        <v>80</v>
      </c>
      <c r="K59" s="247" t="s">
        <v>45</v>
      </c>
      <c r="L59" s="247">
        <v>1</v>
      </c>
      <c r="M59" s="247"/>
      <c r="N59" s="247">
        <v>5</v>
      </c>
      <c r="O59" s="247">
        <v>0.75</v>
      </c>
      <c r="P59" s="247">
        <v>0.8</v>
      </c>
      <c r="Q59" s="139">
        <f t="shared" si="0"/>
        <v>0.77500000000000002</v>
      </c>
      <c r="R59" s="247">
        <v>17</v>
      </c>
      <c r="S59" s="247">
        <v>82</v>
      </c>
      <c r="T59" s="140">
        <f t="shared" si="1"/>
        <v>39</v>
      </c>
      <c r="U59" s="247">
        <v>429</v>
      </c>
      <c r="V59" s="141">
        <f t="shared" si="2"/>
        <v>3346.2</v>
      </c>
      <c r="W59" s="247">
        <v>15</v>
      </c>
      <c r="X59" s="137" t="s">
        <v>46</v>
      </c>
      <c r="Y59" s="247" t="s">
        <v>78</v>
      </c>
      <c r="Z59" s="247" t="s">
        <v>69</v>
      </c>
      <c r="AA59" s="247" t="s">
        <v>90</v>
      </c>
      <c r="AB59" s="137" t="s">
        <v>415</v>
      </c>
      <c r="AC59" s="142"/>
    </row>
    <row r="60" spans="1:29" x14ac:dyDescent="0.15">
      <c r="A60" s="137" t="s">
        <v>61</v>
      </c>
      <c r="B60" s="137" t="s">
        <v>373</v>
      </c>
      <c r="C60" s="137">
        <v>2018</v>
      </c>
      <c r="D60" s="138" t="s">
        <v>414</v>
      </c>
      <c r="E60" s="137" t="s">
        <v>133</v>
      </c>
      <c r="F60" s="137" t="s">
        <v>238</v>
      </c>
      <c r="G60" s="137" t="s">
        <v>42</v>
      </c>
      <c r="H60" s="247" t="s">
        <v>128</v>
      </c>
      <c r="I60" s="247" t="s">
        <v>153</v>
      </c>
      <c r="J60" s="137" t="s">
        <v>80</v>
      </c>
      <c r="K60" s="247" t="s">
        <v>45</v>
      </c>
      <c r="L60" s="247">
        <v>2</v>
      </c>
      <c r="M60" s="247"/>
      <c r="N60" s="247">
        <v>5</v>
      </c>
      <c r="O60" s="247">
        <v>0.8</v>
      </c>
      <c r="P60" s="247">
        <v>0.8</v>
      </c>
      <c r="Q60" s="139">
        <f t="shared" si="0"/>
        <v>0.8</v>
      </c>
      <c r="R60" s="247">
        <v>17.100000000000001</v>
      </c>
      <c r="S60" s="247">
        <v>87</v>
      </c>
      <c r="T60" s="140">
        <f t="shared" si="1"/>
        <v>36</v>
      </c>
      <c r="U60" s="247">
        <v>429</v>
      </c>
      <c r="V60" s="141">
        <f t="shared" si="2"/>
        <v>3088.7999999999997</v>
      </c>
      <c r="W60" s="247">
        <v>15</v>
      </c>
      <c r="X60" s="137" t="s">
        <v>46</v>
      </c>
      <c r="Y60" s="247" t="s">
        <v>78</v>
      </c>
      <c r="Z60" s="247" t="s">
        <v>69</v>
      </c>
      <c r="AA60" s="247" t="s">
        <v>90</v>
      </c>
      <c r="AB60" s="137" t="s">
        <v>415</v>
      </c>
      <c r="AC60" s="142"/>
    </row>
    <row r="61" spans="1:29" x14ac:dyDescent="0.15">
      <c r="A61" s="137" t="s">
        <v>61</v>
      </c>
      <c r="B61" s="137" t="s">
        <v>373</v>
      </c>
      <c r="C61" s="137">
        <v>2018</v>
      </c>
      <c r="D61" s="138" t="s">
        <v>414</v>
      </c>
      <c r="E61" s="137" t="s">
        <v>133</v>
      </c>
      <c r="F61" s="137" t="s">
        <v>238</v>
      </c>
      <c r="G61" s="137" t="s">
        <v>42</v>
      </c>
      <c r="H61" s="247" t="s">
        <v>128</v>
      </c>
      <c r="I61" s="247" t="s">
        <v>153</v>
      </c>
      <c r="J61" s="137" t="s">
        <v>80</v>
      </c>
      <c r="K61" s="247" t="s">
        <v>45</v>
      </c>
      <c r="L61" s="247">
        <v>3</v>
      </c>
      <c r="M61" s="247"/>
      <c r="N61" s="247">
        <v>5</v>
      </c>
      <c r="O61" s="247">
        <v>0.85</v>
      </c>
      <c r="P61" s="247">
        <v>0.75</v>
      </c>
      <c r="Q61" s="139">
        <f t="shared" si="0"/>
        <v>0.8</v>
      </c>
      <c r="R61" s="247">
        <v>17.3</v>
      </c>
      <c r="S61" s="247">
        <v>86</v>
      </c>
      <c r="T61" s="140">
        <f t="shared" si="1"/>
        <v>36</v>
      </c>
      <c r="U61" s="247">
        <v>429</v>
      </c>
      <c r="V61" s="141">
        <f t="shared" si="2"/>
        <v>3088.7999999999997</v>
      </c>
      <c r="W61" s="247">
        <v>15</v>
      </c>
      <c r="X61" s="137" t="s">
        <v>46</v>
      </c>
      <c r="Y61" s="247" t="s">
        <v>78</v>
      </c>
      <c r="Z61" s="247" t="s">
        <v>69</v>
      </c>
      <c r="AA61" s="247" t="s">
        <v>90</v>
      </c>
      <c r="AB61" s="137" t="s">
        <v>415</v>
      </c>
      <c r="AC61" s="142"/>
    </row>
    <row r="62" spans="1:29" x14ac:dyDescent="0.15">
      <c r="A62" s="137" t="s">
        <v>61</v>
      </c>
      <c r="B62" s="137" t="s">
        <v>373</v>
      </c>
      <c r="C62" s="137">
        <v>2018</v>
      </c>
      <c r="D62" s="138" t="s">
        <v>414</v>
      </c>
      <c r="E62" s="137" t="s">
        <v>239</v>
      </c>
      <c r="F62" s="137" t="s">
        <v>240</v>
      </c>
      <c r="G62" s="137" t="s">
        <v>42</v>
      </c>
      <c r="H62" s="247" t="s">
        <v>155</v>
      </c>
      <c r="I62" s="247" t="s">
        <v>153</v>
      </c>
      <c r="J62" s="137" t="s">
        <v>38</v>
      </c>
      <c r="K62" s="247" t="s">
        <v>154</v>
      </c>
      <c r="L62" s="247">
        <v>1</v>
      </c>
      <c r="M62" s="247"/>
      <c r="N62" s="247">
        <v>4</v>
      </c>
      <c r="O62" s="247">
        <v>0.55000000000000004</v>
      </c>
      <c r="P62" s="247">
        <v>0.5</v>
      </c>
      <c r="Q62" s="139">
        <f t="shared" si="0"/>
        <v>0.52500000000000002</v>
      </c>
      <c r="R62" s="247">
        <v>17.2</v>
      </c>
      <c r="S62" s="247">
        <v>95</v>
      </c>
      <c r="T62" s="140">
        <f t="shared" si="1"/>
        <v>36</v>
      </c>
      <c r="U62" s="247">
        <v>398</v>
      </c>
      <c r="V62" s="141">
        <f t="shared" si="2"/>
        <v>3582</v>
      </c>
      <c r="W62" s="247">
        <v>17</v>
      </c>
      <c r="X62" s="137" t="s">
        <v>46</v>
      </c>
      <c r="Y62" s="247" t="s">
        <v>90</v>
      </c>
      <c r="Z62" s="247" t="s">
        <v>84</v>
      </c>
      <c r="AA62" s="247" t="s">
        <v>102</v>
      </c>
      <c r="AB62" s="137" t="s">
        <v>415</v>
      </c>
      <c r="AC62" s="142"/>
    </row>
    <row r="63" spans="1:29" x14ac:dyDescent="0.15">
      <c r="A63" s="137" t="s">
        <v>61</v>
      </c>
      <c r="B63" s="137" t="s">
        <v>373</v>
      </c>
      <c r="C63" s="137">
        <v>2018</v>
      </c>
      <c r="D63" s="138" t="s">
        <v>414</v>
      </c>
      <c r="E63" s="137" t="s">
        <v>239</v>
      </c>
      <c r="F63" s="137" t="s">
        <v>240</v>
      </c>
      <c r="G63" s="137" t="s">
        <v>42</v>
      </c>
      <c r="H63" s="247" t="s">
        <v>155</v>
      </c>
      <c r="I63" s="247" t="s">
        <v>153</v>
      </c>
      <c r="J63" s="137" t="s">
        <v>38</v>
      </c>
      <c r="K63" s="247" t="s">
        <v>154</v>
      </c>
      <c r="L63" s="247">
        <v>2</v>
      </c>
      <c r="M63" s="247"/>
      <c r="N63" s="247">
        <v>4</v>
      </c>
      <c r="O63" s="247">
        <v>0.5</v>
      </c>
      <c r="P63" s="247">
        <v>0.5</v>
      </c>
      <c r="Q63" s="139">
        <f t="shared" si="0"/>
        <v>0.5</v>
      </c>
      <c r="R63" s="247">
        <v>16.8</v>
      </c>
      <c r="S63" s="247">
        <v>98</v>
      </c>
      <c r="T63" s="140">
        <f t="shared" si="1"/>
        <v>36</v>
      </c>
      <c r="U63" s="247">
        <v>398</v>
      </c>
      <c r="V63" s="141">
        <f t="shared" si="2"/>
        <v>3582</v>
      </c>
      <c r="W63" s="247">
        <v>17</v>
      </c>
      <c r="X63" s="137" t="s">
        <v>46</v>
      </c>
      <c r="Y63" s="247" t="s">
        <v>90</v>
      </c>
      <c r="Z63" s="247" t="s">
        <v>84</v>
      </c>
      <c r="AA63" s="247" t="s">
        <v>102</v>
      </c>
      <c r="AB63" s="137" t="s">
        <v>415</v>
      </c>
      <c r="AC63" s="142"/>
    </row>
    <row r="64" spans="1:29" x14ac:dyDescent="0.15">
      <c r="A64" s="137" t="s">
        <v>61</v>
      </c>
      <c r="B64" s="137" t="s">
        <v>373</v>
      </c>
      <c r="C64" s="137">
        <v>2018</v>
      </c>
      <c r="D64" s="138" t="s">
        <v>414</v>
      </c>
      <c r="E64" s="137" t="s">
        <v>239</v>
      </c>
      <c r="F64" s="137" t="s">
        <v>240</v>
      </c>
      <c r="G64" s="137" t="s">
        <v>42</v>
      </c>
      <c r="H64" s="247" t="s">
        <v>155</v>
      </c>
      <c r="I64" s="247" t="s">
        <v>153</v>
      </c>
      <c r="J64" s="137" t="s">
        <v>38</v>
      </c>
      <c r="K64" s="247" t="s">
        <v>154</v>
      </c>
      <c r="L64" s="247">
        <v>3</v>
      </c>
      <c r="M64" s="247"/>
      <c r="N64" s="247">
        <v>4</v>
      </c>
      <c r="O64" s="247">
        <v>0.55000000000000004</v>
      </c>
      <c r="P64" s="247">
        <v>0.5</v>
      </c>
      <c r="Q64" s="139">
        <f t="shared" si="0"/>
        <v>0.52500000000000002</v>
      </c>
      <c r="R64" s="247">
        <v>16.899999999999999</v>
      </c>
      <c r="S64" s="247">
        <v>97</v>
      </c>
      <c r="T64" s="140">
        <f t="shared" si="1"/>
        <v>36</v>
      </c>
      <c r="U64" s="247">
        <v>398</v>
      </c>
      <c r="V64" s="141">
        <f t="shared" si="2"/>
        <v>3582</v>
      </c>
      <c r="W64" s="247">
        <v>17</v>
      </c>
      <c r="X64" s="137" t="s">
        <v>46</v>
      </c>
      <c r="Y64" s="247" t="s">
        <v>90</v>
      </c>
      <c r="Z64" s="247" t="s">
        <v>84</v>
      </c>
      <c r="AA64" s="247" t="s">
        <v>102</v>
      </c>
      <c r="AB64" s="137" t="s">
        <v>415</v>
      </c>
      <c r="AC64" s="142"/>
    </row>
    <row r="65" spans="1:29" x14ac:dyDescent="0.15">
      <c r="A65" s="137" t="s">
        <v>61</v>
      </c>
      <c r="B65" s="137" t="s">
        <v>373</v>
      </c>
      <c r="C65" s="137">
        <v>2018</v>
      </c>
      <c r="D65" s="138" t="s">
        <v>414</v>
      </c>
      <c r="E65" s="137" t="s">
        <v>239</v>
      </c>
      <c r="F65" s="137" t="s">
        <v>240</v>
      </c>
      <c r="G65" s="137" t="s">
        <v>42</v>
      </c>
      <c r="H65" s="247" t="s">
        <v>157</v>
      </c>
      <c r="I65" s="247" t="s">
        <v>153</v>
      </c>
      <c r="J65" s="137" t="s">
        <v>38</v>
      </c>
      <c r="K65" s="247" t="s">
        <v>154</v>
      </c>
      <c r="L65" s="247">
        <v>1</v>
      </c>
      <c r="M65" s="247"/>
      <c r="N65" s="247">
        <v>1</v>
      </c>
      <c r="O65" s="247">
        <v>0.6</v>
      </c>
      <c r="P65" s="247">
        <v>0.65</v>
      </c>
      <c r="Q65" s="139">
        <f t="shared" si="0"/>
        <v>0.625</v>
      </c>
      <c r="R65" s="247">
        <v>17.600000000000001</v>
      </c>
      <c r="S65" s="247">
        <v>135</v>
      </c>
      <c r="T65" s="140">
        <f t="shared" si="1"/>
        <v>25</v>
      </c>
      <c r="U65" s="247">
        <v>158</v>
      </c>
      <c r="V65" s="141">
        <f t="shared" si="2"/>
        <v>3950</v>
      </c>
      <c r="W65" s="247">
        <v>17</v>
      </c>
      <c r="X65" s="137" t="s">
        <v>46</v>
      </c>
      <c r="Y65" s="247" t="s">
        <v>90</v>
      </c>
      <c r="Z65" s="247" t="s">
        <v>84</v>
      </c>
      <c r="AA65" s="247" t="s">
        <v>102</v>
      </c>
      <c r="AB65" s="137" t="s">
        <v>415</v>
      </c>
      <c r="AC65" s="142"/>
    </row>
    <row r="66" spans="1:29" x14ac:dyDescent="0.15">
      <c r="A66" s="137" t="s">
        <v>61</v>
      </c>
      <c r="B66" s="137" t="s">
        <v>373</v>
      </c>
      <c r="C66" s="137">
        <v>2018</v>
      </c>
      <c r="D66" s="138" t="s">
        <v>414</v>
      </c>
      <c r="E66" s="137" t="s">
        <v>239</v>
      </c>
      <c r="F66" s="137" t="s">
        <v>240</v>
      </c>
      <c r="G66" s="137" t="s">
        <v>42</v>
      </c>
      <c r="H66" s="247" t="s">
        <v>157</v>
      </c>
      <c r="I66" s="247" t="s">
        <v>153</v>
      </c>
      <c r="J66" s="137" t="s">
        <v>38</v>
      </c>
      <c r="K66" s="247" t="s">
        <v>154</v>
      </c>
      <c r="L66" s="247">
        <v>2</v>
      </c>
      <c r="M66" s="247"/>
      <c r="N66" s="247">
        <v>1</v>
      </c>
      <c r="O66" s="247">
        <v>0.6</v>
      </c>
      <c r="P66" s="247">
        <v>0.6</v>
      </c>
      <c r="Q66" s="139">
        <f t="shared" ref="Q66:Q105" si="3">IF(OR(O66="",P66=""),"",AVERAGE(O66,P66))</f>
        <v>0.6</v>
      </c>
      <c r="R66" s="247">
        <v>17.600000000000001</v>
      </c>
      <c r="S66" s="247">
        <v>148</v>
      </c>
      <c r="T66" s="140">
        <f t="shared" ref="T66:T105" si="4">IF(H66="","",IF(OR(H66="GREEN",H66="GK"),IF(S66&gt;=$AX$2,VLOOKUP(S66,$AX$2:$AY$15,2,1),""),IF(S66&gt;=$AZ$2,VLOOKUP(S66,$AZ$2:$BA$15,2,1),"")))</f>
        <v>22</v>
      </c>
      <c r="U66" s="247">
        <v>158</v>
      </c>
      <c r="V66" s="141">
        <f t="shared" ref="V66:V105" si="5">IF(OR(N66="",U66="",T66=""),"",U66/N66*T66)</f>
        <v>3476</v>
      </c>
      <c r="W66" s="247">
        <v>17</v>
      </c>
      <c r="X66" s="137" t="s">
        <v>46</v>
      </c>
      <c r="Y66" s="247" t="s">
        <v>90</v>
      </c>
      <c r="Z66" s="247" t="s">
        <v>84</v>
      </c>
      <c r="AA66" s="247" t="s">
        <v>102</v>
      </c>
      <c r="AB66" s="137" t="s">
        <v>415</v>
      </c>
      <c r="AC66" s="142"/>
    </row>
    <row r="67" spans="1:29" x14ac:dyDescent="0.15">
      <c r="A67" s="137" t="s">
        <v>61</v>
      </c>
      <c r="B67" s="137" t="s">
        <v>373</v>
      </c>
      <c r="C67" s="137">
        <v>2018</v>
      </c>
      <c r="D67" s="138" t="s">
        <v>414</v>
      </c>
      <c r="E67" s="137" t="s">
        <v>239</v>
      </c>
      <c r="F67" s="137" t="s">
        <v>240</v>
      </c>
      <c r="G67" s="137" t="s">
        <v>42</v>
      </c>
      <c r="H67" s="247" t="s">
        <v>157</v>
      </c>
      <c r="I67" s="247" t="s">
        <v>153</v>
      </c>
      <c r="J67" s="137" t="s">
        <v>38</v>
      </c>
      <c r="K67" s="247" t="s">
        <v>154</v>
      </c>
      <c r="L67" s="247">
        <v>3</v>
      </c>
      <c r="M67" s="247"/>
      <c r="N67" s="247">
        <v>1</v>
      </c>
      <c r="O67" s="247">
        <v>0.65</v>
      </c>
      <c r="P67" s="247">
        <v>0.6</v>
      </c>
      <c r="Q67" s="139">
        <f t="shared" si="3"/>
        <v>0.625</v>
      </c>
      <c r="R67" s="247">
        <v>17.399999999999999</v>
      </c>
      <c r="S67" s="247">
        <v>141</v>
      </c>
      <c r="T67" s="140">
        <f t="shared" si="4"/>
        <v>22</v>
      </c>
      <c r="U67" s="247">
        <v>158</v>
      </c>
      <c r="V67" s="141">
        <f t="shared" si="5"/>
        <v>3476</v>
      </c>
      <c r="W67" s="247">
        <v>17</v>
      </c>
      <c r="X67" s="137" t="s">
        <v>46</v>
      </c>
      <c r="Y67" s="247" t="s">
        <v>90</v>
      </c>
      <c r="Z67" s="247" t="s">
        <v>84</v>
      </c>
      <c r="AA67" s="247" t="s">
        <v>102</v>
      </c>
      <c r="AB67" s="137" t="s">
        <v>415</v>
      </c>
      <c r="AC67" s="142"/>
    </row>
    <row r="68" spans="1:29" x14ac:dyDescent="0.15">
      <c r="A68" s="137" t="s">
        <v>61</v>
      </c>
      <c r="B68" s="137" t="s">
        <v>373</v>
      </c>
      <c r="C68" s="137">
        <v>2018</v>
      </c>
      <c r="D68" s="138" t="s">
        <v>414</v>
      </c>
      <c r="E68" s="137" t="s">
        <v>241</v>
      </c>
      <c r="F68" s="137" t="s">
        <v>240</v>
      </c>
      <c r="G68" s="137" t="s">
        <v>42</v>
      </c>
      <c r="H68" s="247" t="s">
        <v>155</v>
      </c>
      <c r="I68" s="247" t="s">
        <v>153</v>
      </c>
      <c r="J68" s="137" t="s">
        <v>38</v>
      </c>
      <c r="K68" s="247" t="s">
        <v>154</v>
      </c>
      <c r="L68" s="247">
        <v>1</v>
      </c>
      <c r="M68" s="247"/>
      <c r="N68" s="247">
        <v>4</v>
      </c>
      <c r="O68" s="247">
        <v>0.6</v>
      </c>
      <c r="P68" s="247">
        <v>0.6</v>
      </c>
      <c r="Q68" s="139">
        <f t="shared" si="3"/>
        <v>0.6</v>
      </c>
      <c r="R68" s="247">
        <v>17.2</v>
      </c>
      <c r="S68" s="247">
        <v>101</v>
      </c>
      <c r="T68" s="140">
        <f t="shared" si="4"/>
        <v>33</v>
      </c>
      <c r="U68" s="247">
        <v>278</v>
      </c>
      <c r="V68" s="141">
        <f t="shared" si="5"/>
        <v>2293.5</v>
      </c>
      <c r="W68" s="247">
        <v>18</v>
      </c>
      <c r="X68" s="137" t="s">
        <v>46</v>
      </c>
      <c r="Y68" s="247" t="s">
        <v>90</v>
      </c>
      <c r="Z68" s="247" t="s">
        <v>78</v>
      </c>
      <c r="AA68" s="247" t="s">
        <v>69</v>
      </c>
      <c r="AB68" s="137" t="s">
        <v>415</v>
      </c>
      <c r="AC68" s="247"/>
    </row>
    <row r="69" spans="1:29" x14ac:dyDescent="0.15">
      <c r="A69" s="137" t="s">
        <v>61</v>
      </c>
      <c r="B69" s="137" t="s">
        <v>373</v>
      </c>
      <c r="C69" s="137">
        <v>2018</v>
      </c>
      <c r="D69" s="138" t="s">
        <v>414</v>
      </c>
      <c r="E69" s="137" t="s">
        <v>241</v>
      </c>
      <c r="F69" s="137" t="s">
        <v>240</v>
      </c>
      <c r="G69" s="137" t="s">
        <v>42</v>
      </c>
      <c r="H69" s="247" t="s">
        <v>155</v>
      </c>
      <c r="I69" s="247" t="s">
        <v>153</v>
      </c>
      <c r="J69" s="137" t="s">
        <v>38</v>
      </c>
      <c r="K69" s="247" t="s">
        <v>154</v>
      </c>
      <c r="L69" s="247">
        <v>2</v>
      </c>
      <c r="M69" s="247"/>
      <c r="N69" s="247">
        <v>4</v>
      </c>
      <c r="O69" s="247">
        <v>0.6</v>
      </c>
      <c r="P69" s="247">
        <v>0.6</v>
      </c>
      <c r="Q69" s="139">
        <f t="shared" si="3"/>
        <v>0.6</v>
      </c>
      <c r="R69" s="247">
        <v>17.399999999999999</v>
      </c>
      <c r="S69" s="247">
        <v>99</v>
      </c>
      <c r="T69" s="140">
        <f t="shared" si="4"/>
        <v>33</v>
      </c>
      <c r="U69" s="247">
        <v>278</v>
      </c>
      <c r="V69" s="141">
        <f t="shared" si="5"/>
        <v>2293.5</v>
      </c>
      <c r="W69" s="247">
        <v>18</v>
      </c>
      <c r="X69" s="137" t="s">
        <v>46</v>
      </c>
      <c r="Y69" s="247" t="s">
        <v>90</v>
      </c>
      <c r="Z69" s="247" t="s">
        <v>78</v>
      </c>
      <c r="AA69" s="247" t="s">
        <v>69</v>
      </c>
      <c r="AB69" s="137" t="s">
        <v>415</v>
      </c>
      <c r="AC69" s="247"/>
    </row>
    <row r="70" spans="1:29" x14ac:dyDescent="0.15">
      <c r="A70" s="137" t="s">
        <v>61</v>
      </c>
      <c r="B70" s="137" t="s">
        <v>373</v>
      </c>
      <c r="C70" s="137">
        <v>2018</v>
      </c>
      <c r="D70" s="138" t="s">
        <v>414</v>
      </c>
      <c r="E70" s="137" t="s">
        <v>241</v>
      </c>
      <c r="F70" s="137" t="s">
        <v>240</v>
      </c>
      <c r="G70" s="137" t="s">
        <v>42</v>
      </c>
      <c r="H70" s="247" t="s">
        <v>155</v>
      </c>
      <c r="I70" s="247" t="s">
        <v>153</v>
      </c>
      <c r="J70" s="137" t="s">
        <v>38</v>
      </c>
      <c r="K70" s="247" t="s">
        <v>154</v>
      </c>
      <c r="L70" s="247">
        <v>3</v>
      </c>
      <c r="M70" s="247"/>
      <c r="N70" s="247">
        <v>4</v>
      </c>
      <c r="O70" s="247">
        <v>0.65</v>
      </c>
      <c r="P70" s="247">
        <v>0.6</v>
      </c>
      <c r="Q70" s="139">
        <f t="shared" si="3"/>
        <v>0.625</v>
      </c>
      <c r="R70" s="247">
        <v>17.2</v>
      </c>
      <c r="S70" s="247">
        <v>106</v>
      </c>
      <c r="T70" s="140">
        <f t="shared" si="4"/>
        <v>33</v>
      </c>
      <c r="U70" s="247">
        <v>278</v>
      </c>
      <c r="V70" s="141">
        <f t="shared" si="5"/>
        <v>2293.5</v>
      </c>
      <c r="W70" s="247">
        <v>18</v>
      </c>
      <c r="X70" s="137" t="s">
        <v>46</v>
      </c>
      <c r="Y70" s="247" t="s">
        <v>90</v>
      </c>
      <c r="Z70" s="247" t="s">
        <v>78</v>
      </c>
      <c r="AA70" s="247" t="s">
        <v>69</v>
      </c>
      <c r="AB70" s="137" t="s">
        <v>415</v>
      </c>
      <c r="AC70" s="247"/>
    </row>
    <row r="71" spans="1:29" x14ac:dyDescent="0.15">
      <c r="A71" s="137" t="s">
        <v>61</v>
      </c>
      <c r="B71" s="137" t="s">
        <v>373</v>
      </c>
      <c r="C71" s="137">
        <v>2018</v>
      </c>
      <c r="D71" s="138" t="s">
        <v>414</v>
      </c>
      <c r="E71" s="137" t="s">
        <v>241</v>
      </c>
      <c r="F71" s="137" t="s">
        <v>240</v>
      </c>
      <c r="G71" s="137" t="s">
        <v>42</v>
      </c>
      <c r="H71" s="247" t="s">
        <v>157</v>
      </c>
      <c r="I71" s="247" t="s">
        <v>153</v>
      </c>
      <c r="J71" s="137" t="s">
        <v>38</v>
      </c>
      <c r="K71" s="247" t="s">
        <v>154</v>
      </c>
      <c r="L71" s="247">
        <v>1</v>
      </c>
      <c r="M71" s="247"/>
      <c r="N71" s="247">
        <v>3</v>
      </c>
      <c r="O71" s="247">
        <v>0.5</v>
      </c>
      <c r="P71" s="247">
        <v>0.5</v>
      </c>
      <c r="Q71" s="139">
        <f t="shared" si="3"/>
        <v>0.5</v>
      </c>
      <c r="R71" s="247">
        <v>16.3</v>
      </c>
      <c r="S71" s="247">
        <v>124</v>
      </c>
      <c r="T71" s="140">
        <f t="shared" si="4"/>
        <v>27</v>
      </c>
      <c r="U71" s="247">
        <v>494</v>
      </c>
      <c r="V71" s="141">
        <f t="shared" si="5"/>
        <v>4446</v>
      </c>
      <c r="W71" s="247">
        <v>18</v>
      </c>
      <c r="X71" s="137" t="s">
        <v>46</v>
      </c>
      <c r="Y71" s="247" t="s">
        <v>90</v>
      </c>
      <c r="Z71" s="247" t="s">
        <v>78</v>
      </c>
      <c r="AA71" s="247" t="s">
        <v>69</v>
      </c>
      <c r="AB71" s="137" t="s">
        <v>415</v>
      </c>
      <c r="AC71" s="247"/>
    </row>
    <row r="72" spans="1:29" x14ac:dyDescent="0.15">
      <c r="A72" s="137" t="s">
        <v>61</v>
      </c>
      <c r="B72" s="137" t="s">
        <v>373</v>
      </c>
      <c r="C72" s="137">
        <v>2018</v>
      </c>
      <c r="D72" s="138" t="s">
        <v>414</v>
      </c>
      <c r="E72" s="137" t="s">
        <v>241</v>
      </c>
      <c r="F72" s="137" t="s">
        <v>240</v>
      </c>
      <c r="G72" s="137" t="s">
        <v>42</v>
      </c>
      <c r="H72" s="247" t="s">
        <v>157</v>
      </c>
      <c r="I72" s="247" t="s">
        <v>153</v>
      </c>
      <c r="J72" s="137" t="s">
        <v>38</v>
      </c>
      <c r="K72" s="247" t="s">
        <v>154</v>
      </c>
      <c r="L72" s="247">
        <v>2</v>
      </c>
      <c r="M72" s="247"/>
      <c r="N72" s="247">
        <v>3</v>
      </c>
      <c r="O72" s="247">
        <v>0.5</v>
      </c>
      <c r="P72" s="247">
        <v>0.5</v>
      </c>
      <c r="Q72" s="139">
        <f t="shared" si="3"/>
        <v>0.5</v>
      </c>
      <c r="R72" s="247">
        <v>16.8</v>
      </c>
      <c r="S72" s="247">
        <v>127</v>
      </c>
      <c r="T72" s="140">
        <f t="shared" si="4"/>
        <v>27</v>
      </c>
      <c r="U72" s="247">
        <v>494</v>
      </c>
      <c r="V72" s="141">
        <f t="shared" si="5"/>
        <v>4446</v>
      </c>
      <c r="W72" s="247">
        <v>18</v>
      </c>
      <c r="X72" s="137" t="s">
        <v>46</v>
      </c>
      <c r="Y72" s="247" t="s">
        <v>90</v>
      </c>
      <c r="Z72" s="247" t="s">
        <v>78</v>
      </c>
      <c r="AA72" s="247" t="s">
        <v>69</v>
      </c>
      <c r="AB72" s="137" t="s">
        <v>415</v>
      </c>
      <c r="AC72" s="247"/>
    </row>
    <row r="73" spans="1:29" x14ac:dyDescent="0.15">
      <c r="A73" s="137" t="s">
        <v>61</v>
      </c>
      <c r="B73" s="137" t="s">
        <v>373</v>
      </c>
      <c r="C73" s="137">
        <v>2018</v>
      </c>
      <c r="D73" s="138" t="s">
        <v>414</v>
      </c>
      <c r="E73" s="137" t="s">
        <v>241</v>
      </c>
      <c r="F73" s="137" t="s">
        <v>240</v>
      </c>
      <c r="G73" s="137" t="s">
        <v>42</v>
      </c>
      <c r="H73" s="247" t="s">
        <v>157</v>
      </c>
      <c r="I73" s="247" t="s">
        <v>153</v>
      </c>
      <c r="J73" s="137" t="s">
        <v>38</v>
      </c>
      <c r="K73" s="247" t="s">
        <v>154</v>
      </c>
      <c r="L73" s="247">
        <v>3</v>
      </c>
      <c r="M73" s="247"/>
      <c r="N73" s="247">
        <v>3</v>
      </c>
      <c r="O73" s="247">
        <v>0.5</v>
      </c>
      <c r="P73" s="247">
        <v>0.55000000000000004</v>
      </c>
      <c r="Q73" s="139">
        <f t="shared" si="3"/>
        <v>0.52500000000000002</v>
      </c>
      <c r="R73" s="247">
        <v>17.399999999999999</v>
      </c>
      <c r="S73" s="247">
        <v>128</v>
      </c>
      <c r="T73" s="140">
        <f t="shared" si="4"/>
        <v>27</v>
      </c>
      <c r="U73" s="247">
        <v>494</v>
      </c>
      <c r="V73" s="141">
        <f t="shared" si="5"/>
        <v>4446</v>
      </c>
      <c r="W73" s="247">
        <v>18</v>
      </c>
      <c r="X73" s="137" t="s">
        <v>46</v>
      </c>
      <c r="Y73" s="247" t="s">
        <v>90</v>
      </c>
      <c r="Z73" s="247" t="s">
        <v>78</v>
      </c>
      <c r="AA73" s="247" t="s">
        <v>69</v>
      </c>
      <c r="AB73" s="137" t="s">
        <v>415</v>
      </c>
      <c r="AC73" s="247"/>
    </row>
    <row r="74" spans="1:29" x14ac:dyDescent="0.15">
      <c r="A74" s="137"/>
      <c r="B74" s="137"/>
      <c r="C74" s="137"/>
      <c r="D74" s="138"/>
      <c r="E74" s="137"/>
      <c r="F74" s="137"/>
      <c r="G74" s="137"/>
      <c r="H74" s="247"/>
      <c r="I74" s="247"/>
      <c r="J74" s="137"/>
      <c r="K74" s="247"/>
      <c r="L74" s="247"/>
      <c r="M74" s="247"/>
      <c r="N74" s="247"/>
      <c r="O74" s="247"/>
      <c r="P74" s="247"/>
      <c r="Q74" s="139"/>
      <c r="R74" s="247"/>
      <c r="S74" s="247"/>
      <c r="T74" s="140"/>
      <c r="U74" s="247"/>
      <c r="V74" s="141"/>
      <c r="W74" s="247"/>
      <c r="X74" s="137"/>
      <c r="Y74" s="247"/>
      <c r="Z74" s="247"/>
      <c r="AA74" s="247"/>
      <c r="AB74" s="137"/>
      <c r="AC74" s="247"/>
    </row>
    <row r="75" spans="1:29" x14ac:dyDescent="0.15">
      <c r="A75" s="137"/>
      <c r="B75" s="137"/>
      <c r="C75" s="137"/>
      <c r="D75" s="138"/>
      <c r="E75" s="137"/>
      <c r="F75" s="137"/>
      <c r="G75" s="137"/>
      <c r="H75" s="247"/>
      <c r="I75" s="247"/>
      <c r="J75" s="137"/>
      <c r="K75" s="247"/>
      <c r="L75" s="247"/>
      <c r="M75" s="247"/>
      <c r="N75" s="247"/>
      <c r="O75" s="247"/>
      <c r="P75" s="247"/>
      <c r="Q75" s="139"/>
      <c r="R75" s="247"/>
      <c r="S75" s="247"/>
      <c r="T75" s="140"/>
      <c r="U75" s="247"/>
      <c r="V75" s="141"/>
      <c r="W75" s="247"/>
      <c r="X75" s="137"/>
      <c r="Y75" s="247"/>
      <c r="Z75" s="247"/>
      <c r="AA75" s="247"/>
      <c r="AB75" s="137"/>
      <c r="AC75" s="247"/>
    </row>
    <row r="76" spans="1:29" x14ac:dyDescent="0.15">
      <c r="A76" s="137"/>
      <c r="B76" s="137"/>
      <c r="C76" s="137"/>
      <c r="D76" s="138"/>
      <c r="E76" s="137"/>
      <c r="F76" s="137"/>
      <c r="G76" s="137"/>
      <c r="H76" s="247"/>
      <c r="I76" s="247"/>
      <c r="J76" s="137"/>
      <c r="K76" s="247"/>
      <c r="L76" s="247"/>
      <c r="M76" s="247"/>
      <c r="N76" s="247"/>
      <c r="O76" s="247"/>
      <c r="P76" s="247"/>
      <c r="Q76" s="139"/>
      <c r="R76" s="247"/>
      <c r="S76" s="247"/>
      <c r="T76" s="140"/>
      <c r="U76" s="247"/>
      <c r="V76" s="141"/>
      <c r="W76" s="247"/>
      <c r="X76" s="137"/>
      <c r="Y76" s="247"/>
      <c r="Z76" s="247"/>
      <c r="AA76" s="247"/>
      <c r="AB76" s="137"/>
      <c r="AC76" s="247"/>
    </row>
    <row r="77" spans="1:29" x14ac:dyDescent="0.15">
      <c r="A77" s="137"/>
      <c r="B77" s="137"/>
      <c r="C77" s="137"/>
      <c r="D77" s="138"/>
      <c r="E77" s="137"/>
      <c r="F77" s="137"/>
      <c r="G77" s="137"/>
      <c r="H77" s="247"/>
      <c r="I77" s="247"/>
      <c r="J77" s="137"/>
      <c r="K77" s="247"/>
      <c r="L77" s="247"/>
      <c r="M77" s="247"/>
      <c r="N77" s="247"/>
      <c r="O77" s="247"/>
      <c r="P77" s="247"/>
      <c r="Q77" s="139" t="str">
        <f t="shared" ref="Q77:Q79" si="6">IF(OR(O77="",P77=""),"",AVERAGE(O77,P77))</f>
        <v/>
      </c>
      <c r="R77" s="247"/>
      <c r="S77" s="247"/>
      <c r="T77" s="140" t="str">
        <f t="shared" ref="T77:T79" si="7">IF(H77="","",IF(OR(H77="GREEN",H77="GK"),IF(S77&gt;=$AX$2,VLOOKUP(S77,$AX$2:$AY$15,2,1),""),IF(S77&gt;=$AZ$2,VLOOKUP(S77,$AZ$2:$BA$15,2,1),"")))</f>
        <v/>
      </c>
      <c r="U77" s="247"/>
      <c r="V77" s="141" t="str">
        <f t="shared" ref="V77:V79" si="8">IF(OR(N77="",U77="",T77=""),"",U77/N77*T77)</f>
        <v/>
      </c>
      <c r="W77" s="247"/>
      <c r="X77" s="137"/>
      <c r="Y77" s="247"/>
      <c r="Z77" s="247"/>
      <c r="AA77" s="247"/>
      <c r="AB77" s="137"/>
      <c r="AC77" s="247"/>
    </row>
    <row r="78" spans="1:29" x14ac:dyDescent="0.15">
      <c r="A78" s="137"/>
      <c r="B78" s="137"/>
      <c r="C78" s="137"/>
      <c r="D78" s="138"/>
      <c r="E78" s="137"/>
      <c r="F78" s="137"/>
      <c r="G78" s="137"/>
      <c r="H78" s="247"/>
      <c r="I78" s="247"/>
      <c r="J78" s="137"/>
      <c r="K78" s="247"/>
      <c r="L78" s="247"/>
      <c r="M78" s="247"/>
      <c r="N78" s="247"/>
      <c r="O78" s="247"/>
      <c r="P78" s="247"/>
      <c r="Q78" s="139" t="str">
        <f t="shared" si="6"/>
        <v/>
      </c>
      <c r="R78" s="247"/>
      <c r="S78" s="247"/>
      <c r="T78" s="140" t="str">
        <f t="shared" si="7"/>
        <v/>
      </c>
      <c r="U78" s="247"/>
      <c r="V78" s="141" t="str">
        <f t="shared" si="8"/>
        <v/>
      </c>
      <c r="W78" s="247"/>
      <c r="X78" s="137"/>
      <c r="Y78" s="247"/>
      <c r="Z78" s="247"/>
      <c r="AA78" s="247"/>
      <c r="AB78" s="137"/>
      <c r="AC78" s="247"/>
    </row>
    <row r="79" spans="1:29" x14ac:dyDescent="0.15">
      <c r="A79" s="137"/>
      <c r="B79" s="137"/>
      <c r="C79" s="137"/>
      <c r="D79" s="138"/>
      <c r="E79" s="137"/>
      <c r="F79" s="137"/>
      <c r="G79" s="137"/>
      <c r="H79" s="247"/>
      <c r="I79" s="247"/>
      <c r="J79" s="137"/>
      <c r="K79" s="247"/>
      <c r="L79" s="247"/>
      <c r="M79" s="247"/>
      <c r="N79" s="247"/>
      <c r="O79" s="247"/>
      <c r="P79" s="247"/>
      <c r="Q79" s="139" t="str">
        <f t="shared" si="6"/>
        <v/>
      </c>
      <c r="R79" s="247"/>
      <c r="S79" s="247"/>
      <c r="T79" s="140" t="str">
        <f t="shared" si="7"/>
        <v/>
      </c>
      <c r="U79" s="247"/>
      <c r="V79" s="141" t="str">
        <f t="shared" si="8"/>
        <v/>
      </c>
      <c r="W79" s="247"/>
      <c r="X79" s="137"/>
      <c r="Y79" s="247"/>
      <c r="Z79" s="247"/>
      <c r="AA79" s="247"/>
      <c r="AB79" s="137"/>
      <c r="AC79" s="247"/>
    </row>
    <row r="80" spans="1:29" x14ac:dyDescent="0.15">
      <c r="A80" s="137"/>
      <c r="B80" s="137"/>
      <c r="C80" s="137"/>
      <c r="D80" s="138"/>
      <c r="E80" s="247"/>
      <c r="F80" s="247"/>
      <c r="G80" s="137"/>
      <c r="H80" s="247"/>
      <c r="I80" s="247"/>
      <c r="J80" s="137"/>
      <c r="K80" s="247"/>
      <c r="L80" s="247"/>
      <c r="M80" s="247"/>
      <c r="N80" s="247"/>
      <c r="O80" s="247"/>
      <c r="P80" s="247"/>
      <c r="Q80" s="139"/>
      <c r="R80" s="247"/>
      <c r="S80" s="247"/>
      <c r="T80" s="140"/>
      <c r="U80" s="247"/>
      <c r="V80" s="141"/>
      <c r="W80" s="247"/>
      <c r="X80" s="137"/>
      <c r="Y80" s="247"/>
      <c r="Z80" s="247"/>
      <c r="AA80" s="247"/>
      <c r="AB80" s="137"/>
      <c r="AC80" s="247"/>
    </row>
    <row r="81" spans="1:29" x14ac:dyDescent="0.15">
      <c r="A81" s="137"/>
      <c r="B81" s="137"/>
      <c r="C81" s="137"/>
      <c r="D81" s="138"/>
      <c r="E81" s="247"/>
      <c r="F81" s="247"/>
      <c r="G81" s="137"/>
      <c r="H81" s="247"/>
      <c r="I81" s="247"/>
      <c r="J81" s="137"/>
      <c r="K81" s="247"/>
      <c r="L81" s="247"/>
      <c r="M81" s="247"/>
      <c r="N81" s="247"/>
      <c r="O81" s="247"/>
      <c r="P81" s="247"/>
      <c r="Q81" s="139"/>
      <c r="R81" s="247"/>
      <c r="S81" s="247"/>
      <c r="T81" s="140"/>
      <c r="U81" s="247"/>
      <c r="V81" s="141"/>
      <c r="W81" s="247"/>
      <c r="X81" s="137"/>
      <c r="Y81" s="247"/>
      <c r="Z81" s="247"/>
      <c r="AA81" s="247"/>
      <c r="AB81" s="137"/>
      <c r="AC81" s="247"/>
    </row>
    <row r="82" spans="1:29" x14ac:dyDescent="0.15">
      <c r="A82" s="137"/>
      <c r="B82" s="137"/>
      <c r="C82" s="137"/>
      <c r="D82" s="138"/>
      <c r="E82" s="247"/>
      <c r="F82" s="247"/>
      <c r="G82" s="137"/>
      <c r="H82" s="247"/>
      <c r="I82" s="247"/>
      <c r="J82" s="137"/>
      <c r="K82" s="247"/>
      <c r="L82" s="247"/>
      <c r="M82" s="247"/>
      <c r="N82" s="247"/>
      <c r="O82" s="247"/>
      <c r="P82" s="247"/>
      <c r="Q82" s="139"/>
      <c r="R82" s="247"/>
      <c r="S82" s="247"/>
      <c r="T82" s="140"/>
      <c r="U82" s="247"/>
      <c r="V82" s="141"/>
      <c r="W82" s="247"/>
      <c r="X82" s="137"/>
      <c r="Y82" s="247"/>
      <c r="Z82" s="247"/>
      <c r="AA82" s="247"/>
      <c r="AB82" s="137"/>
      <c r="AC82" s="247"/>
    </row>
    <row r="83" spans="1:29" x14ac:dyDescent="0.15">
      <c r="A83" s="137"/>
      <c r="B83" s="137"/>
      <c r="C83" s="137"/>
      <c r="D83" s="138"/>
      <c r="E83" s="247"/>
      <c r="F83" s="247"/>
      <c r="G83" s="137"/>
      <c r="H83" s="247"/>
      <c r="I83" s="247"/>
      <c r="J83" s="137"/>
      <c r="K83" s="247"/>
      <c r="L83" s="247"/>
      <c r="M83" s="247"/>
      <c r="N83" s="247"/>
      <c r="O83" s="247"/>
      <c r="P83" s="247"/>
      <c r="Q83" s="139"/>
      <c r="R83" s="247"/>
      <c r="S83" s="247"/>
      <c r="T83" s="140"/>
      <c r="U83" s="247"/>
      <c r="V83" s="141"/>
      <c r="W83" s="247"/>
      <c r="X83" s="137"/>
      <c r="Y83" s="247"/>
      <c r="Z83" s="247"/>
      <c r="AA83" s="247"/>
      <c r="AB83" s="137"/>
      <c r="AC83" s="247"/>
    </row>
    <row r="84" spans="1:29" x14ac:dyDescent="0.15">
      <c r="A84" s="137"/>
      <c r="B84" s="137"/>
      <c r="C84" s="137"/>
      <c r="D84" s="138"/>
      <c r="E84" s="247"/>
      <c r="F84" s="247"/>
      <c r="G84" s="137"/>
      <c r="H84" s="247"/>
      <c r="I84" s="247"/>
      <c r="J84" s="137"/>
      <c r="K84" s="247"/>
      <c r="L84" s="247"/>
      <c r="M84" s="247"/>
      <c r="N84" s="247"/>
      <c r="O84" s="247"/>
      <c r="P84" s="247"/>
      <c r="Q84" s="139"/>
      <c r="R84" s="247"/>
      <c r="S84" s="247"/>
      <c r="T84" s="140"/>
      <c r="U84" s="247"/>
      <c r="V84" s="141"/>
      <c r="W84" s="247"/>
      <c r="X84" s="137"/>
      <c r="Y84" s="247"/>
      <c r="Z84" s="247"/>
      <c r="AA84" s="247"/>
      <c r="AB84" s="137"/>
      <c r="AC84" s="247"/>
    </row>
    <row r="85" spans="1:29" x14ac:dyDescent="0.15">
      <c r="A85" s="137"/>
      <c r="B85" s="137"/>
      <c r="C85" s="137"/>
      <c r="D85" s="138"/>
      <c r="E85" s="247"/>
      <c r="F85" s="247"/>
      <c r="G85" s="137"/>
      <c r="H85" s="247"/>
      <c r="I85" s="247"/>
      <c r="J85" s="137"/>
      <c r="K85" s="247"/>
      <c r="L85" s="247"/>
      <c r="M85" s="247"/>
      <c r="N85" s="247"/>
      <c r="O85" s="247"/>
      <c r="P85" s="247"/>
      <c r="Q85" s="139"/>
      <c r="R85" s="247"/>
      <c r="S85" s="247"/>
      <c r="T85" s="140"/>
      <c r="U85" s="247"/>
      <c r="V85" s="141"/>
      <c r="W85" s="247"/>
      <c r="X85" s="137"/>
      <c r="Y85" s="247"/>
      <c r="Z85" s="247"/>
      <c r="AA85" s="247"/>
      <c r="AB85" s="137"/>
      <c r="AC85" s="247"/>
    </row>
    <row r="86" spans="1:29" x14ac:dyDescent="0.15">
      <c r="A86" s="137"/>
      <c r="B86" s="137"/>
      <c r="C86" s="137"/>
      <c r="D86" s="138"/>
      <c r="E86" s="247"/>
      <c r="F86" s="247"/>
      <c r="G86" s="137"/>
      <c r="H86" s="247"/>
      <c r="I86" s="247"/>
      <c r="J86" s="137"/>
      <c r="K86" s="247"/>
      <c r="L86" s="247"/>
      <c r="M86" s="247"/>
      <c r="N86" s="247"/>
      <c r="O86" s="247"/>
      <c r="P86" s="247"/>
      <c r="Q86" s="139"/>
      <c r="R86" s="247"/>
      <c r="S86" s="247"/>
      <c r="T86" s="140"/>
      <c r="U86" s="247"/>
      <c r="V86" s="141"/>
      <c r="W86" s="247"/>
      <c r="X86" s="137"/>
      <c r="Y86" s="247"/>
      <c r="Z86" s="247"/>
      <c r="AA86" s="247"/>
      <c r="AB86" s="137"/>
      <c r="AC86" s="247"/>
    </row>
    <row r="87" spans="1:29" x14ac:dyDescent="0.15">
      <c r="A87" s="137"/>
      <c r="B87" s="137"/>
      <c r="C87" s="137"/>
      <c r="D87" s="138"/>
      <c r="E87" s="247"/>
      <c r="F87" s="247"/>
      <c r="G87" s="137"/>
      <c r="H87" s="247"/>
      <c r="I87" s="247"/>
      <c r="J87" s="137"/>
      <c r="K87" s="247"/>
      <c r="L87" s="247"/>
      <c r="M87" s="247"/>
      <c r="N87" s="247"/>
      <c r="O87" s="247"/>
      <c r="P87" s="247"/>
      <c r="Q87" s="139"/>
      <c r="R87" s="247"/>
      <c r="S87" s="247"/>
      <c r="T87" s="140"/>
      <c r="U87" s="247"/>
      <c r="V87" s="141"/>
      <c r="W87" s="247"/>
      <c r="X87" s="137"/>
      <c r="Y87" s="247"/>
      <c r="Z87" s="247"/>
      <c r="AA87" s="247"/>
      <c r="AB87" s="137"/>
      <c r="AC87" s="247"/>
    </row>
    <row r="88" spans="1:29" x14ac:dyDescent="0.15">
      <c r="A88" s="137"/>
      <c r="B88" s="137"/>
      <c r="C88" s="137"/>
      <c r="D88" s="138"/>
      <c r="E88" s="247"/>
      <c r="F88" s="247"/>
      <c r="G88" s="137"/>
      <c r="H88" s="247"/>
      <c r="I88" s="247"/>
      <c r="J88" s="137"/>
      <c r="K88" s="247"/>
      <c r="L88" s="247"/>
      <c r="M88" s="247"/>
      <c r="N88" s="247"/>
      <c r="O88" s="247"/>
      <c r="P88" s="247"/>
      <c r="Q88" s="139"/>
      <c r="R88" s="247"/>
      <c r="S88" s="247"/>
      <c r="T88" s="140"/>
      <c r="U88" s="247"/>
      <c r="V88" s="141"/>
      <c r="W88" s="247"/>
      <c r="X88" s="137"/>
      <c r="Y88" s="247"/>
      <c r="Z88" s="247"/>
      <c r="AA88" s="247"/>
      <c r="AB88" s="137"/>
      <c r="AC88" s="247"/>
    </row>
    <row r="89" spans="1:29" x14ac:dyDescent="0.15">
      <c r="K89" s="247"/>
      <c r="AC89" s="247"/>
    </row>
    <row r="90" spans="1:29" x14ac:dyDescent="0.15">
      <c r="A90" s="137"/>
      <c r="B90" s="137"/>
      <c r="C90" s="137"/>
      <c r="D90" s="138"/>
      <c r="E90" s="247"/>
      <c r="F90" s="247"/>
      <c r="G90" s="137"/>
      <c r="H90" s="247"/>
      <c r="I90" s="247"/>
      <c r="J90" s="137"/>
      <c r="K90" s="247"/>
      <c r="L90" s="247"/>
      <c r="M90" s="247"/>
      <c r="N90" s="247"/>
      <c r="O90" s="247"/>
      <c r="P90" s="247"/>
      <c r="Q90" s="139"/>
      <c r="R90" s="247"/>
      <c r="S90" s="247"/>
      <c r="T90" s="140"/>
      <c r="U90" s="247"/>
      <c r="V90" s="141"/>
      <c r="W90" s="247"/>
      <c r="X90" s="137"/>
      <c r="Y90" s="247"/>
      <c r="Z90" s="247"/>
      <c r="AA90" s="247"/>
      <c r="AB90" s="137"/>
      <c r="AC90" s="247"/>
    </row>
    <row r="91" spans="1:29" x14ac:dyDescent="0.15">
      <c r="A91" s="137"/>
      <c r="B91" s="137"/>
      <c r="C91" s="137"/>
      <c r="D91" s="138"/>
      <c r="E91" s="247"/>
      <c r="F91" s="247"/>
      <c r="G91" s="137"/>
      <c r="H91" s="247"/>
      <c r="I91" s="247"/>
      <c r="J91" s="137"/>
      <c r="K91" s="247"/>
      <c r="L91" s="247"/>
      <c r="M91" s="247"/>
      <c r="N91" s="247"/>
      <c r="O91" s="247"/>
      <c r="P91" s="247"/>
      <c r="Q91" s="139"/>
      <c r="R91" s="247"/>
      <c r="S91" s="247"/>
      <c r="T91" s="140"/>
      <c r="U91" s="247"/>
      <c r="V91" s="141"/>
      <c r="W91" s="247"/>
      <c r="X91" s="137"/>
      <c r="Y91" s="247"/>
      <c r="Z91" s="247"/>
      <c r="AA91" s="247"/>
      <c r="AB91" s="137"/>
      <c r="AC91" s="247"/>
    </row>
    <row r="92" spans="1:29" x14ac:dyDescent="0.15">
      <c r="A92" s="137"/>
      <c r="B92" s="137"/>
      <c r="C92" s="137"/>
      <c r="D92" s="138"/>
      <c r="E92" s="247"/>
      <c r="F92" s="247"/>
      <c r="G92" s="137"/>
      <c r="H92" s="247"/>
      <c r="I92" s="247"/>
      <c r="J92" s="137"/>
      <c r="K92" s="247"/>
      <c r="L92" s="247"/>
      <c r="M92" s="247"/>
      <c r="N92" s="247"/>
      <c r="O92" s="247"/>
      <c r="P92" s="247"/>
      <c r="Q92" s="139"/>
      <c r="R92" s="247"/>
      <c r="S92" s="247"/>
      <c r="T92" s="140"/>
      <c r="U92" s="247"/>
      <c r="V92" s="141"/>
      <c r="W92" s="247"/>
      <c r="X92" s="137"/>
      <c r="Y92" s="247"/>
      <c r="Z92" s="247"/>
      <c r="AA92" s="247"/>
      <c r="AB92" s="137"/>
      <c r="AC92" s="247"/>
    </row>
    <row r="93" spans="1:29" x14ac:dyDescent="0.15">
      <c r="A93" s="137"/>
      <c r="B93" s="137"/>
      <c r="C93" s="137"/>
      <c r="D93" s="138"/>
      <c r="E93" s="247"/>
      <c r="F93" s="247"/>
      <c r="G93" s="137"/>
      <c r="H93" s="247"/>
      <c r="I93" s="247"/>
      <c r="J93" s="137"/>
      <c r="K93" s="247"/>
      <c r="L93" s="247"/>
      <c r="M93" s="247"/>
      <c r="N93" s="247"/>
      <c r="O93" s="247"/>
      <c r="P93" s="247"/>
      <c r="Q93" s="139"/>
      <c r="R93" s="247"/>
      <c r="S93" s="247"/>
      <c r="T93" s="140"/>
      <c r="U93" s="247"/>
      <c r="V93" s="141"/>
      <c r="W93" s="247"/>
      <c r="X93" s="137"/>
      <c r="Y93" s="247"/>
      <c r="Z93" s="247"/>
      <c r="AA93" s="247"/>
      <c r="AB93" s="137"/>
      <c r="AC93" s="247"/>
    </row>
    <row r="94" spans="1:29" x14ac:dyDescent="0.15">
      <c r="A94" s="137"/>
      <c r="B94" s="137"/>
      <c r="C94" s="137"/>
      <c r="D94" s="138"/>
      <c r="E94" s="247"/>
      <c r="F94" s="247"/>
      <c r="G94" s="137"/>
      <c r="H94" s="247"/>
      <c r="I94" s="247"/>
      <c r="J94" s="137"/>
      <c r="K94" s="247"/>
      <c r="L94" s="247"/>
      <c r="M94" s="247"/>
      <c r="N94" s="247"/>
      <c r="O94" s="247"/>
      <c r="P94" s="247"/>
      <c r="Q94" s="139"/>
      <c r="R94" s="247"/>
      <c r="S94" s="247"/>
      <c r="T94" s="140"/>
      <c r="U94" s="247"/>
      <c r="V94" s="141"/>
      <c r="W94" s="247"/>
      <c r="X94" s="137"/>
      <c r="Y94" s="247"/>
      <c r="Z94" s="247"/>
      <c r="AA94" s="247"/>
      <c r="AB94" s="137"/>
      <c r="AC94" s="247"/>
    </row>
    <row r="95" spans="1:29" x14ac:dyDescent="0.15">
      <c r="A95" s="137"/>
      <c r="B95" s="137"/>
      <c r="C95" s="137"/>
      <c r="D95" s="138"/>
      <c r="E95" s="247"/>
      <c r="F95" s="247"/>
      <c r="G95" s="137"/>
      <c r="H95" s="247"/>
      <c r="I95" s="247"/>
      <c r="J95" s="137"/>
      <c r="K95" s="247"/>
      <c r="L95" s="247"/>
      <c r="M95" s="247"/>
      <c r="N95" s="247"/>
      <c r="O95" s="247"/>
      <c r="P95" s="247"/>
      <c r="Q95" s="139"/>
      <c r="R95" s="247"/>
      <c r="S95" s="247"/>
      <c r="T95" s="140"/>
      <c r="U95" s="247"/>
      <c r="V95" s="141"/>
      <c r="W95" s="247"/>
      <c r="X95" s="137"/>
      <c r="Y95" s="247"/>
      <c r="Z95" s="247"/>
      <c r="AA95" s="247"/>
      <c r="AB95" s="137"/>
      <c r="AC95" s="247"/>
    </row>
    <row r="96" spans="1:29" x14ac:dyDescent="0.15">
      <c r="A96" s="137"/>
      <c r="B96" s="137"/>
      <c r="C96" s="137"/>
      <c r="D96" s="138"/>
      <c r="E96" s="247"/>
      <c r="F96" s="247"/>
      <c r="G96" s="137"/>
      <c r="H96" s="247"/>
      <c r="I96" s="247"/>
      <c r="J96" s="137"/>
      <c r="K96" s="247"/>
      <c r="L96" s="247"/>
      <c r="M96" s="247"/>
      <c r="N96" s="247"/>
      <c r="O96" s="247"/>
      <c r="P96" s="247"/>
      <c r="Q96" s="139"/>
      <c r="R96" s="247"/>
      <c r="S96" s="247"/>
      <c r="T96" s="140"/>
      <c r="U96" s="247"/>
      <c r="V96" s="141"/>
      <c r="W96" s="247"/>
      <c r="X96" s="137"/>
      <c r="Y96" s="247"/>
      <c r="Z96" s="247"/>
      <c r="AA96" s="247"/>
      <c r="AB96" s="137"/>
      <c r="AC96" s="247"/>
    </row>
    <row r="97" spans="1:29" x14ac:dyDescent="0.15">
      <c r="A97" s="137"/>
      <c r="B97" s="137"/>
      <c r="C97" s="137"/>
      <c r="D97" s="138"/>
      <c r="E97" s="247"/>
      <c r="F97" s="247"/>
      <c r="G97" s="137"/>
      <c r="H97" s="247"/>
      <c r="I97" s="247"/>
      <c r="J97" s="137"/>
      <c r="K97" s="247"/>
      <c r="L97" s="247"/>
      <c r="M97" s="247"/>
      <c r="N97" s="247"/>
      <c r="O97" s="247"/>
      <c r="P97" s="247"/>
      <c r="Q97" s="139"/>
      <c r="R97" s="247"/>
      <c r="S97" s="247"/>
      <c r="T97" s="140"/>
      <c r="U97" s="247"/>
      <c r="V97" s="141"/>
      <c r="W97" s="247"/>
      <c r="X97" s="137"/>
      <c r="Y97" s="247"/>
      <c r="Z97" s="247"/>
      <c r="AA97" s="247"/>
      <c r="AB97" s="137"/>
      <c r="AC97" s="247"/>
    </row>
    <row r="98" spans="1:29" x14ac:dyDescent="0.15">
      <c r="A98" s="137"/>
      <c r="B98" s="137"/>
      <c r="C98" s="137"/>
      <c r="D98" s="138"/>
      <c r="E98" s="247"/>
      <c r="F98" s="247"/>
      <c r="G98" s="137"/>
      <c r="H98" s="247"/>
      <c r="I98" s="247"/>
      <c r="J98" s="137"/>
      <c r="K98" s="247"/>
      <c r="L98" s="247"/>
      <c r="M98" s="247"/>
      <c r="N98" s="247"/>
      <c r="O98" s="247"/>
      <c r="P98" s="247"/>
      <c r="Q98" s="139"/>
      <c r="R98" s="247"/>
      <c r="S98" s="247"/>
      <c r="T98" s="140"/>
      <c r="U98" s="247"/>
      <c r="V98" s="141"/>
      <c r="W98" s="247"/>
      <c r="X98" s="137"/>
      <c r="Y98" s="247"/>
      <c r="Z98" s="247"/>
      <c r="AA98" s="247"/>
      <c r="AB98" s="137"/>
      <c r="AC98" s="247"/>
    </row>
    <row r="99" spans="1:29" x14ac:dyDescent="0.15">
      <c r="A99" s="137"/>
      <c r="B99" s="137"/>
      <c r="C99" s="137"/>
      <c r="D99" s="138"/>
      <c r="E99" s="247"/>
      <c r="F99" s="247"/>
      <c r="G99" s="137"/>
      <c r="H99" s="247"/>
      <c r="I99" s="247"/>
      <c r="J99" s="137"/>
      <c r="K99" s="247"/>
      <c r="L99" s="247"/>
      <c r="M99" s="247"/>
      <c r="N99" s="247"/>
      <c r="O99" s="247"/>
      <c r="P99" s="247"/>
      <c r="Q99" s="139"/>
      <c r="R99" s="247"/>
      <c r="S99" s="247"/>
      <c r="T99" s="140"/>
      <c r="U99" s="247"/>
      <c r="V99" s="141"/>
      <c r="W99" s="247"/>
      <c r="X99" s="137"/>
      <c r="Y99" s="247"/>
      <c r="Z99" s="247"/>
      <c r="AA99" s="247"/>
      <c r="AB99" s="137"/>
      <c r="AC99" s="247"/>
    </row>
    <row r="100" spans="1:29" x14ac:dyDescent="0.15">
      <c r="A100" s="137"/>
      <c r="B100" s="137"/>
      <c r="C100" s="137"/>
      <c r="D100" s="138"/>
      <c r="E100" s="247"/>
      <c r="F100" s="247"/>
      <c r="G100" s="137"/>
      <c r="H100" s="247"/>
      <c r="I100" s="247"/>
      <c r="J100" s="137"/>
      <c r="K100" s="247"/>
      <c r="L100" s="247"/>
      <c r="M100" s="247"/>
      <c r="N100" s="247"/>
      <c r="O100" s="247"/>
      <c r="P100" s="247"/>
      <c r="Q100" s="139"/>
      <c r="R100" s="247"/>
      <c r="S100" s="247"/>
      <c r="T100" s="140"/>
      <c r="U100" s="247"/>
      <c r="V100" s="141"/>
      <c r="W100" s="247"/>
      <c r="X100" s="137"/>
      <c r="Y100" s="247"/>
      <c r="Z100" s="247"/>
      <c r="AA100" s="247"/>
      <c r="AB100" s="137"/>
      <c r="AC100" s="247"/>
    </row>
    <row r="101" spans="1:29" x14ac:dyDescent="0.15">
      <c r="A101" s="137"/>
      <c r="B101" s="137"/>
      <c r="C101" s="137"/>
      <c r="D101" s="138"/>
      <c r="E101" s="247"/>
      <c r="F101" s="247"/>
      <c r="G101" s="137"/>
      <c r="H101" s="247"/>
      <c r="I101" s="247"/>
      <c r="J101" s="137"/>
      <c r="K101" s="247"/>
      <c r="L101" s="247"/>
      <c r="M101" s="247"/>
      <c r="N101" s="247"/>
      <c r="O101" s="247"/>
      <c r="P101" s="247"/>
      <c r="Q101" s="139"/>
      <c r="R101" s="247"/>
      <c r="S101" s="247"/>
      <c r="T101" s="140"/>
      <c r="U101" s="247"/>
      <c r="V101" s="141"/>
      <c r="W101" s="247"/>
      <c r="X101" s="137"/>
      <c r="Y101" s="247"/>
      <c r="Z101" s="247"/>
      <c r="AA101" s="247"/>
      <c r="AB101" s="137"/>
      <c r="AC101" s="247"/>
    </row>
    <row r="102" spans="1:29" x14ac:dyDescent="0.15">
      <c r="A102" s="137"/>
      <c r="B102" s="137"/>
      <c r="C102" s="137"/>
      <c r="D102" s="138"/>
      <c r="E102" s="247"/>
      <c r="F102" s="247"/>
      <c r="G102" s="137"/>
      <c r="H102" s="247"/>
      <c r="I102" s="247"/>
      <c r="J102" s="137"/>
      <c r="K102" s="247"/>
      <c r="L102" s="247"/>
      <c r="M102" s="247"/>
      <c r="N102" s="247"/>
      <c r="O102" s="247"/>
      <c r="P102" s="247"/>
      <c r="Q102" s="139"/>
      <c r="R102" s="247"/>
      <c r="S102" s="247"/>
      <c r="T102" s="140"/>
      <c r="U102" s="247"/>
      <c r="V102" s="141"/>
      <c r="W102" s="247"/>
      <c r="X102" s="137"/>
      <c r="Y102" s="247"/>
      <c r="Z102" s="247"/>
      <c r="AA102" s="247"/>
      <c r="AB102" s="137"/>
      <c r="AC102" s="247"/>
    </row>
    <row r="103" spans="1:29" x14ac:dyDescent="0.15">
      <c r="A103" s="137"/>
      <c r="B103" s="137"/>
      <c r="C103" s="137"/>
      <c r="D103" s="138"/>
      <c r="E103" s="247"/>
      <c r="F103" s="247"/>
      <c r="G103" s="137"/>
      <c r="H103" s="247"/>
      <c r="I103" s="247"/>
      <c r="J103" s="137"/>
      <c r="K103" s="247"/>
      <c r="L103" s="247"/>
      <c r="M103" s="247"/>
      <c r="N103" s="247"/>
      <c r="O103" s="247"/>
      <c r="P103" s="247"/>
      <c r="Q103" s="139"/>
      <c r="R103" s="247"/>
      <c r="S103" s="247"/>
      <c r="T103" s="140"/>
      <c r="U103" s="247"/>
      <c r="V103" s="141"/>
      <c r="W103" s="247"/>
      <c r="X103" s="137"/>
      <c r="Y103" s="247"/>
      <c r="Z103" s="247"/>
      <c r="AA103" s="247"/>
      <c r="AB103" s="137"/>
      <c r="AC103" s="247"/>
    </row>
    <row r="104" spans="1:29" x14ac:dyDescent="0.15">
      <c r="A104" s="137"/>
      <c r="B104" s="137"/>
      <c r="C104" s="137"/>
      <c r="D104" s="138"/>
      <c r="E104" s="247"/>
      <c r="F104" s="247"/>
      <c r="G104" s="137"/>
      <c r="H104" s="247"/>
      <c r="I104" s="247"/>
      <c r="J104" s="137"/>
      <c r="K104" s="247"/>
      <c r="L104" s="247"/>
      <c r="M104" s="247"/>
      <c r="N104" s="247"/>
      <c r="O104" s="247"/>
      <c r="P104" s="247"/>
      <c r="Q104" s="139"/>
      <c r="R104" s="247"/>
      <c r="S104" s="247"/>
      <c r="T104" s="140"/>
      <c r="U104" s="247"/>
      <c r="V104" s="141"/>
      <c r="W104" s="247"/>
      <c r="X104" s="137"/>
      <c r="Y104" s="247"/>
      <c r="Z104" s="247"/>
      <c r="AA104" s="247"/>
      <c r="AB104" s="137"/>
      <c r="AC104" s="247"/>
    </row>
    <row r="105" spans="1:29" x14ac:dyDescent="0.15">
      <c r="A105" s="137"/>
      <c r="B105" s="137"/>
      <c r="C105" s="137"/>
      <c r="D105" s="138"/>
      <c r="E105" s="247"/>
      <c r="F105" s="247"/>
      <c r="G105" s="137"/>
      <c r="H105" s="247"/>
      <c r="I105" s="247"/>
      <c r="J105" s="137"/>
      <c r="K105" s="247"/>
      <c r="L105" s="247"/>
      <c r="M105" s="247"/>
      <c r="N105" s="247"/>
      <c r="O105" s="247"/>
      <c r="P105" s="247"/>
      <c r="Q105" s="139"/>
      <c r="R105" s="247"/>
      <c r="S105" s="247"/>
      <c r="T105" s="140"/>
      <c r="U105" s="247"/>
      <c r="V105" s="141"/>
      <c r="W105" s="247"/>
      <c r="X105" s="137"/>
      <c r="Y105" s="247"/>
      <c r="Z105" s="247"/>
      <c r="AA105" s="247"/>
      <c r="AB105" s="137"/>
      <c r="AC105" s="247"/>
    </row>
    <row r="106" spans="1:29" x14ac:dyDescent="0.15">
      <c r="A106" s="137"/>
      <c r="B106" s="137"/>
      <c r="C106" s="137"/>
      <c r="D106" s="138"/>
      <c r="E106" s="247"/>
      <c r="F106" s="247"/>
      <c r="G106" s="137"/>
      <c r="H106" s="247"/>
      <c r="I106" s="247"/>
      <c r="J106" s="137"/>
      <c r="K106" s="247"/>
      <c r="L106" s="247"/>
      <c r="M106" s="247"/>
      <c r="N106" s="247"/>
      <c r="O106" s="247"/>
      <c r="P106" s="247"/>
      <c r="Q106" s="139"/>
      <c r="R106" s="247"/>
      <c r="S106" s="247"/>
      <c r="T106" s="140"/>
      <c r="U106" s="247"/>
      <c r="V106" s="141"/>
      <c r="W106" s="247"/>
      <c r="X106" s="137"/>
      <c r="Y106" s="247"/>
      <c r="Z106" s="247"/>
      <c r="AA106" s="247"/>
      <c r="AB106" s="137"/>
      <c r="AC106" s="247"/>
    </row>
    <row r="107" spans="1:29" x14ac:dyDescent="0.15">
      <c r="A107" s="247"/>
      <c r="B107" s="247"/>
      <c r="C107" s="247"/>
      <c r="D107" s="247"/>
      <c r="E107" s="247"/>
      <c r="F107" s="247"/>
      <c r="G107" s="247"/>
      <c r="H107" s="247"/>
      <c r="I107" s="247"/>
      <c r="J107" s="247"/>
      <c r="K107" s="247"/>
      <c r="L107" s="247"/>
      <c r="M107" s="247"/>
      <c r="N107" s="247"/>
      <c r="O107" s="247"/>
      <c r="P107" s="247"/>
      <c r="Q107" s="140"/>
      <c r="R107" s="247"/>
      <c r="S107" s="247"/>
      <c r="T107" s="140"/>
      <c r="U107" s="247"/>
      <c r="V107" s="140"/>
      <c r="W107" s="247"/>
      <c r="X107" s="247"/>
      <c r="Y107" s="247"/>
      <c r="Z107" s="247"/>
      <c r="AA107" s="247"/>
      <c r="AB107" s="247"/>
      <c r="AC107" s="247"/>
    </row>
    <row r="108" spans="1:29" x14ac:dyDescent="0.15">
      <c r="A108" s="247"/>
      <c r="B108" s="247"/>
      <c r="C108" s="247"/>
      <c r="D108" s="247"/>
      <c r="E108" s="247"/>
      <c r="F108" s="247"/>
      <c r="G108" s="247"/>
      <c r="H108" s="247"/>
      <c r="I108" s="247"/>
      <c r="J108" s="247"/>
      <c r="K108" s="247"/>
      <c r="L108" s="247" t="s">
        <v>431</v>
      </c>
      <c r="M108" s="247"/>
      <c r="N108" s="247"/>
      <c r="O108" s="247"/>
      <c r="P108" s="247"/>
      <c r="Q108" s="140"/>
      <c r="R108" s="247"/>
      <c r="S108" s="247"/>
      <c r="T108" s="140"/>
      <c r="U108" s="247"/>
      <c r="V108" s="140"/>
      <c r="W108" s="247"/>
      <c r="X108" s="247"/>
      <c r="Y108" s="247"/>
      <c r="Z108" s="247"/>
      <c r="AA108" s="247"/>
      <c r="AB108" s="247"/>
      <c r="AC108" s="247"/>
    </row>
    <row r="109" spans="1:29" x14ac:dyDescent="0.15">
      <c r="K109" s="247"/>
    </row>
    <row r="110" spans="1:29" x14ac:dyDescent="0.15">
      <c r="K110" s="247"/>
    </row>
    <row r="111" spans="1:29" x14ac:dyDescent="0.15">
      <c r="K111" s="247"/>
    </row>
    <row r="112" spans="1:29" x14ac:dyDescent="0.15">
      <c r="K112" s="247"/>
    </row>
    <row r="113" spans="11:11" x14ac:dyDescent="0.15">
      <c r="K113" s="247"/>
    </row>
    <row r="114" spans="11:11" x14ac:dyDescent="0.15">
      <c r="K114" s="247"/>
    </row>
  </sheetData>
  <autoFilter ref="A1:BA1">
    <sortState ref="A2:BA64">
      <sortCondition ref="X1"/>
    </sortState>
  </autoFilter>
  <phoneticPr fontId="3"/>
  <dataValidations count="21">
    <dataValidation type="list" allowBlank="1" showInputMessage="1" showErrorMessage="1" sqref="K2:K114">
      <formula1>$AR$2:$AR$26</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JF2:JF67 TB2:TB67 ACX2:ACX67 AMT2:AMT67 AWP2:AWP67 BGL2:BGL67 BQH2:BQH67 CAD2:CAD67 CJZ2:CJZ67 CTV2:CTV67 DDR2:DDR67 DNN2:DNN67 DXJ2:DXJ67 EHF2:EHF67 ERB2:ERB67 FAX2:FAX67 FKT2:FKT67 FUP2:FUP67 GEL2:GEL67 GOH2:GOH67 GYD2:GYD67 HHZ2:HHZ67 HRV2:HRV67 IBR2:IBR67 ILN2:ILN67 IVJ2:IVJ67 JFF2:JFF67 JPB2:JPB67 JYX2:JYX67 KIT2:KIT67 KSP2:KSP67 LCL2:LCL67 LMH2:LMH67 LWD2:LWD67 MFZ2:MFZ67 MPV2:MPV67 MZR2:MZR67 NJN2:NJN67 NTJ2:NTJ67 ODF2:ODF67 ONB2:ONB67 OWX2:OWX67 PGT2:PGT67 PQP2:PQP67 QAL2:QAL67 QKH2:QKH67 QUD2:QUD67 RDZ2:RDZ67 RNV2:RNV67 RXR2:RXR67 SHN2:SHN67 SRJ2:SRJ67 TBF2:TBF67 TLB2:TLB67 TUX2:TUX67 UET2:UET67 UOP2:UOP67 UYL2:UYL67 VIH2:VIH67 VSD2:VSD67 WBZ2:WBZ67 WLV2:WLV67 WVR2:WVR67">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08:F981897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2:F916361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6:F850825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0:F785289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4:F719753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28:F654217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2:F588681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6:F523145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0:F457609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4:F392073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48:F326537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2:F261001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6:F195465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0:F129929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4:F64393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08:E981897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2:E916361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6:E850825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0:E785289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4:E719753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28:E654217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2:E588681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6:E523145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0:E457609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4:E392073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48:E326537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2:E261001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6:E195465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0:E129929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4:E64393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IX2:IX67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B2:B88"/>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IW2:IW67 SS2:SS67 ACO2:ACO67 AMK2:AMK67 AWG2:AWG67 BGC2:BGC67 BPY2:BPY67 BZU2:BZU67 CJQ2:CJQ67 CTM2:CTM67 DDI2:DDI67 DNE2:DNE67 DXA2:DXA67 EGW2:EGW67 EQS2:EQS67 FAO2:FAO67 FKK2:FKK67 FUG2:FUG67 GEC2:GEC67 GNY2:GNY67 GXU2:GXU67 HHQ2:HHQ67 HRM2:HRM67 IBI2:IBI67 ILE2:ILE67 IVA2:IVA67 JEW2:JEW67 JOS2:JOS67 JYO2:JYO67 KIK2:KIK67 KSG2:KSG67 LCC2:LCC67 LLY2:LLY67 LVU2:LVU67 MFQ2:MFQ67 MPM2:MPM67 MZI2:MZI67 NJE2:NJE67 NTA2:NTA67 OCW2:OCW67 OMS2:OMS67 OWO2:OWO67 PGK2:PGK67 PQG2:PQG67 QAC2:QAC67 QJY2:QJY67 QTU2:QTU67 RDQ2:RDQ67 RNM2:RNM67 RXI2:RXI67 SHE2:SHE67 SRA2:SRA67 TAW2:TAW67 TKS2:TKS67 TUO2:TUO67 UEK2:UEK67 UOG2:UOG67 UYC2:UYC67 VHY2:VHY67 VRU2:VRU67 WBQ2:WBQ67 WLM2:WLM67 WVI2:WVI67">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JC2:JC67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G2:G88">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JE2:JE67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I2:I88">
      <formula1>$AN$5:$AN$6</formula1>
    </dataValidation>
    <dataValidation type="list" allowBlank="1" showInputMessage="1" showErrorMessage="1" sqref="WWG981799:WWI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WCO981799:WCQ981882 WWG2:WWI67 WMK2:WMM67 WCO2:WCQ67 VSS2:VSU67 VIW2:VIY67 UZA2:UZC67 UPE2:UPG67 UFI2:UFK67 TVM2:TVO67 TLQ2:TLS67 TBU2:TBW67 SRY2:SSA67 SIC2:SIE67 RYG2:RYI67 ROK2:ROM67 REO2:REQ67 QUS2:QUU67 QKW2:QKY67 QBA2:QBC67 PRE2:PRG67 PHI2:PHK67 OXM2:OXO67 ONQ2:ONS67 ODU2:ODW67 NTY2:NUA67 NKC2:NKE67 NAG2:NAI67 MQK2:MQM67 MGO2:MGQ67 LWS2:LWU67 LMW2:LMY67 LDA2:LDC67 KTE2:KTG67 KJI2:KJK67 JZM2:JZO67 JPQ2:JPS67 JFU2:JFW67 IVY2:IWA67 IMC2:IME67 ICG2:ICI67 HSK2:HSM67 HIO2:HIQ67 GYS2:GYU67 GOW2:GOY67 GFA2:GFC67 FVE2:FVG67 FLI2:FLK67 FBM2:FBO67 ERQ2:ERS67 EHU2:EHW67 DXY2:DYA67 DOC2:DOE67 DEG2:DEI67 CUK2:CUM67 CKO2:CKQ67 CAS2:CAU67 BQW2:BQY67 BHA2:BHC67 AXE2:AXG67 ANI2:ANK67 ADM2:ADO67 TQ2:TS67 JU2:JW67">
      <formula1>$AV$2:$AV$22</formula1>
    </dataValidation>
    <dataValidation type="list" allowBlank="1" showInputMessage="1" showErrorMessage="1" sqref="K115:K494">
      <formula1>$AR$2:$AR$25</formula1>
    </dataValidation>
    <dataValidation type="list" allowBlank="1" showInputMessage="1" showErrorMessage="1" sqref="J90:J494 J2:J88">
      <formula1>$AP$2:$AP$27</formula1>
    </dataValidation>
    <dataValidation type="list" allowBlank="1" showInputMessage="1" showErrorMessage="1" sqref="F90:F494 F2:F88">
      <formula1>$AH$2:$AH$10</formula1>
    </dataValidation>
    <dataValidation type="list" allowBlank="1" showInputMessage="1" showErrorMessage="1" sqref="E90:E494 E2:E88">
      <formula1>$AG$2:$AG$11</formula1>
    </dataValidation>
    <dataValidation type="list" allowBlank="1" showInputMessage="1" showErrorMessage="1" sqref="A90:A494 A2:A88">
      <formula1>$AE$2:$AE$19</formula1>
    </dataValidation>
    <dataValidation type="list" allowBlank="1" showInputMessage="1" showErrorMessage="1" sqref="H90:H494 H2:H88">
      <formula1>$AL$2:$AL$8</formula1>
    </dataValidation>
    <dataValidation type="list" allowBlank="1" showInputMessage="1" showErrorMessage="1" sqref="Y90:AA494 Y2:AA88">
      <formula1>$AV$2:$AV$21</formula1>
    </dataValidation>
    <dataValidation type="decimal" allowBlank="1" showInputMessage="1" showErrorMessage="1" error="硬度を正しく入力して下さい。" sqref="O90:P494 N38:N66 N5:O7 P5:P13 N20:O22 N68:N72 N11:N13 O38:P88 O14:P19 N17:N19 P20:P37">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topLeftCell="A31" zoomScale="85" zoomScaleNormal="85" workbookViewId="0">
      <selection activeCell="H25" sqref="H25"/>
    </sheetView>
  </sheetViews>
  <sheetFormatPr defaultColWidth="8.875" defaultRowHeight="13.5" x14ac:dyDescent="0.15"/>
  <cols>
    <col min="1" max="3" width="8.875" style="208"/>
    <col min="4" max="4" width="13.5" style="208" bestFit="1" customWidth="1"/>
    <col min="5" max="5" width="9.625" style="208" bestFit="1" customWidth="1"/>
    <col min="6" max="16" width="8.875" style="208"/>
    <col min="17" max="17" width="8.875" style="217"/>
    <col min="18" max="19" width="8.875" style="208"/>
    <col min="20" max="20" width="8.875" style="217"/>
    <col min="21" max="21" width="8.875" style="208"/>
    <col min="22" max="22" width="8.875" style="217"/>
    <col min="23" max="32" width="8.875" style="208"/>
    <col min="33" max="33" width="19.625" style="208" bestFit="1" customWidth="1"/>
    <col min="34" max="259" width="8.875" style="208"/>
    <col min="260" max="260" width="10.5" style="208" bestFit="1" customWidth="1"/>
    <col min="261" max="261" width="9.625" style="208" bestFit="1" customWidth="1"/>
    <col min="262" max="515" width="8.875" style="208"/>
    <col min="516" max="516" width="10.5" style="208" bestFit="1" customWidth="1"/>
    <col min="517" max="517" width="9.625" style="208" bestFit="1" customWidth="1"/>
    <col min="518" max="771" width="8.875" style="208"/>
    <col min="772" max="772" width="10.5" style="208" bestFit="1" customWidth="1"/>
    <col min="773" max="773" width="9.625" style="208" bestFit="1" customWidth="1"/>
    <col min="774" max="1027" width="8.875" style="208"/>
    <col min="1028" max="1028" width="10.5" style="208" bestFit="1" customWidth="1"/>
    <col min="1029" max="1029" width="9.625" style="208" bestFit="1" customWidth="1"/>
    <col min="1030" max="1283" width="8.875" style="208"/>
    <col min="1284" max="1284" width="10.5" style="208" bestFit="1" customWidth="1"/>
    <col min="1285" max="1285" width="9.625" style="208" bestFit="1" customWidth="1"/>
    <col min="1286" max="1539" width="8.875" style="208"/>
    <col min="1540" max="1540" width="10.5" style="208" bestFit="1" customWidth="1"/>
    <col min="1541" max="1541" width="9.625" style="208" bestFit="1" customWidth="1"/>
    <col min="1542" max="1795" width="8.875" style="208"/>
    <col min="1796" max="1796" width="10.5" style="208" bestFit="1" customWidth="1"/>
    <col min="1797" max="1797" width="9.625" style="208" bestFit="1" customWidth="1"/>
    <col min="1798" max="2051" width="8.875" style="208"/>
    <col min="2052" max="2052" width="10.5" style="208" bestFit="1" customWidth="1"/>
    <col min="2053" max="2053" width="9.625" style="208" bestFit="1" customWidth="1"/>
    <col min="2054" max="2307" width="8.875" style="208"/>
    <col min="2308" max="2308" width="10.5" style="208" bestFit="1" customWidth="1"/>
    <col min="2309" max="2309" width="9.625" style="208" bestFit="1" customWidth="1"/>
    <col min="2310" max="2563" width="8.875" style="208"/>
    <col min="2564" max="2564" width="10.5" style="208" bestFit="1" customWidth="1"/>
    <col min="2565" max="2565" width="9.625" style="208" bestFit="1" customWidth="1"/>
    <col min="2566" max="2819" width="8.875" style="208"/>
    <col min="2820" max="2820" width="10.5" style="208" bestFit="1" customWidth="1"/>
    <col min="2821" max="2821" width="9.625" style="208" bestFit="1" customWidth="1"/>
    <col min="2822" max="3075" width="8.875" style="208"/>
    <col min="3076" max="3076" width="10.5" style="208" bestFit="1" customWidth="1"/>
    <col min="3077" max="3077" width="9.625" style="208" bestFit="1" customWidth="1"/>
    <col min="3078" max="3331" width="8.875" style="208"/>
    <col min="3332" max="3332" width="10.5" style="208" bestFit="1" customWidth="1"/>
    <col min="3333" max="3333" width="9.625" style="208" bestFit="1" customWidth="1"/>
    <col min="3334" max="3587" width="8.875" style="208"/>
    <col min="3588" max="3588" width="10.5" style="208" bestFit="1" customWidth="1"/>
    <col min="3589" max="3589" width="9.625" style="208" bestFit="1" customWidth="1"/>
    <col min="3590" max="3843" width="8.875" style="208"/>
    <col min="3844" max="3844" width="10.5" style="208" bestFit="1" customWidth="1"/>
    <col min="3845" max="3845" width="9.625" style="208" bestFit="1" customWidth="1"/>
    <col min="3846" max="4099" width="8.875" style="208"/>
    <col min="4100" max="4100" width="10.5" style="208" bestFit="1" customWidth="1"/>
    <col min="4101" max="4101" width="9.625" style="208" bestFit="1" customWidth="1"/>
    <col min="4102" max="4355" width="8.875" style="208"/>
    <col min="4356" max="4356" width="10.5" style="208" bestFit="1" customWidth="1"/>
    <col min="4357" max="4357" width="9.625" style="208" bestFit="1" customWidth="1"/>
    <col min="4358" max="4611" width="8.875" style="208"/>
    <col min="4612" max="4612" width="10.5" style="208" bestFit="1" customWidth="1"/>
    <col min="4613" max="4613" width="9.625" style="208" bestFit="1" customWidth="1"/>
    <col min="4614" max="4867" width="8.875" style="208"/>
    <col min="4868" max="4868" width="10.5" style="208" bestFit="1" customWidth="1"/>
    <col min="4869" max="4869" width="9.625" style="208" bestFit="1" customWidth="1"/>
    <col min="4870" max="5123" width="8.875" style="208"/>
    <col min="5124" max="5124" width="10.5" style="208" bestFit="1" customWidth="1"/>
    <col min="5125" max="5125" width="9.625" style="208" bestFit="1" customWidth="1"/>
    <col min="5126" max="5379" width="8.875" style="208"/>
    <col min="5380" max="5380" width="10.5" style="208" bestFit="1" customWidth="1"/>
    <col min="5381" max="5381" width="9.625" style="208" bestFit="1" customWidth="1"/>
    <col min="5382" max="5635" width="8.875" style="208"/>
    <col min="5636" max="5636" width="10.5" style="208" bestFit="1" customWidth="1"/>
    <col min="5637" max="5637" width="9.625" style="208" bestFit="1" customWidth="1"/>
    <col min="5638" max="5891" width="8.875" style="208"/>
    <col min="5892" max="5892" width="10.5" style="208" bestFit="1" customWidth="1"/>
    <col min="5893" max="5893" width="9.625" style="208" bestFit="1" customWidth="1"/>
    <col min="5894" max="6147" width="8.875" style="208"/>
    <col min="6148" max="6148" width="10.5" style="208" bestFit="1" customWidth="1"/>
    <col min="6149" max="6149" width="9.625" style="208" bestFit="1" customWidth="1"/>
    <col min="6150" max="6403" width="8.875" style="208"/>
    <col min="6404" max="6404" width="10.5" style="208" bestFit="1" customWidth="1"/>
    <col min="6405" max="6405" width="9.625" style="208" bestFit="1" customWidth="1"/>
    <col min="6406" max="6659" width="8.875" style="208"/>
    <col min="6660" max="6660" width="10.5" style="208" bestFit="1" customWidth="1"/>
    <col min="6661" max="6661" width="9.625" style="208" bestFit="1" customWidth="1"/>
    <col min="6662" max="6915" width="8.875" style="208"/>
    <col min="6916" max="6916" width="10.5" style="208" bestFit="1" customWidth="1"/>
    <col min="6917" max="6917" width="9.625" style="208" bestFit="1" customWidth="1"/>
    <col min="6918" max="7171" width="8.875" style="208"/>
    <col min="7172" max="7172" width="10.5" style="208" bestFit="1" customWidth="1"/>
    <col min="7173" max="7173" width="9.625" style="208" bestFit="1" customWidth="1"/>
    <col min="7174" max="7427" width="8.875" style="208"/>
    <col min="7428" max="7428" width="10.5" style="208" bestFit="1" customWidth="1"/>
    <col min="7429" max="7429" width="9.625" style="208" bestFit="1" customWidth="1"/>
    <col min="7430" max="7683" width="8.875" style="208"/>
    <col min="7684" max="7684" width="10.5" style="208" bestFit="1" customWidth="1"/>
    <col min="7685" max="7685" width="9.625" style="208" bestFit="1" customWidth="1"/>
    <col min="7686" max="7939" width="8.875" style="208"/>
    <col min="7940" max="7940" width="10.5" style="208" bestFit="1" customWidth="1"/>
    <col min="7941" max="7941" width="9.625" style="208" bestFit="1" customWidth="1"/>
    <col min="7942" max="8195" width="8.875" style="208"/>
    <col min="8196" max="8196" width="10.5" style="208" bestFit="1" customWidth="1"/>
    <col min="8197" max="8197" width="9.625" style="208" bestFit="1" customWidth="1"/>
    <col min="8198" max="8451" width="8.875" style="208"/>
    <col min="8452" max="8452" width="10.5" style="208" bestFit="1" customWidth="1"/>
    <col min="8453" max="8453" width="9.625" style="208" bestFit="1" customWidth="1"/>
    <col min="8454" max="8707" width="8.875" style="208"/>
    <col min="8708" max="8708" width="10.5" style="208" bestFit="1" customWidth="1"/>
    <col min="8709" max="8709" width="9.625" style="208" bestFit="1" customWidth="1"/>
    <col min="8710" max="8963" width="8.875" style="208"/>
    <col min="8964" max="8964" width="10.5" style="208" bestFit="1" customWidth="1"/>
    <col min="8965" max="8965" width="9.625" style="208" bestFit="1" customWidth="1"/>
    <col min="8966" max="9219" width="8.875" style="208"/>
    <col min="9220" max="9220" width="10.5" style="208" bestFit="1" customWidth="1"/>
    <col min="9221" max="9221" width="9.625" style="208" bestFit="1" customWidth="1"/>
    <col min="9222" max="9475" width="8.875" style="208"/>
    <col min="9476" max="9476" width="10.5" style="208" bestFit="1" customWidth="1"/>
    <col min="9477" max="9477" width="9.625" style="208" bestFit="1" customWidth="1"/>
    <col min="9478" max="9731" width="8.875" style="208"/>
    <col min="9732" max="9732" width="10.5" style="208" bestFit="1" customWidth="1"/>
    <col min="9733" max="9733" width="9.625" style="208" bestFit="1" customWidth="1"/>
    <col min="9734" max="9987" width="8.875" style="208"/>
    <col min="9988" max="9988" width="10.5" style="208" bestFit="1" customWidth="1"/>
    <col min="9989" max="9989" width="9.625" style="208" bestFit="1" customWidth="1"/>
    <col min="9990" max="10243" width="8.875" style="208"/>
    <col min="10244" max="10244" width="10.5" style="208" bestFit="1" customWidth="1"/>
    <col min="10245" max="10245" width="9.625" style="208" bestFit="1" customWidth="1"/>
    <col min="10246" max="10499" width="8.875" style="208"/>
    <col min="10500" max="10500" width="10.5" style="208" bestFit="1" customWidth="1"/>
    <col min="10501" max="10501" width="9.625" style="208" bestFit="1" customWidth="1"/>
    <col min="10502" max="10755" width="8.875" style="208"/>
    <col min="10756" max="10756" width="10.5" style="208" bestFit="1" customWidth="1"/>
    <col min="10757" max="10757" width="9.625" style="208" bestFit="1" customWidth="1"/>
    <col min="10758" max="11011" width="8.875" style="208"/>
    <col min="11012" max="11012" width="10.5" style="208" bestFit="1" customWidth="1"/>
    <col min="11013" max="11013" width="9.625" style="208" bestFit="1" customWidth="1"/>
    <col min="11014" max="11267" width="8.875" style="208"/>
    <col min="11268" max="11268" width="10.5" style="208" bestFit="1" customWidth="1"/>
    <col min="11269" max="11269" width="9.625" style="208" bestFit="1" customWidth="1"/>
    <col min="11270" max="11523" width="8.875" style="208"/>
    <col min="11524" max="11524" width="10.5" style="208" bestFit="1" customWidth="1"/>
    <col min="11525" max="11525" width="9.625" style="208" bestFit="1" customWidth="1"/>
    <col min="11526" max="11779" width="8.875" style="208"/>
    <col min="11780" max="11780" width="10.5" style="208" bestFit="1" customWidth="1"/>
    <col min="11781" max="11781" width="9.625" style="208" bestFit="1" customWidth="1"/>
    <col min="11782" max="12035" width="8.875" style="208"/>
    <col min="12036" max="12036" width="10.5" style="208" bestFit="1" customWidth="1"/>
    <col min="12037" max="12037" width="9.625" style="208" bestFit="1" customWidth="1"/>
    <col min="12038" max="12291" width="8.875" style="208"/>
    <col min="12292" max="12292" width="10.5" style="208" bestFit="1" customWidth="1"/>
    <col min="12293" max="12293" width="9.625" style="208" bestFit="1" customWidth="1"/>
    <col min="12294" max="12547" width="8.875" style="208"/>
    <col min="12548" max="12548" width="10.5" style="208" bestFit="1" customWidth="1"/>
    <col min="12549" max="12549" width="9.625" style="208" bestFit="1" customWidth="1"/>
    <col min="12550" max="12803" width="8.875" style="208"/>
    <col min="12804" max="12804" width="10.5" style="208" bestFit="1" customWidth="1"/>
    <col min="12805" max="12805" width="9.625" style="208" bestFit="1" customWidth="1"/>
    <col min="12806" max="13059" width="8.875" style="208"/>
    <col min="13060" max="13060" width="10.5" style="208" bestFit="1" customWidth="1"/>
    <col min="13061" max="13061" width="9.625" style="208" bestFit="1" customWidth="1"/>
    <col min="13062" max="13315" width="8.875" style="208"/>
    <col min="13316" max="13316" width="10.5" style="208" bestFit="1" customWidth="1"/>
    <col min="13317" max="13317" width="9.625" style="208" bestFit="1" customWidth="1"/>
    <col min="13318" max="13571" width="8.875" style="208"/>
    <col min="13572" max="13572" width="10.5" style="208" bestFit="1" customWidth="1"/>
    <col min="13573" max="13573" width="9.625" style="208" bestFit="1" customWidth="1"/>
    <col min="13574" max="13827" width="8.875" style="208"/>
    <col min="13828" max="13828" width="10.5" style="208" bestFit="1" customWidth="1"/>
    <col min="13829" max="13829" width="9.625" style="208" bestFit="1" customWidth="1"/>
    <col min="13830" max="14083" width="8.875" style="208"/>
    <col min="14084" max="14084" width="10.5" style="208" bestFit="1" customWidth="1"/>
    <col min="14085" max="14085" width="9.625" style="208" bestFit="1" customWidth="1"/>
    <col min="14086" max="14339" width="8.875" style="208"/>
    <col min="14340" max="14340" width="10.5" style="208" bestFit="1" customWidth="1"/>
    <col min="14341" max="14341" width="9.625" style="208" bestFit="1" customWidth="1"/>
    <col min="14342" max="14595" width="8.875" style="208"/>
    <col min="14596" max="14596" width="10.5" style="208" bestFit="1" customWidth="1"/>
    <col min="14597" max="14597" width="9.625" style="208" bestFit="1" customWidth="1"/>
    <col min="14598" max="14851" width="8.875" style="208"/>
    <col min="14852" max="14852" width="10.5" style="208" bestFit="1" customWidth="1"/>
    <col min="14853" max="14853" width="9.625" style="208" bestFit="1" customWidth="1"/>
    <col min="14854" max="15107" width="8.875" style="208"/>
    <col min="15108" max="15108" width="10.5" style="208" bestFit="1" customWidth="1"/>
    <col min="15109" max="15109" width="9.625" style="208" bestFit="1" customWidth="1"/>
    <col min="15110" max="15363" width="8.875" style="208"/>
    <col min="15364" max="15364" width="10.5" style="208" bestFit="1" customWidth="1"/>
    <col min="15365" max="15365" width="9.625" style="208" bestFit="1" customWidth="1"/>
    <col min="15366" max="15619" width="8.875" style="208"/>
    <col min="15620" max="15620" width="10.5" style="208" bestFit="1" customWidth="1"/>
    <col min="15621" max="15621" width="9.625" style="208" bestFit="1" customWidth="1"/>
    <col min="15622" max="15875" width="8.875" style="208"/>
    <col min="15876" max="15876" width="10.5" style="208" bestFit="1" customWidth="1"/>
    <col min="15877" max="15877" width="9.625" style="208" bestFit="1" customWidth="1"/>
    <col min="15878" max="16131" width="8.875" style="208"/>
    <col min="16132" max="16132" width="10.5" style="208" bestFit="1" customWidth="1"/>
    <col min="16133" max="16133" width="9.625" style="208" bestFit="1" customWidth="1"/>
    <col min="16134" max="16384" width="8.875" style="208"/>
  </cols>
  <sheetData>
    <row r="1" spans="1:53" ht="45" x14ac:dyDescent="0.15">
      <c r="A1" s="240" t="s">
        <v>0</v>
      </c>
      <c r="B1" s="202" t="s">
        <v>1</v>
      </c>
      <c r="C1" s="202" t="s">
        <v>432</v>
      </c>
      <c r="D1" s="203" t="s">
        <v>3</v>
      </c>
      <c r="E1" s="241" t="s">
        <v>4</v>
      </c>
      <c r="F1" s="241" t="s">
        <v>5</v>
      </c>
      <c r="G1" s="241" t="s">
        <v>6</v>
      </c>
      <c r="H1" s="241" t="s">
        <v>7</v>
      </c>
      <c r="I1" s="241" t="s">
        <v>8</v>
      </c>
      <c r="J1" s="241" t="s">
        <v>9</v>
      </c>
      <c r="K1" s="241" t="s">
        <v>10</v>
      </c>
      <c r="L1" s="203" t="s">
        <v>433</v>
      </c>
      <c r="M1" s="203" t="s">
        <v>12</v>
      </c>
      <c r="N1" s="203" t="s">
        <v>434</v>
      </c>
      <c r="O1" s="203" t="s">
        <v>435</v>
      </c>
      <c r="P1" s="203" t="s">
        <v>436</v>
      </c>
      <c r="Q1" s="204" t="s">
        <v>16</v>
      </c>
      <c r="R1" s="203" t="s">
        <v>437</v>
      </c>
      <c r="S1" s="203" t="s">
        <v>438</v>
      </c>
      <c r="T1" s="204" t="s">
        <v>19</v>
      </c>
      <c r="U1" s="205" t="s">
        <v>439</v>
      </c>
      <c r="V1" s="206" t="s">
        <v>20</v>
      </c>
      <c r="W1" s="203" t="s">
        <v>21</v>
      </c>
      <c r="X1" s="241" t="s">
        <v>22</v>
      </c>
      <c r="Y1" s="241" t="s">
        <v>23</v>
      </c>
      <c r="Z1" s="241" t="s">
        <v>24</v>
      </c>
      <c r="AA1" s="242" t="s">
        <v>25</v>
      </c>
      <c r="AB1" s="207" t="s">
        <v>440</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441</v>
      </c>
      <c r="AY1" s="214" t="s">
        <v>442</v>
      </c>
      <c r="AZ1" s="214" t="s">
        <v>443</v>
      </c>
      <c r="BA1" s="215" t="s">
        <v>444</v>
      </c>
    </row>
    <row r="2" spans="1:53" x14ac:dyDescent="0.15">
      <c r="A2" s="208" t="s">
        <v>59</v>
      </c>
      <c r="B2" s="237" t="s">
        <v>445</v>
      </c>
      <c r="C2" s="152">
        <v>2018</v>
      </c>
      <c r="D2" s="153" t="s">
        <v>446</v>
      </c>
      <c r="E2" s="208" t="s">
        <v>447</v>
      </c>
      <c r="F2" s="208" t="s">
        <v>282</v>
      </c>
      <c r="G2" s="208" t="s">
        <v>36</v>
      </c>
      <c r="H2" s="208" t="s">
        <v>157</v>
      </c>
      <c r="I2" s="208" t="s">
        <v>153</v>
      </c>
      <c r="J2" s="208" t="s">
        <v>38</v>
      </c>
      <c r="K2" s="208" t="s">
        <v>154</v>
      </c>
      <c r="L2" s="208">
        <v>1</v>
      </c>
      <c r="N2" s="208">
        <v>4</v>
      </c>
      <c r="O2" s="208">
        <v>0.47</v>
      </c>
      <c r="P2" s="208">
        <v>0.45</v>
      </c>
      <c r="Q2" s="245">
        <f>IF(OR(O2="",P2=""),"",AVERAGE(O2,P2))</f>
        <v>0.45999999999999996</v>
      </c>
      <c r="R2" s="208">
        <v>15.8</v>
      </c>
      <c r="S2" s="208">
        <v>136</v>
      </c>
      <c r="T2" s="217">
        <f t="shared" ref="T2:T73" si="0">IF(H2="","",IF(OR(H2="GREEN",H2="GK"),IF(S2&gt;=$AX$2,VLOOKUP(S2,$AX$2:$AY$12,2,1),""),IF(S2&gt;=$AZ$2,VLOOKUP(S2,$AZ$2:$BA$12,2,1),"")))</f>
        <v>25</v>
      </c>
      <c r="U2" s="208">
        <v>480</v>
      </c>
      <c r="V2" s="217">
        <f t="shared" ref="V2:V65" si="1">IF(J2="","",IF(OR(J2="GREEN",J2="GK"),IF(U2&gt;=$AX$2,VLOOKUP(U2,$AX$2:$AY$12,2,1),""),IF(U2&gt;=$AZ$2,VLOOKUP(U2,$AZ$2:$BA$12,2,1),"")))</f>
        <v>16</v>
      </c>
      <c r="W2" s="208">
        <v>3</v>
      </c>
      <c r="X2" s="208" t="s">
        <v>39</v>
      </c>
      <c r="Y2" s="208" t="s">
        <v>84</v>
      </c>
      <c r="Z2" s="208" t="s">
        <v>90</v>
      </c>
      <c r="AA2" s="208" t="s">
        <v>252</v>
      </c>
      <c r="AB2" s="237" t="s">
        <v>448</v>
      </c>
      <c r="AE2" s="218" t="s">
        <v>35</v>
      </c>
      <c r="AG2" s="154" t="s">
        <v>289</v>
      </c>
      <c r="AH2" s="155" t="s">
        <v>281</v>
      </c>
      <c r="AJ2" s="248" t="s">
        <v>36</v>
      </c>
      <c r="AL2" s="219" t="s">
        <v>127</v>
      </c>
      <c r="AN2" s="156" t="s">
        <v>449</v>
      </c>
      <c r="AP2" s="219" t="s">
        <v>38</v>
      </c>
      <c r="AR2" s="219" t="s">
        <v>450</v>
      </c>
      <c r="AT2" s="248" t="s">
        <v>39</v>
      </c>
      <c r="AV2" s="224" t="s">
        <v>55</v>
      </c>
      <c r="AX2" s="157">
        <v>1</v>
      </c>
      <c r="AY2" s="158">
        <v>50</v>
      </c>
      <c r="AZ2" s="158">
        <v>1</v>
      </c>
      <c r="BA2" s="159">
        <v>50</v>
      </c>
    </row>
    <row r="3" spans="1:53" x14ac:dyDescent="0.15">
      <c r="A3" s="208" t="s">
        <v>59</v>
      </c>
      <c r="B3" s="237" t="s">
        <v>451</v>
      </c>
      <c r="C3" s="152">
        <v>2018</v>
      </c>
      <c r="D3" s="153" t="s">
        <v>452</v>
      </c>
      <c r="E3" s="208" t="s">
        <v>453</v>
      </c>
      <c r="F3" s="208" t="s">
        <v>282</v>
      </c>
      <c r="G3" s="208" t="s">
        <v>36</v>
      </c>
      <c r="H3" s="208" t="s">
        <v>157</v>
      </c>
      <c r="I3" s="208" t="s">
        <v>153</v>
      </c>
      <c r="J3" s="208" t="s">
        <v>38</v>
      </c>
      <c r="K3" s="208" t="s">
        <v>154</v>
      </c>
      <c r="L3" s="208">
        <v>2</v>
      </c>
      <c r="N3" s="208">
        <v>4</v>
      </c>
      <c r="O3" s="208">
        <v>0.36</v>
      </c>
      <c r="P3" s="208">
        <v>0.48</v>
      </c>
      <c r="Q3" s="245">
        <f t="shared" ref="Q3:Q73" si="2">IF(OR(O3="",P3=""),"",AVERAGE(O3,P3))</f>
        <v>0.42</v>
      </c>
      <c r="R3" s="208">
        <v>15</v>
      </c>
      <c r="S3" s="208">
        <v>135</v>
      </c>
      <c r="T3" s="217">
        <f t="shared" si="0"/>
        <v>25</v>
      </c>
      <c r="U3" s="208">
        <v>480</v>
      </c>
      <c r="V3" s="217">
        <f t="shared" si="1"/>
        <v>16</v>
      </c>
      <c r="W3" s="208">
        <v>3</v>
      </c>
      <c r="X3" s="208" t="s">
        <v>39</v>
      </c>
      <c r="Y3" s="208" t="s">
        <v>84</v>
      </c>
      <c r="Z3" s="208" t="s">
        <v>90</v>
      </c>
      <c r="AA3" s="208" t="s">
        <v>252</v>
      </c>
      <c r="AB3" s="237" t="s">
        <v>448</v>
      </c>
      <c r="AE3" s="223" t="s">
        <v>41</v>
      </c>
      <c r="AG3" s="154" t="s">
        <v>290</v>
      </c>
      <c r="AH3" s="155" t="s">
        <v>282</v>
      </c>
      <c r="AJ3" s="224" t="s">
        <v>42</v>
      </c>
      <c r="AL3" s="224" t="s">
        <v>128</v>
      </c>
      <c r="AN3" s="224" t="s">
        <v>43</v>
      </c>
      <c r="AP3" s="224" t="s">
        <v>44</v>
      </c>
      <c r="AR3" s="238" t="s">
        <v>45</v>
      </c>
      <c r="AT3" s="224" t="s">
        <v>46</v>
      </c>
      <c r="AV3" s="224" t="s">
        <v>454</v>
      </c>
      <c r="AX3" s="225">
        <v>72</v>
      </c>
      <c r="AY3" s="226">
        <v>46</v>
      </c>
      <c r="AZ3" s="226">
        <v>71</v>
      </c>
      <c r="BA3" s="227">
        <v>42</v>
      </c>
    </row>
    <row r="4" spans="1:53" x14ac:dyDescent="0.15">
      <c r="A4" s="208" t="s">
        <v>59</v>
      </c>
      <c r="B4" s="237" t="s">
        <v>455</v>
      </c>
      <c r="C4" s="152">
        <v>2018</v>
      </c>
      <c r="D4" s="153" t="s">
        <v>456</v>
      </c>
      <c r="E4" s="208" t="s">
        <v>457</v>
      </c>
      <c r="F4" s="208" t="s">
        <v>282</v>
      </c>
      <c r="G4" s="208" t="s">
        <v>36</v>
      </c>
      <c r="H4" s="208" t="s">
        <v>157</v>
      </c>
      <c r="I4" s="208" t="s">
        <v>458</v>
      </c>
      <c r="J4" s="208" t="s">
        <v>38</v>
      </c>
      <c r="K4" s="208" t="s">
        <v>154</v>
      </c>
      <c r="L4" s="208">
        <v>3</v>
      </c>
      <c r="N4" s="208">
        <v>4</v>
      </c>
      <c r="O4" s="208">
        <v>0.52</v>
      </c>
      <c r="P4" s="208">
        <v>0.48</v>
      </c>
      <c r="Q4" s="245">
        <f t="shared" si="2"/>
        <v>0.5</v>
      </c>
      <c r="R4" s="208">
        <v>15.2</v>
      </c>
      <c r="S4" s="208">
        <v>130</v>
      </c>
      <c r="T4" s="217">
        <f t="shared" si="0"/>
        <v>25</v>
      </c>
      <c r="U4" s="208">
        <v>480</v>
      </c>
      <c r="V4" s="217">
        <f t="shared" si="1"/>
        <v>16</v>
      </c>
      <c r="W4" s="208">
        <v>3</v>
      </c>
      <c r="X4" s="208" t="s">
        <v>39</v>
      </c>
      <c r="Y4" s="208" t="s">
        <v>84</v>
      </c>
      <c r="Z4" s="208" t="s">
        <v>90</v>
      </c>
      <c r="AA4" s="208" t="s">
        <v>252</v>
      </c>
      <c r="AB4" s="237" t="s">
        <v>448</v>
      </c>
      <c r="AE4" s="223" t="s">
        <v>34</v>
      </c>
      <c r="AG4" s="154" t="s">
        <v>291</v>
      </c>
      <c r="AH4" s="155" t="s">
        <v>283</v>
      </c>
      <c r="AJ4" s="228" t="s">
        <v>48</v>
      </c>
      <c r="AL4" s="228" t="s">
        <v>129</v>
      </c>
      <c r="AN4" s="229" t="s">
        <v>49</v>
      </c>
      <c r="AP4" s="224" t="s">
        <v>459</v>
      </c>
      <c r="AR4" s="238" t="s">
        <v>242</v>
      </c>
      <c r="AT4" s="229"/>
      <c r="AV4" s="224" t="s">
        <v>460</v>
      </c>
      <c r="AX4" s="225">
        <v>75</v>
      </c>
      <c r="AY4" s="226">
        <v>42</v>
      </c>
      <c r="AZ4" s="226">
        <v>76</v>
      </c>
      <c r="BA4" s="227">
        <v>39</v>
      </c>
    </row>
    <row r="5" spans="1:53" x14ac:dyDescent="0.15">
      <c r="A5" s="208" t="s">
        <v>59</v>
      </c>
      <c r="B5" s="237" t="s">
        <v>455</v>
      </c>
      <c r="C5" s="152">
        <v>2018</v>
      </c>
      <c r="D5" s="153" t="s">
        <v>456</v>
      </c>
      <c r="E5" s="208" t="s">
        <v>457</v>
      </c>
      <c r="F5" s="208" t="s">
        <v>282</v>
      </c>
      <c r="G5" s="208" t="s">
        <v>36</v>
      </c>
      <c r="H5" s="208" t="s">
        <v>155</v>
      </c>
      <c r="I5" s="208" t="s">
        <v>153</v>
      </c>
      <c r="J5" s="208" t="s">
        <v>38</v>
      </c>
      <c r="K5" s="208" t="s">
        <v>154</v>
      </c>
      <c r="L5" s="208">
        <v>1</v>
      </c>
      <c r="N5" s="208">
        <v>4</v>
      </c>
      <c r="O5" s="208">
        <v>0.26</v>
      </c>
      <c r="P5" s="208">
        <v>0.3</v>
      </c>
      <c r="Q5" s="245">
        <f t="shared" si="2"/>
        <v>0.28000000000000003</v>
      </c>
      <c r="R5" s="208">
        <v>14.2</v>
      </c>
      <c r="S5" s="208">
        <v>130</v>
      </c>
      <c r="T5" s="217">
        <f t="shared" si="0"/>
        <v>25</v>
      </c>
      <c r="U5" s="208">
        <v>398</v>
      </c>
      <c r="V5" s="217">
        <f t="shared" si="1"/>
        <v>16</v>
      </c>
      <c r="W5" s="208">
        <v>3</v>
      </c>
      <c r="X5" s="208" t="s">
        <v>39</v>
      </c>
      <c r="Y5" s="208" t="s">
        <v>84</v>
      </c>
      <c r="Z5" s="208" t="s">
        <v>90</v>
      </c>
      <c r="AA5" s="208" t="s">
        <v>252</v>
      </c>
      <c r="AB5" s="237" t="s">
        <v>448</v>
      </c>
      <c r="AE5" s="223" t="s">
        <v>51</v>
      </c>
      <c r="AG5" s="154" t="s">
        <v>243</v>
      </c>
      <c r="AH5" s="155" t="s">
        <v>284</v>
      </c>
      <c r="AJ5" s="229"/>
      <c r="AL5" s="230" t="s">
        <v>461</v>
      </c>
      <c r="AN5" s="72" t="s">
        <v>462</v>
      </c>
      <c r="AP5" s="224" t="s">
        <v>463</v>
      </c>
      <c r="AR5" s="238" t="s">
        <v>54</v>
      </c>
      <c r="AV5" s="224" t="s">
        <v>464</v>
      </c>
      <c r="AX5" s="225">
        <v>84</v>
      </c>
      <c r="AY5" s="226">
        <v>39</v>
      </c>
      <c r="AZ5" s="226">
        <v>84</v>
      </c>
      <c r="BA5" s="227">
        <v>36</v>
      </c>
    </row>
    <row r="6" spans="1:53" x14ac:dyDescent="0.15">
      <c r="A6" s="208" t="s">
        <v>59</v>
      </c>
      <c r="B6" s="237" t="s">
        <v>455</v>
      </c>
      <c r="C6" s="152">
        <v>2018</v>
      </c>
      <c r="D6" s="153" t="s">
        <v>456</v>
      </c>
      <c r="E6" s="208" t="s">
        <v>457</v>
      </c>
      <c r="F6" s="208" t="s">
        <v>282</v>
      </c>
      <c r="G6" s="208" t="s">
        <v>36</v>
      </c>
      <c r="H6" s="208" t="s">
        <v>155</v>
      </c>
      <c r="I6" s="208" t="s">
        <v>153</v>
      </c>
      <c r="J6" s="208" t="s">
        <v>38</v>
      </c>
      <c r="K6" s="208" t="s">
        <v>154</v>
      </c>
      <c r="L6" s="208">
        <v>2</v>
      </c>
      <c r="N6" s="208">
        <v>4</v>
      </c>
      <c r="O6" s="208">
        <v>0.2</v>
      </c>
      <c r="P6" s="208">
        <v>0.28999999999999998</v>
      </c>
      <c r="Q6" s="245">
        <f t="shared" si="2"/>
        <v>0.245</v>
      </c>
      <c r="R6" s="208">
        <v>14.5</v>
      </c>
      <c r="S6" s="208">
        <v>130</v>
      </c>
      <c r="T6" s="217">
        <f t="shared" si="0"/>
        <v>25</v>
      </c>
      <c r="U6" s="208">
        <v>398</v>
      </c>
      <c r="V6" s="217">
        <f t="shared" si="1"/>
        <v>16</v>
      </c>
      <c r="W6" s="208">
        <v>3</v>
      </c>
      <c r="X6" s="208" t="s">
        <v>39</v>
      </c>
      <c r="Y6" s="208" t="s">
        <v>84</v>
      </c>
      <c r="Z6" s="208" t="s">
        <v>90</v>
      </c>
      <c r="AA6" s="208" t="s">
        <v>252</v>
      </c>
      <c r="AB6" s="237" t="s">
        <v>448</v>
      </c>
      <c r="AE6" s="223" t="s">
        <v>56</v>
      </c>
      <c r="AG6" s="154" t="s">
        <v>292</v>
      </c>
      <c r="AH6" s="155" t="s">
        <v>285</v>
      </c>
      <c r="AL6" s="230" t="s">
        <v>465</v>
      </c>
      <c r="AN6" s="230" t="s">
        <v>466</v>
      </c>
      <c r="AP6" s="224" t="s">
        <v>53</v>
      </c>
      <c r="AR6" s="238" t="s">
        <v>158</v>
      </c>
      <c r="AV6" s="224" t="s">
        <v>60</v>
      </c>
      <c r="AX6" s="225">
        <v>97</v>
      </c>
      <c r="AY6" s="226">
        <v>36</v>
      </c>
      <c r="AZ6" s="226">
        <v>99</v>
      </c>
      <c r="BA6" s="227">
        <v>33</v>
      </c>
    </row>
    <row r="7" spans="1:53" x14ac:dyDescent="0.15">
      <c r="A7" s="208" t="s">
        <v>59</v>
      </c>
      <c r="B7" s="237" t="s">
        <v>373</v>
      </c>
      <c r="C7" s="152">
        <v>2018</v>
      </c>
      <c r="D7" s="153" t="s">
        <v>467</v>
      </c>
      <c r="E7" s="208" t="s">
        <v>468</v>
      </c>
      <c r="F7" s="208" t="s">
        <v>282</v>
      </c>
      <c r="G7" s="208" t="s">
        <v>36</v>
      </c>
      <c r="H7" s="208" t="s">
        <v>469</v>
      </c>
      <c r="I7" s="208" t="s">
        <v>153</v>
      </c>
      <c r="J7" s="208" t="s">
        <v>38</v>
      </c>
      <c r="K7" s="208" t="s">
        <v>154</v>
      </c>
      <c r="L7" s="208">
        <v>3</v>
      </c>
      <c r="N7" s="208">
        <v>4</v>
      </c>
      <c r="O7" s="208">
        <v>0.33</v>
      </c>
      <c r="P7" s="208">
        <v>0.3</v>
      </c>
      <c r="Q7" s="245">
        <f t="shared" si="2"/>
        <v>0.315</v>
      </c>
      <c r="R7" s="208">
        <v>14.1</v>
      </c>
      <c r="S7" s="208">
        <v>132</v>
      </c>
      <c r="T7" s="217">
        <f t="shared" si="0"/>
        <v>25</v>
      </c>
      <c r="U7" s="208">
        <v>398</v>
      </c>
      <c r="V7" s="217">
        <f t="shared" si="1"/>
        <v>16</v>
      </c>
      <c r="W7" s="208">
        <v>3</v>
      </c>
      <c r="X7" s="208" t="s">
        <v>39</v>
      </c>
      <c r="Y7" s="208" t="s">
        <v>84</v>
      </c>
      <c r="Z7" s="208" t="s">
        <v>90</v>
      </c>
      <c r="AA7" s="208" t="s">
        <v>252</v>
      </c>
      <c r="AB7" s="237" t="s">
        <v>448</v>
      </c>
      <c r="AE7" s="223" t="s">
        <v>61</v>
      </c>
      <c r="AG7" s="154" t="s">
        <v>293</v>
      </c>
      <c r="AH7" s="155" t="s">
        <v>286</v>
      </c>
      <c r="AL7" s="235" t="s">
        <v>470</v>
      </c>
      <c r="AP7" s="224" t="s">
        <v>58</v>
      </c>
      <c r="AR7" s="231" t="s">
        <v>244</v>
      </c>
      <c r="AV7" s="224" t="s">
        <v>64</v>
      </c>
      <c r="AX7" s="225">
        <v>109</v>
      </c>
      <c r="AY7" s="226">
        <v>33</v>
      </c>
      <c r="AZ7" s="226">
        <v>113</v>
      </c>
      <c r="BA7" s="227">
        <v>30</v>
      </c>
    </row>
    <row r="8" spans="1:53" x14ac:dyDescent="0.15">
      <c r="A8" s="208" t="s">
        <v>59</v>
      </c>
      <c r="B8" s="237" t="s">
        <v>471</v>
      </c>
      <c r="C8" s="152">
        <v>2018</v>
      </c>
      <c r="D8" s="153" t="s">
        <v>472</v>
      </c>
      <c r="E8" s="208" t="s">
        <v>473</v>
      </c>
      <c r="F8" s="208" t="s">
        <v>282</v>
      </c>
      <c r="G8" s="208" t="s">
        <v>36</v>
      </c>
      <c r="H8" s="208" t="s">
        <v>129</v>
      </c>
      <c r="I8" s="208" t="s">
        <v>153</v>
      </c>
      <c r="J8" s="208" t="s">
        <v>250</v>
      </c>
      <c r="K8" s="208" t="s">
        <v>242</v>
      </c>
      <c r="L8" s="208">
        <v>1</v>
      </c>
      <c r="N8" s="208">
        <v>5</v>
      </c>
      <c r="O8" s="208">
        <v>0.62</v>
      </c>
      <c r="P8" s="208">
        <v>0.86</v>
      </c>
      <c r="Q8" s="245">
        <f t="shared" si="2"/>
        <v>0.74</v>
      </c>
      <c r="R8" s="208">
        <v>13.7</v>
      </c>
      <c r="S8" s="208">
        <v>64</v>
      </c>
      <c r="T8" s="217">
        <f t="shared" si="0"/>
        <v>50</v>
      </c>
      <c r="U8" s="208">
        <v>398</v>
      </c>
      <c r="V8" s="217">
        <f t="shared" si="1"/>
        <v>16</v>
      </c>
      <c r="W8" s="208">
        <v>1</v>
      </c>
      <c r="X8" s="208" t="s">
        <v>39</v>
      </c>
      <c r="Y8" s="208" t="s">
        <v>84</v>
      </c>
      <c r="Z8" s="208" t="s">
        <v>90</v>
      </c>
      <c r="AA8" s="208" t="s">
        <v>252</v>
      </c>
      <c r="AB8" s="237" t="s">
        <v>448</v>
      </c>
      <c r="AE8" s="223" t="s">
        <v>59</v>
      </c>
      <c r="AG8" s="160" t="s">
        <v>294</v>
      </c>
      <c r="AH8" s="155" t="s">
        <v>287</v>
      </c>
      <c r="AL8" s="235" t="s">
        <v>474</v>
      </c>
      <c r="AP8" s="224" t="s">
        <v>62</v>
      </c>
      <c r="AR8" s="238" t="s">
        <v>81</v>
      </c>
      <c r="AV8" s="224" t="s">
        <v>97</v>
      </c>
      <c r="AX8" s="225">
        <v>119</v>
      </c>
      <c r="AY8" s="226">
        <v>30</v>
      </c>
      <c r="AZ8" s="226">
        <v>121</v>
      </c>
      <c r="BA8" s="227">
        <v>27</v>
      </c>
    </row>
    <row r="9" spans="1:53" x14ac:dyDescent="0.15">
      <c r="A9" s="208" t="s">
        <v>59</v>
      </c>
      <c r="B9" s="237" t="s">
        <v>455</v>
      </c>
      <c r="C9" s="152">
        <v>2018</v>
      </c>
      <c r="D9" s="153" t="s">
        <v>456</v>
      </c>
      <c r="E9" s="208" t="s">
        <v>457</v>
      </c>
      <c r="F9" s="208" t="s">
        <v>282</v>
      </c>
      <c r="G9" s="208" t="s">
        <v>36</v>
      </c>
      <c r="H9" s="208" t="s">
        <v>129</v>
      </c>
      <c r="I9" s="208" t="s">
        <v>153</v>
      </c>
      <c r="J9" s="208" t="s">
        <v>250</v>
      </c>
      <c r="K9" s="208" t="s">
        <v>242</v>
      </c>
      <c r="L9" s="208">
        <v>2</v>
      </c>
      <c r="N9" s="208">
        <v>5</v>
      </c>
      <c r="O9" s="208">
        <v>0.69</v>
      </c>
      <c r="P9" s="208">
        <v>1</v>
      </c>
      <c r="Q9" s="245">
        <f t="shared" si="2"/>
        <v>0.84499999999999997</v>
      </c>
      <c r="R9" s="208">
        <v>13.8</v>
      </c>
      <c r="S9" s="208">
        <v>67</v>
      </c>
      <c r="T9" s="217">
        <f t="shared" si="0"/>
        <v>50</v>
      </c>
      <c r="U9" s="208">
        <v>398</v>
      </c>
      <c r="V9" s="217">
        <f t="shared" si="1"/>
        <v>16</v>
      </c>
      <c r="W9" s="208">
        <v>1</v>
      </c>
      <c r="X9" s="208" t="s">
        <v>39</v>
      </c>
      <c r="Y9" s="208" t="s">
        <v>84</v>
      </c>
      <c r="Z9" s="208" t="s">
        <v>90</v>
      </c>
      <c r="AA9" s="208" t="s">
        <v>252</v>
      </c>
      <c r="AB9" s="237" t="s">
        <v>448</v>
      </c>
      <c r="AE9" s="223" t="s">
        <v>98</v>
      </c>
      <c r="AG9" s="160" t="s">
        <v>295</v>
      </c>
      <c r="AH9" s="155" t="s">
        <v>287</v>
      </c>
      <c r="AL9" s="230"/>
      <c r="AP9" s="224" t="s">
        <v>246</v>
      </c>
      <c r="AR9" s="231" t="s">
        <v>89</v>
      </c>
      <c r="AV9" s="224" t="s">
        <v>102</v>
      </c>
      <c r="AX9" s="225">
        <v>128</v>
      </c>
      <c r="AY9" s="226">
        <v>27</v>
      </c>
      <c r="AZ9" s="226">
        <v>129</v>
      </c>
      <c r="BA9" s="227">
        <v>25</v>
      </c>
    </row>
    <row r="10" spans="1:53" x14ac:dyDescent="0.15">
      <c r="A10" s="208" t="s">
        <v>59</v>
      </c>
      <c r="B10" s="237" t="s">
        <v>368</v>
      </c>
      <c r="C10" s="152">
        <v>2018</v>
      </c>
      <c r="D10" s="153" t="s">
        <v>475</v>
      </c>
      <c r="E10" s="208" t="s">
        <v>476</v>
      </c>
      <c r="F10" s="208" t="s">
        <v>282</v>
      </c>
      <c r="G10" s="208" t="s">
        <v>36</v>
      </c>
      <c r="H10" s="208" t="s">
        <v>129</v>
      </c>
      <c r="I10" s="208" t="s">
        <v>153</v>
      </c>
      <c r="J10" s="208" t="s">
        <v>250</v>
      </c>
      <c r="K10" s="208" t="s">
        <v>242</v>
      </c>
      <c r="L10" s="208">
        <v>3</v>
      </c>
      <c r="N10" s="208">
        <v>5</v>
      </c>
      <c r="O10" s="208">
        <v>0.65</v>
      </c>
      <c r="P10" s="208">
        <v>0.9</v>
      </c>
      <c r="Q10" s="245">
        <f t="shared" si="2"/>
        <v>0.77500000000000002</v>
      </c>
      <c r="R10" s="208">
        <v>13.5</v>
      </c>
      <c r="S10" s="208">
        <v>59</v>
      </c>
      <c r="T10" s="217">
        <f t="shared" si="0"/>
        <v>50</v>
      </c>
      <c r="U10" s="208">
        <v>398</v>
      </c>
      <c r="V10" s="217">
        <f t="shared" si="1"/>
        <v>16</v>
      </c>
      <c r="W10" s="208">
        <v>1</v>
      </c>
      <c r="X10" s="208" t="s">
        <v>39</v>
      </c>
      <c r="Y10" s="208" t="s">
        <v>84</v>
      </c>
      <c r="Z10" s="208" t="s">
        <v>90</v>
      </c>
      <c r="AA10" s="208" t="s">
        <v>252</v>
      </c>
      <c r="AB10" s="237" t="s">
        <v>448</v>
      </c>
      <c r="AE10" s="223" t="s">
        <v>103</v>
      </c>
      <c r="AG10" s="154" t="s">
        <v>296</v>
      </c>
      <c r="AH10" s="155" t="s">
        <v>284</v>
      </c>
      <c r="AL10" s="88"/>
      <c r="AP10" s="224" t="s">
        <v>100</v>
      </c>
      <c r="AR10" s="231" t="s">
        <v>123</v>
      </c>
      <c r="AV10" s="224" t="s">
        <v>106</v>
      </c>
      <c r="AX10" s="225">
        <v>138</v>
      </c>
      <c r="AY10" s="226">
        <v>25</v>
      </c>
      <c r="AZ10" s="226">
        <v>138</v>
      </c>
      <c r="BA10" s="227">
        <v>22</v>
      </c>
    </row>
    <row r="11" spans="1:53" x14ac:dyDescent="0.15">
      <c r="A11" s="208" t="s">
        <v>59</v>
      </c>
      <c r="B11" s="237" t="s">
        <v>455</v>
      </c>
      <c r="C11" s="152">
        <v>2018</v>
      </c>
      <c r="D11" s="153" t="s">
        <v>456</v>
      </c>
      <c r="E11" s="208" t="s">
        <v>289</v>
      </c>
      <c r="F11" s="208" t="s">
        <v>281</v>
      </c>
      <c r="G11" s="208" t="s">
        <v>36</v>
      </c>
      <c r="H11" s="208" t="s">
        <v>157</v>
      </c>
      <c r="I11" s="208" t="s">
        <v>153</v>
      </c>
      <c r="J11" s="208" t="s">
        <v>38</v>
      </c>
      <c r="K11" s="208" t="s">
        <v>154</v>
      </c>
      <c r="L11" s="208">
        <v>1</v>
      </c>
      <c r="N11" s="208">
        <v>4</v>
      </c>
      <c r="O11" s="208">
        <v>0.25</v>
      </c>
      <c r="P11" s="208">
        <v>0.2</v>
      </c>
      <c r="Q11" s="245">
        <f t="shared" si="2"/>
        <v>0.22500000000000001</v>
      </c>
      <c r="R11" s="208">
        <v>15.8</v>
      </c>
      <c r="S11" s="208">
        <v>110</v>
      </c>
      <c r="T11" s="217">
        <f t="shared" si="0"/>
        <v>33</v>
      </c>
      <c r="U11" s="208">
        <v>297</v>
      </c>
      <c r="V11" s="217">
        <f t="shared" si="1"/>
        <v>16</v>
      </c>
      <c r="W11" s="208">
        <v>5</v>
      </c>
      <c r="X11" s="208" t="s">
        <v>39</v>
      </c>
      <c r="Y11" s="208" t="s">
        <v>84</v>
      </c>
      <c r="Z11" s="208" t="s">
        <v>90</v>
      </c>
      <c r="AA11" s="208" t="s">
        <v>252</v>
      </c>
      <c r="AB11" s="237" t="s">
        <v>448</v>
      </c>
      <c r="AE11" s="223" t="s">
        <v>65</v>
      </c>
      <c r="AG11" s="160" t="s">
        <v>297</v>
      </c>
      <c r="AH11" s="155" t="s">
        <v>288</v>
      </c>
      <c r="AL11" s="88"/>
      <c r="AP11" s="224" t="s">
        <v>245</v>
      </c>
      <c r="AR11" s="231" t="s">
        <v>247</v>
      </c>
      <c r="AV11" s="224" t="s">
        <v>477</v>
      </c>
      <c r="AX11" s="225">
        <v>151</v>
      </c>
      <c r="AY11" s="226">
        <v>22</v>
      </c>
      <c r="AZ11" s="226">
        <v>152</v>
      </c>
      <c r="BA11" s="227">
        <v>18</v>
      </c>
    </row>
    <row r="12" spans="1:53" x14ac:dyDescent="0.15">
      <c r="A12" s="208" t="s">
        <v>59</v>
      </c>
      <c r="B12" s="237" t="s">
        <v>478</v>
      </c>
      <c r="C12" s="152">
        <v>2018</v>
      </c>
      <c r="D12" s="153" t="s">
        <v>479</v>
      </c>
      <c r="E12" s="208" t="s">
        <v>289</v>
      </c>
      <c r="F12" s="208" t="s">
        <v>281</v>
      </c>
      <c r="G12" s="208" t="s">
        <v>36</v>
      </c>
      <c r="H12" s="208" t="s">
        <v>157</v>
      </c>
      <c r="I12" s="208" t="s">
        <v>153</v>
      </c>
      <c r="J12" s="208" t="s">
        <v>38</v>
      </c>
      <c r="K12" s="208" t="s">
        <v>154</v>
      </c>
      <c r="L12" s="208">
        <v>2</v>
      </c>
      <c r="N12" s="208">
        <v>4</v>
      </c>
      <c r="O12" s="208">
        <v>0.22</v>
      </c>
      <c r="P12" s="208">
        <v>0.2</v>
      </c>
      <c r="Q12" s="245">
        <f t="shared" si="2"/>
        <v>0.21000000000000002</v>
      </c>
      <c r="R12" s="208">
        <v>15.9</v>
      </c>
      <c r="S12" s="208">
        <v>108</v>
      </c>
      <c r="T12" s="217">
        <f t="shared" si="0"/>
        <v>33</v>
      </c>
      <c r="U12" s="208">
        <v>297</v>
      </c>
      <c r="V12" s="217">
        <f t="shared" si="1"/>
        <v>16</v>
      </c>
      <c r="W12" s="208">
        <v>5</v>
      </c>
      <c r="X12" s="208" t="s">
        <v>39</v>
      </c>
      <c r="Y12" s="208" t="s">
        <v>84</v>
      </c>
      <c r="Z12" s="208" t="s">
        <v>90</v>
      </c>
      <c r="AA12" s="208" t="s">
        <v>252</v>
      </c>
      <c r="AB12" s="237" t="s">
        <v>448</v>
      </c>
      <c r="AE12" s="223" t="s">
        <v>70</v>
      </c>
      <c r="AG12" s="231"/>
      <c r="AH12" s="161"/>
      <c r="AL12" s="88"/>
      <c r="AP12" s="224" t="s">
        <v>67</v>
      </c>
      <c r="AR12" s="231" t="s">
        <v>124</v>
      </c>
      <c r="AV12" s="224" t="s">
        <v>72</v>
      </c>
      <c r="AX12" s="232">
        <v>180</v>
      </c>
      <c r="AY12" s="233">
        <v>18</v>
      </c>
      <c r="AZ12" s="233">
        <v>181</v>
      </c>
      <c r="BA12" s="234">
        <v>16</v>
      </c>
    </row>
    <row r="13" spans="1:53" x14ac:dyDescent="0.15">
      <c r="A13" s="208" t="s">
        <v>59</v>
      </c>
      <c r="B13" s="237" t="s">
        <v>377</v>
      </c>
      <c r="C13" s="152">
        <v>2018</v>
      </c>
      <c r="D13" s="153" t="s">
        <v>480</v>
      </c>
      <c r="E13" s="208" t="s">
        <v>289</v>
      </c>
      <c r="F13" s="208" t="s">
        <v>281</v>
      </c>
      <c r="G13" s="208" t="s">
        <v>36</v>
      </c>
      <c r="H13" s="208" t="s">
        <v>157</v>
      </c>
      <c r="I13" s="208" t="s">
        <v>153</v>
      </c>
      <c r="J13" s="208" t="s">
        <v>38</v>
      </c>
      <c r="K13" s="208" t="s">
        <v>154</v>
      </c>
      <c r="L13" s="208">
        <v>3</v>
      </c>
      <c r="N13" s="208">
        <v>4</v>
      </c>
      <c r="O13" s="208">
        <v>0.35</v>
      </c>
      <c r="P13" s="208">
        <v>0.33</v>
      </c>
      <c r="Q13" s="245">
        <f t="shared" si="2"/>
        <v>0.33999999999999997</v>
      </c>
      <c r="R13" s="208">
        <v>15.8</v>
      </c>
      <c r="S13" s="208">
        <v>113</v>
      </c>
      <c r="T13" s="217">
        <f t="shared" si="0"/>
        <v>30</v>
      </c>
      <c r="U13" s="208">
        <v>297</v>
      </c>
      <c r="V13" s="217">
        <f t="shared" si="1"/>
        <v>16</v>
      </c>
      <c r="W13" s="208">
        <v>5</v>
      </c>
      <c r="X13" s="208" t="s">
        <v>39</v>
      </c>
      <c r="Y13" s="208" t="s">
        <v>84</v>
      </c>
      <c r="Z13" s="208" t="s">
        <v>90</v>
      </c>
      <c r="AA13" s="208" t="s">
        <v>252</v>
      </c>
      <c r="AB13" s="237" t="s">
        <v>448</v>
      </c>
      <c r="AE13" s="223" t="s">
        <v>73</v>
      </c>
      <c r="AG13" s="224"/>
      <c r="AH13" s="224"/>
      <c r="AP13" s="224" t="s">
        <v>71</v>
      </c>
      <c r="AR13" s="231" t="s">
        <v>103</v>
      </c>
      <c r="AV13" s="224" t="s">
        <v>75</v>
      </c>
    </row>
    <row r="14" spans="1:53" x14ac:dyDescent="0.15">
      <c r="A14" s="208" t="s">
        <v>59</v>
      </c>
      <c r="B14" s="237" t="s">
        <v>379</v>
      </c>
      <c r="C14" s="152">
        <v>2018</v>
      </c>
      <c r="D14" s="153" t="s">
        <v>481</v>
      </c>
      <c r="E14" s="208" t="s">
        <v>289</v>
      </c>
      <c r="F14" s="208" t="s">
        <v>281</v>
      </c>
      <c r="G14" s="208" t="s">
        <v>36</v>
      </c>
      <c r="H14" s="208" t="s">
        <v>155</v>
      </c>
      <c r="I14" s="208" t="s">
        <v>153</v>
      </c>
      <c r="J14" s="208" t="s">
        <v>38</v>
      </c>
      <c r="K14" s="208" t="s">
        <v>154</v>
      </c>
      <c r="L14" s="208">
        <v>1</v>
      </c>
      <c r="N14" s="208">
        <v>4</v>
      </c>
      <c r="O14" s="208">
        <v>0.63</v>
      </c>
      <c r="P14" s="208">
        <v>0.6</v>
      </c>
      <c r="Q14" s="245">
        <f t="shared" si="2"/>
        <v>0.61499999999999999</v>
      </c>
      <c r="R14" s="208">
        <v>13.8</v>
      </c>
      <c r="S14" s="208">
        <v>84</v>
      </c>
      <c r="T14" s="217">
        <f t="shared" si="0"/>
        <v>36</v>
      </c>
      <c r="U14" s="208">
        <v>297</v>
      </c>
      <c r="V14" s="217">
        <f t="shared" si="1"/>
        <v>16</v>
      </c>
      <c r="W14" s="208">
        <v>5</v>
      </c>
      <c r="X14" s="208" t="s">
        <v>39</v>
      </c>
      <c r="Y14" s="208" t="s">
        <v>84</v>
      </c>
      <c r="Z14" s="208" t="s">
        <v>90</v>
      </c>
      <c r="AA14" s="208" t="s">
        <v>252</v>
      </c>
      <c r="AB14" s="237" t="s">
        <v>448</v>
      </c>
      <c r="AE14" s="223" t="s">
        <v>76</v>
      </c>
      <c r="AG14" s="224"/>
      <c r="AH14" s="224"/>
      <c r="AP14" s="224" t="s">
        <v>248</v>
      </c>
      <c r="AR14" s="231" t="s">
        <v>125</v>
      </c>
      <c r="AV14" s="224" t="s">
        <v>78</v>
      </c>
    </row>
    <row r="15" spans="1:53" x14ac:dyDescent="0.15">
      <c r="A15" s="208" t="s">
        <v>59</v>
      </c>
      <c r="B15" s="237" t="s">
        <v>455</v>
      </c>
      <c r="C15" s="152">
        <v>2018</v>
      </c>
      <c r="D15" s="153" t="s">
        <v>456</v>
      </c>
      <c r="E15" s="208" t="s">
        <v>289</v>
      </c>
      <c r="F15" s="208" t="s">
        <v>281</v>
      </c>
      <c r="G15" s="208" t="s">
        <v>36</v>
      </c>
      <c r="H15" s="208" t="s">
        <v>155</v>
      </c>
      <c r="I15" s="208" t="s">
        <v>153</v>
      </c>
      <c r="J15" s="208" t="s">
        <v>38</v>
      </c>
      <c r="K15" s="208" t="s">
        <v>154</v>
      </c>
      <c r="L15" s="208">
        <v>2</v>
      </c>
      <c r="N15" s="208">
        <v>4</v>
      </c>
      <c r="O15" s="208">
        <v>0.56000000000000005</v>
      </c>
      <c r="P15" s="208">
        <v>0.63</v>
      </c>
      <c r="Q15" s="245">
        <f t="shared" si="2"/>
        <v>0.59499999999999997</v>
      </c>
      <c r="R15" s="208">
        <v>12.6</v>
      </c>
      <c r="S15" s="208">
        <v>87</v>
      </c>
      <c r="T15" s="217">
        <f t="shared" si="0"/>
        <v>36</v>
      </c>
      <c r="U15" s="208">
        <v>297</v>
      </c>
      <c r="V15" s="217">
        <f t="shared" si="1"/>
        <v>16</v>
      </c>
      <c r="W15" s="208">
        <v>5</v>
      </c>
      <c r="X15" s="208" t="s">
        <v>39</v>
      </c>
      <c r="Y15" s="208" t="s">
        <v>84</v>
      </c>
      <c r="Z15" s="208" t="s">
        <v>90</v>
      </c>
      <c r="AA15" s="208" t="s">
        <v>252</v>
      </c>
      <c r="AB15" s="237" t="s">
        <v>448</v>
      </c>
      <c r="AE15" s="223" t="s">
        <v>79</v>
      </c>
      <c r="AG15" s="224"/>
      <c r="AH15" s="224"/>
      <c r="AP15" s="224" t="s">
        <v>249</v>
      </c>
      <c r="AR15" s="231" t="s">
        <v>94</v>
      </c>
      <c r="AV15" s="224" t="s">
        <v>107</v>
      </c>
    </row>
    <row r="16" spans="1:53" x14ac:dyDescent="0.15">
      <c r="A16" s="208" t="s">
        <v>59</v>
      </c>
      <c r="B16" s="237" t="s">
        <v>383</v>
      </c>
      <c r="C16" s="152">
        <v>2018</v>
      </c>
      <c r="D16" s="153" t="s">
        <v>482</v>
      </c>
      <c r="E16" s="208" t="s">
        <v>289</v>
      </c>
      <c r="F16" s="208" t="s">
        <v>281</v>
      </c>
      <c r="G16" s="208" t="s">
        <v>36</v>
      </c>
      <c r="H16" s="208" t="s">
        <v>483</v>
      </c>
      <c r="I16" s="208" t="s">
        <v>153</v>
      </c>
      <c r="J16" s="208" t="s">
        <v>38</v>
      </c>
      <c r="K16" s="208" t="s">
        <v>154</v>
      </c>
      <c r="L16" s="208">
        <v>3</v>
      </c>
      <c r="N16" s="208">
        <v>4</v>
      </c>
      <c r="O16" s="208">
        <v>0.55000000000000004</v>
      </c>
      <c r="P16" s="208">
        <v>0.67</v>
      </c>
      <c r="Q16" s="245">
        <f t="shared" si="2"/>
        <v>0.6100000000000001</v>
      </c>
      <c r="R16" s="208">
        <v>13.5</v>
      </c>
      <c r="S16" s="208">
        <v>91</v>
      </c>
      <c r="T16" s="217">
        <f t="shared" si="0"/>
        <v>36</v>
      </c>
      <c r="U16" s="208">
        <v>297</v>
      </c>
      <c r="V16" s="217">
        <f t="shared" si="1"/>
        <v>16</v>
      </c>
      <c r="W16" s="208">
        <v>5</v>
      </c>
      <c r="X16" s="208" t="s">
        <v>39</v>
      </c>
      <c r="Y16" s="208" t="s">
        <v>84</v>
      </c>
      <c r="Z16" s="208" t="s">
        <v>90</v>
      </c>
      <c r="AA16" s="208" t="s">
        <v>252</v>
      </c>
      <c r="AB16" s="237" t="s">
        <v>448</v>
      </c>
      <c r="AE16" s="223" t="s">
        <v>82</v>
      </c>
      <c r="AG16" s="229"/>
      <c r="AH16" s="229"/>
      <c r="AP16" s="224" t="s">
        <v>80</v>
      </c>
      <c r="AR16" s="238" t="s">
        <v>63</v>
      </c>
      <c r="AV16" s="224" t="s">
        <v>84</v>
      </c>
    </row>
    <row r="17" spans="1:48" x14ac:dyDescent="0.15">
      <c r="A17" s="208" t="s">
        <v>59</v>
      </c>
      <c r="B17" s="237" t="s">
        <v>455</v>
      </c>
      <c r="C17" s="152">
        <v>2018</v>
      </c>
      <c r="D17" s="153" t="s">
        <v>456</v>
      </c>
      <c r="E17" s="208" t="s">
        <v>289</v>
      </c>
      <c r="F17" s="208" t="s">
        <v>281</v>
      </c>
      <c r="G17" s="208" t="s">
        <v>36</v>
      </c>
      <c r="H17" s="208" t="s">
        <v>129</v>
      </c>
      <c r="I17" s="208" t="s">
        <v>153</v>
      </c>
      <c r="J17" s="208" t="s">
        <v>250</v>
      </c>
      <c r="K17" s="208" t="s">
        <v>242</v>
      </c>
      <c r="L17" s="208">
        <v>1</v>
      </c>
      <c r="N17" s="208">
        <v>4</v>
      </c>
      <c r="O17" s="208">
        <v>1.2</v>
      </c>
      <c r="P17" s="208">
        <v>1.05</v>
      </c>
      <c r="Q17" s="245">
        <f t="shared" si="2"/>
        <v>1.125</v>
      </c>
      <c r="R17" s="208">
        <v>17</v>
      </c>
      <c r="S17" s="208">
        <v>84</v>
      </c>
      <c r="T17" s="217">
        <f t="shared" si="0"/>
        <v>36</v>
      </c>
      <c r="U17" s="208">
        <v>357</v>
      </c>
      <c r="V17" s="217">
        <f t="shared" si="1"/>
        <v>16</v>
      </c>
      <c r="W17" s="208">
        <v>1</v>
      </c>
      <c r="X17" s="208" t="s">
        <v>39</v>
      </c>
      <c r="Y17" s="208" t="s">
        <v>84</v>
      </c>
      <c r="Z17" s="208" t="s">
        <v>90</v>
      </c>
      <c r="AA17" s="208" t="s">
        <v>252</v>
      </c>
      <c r="AB17" s="237" t="s">
        <v>448</v>
      </c>
      <c r="AE17" s="223" t="s">
        <v>85</v>
      </c>
      <c r="AP17" s="239" t="s">
        <v>110</v>
      </c>
      <c r="AR17" s="238" t="s">
        <v>96</v>
      </c>
      <c r="AV17" s="224" t="s">
        <v>86</v>
      </c>
    </row>
    <row r="18" spans="1:48" x14ac:dyDescent="0.15">
      <c r="A18" s="208" t="s">
        <v>59</v>
      </c>
      <c r="B18" s="237" t="s">
        <v>455</v>
      </c>
      <c r="C18" s="152">
        <v>2018</v>
      </c>
      <c r="D18" s="153" t="s">
        <v>456</v>
      </c>
      <c r="E18" s="208" t="s">
        <v>289</v>
      </c>
      <c r="F18" s="208" t="s">
        <v>281</v>
      </c>
      <c r="G18" s="208" t="s">
        <v>36</v>
      </c>
      <c r="H18" s="208" t="s">
        <v>129</v>
      </c>
      <c r="I18" s="208" t="s">
        <v>153</v>
      </c>
      <c r="J18" s="208" t="s">
        <v>250</v>
      </c>
      <c r="K18" s="208" t="s">
        <v>242</v>
      </c>
      <c r="L18" s="208">
        <v>2</v>
      </c>
      <c r="N18" s="208">
        <v>4</v>
      </c>
      <c r="O18" s="208">
        <v>1.24</v>
      </c>
      <c r="P18" s="208">
        <v>1.3</v>
      </c>
      <c r="Q18" s="245">
        <f t="shared" si="2"/>
        <v>1.27</v>
      </c>
      <c r="R18" s="208">
        <v>16.3</v>
      </c>
      <c r="S18" s="208">
        <v>95</v>
      </c>
      <c r="T18" s="217">
        <f t="shared" si="0"/>
        <v>36</v>
      </c>
      <c r="U18" s="208">
        <v>357</v>
      </c>
      <c r="V18" s="217">
        <f t="shared" si="1"/>
        <v>16</v>
      </c>
      <c r="W18" s="208">
        <v>1</v>
      </c>
      <c r="X18" s="208" t="s">
        <v>39</v>
      </c>
      <c r="Y18" s="208" t="s">
        <v>84</v>
      </c>
      <c r="Z18" s="208" t="s">
        <v>90</v>
      </c>
      <c r="AA18" s="208" t="s">
        <v>252</v>
      </c>
      <c r="AB18" s="237" t="s">
        <v>448</v>
      </c>
      <c r="AE18" s="223" t="s">
        <v>87</v>
      </c>
      <c r="AP18" s="239" t="s">
        <v>251</v>
      </c>
      <c r="AR18" s="238" t="s">
        <v>101</v>
      </c>
      <c r="AV18" s="224" t="s">
        <v>88</v>
      </c>
    </row>
    <row r="19" spans="1:48" x14ac:dyDescent="0.15">
      <c r="A19" s="208" t="s">
        <v>59</v>
      </c>
      <c r="B19" s="237" t="s">
        <v>373</v>
      </c>
      <c r="C19" s="152">
        <v>2018</v>
      </c>
      <c r="D19" s="153" t="s">
        <v>467</v>
      </c>
      <c r="E19" s="208" t="s">
        <v>289</v>
      </c>
      <c r="F19" s="208" t="s">
        <v>281</v>
      </c>
      <c r="G19" s="208" t="s">
        <v>36</v>
      </c>
      <c r="H19" s="208" t="s">
        <v>129</v>
      </c>
      <c r="I19" s="208" t="s">
        <v>153</v>
      </c>
      <c r="J19" s="208" t="s">
        <v>250</v>
      </c>
      <c r="K19" s="208" t="s">
        <v>242</v>
      </c>
      <c r="L19" s="208">
        <v>3</v>
      </c>
      <c r="N19" s="208">
        <v>4</v>
      </c>
      <c r="O19" s="208">
        <v>1.1599999999999999</v>
      </c>
      <c r="P19" s="208">
        <v>0.82</v>
      </c>
      <c r="Q19" s="245">
        <f t="shared" si="2"/>
        <v>0.99</v>
      </c>
      <c r="R19" s="208">
        <v>15.9</v>
      </c>
      <c r="S19" s="208">
        <v>86</v>
      </c>
      <c r="T19" s="217">
        <f t="shared" si="0"/>
        <v>36</v>
      </c>
      <c r="U19" s="208">
        <v>357</v>
      </c>
      <c r="V19" s="217">
        <f t="shared" si="1"/>
        <v>16</v>
      </c>
      <c r="W19" s="208">
        <v>1</v>
      </c>
      <c r="X19" s="208" t="s">
        <v>39</v>
      </c>
      <c r="Y19" s="208" t="s">
        <v>84</v>
      </c>
      <c r="Z19" s="208" t="s">
        <v>90</v>
      </c>
      <c r="AA19" s="208" t="s">
        <v>252</v>
      </c>
      <c r="AB19" s="237" t="s">
        <v>448</v>
      </c>
      <c r="AD19" s="237"/>
      <c r="AE19" s="236" t="s">
        <v>89</v>
      </c>
      <c r="AP19" s="239" t="s">
        <v>112</v>
      </c>
      <c r="AR19" s="231" t="s">
        <v>126</v>
      </c>
      <c r="AV19" s="224" t="s">
        <v>252</v>
      </c>
    </row>
    <row r="20" spans="1:48" x14ac:dyDescent="0.15">
      <c r="A20" s="208" t="s">
        <v>59</v>
      </c>
      <c r="B20" s="237" t="s">
        <v>455</v>
      </c>
      <c r="C20" s="152">
        <v>2018</v>
      </c>
      <c r="D20" s="153" t="s">
        <v>456</v>
      </c>
      <c r="E20" s="208" t="s">
        <v>243</v>
      </c>
      <c r="F20" s="208" t="s">
        <v>284</v>
      </c>
      <c r="G20" s="208" t="s">
        <v>36</v>
      </c>
      <c r="H20" s="208" t="s">
        <v>157</v>
      </c>
      <c r="I20" s="208" t="s">
        <v>153</v>
      </c>
      <c r="J20" s="208" t="s">
        <v>38</v>
      </c>
      <c r="K20" s="208" t="s">
        <v>154</v>
      </c>
      <c r="L20" s="208">
        <v>1</v>
      </c>
      <c r="N20" s="208">
        <v>3</v>
      </c>
      <c r="O20" s="208">
        <v>0.46</v>
      </c>
      <c r="P20" s="208">
        <v>0.47</v>
      </c>
      <c r="Q20" s="245">
        <f t="shared" si="2"/>
        <v>0.46499999999999997</v>
      </c>
      <c r="R20" s="208">
        <v>16.5</v>
      </c>
      <c r="S20" s="208">
        <v>125</v>
      </c>
      <c r="T20" s="217">
        <f t="shared" si="0"/>
        <v>27</v>
      </c>
      <c r="U20" s="208">
        <v>399</v>
      </c>
      <c r="V20" s="217">
        <f t="shared" si="1"/>
        <v>16</v>
      </c>
      <c r="W20" s="208">
        <v>4</v>
      </c>
      <c r="X20" s="208" t="s">
        <v>39</v>
      </c>
      <c r="Y20" s="208" t="s">
        <v>90</v>
      </c>
      <c r="Z20" s="208" t="s">
        <v>84</v>
      </c>
      <c r="AA20" s="208" t="s">
        <v>252</v>
      </c>
      <c r="AB20" s="237" t="s">
        <v>448</v>
      </c>
      <c r="AD20" s="237"/>
      <c r="AE20" s="236"/>
      <c r="AP20" s="239" t="s">
        <v>113</v>
      </c>
      <c r="AR20" s="238" t="s">
        <v>105</v>
      </c>
      <c r="AV20" s="228" t="s">
        <v>484</v>
      </c>
    </row>
    <row r="21" spans="1:48" x14ac:dyDescent="0.15">
      <c r="A21" s="208" t="s">
        <v>59</v>
      </c>
      <c r="B21" s="237" t="s">
        <v>455</v>
      </c>
      <c r="C21" s="152">
        <v>2018</v>
      </c>
      <c r="D21" s="153" t="s">
        <v>456</v>
      </c>
      <c r="E21" s="208" t="s">
        <v>243</v>
      </c>
      <c r="F21" s="208" t="s">
        <v>284</v>
      </c>
      <c r="G21" s="208" t="s">
        <v>36</v>
      </c>
      <c r="H21" s="208" t="s">
        <v>157</v>
      </c>
      <c r="I21" s="208" t="s">
        <v>153</v>
      </c>
      <c r="J21" s="208" t="s">
        <v>38</v>
      </c>
      <c r="K21" s="208" t="s">
        <v>154</v>
      </c>
      <c r="L21" s="208">
        <v>2</v>
      </c>
      <c r="N21" s="208">
        <v>3</v>
      </c>
      <c r="O21" s="208">
        <v>0.46</v>
      </c>
      <c r="P21" s="208">
        <v>0.49</v>
      </c>
      <c r="Q21" s="245">
        <f t="shared" si="2"/>
        <v>0.47499999999999998</v>
      </c>
      <c r="R21" s="208">
        <v>14.9</v>
      </c>
      <c r="S21" s="208">
        <v>122</v>
      </c>
      <c r="T21" s="217">
        <f t="shared" si="0"/>
        <v>27</v>
      </c>
      <c r="U21" s="208">
        <v>399</v>
      </c>
      <c r="V21" s="217">
        <f t="shared" si="1"/>
        <v>16</v>
      </c>
      <c r="W21" s="208">
        <v>4</v>
      </c>
      <c r="X21" s="208" t="s">
        <v>39</v>
      </c>
      <c r="Y21" s="208" t="s">
        <v>90</v>
      </c>
      <c r="Z21" s="208" t="s">
        <v>84</v>
      </c>
      <c r="AA21" s="208" t="s">
        <v>252</v>
      </c>
      <c r="AB21" s="237" t="s">
        <v>448</v>
      </c>
      <c r="AD21" s="237"/>
      <c r="AE21" s="229"/>
      <c r="AP21" s="239" t="s">
        <v>253</v>
      </c>
      <c r="AR21" s="238" t="s">
        <v>68</v>
      </c>
      <c r="AV21" s="228" t="s">
        <v>485</v>
      </c>
    </row>
    <row r="22" spans="1:48" x14ac:dyDescent="0.15">
      <c r="A22" s="208" t="s">
        <v>59</v>
      </c>
      <c r="B22" s="237" t="s">
        <v>455</v>
      </c>
      <c r="C22" s="152">
        <v>2018</v>
      </c>
      <c r="D22" s="153" t="s">
        <v>456</v>
      </c>
      <c r="E22" s="208" t="s">
        <v>243</v>
      </c>
      <c r="F22" s="208" t="s">
        <v>284</v>
      </c>
      <c r="G22" s="208" t="s">
        <v>36</v>
      </c>
      <c r="H22" s="208" t="s">
        <v>157</v>
      </c>
      <c r="I22" s="208" t="s">
        <v>153</v>
      </c>
      <c r="J22" s="208" t="s">
        <v>38</v>
      </c>
      <c r="K22" s="208" t="s">
        <v>154</v>
      </c>
      <c r="L22" s="208">
        <v>3</v>
      </c>
      <c r="N22" s="208">
        <v>3</v>
      </c>
      <c r="O22" s="208">
        <v>0.51</v>
      </c>
      <c r="P22" s="208">
        <v>0.47</v>
      </c>
      <c r="Q22" s="245">
        <f t="shared" si="2"/>
        <v>0.49</v>
      </c>
      <c r="R22" s="208">
        <v>15.7</v>
      </c>
      <c r="S22" s="208">
        <v>115</v>
      </c>
      <c r="T22" s="217">
        <f t="shared" si="0"/>
        <v>30</v>
      </c>
      <c r="U22" s="208">
        <v>399</v>
      </c>
      <c r="V22" s="217">
        <f t="shared" si="1"/>
        <v>16</v>
      </c>
      <c r="W22" s="208">
        <v>4</v>
      </c>
      <c r="X22" s="208" t="s">
        <v>39</v>
      </c>
      <c r="Y22" s="208" t="s">
        <v>90</v>
      </c>
      <c r="Z22" s="208" t="s">
        <v>84</v>
      </c>
      <c r="AA22" s="208" t="s">
        <v>252</v>
      </c>
      <c r="AB22" s="237" t="s">
        <v>448</v>
      </c>
      <c r="AD22" s="237"/>
      <c r="AP22" s="239" t="s">
        <v>250</v>
      </c>
      <c r="AR22" s="238" t="s">
        <v>83</v>
      </c>
      <c r="AV22" s="228" t="s">
        <v>254</v>
      </c>
    </row>
    <row r="23" spans="1:48" x14ac:dyDescent="0.15">
      <c r="A23" s="208" t="s">
        <v>59</v>
      </c>
      <c r="B23" s="237" t="s">
        <v>455</v>
      </c>
      <c r="C23" s="152">
        <v>2018</v>
      </c>
      <c r="D23" s="153" t="s">
        <v>456</v>
      </c>
      <c r="E23" s="208" t="s">
        <v>243</v>
      </c>
      <c r="F23" s="208" t="s">
        <v>284</v>
      </c>
      <c r="G23" s="208" t="s">
        <v>36</v>
      </c>
      <c r="H23" s="208" t="s">
        <v>155</v>
      </c>
      <c r="I23" s="208" t="s">
        <v>153</v>
      </c>
      <c r="J23" s="208" t="s">
        <v>38</v>
      </c>
      <c r="K23" s="208" t="s">
        <v>154</v>
      </c>
      <c r="L23" s="208">
        <v>1</v>
      </c>
      <c r="N23" s="208">
        <v>1</v>
      </c>
      <c r="O23" s="208">
        <v>0.25</v>
      </c>
      <c r="P23" s="208">
        <v>0.24</v>
      </c>
      <c r="Q23" s="245">
        <f t="shared" si="2"/>
        <v>0.245</v>
      </c>
      <c r="R23" s="208">
        <v>14.2</v>
      </c>
      <c r="S23" s="208">
        <v>132</v>
      </c>
      <c r="T23" s="217">
        <f t="shared" si="0"/>
        <v>25</v>
      </c>
      <c r="U23" s="208">
        <v>149</v>
      </c>
      <c r="V23" s="217">
        <f t="shared" si="1"/>
        <v>22</v>
      </c>
      <c r="W23" s="208">
        <v>4</v>
      </c>
      <c r="X23" s="208" t="s">
        <v>39</v>
      </c>
      <c r="Y23" s="208" t="s">
        <v>90</v>
      </c>
      <c r="Z23" s="208" t="s">
        <v>84</v>
      </c>
      <c r="AA23" s="208" t="s">
        <v>252</v>
      </c>
      <c r="AB23" s="237" t="s">
        <v>448</v>
      </c>
      <c r="AP23" s="239" t="s">
        <v>486</v>
      </c>
      <c r="AR23" s="238" t="s">
        <v>61</v>
      </c>
      <c r="AV23" s="228" t="s">
        <v>487</v>
      </c>
    </row>
    <row r="24" spans="1:48" x14ac:dyDescent="0.15">
      <c r="A24" s="208" t="s">
        <v>59</v>
      </c>
      <c r="B24" s="237" t="s">
        <v>455</v>
      </c>
      <c r="C24" s="152">
        <v>2018</v>
      </c>
      <c r="D24" s="153" t="s">
        <v>456</v>
      </c>
      <c r="E24" s="208" t="s">
        <v>243</v>
      </c>
      <c r="F24" s="208" t="s">
        <v>284</v>
      </c>
      <c r="G24" s="208" t="s">
        <v>36</v>
      </c>
      <c r="H24" s="208" t="s">
        <v>155</v>
      </c>
      <c r="I24" s="208" t="s">
        <v>153</v>
      </c>
      <c r="J24" s="208" t="s">
        <v>38</v>
      </c>
      <c r="K24" s="208" t="s">
        <v>154</v>
      </c>
      <c r="L24" s="208">
        <v>2</v>
      </c>
      <c r="N24" s="208">
        <v>1</v>
      </c>
      <c r="O24" s="208">
        <v>0.38</v>
      </c>
      <c r="P24" s="208">
        <v>0.35</v>
      </c>
      <c r="Q24" s="245">
        <f t="shared" si="2"/>
        <v>0.36499999999999999</v>
      </c>
      <c r="R24" s="208">
        <v>14.1</v>
      </c>
      <c r="S24" s="208">
        <v>135</v>
      </c>
      <c r="T24" s="217">
        <f t="shared" si="0"/>
        <v>25</v>
      </c>
      <c r="U24" s="208">
        <v>149</v>
      </c>
      <c r="V24" s="217">
        <f t="shared" si="1"/>
        <v>22</v>
      </c>
      <c r="W24" s="208">
        <v>4</v>
      </c>
      <c r="X24" s="208" t="s">
        <v>39</v>
      </c>
      <c r="Y24" s="208" t="s">
        <v>90</v>
      </c>
      <c r="Z24" s="208" t="s">
        <v>84</v>
      </c>
      <c r="AA24" s="208" t="s">
        <v>252</v>
      </c>
      <c r="AB24" s="237" t="s">
        <v>448</v>
      </c>
      <c r="AP24" s="239" t="s">
        <v>488</v>
      </c>
      <c r="AR24" s="238" t="s">
        <v>91</v>
      </c>
      <c r="AV24" s="228" t="s">
        <v>489</v>
      </c>
    </row>
    <row r="25" spans="1:48" x14ac:dyDescent="0.15">
      <c r="A25" s="208" t="s">
        <v>59</v>
      </c>
      <c r="B25" s="237" t="s">
        <v>455</v>
      </c>
      <c r="C25" s="152">
        <v>2018</v>
      </c>
      <c r="D25" s="153" t="s">
        <v>456</v>
      </c>
      <c r="E25" s="208" t="s">
        <v>243</v>
      </c>
      <c r="F25" s="208" t="s">
        <v>284</v>
      </c>
      <c r="G25" s="208" t="s">
        <v>36</v>
      </c>
      <c r="H25" s="208" t="s">
        <v>490</v>
      </c>
      <c r="I25" s="208" t="s">
        <v>153</v>
      </c>
      <c r="J25" s="208" t="s">
        <v>38</v>
      </c>
      <c r="K25" s="208" t="s">
        <v>154</v>
      </c>
      <c r="L25" s="208">
        <v>3</v>
      </c>
      <c r="N25" s="208">
        <v>1</v>
      </c>
      <c r="O25" s="208">
        <v>0.39</v>
      </c>
      <c r="P25" s="208">
        <v>0.41</v>
      </c>
      <c r="Q25" s="245">
        <f t="shared" si="2"/>
        <v>0.4</v>
      </c>
      <c r="R25" s="208">
        <v>14.4</v>
      </c>
      <c r="S25" s="208">
        <v>131</v>
      </c>
      <c r="T25" s="217">
        <f t="shared" si="0"/>
        <v>25</v>
      </c>
      <c r="U25" s="208">
        <v>149</v>
      </c>
      <c r="V25" s="217">
        <f t="shared" si="1"/>
        <v>22</v>
      </c>
      <c r="W25" s="208">
        <v>4</v>
      </c>
      <c r="X25" s="208" t="s">
        <v>39</v>
      </c>
      <c r="Y25" s="208" t="s">
        <v>90</v>
      </c>
      <c r="Z25" s="208" t="s">
        <v>84</v>
      </c>
      <c r="AA25" s="208" t="s">
        <v>252</v>
      </c>
      <c r="AB25" s="237" t="s">
        <v>448</v>
      </c>
      <c r="AD25" s="237"/>
      <c r="AP25" s="239" t="s">
        <v>116</v>
      </c>
      <c r="AR25" s="42" t="s">
        <v>92</v>
      </c>
      <c r="AV25" s="228" t="s">
        <v>491</v>
      </c>
    </row>
    <row r="26" spans="1:48" x14ac:dyDescent="0.15">
      <c r="A26" s="208" t="s">
        <v>59</v>
      </c>
      <c r="B26" s="237" t="s">
        <v>455</v>
      </c>
      <c r="C26" s="152">
        <v>2018</v>
      </c>
      <c r="D26" s="153" t="s">
        <v>456</v>
      </c>
      <c r="E26" s="208" t="s">
        <v>296</v>
      </c>
      <c r="F26" s="208" t="s">
        <v>284</v>
      </c>
      <c r="G26" s="208" t="s">
        <v>36</v>
      </c>
      <c r="H26" s="208" t="s">
        <v>157</v>
      </c>
      <c r="I26" s="208" t="s">
        <v>153</v>
      </c>
      <c r="J26" s="208" t="s">
        <v>38</v>
      </c>
      <c r="K26" s="208" t="s">
        <v>154</v>
      </c>
      <c r="L26" s="208">
        <v>1</v>
      </c>
      <c r="N26" s="208">
        <v>4</v>
      </c>
      <c r="O26" s="208">
        <v>0.4</v>
      </c>
      <c r="P26" s="208">
        <v>0.35</v>
      </c>
      <c r="Q26" s="245">
        <f t="shared" si="2"/>
        <v>0.375</v>
      </c>
      <c r="R26" s="208">
        <v>14.5</v>
      </c>
      <c r="S26" s="208">
        <v>134</v>
      </c>
      <c r="T26" s="217">
        <f t="shared" si="0"/>
        <v>25</v>
      </c>
      <c r="U26" s="208">
        <v>645</v>
      </c>
      <c r="V26" s="217">
        <f t="shared" si="1"/>
        <v>16</v>
      </c>
      <c r="W26" s="208">
        <v>2</v>
      </c>
      <c r="X26" s="208" t="s">
        <v>46</v>
      </c>
      <c r="Y26" s="208" t="s">
        <v>90</v>
      </c>
      <c r="Z26" s="208" t="s">
        <v>78</v>
      </c>
      <c r="AA26" s="208" t="s">
        <v>84</v>
      </c>
      <c r="AB26" s="237" t="s">
        <v>448</v>
      </c>
      <c r="AD26" s="237"/>
      <c r="AP26" s="239" t="s">
        <v>117</v>
      </c>
      <c r="AR26" s="228" t="s">
        <v>255</v>
      </c>
      <c r="AV26" s="228"/>
    </row>
    <row r="27" spans="1:48" x14ac:dyDescent="0.15">
      <c r="A27" s="208" t="s">
        <v>59</v>
      </c>
      <c r="B27" s="237" t="s">
        <v>455</v>
      </c>
      <c r="C27" s="152">
        <v>2018</v>
      </c>
      <c r="D27" s="153" t="s">
        <v>456</v>
      </c>
      <c r="E27" s="208" t="s">
        <v>296</v>
      </c>
      <c r="F27" s="208" t="s">
        <v>284</v>
      </c>
      <c r="G27" s="208" t="s">
        <v>36</v>
      </c>
      <c r="H27" s="208" t="s">
        <v>157</v>
      </c>
      <c r="I27" s="208" t="s">
        <v>153</v>
      </c>
      <c r="J27" s="208" t="s">
        <v>38</v>
      </c>
      <c r="K27" s="208" t="s">
        <v>154</v>
      </c>
      <c r="L27" s="208">
        <v>2</v>
      </c>
      <c r="N27" s="208">
        <v>4</v>
      </c>
      <c r="O27" s="208">
        <v>0.44</v>
      </c>
      <c r="P27" s="208">
        <v>0.37</v>
      </c>
      <c r="Q27" s="245">
        <f t="shared" si="2"/>
        <v>0.40500000000000003</v>
      </c>
      <c r="R27" s="208">
        <v>15.6</v>
      </c>
      <c r="S27" s="208">
        <v>126</v>
      </c>
      <c r="T27" s="217">
        <f t="shared" si="0"/>
        <v>27</v>
      </c>
      <c r="U27" s="208">
        <v>645</v>
      </c>
      <c r="V27" s="217">
        <f t="shared" si="1"/>
        <v>16</v>
      </c>
      <c r="W27" s="208">
        <v>2</v>
      </c>
      <c r="X27" s="208" t="s">
        <v>46</v>
      </c>
      <c r="Y27" s="208" t="s">
        <v>90</v>
      </c>
      <c r="Z27" s="208" t="s">
        <v>78</v>
      </c>
      <c r="AA27" s="208" t="s">
        <v>84</v>
      </c>
      <c r="AB27" s="237" t="s">
        <v>448</v>
      </c>
      <c r="AD27" s="237"/>
      <c r="AP27" s="239" t="s">
        <v>118</v>
      </c>
      <c r="AR27" s="229" t="s">
        <v>268</v>
      </c>
      <c r="AV27" s="228"/>
    </row>
    <row r="28" spans="1:48" x14ac:dyDescent="0.15">
      <c r="A28" s="208" t="s">
        <v>59</v>
      </c>
      <c r="B28" s="237" t="s">
        <v>455</v>
      </c>
      <c r="C28" s="152">
        <v>2018</v>
      </c>
      <c r="D28" s="153" t="s">
        <v>456</v>
      </c>
      <c r="E28" s="208" t="s">
        <v>296</v>
      </c>
      <c r="F28" s="208" t="s">
        <v>284</v>
      </c>
      <c r="G28" s="208" t="s">
        <v>36</v>
      </c>
      <c r="H28" s="208" t="s">
        <v>157</v>
      </c>
      <c r="I28" s="208" t="s">
        <v>153</v>
      </c>
      <c r="J28" s="208" t="s">
        <v>38</v>
      </c>
      <c r="K28" s="208" t="s">
        <v>154</v>
      </c>
      <c r="L28" s="208">
        <v>3</v>
      </c>
      <c r="N28" s="208">
        <v>4</v>
      </c>
      <c r="O28" s="208">
        <v>0.45</v>
      </c>
      <c r="P28" s="208">
        <v>0.4</v>
      </c>
      <c r="Q28" s="245">
        <f t="shared" si="2"/>
        <v>0.42500000000000004</v>
      </c>
      <c r="R28" s="208">
        <v>14.5</v>
      </c>
      <c r="S28" s="208">
        <v>135</v>
      </c>
      <c r="T28" s="217">
        <f t="shared" si="0"/>
        <v>25</v>
      </c>
      <c r="U28" s="208">
        <v>645</v>
      </c>
      <c r="V28" s="217">
        <f t="shared" si="1"/>
        <v>16</v>
      </c>
      <c r="W28" s="208">
        <v>2</v>
      </c>
      <c r="X28" s="208" t="s">
        <v>46</v>
      </c>
      <c r="Y28" s="208" t="s">
        <v>90</v>
      </c>
      <c r="Z28" s="208" t="s">
        <v>78</v>
      </c>
      <c r="AA28" s="208" t="s">
        <v>84</v>
      </c>
      <c r="AB28" s="237" t="s">
        <v>448</v>
      </c>
      <c r="AD28" s="237"/>
      <c r="AV28" s="228"/>
    </row>
    <row r="29" spans="1:48" x14ac:dyDescent="0.15">
      <c r="A29" s="208" t="s">
        <v>59</v>
      </c>
      <c r="B29" s="237" t="s">
        <v>455</v>
      </c>
      <c r="C29" s="152">
        <v>2018</v>
      </c>
      <c r="D29" s="153" t="s">
        <v>456</v>
      </c>
      <c r="E29" s="208" t="s">
        <v>296</v>
      </c>
      <c r="F29" s="208" t="s">
        <v>284</v>
      </c>
      <c r="G29" s="208" t="s">
        <v>36</v>
      </c>
      <c r="H29" s="208" t="s">
        <v>155</v>
      </c>
      <c r="I29" s="208" t="s">
        <v>153</v>
      </c>
      <c r="J29" s="208" t="s">
        <v>38</v>
      </c>
      <c r="K29" s="208" t="s">
        <v>154</v>
      </c>
      <c r="L29" s="208">
        <v>1</v>
      </c>
      <c r="N29" s="208">
        <v>4</v>
      </c>
      <c r="O29" s="208">
        <v>0.6</v>
      </c>
      <c r="P29" s="208">
        <v>0.6</v>
      </c>
      <c r="Q29" s="245">
        <f t="shared" si="2"/>
        <v>0.6</v>
      </c>
      <c r="R29" s="208">
        <v>12.9</v>
      </c>
      <c r="S29" s="208">
        <v>104</v>
      </c>
      <c r="T29" s="217">
        <f t="shared" si="0"/>
        <v>33</v>
      </c>
      <c r="U29" s="208">
        <v>429</v>
      </c>
      <c r="V29" s="217">
        <f t="shared" si="1"/>
        <v>16</v>
      </c>
      <c r="W29" s="208">
        <v>2</v>
      </c>
      <c r="X29" s="208" t="s">
        <v>46</v>
      </c>
      <c r="Y29" s="208" t="s">
        <v>90</v>
      </c>
      <c r="Z29" s="208" t="s">
        <v>78</v>
      </c>
      <c r="AA29" s="208" t="s">
        <v>84</v>
      </c>
      <c r="AB29" s="237" t="s">
        <v>448</v>
      </c>
      <c r="AV29" s="228"/>
    </row>
    <row r="30" spans="1:48" x14ac:dyDescent="0.15">
      <c r="A30" s="208" t="s">
        <v>59</v>
      </c>
      <c r="B30" s="237" t="s">
        <v>455</v>
      </c>
      <c r="C30" s="152">
        <v>2018</v>
      </c>
      <c r="D30" s="153" t="s">
        <v>456</v>
      </c>
      <c r="E30" s="208" t="s">
        <v>296</v>
      </c>
      <c r="F30" s="208" t="s">
        <v>284</v>
      </c>
      <c r="G30" s="208" t="s">
        <v>36</v>
      </c>
      <c r="H30" s="208" t="s">
        <v>155</v>
      </c>
      <c r="I30" s="208" t="s">
        <v>153</v>
      </c>
      <c r="J30" s="208" t="s">
        <v>38</v>
      </c>
      <c r="K30" s="208" t="s">
        <v>154</v>
      </c>
      <c r="L30" s="208">
        <v>2</v>
      </c>
      <c r="N30" s="208">
        <v>4</v>
      </c>
      <c r="O30" s="208">
        <v>0.85</v>
      </c>
      <c r="P30" s="208">
        <v>0.77</v>
      </c>
      <c r="Q30" s="245">
        <f t="shared" si="2"/>
        <v>0.81</v>
      </c>
      <c r="R30" s="208">
        <v>14.2</v>
      </c>
      <c r="S30" s="208">
        <v>95</v>
      </c>
      <c r="T30" s="217">
        <f t="shared" si="0"/>
        <v>36</v>
      </c>
      <c r="U30" s="208">
        <v>429</v>
      </c>
      <c r="V30" s="217">
        <f t="shared" si="1"/>
        <v>16</v>
      </c>
      <c r="W30" s="208">
        <v>2</v>
      </c>
      <c r="X30" s="208" t="s">
        <v>46</v>
      </c>
      <c r="Y30" s="208" t="s">
        <v>90</v>
      </c>
      <c r="Z30" s="208" t="s">
        <v>78</v>
      </c>
      <c r="AA30" s="208" t="s">
        <v>84</v>
      </c>
      <c r="AB30" s="237" t="s">
        <v>448</v>
      </c>
      <c r="AV30" s="228"/>
    </row>
    <row r="31" spans="1:48" x14ac:dyDescent="0.15">
      <c r="A31" s="208" t="s">
        <v>59</v>
      </c>
      <c r="B31" s="237" t="s">
        <v>455</v>
      </c>
      <c r="C31" s="152">
        <v>2018</v>
      </c>
      <c r="D31" s="153" t="s">
        <v>456</v>
      </c>
      <c r="E31" s="208" t="s">
        <v>296</v>
      </c>
      <c r="F31" s="208" t="s">
        <v>284</v>
      </c>
      <c r="G31" s="208" t="s">
        <v>36</v>
      </c>
      <c r="H31" s="208" t="s">
        <v>490</v>
      </c>
      <c r="I31" s="208" t="s">
        <v>153</v>
      </c>
      <c r="J31" s="208" t="s">
        <v>38</v>
      </c>
      <c r="K31" s="208" t="s">
        <v>154</v>
      </c>
      <c r="L31" s="208">
        <v>3</v>
      </c>
      <c r="N31" s="208">
        <v>4</v>
      </c>
      <c r="O31" s="208">
        <v>0.82</v>
      </c>
      <c r="P31" s="208">
        <v>0.79</v>
      </c>
      <c r="Q31" s="245">
        <f t="shared" si="2"/>
        <v>0.80499999999999994</v>
      </c>
      <c r="R31" s="208">
        <v>14.1</v>
      </c>
      <c r="S31" s="208">
        <v>103</v>
      </c>
      <c r="T31" s="217">
        <f t="shared" si="0"/>
        <v>33</v>
      </c>
      <c r="U31" s="208">
        <v>429</v>
      </c>
      <c r="V31" s="217">
        <f t="shared" si="1"/>
        <v>16</v>
      </c>
      <c r="W31" s="208">
        <v>2</v>
      </c>
      <c r="X31" s="208" t="s">
        <v>46</v>
      </c>
      <c r="Y31" s="208" t="s">
        <v>90</v>
      </c>
      <c r="Z31" s="208" t="s">
        <v>78</v>
      </c>
      <c r="AA31" s="208" t="s">
        <v>84</v>
      </c>
      <c r="AB31" s="237" t="s">
        <v>448</v>
      </c>
      <c r="AV31" s="228"/>
    </row>
    <row r="32" spans="1:48" x14ac:dyDescent="0.15">
      <c r="A32" s="208" t="s">
        <v>59</v>
      </c>
      <c r="B32" s="237" t="s">
        <v>455</v>
      </c>
      <c r="C32" s="152">
        <v>2018</v>
      </c>
      <c r="D32" s="153" t="s">
        <v>456</v>
      </c>
      <c r="E32" s="208" t="s">
        <v>295</v>
      </c>
      <c r="F32" s="208" t="s">
        <v>287</v>
      </c>
      <c r="G32" s="208" t="s">
        <v>36</v>
      </c>
      <c r="H32" s="208" t="s">
        <v>157</v>
      </c>
      <c r="I32" s="208" t="s">
        <v>153</v>
      </c>
      <c r="J32" s="208" t="s">
        <v>38</v>
      </c>
      <c r="K32" s="208" t="s">
        <v>154</v>
      </c>
      <c r="L32" s="208">
        <v>1</v>
      </c>
      <c r="N32" s="208">
        <v>1</v>
      </c>
      <c r="O32" s="208">
        <v>0.7</v>
      </c>
      <c r="P32" s="208">
        <v>0.65</v>
      </c>
      <c r="Q32" s="245">
        <f t="shared" si="2"/>
        <v>0.67500000000000004</v>
      </c>
      <c r="R32" s="208">
        <v>15.4</v>
      </c>
      <c r="S32" s="208">
        <v>140</v>
      </c>
      <c r="T32" s="217">
        <f t="shared" si="0"/>
        <v>22</v>
      </c>
      <c r="U32" s="208">
        <v>138</v>
      </c>
      <c r="V32" s="217">
        <f t="shared" si="1"/>
        <v>22</v>
      </c>
      <c r="W32" s="208">
        <v>2</v>
      </c>
      <c r="X32" s="208" t="s">
        <v>39</v>
      </c>
      <c r="Y32" s="208" t="s">
        <v>78</v>
      </c>
      <c r="Z32" s="208" t="s">
        <v>84</v>
      </c>
      <c r="AA32" s="208" t="s">
        <v>252</v>
      </c>
      <c r="AB32" s="237" t="s">
        <v>448</v>
      </c>
      <c r="AV32" s="228"/>
    </row>
    <row r="33" spans="1:48" x14ac:dyDescent="0.15">
      <c r="A33" s="208" t="s">
        <v>59</v>
      </c>
      <c r="B33" s="237" t="s">
        <v>455</v>
      </c>
      <c r="C33" s="152">
        <v>2018</v>
      </c>
      <c r="D33" s="153" t="s">
        <v>456</v>
      </c>
      <c r="E33" s="208" t="s">
        <v>295</v>
      </c>
      <c r="F33" s="208" t="s">
        <v>287</v>
      </c>
      <c r="G33" s="208" t="s">
        <v>36</v>
      </c>
      <c r="H33" s="208" t="s">
        <v>157</v>
      </c>
      <c r="I33" s="208" t="s">
        <v>153</v>
      </c>
      <c r="J33" s="208" t="s">
        <v>38</v>
      </c>
      <c r="K33" s="208" t="s">
        <v>154</v>
      </c>
      <c r="L33" s="208">
        <v>2</v>
      </c>
      <c r="N33" s="208">
        <v>1</v>
      </c>
      <c r="O33" s="208">
        <v>0.48</v>
      </c>
      <c r="P33" s="208">
        <v>0.65</v>
      </c>
      <c r="Q33" s="245">
        <f t="shared" si="2"/>
        <v>0.56499999999999995</v>
      </c>
      <c r="R33" s="208">
        <v>15.7</v>
      </c>
      <c r="S33" s="208">
        <v>144</v>
      </c>
      <c r="T33" s="217">
        <f t="shared" si="0"/>
        <v>22</v>
      </c>
      <c r="U33" s="208">
        <v>138</v>
      </c>
      <c r="V33" s="217">
        <f t="shared" si="1"/>
        <v>22</v>
      </c>
      <c r="W33" s="208">
        <v>2</v>
      </c>
      <c r="X33" s="208" t="s">
        <v>39</v>
      </c>
      <c r="Y33" s="208" t="s">
        <v>78</v>
      </c>
      <c r="Z33" s="208" t="s">
        <v>84</v>
      </c>
      <c r="AA33" s="208" t="s">
        <v>252</v>
      </c>
      <c r="AB33" s="237" t="s">
        <v>448</v>
      </c>
      <c r="AV33" s="228"/>
    </row>
    <row r="34" spans="1:48" x14ac:dyDescent="0.15">
      <c r="A34" s="208" t="s">
        <v>59</v>
      </c>
      <c r="B34" s="237" t="s">
        <v>455</v>
      </c>
      <c r="C34" s="152">
        <v>2018</v>
      </c>
      <c r="D34" s="153" t="s">
        <v>456</v>
      </c>
      <c r="E34" s="208" t="s">
        <v>295</v>
      </c>
      <c r="F34" s="208" t="s">
        <v>287</v>
      </c>
      <c r="G34" s="208" t="s">
        <v>36</v>
      </c>
      <c r="H34" s="208" t="s">
        <v>157</v>
      </c>
      <c r="I34" s="208" t="s">
        <v>153</v>
      </c>
      <c r="J34" s="208" t="s">
        <v>38</v>
      </c>
      <c r="K34" s="208" t="s">
        <v>154</v>
      </c>
      <c r="L34" s="208">
        <v>3</v>
      </c>
      <c r="N34" s="208">
        <v>1</v>
      </c>
      <c r="O34" s="208">
        <v>0.72</v>
      </c>
      <c r="P34" s="208">
        <v>0.64</v>
      </c>
      <c r="Q34" s="245">
        <f t="shared" si="2"/>
        <v>0.67999999999999994</v>
      </c>
      <c r="R34" s="208">
        <v>15.3</v>
      </c>
      <c r="S34" s="208">
        <v>143</v>
      </c>
      <c r="T34" s="217">
        <f t="shared" si="0"/>
        <v>22</v>
      </c>
      <c r="U34" s="208">
        <v>138</v>
      </c>
      <c r="V34" s="217">
        <f t="shared" si="1"/>
        <v>22</v>
      </c>
      <c r="W34" s="208">
        <v>2</v>
      </c>
      <c r="X34" s="208" t="s">
        <v>39</v>
      </c>
      <c r="Y34" s="208" t="s">
        <v>78</v>
      </c>
      <c r="Z34" s="208" t="s">
        <v>84</v>
      </c>
      <c r="AA34" s="208" t="s">
        <v>252</v>
      </c>
      <c r="AB34" s="237" t="s">
        <v>448</v>
      </c>
      <c r="AV34" s="228"/>
    </row>
    <row r="35" spans="1:48" x14ac:dyDescent="0.15">
      <c r="A35" s="208" t="s">
        <v>59</v>
      </c>
      <c r="B35" s="237" t="s">
        <v>455</v>
      </c>
      <c r="C35" s="152">
        <v>2018</v>
      </c>
      <c r="D35" s="153" t="s">
        <v>456</v>
      </c>
      <c r="E35" s="208" t="s">
        <v>295</v>
      </c>
      <c r="F35" s="208" t="s">
        <v>287</v>
      </c>
      <c r="G35" s="208" t="s">
        <v>36</v>
      </c>
      <c r="H35" s="208" t="s">
        <v>155</v>
      </c>
      <c r="I35" s="208" t="s">
        <v>153</v>
      </c>
      <c r="J35" s="208" t="s">
        <v>38</v>
      </c>
      <c r="K35" s="208" t="s">
        <v>154</v>
      </c>
      <c r="L35" s="208">
        <v>1</v>
      </c>
      <c r="N35" s="208">
        <v>1</v>
      </c>
      <c r="O35" s="208">
        <v>0.42</v>
      </c>
      <c r="P35" s="208">
        <v>0.32</v>
      </c>
      <c r="Q35" s="245">
        <f t="shared" si="2"/>
        <v>0.37</v>
      </c>
      <c r="R35" s="208">
        <v>15.9</v>
      </c>
      <c r="S35" s="208">
        <v>160</v>
      </c>
      <c r="T35" s="217">
        <f t="shared" si="0"/>
        <v>18</v>
      </c>
      <c r="U35" s="208">
        <v>138</v>
      </c>
      <c r="V35" s="217">
        <f t="shared" si="1"/>
        <v>22</v>
      </c>
      <c r="W35" s="208">
        <v>2</v>
      </c>
      <c r="X35" s="208" t="s">
        <v>39</v>
      </c>
      <c r="Y35" s="208" t="s">
        <v>78</v>
      </c>
      <c r="Z35" s="208" t="s">
        <v>84</v>
      </c>
      <c r="AA35" s="208" t="s">
        <v>252</v>
      </c>
      <c r="AB35" s="237" t="s">
        <v>448</v>
      </c>
      <c r="AV35" s="228"/>
    </row>
    <row r="36" spans="1:48" x14ac:dyDescent="0.15">
      <c r="A36" s="208" t="s">
        <v>59</v>
      </c>
      <c r="B36" s="237" t="s">
        <v>455</v>
      </c>
      <c r="C36" s="152">
        <v>2018</v>
      </c>
      <c r="D36" s="153" t="s">
        <v>456</v>
      </c>
      <c r="E36" s="208" t="s">
        <v>295</v>
      </c>
      <c r="F36" s="208" t="s">
        <v>287</v>
      </c>
      <c r="G36" s="208" t="s">
        <v>36</v>
      </c>
      <c r="H36" s="208" t="s">
        <v>155</v>
      </c>
      <c r="I36" s="208" t="s">
        <v>153</v>
      </c>
      <c r="J36" s="208" t="s">
        <v>38</v>
      </c>
      <c r="K36" s="208" t="s">
        <v>154</v>
      </c>
      <c r="L36" s="208">
        <v>2</v>
      </c>
      <c r="N36" s="208">
        <v>1</v>
      </c>
      <c r="O36" s="208">
        <v>0.51</v>
      </c>
      <c r="P36" s="208">
        <v>0.6</v>
      </c>
      <c r="Q36" s="245">
        <f t="shared" si="2"/>
        <v>0.55499999999999994</v>
      </c>
      <c r="R36" s="208">
        <v>15.3</v>
      </c>
      <c r="S36" s="208">
        <v>135</v>
      </c>
      <c r="T36" s="217">
        <f t="shared" si="0"/>
        <v>25</v>
      </c>
      <c r="U36" s="208">
        <v>138</v>
      </c>
      <c r="V36" s="217">
        <f t="shared" si="1"/>
        <v>22</v>
      </c>
      <c r="W36" s="208">
        <v>2</v>
      </c>
      <c r="X36" s="208" t="s">
        <v>39</v>
      </c>
      <c r="Y36" s="208" t="s">
        <v>78</v>
      </c>
      <c r="Z36" s="208" t="s">
        <v>84</v>
      </c>
      <c r="AA36" s="208" t="s">
        <v>252</v>
      </c>
      <c r="AB36" s="237" t="s">
        <v>448</v>
      </c>
      <c r="AV36" s="228"/>
    </row>
    <row r="37" spans="1:48" x14ac:dyDescent="0.15">
      <c r="A37" s="208" t="s">
        <v>59</v>
      </c>
      <c r="B37" s="237" t="s">
        <v>455</v>
      </c>
      <c r="C37" s="152">
        <v>2018</v>
      </c>
      <c r="D37" s="153" t="s">
        <v>456</v>
      </c>
      <c r="E37" s="208" t="s">
        <v>295</v>
      </c>
      <c r="F37" s="208" t="s">
        <v>287</v>
      </c>
      <c r="G37" s="208" t="s">
        <v>36</v>
      </c>
      <c r="H37" s="208" t="s">
        <v>490</v>
      </c>
      <c r="I37" s="208" t="s">
        <v>153</v>
      </c>
      <c r="J37" s="208" t="s">
        <v>38</v>
      </c>
      <c r="K37" s="208" t="s">
        <v>154</v>
      </c>
      <c r="L37" s="208">
        <v>3</v>
      </c>
      <c r="N37" s="208">
        <v>1</v>
      </c>
      <c r="O37" s="208">
        <v>0.52</v>
      </c>
      <c r="P37" s="208">
        <v>0.57999999999999996</v>
      </c>
      <c r="Q37" s="245">
        <f t="shared" si="2"/>
        <v>0.55000000000000004</v>
      </c>
      <c r="R37" s="208">
        <v>15.2</v>
      </c>
      <c r="S37" s="208">
        <v>160</v>
      </c>
      <c r="T37" s="217">
        <f t="shared" si="0"/>
        <v>18</v>
      </c>
      <c r="U37" s="208">
        <v>138</v>
      </c>
      <c r="V37" s="217">
        <f t="shared" si="1"/>
        <v>22</v>
      </c>
      <c r="W37" s="208">
        <v>2</v>
      </c>
      <c r="X37" s="208" t="s">
        <v>39</v>
      </c>
      <c r="Y37" s="208" t="s">
        <v>78</v>
      </c>
      <c r="Z37" s="208" t="s">
        <v>84</v>
      </c>
      <c r="AA37" s="208" t="s">
        <v>252</v>
      </c>
      <c r="AB37" s="237" t="s">
        <v>448</v>
      </c>
      <c r="AV37" s="228"/>
    </row>
    <row r="38" spans="1:48" x14ac:dyDescent="0.15">
      <c r="A38" s="208" t="s">
        <v>59</v>
      </c>
      <c r="B38" s="237" t="s">
        <v>455</v>
      </c>
      <c r="C38" s="152">
        <v>2018</v>
      </c>
      <c r="D38" s="153" t="s">
        <v>456</v>
      </c>
      <c r="E38" s="208" t="s">
        <v>294</v>
      </c>
      <c r="F38" s="208" t="s">
        <v>287</v>
      </c>
      <c r="G38" s="208" t="s">
        <v>36</v>
      </c>
      <c r="H38" s="208" t="s">
        <v>157</v>
      </c>
      <c r="I38" s="208" t="s">
        <v>153</v>
      </c>
      <c r="J38" s="208" t="s">
        <v>38</v>
      </c>
      <c r="K38" s="208" t="s">
        <v>154</v>
      </c>
      <c r="L38" s="208">
        <v>1</v>
      </c>
      <c r="N38" s="208">
        <v>1</v>
      </c>
      <c r="O38" s="208">
        <v>0.55000000000000004</v>
      </c>
      <c r="P38" s="208">
        <v>0.55000000000000004</v>
      </c>
      <c r="Q38" s="245">
        <f t="shared" si="2"/>
        <v>0.55000000000000004</v>
      </c>
      <c r="R38" s="208">
        <v>14.6</v>
      </c>
      <c r="S38" s="208">
        <v>152</v>
      </c>
      <c r="T38" s="217">
        <f t="shared" si="0"/>
        <v>18</v>
      </c>
      <c r="U38" s="208">
        <v>170</v>
      </c>
      <c r="V38" s="217">
        <f t="shared" si="1"/>
        <v>18</v>
      </c>
      <c r="W38" s="208">
        <v>3</v>
      </c>
      <c r="X38" s="208" t="s">
        <v>39</v>
      </c>
      <c r="Y38" s="208" t="s">
        <v>252</v>
      </c>
      <c r="Z38" s="208" t="s">
        <v>90</v>
      </c>
      <c r="AA38" s="208" t="s">
        <v>84</v>
      </c>
      <c r="AB38" s="237" t="s">
        <v>448</v>
      </c>
      <c r="AV38" s="229"/>
    </row>
    <row r="39" spans="1:48" x14ac:dyDescent="0.15">
      <c r="A39" s="208" t="s">
        <v>59</v>
      </c>
      <c r="B39" s="237" t="s">
        <v>455</v>
      </c>
      <c r="C39" s="152">
        <v>2018</v>
      </c>
      <c r="D39" s="153" t="s">
        <v>456</v>
      </c>
      <c r="E39" s="208" t="s">
        <v>294</v>
      </c>
      <c r="F39" s="208" t="s">
        <v>287</v>
      </c>
      <c r="G39" s="208" t="s">
        <v>36</v>
      </c>
      <c r="H39" s="208" t="s">
        <v>157</v>
      </c>
      <c r="I39" s="208" t="s">
        <v>153</v>
      </c>
      <c r="J39" s="208" t="s">
        <v>38</v>
      </c>
      <c r="K39" s="208" t="s">
        <v>154</v>
      </c>
      <c r="L39" s="208">
        <v>2</v>
      </c>
      <c r="N39" s="208">
        <v>1</v>
      </c>
      <c r="O39" s="208">
        <v>0.67</v>
      </c>
      <c r="P39" s="208">
        <v>0.7</v>
      </c>
      <c r="Q39" s="245">
        <f t="shared" si="2"/>
        <v>0.68500000000000005</v>
      </c>
      <c r="R39" s="208">
        <v>14.6</v>
      </c>
      <c r="S39" s="208">
        <v>152</v>
      </c>
      <c r="T39" s="217">
        <f t="shared" si="0"/>
        <v>18</v>
      </c>
      <c r="U39" s="208">
        <v>170</v>
      </c>
      <c r="V39" s="217">
        <f t="shared" si="1"/>
        <v>18</v>
      </c>
      <c r="W39" s="208">
        <v>3</v>
      </c>
      <c r="X39" s="208" t="s">
        <v>39</v>
      </c>
      <c r="Y39" s="208" t="s">
        <v>252</v>
      </c>
      <c r="Z39" s="208" t="s">
        <v>90</v>
      </c>
      <c r="AA39" s="208" t="s">
        <v>84</v>
      </c>
      <c r="AB39" s="237" t="s">
        <v>448</v>
      </c>
    </row>
    <row r="40" spans="1:48" x14ac:dyDescent="0.15">
      <c r="A40" s="208" t="s">
        <v>59</v>
      </c>
      <c r="B40" s="237" t="s">
        <v>455</v>
      </c>
      <c r="C40" s="152">
        <v>2018</v>
      </c>
      <c r="D40" s="153" t="s">
        <v>456</v>
      </c>
      <c r="E40" s="208" t="s">
        <v>294</v>
      </c>
      <c r="F40" s="208" t="s">
        <v>287</v>
      </c>
      <c r="G40" s="208" t="s">
        <v>36</v>
      </c>
      <c r="H40" s="208" t="s">
        <v>157</v>
      </c>
      <c r="I40" s="208" t="s">
        <v>153</v>
      </c>
      <c r="J40" s="208" t="s">
        <v>38</v>
      </c>
      <c r="K40" s="208" t="s">
        <v>154</v>
      </c>
      <c r="L40" s="208">
        <v>3</v>
      </c>
      <c r="N40" s="208">
        <v>1</v>
      </c>
      <c r="O40" s="208">
        <v>0.66</v>
      </c>
      <c r="P40" s="208">
        <v>0.65</v>
      </c>
      <c r="Q40" s="245">
        <f t="shared" si="2"/>
        <v>0.65500000000000003</v>
      </c>
      <c r="R40" s="208">
        <v>14.9</v>
      </c>
      <c r="S40" s="208">
        <v>150</v>
      </c>
      <c r="T40" s="217">
        <f t="shared" si="0"/>
        <v>22</v>
      </c>
      <c r="U40" s="208">
        <v>170</v>
      </c>
      <c r="V40" s="217">
        <f t="shared" si="1"/>
        <v>18</v>
      </c>
      <c r="W40" s="208">
        <v>3</v>
      </c>
      <c r="X40" s="208" t="s">
        <v>39</v>
      </c>
      <c r="Y40" s="208" t="s">
        <v>252</v>
      </c>
      <c r="Z40" s="208" t="s">
        <v>90</v>
      </c>
      <c r="AA40" s="208" t="s">
        <v>84</v>
      </c>
      <c r="AB40" s="237" t="s">
        <v>448</v>
      </c>
    </row>
    <row r="41" spans="1:48" x14ac:dyDescent="0.15">
      <c r="A41" s="208" t="s">
        <v>59</v>
      </c>
      <c r="B41" s="237" t="s">
        <v>455</v>
      </c>
      <c r="C41" s="152">
        <v>2018</v>
      </c>
      <c r="D41" s="153" t="s">
        <v>456</v>
      </c>
      <c r="E41" s="208" t="s">
        <v>294</v>
      </c>
      <c r="F41" s="208" t="s">
        <v>287</v>
      </c>
      <c r="G41" s="208" t="s">
        <v>36</v>
      </c>
      <c r="H41" s="208" t="s">
        <v>155</v>
      </c>
      <c r="I41" s="208" t="s">
        <v>153</v>
      </c>
      <c r="J41" s="208" t="s">
        <v>38</v>
      </c>
      <c r="K41" s="208" t="s">
        <v>154</v>
      </c>
      <c r="L41" s="208">
        <v>1</v>
      </c>
      <c r="N41" s="208">
        <v>3</v>
      </c>
      <c r="O41" s="208">
        <v>0.8</v>
      </c>
      <c r="P41" s="208">
        <v>0.8</v>
      </c>
      <c r="Q41" s="245">
        <f t="shared" si="2"/>
        <v>0.8</v>
      </c>
      <c r="R41" s="208">
        <v>13.8</v>
      </c>
      <c r="S41" s="208">
        <v>96</v>
      </c>
      <c r="T41" s="217">
        <f t="shared" si="0"/>
        <v>36</v>
      </c>
      <c r="U41" s="208">
        <v>321</v>
      </c>
      <c r="V41" s="217">
        <f t="shared" si="1"/>
        <v>16</v>
      </c>
      <c r="W41" s="208">
        <v>3</v>
      </c>
      <c r="X41" s="208" t="s">
        <v>39</v>
      </c>
      <c r="Y41" s="208" t="s">
        <v>252</v>
      </c>
      <c r="Z41" s="208" t="s">
        <v>90</v>
      </c>
      <c r="AA41" s="208" t="s">
        <v>84</v>
      </c>
      <c r="AB41" s="237" t="s">
        <v>448</v>
      </c>
    </row>
    <row r="42" spans="1:48" x14ac:dyDescent="0.15">
      <c r="A42" s="208" t="s">
        <v>59</v>
      </c>
      <c r="B42" s="237" t="s">
        <v>455</v>
      </c>
      <c r="C42" s="152">
        <v>2018</v>
      </c>
      <c r="D42" s="153" t="s">
        <v>456</v>
      </c>
      <c r="E42" s="208" t="s">
        <v>294</v>
      </c>
      <c r="F42" s="208" t="s">
        <v>287</v>
      </c>
      <c r="G42" s="208" t="s">
        <v>36</v>
      </c>
      <c r="H42" s="208" t="s">
        <v>155</v>
      </c>
      <c r="I42" s="208" t="s">
        <v>153</v>
      </c>
      <c r="J42" s="208" t="s">
        <v>38</v>
      </c>
      <c r="K42" s="208" t="s">
        <v>154</v>
      </c>
      <c r="L42" s="208">
        <v>2</v>
      </c>
      <c r="N42" s="208">
        <v>3</v>
      </c>
      <c r="O42" s="208">
        <v>0.85</v>
      </c>
      <c r="P42" s="208">
        <v>0.86</v>
      </c>
      <c r="Q42" s="245">
        <f t="shared" si="2"/>
        <v>0.85499999999999998</v>
      </c>
      <c r="R42" s="208">
        <v>13.6</v>
      </c>
      <c r="S42" s="208">
        <v>100</v>
      </c>
      <c r="T42" s="217">
        <f t="shared" si="0"/>
        <v>33</v>
      </c>
      <c r="U42" s="208">
        <v>321</v>
      </c>
      <c r="V42" s="217">
        <f t="shared" si="1"/>
        <v>16</v>
      </c>
      <c r="W42" s="208">
        <v>3</v>
      </c>
      <c r="X42" s="208" t="s">
        <v>39</v>
      </c>
      <c r="Y42" s="208" t="s">
        <v>252</v>
      </c>
      <c r="Z42" s="208" t="s">
        <v>90</v>
      </c>
      <c r="AA42" s="208" t="s">
        <v>84</v>
      </c>
      <c r="AB42" s="237" t="s">
        <v>448</v>
      </c>
    </row>
    <row r="43" spans="1:48" x14ac:dyDescent="0.15">
      <c r="A43" s="208" t="s">
        <v>59</v>
      </c>
      <c r="B43" s="237" t="s">
        <v>455</v>
      </c>
      <c r="C43" s="152">
        <v>2018</v>
      </c>
      <c r="D43" s="153" t="s">
        <v>456</v>
      </c>
      <c r="E43" s="208" t="s">
        <v>294</v>
      </c>
      <c r="F43" s="208" t="s">
        <v>287</v>
      </c>
      <c r="G43" s="208" t="s">
        <v>36</v>
      </c>
      <c r="H43" s="208" t="s">
        <v>490</v>
      </c>
      <c r="I43" s="208" t="s">
        <v>153</v>
      </c>
      <c r="J43" s="208" t="s">
        <v>38</v>
      </c>
      <c r="K43" s="208" t="s">
        <v>154</v>
      </c>
      <c r="L43" s="208">
        <v>3</v>
      </c>
      <c r="N43" s="208">
        <v>3</v>
      </c>
      <c r="O43" s="208">
        <v>0.82</v>
      </c>
      <c r="P43" s="208">
        <v>0.88</v>
      </c>
      <c r="Q43" s="245">
        <f t="shared" si="2"/>
        <v>0.85</v>
      </c>
      <c r="R43" s="208">
        <v>13.5</v>
      </c>
      <c r="S43" s="208">
        <v>99</v>
      </c>
      <c r="T43" s="217">
        <f t="shared" si="0"/>
        <v>33</v>
      </c>
      <c r="U43" s="208">
        <v>321</v>
      </c>
      <c r="V43" s="217">
        <f t="shared" si="1"/>
        <v>16</v>
      </c>
      <c r="W43" s="208">
        <v>3</v>
      </c>
      <c r="X43" s="208" t="s">
        <v>39</v>
      </c>
      <c r="Y43" s="208" t="s">
        <v>252</v>
      </c>
      <c r="Z43" s="208" t="s">
        <v>90</v>
      </c>
      <c r="AA43" s="208" t="s">
        <v>84</v>
      </c>
      <c r="AB43" s="237" t="s">
        <v>448</v>
      </c>
    </row>
    <row r="44" spans="1:48" x14ac:dyDescent="0.15">
      <c r="A44" s="208" t="s">
        <v>59</v>
      </c>
      <c r="B44" s="237" t="s">
        <v>455</v>
      </c>
      <c r="C44" s="152">
        <v>2018</v>
      </c>
      <c r="D44" s="153" t="s">
        <v>456</v>
      </c>
      <c r="E44" s="208" t="s">
        <v>294</v>
      </c>
      <c r="F44" s="208" t="s">
        <v>287</v>
      </c>
      <c r="G44" s="208" t="s">
        <v>36</v>
      </c>
      <c r="H44" s="208" t="s">
        <v>129</v>
      </c>
      <c r="I44" s="208" t="s">
        <v>153</v>
      </c>
      <c r="J44" s="208" t="s">
        <v>250</v>
      </c>
      <c r="K44" s="208" t="s">
        <v>242</v>
      </c>
      <c r="L44" s="208">
        <v>1</v>
      </c>
      <c r="N44" s="208">
        <v>5</v>
      </c>
      <c r="O44" s="208">
        <v>0.2</v>
      </c>
      <c r="P44" s="208">
        <v>0.2</v>
      </c>
      <c r="Q44" s="245">
        <f t="shared" si="2"/>
        <v>0.2</v>
      </c>
      <c r="R44" s="208">
        <v>15.9</v>
      </c>
      <c r="S44" s="208">
        <v>65</v>
      </c>
      <c r="T44" s="217">
        <f t="shared" si="0"/>
        <v>50</v>
      </c>
      <c r="U44" s="208">
        <v>378</v>
      </c>
      <c r="V44" s="217">
        <f t="shared" si="1"/>
        <v>16</v>
      </c>
      <c r="W44" s="208">
        <v>3</v>
      </c>
      <c r="X44" s="208" t="s">
        <v>39</v>
      </c>
      <c r="Y44" s="208" t="s">
        <v>252</v>
      </c>
      <c r="Z44" s="208" t="s">
        <v>90</v>
      </c>
      <c r="AA44" s="208" t="s">
        <v>84</v>
      </c>
      <c r="AB44" s="237" t="s">
        <v>448</v>
      </c>
    </row>
    <row r="45" spans="1:48" x14ac:dyDescent="0.15">
      <c r="A45" s="208" t="s">
        <v>59</v>
      </c>
      <c r="B45" s="237" t="s">
        <v>455</v>
      </c>
      <c r="C45" s="152">
        <v>2018</v>
      </c>
      <c r="D45" s="153" t="s">
        <v>456</v>
      </c>
      <c r="E45" s="208" t="s">
        <v>294</v>
      </c>
      <c r="F45" s="208" t="s">
        <v>287</v>
      </c>
      <c r="G45" s="208" t="s">
        <v>36</v>
      </c>
      <c r="H45" s="208" t="s">
        <v>129</v>
      </c>
      <c r="I45" s="208" t="s">
        <v>153</v>
      </c>
      <c r="J45" s="208" t="s">
        <v>250</v>
      </c>
      <c r="K45" s="208" t="s">
        <v>242</v>
      </c>
      <c r="L45" s="208">
        <v>2</v>
      </c>
      <c r="N45" s="208">
        <v>5</v>
      </c>
      <c r="O45" s="208">
        <v>0.23</v>
      </c>
      <c r="P45" s="208">
        <v>0.23</v>
      </c>
      <c r="Q45" s="245">
        <f t="shared" si="2"/>
        <v>0.23</v>
      </c>
      <c r="R45" s="208">
        <v>20</v>
      </c>
      <c r="S45" s="208">
        <v>50</v>
      </c>
      <c r="T45" s="217">
        <f t="shared" si="0"/>
        <v>50</v>
      </c>
      <c r="U45" s="208">
        <v>378</v>
      </c>
      <c r="V45" s="217">
        <f t="shared" si="1"/>
        <v>16</v>
      </c>
      <c r="W45" s="208">
        <v>3</v>
      </c>
      <c r="X45" s="208" t="s">
        <v>39</v>
      </c>
      <c r="Y45" s="208" t="s">
        <v>252</v>
      </c>
      <c r="Z45" s="208" t="s">
        <v>90</v>
      </c>
      <c r="AA45" s="208" t="s">
        <v>84</v>
      </c>
      <c r="AB45" s="237" t="s">
        <v>448</v>
      </c>
    </row>
    <row r="46" spans="1:48" x14ac:dyDescent="0.15">
      <c r="A46" s="208" t="s">
        <v>59</v>
      </c>
      <c r="B46" s="237" t="s">
        <v>455</v>
      </c>
      <c r="C46" s="152">
        <v>2018</v>
      </c>
      <c r="D46" s="153" t="s">
        <v>456</v>
      </c>
      <c r="E46" s="208" t="s">
        <v>294</v>
      </c>
      <c r="F46" s="208" t="s">
        <v>287</v>
      </c>
      <c r="G46" s="208" t="s">
        <v>36</v>
      </c>
      <c r="H46" s="208" t="s">
        <v>129</v>
      </c>
      <c r="I46" s="208" t="s">
        <v>153</v>
      </c>
      <c r="J46" s="208" t="s">
        <v>250</v>
      </c>
      <c r="K46" s="208" t="s">
        <v>242</v>
      </c>
      <c r="L46" s="208">
        <v>3</v>
      </c>
      <c r="N46" s="208">
        <v>5</v>
      </c>
      <c r="O46" s="208">
        <v>0.21</v>
      </c>
      <c r="P46" s="208">
        <v>0.22</v>
      </c>
      <c r="Q46" s="245">
        <f t="shared" si="2"/>
        <v>0.215</v>
      </c>
      <c r="R46" s="208">
        <v>17.8</v>
      </c>
      <c r="S46" s="208">
        <v>55</v>
      </c>
      <c r="T46" s="217">
        <f t="shared" si="0"/>
        <v>50</v>
      </c>
      <c r="U46" s="208">
        <v>378</v>
      </c>
      <c r="V46" s="217">
        <f t="shared" si="1"/>
        <v>16</v>
      </c>
      <c r="W46" s="208">
        <v>3</v>
      </c>
      <c r="X46" s="208" t="s">
        <v>39</v>
      </c>
      <c r="Y46" s="208" t="s">
        <v>252</v>
      </c>
      <c r="Z46" s="208" t="s">
        <v>90</v>
      </c>
      <c r="AA46" s="208" t="s">
        <v>84</v>
      </c>
      <c r="AB46" s="237" t="s">
        <v>448</v>
      </c>
    </row>
    <row r="47" spans="1:48" x14ac:dyDescent="0.15">
      <c r="A47" s="208" t="s">
        <v>59</v>
      </c>
      <c r="B47" s="237" t="s">
        <v>455</v>
      </c>
      <c r="C47" s="152">
        <v>2018</v>
      </c>
      <c r="D47" s="153" t="s">
        <v>456</v>
      </c>
      <c r="E47" s="208" t="s">
        <v>293</v>
      </c>
      <c r="F47" s="208" t="s">
        <v>286</v>
      </c>
      <c r="G47" s="208" t="s">
        <v>36</v>
      </c>
      <c r="H47" s="208" t="s">
        <v>157</v>
      </c>
      <c r="I47" s="208" t="s">
        <v>153</v>
      </c>
      <c r="J47" s="208" t="s">
        <v>38</v>
      </c>
      <c r="K47" s="208" t="s">
        <v>154</v>
      </c>
      <c r="L47" s="208">
        <v>1</v>
      </c>
      <c r="N47" s="208">
        <v>3</v>
      </c>
      <c r="O47" s="208">
        <v>0.37</v>
      </c>
      <c r="P47" s="208">
        <v>0.4</v>
      </c>
      <c r="Q47" s="245">
        <f t="shared" si="2"/>
        <v>0.38500000000000001</v>
      </c>
      <c r="R47" s="208">
        <v>15.7</v>
      </c>
      <c r="S47" s="208">
        <v>136</v>
      </c>
      <c r="T47" s="217">
        <f t="shared" si="0"/>
        <v>25</v>
      </c>
      <c r="U47" s="208">
        <v>480</v>
      </c>
      <c r="V47" s="217">
        <f t="shared" si="1"/>
        <v>16</v>
      </c>
      <c r="W47" s="208">
        <v>6</v>
      </c>
      <c r="X47" s="208" t="s">
        <v>46</v>
      </c>
      <c r="Y47" s="208" t="s">
        <v>90</v>
      </c>
      <c r="Z47" s="208" t="s">
        <v>69</v>
      </c>
      <c r="AA47" s="208" t="s">
        <v>252</v>
      </c>
      <c r="AB47" s="237" t="s">
        <v>448</v>
      </c>
    </row>
    <row r="48" spans="1:48" x14ac:dyDescent="0.15">
      <c r="A48" s="208" t="s">
        <v>59</v>
      </c>
      <c r="B48" s="237" t="s">
        <v>455</v>
      </c>
      <c r="C48" s="152">
        <v>2018</v>
      </c>
      <c r="D48" s="153" t="s">
        <v>456</v>
      </c>
      <c r="E48" s="208" t="s">
        <v>293</v>
      </c>
      <c r="F48" s="208" t="s">
        <v>286</v>
      </c>
      <c r="G48" s="208" t="s">
        <v>36</v>
      </c>
      <c r="H48" s="208" t="s">
        <v>157</v>
      </c>
      <c r="I48" s="208" t="s">
        <v>153</v>
      </c>
      <c r="J48" s="208" t="s">
        <v>38</v>
      </c>
      <c r="K48" s="208" t="s">
        <v>154</v>
      </c>
      <c r="L48" s="208">
        <v>2</v>
      </c>
      <c r="N48" s="208">
        <v>3</v>
      </c>
      <c r="O48" s="208">
        <v>0.44</v>
      </c>
      <c r="P48" s="208">
        <v>0.45</v>
      </c>
      <c r="Q48" s="245">
        <f t="shared" si="2"/>
        <v>0.44500000000000001</v>
      </c>
      <c r="R48" s="208">
        <v>15.6</v>
      </c>
      <c r="S48" s="208">
        <v>135</v>
      </c>
      <c r="T48" s="217">
        <f t="shared" si="0"/>
        <v>25</v>
      </c>
      <c r="U48" s="208">
        <v>480</v>
      </c>
      <c r="V48" s="217">
        <f t="shared" si="1"/>
        <v>16</v>
      </c>
      <c r="W48" s="208">
        <v>6</v>
      </c>
      <c r="X48" s="208" t="s">
        <v>46</v>
      </c>
      <c r="Y48" s="208" t="s">
        <v>90</v>
      </c>
      <c r="Z48" s="208" t="s">
        <v>69</v>
      </c>
      <c r="AA48" s="208" t="s">
        <v>252</v>
      </c>
      <c r="AB48" s="237" t="s">
        <v>448</v>
      </c>
    </row>
    <row r="49" spans="1:28" x14ac:dyDescent="0.15">
      <c r="A49" s="208" t="s">
        <v>59</v>
      </c>
      <c r="B49" s="237" t="s">
        <v>455</v>
      </c>
      <c r="C49" s="152">
        <v>2018</v>
      </c>
      <c r="D49" s="153" t="s">
        <v>456</v>
      </c>
      <c r="E49" s="208" t="s">
        <v>293</v>
      </c>
      <c r="F49" s="208" t="s">
        <v>286</v>
      </c>
      <c r="G49" s="208" t="s">
        <v>36</v>
      </c>
      <c r="H49" s="208" t="s">
        <v>157</v>
      </c>
      <c r="I49" s="208" t="s">
        <v>153</v>
      </c>
      <c r="J49" s="208" t="s">
        <v>38</v>
      </c>
      <c r="K49" s="208" t="s">
        <v>154</v>
      </c>
      <c r="L49" s="208">
        <v>3</v>
      </c>
      <c r="N49" s="208">
        <v>3</v>
      </c>
      <c r="O49" s="208">
        <v>0.5</v>
      </c>
      <c r="P49" s="208">
        <v>0.48</v>
      </c>
      <c r="Q49" s="245">
        <f t="shared" si="2"/>
        <v>0.49</v>
      </c>
      <c r="R49" s="208">
        <v>15.5</v>
      </c>
      <c r="S49" s="208">
        <v>134</v>
      </c>
      <c r="T49" s="217">
        <f t="shared" si="0"/>
        <v>25</v>
      </c>
      <c r="U49" s="208">
        <v>480</v>
      </c>
      <c r="V49" s="217">
        <f t="shared" si="1"/>
        <v>16</v>
      </c>
      <c r="W49" s="208">
        <v>6</v>
      </c>
      <c r="X49" s="208" t="s">
        <v>46</v>
      </c>
      <c r="Y49" s="208" t="s">
        <v>90</v>
      </c>
      <c r="Z49" s="208" t="s">
        <v>69</v>
      </c>
      <c r="AA49" s="208" t="s">
        <v>252</v>
      </c>
      <c r="AB49" s="237" t="s">
        <v>448</v>
      </c>
    </row>
    <row r="50" spans="1:28" x14ac:dyDescent="0.15">
      <c r="A50" s="208" t="s">
        <v>59</v>
      </c>
      <c r="B50" s="237" t="s">
        <v>455</v>
      </c>
      <c r="C50" s="152">
        <v>2018</v>
      </c>
      <c r="D50" s="153" t="s">
        <v>456</v>
      </c>
      <c r="E50" s="208" t="s">
        <v>293</v>
      </c>
      <c r="F50" s="208" t="s">
        <v>286</v>
      </c>
      <c r="G50" s="208" t="s">
        <v>36</v>
      </c>
      <c r="H50" s="208" t="s">
        <v>155</v>
      </c>
      <c r="I50" s="208" t="s">
        <v>153</v>
      </c>
      <c r="J50" s="208" t="s">
        <v>38</v>
      </c>
      <c r="K50" s="208" t="s">
        <v>154</v>
      </c>
      <c r="L50" s="208">
        <v>1</v>
      </c>
      <c r="N50" s="208">
        <v>3</v>
      </c>
      <c r="O50" s="208">
        <v>0.5</v>
      </c>
      <c r="P50" s="208">
        <v>0.56000000000000005</v>
      </c>
      <c r="Q50" s="245">
        <f t="shared" si="2"/>
        <v>0.53</v>
      </c>
      <c r="R50" s="208">
        <v>14.4</v>
      </c>
      <c r="S50" s="208">
        <v>126</v>
      </c>
      <c r="T50" s="217">
        <f t="shared" si="0"/>
        <v>27</v>
      </c>
      <c r="U50" s="208">
        <v>399</v>
      </c>
      <c r="V50" s="217">
        <f t="shared" si="1"/>
        <v>16</v>
      </c>
      <c r="W50" s="208">
        <v>8</v>
      </c>
      <c r="X50" s="208" t="s">
        <v>46</v>
      </c>
      <c r="Y50" s="208" t="s">
        <v>90</v>
      </c>
      <c r="Z50" s="208" t="s">
        <v>69</v>
      </c>
      <c r="AA50" s="208" t="s">
        <v>252</v>
      </c>
      <c r="AB50" s="237" t="s">
        <v>448</v>
      </c>
    </row>
    <row r="51" spans="1:28" x14ac:dyDescent="0.15">
      <c r="A51" s="208" t="s">
        <v>59</v>
      </c>
      <c r="B51" s="237" t="s">
        <v>455</v>
      </c>
      <c r="C51" s="152">
        <v>2018</v>
      </c>
      <c r="D51" s="153" t="s">
        <v>456</v>
      </c>
      <c r="E51" s="208" t="s">
        <v>293</v>
      </c>
      <c r="F51" s="208" t="s">
        <v>286</v>
      </c>
      <c r="G51" s="208" t="s">
        <v>36</v>
      </c>
      <c r="H51" s="208" t="s">
        <v>155</v>
      </c>
      <c r="I51" s="208" t="s">
        <v>153</v>
      </c>
      <c r="J51" s="208" t="s">
        <v>38</v>
      </c>
      <c r="K51" s="208" t="s">
        <v>154</v>
      </c>
      <c r="L51" s="208">
        <v>2</v>
      </c>
      <c r="N51" s="208">
        <v>3</v>
      </c>
      <c r="O51" s="208">
        <v>0.25</v>
      </c>
      <c r="P51" s="208">
        <v>0.34</v>
      </c>
      <c r="Q51" s="245">
        <f t="shared" si="2"/>
        <v>0.29500000000000004</v>
      </c>
      <c r="R51" s="208">
        <v>14.9</v>
      </c>
      <c r="S51" s="208">
        <v>134</v>
      </c>
      <c r="T51" s="217">
        <f t="shared" si="0"/>
        <v>25</v>
      </c>
      <c r="U51" s="208">
        <v>399</v>
      </c>
      <c r="V51" s="217">
        <f t="shared" si="1"/>
        <v>16</v>
      </c>
      <c r="W51" s="208">
        <v>8</v>
      </c>
      <c r="X51" s="208" t="s">
        <v>46</v>
      </c>
      <c r="Y51" s="208" t="s">
        <v>90</v>
      </c>
      <c r="Z51" s="208" t="s">
        <v>69</v>
      </c>
      <c r="AA51" s="208" t="s">
        <v>252</v>
      </c>
      <c r="AB51" s="237" t="s">
        <v>448</v>
      </c>
    </row>
    <row r="52" spans="1:28" x14ac:dyDescent="0.15">
      <c r="A52" s="208" t="s">
        <v>59</v>
      </c>
      <c r="B52" s="237" t="s">
        <v>455</v>
      </c>
      <c r="C52" s="152">
        <v>2018</v>
      </c>
      <c r="D52" s="153" t="s">
        <v>456</v>
      </c>
      <c r="E52" s="208" t="s">
        <v>293</v>
      </c>
      <c r="F52" s="208" t="s">
        <v>286</v>
      </c>
      <c r="G52" s="208" t="s">
        <v>36</v>
      </c>
      <c r="H52" s="208" t="s">
        <v>492</v>
      </c>
      <c r="I52" s="208" t="s">
        <v>153</v>
      </c>
      <c r="J52" s="208" t="s">
        <v>38</v>
      </c>
      <c r="K52" s="208" t="s">
        <v>154</v>
      </c>
      <c r="L52" s="208">
        <v>3</v>
      </c>
      <c r="N52" s="208">
        <v>3</v>
      </c>
      <c r="O52" s="208">
        <v>0.43</v>
      </c>
      <c r="P52" s="208">
        <v>0.38</v>
      </c>
      <c r="Q52" s="245">
        <f t="shared" si="2"/>
        <v>0.40500000000000003</v>
      </c>
      <c r="R52" s="208">
        <v>14.3</v>
      </c>
      <c r="S52" s="208">
        <v>129</v>
      </c>
      <c r="T52" s="217">
        <f t="shared" si="0"/>
        <v>25</v>
      </c>
      <c r="U52" s="208">
        <v>399</v>
      </c>
      <c r="V52" s="217">
        <f t="shared" si="1"/>
        <v>16</v>
      </c>
      <c r="W52" s="208">
        <v>8</v>
      </c>
      <c r="X52" s="208" t="s">
        <v>46</v>
      </c>
      <c r="Y52" s="208" t="s">
        <v>90</v>
      </c>
      <c r="Z52" s="208" t="s">
        <v>69</v>
      </c>
      <c r="AA52" s="208" t="s">
        <v>252</v>
      </c>
      <c r="AB52" s="237" t="s">
        <v>448</v>
      </c>
    </row>
    <row r="53" spans="1:28" x14ac:dyDescent="0.15">
      <c r="A53" s="208" t="s">
        <v>59</v>
      </c>
      <c r="B53" s="237" t="s">
        <v>455</v>
      </c>
      <c r="C53" s="152">
        <v>2018</v>
      </c>
      <c r="D53" s="153" t="s">
        <v>456</v>
      </c>
      <c r="E53" s="208" t="s">
        <v>291</v>
      </c>
      <c r="F53" s="208" t="s">
        <v>283</v>
      </c>
      <c r="G53" s="208" t="s">
        <v>36</v>
      </c>
      <c r="H53" s="208" t="s">
        <v>157</v>
      </c>
      <c r="I53" s="208" t="s">
        <v>153</v>
      </c>
      <c r="J53" s="208" t="s">
        <v>38</v>
      </c>
      <c r="K53" s="208" t="s">
        <v>154</v>
      </c>
      <c r="L53" s="208">
        <v>1</v>
      </c>
      <c r="N53" s="208">
        <v>4</v>
      </c>
      <c r="O53" s="208">
        <v>0.34</v>
      </c>
      <c r="P53" s="208">
        <v>0.35</v>
      </c>
      <c r="Q53" s="245">
        <f t="shared" si="2"/>
        <v>0.34499999999999997</v>
      </c>
      <c r="R53" s="208">
        <v>15.6</v>
      </c>
      <c r="S53" s="208">
        <v>96</v>
      </c>
      <c r="T53" s="217">
        <f t="shared" si="0"/>
        <v>36</v>
      </c>
      <c r="U53" s="208">
        <v>518</v>
      </c>
      <c r="V53" s="217">
        <f t="shared" si="1"/>
        <v>16</v>
      </c>
      <c r="W53" s="208">
        <v>1</v>
      </c>
      <c r="X53" s="208" t="s">
        <v>46</v>
      </c>
      <c r="Y53" s="208" t="s">
        <v>90</v>
      </c>
      <c r="Z53" s="208" t="s">
        <v>84</v>
      </c>
      <c r="AA53" s="208" t="s">
        <v>78</v>
      </c>
      <c r="AB53" s="237" t="s">
        <v>448</v>
      </c>
    </row>
    <row r="54" spans="1:28" x14ac:dyDescent="0.15">
      <c r="A54" s="208" t="s">
        <v>59</v>
      </c>
      <c r="B54" s="237" t="s">
        <v>455</v>
      </c>
      <c r="C54" s="152">
        <v>2018</v>
      </c>
      <c r="D54" s="153" t="s">
        <v>456</v>
      </c>
      <c r="E54" s="208" t="s">
        <v>291</v>
      </c>
      <c r="F54" s="208" t="s">
        <v>283</v>
      </c>
      <c r="G54" s="208" t="s">
        <v>36</v>
      </c>
      <c r="H54" s="208" t="s">
        <v>157</v>
      </c>
      <c r="I54" s="208" t="s">
        <v>153</v>
      </c>
      <c r="J54" s="208" t="s">
        <v>38</v>
      </c>
      <c r="K54" s="208" t="s">
        <v>154</v>
      </c>
      <c r="L54" s="208">
        <v>2</v>
      </c>
      <c r="N54" s="208">
        <v>4</v>
      </c>
      <c r="O54" s="208">
        <v>0.32</v>
      </c>
      <c r="P54" s="208">
        <v>0.3</v>
      </c>
      <c r="Q54" s="245">
        <f t="shared" si="2"/>
        <v>0.31</v>
      </c>
      <c r="R54" s="208">
        <v>14.8</v>
      </c>
      <c r="S54" s="208">
        <v>100</v>
      </c>
      <c r="T54" s="217">
        <f t="shared" si="0"/>
        <v>33</v>
      </c>
      <c r="U54" s="208">
        <v>518</v>
      </c>
      <c r="V54" s="217">
        <f t="shared" si="1"/>
        <v>16</v>
      </c>
      <c r="W54" s="208">
        <v>1</v>
      </c>
      <c r="X54" s="208" t="s">
        <v>46</v>
      </c>
      <c r="Y54" s="208" t="s">
        <v>90</v>
      </c>
      <c r="Z54" s="208" t="s">
        <v>84</v>
      </c>
      <c r="AA54" s="208" t="s">
        <v>78</v>
      </c>
      <c r="AB54" s="237" t="s">
        <v>448</v>
      </c>
    </row>
    <row r="55" spans="1:28" x14ac:dyDescent="0.15">
      <c r="A55" s="208" t="s">
        <v>59</v>
      </c>
      <c r="B55" s="237" t="s">
        <v>455</v>
      </c>
      <c r="C55" s="152">
        <v>2018</v>
      </c>
      <c r="D55" s="153" t="s">
        <v>456</v>
      </c>
      <c r="E55" s="208" t="s">
        <v>291</v>
      </c>
      <c r="F55" s="208" t="s">
        <v>283</v>
      </c>
      <c r="G55" s="208" t="s">
        <v>36</v>
      </c>
      <c r="H55" s="208" t="s">
        <v>157</v>
      </c>
      <c r="I55" s="208" t="s">
        <v>153</v>
      </c>
      <c r="J55" s="208" t="s">
        <v>38</v>
      </c>
      <c r="K55" s="208" t="s">
        <v>154</v>
      </c>
      <c r="L55" s="208">
        <v>3</v>
      </c>
      <c r="N55" s="208">
        <v>4</v>
      </c>
      <c r="O55" s="208">
        <v>0.41</v>
      </c>
      <c r="P55" s="208">
        <v>0.44</v>
      </c>
      <c r="Q55" s="245">
        <f t="shared" si="2"/>
        <v>0.42499999999999999</v>
      </c>
      <c r="R55" s="208">
        <v>14.1</v>
      </c>
      <c r="S55" s="208">
        <v>100</v>
      </c>
      <c r="T55" s="217">
        <f t="shared" si="0"/>
        <v>33</v>
      </c>
      <c r="U55" s="208">
        <v>518</v>
      </c>
      <c r="V55" s="217">
        <f t="shared" si="1"/>
        <v>16</v>
      </c>
      <c r="W55" s="208">
        <v>1</v>
      </c>
      <c r="X55" s="208" t="s">
        <v>46</v>
      </c>
      <c r="Y55" s="208" t="s">
        <v>90</v>
      </c>
      <c r="Z55" s="208" t="s">
        <v>84</v>
      </c>
      <c r="AA55" s="208" t="s">
        <v>78</v>
      </c>
      <c r="AB55" s="237" t="s">
        <v>448</v>
      </c>
    </row>
    <row r="56" spans="1:28" x14ac:dyDescent="0.15">
      <c r="A56" s="208" t="s">
        <v>59</v>
      </c>
      <c r="B56" s="237" t="s">
        <v>455</v>
      </c>
      <c r="C56" s="152">
        <v>2018</v>
      </c>
      <c r="D56" s="153" t="s">
        <v>456</v>
      </c>
      <c r="E56" s="208" t="s">
        <v>291</v>
      </c>
      <c r="F56" s="208" t="s">
        <v>283</v>
      </c>
      <c r="G56" s="208" t="s">
        <v>36</v>
      </c>
      <c r="H56" s="208" t="s">
        <v>155</v>
      </c>
      <c r="I56" s="208" t="s">
        <v>153</v>
      </c>
      <c r="J56" s="208" t="s">
        <v>38</v>
      </c>
      <c r="K56" s="208" t="s">
        <v>154</v>
      </c>
      <c r="L56" s="208">
        <v>1</v>
      </c>
      <c r="N56" s="208">
        <v>5</v>
      </c>
      <c r="O56" s="208">
        <v>0.57999999999999996</v>
      </c>
      <c r="P56" s="208">
        <v>0.62</v>
      </c>
      <c r="Q56" s="245">
        <f t="shared" si="2"/>
        <v>0.6</v>
      </c>
      <c r="R56" s="208">
        <v>15.9</v>
      </c>
      <c r="S56" s="208">
        <v>92</v>
      </c>
      <c r="T56" s="217">
        <f t="shared" si="0"/>
        <v>36</v>
      </c>
      <c r="U56" s="208">
        <v>429</v>
      </c>
      <c r="V56" s="217">
        <f t="shared" si="1"/>
        <v>16</v>
      </c>
      <c r="W56" s="208">
        <v>1</v>
      </c>
      <c r="X56" s="208" t="s">
        <v>46</v>
      </c>
      <c r="Y56" s="208" t="s">
        <v>90</v>
      </c>
      <c r="Z56" s="208" t="s">
        <v>84</v>
      </c>
      <c r="AA56" s="208" t="s">
        <v>78</v>
      </c>
      <c r="AB56" s="237" t="s">
        <v>448</v>
      </c>
    </row>
    <row r="57" spans="1:28" x14ac:dyDescent="0.15">
      <c r="A57" s="208" t="s">
        <v>59</v>
      </c>
      <c r="B57" s="237" t="s">
        <v>455</v>
      </c>
      <c r="C57" s="152">
        <v>2018</v>
      </c>
      <c r="D57" s="153" t="s">
        <v>456</v>
      </c>
      <c r="E57" s="208" t="s">
        <v>291</v>
      </c>
      <c r="F57" s="208" t="s">
        <v>283</v>
      </c>
      <c r="G57" s="208" t="s">
        <v>36</v>
      </c>
      <c r="H57" s="208" t="s">
        <v>155</v>
      </c>
      <c r="I57" s="208" t="s">
        <v>153</v>
      </c>
      <c r="J57" s="208" t="s">
        <v>38</v>
      </c>
      <c r="K57" s="208" t="s">
        <v>154</v>
      </c>
      <c r="L57" s="208">
        <v>2</v>
      </c>
      <c r="N57" s="208">
        <v>5</v>
      </c>
      <c r="O57" s="208">
        <v>0.62</v>
      </c>
      <c r="P57" s="208">
        <v>0.64</v>
      </c>
      <c r="Q57" s="245">
        <f t="shared" si="2"/>
        <v>0.63</v>
      </c>
      <c r="R57" s="208">
        <v>15.3</v>
      </c>
      <c r="S57" s="208">
        <v>85</v>
      </c>
      <c r="T57" s="217">
        <f t="shared" si="0"/>
        <v>36</v>
      </c>
      <c r="U57" s="208">
        <v>429</v>
      </c>
      <c r="V57" s="217">
        <f t="shared" si="1"/>
        <v>16</v>
      </c>
      <c r="W57" s="208">
        <v>1</v>
      </c>
      <c r="X57" s="208" t="s">
        <v>46</v>
      </c>
      <c r="Y57" s="208" t="s">
        <v>90</v>
      </c>
      <c r="Z57" s="208" t="s">
        <v>84</v>
      </c>
      <c r="AA57" s="208" t="s">
        <v>78</v>
      </c>
      <c r="AB57" s="237" t="s">
        <v>448</v>
      </c>
    </row>
    <row r="58" spans="1:28" x14ac:dyDescent="0.15">
      <c r="A58" s="208" t="s">
        <v>59</v>
      </c>
      <c r="B58" s="237" t="s">
        <v>455</v>
      </c>
      <c r="C58" s="152">
        <v>2018</v>
      </c>
      <c r="D58" s="153" t="s">
        <v>456</v>
      </c>
      <c r="E58" s="208" t="s">
        <v>291</v>
      </c>
      <c r="F58" s="208" t="s">
        <v>283</v>
      </c>
      <c r="G58" s="208" t="s">
        <v>36</v>
      </c>
      <c r="H58" s="208" t="s">
        <v>490</v>
      </c>
      <c r="I58" s="208" t="s">
        <v>153</v>
      </c>
      <c r="J58" s="208" t="s">
        <v>38</v>
      </c>
      <c r="K58" s="208" t="s">
        <v>154</v>
      </c>
      <c r="L58" s="208">
        <v>3</v>
      </c>
      <c r="N58" s="208">
        <v>5</v>
      </c>
      <c r="O58" s="208">
        <v>0.63</v>
      </c>
      <c r="P58" s="208">
        <v>0.6</v>
      </c>
      <c r="Q58" s="245">
        <f t="shared" si="2"/>
        <v>0.61499999999999999</v>
      </c>
      <c r="R58" s="208">
        <v>15</v>
      </c>
      <c r="S58" s="208">
        <v>89</v>
      </c>
      <c r="T58" s="217">
        <f t="shared" si="0"/>
        <v>36</v>
      </c>
      <c r="U58" s="208">
        <v>429</v>
      </c>
      <c r="V58" s="217">
        <f t="shared" si="1"/>
        <v>16</v>
      </c>
      <c r="W58" s="208">
        <v>1</v>
      </c>
      <c r="X58" s="208" t="s">
        <v>46</v>
      </c>
      <c r="Y58" s="208" t="s">
        <v>90</v>
      </c>
      <c r="Z58" s="208" t="s">
        <v>84</v>
      </c>
      <c r="AA58" s="208" t="s">
        <v>78</v>
      </c>
      <c r="AB58" s="237" t="s">
        <v>448</v>
      </c>
    </row>
    <row r="59" spans="1:28" x14ac:dyDescent="0.15">
      <c r="A59" s="208" t="s">
        <v>59</v>
      </c>
      <c r="B59" s="237" t="s">
        <v>455</v>
      </c>
      <c r="C59" s="152">
        <v>2018</v>
      </c>
      <c r="D59" s="153" t="s">
        <v>456</v>
      </c>
      <c r="E59" s="208" t="s">
        <v>297</v>
      </c>
      <c r="F59" s="208" t="s">
        <v>288</v>
      </c>
      <c r="G59" s="208" t="s">
        <v>36</v>
      </c>
      <c r="H59" s="208" t="s">
        <v>157</v>
      </c>
      <c r="I59" s="208" t="s">
        <v>153</v>
      </c>
      <c r="J59" s="208" t="s">
        <v>38</v>
      </c>
      <c r="K59" s="208" t="s">
        <v>154</v>
      </c>
      <c r="L59" s="208">
        <v>1</v>
      </c>
      <c r="N59" s="208">
        <v>4</v>
      </c>
      <c r="O59" s="208">
        <v>0.33</v>
      </c>
      <c r="P59" s="208">
        <v>0.3</v>
      </c>
      <c r="Q59" s="245">
        <f t="shared" si="2"/>
        <v>0.315</v>
      </c>
      <c r="R59" s="208">
        <v>14.4</v>
      </c>
      <c r="S59" s="208">
        <v>105</v>
      </c>
      <c r="T59" s="217">
        <f t="shared" si="0"/>
        <v>33</v>
      </c>
      <c r="U59" s="208">
        <v>480</v>
      </c>
      <c r="V59" s="217">
        <f t="shared" si="1"/>
        <v>16</v>
      </c>
      <c r="W59" s="208">
        <v>3</v>
      </c>
      <c r="X59" s="208" t="s">
        <v>46</v>
      </c>
      <c r="Y59" s="208" t="s">
        <v>84</v>
      </c>
      <c r="Z59" s="208" t="s">
        <v>90</v>
      </c>
      <c r="AA59" s="208" t="s">
        <v>252</v>
      </c>
      <c r="AB59" s="237" t="s">
        <v>448</v>
      </c>
    </row>
    <row r="60" spans="1:28" x14ac:dyDescent="0.15">
      <c r="A60" s="208" t="s">
        <v>59</v>
      </c>
      <c r="B60" s="237" t="s">
        <v>455</v>
      </c>
      <c r="C60" s="152">
        <v>2018</v>
      </c>
      <c r="D60" s="153" t="s">
        <v>456</v>
      </c>
      <c r="E60" s="208" t="s">
        <v>297</v>
      </c>
      <c r="F60" s="208" t="s">
        <v>288</v>
      </c>
      <c r="G60" s="208" t="s">
        <v>36</v>
      </c>
      <c r="H60" s="208" t="s">
        <v>157</v>
      </c>
      <c r="I60" s="208" t="s">
        <v>153</v>
      </c>
      <c r="J60" s="208" t="s">
        <v>38</v>
      </c>
      <c r="K60" s="208" t="s">
        <v>154</v>
      </c>
      <c r="L60" s="208">
        <v>2</v>
      </c>
      <c r="N60" s="208">
        <v>4</v>
      </c>
      <c r="O60" s="208">
        <v>0.36</v>
      </c>
      <c r="P60" s="208">
        <v>0.38</v>
      </c>
      <c r="Q60" s="245">
        <f t="shared" si="2"/>
        <v>0.37</v>
      </c>
      <c r="R60" s="208">
        <v>14.9</v>
      </c>
      <c r="S60" s="208">
        <v>99</v>
      </c>
      <c r="T60" s="217">
        <f t="shared" si="0"/>
        <v>33</v>
      </c>
      <c r="U60" s="208">
        <v>480</v>
      </c>
      <c r="V60" s="217">
        <f t="shared" si="1"/>
        <v>16</v>
      </c>
      <c r="W60" s="208">
        <v>3</v>
      </c>
      <c r="X60" s="208" t="s">
        <v>46</v>
      </c>
      <c r="Y60" s="208" t="s">
        <v>84</v>
      </c>
      <c r="Z60" s="208" t="s">
        <v>90</v>
      </c>
      <c r="AA60" s="208" t="s">
        <v>252</v>
      </c>
      <c r="AB60" s="237" t="s">
        <v>448</v>
      </c>
    </row>
    <row r="61" spans="1:28" x14ac:dyDescent="0.15">
      <c r="A61" s="208" t="s">
        <v>59</v>
      </c>
      <c r="B61" s="237" t="s">
        <v>455</v>
      </c>
      <c r="C61" s="152">
        <v>2018</v>
      </c>
      <c r="D61" s="153" t="s">
        <v>456</v>
      </c>
      <c r="E61" s="208" t="s">
        <v>297</v>
      </c>
      <c r="F61" s="208" t="s">
        <v>288</v>
      </c>
      <c r="G61" s="208" t="s">
        <v>36</v>
      </c>
      <c r="H61" s="208" t="s">
        <v>157</v>
      </c>
      <c r="I61" s="208" t="s">
        <v>153</v>
      </c>
      <c r="J61" s="208" t="s">
        <v>38</v>
      </c>
      <c r="K61" s="208" t="s">
        <v>154</v>
      </c>
      <c r="L61" s="208">
        <v>3</v>
      </c>
      <c r="N61" s="208">
        <v>4</v>
      </c>
      <c r="O61" s="208">
        <v>0.4</v>
      </c>
      <c r="P61" s="208">
        <v>0.43</v>
      </c>
      <c r="Q61" s="245">
        <f t="shared" si="2"/>
        <v>0.41500000000000004</v>
      </c>
      <c r="R61" s="208">
        <v>14.8</v>
      </c>
      <c r="S61" s="208">
        <v>102</v>
      </c>
      <c r="T61" s="217">
        <f t="shared" si="0"/>
        <v>33</v>
      </c>
      <c r="U61" s="208">
        <v>480</v>
      </c>
      <c r="V61" s="217">
        <f t="shared" si="1"/>
        <v>16</v>
      </c>
      <c r="W61" s="208">
        <v>3</v>
      </c>
      <c r="X61" s="208" t="s">
        <v>46</v>
      </c>
      <c r="Y61" s="208" t="s">
        <v>84</v>
      </c>
      <c r="Z61" s="208" t="s">
        <v>90</v>
      </c>
      <c r="AA61" s="208" t="s">
        <v>252</v>
      </c>
      <c r="AB61" s="237" t="s">
        <v>448</v>
      </c>
    </row>
    <row r="62" spans="1:28" x14ac:dyDescent="0.15">
      <c r="A62" s="208" t="s">
        <v>59</v>
      </c>
      <c r="B62" s="237" t="s">
        <v>455</v>
      </c>
      <c r="C62" s="152">
        <v>2018</v>
      </c>
      <c r="D62" s="153" t="s">
        <v>456</v>
      </c>
      <c r="E62" s="208" t="s">
        <v>297</v>
      </c>
      <c r="F62" s="208" t="s">
        <v>288</v>
      </c>
      <c r="G62" s="208" t="s">
        <v>36</v>
      </c>
      <c r="H62" s="208" t="s">
        <v>155</v>
      </c>
      <c r="I62" s="208" t="s">
        <v>153</v>
      </c>
      <c r="J62" s="208" t="s">
        <v>38</v>
      </c>
      <c r="K62" s="208" t="s">
        <v>154</v>
      </c>
      <c r="L62" s="208">
        <v>1</v>
      </c>
      <c r="N62" s="208">
        <v>4</v>
      </c>
      <c r="O62" s="208">
        <v>0.46</v>
      </c>
      <c r="P62" s="208">
        <v>0.43</v>
      </c>
      <c r="Q62" s="245">
        <f t="shared" si="2"/>
        <v>0.44500000000000001</v>
      </c>
      <c r="R62" s="208">
        <v>15.4</v>
      </c>
      <c r="S62" s="208">
        <v>137</v>
      </c>
      <c r="T62" s="217">
        <f t="shared" si="0"/>
        <v>25</v>
      </c>
      <c r="U62" s="208">
        <v>348</v>
      </c>
      <c r="V62" s="217">
        <f t="shared" si="1"/>
        <v>16</v>
      </c>
      <c r="W62" s="208">
        <v>3</v>
      </c>
      <c r="X62" s="208" t="s">
        <v>46</v>
      </c>
      <c r="Y62" s="208" t="s">
        <v>84</v>
      </c>
      <c r="Z62" s="208" t="s">
        <v>90</v>
      </c>
      <c r="AA62" s="208" t="s">
        <v>252</v>
      </c>
      <c r="AB62" s="237" t="s">
        <v>448</v>
      </c>
    </row>
    <row r="63" spans="1:28" x14ac:dyDescent="0.15">
      <c r="A63" s="208" t="s">
        <v>59</v>
      </c>
      <c r="B63" s="237" t="s">
        <v>455</v>
      </c>
      <c r="C63" s="152">
        <v>2018</v>
      </c>
      <c r="D63" s="153" t="s">
        <v>456</v>
      </c>
      <c r="E63" s="208" t="s">
        <v>297</v>
      </c>
      <c r="F63" s="208" t="s">
        <v>288</v>
      </c>
      <c r="G63" s="208" t="s">
        <v>36</v>
      </c>
      <c r="H63" s="208" t="s">
        <v>155</v>
      </c>
      <c r="I63" s="208" t="s">
        <v>153</v>
      </c>
      <c r="J63" s="208" t="s">
        <v>38</v>
      </c>
      <c r="K63" s="208" t="s">
        <v>154</v>
      </c>
      <c r="L63" s="208">
        <v>2</v>
      </c>
      <c r="N63" s="208">
        <v>4</v>
      </c>
      <c r="O63" s="208">
        <v>0.44</v>
      </c>
      <c r="P63" s="208">
        <v>0.31</v>
      </c>
      <c r="Q63" s="245">
        <f t="shared" si="2"/>
        <v>0.375</v>
      </c>
      <c r="R63" s="208">
        <v>15.1</v>
      </c>
      <c r="S63" s="208">
        <v>142</v>
      </c>
      <c r="T63" s="217">
        <f t="shared" si="0"/>
        <v>22</v>
      </c>
      <c r="U63" s="208">
        <v>348</v>
      </c>
      <c r="V63" s="217">
        <f t="shared" si="1"/>
        <v>16</v>
      </c>
      <c r="W63" s="208">
        <v>3</v>
      </c>
      <c r="X63" s="208" t="s">
        <v>46</v>
      </c>
      <c r="Y63" s="208" t="s">
        <v>84</v>
      </c>
      <c r="Z63" s="208" t="s">
        <v>90</v>
      </c>
      <c r="AA63" s="208" t="s">
        <v>252</v>
      </c>
      <c r="AB63" s="237" t="s">
        <v>448</v>
      </c>
    </row>
    <row r="64" spans="1:28" x14ac:dyDescent="0.15">
      <c r="A64" s="208" t="s">
        <v>59</v>
      </c>
      <c r="B64" s="237" t="s">
        <v>455</v>
      </c>
      <c r="C64" s="152">
        <v>2018</v>
      </c>
      <c r="D64" s="153" t="s">
        <v>456</v>
      </c>
      <c r="E64" s="208" t="s">
        <v>297</v>
      </c>
      <c r="F64" s="208" t="s">
        <v>288</v>
      </c>
      <c r="G64" s="208" t="s">
        <v>36</v>
      </c>
      <c r="H64" s="208" t="s">
        <v>490</v>
      </c>
      <c r="I64" s="208" t="s">
        <v>153</v>
      </c>
      <c r="J64" s="208" t="s">
        <v>38</v>
      </c>
      <c r="K64" s="208" t="s">
        <v>154</v>
      </c>
      <c r="L64" s="208">
        <v>3</v>
      </c>
      <c r="N64" s="208">
        <v>4</v>
      </c>
      <c r="O64" s="208">
        <v>0.47</v>
      </c>
      <c r="P64" s="208">
        <v>0.49</v>
      </c>
      <c r="Q64" s="245">
        <f t="shared" si="2"/>
        <v>0.48</v>
      </c>
      <c r="R64" s="208">
        <v>15.5</v>
      </c>
      <c r="S64" s="208">
        <v>136</v>
      </c>
      <c r="T64" s="217">
        <f t="shared" si="0"/>
        <v>25</v>
      </c>
      <c r="U64" s="208">
        <v>348</v>
      </c>
      <c r="V64" s="217">
        <f t="shared" si="1"/>
        <v>16</v>
      </c>
      <c r="W64" s="208">
        <v>3</v>
      </c>
      <c r="X64" s="208" t="s">
        <v>46</v>
      </c>
      <c r="Y64" s="208" t="s">
        <v>84</v>
      </c>
      <c r="Z64" s="208" t="s">
        <v>90</v>
      </c>
      <c r="AA64" s="208" t="s">
        <v>252</v>
      </c>
      <c r="AB64" s="237" t="s">
        <v>448</v>
      </c>
    </row>
    <row r="65" spans="1:28" x14ac:dyDescent="0.15">
      <c r="A65" s="208" t="s">
        <v>59</v>
      </c>
      <c r="B65" s="237" t="s">
        <v>455</v>
      </c>
      <c r="C65" s="152">
        <v>2018</v>
      </c>
      <c r="D65" s="153" t="s">
        <v>456</v>
      </c>
      <c r="E65" s="208" t="s">
        <v>292</v>
      </c>
      <c r="F65" s="208" t="s">
        <v>285</v>
      </c>
      <c r="G65" s="208" t="s">
        <v>36</v>
      </c>
      <c r="H65" s="208" t="s">
        <v>157</v>
      </c>
      <c r="I65" s="208" t="s">
        <v>153</v>
      </c>
      <c r="J65" s="208" t="s">
        <v>38</v>
      </c>
      <c r="K65" s="208" t="s">
        <v>154</v>
      </c>
      <c r="L65" s="208">
        <v>1</v>
      </c>
      <c r="N65" s="208">
        <v>1</v>
      </c>
      <c r="O65" s="208">
        <v>0.44</v>
      </c>
      <c r="P65" s="208">
        <v>0.35</v>
      </c>
      <c r="Q65" s="245">
        <f t="shared" si="2"/>
        <v>0.39500000000000002</v>
      </c>
      <c r="R65" s="208">
        <v>15.4</v>
      </c>
      <c r="S65" s="208">
        <v>139</v>
      </c>
      <c r="T65" s="217">
        <f t="shared" si="0"/>
        <v>22</v>
      </c>
      <c r="U65" s="208">
        <v>138</v>
      </c>
      <c r="V65" s="217">
        <f t="shared" si="1"/>
        <v>22</v>
      </c>
      <c r="W65" s="208">
        <v>2</v>
      </c>
      <c r="X65" s="208" t="s">
        <v>46</v>
      </c>
      <c r="Y65" s="208" t="s">
        <v>90</v>
      </c>
      <c r="Z65" s="208" t="s">
        <v>252</v>
      </c>
      <c r="AA65" s="208" t="s">
        <v>84</v>
      </c>
      <c r="AB65" s="237" t="s">
        <v>448</v>
      </c>
    </row>
    <row r="66" spans="1:28" x14ac:dyDescent="0.15">
      <c r="A66" s="208" t="s">
        <v>59</v>
      </c>
      <c r="B66" s="237" t="s">
        <v>455</v>
      </c>
      <c r="C66" s="152">
        <v>2018</v>
      </c>
      <c r="D66" s="153" t="s">
        <v>456</v>
      </c>
      <c r="E66" s="208" t="s">
        <v>292</v>
      </c>
      <c r="F66" s="208" t="s">
        <v>285</v>
      </c>
      <c r="G66" s="208" t="s">
        <v>36</v>
      </c>
      <c r="H66" s="208" t="s">
        <v>157</v>
      </c>
      <c r="I66" s="208" t="s">
        <v>153</v>
      </c>
      <c r="J66" s="208" t="s">
        <v>38</v>
      </c>
      <c r="K66" s="208" t="s">
        <v>154</v>
      </c>
      <c r="L66" s="208">
        <v>2</v>
      </c>
      <c r="N66" s="208">
        <v>1</v>
      </c>
      <c r="O66" s="208">
        <v>0.3</v>
      </c>
      <c r="P66" s="208">
        <v>0.38</v>
      </c>
      <c r="Q66" s="245">
        <f t="shared" si="2"/>
        <v>0.33999999999999997</v>
      </c>
      <c r="R66" s="208">
        <v>15.8</v>
      </c>
      <c r="S66" s="208">
        <v>140</v>
      </c>
      <c r="T66" s="217">
        <f t="shared" si="0"/>
        <v>22</v>
      </c>
      <c r="U66" s="208">
        <v>138</v>
      </c>
      <c r="V66" s="217">
        <f t="shared" ref="V66:V70" si="3">IF(J66="","",IF(OR(J66="GREEN",J66="GK"),IF(U66&gt;=$AX$2,VLOOKUP(U66,$AX$2:$AY$12,2,1),""),IF(U66&gt;=$AZ$2,VLOOKUP(U66,$AZ$2:$BA$12,2,1),"")))</f>
        <v>22</v>
      </c>
      <c r="W66" s="208">
        <v>2</v>
      </c>
      <c r="X66" s="208" t="s">
        <v>46</v>
      </c>
      <c r="Y66" s="208" t="s">
        <v>90</v>
      </c>
      <c r="Z66" s="208" t="s">
        <v>252</v>
      </c>
      <c r="AA66" s="208" t="s">
        <v>84</v>
      </c>
      <c r="AB66" s="237" t="s">
        <v>448</v>
      </c>
    </row>
    <row r="67" spans="1:28" x14ac:dyDescent="0.15">
      <c r="A67" s="208" t="s">
        <v>59</v>
      </c>
      <c r="B67" s="237" t="s">
        <v>455</v>
      </c>
      <c r="C67" s="152">
        <v>2018</v>
      </c>
      <c r="D67" s="153" t="s">
        <v>456</v>
      </c>
      <c r="E67" s="208" t="s">
        <v>292</v>
      </c>
      <c r="F67" s="208" t="s">
        <v>285</v>
      </c>
      <c r="G67" s="208" t="s">
        <v>36</v>
      </c>
      <c r="H67" s="208" t="s">
        <v>157</v>
      </c>
      <c r="I67" s="208" t="s">
        <v>153</v>
      </c>
      <c r="J67" s="208" t="s">
        <v>38</v>
      </c>
      <c r="K67" s="208" t="s">
        <v>154</v>
      </c>
      <c r="L67" s="208">
        <v>3</v>
      </c>
      <c r="N67" s="208">
        <v>1</v>
      </c>
      <c r="O67" s="208">
        <v>0.39</v>
      </c>
      <c r="P67" s="208">
        <v>0.45</v>
      </c>
      <c r="Q67" s="245">
        <f t="shared" si="2"/>
        <v>0.42000000000000004</v>
      </c>
      <c r="R67" s="208">
        <v>15.7</v>
      </c>
      <c r="S67" s="208">
        <v>142</v>
      </c>
      <c r="T67" s="217">
        <f t="shared" si="0"/>
        <v>22</v>
      </c>
      <c r="U67" s="208">
        <v>138</v>
      </c>
      <c r="V67" s="217">
        <f t="shared" si="3"/>
        <v>22</v>
      </c>
      <c r="W67" s="208">
        <v>2</v>
      </c>
      <c r="X67" s="208" t="s">
        <v>46</v>
      </c>
      <c r="Y67" s="208" t="s">
        <v>90</v>
      </c>
      <c r="Z67" s="208" t="s">
        <v>252</v>
      </c>
      <c r="AA67" s="208" t="s">
        <v>84</v>
      </c>
      <c r="AB67" s="237" t="s">
        <v>448</v>
      </c>
    </row>
    <row r="68" spans="1:28" x14ac:dyDescent="0.15">
      <c r="A68" s="208" t="s">
        <v>59</v>
      </c>
      <c r="B68" s="237" t="s">
        <v>455</v>
      </c>
      <c r="C68" s="152">
        <v>2018</v>
      </c>
      <c r="D68" s="153" t="s">
        <v>456</v>
      </c>
      <c r="E68" s="208" t="s">
        <v>292</v>
      </c>
      <c r="F68" s="208" t="s">
        <v>285</v>
      </c>
      <c r="G68" s="208" t="s">
        <v>36</v>
      </c>
      <c r="H68" s="208" t="s">
        <v>155</v>
      </c>
      <c r="I68" s="208" t="s">
        <v>153</v>
      </c>
      <c r="J68" s="208" t="s">
        <v>38</v>
      </c>
      <c r="K68" s="208" t="s">
        <v>154</v>
      </c>
      <c r="L68" s="208">
        <v>1</v>
      </c>
      <c r="N68" s="208">
        <v>4</v>
      </c>
      <c r="O68" s="208">
        <v>0.35</v>
      </c>
      <c r="P68" s="208">
        <v>0.43</v>
      </c>
      <c r="Q68" s="245">
        <f t="shared" si="2"/>
        <v>0.39</v>
      </c>
      <c r="R68" s="208">
        <v>13.8</v>
      </c>
      <c r="S68" s="208">
        <v>98</v>
      </c>
      <c r="T68" s="217">
        <f t="shared" si="0"/>
        <v>36</v>
      </c>
      <c r="U68" s="208">
        <v>321</v>
      </c>
      <c r="V68" s="217">
        <f t="shared" si="3"/>
        <v>16</v>
      </c>
      <c r="W68" s="208">
        <v>8</v>
      </c>
      <c r="X68" s="208" t="s">
        <v>46</v>
      </c>
      <c r="Y68" s="208" t="s">
        <v>90</v>
      </c>
      <c r="Z68" s="208" t="s">
        <v>252</v>
      </c>
      <c r="AA68" s="208" t="s">
        <v>84</v>
      </c>
      <c r="AB68" s="237" t="s">
        <v>448</v>
      </c>
    </row>
    <row r="69" spans="1:28" x14ac:dyDescent="0.15">
      <c r="A69" s="208" t="s">
        <v>59</v>
      </c>
      <c r="B69" s="237" t="s">
        <v>455</v>
      </c>
      <c r="C69" s="152">
        <v>2018</v>
      </c>
      <c r="D69" s="153" t="s">
        <v>456</v>
      </c>
      <c r="E69" s="208" t="s">
        <v>292</v>
      </c>
      <c r="F69" s="208" t="s">
        <v>285</v>
      </c>
      <c r="G69" s="208" t="s">
        <v>36</v>
      </c>
      <c r="H69" s="208" t="s">
        <v>155</v>
      </c>
      <c r="I69" s="208" t="s">
        <v>153</v>
      </c>
      <c r="J69" s="208" t="s">
        <v>38</v>
      </c>
      <c r="K69" s="208" t="s">
        <v>154</v>
      </c>
      <c r="L69" s="208">
        <v>2</v>
      </c>
      <c r="N69" s="208">
        <v>4</v>
      </c>
      <c r="O69" s="208">
        <v>0.35</v>
      </c>
      <c r="P69" s="208">
        <v>0.28999999999999998</v>
      </c>
      <c r="Q69" s="245">
        <f t="shared" si="2"/>
        <v>0.31999999999999995</v>
      </c>
      <c r="R69" s="208">
        <v>13.4</v>
      </c>
      <c r="S69" s="208">
        <v>102</v>
      </c>
      <c r="T69" s="217">
        <f t="shared" si="0"/>
        <v>33</v>
      </c>
      <c r="U69" s="208">
        <v>321</v>
      </c>
      <c r="V69" s="217">
        <f t="shared" si="3"/>
        <v>16</v>
      </c>
      <c r="W69" s="208">
        <v>8</v>
      </c>
      <c r="X69" s="208" t="s">
        <v>46</v>
      </c>
      <c r="Y69" s="208" t="s">
        <v>90</v>
      </c>
      <c r="Z69" s="208" t="s">
        <v>252</v>
      </c>
      <c r="AA69" s="208" t="s">
        <v>84</v>
      </c>
      <c r="AB69" s="237" t="s">
        <v>448</v>
      </c>
    </row>
    <row r="70" spans="1:28" x14ac:dyDescent="0.15">
      <c r="A70" s="208" t="s">
        <v>59</v>
      </c>
      <c r="B70" s="237" t="s">
        <v>455</v>
      </c>
      <c r="C70" s="152">
        <v>2018</v>
      </c>
      <c r="D70" s="153" t="s">
        <v>456</v>
      </c>
      <c r="E70" s="208" t="s">
        <v>292</v>
      </c>
      <c r="F70" s="208" t="s">
        <v>285</v>
      </c>
      <c r="G70" s="208" t="s">
        <v>36</v>
      </c>
      <c r="H70" s="208" t="s">
        <v>490</v>
      </c>
      <c r="I70" s="208" t="s">
        <v>153</v>
      </c>
      <c r="J70" s="208" t="s">
        <v>38</v>
      </c>
      <c r="K70" s="208" t="s">
        <v>154</v>
      </c>
      <c r="L70" s="208">
        <v>3</v>
      </c>
      <c r="N70" s="208">
        <v>4</v>
      </c>
      <c r="O70" s="208">
        <v>0.48</v>
      </c>
      <c r="P70" s="208">
        <v>0.44</v>
      </c>
      <c r="Q70" s="245">
        <f t="shared" si="2"/>
        <v>0.45999999999999996</v>
      </c>
      <c r="R70" s="208">
        <v>13.3</v>
      </c>
      <c r="S70" s="208">
        <v>105</v>
      </c>
      <c r="T70" s="217">
        <f t="shared" si="0"/>
        <v>33</v>
      </c>
      <c r="U70" s="208">
        <v>321</v>
      </c>
      <c r="V70" s="217">
        <f t="shared" si="3"/>
        <v>16</v>
      </c>
      <c r="W70" s="208">
        <v>8</v>
      </c>
      <c r="X70" s="208" t="s">
        <v>46</v>
      </c>
      <c r="Y70" s="208" t="s">
        <v>90</v>
      </c>
      <c r="Z70" s="208" t="s">
        <v>252</v>
      </c>
      <c r="AA70" s="208" t="s">
        <v>84</v>
      </c>
      <c r="AB70" s="237" t="s">
        <v>448</v>
      </c>
    </row>
    <row r="71" spans="1:28" x14ac:dyDescent="0.15">
      <c r="B71" s="237"/>
      <c r="C71" s="152"/>
      <c r="D71" s="153"/>
      <c r="Q71" s="245" t="str">
        <f t="shared" si="2"/>
        <v/>
      </c>
      <c r="T71" s="217" t="str">
        <f t="shared" si="0"/>
        <v/>
      </c>
      <c r="AB71" s="237"/>
    </row>
    <row r="72" spans="1:28" x14ac:dyDescent="0.15">
      <c r="B72" s="237"/>
      <c r="C72" s="152"/>
      <c r="D72" s="153"/>
      <c r="Q72" s="245" t="str">
        <f t="shared" si="2"/>
        <v/>
      </c>
      <c r="T72" s="217" t="str">
        <f t="shared" si="0"/>
        <v/>
      </c>
      <c r="AB72" s="237"/>
    </row>
    <row r="73" spans="1:28" x14ac:dyDescent="0.15">
      <c r="B73" s="237"/>
      <c r="C73" s="152"/>
      <c r="D73" s="153"/>
      <c r="Q73" s="245" t="str">
        <f t="shared" si="2"/>
        <v/>
      </c>
      <c r="T73" s="217" t="str">
        <f t="shared" si="0"/>
        <v/>
      </c>
      <c r="AB73" s="237"/>
    </row>
    <row r="74" spans="1:28" x14ac:dyDescent="0.15">
      <c r="B74" s="237"/>
      <c r="C74" s="152"/>
      <c r="D74" s="153"/>
      <c r="Q74" s="245"/>
      <c r="AB74" s="237"/>
    </row>
    <row r="75" spans="1:28" x14ac:dyDescent="0.15">
      <c r="B75" s="237"/>
      <c r="C75" s="152"/>
      <c r="D75" s="153"/>
      <c r="Q75" s="245"/>
      <c r="AB75" s="237"/>
    </row>
    <row r="76" spans="1:28" x14ac:dyDescent="0.15">
      <c r="B76" s="237"/>
      <c r="C76" s="152"/>
      <c r="D76" s="153"/>
      <c r="Q76" s="245"/>
      <c r="AB76" s="237"/>
    </row>
    <row r="77" spans="1:28" x14ac:dyDescent="0.15">
      <c r="B77" s="237"/>
      <c r="C77" s="152"/>
      <c r="D77" s="153"/>
      <c r="Q77" s="245"/>
      <c r="AB77" s="237"/>
    </row>
    <row r="78" spans="1:28" x14ac:dyDescent="0.15">
      <c r="B78" s="237"/>
      <c r="C78" s="152"/>
      <c r="D78" s="153"/>
      <c r="Q78" s="245"/>
      <c r="AB78" s="237"/>
    </row>
    <row r="79" spans="1:28" x14ac:dyDescent="0.15">
      <c r="B79" s="237"/>
      <c r="C79" s="152"/>
      <c r="D79" s="153"/>
      <c r="Q79" s="245"/>
      <c r="AB79" s="237"/>
    </row>
    <row r="80" spans="1:28" x14ac:dyDescent="0.15">
      <c r="B80" s="237"/>
      <c r="C80" s="152"/>
      <c r="D80" s="153"/>
      <c r="Q80" s="245"/>
      <c r="AB80" s="237"/>
    </row>
    <row r="81" spans="2:28" x14ac:dyDescent="0.15">
      <c r="B81" s="237"/>
      <c r="C81" s="152"/>
      <c r="D81" s="153"/>
      <c r="Q81" s="245"/>
      <c r="AB81" s="237"/>
    </row>
    <row r="82" spans="2:28" x14ac:dyDescent="0.15">
      <c r="B82" s="237"/>
      <c r="C82" s="152"/>
      <c r="D82" s="153"/>
      <c r="Q82" s="245"/>
      <c r="AB82" s="237"/>
    </row>
    <row r="83" spans="2:28" x14ac:dyDescent="0.15">
      <c r="B83" s="237"/>
      <c r="C83" s="152"/>
      <c r="Q83" s="245"/>
      <c r="AB83" s="237"/>
    </row>
    <row r="84" spans="2:28" x14ac:dyDescent="0.15">
      <c r="B84" s="237"/>
      <c r="C84" s="152"/>
      <c r="Q84" s="245"/>
      <c r="AB84" s="237"/>
    </row>
    <row r="85" spans="2:28" x14ac:dyDescent="0.15">
      <c r="B85" s="237"/>
      <c r="C85" s="152"/>
      <c r="Q85" s="245"/>
      <c r="AB85" s="237"/>
    </row>
    <row r="86" spans="2:28" x14ac:dyDescent="0.15">
      <c r="B86" s="237"/>
      <c r="C86" s="152"/>
      <c r="Q86" s="245"/>
      <c r="AB86" s="237"/>
    </row>
    <row r="87" spans="2:28" x14ac:dyDescent="0.15">
      <c r="B87" s="237"/>
      <c r="C87" s="152"/>
      <c r="Q87" s="245"/>
      <c r="AB87" s="237"/>
    </row>
    <row r="88" spans="2:28" x14ac:dyDescent="0.15">
      <c r="B88" s="237"/>
      <c r="C88" s="152"/>
      <c r="Q88" s="245"/>
      <c r="AB88" s="237"/>
    </row>
    <row r="89" spans="2:28" x14ac:dyDescent="0.15">
      <c r="B89" s="237"/>
      <c r="C89" s="152"/>
      <c r="Q89" s="245"/>
      <c r="AB89" s="237"/>
    </row>
    <row r="90" spans="2:28" x14ac:dyDescent="0.15">
      <c r="B90" s="237"/>
      <c r="C90" s="152"/>
      <c r="Q90" s="245"/>
      <c r="AB90" s="237"/>
    </row>
    <row r="91" spans="2:28" x14ac:dyDescent="0.15">
      <c r="B91" s="237"/>
      <c r="C91" s="152"/>
      <c r="Q91" s="245"/>
      <c r="AB91" s="237"/>
    </row>
    <row r="92" spans="2:28" x14ac:dyDescent="0.15">
      <c r="B92" s="237"/>
      <c r="C92" s="152"/>
      <c r="Q92" s="245"/>
      <c r="AB92" s="237"/>
    </row>
    <row r="93" spans="2:28" x14ac:dyDescent="0.15">
      <c r="B93" s="237"/>
      <c r="C93" s="152"/>
      <c r="Q93" s="245"/>
      <c r="AB93" s="237"/>
    </row>
    <row r="94" spans="2:28" x14ac:dyDescent="0.15">
      <c r="B94" s="237"/>
      <c r="C94" s="152"/>
      <c r="Q94" s="245"/>
      <c r="AB94" s="237"/>
    </row>
    <row r="95" spans="2:28" x14ac:dyDescent="0.15">
      <c r="B95" s="237"/>
      <c r="C95" s="152"/>
      <c r="Q95" s="245"/>
      <c r="AB95" s="237"/>
    </row>
    <row r="96" spans="2:28" x14ac:dyDescent="0.15">
      <c r="B96" s="237"/>
      <c r="C96" s="152"/>
      <c r="Q96" s="245"/>
      <c r="AB96" s="237"/>
    </row>
    <row r="97" spans="2:28" x14ac:dyDescent="0.15">
      <c r="B97" s="237"/>
      <c r="C97" s="152"/>
      <c r="Q97" s="245"/>
      <c r="AB97" s="237"/>
    </row>
    <row r="98" spans="2:28" x14ac:dyDescent="0.15">
      <c r="B98" s="237"/>
      <c r="C98" s="152"/>
      <c r="Q98" s="245"/>
      <c r="AB98" s="237"/>
    </row>
    <row r="99" spans="2:28" x14ac:dyDescent="0.15">
      <c r="B99" s="237"/>
      <c r="C99" s="152"/>
      <c r="AB99" s="237"/>
    </row>
    <row r="100" spans="2:28" x14ac:dyDescent="0.15">
      <c r="B100" s="237"/>
      <c r="C100" s="152"/>
      <c r="AB100" s="237"/>
    </row>
    <row r="101" spans="2:28" x14ac:dyDescent="0.15">
      <c r="Q101" s="217" t="str">
        <f t="shared" ref="Q101:Q152" si="4">IF(OR(O101="",P101=""),"",AVERAGE(O101,P101))</f>
        <v/>
      </c>
      <c r="T101" s="217" t="str">
        <f t="shared" ref="T101:T152" si="5">IF(H101="","",IF(OR(H101="GREEN",H101="GK"),IF(S101&gt;=$AX$2,VLOOKUP(S101,$AX$2:$AY$12,2,1),""),IF(S101&gt;=$AZ$2,VLOOKUP(S101,$AZ$2:$BA$12,2,1),"")))</f>
        <v/>
      </c>
      <c r="V101" s="217" t="str">
        <f t="shared" ref="V101:V152" si="6">IF(J101="","",IF(OR(J101="GREEN",J101="GK"),IF(U101&gt;=$AX$2,VLOOKUP(U101,$AX$2:$AY$12,2,1),""),IF(U101&gt;=$AZ$2,VLOOKUP(U101,$AZ$2:$BA$12,2,1),"")))</f>
        <v/>
      </c>
      <c r="AB101" s="237"/>
    </row>
    <row r="102" spans="2:28" x14ac:dyDescent="0.15">
      <c r="Q102" s="217" t="str">
        <f t="shared" si="4"/>
        <v/>
      </c>
      <c r="T102" s="217" t="str">
        <f t="shared" si="5"/>
        <v/>
      </c>
      <c r="V102" s="217" t="str">
        <f t="shared" si="6"/>
        <v/>
      </c>
    </row>
    <row r="103" spans="2:28" x14ac:dyDescent="0.15">
      <c r="Q103" s="217" t="str">
        <f t="shared" si="4"/>
        <v/>
      </c>
      <c r="T103" s="217" t="str">
        <f t="shared" si="5"/>
        <v/>
      </c>
      <c r="V103" s="217" t="str">
        <f t="shared" si="6"/>
        <v/>
      </c>
    </row>
    <row r="104" spans="2:28" x14ac:dyDescent="0.15">
      <c r="Q104" s="217" t="str">
        <f t="shared" si="4"/>
        <v/>
      </c>
      <c r="T104" s="217" t="str">
        <f t="shared" si="5"/>
        <v/>
      </c>
      <c r="V104" s="217" t="str">
        <f t="shared" si="6"/>
        <v/>
      </c>
    </row>
    <row r="105" spans="2:28" x14ac:dyDescent="0.15">
      <c r="Q105" s="217" t="str">
        <f t="shared" si="4"/>
        <v/>
      </c>
      <c r="T105" s="217" t="str">
        <f t="shared" si="5"/>
        <v/>
      </c>
      <c r="V105" s="217" t="str">
        <f t="shared" si="6"/>
        <v/>
      </c>
    </row>
    <row r="106" spans="2:28" x14ac:dyDescent="0.15">
      <c r="Q106" s="217" t="str">
        <f t="shared" si="4"/>
        <v/>
      </c>
      <c r="T106" s="217" t="str">
        <f t="shared" si="5"/>
        <v/>
      </c>
      <c r="V106" s="217" t="str">
        <f t="shared" si="6"/>
        <v/>
      </c>
    </row>
    <row r="107" spans="2:28" x14ac:dyDescent="0.15">
      <c r="Q107" s="217" t="str">
        <f t="shared" si="4"/>
        <v/>
      </c>
      <c r="T107" s="217" t="str">
        <f t="shared" si="5"/>
        <v/>
      </c>
      <c r="V107" s="217" t="str">
        <f t="shared" si="6"/>
        <v/>
      </c>
    </row>
    <row r="108" spans="2:28" x14ac:dyDescent="0.15">
      <c r="Q108" s="217" t="str">
        <f t="shared" si="4"/>
        <v/>
      </c>
      <c r="T108" s="217" t="str">
        <f t="shared" si="5"/>
        <v/>
      </c>
      <c r="V108" s="217" t="str">
        <f t="shared" si="6"/>
        <v/>
      </c>
    </row>
    <row r="109" spans="2:28" x14ac:dyDescent="0.15">
      <c r="Q109" s="217" t="str">
        <f t="shared" si="4"/>
        <v/>
      </c>
      <c r="T109" s="217" t="str">
        <f t="shared" si="5"/>
        <v/>
      </c>
      <c r="V109" s="217" t="str">
        <f t="shared" si="6"/>
        <v/>
      </c>
    </row>
    <row r="110" spans="2:28" x14ac:dyDescent="0.15">
      <c r="Q110" s="217" t="str">
        <f t="shared" si="4"/>
        <v/>
      </c>
      <c r="T110" s="217" t="str">
        <f t="shared" si="5"/>
        <v/>
      </c>
      <c r="V110" s="217" t="str">
        <f t="shared" si="6"/>
        <v/>
      </c>
    </row>
    <row r="111" spans="2:28" x14ac:dyDescent="0.15">
      <c r="Q111" s="217" t="str">
        <f t="shared" si="4"/>
        <v/>
      </c>
      <c r="T111" s="217" t="str">
        <f t="shared" si="5"/>
        <v/>
      </c>
      <c r="V111" s="217" t="str">
        <f t="shared" si="6"/>
        <v/>
      </c>
    </row>
    <row r="112" spans="2:28" x14ac:dyDescent="0.15">
      <c r="Q112" s="217" t="str">
        <f t="shared" si="4"/>
        <v/>
      </c>
      <c r="T112" s="217" t="str">
        <f t="shared" si="5"/>
        <v/>
      </c>
      <c r="V112" s="217" t="str">
        <f t="shared" si="6"/>
        <v/>
      </c>
    </row>
    <row r="113" spans="17:22" x14ac:dyDescent="0.15">
      <c r="Q113" s="217" t="str">
        <f t="shared" si="4"/>
        <v/>
      </c>
      <c r="T113" s="217" t="str">
        <f t="shared" si="5"/>
        <v/>
      </c>
      <c r="V113" s="217" t="str">
        <f t="shared" si="6"/>
        <v/>
      </c>
    </row>
    <row r="114" spans="17:22" x14ac:dyDescent="0.15">
      <c r="Q114" s="217" t="str">
        <f t="shared" si="4"/>
        <v/>
      </c>
      <c r="T114" s="217" t="str">
        <f t="shared" si="5"/>
        <v/>
      </c>
      <c r="V114" s="217" t="str">
        <f t="shared" si="6"/>
        <v/>
      </c>
    </row>
    <row r="115" spans="17:22" x14ac:dyDescent="0.15">
      <c r="Q115" s="217" t="str">
        <f t="shared" si="4"/>
        <v/>
      </c>
      <c r="T115" s="217" t="str">
        <f t="shared" si="5"/>
        <v/>
      </c>
      <c r="V115" s="217" t="str">
        <f t="shared" si="6"/>
        <v/>
      </c>
    </row>
    <row r="116" spans="17:22" x14ac:dyDescent="0.15">
      <c r="Q116" s="217" t="str">
        <f t="shared" si="4"/>
        <v/>
      </c>
      <c r="T116" s="217" t="str">
        <f t="shared" si="5"/>
        <v/>
      </c>
      <c r="V116" s="217" t="str">
        <f t="shared" si="6"/>
        <v/>
      </c>
    </row>
    <row r="117" spans="17:22" x14ac:dyDescent="0.15">
      <c r="Q117" s="217" t="str">
        <f t="shared" si="4"/>
        <v/>
      </c>
      <c r="T117" s="217" t="str">
        <f t="shared" si="5"/>
        <v/>
      </c>
      <c r="V117" s="217" t="str">
        <f t="shared" si="6"/>
        <v/>
      </c>
    </row>
    <row r="118" spans="17:22" x14ac:dyDescent="0.15">
      <c r="Q118" s="217" t="str">
        <f t="shared" si="4"/>
        <v/>
      </c>
      <c r="T118" s="217" t="str">
        <f t="shared" si="5"/>
        <v/>
      </c>
      <c r="V118" s="217" t="str">
        <f t="shared" si="6"/>
        <v/>
      </c>
    </row>
    <row r="119" spans="17:22" x14ac:dyDescent="0.15">
      <c r="Q119" s="217" t="str">
        <f t="shared" si="4"/>
        <v/>
      </c>
      <c r="T119" s="217" t="str">
        <f t="shared" si="5"/>
        <v/>
      </c>
      <c r="V119" s="217" t="str">
        <f t="shared" si="6"/>
        <v/>
      </c>
    </row>
    <row r="120" spans="17:22" x14ac:dyDescent="0.15">
      <c r="Q120" s="217" t="str">
        <f t="shared" si="4"/>
        <v/>
      </c>
      <c r="T120" s="217" t="str">
        <f t="shared" si="5"/>
        <v/>
      </c>
      <c r="V120" s="217" t="str">
        <f t="shared" si="6"/>
        <v/>
      </c>
    </row>
    <row r="121" spans="17:22" x14ac:dyDescent="0.15">
      <c r="Q121" s="217" t="str">
        <f t="shared" si="4"/>
        <v/>
      </c>
      <c r="T121" s="217" t="str">
        <f t="shared" si="5"/>
        <v/>
      </c>
      <c r="V121" s="217" t="str">
        <f t="shared" si="6"/>
        <v/>
      </c>
    </row>
    <row r="122" spans="17:22" x14ac:dyDescent="0.15">
      <c r="Q122" s="217" t="str">
        <f t="shared" si="4"/>
        <v/>
      </c>
      <c r="T122" s="217" t="str">
        <f t="shared" si="5"/>
        <v/>
      </c>
      <c r="V122" s="217" t="str">
        <f t="shared" si="6"/>
        <v/>
      </c>
    </row>
    <row r="123" spans="17:22" x14ac:dyDescent="0.15">
      <c r="Q123" s="217" t="str">
        <f t="shared" si="4"/>
        <v/>
      </c>
      <c r="T123" s="217" t="str">
        <f t="shared" si="5"/>
        <v/>
      </c>
      <c r="V123" s="217" t="str">
        <f t="shared" si="6"/>
        <v/>
      </c>
    </row>
    <row r="124" spans="17:22" x14ac:dyDescent="0.15">
      <c r="Q124" s="217" t="str">
        <f t="shared" si="4"/>
        <v/>
      </c>
      <c r="T124" s="217" t="str">
        <f t="shared" si="5"/>
        <v/>
      </c>
      <c r="V124" s="217" t="str">
        <f t="shared" si="6"/>
        <v/>
      </c>
    </row>
    <row r="125" spans="17:22" x14ac:dyDescent="0.15">
      <c r="Q125" s="217" t="str">
        <f t="shared" si="4"/>
        <v/>
      </c>
      <c r="T125" s="217" t="str">
        <f t="shared" si="5"/>
        <v/>
      </c>
      <c r="V125" s="217" t="str">
        <f t="shared" si="6"/>
        <v/>
      </c>
    </row>
    <row r="126" spans="17:22" x14ac:dyDescent="0.15">
      <c r="Q126" s="217" t="str">
        <f t="shared" si="4"/>
        <v/>
      </c>
      <c r="T126" s="217" t="str">
        <f t="shared" si="5"/>
        <v/>
      </c>
      <c r="V126" s="217" t="str">
        <f t="shared" si="6"/>
        <v/>
      </c>
    </row>
    <row r="127" spans="17:22" x14ac:dyDescent="0.15">
      <c r="Q127" s="217" t="str">
        <f t="shared" si="4"/>
        <v/>
      </c>
      <c r="T127" s="217" t="str">
        <f t="shared" si="5"/>
        <v/>
      </c>
      <c r="V127" s="217" t="str">
        <f t="shared" si="6"/>
        <v/>
      </c>
    </row>
    <row r="128" spans="17:22" x14ac:dyDescent="0.15">
      <c r="Q128" s="217" t="str">
        <f t="shared" si="4"/>
        <v/>
      </c>
      <c r="T128" s="217" t="str">
        <f t="shared" si="5"/>
        <v/>
      </c>
      <c r="V128" s="217" t="str">
        <f t="shared" si="6"/>
        <v/>
      </c>
    </row>
    <row r="129" spans="17:22" x14ac:dyDescent="0.15">
      <c r="Q129" s="217" t="str">
        <f t="shared" si="4"/>
        <v/>
      </c>
      <c r="T129" s="217" t="str">
        <f t="shared" si="5"/>
        <v/>
      </c>
      <c r="V129" s="217" t="str">
        <f t="shared" si="6"/>
        <v/>
      </c>
    </row>
    <row r="130" spans="17:22" x14ac:dyDescent="0.15">
      <c r="Q130" s="217" t="str">
        <f t="shared" si="4"/>
        <v/>
      </c>
      <c r="T130" s="217" t="str">
        <f t="shared" si="5"/>
        <v/>
      </c>
      <c r="V130" s="217" t="str">
        <f t="shared" si="6"/>
        <v/>
      </c>
    </row>
    <row r="131" spans="17:22" x14ac:dyDescent="0.15">
      <c r="Q131" s="217" t="str">
        <f t="shared" si="4"/>
        <v/>
      </c>
      <c r="T131" s="217" t="str">
        <f t="shared" si="5"/>
        <v/>
      </c>
      <c r="V131" s="217" t="str">
        <f t="shared" si="6"/>
        <v/>
      </c>
    </row>
    <row r="132" spans="17:22" x14ac:dyDescent="0.15">
      <c r="Q132" s="217" t="str">
        <f t="shared" si="4"/>
        <v/>
      </c>
      <c r="T132" s="217" t="str">
        <f t="shared" si="5"/>
        <v/>
      </c>
      <c r="V132" s="217" t="str">
        <f t="shared" si="6"/>
        <v/>
      </c>
    </row>
    <row r="133" spans="17:22" x14ac:dyDescent="0.15">
      <c r="Q133" s="217" t="str">
        <f t="shared" si="4"/>
        <v/>
      </c>
      <c r="T133" s="217" t="str">
        <f t="shared" si="5"/>
        <v/>
      </c>
      <c r="V133" s="217" t="str">
        <f t="shared" si="6"/>
        <v/>
      </c>
    </row>
    <row r="134" spans="17:22" x14ac:dyDescent="0.15">
      <c r="Q134" s="217" t="str">
        <f t="shared" si="4"/>
        <v/>
      </c>
      <c r="T134" s="217" t="str">
        <f t="shared" si="5"/>
        <v/>
      </c>
      <c r="V134" s="217" t="str">
        <f t="shared" si="6"/>
        <v/>
      </c>
    </row>
    <row r="135" spans="17:22" x14ac:dyDescent="0.15">
      <c r="Q135" s="217" t="str">
        <f t="shared" si="4"/>
        <v/>
      </c>
      <c r="T135" s="217" t="str">
        <f t="shared" si="5"/>
        <v/>
      </c>
      <c r="V135" s="217" t="str">
        <f t="shared" si="6"/>
        <v/>
      </c>
    </row>
    <row r="136" spans="17:22" x14ac:dyDescent="0.15">
      <c r="Q136" s="217" t="str">
        <f t="shared" si="4"/>
        <v/>
      </c>
      <c r="T136" s="217" t="str">
        <f t="shared" si="5"/>
        <v/>
      </c>
      <c r="V136" s="217" t="str">
        <f t="shared" si="6"/>
        <v/>
      </c>
    </row>
    <row r="137" spans="17:22" x14ac:dyDescent="0.15">
      <c r="Q137" s="217" t="str">
        <f t="shared" si="4"/>
        <v/>
      </c>
      <c r="T137" s="217" t="str">
        <f t="shared" si="5"/>
        <v/>
      </c>
      <c r="V137" s="217" t="str">
        <f t="shared" si="6"/>
        <v/>
      </c>
    </row>
    <row r="138" spans="17:22" x14ac:dyDescent="0.15">
      <c r="Q138" s="217" t="str">
        <f t="shared" si="4"/>
        <v/>
      </c>
      <c r="T138" s="217" t="str">
        <f t="shared" si="5"/>
        <v/>
      </c>
      <c r="V138" s="217" t="str">
        <f t="shared" si="6"/>
        <v/>
      </c>
    </row>
    <row r="139" spans="17:22" x14ac:dyDescent="0.15">
      <c r="Q139" s="217" t="str">
        <f t="shared" si="4"/>
        <v/>
      </c>
      <c r="T139" s="217" t="str">
        <f t="shared" si="5"/>
        <v/>
      </c>
      <c r="V139" s="217" t="str">
        <f t="shared" si="6"/>
        <v/>
      </c>
    </row>
    <row r="140" spans="17:22" x14ac:dyDescent="0.15">
      <c r="Q140" s="217" t="str">
        <f t="shared" si="4"/>
        <v/>
      </c>
      <c r="T140" s="217" t="str">
        <f t="shared" si="5"/>
        <v/>
      </c>
      <c r="V140" s="217" t="str">
        <f t="shared" si="6"/>
        <v/>
      </c>
    </row>
    <row r="141" spans="17:22" x14ac:dyDescent="0.15">
      <c r="Q141" s="217" t="str">
        <f t="shared" si="4"/>
        <v/>
      </c>
      <c r="T141" s="217" t="str">
        <f t="shared" si="5"/>
        <v/>
      </c>
      <c r="V141" s="217" t="str">
        <f t="shared" si="6"/>
        <v/>
      </c>
    </row>
    <row r="142" spans="17:22" x14ac:dyDescent="0.15">
      <c r="Q142" s="217" t="str">
        <f t="shared" si="4"/>
        <v/>
      </c>
      <c r="T142" s="217" t="str">
        <f t="shared" si="5"/>
        <v/>
      </c>
      <c r="V142" s="217" t="str">
        <f t="shared" si="6"/>
        <v/>
      </c>
    </row>
    <row r="143" spans="17:22" x14ac:dyDescent="0.15">
      <c r="Q143" s="217" t="str">
        <f t="shared" si="4"/>
        <v/>
      </c>
      <c r="T143" s="217" t="str">
        <f t="shared" si="5"/>
        <v/>
      </c>
      <c r="V143" s="217" t="str">
        <f t="shared" si="6"/>
        <v/>
      </c>
    </row>
    <row r="144" spans="17:22" x14ac:dyDescent="0.15">
      <c r="Q144" s="217" t="str">
        <f t="shared" si="4"/>
        <v/>
      </c>
      <c r="T144" s="217" t="str">
        <f t="shared" si="5"/>
        <v/>
      </c>
      <c r="V144" s="217" t="str">
        <f t="shared" si="6"/>
        <v/>
      </c>
    </row>
    <row r="145" spans="17:22" x14ac:dyDescent="0.15">
      <c r="Q145" s="217" t="str">
        <f t="shared" si="4"/>
        <v/>
      </c>
      <c r="T145" s="217" t="str">
        <f t="shared" si="5"/>
        <v/>
      </c>
      <c r="V145" s="217" t="str">
        <f t="shared" si="6"/>
        <v/>
      </c>
    </row>
    <row r="146" spans="17:22" x14ac:dyDescent="0.15">
      <c r="Q146" s="217" t="str">
        <f t="shared" si="4"/>
        <v/>
      </c>
      <c r="T146" s="217" t="str">
        <f t="shared" si="5"/>
        <v/>
      </c>
      <c r="V146" s="217" t="str">
        <f t="shared" si="6"/>
        <v/>
      </c>
    </row>
    <row r="147" spans="17:22" x14ac:dyDescent="0.15">
      <c r="Q147" s="217" t="str">
        <f t="shared" si="4"/>
        <v/>
      </c>
      <c r="T147" s="217" t="str">
        <f t="shared" si="5"/>
        <v/>
      </c>
      <c r="V147" s="217" t="str">
        <f t="shared" si="6"/>
        <v/>
      </c>
    </row>
    <row r="148" spans="17:22" x14ac:dyDescent="0.15">
      <c r="Q148" s="217" t="str">
        <f t="shared" si="4"/>
        <v/>
      </c>
      <c r="T148" s="217" t="str">
        <f t="shared" si="5"/>
        <v/>
      </c>
      <c r="V148" s="217" t="str">
        <f t="shared" si="6"/>
        <v/>
      </c>
    </row>
    <row r="149" spans="17:22" x14ac:dyDescent="0.15">
      <c r="Q149" s="217" t="str">
        <f t="shared" si="4"/>
        <v/>
      </c>
      <c r="T149" s="217" t="str">
        <f t="shared" si="5"/>
        <v/>
      </c>
      <c r="V149" s="217" t="str">
        <f t="shared" si="6"/>
        <v/>
      </c>
    </row>
    <row r="150" spans="17:22" x14ac:dyDescent="0.15">
      <c r="Q150" s="217" t="str">
        <f t="shared" si="4"/>
        <v/>
      </c>
      <c r="T150" s="217" t="str">
        <f t="shared" si="5"/>
        <v/>
      </c>
      <c r="V150" s="217" t="str">
        <f t="shared" si="6"/>
        <v/>
      </c>
    </row>
    <row r="151" spans="17:22" x14ac:dyDescent="0.15">
      <c r="Q151" s="217" t="str">
        <f t="shared" si="4"/>
        <v/>
      </c>
      <c r="T151" s="217" t="str">
        <f t="shared" si="5"/>
        <v/>
      </c>
      <c r="V151" s="217" t="str">
        <f t="shared" si="6"/>
        <v/>
      </c>
    </row>
    <row r="152" spans="17:22" x14ac:dyDescent="0.15">
      <c r="Q152" s="217" t="str">
        <f t="shared" si="4"/>
        <v/>
      </c>
      <c r="T152" s="217" t="str">
        <f t="shared" si="5"/>
        <v/>
      </c>
      <c r="V152" s="217" t="str">
        <f t="shared" si="6"/>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435:K492 ACY2:ACY61 AMU2:AMU61 AWQ2:AWQ61 BGM2:BGM61 BQI2:BQI61 CAE2:CAE61 CKA2:CKA61 CTW2:CTW61 DDS2:DDS61 DNO2:DNO61 DXK2:DXK61 EHG2:EHG61 ERC2:ERC61 FAY2:FAY61 FKU2:FKU61 FUQ2:FUQ61 GEM2:GEM61 GOI2:GOI61 GYE2:GYE61 HIA2:HIA61 HRW2:HRW61 IBS2:IBS61 ILO2:ILO61 IVK2:IVK61 JFG2:JFG61 JPC2:JPC61 JYY2:JYY61 KIU2:KIU61 KSQ2:KSQ61 LCM2:LCM61 LMI2:LMI61 LWE2:LWE61 MGA2:MGA61 MPW2:MPW61 MZS2:MZS61 NJO2:NJO61 NTK2:NTK61 ODG2:ODG61 ONC2:ONC61 OWY2:OWY61 PGU2:PGU61 PQQ2:PQQ61 QAM2:QAM61 QKI2:QKI61 QUE2:QUE61 REA2:REA61 RNW2:RNW61 RXS2:RXS61 SHO2:SHO61 SRK2:SRK61 TBG2:TBG61 TLC2:TLC61 TUY2:TUY61 UEU2:UEU61 UOQ2:UOQ61 UYM2:UYM61 VII2:VII61 VSE2:VSE61 WCA2:WCA61 WLW2:WLW61 WVS2:WVS61 JG2:JG61 K65530:K65595 WLW983034:WLW983099 WCA983034:WCA983099 VSE983034:VSE983099 VII983034:VII983099 UYM983034:UYM983099 UOQ983034:UOQ983099 UEU983034:UEU983099 TUY983034:TUY983099 TLC983034:TLC983099 TBG983034:TBG983099 SRK983034:SRK983099 SHO983034:SHO983099 RXS983034:RXS983099 RNW983034:RNW983099 REA983034:REA983099 QUE983034:QUE983099 QKI983034:QKI983099 QAM983034:QAM983099 PQQ983034:PQQ983099 PGU983034:PGU983099 OWY983034:OWY983099 ONC983034:ONC983099 ODG983034:ODG983099 NTK983034:NTK983099 NJO983034:NJO983099 MZS983034:MZS983099 MPW983034:MPW983099 MGA983034:MGA983099 LWE983034:LWE983099 LMI983034:LMI983099 LCM983034:LCM983099 KSQ983034:KSQ983099 KIU983034:KIU983099 JYY983034:JYY983099 JPC983034:JPC983099 JFG983034:JFG983099 IVK983034:IVK983099 ILO983034:ILO983099 IBS983034:IBS983099 HRW983034:HRW983099 HIA983034:HIA983099 GYE983034:GYE983099 GOI983034:GOI983099 GEM983034:GEM983099 FUQ983034:FUQ983099 FKU983034:FKU983099 FAY983034:FAY983099 ERC983034:ERC983099 EHG983034:EHG983099 DXK983034:DXK983099 DNO983034:DNO983099 DDS983034:DDS983099 CTW983034:CTW983099 CKA983034:CKA983099 CAE983034:CAE983099 BQI983034:BQI983099 BGM983034:BGM983099 AWQ983034:AWQ983099 AMU983034:AMU983099 ACY983034:ACY983099 TC983034:TC983099 JG983034:JG983099 K983034:K983099 WVS917498:WVS917563 WLW917498:WLW917563 WCA917498:WCA917563 VSE917498:VSE917563 VII917498:VII917563 UYM917498:UYM917563 UOQ917498:UOQ917563 UEU917498:UEU917563 TUY917498:TUY917563 TLC917498:TLC917563 TBG917498:TBG917563 SRK917498:SRK917563 SHO917498:SHO917563 RXS917498:RXS917563 RNW917498:RNW917563 REA917498:REA917563 QUE917498:QUE917563 QKI917498:QKI917563 QAM917498:QAM917563 PQQ917498:PQQ917563 PGU917498:PGU917563 OWY917498:OWY917563 ONC917498:ONC917563 ODG917498:ODG917563 NTK917498:NTK917563 NJO917498:NJO917563 MZS917498:MZS917563 MPW917498:MPW917563 MGA917498:MGA917563 LWE917498:LWE917563 LMI917498:LMI917563 LCM917498:LCM917563 KSQ917498:KSQ917563 KIU917498:KIU917563 JYY917498:JYY917563 JPC917498:JPC917563 JFG917498:JFG917563 IVK917498:IVK917563 ILO917498:ILO917563 IBS917498:IBS917563 HRW917498:HRW917563 HIA917498:HIA917563 GYE917498:GYE917563 GOI917498:GOI917563 GEM917498:GEM917563 FUQ917498:FUQ917563 FKU917498:FKU917563 FAY917498:FAY917563 ERC917498:ERC917563 EHG917498:EHG917563 DXK917498:DXK917563 DNO917498:DNO917563 DDS917498:DDS917563 CTW917498:CTW917563 CKA917498:CKA917563 CAE917498:CAE917563 BQI917498:BQI917563 BGM917498:BGM917563 AWQ917498:AWQ917563 AMU917498:AMU917563 ACY917498:ACY917563 TC917498:TC917563 JG917498:JG917563 K917498:K917563 WVS851962:WVS852027 WLW851962:WLW852027 WCA851962:WCA852027 VSE851962:VSE852027 VII851962:VII852027 UYM851962:UYM852027 UOQ851962:UOQ852027 UEU851962:UEU852027 TUY851962:TUY852027 TLC851962:TLC852027 TBG851962:TBG852027 SRK851962:SRK852027 SHO851962:SHO852027 RXS851962:RXS852027 RNW851962:RNW852027 REA851962:REA852027 QUE851962:QUE852027 QKI851962:QKI852027 QAM851962:QAM852027 PQQ851962:PQQ852027 PGU851962:PGU852027 OWY851962:OWY852027 ONC851962:ONC852027 ODG851962:ODG852027 NTK851962:NTK852027 NJO851962:NJO852027 MZS851962:MZS852027 MPW851962:MPW852027 MGA851962:MGA852027 LWE851962:LWE852027 LMI851962:LMI852027 LCM851962:LCM852027 KSQ851962:KSQ852027 KIU851962:KIU852027 JYY851962:JYY852027 JPC851962:JPC852027 JFG851962:JFG852027 IVK851962:IVK852027 ILO851962:ILO852027 IBS851962:IBS852027 HRW851962:HRW852027 HIA851962:HIA852027 GYE851962:GYE852027 GOI851962:GOI852027 GEM851962:GEM852027 FUQ851962:FUQ852027 FKU851962:FKU852027 FAY851962:FAY852027 ERC851962:ERC852027 EHG851962:EHG852027 DXK851962:DXK852027 DNO851962:DNO852027 DDS851962:DDS852027 CTW851962:CTW852027 CKA851962:CKA852027 CAE851962:CAE852027 BQI851962:BQI852027 BGM851962:BGM852027 AWQ851962:AWQ852027 AMU851962:AMU852027 ACY851962:ACY852027 TC851962:TC852027 JG851962:JG852027 K851962:K852027 WVS786426:WVS786491 WLW786426:WLW786491 WCA786426:WCA786491 VSE786426:VSE786491 VII786426:VII786491 UYM786426:UYM786491 UOQ786426:UOQ786491 UEU786426:UEU786491 TUY786426:TUY786491 TLC786426:TLC786491 TBG786426:TBG786491 SRK786426:SRK786491 SHO786426:SHO786491 RXS786426:RXS786491 RNW786426:RNW786491 REA786426:REA786491 QUE786426:QUE786491 QKI786426:QKI786491 QAM786426:QAM786491 PQQ786426:PQQ786491 PGU786426:PGU786491 OWY786426:OWY786491 ONC786426:ONC786491 ODG786426:ODG786491 NTK786426:NTK786491 NJO786426:NJO786491 MZS786426:MZS786491 MPW786426:MPW786491 MGA786426:MGA786491 LWE786426:LWE786491 LMI786426:LMI786491 LCM786426:LCM786491 KSQ786426:KSQ786491 KIU786426:KIU786491 JYY786426:JYY786491 JPC786426:JPC786491 JFG786426:JFG786491 IVK786426:IVK786491 ILO786426:ILO786491 IBS786426:IBS786491 HRW786426:HRW786491 HIA786426:HIA786491 GYE786426:GYE786491 GOI786426:GOI786491 GEM786426:GEM786491 FUQ786426:FUQ786491 FKU786426:FKU786491 FAY786426:FAY786491 ERC786426:ERC786491 EHG786426:EHG786491 DXK786426:DXK786491 DNO786426:DNO786491 DDS786426:DDS786491 CTW786426:CTW786491 CKA786426:CKA786491 CAE786426:CAE786491 BQI786426:BQI786491 BGM786426:BGM786491 AWQ786426:AWQ786491 AMU786426:AMU786491 ACY786426:ACY786491 TC786426:TC786491 JG786426:JG786491 K786426:K786491 WVS720890:WVS720955 WLW720890:WLW720955 WCA720890:WCA720955 VSE720890:VSE720955 VII720890:VII720955 UYM720890:UYM720955 UOQ720890:UOQ720955 UEU720890:UEU720955 TUY720890:TUY720955 TLC720890:TLC720955 TBG720890:TBG720955 SRK720890:SRK720955 SHO720890:SHO720955 RXS720890:RXS720955 RNW720890:RNW720955 REA720890:REA720955 QUE720890:QUE720955 QKI720890:QKI720955 QAM720890:QAM720955 PQQ720890:PQQ720955 PGU720890:PGU720955 OWY720890:OWY720955 ONC720890:ONC720955 ODG720890:ODG720955 NTK720890:NTK720955 NJO720890:NJO720955 MZS720890:MZS720955 MPW720890:MPW720955 MGA720890:MGA720955 LWE720890:LWE720955 LMI720890:LMI720955 LCM720890:LCM720955 KSQ720890:KSQ720955 KIU720890:KIU720955 JYY720890:JYY720955 JPC720890:JPC720955 JFG720890:JFG720955 IVK720890:IVK720955 ILO720890:ILO720955 IBS720890:IBS720955 HRW720890:HRW720955 HIA720890:HIA720955 GYE720890:GYE720955 GOI720890:GOI720955 GEM720890:GEM720955 FUQ720890:FUQ720955 FKU720890:FKU720955 FAY720890:FAY720955 ERC720890:ERC720955 EHG720890:EHG720955 DXK720890:DXK720955 DNO720890:DNO720955 DDS720890:DDS720955 CTW720890:CTW720955 CKA720890:CKA720955 CAE720890:CAE720955 BQI720890:BQI720955 BGM720890:BGM720955 AWQ720890:AWQ720955 AMU720890:AMU720955 ACY720890:ACY720955 TC720890:TC720955 JG720890:JG720955 K720890:K720955 WVS655354:WVS655419 WLW655354:WLW655419 WCA655354:WCA655419 VSE655354:VSE655419 VII655354:VII655419 UYM655354:UYM655419 UOQ655354:UOQ655419 UEU655354:UEU655419 TUY655354:TUY655419 TLC655354:TLC655419 TBG655354:TBG655419 SRK655354:SRK655419 SHO655354:SHO655419 RXS655354:RXS655419 RNW655354:RNW655419 REA655354:REA655419 QUE655354:QUE655419 QKI655354:QKI655419 QAM655354:QAM655419 PQQ655354:PQQ655419 PGU655354:PGU655419 OWY655354:OWY655419 ONC655354:ONC655419 ODG655354:ODG655419 NTK655354:NTK655419 NJO655354:NJO655419 MZS655354:MZS655419 MPW655354:MPW655419 MGA655354:MGA655419 LWE655354:LWE655419 LMI655354:LMI655419 LCM655354:LCM655419 KSQ655354:KSQ655419 KIU655354:KIU655419 JYY655354:JYY655419 JPC655354:JPC655419 JFG655354:JFG655419 IVK655354:IVK655419 ILO655354:ILO655419 IBS655354:IBS655419 HRW655354:HRW655419 HIA655354:HIA655419 GYE655354:GYE655419 GOI655354:GOI655419 GEM655354:GEM655419 FUQ655354:FUQ655419 FKU655354:FKU655419 FAY655354:FAY655419 ERC655354:ERC655419 EHG655354:EHG655419 DXK655354:DXK655419 DNO655354:DNO655419 DDS655354:DDS655419 CTW655354:CTW655419 CKA655354:CKA655419 CAE655354:CAE655419 BQI655354:BQI655419 BGM655354:BGM655419 AWQ655354:AWQ655419 AMU655354:AMU655419 ACY655354:ACY655419 TC655354:TC655419 JG655354:JG655419 K655354:K655419 WVS589818:WVS589883 WLW589818:WLW589883 WCA589818:WCA589883 VSE589818:VSE589883 VII589818:VII589883 UYM589818:UYM589883 UOQ589818:UOQ589883 UEU589818:UEU589883 TUY589818:TUY589883 TLC589818:TLC589883 TBG589818:TBG589883 SRK589818:SRK589883 SHO589818:SHO589883 RXS589818:RXS589883 RNW589818:RNW589883 REA589818:REA589883 QUE589818:QUE589883 QKI589818:QKI589883 QAM589818:QAM589883 PQQ589818:PQQ589883 PGU589818:PGU589883 OWY589818:OWY589883 ONC589818:ONC589883 ODG589818:ODG589883 NTK589818:NTK589883 NJO589818:NJO589883 MZS589818:MZS589883 MPW589818:MPW589883 MGA589818:MGA589883 LWE589818:LWE589883 LMI589818:LMI589883 LCM589818:LCM589883 KSQ589818:KSQ589883 KIU589818:KIU589883 JYY589818:JYY589883 JPC589818:JPC589883 JFG589818:JFG589883 IVK589818:IVK589883 ILO589818:ILO589883 IBS589818:IBS589883 HRW589818:HRW589883 HIA589818:HIA589883 GYE589818:GYE589883 GOI589818:GOI589883 GEM589818:GEM589883 FUQ589818:FUQ589883 FKU589818:FKU589883 FAY589818:FAY589883 ERC589818:ERC589883 EHG589818:EHG589883 DXK589818:DXK589883 DNO589818:DNO589883 DDS589818:DDS589883 CTW589818:CTW589883 CKA589818:CKA589883 CAE589818:CAE589883 BQI589818:BQI589883 BGM589818:BGM589883 AWQ589818:AWQ589883 AMU589818:AMU589883 ACY589818:ACY589883 TC589818:TC589883 JG589818:JG589883 K589818:K589883 WVS524282:WVS524347 WLW524282:WLW524347 WCA524282:WCA524347 VSE524282:VSE524347 VII524282:VII524347 UYM524282:UYM524347 UOQ524282:UOQ524347 UEU524282:UEU524347 TUY524282:TUY524347 TLC524282:TLC524347 TBG524282:TBG524347 SRK524282:SRK524347 SHO524282:SHO524347 RXS524282:RXS524347 RNW524282:RNW524347 REA524282:REA524347 QUE524282:QUE524347 QKI524282:QKI524347 QAM524282:QAM524347 PQQ524282:PQQ524347 PGU524282:PGU524347 OWY524282:OWY524347 ONC524282:ONC524347 ODG524282:ODG524347 NTK524282:NTK524347 NJO524282:NJO524347 MZS524282:MZS524347 MPW524282:MPW524347 MGA524282:MGA524347 LWE524282:LWE524347 LMI524282:LMI524347 LCM524282:LCM524347 KSQ524282:KSQ524347 KIU524282:KIU524347 JYY524282:JYY524347 JPC524282:JPC524347 JFG524282:JFG524347 IVK524282:IVK524347 ILO524282:ILO524347 IBS524282:IBS524347 HRW524282:HRW524347 HIA524282:HIA524347 GYE524282:GYE524347 GOI524282:GOI524347 GEM524282:GEM524347 FUQ524282:FUQ524347 FKU524282:FKU524347 FAY524282:FAY524347 ERC524282:ERC524347 EHG524282:EHG524347 DXK524282:DXK524347 DNO524282:DNO524347 DDS524282:DDS524347 CTW524282:CTW524347 CKA524282:CKA524347 CAE524282:CAE524347 BQI524282:BQI524347 BGM524282:BGM524347 AWQ524282:AWQ524347 AMU524282:AMU524347 ACY524282:ACY524347 TC524282:TC524347 JG524282:JG524347 K524282:K524347 WVS458746:WVS458811 WLW458746:WLW458811 WCA458746:WCA458811 VSE458746:VSE458811 VII458746:VII458811 UYM458746:UYM458811 UOQ458746:UOQ458811 UEU458746:UEU458811 TUY458746:TUY458811 TLC458746:TLC458811 TBG458746:TBG458811 SRK458746:SRK458811 SHO458746:SHO458811 RXS458746:RXS458811 RNW458746:RNW458811 REA458746:REA458811 QUE458746:QUE458811 QKI458746:QKI458811 QAM458746:QAM458811 PQQ458746:PQQ458811 PGU458746:PGU458811 OWY458746:OWY458811 ONC458746:ONC458811 ODG458746:ODG458811 NTK458746:NTK458811 NJO458746:NJO458811 MZS458746:MZS458811 MPW458746:MPW458811 MGA458746:MGA458811 LWE458746:LWE458811 LMI458746:LMI458811 LCM458746:LCM458811 KSQ458746:KSQ458811 KIU458746:KIU458811 JYY458746:JYY458811 JPC458746:JPC458811 JFG458746:JFG458811 IVK458746:IVK458811 ILO458746:ILO458811 IBS458746:IBS458811 HRW458746:HRW458811 HIA458746:HIA458811 GYE458746:GYE458811 GOI458746:GOI458811 GEM458746:GEM458811 FUQ458746:FUQ458811 FKU458746:FKU458811 FAY458746:FAY458811 ERC458746:ERC458811 EHG458746:EHG458811 DXK458746:DXK458811 DNO458746:DNO458811 DDS458746:DDS458811 CTW458746:CTW458811 CKA458746:CKA458811 CAE458746:CAE458811 BQI458746:BQI458811 BGM458746:BGM458811 AWQ458746:AWQ458811 AMU458746:AMU458811 ACY458746:ACY458811 TC458746:TC458811 JG458746:JG458811 K458746:K458811 WVS393210:WVS393275 WLW393210:WLW393275 WCA393210:WCA393275 VSE393210:VSE393275 VII393210:VII393275 UYM393210:UYM393275 UOQ393210:UOQ393275 UEU393210:UEU393275 TUY393210:TUY393275 TLC393210:TLC393275 TBG393210:TBG393275 SRK393210:SRK393275 SHO393210:SHO393275 RXS393210:RXS393275 RNW393210:RNW393275 REA393210:REA393275 QUE393210:QUE393275 QKI393210:QKI393275 QAM393210:QAM393275 PQQ393210:PQQ393275 PGU393210:PGU393275 OWY393210:OWY393275 ONC393210:ONC393275 ODG393210:ODG393275 NTK393210:NTK393275 NJO393210:NJO393275 MZS393210:MZS393275 MPW393210:MPW393275 MGA393210:MGA393275 LWE393210:LWE393275 LMI393210:LMI393275 LCM393210:LCM393275 KSQ393210:KSQ393275 KIU393210:KIU393275 JYY393210:JYY393275 JPC393210:JPC393275 JFG393210:JFG393275 IVK393210:IVK393275 ILO393210:ILO393275 IBS393210:IBS393275 HRW393210:HRW393275 HIA393210:HIA393275 GYE393210:GYE393275 GOI393210:GOI393275 GEM393210:GEM393275 FUQ393210:FUQ393275 FKU393210:FKU393275 FAY393210:FAY393275 ERC393210:ERC393275 EHG393210:EHG393275 DXK393210:DXK393275 DNO393210:DNO393275 DDS393210:DDS393275 CTW393210:CTW393275 CKA393210:CKA393275 CAE393210:CAE393275 BQI393210:BQI393275 BGM393210:BGM393275 AWQ393210:AWQ393275 AMU393210:AMU393275 ACY393210:ACY393275 TC393210:TC393275 JG393210:JG393275 K393210:K393275 WVS327674:WVS327739 WLW327674:WLW327739 WCA327674:WCA327739 VSE327674:VSE327739 VII327674:VII327739 UYM327674:UYM327739 UOQ327674:UOQ327739 UEU327674:UEU327739 TUY327674:TUY327739 TLC327674:TLC327739 TBG327674:TBG327739 SRK327674:SRK327739 SHO327674:SHO327739 RXS327674:RXS327739 RNW327674:RNW327739 REA327674:REA327739 QUE327674:QUE327739 QKI327674:QKI327739 QAM327674:QAM327739 PQQ327674:PQQ327739 PGU327674:PGU327739 OWY327674:OWY327739 ONC327674:ONC327739 ODG327674:ODG327739 NTK327674:NTK327739 NJO327674:NJO327739 MZS327674:MZS327739 MPW327674:MPW327739 MGA327674:MGA327739 LWE327674:LWE327739 LMI327674:LMI327739 LCM327674:LCM327739 KSQ327674:KSQ327739 KIU327674:KIU327739 JYY327674:JYY327739 JPC327674:JPC327739 JFG327674:JFG327739 IVK327674:IVK327739 ILO327674:ILO327739 IBS327674:IBS327739 HRW327674:HRW327739 HIA327674:HIA327739 GYE327674:GYE327739 GOI327674:GOI327739 GEM327674:GEM327739 FUQ327674:FUQ327739 FKU327674:FKU327739 FAY327674:FAY327739 ERC327674:ERC327739 EHG327674:EHG327739 DXK327674:DXK327739 DNO327674:DNO327739 DDS327674:DDS327739 CTW327674:CTW327739 CKA327674:CKA327739 CAE327674:CAE327739 BQI327674:BQI327739 BGM327674:BGM327739 AWQ327674:AWQ327739 AMU327674:AMU327739 ACY327674:ACY327739 TC327674:TC327739 JG327674:JG327739 K327674:K327739 WVS262138:WVS262203 WLW262138:WLW262203 WCA262138:WCA262203 VSE262138:VSE262203 VII262138:VII262203 UYM262138:UYM262203 UOQ262138:UOQ262203 UEU262138:UEU262203 TUY262138:TUY262203 TLC262138:TLC262203 TBG262138:TBG262203 SRK262138:SRK262203 SHO262138:SHO262203 RXS262138:RXS262203 RNW262138:RNW262203 REA262138:REA262203 QUE262138:QUE262203 QKI262138:QKI262203 QAM262138:QAM262203 PQQ262138:PQQ262203 PGU262138:PGU262203 OWY262138:OWY262203 ONC262138:ONC262203 ODG262138:ODG262203 NTK262138:NTK262203 NJO262138:NJO262203 MZS262138:MZS262203 MPW262138:MPW262203 MGA262138:MGA262203 LWE262138:LWE262203 LMI262138:LMI262203 LCM262138:LCM262203 KSQ262138:KSQ262203 KIU262138:KIU262203 JYY262138:JYY262203 JPC262138:JPC262203 JFG262138:JFG262203 IVK262138:IVK262203 ILO262138:ILO262203 IBS262138:IBS262203 HRW262138:HRW262203 HIA262138:HIA262203 GYE262138:GYE262203 GOI262138:GOI262203 GEM262138:GEM262203 FUQ262138:FUQ262203 FKU262138:FKU262203 FAY262138:FAY262203 ERC262138:ERC262203 EHG262138:EHG262203 DXK262138:DXK262203 DNO262138:DNO262203 DDS262138:DDS262203 CTW262138:CTW262203 CKA262138:CKA262203 CAE262138:CAE262203 BQI262138:BQI262203 BGM262138:BGM262203 AWQ262138:AWQ262203 AMU262138:AMU262203 ACY262138:ACY262203 TC262138:TC262203 JG262138:JG262203 K262138:K262203 WVS196602:WVS196667 WLW196602:WLW196667 WCA196602:WCA196667 VSE196602:VSE196667 VII196602:VII196667 UYM196602:UYM196667 UOQ196602:UOQ196667 UEU196602:UEU196667 TUY196602:TUY196667 TLC196602:TLC196667 TBG196602:TBG196667 SRK196602:SRK196667 SHO196602:SHO196667 RXS196602:RXS196667 RNW196602:RNW196667 REA196602:REA196667 QUE196602:QUE196667 QKI196602:QKI196667 QAM196602:QAM196667 PQQ196602:PQQ196667 PGU196602:PGU196667 OWY196602:OWY196667 ONC196602:ONC196667 ODG196602:ODG196667 NTK196602:NTK196667 NJO196602:NJO196667 MZS196602:MZS196667 MPW196602:MPW196667 MGA196602:MGA196667 LWE196602:LWE196667 LMI196602:LMI196667 LCM196602:LCM196667 KSQ196602:KSQ196667 KIU196602:KIU196667 JYY196602:JYY196667 JPC196602:JPC196667 JFG196602:JFG196667 IVK196602:IVK196667 ILO196602:ILO196667 IBS196602:IBS196667 HRW196602:HRW196667 HIA196602:HIA196667 GYE196602:GYE196667 GOI196602:GOI196667 GEM196602:GEM196667 FUQ196602:FUQ196667 FKU196602:FKU196667 FAY196602:FAY196667 ERC196602:ERC196667 EHG196602:EHG196667 DXK196602:DXK196667 DNO196602:DNO196667 DDS196602:DDS196667 CTW196602:CTW196667 CKA196602:CKA196667 CAE196602:CAE196667 BQI196602:BQI196667 BGM196602:BGM196667 AWQ196602:AWQ196667 AMU196602:AMU196667 ACY196602:ACY196667 TC196602:TC196667 JG196602:JG196667 K196602:K196667 WVS131066:WVS131131 WLW131066:WLW131131 WCA131066:WCA131131 VSE131066:VSE131131 VII131066:VII131131 UYM131066:UYM131131 UOQ131066:UOQ131131 UEU131066:UEU131131 TUY131066:TUY131131 TLC131066:TLC131131 TBG131066:TBG131131 SRK131066:SRK131131 SHO131066:SHO131131 RXS131066:RXS131131 RNW131066:RNW131131 REA131066:REA131131 QUE131066:QUE131131 QKI131066:QKI131131 QAM131066:QAM131131 PQQ131066:PQQ131131 PGU131066:PGU131131 OWY131066:OWY131131 ONC131066:ONC131131 ODG131066:ODG131131 NTK131066:NTK131131 NJO131066:NJO131131 MZS131066:MZS131131 MPW131066:MPW131131 MGA131066:MGA131131 LWE131066:LWE131131 LMI131066:LMI131131 LCM131066:LCM131131 KSQ131066:KSQ131131 KIU131066:KIU131131 JYY131066:JYY131131 JPC131066:JPC131131 JFG131066:JFG131131 IVK131066:IVK131131 ILO131066:ILO131131 IBS131066:IBS131131 HRW131066:HRW131131 HIA131066:HIA131131 GYE131066:GYE131131 GOI131066:GOI131131 GEM131066:GEM131131 FUQ131066:FUQ131131 FKU131066:FKU131131 FAY131066:FAY131131 ERC131066:ERC131131 EHG131066:EHG131131 DXK131066:DXK131131 DNO131066:DNO131131 DDS131066:DDS131131 CTW131066:CTW131131 CKA131066:CKA131131 CAE131066:CAE131131 BQI131066:BQI131131 BGM131066:BGM131131 AWQ131066:AWQ131131 AMU131066:AMU131131 ACY131066:ACY131131 TC131066:TC131131 JG131066:JG131131 K131066:K131131 WVS65530:WVS65595 WLW65530:WLW65595 WCA65530:WCA65595 VSE65530:VSE65595 VII65530:VII65595 UYM65530:UYM65595 UOQ65530:UOQ65595 UEU65530:UEU65595 TUY65530:TUY65595 TLC65530:TLC65595 TBG65530:TBG65595 SRK65530:SRK65595 SHO65530:SHO65595 RXS65530:RXS65595 RNW65530:RNW65595 REA65530:REA65595 QUE65530:QUE65595 QKI65530:QKI65595 QAM65530:QAM65595 PQQ65530:PQQ65595 PGU65530:PGU65595 OWY65530:OWY65595 ONC65530:ONC65595 ODG65530:ODG65595 NTK65530:NTK65595 NJO65530:NJO65595 MZS65530:MZS65595 MPW65530:MPW65595 MGA65530:MGA65595 LWE65530:LWE65595 LMI65530:LMI65595 LCM65530:LCM65595 KSQ65530:KSQ65595 KIU65530:KIU65595 JYY65530:JYY65595 JPC65530:JPC65595 JFG65530:JFG65595 IVK65530:IVK65595 ILO65530:ILO65595 IBS65530:IBS65595 HRW65530:HRW65595 HIA65530:HIA65595 GYE65530:GYE65595 GOI65530:GOI65595 GEM65530:GEM65595 FUQ65530:FUQ65595 FKU65530:FKU65595 FAY65530:FAY65595 ERC65530:ERC65595 EHG65530:EHG65595 DXK65530:DXK65595 DNO65530:DNO65595 DDS65530:DDS65595 CTW65530:CTW65595 CKA65530:CKA65595 CAE65530:CAE65595 BQI65530:BQI65595 BGM65530:BGM65595 AWQ65530:AWQ65595 AMU65530:AMU65595 ACY65530:ACY65595 TC65530:TC65595 JG65530:JG65595 TC2:TC61">
      <formula1>$AR$2:$AR$25</formula1>
    </dataValidation>
    <dataValidation type="list" allowBlank="1" showInputMessage="1" showErrorMessage="1" sqref="WVR983034:WVR983099 J65530:J65595 TB2:TB61 ACX2:ACX61 AMT2:AMT61 AWP2:AWP61 BGL2:BGL61 BQH2:BQH61 CAD2:CAD61 CJZ2:CJZ61 CTV2:CTV61 DDR2:DDR61 DNN2:DNN61 DXJ2:DXJ61 EHF2:EHF61 ERB2:ERB61 FAX2:FAX61 FKT2:FKT61 FUP2:FUP61 GEL2:GEL61 GOH2:GOH61 GYD2:GYD61 HHZ2:HHZ61 HRV2:HRV61 IBR2:IBR61 ILN2:ILN61 IVJ2:IVJ61 JFF2:JFF61 JPB2:JPB61 JYX2:JYX61 KIT2:KIT61 KSP2:KSP61 LCL2:LCL61 LMH2:LMH61 LWD2:LWD61 MFZ2:MFZ61 MPV2:MPV61 MZR2:MZR61 NJN2:NJN61 NTJ2:NTJ61 ODF2:ODF61 ONB2:ONB61 OWX2:OWX61 PGT2:PGT61 PQP2:PQP61 QAL2:QAL61 QKH2:QKH61 QUD2:QUD61 RDZ2:RDZ61 RNV2:RNV61 RXR2:RXR61 SHN2:SHN61 SRJ2:SRJ61 TBF2:TBF61 TLB2:TLB61 TUX2:TUX61 UET2:UET61 UOP2:UOP61 UYL2:UYL61 VIH2:VIH61 VSD2:VSD61 WBZ2:WBZ61 WLV2:WLV61 WVR2:WVR61 WLV983034:WLV983099 WBZ983034:WBZ983099 VSD983034:VSD983099 VIH983034:VIH983099 UYL983034:UYL983099 UOP983034:UOP983099 UET983034:UET983099 TUX983034:TUX983099 TLB983034:TLB983099 TBF983034:TBF983099 SRJ983034:SRJ983099 SHN983034:SHN983099 RXR983034:RXR983099 RNV983034:RNV983099 RDZ983034:RDZ983099 QUD983034:QUD983099 QKH983034:QKH983099 QAL983034:QAL983099 PQP983034:PQP983099 PGT983034:PGT983099 OWX983034:OWX983099 ONB983034:ONB983099 ODF983034:ODF983099 NTJ983034:NTJ983099 NJN983034:NJN983099 MZR983034:MZR983099 MPV983034:MPV983099 MFZ983034:MFZ983099 LWD983034:LWD983099 LMH983034:LMH983099 LCL983034:LCL983099 KSP983034:KSP983099 KIT983034:KIT983099 JYX983034:JYX983099 JPB983034:JPB983099 JFF983034:JFF983099 IVJ983034:IVJ983099 ILN983034:ILN983099 IBR983034:IBR983099 HRV983034:HRV983099 HHZ983034:HHZ983099 GYD983034:GYD983099 GOH983034:GOH983099 GEL983034:GEL983099 FUP983034:FUP983099 FKT983034:FKT983099 FAX983034:FAX983099 ERB983034:ERB983099 EHF983034:EHF983099 DXJ983034:DXJ983099 DNN983034:DNN983099 DDR983034:DDR983099 CTV983034:CTV983099 CJZ983034:CJZ983099 CAD983034:CAD983099 BQH983034:BQH983099 BGL983034:BGL983099 AWP983034:AWP983099 AMT983034:AMT983099 ACX983034:ACX983099 TB983034:TB983099 JF983034:JF983099 J983034:J983099 WVR917498:WVR917563 WLV917498:WLV917563 WBZ917498:WBZ917563 VSD917498:VSD917563 VIH917498:VIH917563 UYL917498:UYL917563 UOP917498:UOP917563 UET917498:UET917563 TUX917498:TUX917563 TLB917498:TLB917563 TBF917498:TBF917563 SRJ917498:SRJ917563 SHN917498:SHN917563 RXR917498:RXR917563 RNV917498:RNV917563 RDZ917498:RDZ917563 QUD917498:QUD917563 QKH917498:QKH917563 QAL917498:QAL917563 PQP917498:PQP917563 PGT917498:PGT917563 OWX917498:OWX917563 ONB917498:ONB917563 ODF917498:ODF917563 NTJ917498:NTJ917563 NJN917498:NJN917563 MZR917498:MZR917563 MPV917498:MPV917563 MFZ917498:MFZ917563 LWD917498:LWD917563 LMH917498:LMH917563 LCL917498:LCL917563 KSP917498:KSP917563 KIT917498:KIT917563 JYX917498:JYX917563 JPB917498:JPB917563 JFF917498:JFF917563 IVJ917498:IVJ917563 ILN917498:ILN917563 IBR917498:IBR917563 HRV917498:HRV917563 HHZ917498:HHZ917563 GYD917498:GYD917563 GOH917498:GOH917563 GEL917498:GEL917563 FUP917498:FUP917563 FKT917498:FKT917563 FAX917498:FAX917563 ERB917498:ERB917563 EHF917498:EHF917563 DXJ917498:DXJ917563 DNN917498:DNN917563 DDR917498:DDR917563 CTV917498:CTV917563 CJZ917498:CJZ917563 CAD917498:CAD917563 BQH917498:BQH917563 BGL917498:BGL917563 AWP917498:AWP917563 AMT917498:AMT917563 ACX917498:ACX917563 TB917498:TB917563 JF917498:JF917563 J917498:J917563 WVR851962:WVR852027 WLV851962:WLV852027 WBZ851962:WBZ852027 VSD851962:VSD852027 VIH851962:VIH852027 UYL851962:UYL852027 UOP851962:UOP852027 UET851962:UET852027 TUX851962:TUX852027 TLB851962:TLB852027 TBF851962:TBF852027 SRJ851962:SRJ852027 SHN851962:SHN852027 RXR851962:RXR852027 RNV851962:RNV852027 RDZ851962:RDZ852027 QUD851962:QUD852027 QKH851962:QKH852027 QAL851962:QAL852027 PQP851962:PQP852027 PGT851962:PGT852027 OWX851962:OWX852027 ONB851962:ONB852027 ODF851962:ODF852027 NTJ851962:NTJ852027 NJN851962:NJN852027 MZR851962:MZR852027 MPV851962:MPV852027 MFZ851962:MFZ852027 LWD851962:LWD852027 LMH851962:LMH852027 LCL851962:LCL852027 KSP851962:KSP852027 KIT851962:KIT852027 JYX851962:JYX852027 JPB851962:JPB852027 JFF851962:JFF852027 IVJ851962:IVJ852027 ILN851962:ILN852027 IBR851962:IBR852027 HRV851962:HRV852027 HHZ851962:HHZ852027 GYD851962:GYD852027 GOH851962:GOH852027 GEL851962:GEL852027 FUP851962:FUP852027 FKT851962:FKT852027 FAX851962:FAX852027 ERB851962:ERB852027 EHF851962:EHF852027 DXJ851962:DXJ852027 DNN851962:DNN852027 DDR851962:DDR852027 CTV851962:CTV852027 CJZ851962:CJZ852027 CAD851962:CAD852027 BQH851962:BQH852027 BGL851962:BGL852027 AWP851962:AWP852027 AMT851962:AMT852027 ACX851962:ACX852027 TB851962:TB852027 JF851962:JF852027 J851962:J852027 WVR786426:WVR786491 WLV786426:WLV786491 WBZ786426:WBZ786491 VSD786426:VSD786491 VIH786426:VIH786491 UYL786426:UYL786491 UOP786426:UOP786491 UET786426:UET786491 TUX786426:TUX786491 TLB786426:TLB786491 TBF786426:TBF786491 SRJ786426:SRJ786491 SHN786426:SHN786491 RXR786426:RXR786491 RNV786426:RNV786491 RDZ786426:RDZ786491 QUD786426:QUD786491 QKH786426:QKH786491 QAL786426:QAL786491 PQP786426:PQP786491 PGT786426:PGT786491 OWX786426:OWX786491 ONB786426:ONB786491 ODF786426:ODF786491 NTJ786426:NTJ786491 NJN786426:NJN786491 MZR786426:MZR786491 MPV786426:MPV786491 MFZ786426:MFZ786491 LWD786426:LWD786491 LMH786426:LMH786491 LCL786426:LCL786491 KSP786426:KSP786491 KIT786426:KIT786491 JYX786426:JYX786491 JPB786426:JPB786491 JFF786426:JFF786491 IVJ786426:IVJ786491 ILN786426:ILN786491 IBR786426:IBR786491 HRV786426:HRV786491 HHZ786426:HHZ786491 GYD786426:GYD786491 GOH786426:GOH786491 GEL786426:GEL786491 FUP786426:FUP786491 FKT786426:FKT786491 FAX786426:FAX786491 ERB786426:ERB786491 EHF786426:EHF786491 DXJ786426:DXJ786491 DNN786426:DNN786491 DDR786426:DDR786491 CTV786426:CTV786491 CJZ786426:CJZ786491 CAD786426:CAD786491 BQH786426:BQH786491 BGL786426:BGL786491 AWP786426:AWP786491 AMT786426:AMT786491 ACX786426:ACX786491 TB786426:TB786491 JF786426:JF786491 J786426:J786491 WVR720890:WVR720955 WLV720890:WLV720955 WBZ720890:WBZ720955 VSD720890:VSD720955 VIH720890:VIH720955 UYL720890:UYL720955 UOP720890:UOP720955 UET720890:UET720955 TUX720890:TUX720955 TLB720890:TLB720955 TBF720890:TBF720955 SRJ720890:SRJ720955 SHN720890:SHN720955 RXR720890:RXR720955 RNV720890:RNV720955 RDZ720890:RDZ720955 QUD720890:QUD720955 QKH720890:QKH720955 QAL720890:QAL720955 PQP720890:PQP720955 PGT720890:PGT720955 OWX720890:OWX720955 ONB720890:ONB720955 ODF720890:ODF720955 NTJ720890:NTJ720955 NJN720890:NJN720955 MZR720890:MZR720955 MPV720890:MPV720955 MFZ720890:MFZ720955 LWD720890:LWD720955 LMH720890:LMH720955 LCL720890:LCL720955 KSP720890:KSP720955 KIT720890:KIT720955 JYX720890:JYX720955 JPB720890:JPB720955 JFF720890:JFF720955 IVJ720890:IVJ720955 ILN720890:ILN720955 IBR720890:IBR720955 HRV720890:HRV720955 HHZ720890:HHZ720955 GYD720890:GYD720955 GOH720890:GOH720955 GEL720890:GEL720955 FUP720890:FUP720955 FKT720890:FKT720955 FAX720890:FAX720955 ERB720890:ERB720955 EHF720890:EHF720955 DXJ720890:DXJ720955 DNN720890:DNN720955 DDR720890:DDR720955 CTV720890:CTV720955 CJZ720890:CJZ720955 CAD720890:CAD720955 BQH720890:BQH720955 BGL720890:BGL720955 AWP720890:AWP720955 AMT720890:AMT720955 ACX720890:ACX720955 TB720890:TB720955 JF720890:JF720955 J720890:J720955 WVR655354:WVR655419 WLV655354:WLV655419 WBZ655354:WBZ655419 VSD655354:VSD655419 VIH655354:VIH655419 UYL655354:UYL655419 UOP655354:UOP655419 UET655354:UET655419 TUX655354:TUX655419 TLB655354:TLB655419 TBF655354:TBF655419 SRJ655354:SRJ655419 SHN655354:SHN655419 RXR655354:RXR655419 RNV655354:RNV655419 RDZ655354:RDZ655419 QUD655354:QUD655419 QKH655354:QKH655419 QAL655354:QAL655419 PQP655354:PQP655419 PGT655354:PGT655419 OWX655354:OWX655419 ONB655354:ONB655419 ODF655354:ODF655419 NTJ655354:NTJ655419 NJN655354:NJN655419 MZR655354:MZR655419 MPV655354:MPV655419 MFZ655354:MFZ655419 LWD655354:LWD655419 LMH655354:LMH655419 LCL655354:LCL655419 KSP655354:KSP655419 KIT655354:KIT655419 JYX655354:JYX655419 JPB655354:JPB655419 JFF655354:JFF655419 IVJ655354:IVJ655419 ILN655354:ILN655419 IBR655354:IBR655419 HRV655354:HRV655419 HHZ655354:HHZ655419 GYD655354:GYD655419 GOH655354:GOH655419 GEL655354:GEL655419 FUP655354:FUP655419 FKT655354:FKT655419 FAX655354:FAX655419 ERB655354:ERB655419 EHF655354:EHF655419 DXJ655354:DXJ655419 DNN655354:DNN655419 DDR655354:DDR655419 CTV655354:CTV655419 CJZ655354:CJZ655419 CAD655354:CAD655419 BQH655354:BQH655419 BGL655354:BGL655419 AWP655354:AWP655419 AMT655354:AMT655419 ACX655354:ACX655419 TB655354:TB655419 JF655354:JF655419 J655354:J655419 WVR589818:WVR589883 WLV589818:WLV589883 WBZ589818:WBZ589883 VSD589818:VSD589883 VIH589818:VIH589883 UYL589818:UYL589883 UOP589818:UOP589883 UET589818:UET589883 TUX589818:TUX589883 TLB589818:TLB589883 TBF589818:TBF589883 SRJ589818:SRJ589883 SHN589818:SHN589883 RXR589818:RXR589883 RNV589818:RNV589883 RDZ589818:RDZ589883 QUD589818:QUD589883 QKH589818:QKH589883 QAL589818:QAL589883 PQP589818:PQP589883 PGT589818:PGT589883 OWX589818:OWX589883 ONB589818:ONB589883 ODF589818:ODF589883 NTJ589818:NTJ589883 NJN589818:NJN589883 MZR589818:MZR589883 MPV589818:MPV589883 MFZ589818:MFZ589883 LWD589818:LWD589883 LMH589818:LMH589883 LCL589818:LCL589883 KSP589818:KSP589883 KIT589818:KIT589883 JYX589818:JYX589883 JPB589818:JPB589883 JFF589818:JFF589883 IVJ589818:IVJ589883 ILN589818:ILN589883 IBR589818:IBR589883 HRV589818:HRV589883 HHZ589818:HHZ589883 GYD589818:GYD589883 GOH589818:GOH589883 GEL589818:GEL589883 FUP589818:FUP589883 FKT589818:FKT589883 FAX589818:FAX589883 ERB589818:ERB589883 EHF589818:EHF589883 DXJ589818:DXJ589883 DNN589818:DNN589883 DDR589818:DDR589883 CTV589818:CTV589883 CJZ589818:CJZ589883 CAD589818:CAD589883 BQH589818:BQH589883 BGL589818:BGL589883 AWP589818:AWP589883 AMT589818:AMT589883 ACX589818:ACX589883 TB589818:TB589883 JF589818:JF589883 J589818:J589883 WVR524282:WVR524347 WLV524282:WLV524347 WBZ524282:WBZ524347 VSD524282:VSD524347 VIH524282:VIH524347 UYL524282:UYL524347 UOP524282:UOP524347 UET524282:UET524347 TUX524282:TUX524347 TLB524282:TLB524347 TBF524282:TBF524347 SRJ524282:SRJ524347 SHN524282:SHN524347 RXR524282:RXR524347 RNV524282:RNV524347 RDZ524282:RDZ524347 QUD524282:QUD524347 QKH524282:QKH524347 QAL524282:QAL524347 PQP524282:PQP524347 PGT524282:PGT524347 OWX524282:OWX524347 ONB524282:ONB524347 ODF524282:ODF524347 NTJ524282:NTJ524347 NJN524282:NJN524347 MZR524282:MZR524347 MPV524282:MPV524347 MFZ524282:MFZ524347 LWD524282:LWD524347 LMH524282:LMH524347 LCL524282:LCL524347 KSP524282:KSP524347 KIT524282:KIT524347 JYX524282:JYX524347 JPB524282:JPB524347 JFF524282:JFF524347 IVJ524282:IVJ524347 ILN524282:ILN524347 IBR524282:IBR524347 HRV524282:HRV524347 HHZ524282:HHZ524347 GYD524282:GYD524347 GOH524282:GOH524347 GEL524282:GEL524347 FUP524282:FUP524347 FKT524282:FKT524347 FAX524282:FAX524347 ERB524282:ERB524347 EHF524282:EHF524347 DXJ524282:DXJ524347 DNN524282:DNN524347 DDR524282:DDR524347 CTV524282:CTV524347 CJZ524282:CJZ524347 CAD524282:CAD524347 BQH524282:BQH524347 BGL524282:BGL524347 AWP524282:AWP524347 AMT524282:AMT524347 ACX524282:ACX524347 TB524282:TB524347 JF524282:JF524347 J524282:J524347 WVR458746:WVR458811 WLV458746:WLV458811 WBZ458746:WBZ458811 VSD458746:VSD458811 VIH458746:VIH458811 UYL458746:UYL458811 UOP458746:UOP458811 UET458746:UET458811 TUX458746:TUX458811 TLB458746:TLB458811 TBF458746:TBF458811 SRJ458746:SRJ458811 SHN458746:SHN458811 RXR458746:RXR458811 RNV458746:RNV458811 RDZ458746:RDZ458811 QUD458746:QUD458811 QKH458746:QKH458811 QAL458746:QAL458811 PQP458746:PQP458811 PGT458746:PGT458811 OWX458746:OWX458811 ONB458746:ONB458811 ODF458746:ODF458811 NTJ458746:NTJ458811 NJN458746:NJN458811 MZR458746:MZR458811 MPV458746:MPV458811 MFZ458746:MFZ458811 LWD458746:LWD458811 LMH458746:LMH458811 LCL458746:LCL458811 KSP458746:KSP458811 KIT458746:KIT458811 JYX458746:JYX458811 JPB458746:JPB458811 JFF458746:JFF458811 IVJ458746:IVJ458811 ILN458746:ILN458811 IBR458746:IBR458811 HRV458746:HRV458811 HHZ458746:HHZ458811 GYD458746:GYD458811 GOH458746:GOH458811 GEL458746:GEL458811 FUP458746:FUP458811 FKT458746:FKT458811 FAX458746:FAX458811 ERB458746:ERB458811 EHF458746:EHF458811 DXJ458746:DXJ458811 DNN458746:DNN458811 DDR458746:DDR458811 CTV458746:CTV458811 CJZ458746:CJZ458811 CAD458746:CAD458811 BQH458746:BQH458811 BGL458746:BGL458811 AWP458746:AWP458811 AMT458746:AMT458811 ACX458746:ACX458811 TB458746:TB458811 JF458746:JF458811 J458746:J458811 WVR393210:WVR393275 WLV393210:WLV393275 WBZ393210:WBZ393275 VSD393210:VSD393275 VIH393210:VIH393275 UYL393210:UYL393275 UOP393210:UOP393275 UET393210:UET393275 TUX393210:TUX393275 TLB393210:TLB393275 TBF393210:TBF393275 SRJ393210:SRJ393275 SHN393210:SHN393275 RXR393210:RXR393275 RNV393210:RNV393275 RDZ393210:RDZ393275 QUD393210:QUD393275 QKH393210:QKH393275 QAL393210:QAL393275 PQP393210:PQP393275 PGT393210:PGT393275 OWX393210:OWX393275 ONB393210:ONB393275 ODF393210:ODF393275 NTJ393210:NTJ393275 NJN393210:NJN393275 MZR393210:MZR393275 MPV393210:MPV393275 MFZ393210:MFZ393275 LWD393210:LWD393275 LMH393210:LMH393275 LCL393210:LCL393275 KSP393210:KSP393275 KIT393210:KIT393275 JYX393210:JYX393275 JPB393210:JPB393275 JFF393210:JFF393275 IVJ393210:IVJ393275 ILN393210:ILN393275 IBR393210:IBR393275 HRV393210:HRV393275 HHZ393210:HHZ393275 GYD393210:GYD393275 GOH393210:GOH393275 GEL393210:GEL393275 FUP393210:FUP393275 FKT393210:FKT393275 FAX393210:FAX393275 ERB393210:ERB393275 EHF393210:EHF393275 DXJ393210:DXJ393275 DNN393210:DNN393275 DDR393210:DDR393275 CTV393210:CTV393275 CJZ393210:CJZ393275 CAD393210:CAD393275 BQH393210:BQH393275 BGL393210:BGL393275 AWP393210:AWP393275 AMT393210:AMT393275 ACX393210:ACX393275 TB393210:TB393275 JF393210:JF393275 J393210:J393275 WVR327674:WVR327739 WLV327674:WLV327739 WBZ327674:WBZ327739 VSD327674:VSD327739 VIH327674:VIH327739 UYL327674:UYL327739 UOP327674:UOP327739 UET327674:UET327739 TUX327674:TUX327739 TLB327674:TLB327739 TBF327674:TBF327739 SRJ327674:SRJ327739 SHN327674:SHN327739 RXR327674:RXR327739 RNV327674:RNV327739 RDZ327674:RDZ327739 QUD327674:QUD327739 QKH327674:QKH327739 QAL327674:QAL327739 PQP327674:PQP327739 PGT327674:PGT327739 OWX327674:OWX327739 ONB327674:ONB327739 ODF327674:ODF327739 NTJ327674:NTJ327739 NJN327674:NJN327739 MZR327674:MZR327739 MPV327674:MPV327739 MFZ327674:MFZ327739 LWD327674:LWD327739 LMH327674:LMH327739 LCL327674:LCL327739 KSP327674:KSP327739 KIT327674:KIT327739 JYX327674:JYX327739 JPB327674:JPB327739 JFF327674:JFF327739 IVJ327674:IVJ327739 ILN327674:ILN327739 IBR327674:IBR327739 HRV327674:HRV327739 HHZ327674:HHZ327739 GYD327674:GYD327739 GOH327674:GOH327739 GEL327674:GEL327739 FUP327674:FUP327739 FKT327674:FKT327739 FAX327674:FAX327739 ERB327674:ERB327739 EHF327674:EHF327739 DXJ327674:DXJ327739 DNN327674:DNN327739 DDR327674:DDR327739 CTV327674:CTV327739 CJZ327674:CJZ327739 CAD327674:CAD327739 BQH327674:BQH327739 BGL327674:BGL327739 AWP327674:AWP327739 AMT327674:AMT327739 ACX327674:ACX327739 TB327674:TB327739 JF327674:JF327739 J327674:J327739 WVR262138:WVR262203 WLV262138:WLV262203 WBZ262138:WBZ262203 VSD262138:VSD262203 VIH262138:VIH262203 UYL262138:UYL262203 UOP262138:UOP262203 UET262138:UET262203 TUX262138:TUX262203 TLB262138:TLB262203 TBF262138:TBF262203 SRJ262138:SRJ262203 SHN262138:SHN262203 RXR262138:RXR262203 RNV262138:RNV262203 RDZ262138:RDZ262203 QUD262138:QUD262203 QKH262138:QKH262203 QAL262138:QAL262203 PQP262138:PQP262203 PGT262138:PGT262203 OWX262138:OWX262203 ONB262138:ONB262203 ODF262138:ODF262203 NTJ262138:NTJ262203 NJN262138:NJN262203 MZR262138:MZR262203 MPV262138:MPV262203 MFZ262138:MFZ262203 LWD262138:LWD262203 LMH262138:LMH262203 LCL262138:LCL262203 KSP262138:KSP262203 KIT262138:KIT262203 JYX262138:JYX262203 JPB262138:JPB262203 JFF262138:JFF262203 IVJ262138:IVJ262203 ILN262138:ILN262203 IBR262138:IBR262203 HRV262138:HRV262203 HHZ262138:HHZ262203 GYD262138:GYD262203 GOH262138:GOH262203 GEL262138:GEL262203 FUP262138:FUP262203 FKT262138:FKT262203 FAX262138:FAX262203 ERB262138:ERB262203 EHF262138:EHF262203 DXJ262138:DXJ262203 DNN262138:DNN262203 DDR262138:DDR262203 CTV262138:CTV262203 CJZ262138:CJZ262203 CAD262138:CAD262203 BQH262138:BQH262203 BGL262138:BGL262203 AWP262138:AWP262203 AMT262138:AMT262203 ACX262138:ACX262203 TB262138:TB262203 JF262138:JF262203 J262138:J262203 WVR196602:WVR196667 WLV196602:WLV196667 WBZ196602:WBZ196667 VSD196602:VSD196667 VIH196602:VIH196667 UYL196602:UYL196667 UOP196602:UOP196667 UET196602:UET196667 TUX196602:TUX196667 TLB196602:TLB196667 TBF196602:TBF196667 SRJ196602:SRJ196667 SHN196602:SHN196667 RXR196602:RXR196667 RNV196602:RNV196667 RDZ196602:RDZ196667 QUD196602:QUD196667 QKH196602:QKH196667 QAL196602:QAL196667 PQP196602:PQP196667 PGT196602:PGT196667 OWX196602:OWX196667 ONB196602:ONB196667 ODF196602:ODF196667 NTJ196602:NTJ196667 NJN196602:NJN196667 MZR196602:MZR196667 MPV196602:MPV196667 MFZ196602:MFZ196667 LWD196602:LWD196667 LMH196602:LMH196667 LCL196602:LCL196667 KSP196602:KSP196667 KIT196602:KIT196667 JYX196602:JYX196667 JPB196602:JPB196667 JFF196602:JFF196667 IVJ196602:IVJ196667 ILN196602:ILN196667 IBR196602:IBR196667 HRV196602:HRV196667 HHZ196602:HHZ196667 GYD196602:GYD196667 GOH196602:GOH196667 GEL196602:GEL196667 FUP196602:FUP196667 FKT196602:FKT196667 FAX196602:FAX196667 ERB196602:ERB196667 EHF196602:EHF196667 DXJ196602:DXJ196667 DNN196602:DNN196667 DDR196602:DDR196667 CTV196602:CTV196667 CJZ196602:CJZ196667 CAD196602:CAD196667 BQH196602:BQH196667 BGL196602:BGL196667 AWP196602:AWP196667 AMT196602:AMT196667 ACX196602:ACX196667 TB196602:TB196667 JF196602:JF196667 J196602:J196667 WVR131066:WVR131131 WLV131066:WLV131131 WBZ131066:WBZ131131 VSD131066:VSD131131 VIH131066:VIH131131 UYL131066:UYL131131 UOP131066:UOP131131 UET131066:UET131131 TUX131066:TUX131131 TLB131066:TLB131131 TBF131066:TBF131131 SRJ131066:SRJ131131 SHN131066:SHN131131 RXR131066:RXR131131 RNV131066:RNV131131 RDZ131066:RDZ131131 QUD131066:QUD131131 QKH131066:QKH131131 QAL131066:QAL131131 PQP131066:PQP131131 PGT131066:PGT131131 OWX131066:OWX131131 ONB131066:ONB131131 ODF131066:ODF131131 NTJ131066:NTJ131131 NJN131066:NJN131131 MZR131066:MZR131131 MPV131066:MPV131131 MFZ131066:MFZ131131 LWD131066:LWD131131 LMH131066:LMH131131 LCL131066:LCL131131 KSP131066:KSP131131 KIT131066:KIT131131 JYX131066:JYX131131 JPB131066:JPB131131 JFF131066:JFF131131 IVJ131066:IVJ131131 ILN131066:ILN131131 IBR131066:IBR131131 HRV131066:HRV131131 HHZ131066:HHZ131131 GYD131066:GYD131131 GOH131066:GOH131131 GEL131066:GEL131131 FUP131066:FUP131131 FKT131066:FKT131131 FAX131066:FAX131131 ERB131066:ERB131131 EHF131066:EHF131131 DXJ131066:DXJ131131 DNN131066:DNN131131 DDR131066:DDR131131 CTV131066:CTV131131 CJZ131066:CJZ131131 CAD131066:CAD131131 BQH131066:BQH131131 BGL131066:BGL131131 AWP131066:AWP131131 AMT131066:AMT131131 ACX131066:ACX131131 TB131066:TB131131 JF131066:JF131131 J131066:J131131 WVR65530:WVR65595 WLV65530:WLV65595 WBZ65530:WBZ65595 VSD65530:VSD65595 VIH65530:VIH65595 UYL65530:UYL65595 UOP65530:UOP65595 UET65530:UET65595 TUX65530:TUX65595 TLB65530:TLB65595 TBF65530:TBF65595 SRJ65530:SRJ65595 SHN65530:SHN65595 RXR65530:RXR65595 RNV65530:RNV65595 RDZ65530:RDZ65595 QUD65530:QUD65595 QKH65530:QKH65595 QAL65530:QAL65595 PQP65530:PQP65595 PGT65530:PGT65595 OWX65530:OWX65595 ONB65530:ONB65595 ODF65530:ODF65595 NTJ65530:NTJ65595 NJN65530:NJN65595 MZR65530:MZR65595 MPV65530:MPV65595 MFZ65530:MFZ65595 LWD65530:LWD65595 LMH65530:LMH65595 LCL65530:LCL65595 KSP65530:KSP65595 KIT65530:KIT65595 JYX65530:JYX65595 JPB65530:JPB65595 JFF65530:JFF65595 IVJ65530:IVJ65595 ILN65530:ILN65595 IBR65530:IBR65595 HRV65530:HRV65595 HHZ65530:HHZ65595 GYD65530:GYD65595 GOH65530:GOH65595 GEL65530:GEL65595 FUP65530:FUP65595 FKT65530:FKT65595 FAX65530:FAX65595 ERB65530:ERB65595 EHF65530:EHF65595 DXJ65530:DXJ65595 DNN65530:DNN65595 DDR65530:DDR65595 CTV65530:CTV65595 CJZ65530:CJZ65595 CAD65530:CAD65595 BQH65530:BQH65595 BGL65530:BGL65595 AWP65530:AWP65595 AMT65530:AMT65595 ACX65530:ACX65595 TB65530:TB65595 JF65530:JF65595 JF2:JF61 J47:J492">
      <formula1>$AP$2:$AP$27</formula1>
    </dataValidation>
    <dataValidation type="list" allowBlank="1" showInputMessage="1" showErrorMessage="1" sqref="WVP983034:WVP983099 SZ2:SZ61 ACV2:ACV61 AMR2:AMR61 AWN2:AWN61 BGJ2:BGJ61 BQF2:BQF61 CAB2:CAB61 CJX2:CJX61 CTT2:CTT61 DDP2:DDP61 DNL2:DNL61 DXH2:DXH61 EHD2:EHD61 EQZ2:EQZ61 FAV2:FAV61 FKR2:FKR61 FUN2:FUN61 GEJ2:GEJ61 GOF2:GOF61 GYB2:GYB61 HHX2:HHX61 HRT2:HRT61 IBP2:IBP61 ILL2:ILL61 IVH2:IVH61 JFD2:JFD61 JOZ2:JOZ61 JYV2:JYV61 KIR2:KIR61 KSN2:KSN61 LCJ2:LCJ61 LMF2:LMF61 LWB2:LWB61 MFX2:MFX61 MPT2:MPT61 MZP2:MZP61 NJL2:NJL61 NTH2:NTH61 ODD2:ODD61 OMZ2:OMZ61 OWV2:OWV61 PGR2:PGR61 PQN2:PQN61 QAJ2:QAJ61 QKF2:QKF61 QUB2:QUB61 RDX2:RDX61 RNT2:RNT61 RXP2:RXP61 SHL2:SHL61 SRH2:SRH61 TBD2:TBD61 TKZ2:TKZ61 TUV2:TUV61 UER2:UER61 UON2:UON61 UYJ2:UYJ61 VIF2:VIF61 VSB2:VSB61 WBX2:WBX61 WLT2:WLT61 WVP2:WVP61 H65530:H65595 WLT983034:WLT983099 WBX983034:WBX983099 VSB983034:VSB983099 VIF983034:VIF983099 UYJ983034:UYJ983099 UON983034:UON983099 UER983034:UER983099 TUV983034:TUV983099 TKZ983034:TKZ983099 TBD983034:TBD983099 SRH983034:SRH983099 SHL983034:SHL983099 RXP983034:RXP983099 RNT983034:RNT983099 RDX983034:RDX983099 QUB983034:QUB983099 QKF983034:QKF983099 QAJ983034:QAJ983099 PQN983034:PQN983099 PGR983034:PGR983099 OWV983034:OWV983099 OMZ983034:OMZ983099 ODD983034:ODD983099 NTH983034:NTH983099 NJL983034:NJL983099 MZP983034:MZP983099 MPT983034:MPT983099 MFX983034:MFX983099 LWB983034:LWB983099 LMF983034:LMF983099 LCJ983034:LCJ983099 KSN983034:KSN983099 KIR983034:KIR983099 JYV983034:JYV983099 JOZ983034:JOZ983099 JFD983034:JFD983099 IVH983034:IVH983099 ILL983034:ILL983099 IBP983034:IBP983099 HRT983034:HRT983099 HHX983034:HHX983099 GYB983034:GYB983099 GOF983034:GOF983099 GEJ983034:GEJ983099 FUN983034:FUN983099 FKR983034:FKR983099 FAV983034:FAV983099 EQZ983034:EQZ983099 EHD983034:EHD983099 DXH983034:DXH983099 DNL983034:DNL983099 DDP983034:DDP983099 CTT983034:CTT983099 CJX983034:CJX983099 CAB983034:CAB983099 BQF983034:BQF983099 BGJ983034:BGJ983099 AWN983034:AWN983099 AMR983034:AMR983099 ACV983034:ACV983099 SZ983034:SZ983099 JD983034:JD983099 H983034:H983099 WVP917498:WVP917563 WLT917498:WLT917563 WBX917498:WBX917563 VSB917498:VSB917563 VIF917498:VIF917563 UYJ917498:UYJ917563 UON917498:UON917563 UER917498:UER917563 TUV917498:TUV917563 TKZ917498:TKZ917563 TBD917498:TBD917563 SRH917498:SRH917563 SHL917498:SHL917563 RXP917498:RXP917563 RNT917498:RNT917563 RDX917498:RDX917563 QUB917498:QUB917563 QKF917498:QKF917563 QAJ917498:QAJ917563 PQN917498:PQN917563 PGR917498:PGR917563 OWV917498:OWV917563 OMZ917498:OMZ917563 ODD917498:ODD917563 NTH917498:NTH917563 NJL917498:NJL917563 MZP917498:MZP917563 MPT917498:MPT917563 MFX917498:MFX917563 LWB917498:LWB917563 LMF917498:LMF917563 LCJ917498:LCJ917563 KSN917498:KSN917563 KIR917498:KIR917563 JYV917498:JYV917563 JOZ917498:JOZ917563 JFD917498:JFD917563 IVH917498:IVH917563 ILL917498:ILL917563 IBP917498:IBP917563 HRT917498:HRT917563 HHX917498:HHX917563 GYB917498:GYB917563 GOF917498:GOF917563 GEJ917498:GEJ917563 FUN917498:FUN917563 FKR917498:FKR917563 FAV917498:FAV917563 EQZ917498:EQZ917563 EHD917498:EHD917563 DXH917498:DXH917563 DNL917498:DNL917563 DDP917498:DDP917563 CTT917498:CTT917563 CJX917498:CJX917563 CAB917498:CAB917563 BQF917498:BQF917563 BGJ917498:BGJ917563 AWN917498:AWN917563 AMR917498:AMR917563 ACV917498:ACV917563 SZ917498:SZ917563 JD917498:JD917563 H917498:H917563 WVP851962:WVP852027 WLT851962:WLT852027 WBX851962:WBX852027 VSB851962:VSB852027 VIF851962:VIF852027 UYJ851962:UYJ852027 UON851962:UON852027 UER851962:UER852027 TUV851962:TUV852027 TKZ851962:TKZ852027 TBD851962:TBD852027 SRH851962:SRH852027 SHL851962:SHL852027 RXP851962:RXP852027 RNT851962:RNT852027 RDX851962:RDX852027 QUB851962:QUB852027 QKF851962:QKF852027 QAJ851962:QAJ852027 PQN851962:PQN852027 PGR851962:PGR852027 OWV851962:OWV852027 OMZ851962:OMZ852027 ODD851962:ODD852027 NTH851962:NTH852027 NJL851962:NJL852027 MZP851962:MZP852027 MPT851962:MPT852027 MFX851962:MFX852027 LWB851962:LWB852027 LMF851962:LMF852027 LCJ851962:LCJ852027 KSN851962:KSN852027 KIR851962:KIR852027 JYV851962:JYV852027 JOZ851962:JOZ852027 JFD851962:JFD852027 IVH851962:IVH852027 ILL851962:ILL852027 IBP851962:IBP852027 HRT851962:HRT852027 HHX851962:HHX852027 GYB851962:GYB852027 GOF851962:GOF852027 GEJ851962:GEJ852027 FUN851962:FUN852027 FKR851962:FKR852027 FAV851962:FAV852027 EQZ851962:EQZ852027 EHD851962:EHD852027 DXH851962:DXH852027 DNL851962:DNL852027 DDP851962:DDP852027 CTT851962:CTT852027 CJX851962:CJX852027 CAB851962:CAB852027 BQF851962:BQF852027 BGJ851962:BGJ852027 AWN851962:AWN852027 AMR851962:AMR852027 ACV851962:ACV852027 SZ851962:SZ852027 JD851962:JD852027 H851962:H852027 WVP786426:WVP786491 WLT786426:WLT786491 WBX786426:WBX786491 VSB786426:VSB786491 VIF786426:VIF786491 UYJ786426:UYJ786491 UON786426:UON786491 UER786426:UER786491 TUV786426:TUV786491 TKZ786426:TKZ786491 TBD786426:TBD786491 SRH786426:SRH786491 SHL786426:SHL786491 RXP786426:RXP786491 RNT786426:RNT786491 RDX786426:RDX786491 QUB786426:QUB786491 QKF786426:QKF786491 QAJ786426:QAJ786491 PQN786426:PQN786491 PGR786426:PGR786491 OWV786426:OWV786491 OMZ786426:OMZ786491 ODD786426:ODD786491 NTH786426:NTH786491 NJL786426:NJL786491 MZP786426:MZP786491 MPT786426:MPT786491 MFX786426:MFX786491 LWB786426:LWB786491 LMF786426:LMF786491 LCJ786426:LCJ786491 KSN786426:KSN786491 KIR786426:KIR786491 JYV786426:JYV786491 JOZ786426:JOZ786491 JFD786426:JFD786491 IVH786426:IVH786491 ILL786426:ILL786491 IBP786426:IBP786491 HRT786426:HRT786491 HHX786426:HHX786491 GYB786426:GYB786491 GOF786426:GOF786491 GEJ786426:GEJ786491 FUN786426:FUN786491 FKR786426:FKR786491 FAV786426:FAV786491 EQZ786426:EQZ786491 EHD786426:EHD786491 DXH786426:DXH786491 DNL786426:DNL786491 DDP786426:DDP786491 CTT786426:CTT786491 CJX786426:CJX786491 CAB786426:CAB786491 BQF786426:BQF786491 BGJ786426:BGJ786491 AWN786426:AWN786491 AMR786426:AMR786491 ACV786426:ACV786491 SZ786426:SZ786491 JD786426:JD786491 H786426:H786491 WVP720890:WVP720955 WLT720890:WLT720955 WBX720890:WBX720955 VSB720890:VSB720955 VIF720890:VIF720955 UYJ720890:UYJ720955 UON720890:UON720955 UER720890:UER720955 TUV720890:TUV720955 TKZ720890:TKZ720955 TBD720890:TBD720955 SRH720890:SRH720955 SHL720890:SHL720955 RXP720890:RXP720955 RNT720890:RNT720955 RDX720890:RDX720955 QUB720890:QUB720955 QKF720890:QKF720955 QAJ720890:QAJ720955 PQN720890:PQN720955 PGR720890:PGR720955 OWV720890:OWV720955 OMZ720890:OMZ720955 ODD720890:ODD720955 NTH720890:NTH720955 NJL720890:NJL720955 MZP720890:MZP720955 MPT720890:MPT720955 MFX720890:MFX720955 LWB720890:LWB720955 LMF720890:LMF720955 LCJ720890:LCJ720955 KSN720890:KSN720955 KIR720890:KIR720955 JYV720890:JYV720955 JOZ720890:JOZ720955 JFD720890:JFD720955 IVH720890:IVH720955 ILL720890:ILL720955 IBP720890:IBP720955 HRT720890:HRT720955 HHX720890:HHX720955 GYB720890:GYB720955 GOF720890:GOF720955 GEJ720890:GEJ720955 FUN720890:FUN720955 FKR720890:FKR720955 FAV720890:FAV720955 EQZ720890:EQZ720955 EHD720890:EHD720955 DXH720890:DXH720955 DNL720890:DNL720955 DDP720890:DDP720955 CTT720890:CTT720955 CJX720890:CJX720955 CAB720890:CAB720955 BQF720890:BQF720955 BGJ720890:BGJ720955 AWN720890:AWN720955 AMR720890:AMR720955 ACV720890:ACV720955 SZ720890:SZ720955 JD720890:JD720955 H720890:H720955 WVP655354:WVP655419 WLT655354:WLT655419 WBX655354:WBX655419 VSB655354:VSB655419 VIF655354:VIF655419 UYJ655354:UYJ655419 UON655354:UON655419 UER655354:UER655419 TUV655354:TUV655419 TKZ655354:TKZ655419 TBD655354:TBD655419 SRH655354:SRH655419 SHL655354:SHL655419 RXP655354:RXP655419 RNT655354:RNT655419 RDX655354:RDX655419 QUB655354:QUB655419 QKF655354:QKF655419 QAJ655354:QAJ655419 PQN655354:PQN655419 PGR655354:PGR655419 OWV655354:OWV655419 OMZ655354:OMZ655419 ODD655354:ODD655419 NTH655354:NTH655419 NJL655354:NJL655419 MZP655354:MZP655419 MPT655354:MPT655419 MFX655354:MFX655419 LWB655354:LWB655419 LMF655354:LMF655419 LCJ655354:LCJ655419 KSN655354:KSN655419 KIR655354:KIR655419 JYV655354:JYV655419 JOZ655354:JOZ655419 JFD655354:JFD655419 IVH655354:IVH655419 ILL655354:ILL655419 IBP655354:IBP655419 HRT655354:HRT655419 HHX655354:HHX655419 GYB655354:GYB655419 GOF655354:GOF655419 GEJ655354:GEJ655419 FUN655354:FUN655419 FKR655354:FKR655419 FAV655354:FAV655419 EQZ655354:EQZ655419 EHD655354:EHD655419 DXH655354:DXH655419 DNL655354:DNL655419 DDP655354:DDP655419 CTT655354:CTT655419 CJX655354:CJX655419 CAB655354:CAB655419 BQF655354:BQF655419 BGJ655354:BGJ655419 AWN655354:AWN655419 AMR655354:AMR655419 ACV655354:ACV655419 SZ655354:SZ655419 JD655354:JD655419 H655354:H655419 WVP589818:WVP589883 WLT589818:WLT589883 WBX589818:WBX589883 VSB589818:VSB589883 VIF589818:VIF589883 UYJ589818:UYJ589883 UON589818:UON589883 UER589818:UER589883 TUV589818:TUV589883 TKZ589818:TKZ589883 TBD589818:TBD589883 SRH589818:SRH589883 SHL589818:SHL589883 RXP589818:RXP589883 RNT589818:RNT589883 RDX589818:RDX589883 QUB589818:QUB589883 QKF589818:QKF589883 QAJ589818:QAJ589883 PQN589818:PQN589883 PGR589818:PGR589883 OWV589818:OWV589883 OMZ589818:OMZ589883 ODD589818:ODD589883 NTH589818:NTH589883 NJL589818:NJL589883 MZP589818:MZP589883 MPT589818:MPT589883 MFX589818:MFX589883 LWB589818:LWB589883 LMF589818:LMF589883 LCJ589818:LCJ589883 KSN589818:KSN589883 KIR589818:KIR589883 JYV589818:JYV589883 JOZ589818:JOZ589883 JFD589818:JFD589883 IVH589818:IVH589883 ILL589818:ILL589883 IBP589818:IBP589883 HRT589818:HRT589883 HHX589818:HHX589883 GYB589818:GYB589883 GOF589818:GOF589883 GEJ589818:GEJ589883 FUN589818:FUN589883 FKR589818:FKR589883 FAV589818:FAV589883 EQZ589818:EQZ589883 EHD589818:EHD589883 DXH589818:DXH589883 DNL589818:DNL589883 DDP589818:DDP589883 CTT589818:CTT589883 CJX589818:CJX589883 CAB589818:CAB589883 BQF589818:BQF589883 BGJ589818:BGJ589883 AWN589818:AWN589883 AMR589818:AMR589883 ACV589818:ACV589883 SZ589818:SZ589883 JD589818:JD589883 H589818:H589883 WVP524282:WVP524347 WLT524282:WLT524347 WBX524282:WBX524347 VSB524282:VSB524347 VIF524282:VIF524347 UYJ524282:UYJ524347 UON524282:UON524347 UER524282:UER524347 TUV524282:TUV524347 TKZ524282:TKZ524347 TBD524282:TBD524347 SRH524282:SRH524347 SHL524282:SHL524347 RXP524282:RXP524347 RNT524282:RNT524347 RDX524282:RDX524347 QUB524282:QUB524347 QKF524282:QKF524347 QAJ524282:QAJ524347 PQN524282:PQN524347 PGR524282:PGR524347 OWV524282:OWV524347 OMZ524282:OMZ524347 ODD524282:ODD524347 NTH524282:NTH524347 NJL524282:NJL524347 MZP524282:MZP524347 MPT524282:MPT524347 MFX524282:MFX524347 LWB524282:LWB524347 LMF524282:LMF524347 LCJ524282:LCJ524347 KSN524282:KSN524347 KIR524282:KIR524347 JYV524282:JYV524347 JOZ524282:JOZ524347 JFD524282:JFD524347 IVH524282:IVH524347 ILL524282:ILL524347 IBP524282:IBP524347 HRT524282:HRT524347 HHX524282:HHX524347 GYB524282:GYB524347 GOF524282:GOF524347 GEJ524282:GEJ524347 FUN524282:FUN524347 FKR524282:FKR524347 FAV524282:FAV524347 EQZ524282:EQZ524347 EHD524282:EHD524347 DXH524282:DXH524347 DNL524282:DNL524347 DDP524282:DDP524347 CTT524282:CTT524347 CJX524282:CJX524347 CAB524282:CAB524347 BQF524282:BQF524347 BGJ524282:BGJ524347 AWN524282:AWN524347 AMR524282:AMR524347 ACV524282:ACV524347 SZ524282:SZ524347 JD524282:JD524347 H524282:H524347 WVP458746:WVP458811 WLT458746:WLT458811 WBX458746:WBX458811 VSB458746:VSB458811 VIF458746:VIF458811 UYJ458746:UYJ458811 UON458746:UON458811 UER458746:UER458811 TUV458746:TUV458811 TKZ458746:TKZ458811 TBD458746:TBD458811 SRH458746:SRH458811 SHL458746:SHL458811 RXP458746:RXP458811 RNT458746:RNT458811 RDX458746:RDX458811 QUB458746:QUB458811 QKF458746:QKF458811 QAJ458746:QAJ458811 PQN458746:PQN458811 PGR458746:PGR458811 OWV458746:OWV458811 OMZ458746:OMZ458811 ODD458746:ODD458811 NTH458746:NTH458811 NJL458746:NJL458811 MZP458746:MZP458811 MPT458746:MPT458811 MFX458746:MFX458811 LWB458746:LWB458811 LMF458746:LMF458811 LCJ458746:LCJ458811 KSN458746:KSN458811 KIR458746:KIR458811 JYV458746:JYV458811 JOZ458746:JOZ458811 JFD458746:JFD458811 IVH458746:IVH458811 ILL458746:ILL458811 IBP458746:IBP458811 HRT458746:HRT458811 HHX458746:HHX458811 GYB458746:GYB458811 GOF458746:GOF458811 GEJ458746:GEJ458811 FUN458746:FUN458811 FKR458746:FKR458811 FAV458746:FAV458811 EQZ458746:EQZ458811 EHD458746:EHD458811 DXH458746:DXH458811 DNL458746:DNL458811 DDP458746:DDP458811 CTT458746:CTT458811 CJX458746:CJX458811 CAB458746:CAB458811 BQF458746:BQF458811 BGJ458746:BGJ458811 AWN458746:AWN458811 AMR458746:AMR458811 ACV458746:ACV458811 SZ458746:SZ458811 JD458746:JD458811 H458746:H458811 WVP393210:WVP393275 WLT393210:WLT393275 WBX393210:WBX393275 VSB393210:VSB393275 VIF393210:VIF393275 UYJ393210:UYJ393275 UON393210:UON393275 UER393210:UER393275 TUV393210:TUV393275 TKZ393210:TKZ393275 TBD393210:TBD393275 SRH393210:SRH393275 SHL393210:SHL393275 RXP393210:RXP393275 RNT393210:RNT393275 RDX393210:RDX393275 QUB393210:QUB393275 QKF393210:QKF393275 QAJ393210:QAJ393275 PQN393210:PQN393275 PGR393210:PGR393275 OWV393210:OWV393275 OMZ393210:OMZ393275 ODD393210:ODD393275 NTH393210:NTH393275 NJL393210:NJL393275 MZP393210:MZP393275 MPT393210:MPT393275 MFX393210:MFX393275 LWB393210:LWB393275 LMF393210:LMF393275 LCJ393210:LCJ393275 KSN393210:KSN393275 KIR393210:KIR393275 JYV393210:JYV393275 JOZ393210:JOZ393275 JFD393210:JFD393275 IVH393210:IVH393275 ILL393210:ILL393275 IBP393210:IBP393275 HRT393210:HRT393275 HHX393210:HHX393275 GYB393210:GYB393275 GOF393210:GOF393275 GEJ393210:GEJ393275 FUN393210:FUN393275 FKR393210:FKR393275 FAV393210:FAV393275 EQZ393210:EQZ393275 EHD393210:EHD393275 DXH393210:DXH393275 DNL393210:DNL393275 DDP393210:DDP393275 CTT393210:CTT393275 CJX393210:CJX393275 CAB393210:CAB393275 BQF393210:BQF393275 BGJ393210:BGJ393275 AWN393210:AWN393275 AMR393210:AMR393275 ACV393210:ACV393275 SZ393210:SZ393275 JD393210:JD393275 H393210:H393275 WVP327674:WVP327739 WLT327674:WLT327739 WBX327674:WBX327739 VSB327674:VSB327739 VIF327674:VIF327739 UYJ327674:UYJ327739 UON327674:UON327739 UER327674:UER327739 TUV327674:TUV327739 TKZ327674:TKZ327739 TBD327674:TBD327739 SRH327674:SRH327739 SHL327674:SHL327739 RXP327674:RXP327739 RNT327674:RNT327739 RDX327674:RDX327739 QUB327674:QUB327739 QKF327674:QKF327739 QAJ327674:QAJ327739 PQN327674:PQN327739 PGR327674:PGR327739 OWV327674:OWV327739 OMZ327674:OMZ327739 ODD327674:ODD327739 NTH327674:NTH327739 NJL327674:NJL327739 MZP327674:MZP327739 MPT327674:MPT327739 MFX327674:MFX327739 LWB327674:LWB327739 LMF327674:LMF327739 LCJ327674:LCJ327739 KSN327674:KSN327739 KIR327674:KIR327739 JYV327674:JYV327739 JOZ327674:JOZ327739 JFD327674:JFD327739 IVH327674:IVH327739 ILL327674:ILL327739 IBP327674:IBP327739 HRT327674:HRT327739 HHX327674:HHX327739 GYB327674:GYB327739 GOF327674:GOF327739 GEJ327674:GEJ327739 FUN327674:FUN327739 FKR327674:FKR327739 FAV327674:FAV327739 EQZ327674:EQZ327739 EHD327674:EHD327739 DXH327674:DXH327739 DNL327674:DNL327739 DDP327674:DDP327739 CTT327674:CTT327739 CJX327674:CJX327739 CAB327674:CAB327739 BQF327674:BQF327739 BGJ327674:BGJ327739 AWN327674:AWN327739 AMR327674:AMR327739 ACV327674:ACV327739 SZ327674:SZ327739 JD327674:JD327739 H327674:H327739 WVP262138:WVP262203 WLT262138:WLT262203 WBX262138:WBX262203 VSB262138:VSB262203 VIF262138:VIF262203 UYJ262138:UYJ262203 UON262138:UON262203 UER262138:UER262203 TUV262138:TUV262203 TKZ262138:TKZ262203 TBD262138:TBD262203 SRH262138:SRH262203 SHL262138:SHL262203 RXP262138:RXP262203 RNT262138:RNT262203 RDX262138:RDX262203 QUB262138:QUB262203 QKF262138:QKF262203 QAJ262138:QAJ262203 PQN262138:PQN262203 PGR262138:PGR262203 OWV262138:OWV262203 OMZ262138:OMZ262203 ODD262138:ODD262203 NTH262138:NTH262203 NJL262138:NJL262203 MZP262138:MZP262203 MPT262138:MPT262203 MFX262138:MFX262203 LWB262138:LWB262203 LMF262138:LMF262203 LCJ262138:LCJ262203 KSN262138:KSN262203 KIR262138:KIR262203 JYV262138:JYV262203 JOZ262138:JOZ262203 JFD262138:JFD262203 IVH262138:IVH262203 ILL262138:ILL262203 IBP262138:IBP262203 HRT262138:HRT262203 HHX262138:HHX262203 GYB262138:GYB262203 GOF262138:GOF262203 GEJ262138:GEJ262203 FUN262138:FUN262203 FKR262138:FKR262203 FAV262138:FAV262203 EQZ262138:EQZ262203 EHD262138:EHD262203 DXH262138:DXH262203 DNL262138:DNL262203 DDP262138:DDP262203 CTT262138:CTT262203 CJX262138:CJX262203 CAB262138:CAB262203 BQF262138:BQF262203 BGJ262138:BGJ262203 AWN262138:AWN262203 AMR262138:AMR262203 ACV262138:ACV262203 SZ262138:SZ262203 JD262138:JD262203 H262138:H262203 WVP196602:WVP196667 WLT196602:WLT196667 WBX196602:WBX196667 VSB196602:VSB196667 VIF196602:VIF196667 UYJ196602:UYJ196667 UON196602:UON196667 UER196602:UER196667 TUV196602:TUV196667 TKZ196602:TKZ196667 TBD196602:TBD196667 SRH196602:SRH196667 SHL196602:SHL196667 RXP196602:RXP196667 RNT196602:RNT196667 RDX196602:RDX196667 QUB196602:QUB196667 QKF196602:QKF196667 QAJ196602:QAJ196667 PQN196602:PQN196667 PGR196602:PGR196667 OWV196602:OWV196667 OMZ196602:OMZ196667 ODD196602:ODD196667 NTH196602:NTH196667 NJL196602:NJL196667 MZP196602:MZP196667 MPT196602:MPT196667 MFX196602:MFX196667 LWB196602:LWB196667 LMF196602:LMF196667 LCJ196602:LCJ196667 KSN196602:KSN196667 KIR196602:KIR196667 JYV196602:JYV196667 JOZ196602:JOZ196667 JFD196602:JFD196667 IVH196602:IVH196667 ILL196602:ILL196667 IBP196602:IBP196667 HRT196602:HRT196667 HHX196602:HHX196667 GYB196602:GYB196667 GOF196602:GOF196667 GEJ196602:GEJ196667 FUN196602:FUN196667 FKR196602:FKR196667 FAV196602:FAV196667 EQZ196602:EQZ196667 EHD196602:EHD196667 DXH196602:DXH196667 DNL196602:DNL196667 DDP196602:DDP196667 CTT196602:CTT196667 CJX196602:CJX196667 CAB196602:CAB196667 BQF196602:BQF196667 BGJ196602:BGJ196667 AWN196602:AWN196667 AMR196602:AMR196667 ACV196602:ACV196667 SZ196602:SZ196667 JD196602:JD196667 H196602:H196667 WVP131066:WVP131131 WLT131066:WLT131131 WBX131066:WBX131131 VSB131066:VSB131131 VIF131066:VIF131131 UYJ131066:UYJ131131 UON131066:UON131131 UER131066:UER131131 TUV131066:TUV131131 TKZ131066:TKZ131131 TBD131066:TBD131131 SRH131066:SRH131131 SHL131066:SHL131131 RXP131066:RXP131131 RNT131066:RNT131131 RDX131066:RDX131131 QUB131066:QUB131131 QKF131066:QKF131131 QAJ131066:QAJ131131 PQN131066:PQN131131 PGR131066:PGR131131 OWV131066:OWV131131 OMZ131066:OMZ131131 ODD131066:ODD131131 NTH131066:NTH131131 NJL131066:NJL131131 MZP131066:MZP131131 MPT131066:MPT131131 MFX131066:MFX131131 LWB131066:LWB131131 LMF131066:LMF131131 LCJ131066:LCJ131131 KSN131066:KSN131131 KIR131066:KIR131131 JYV131066:JYV131131 JOZ131066:JOZ131131 JFD131066:JFD131131 IVH131066:IVH131131 ILL131066:ILL131131 IBP131066:IBP131131 HRT131066:HRT131131 HHX131066:HHX131131 GYB131066:GYB131131 GOF131066:GOF131131 GEJ131066:GEJ131131 FUN131066:FUN131131 FKR131066:FKR131131 FAV131066:FAV131131 EQZ131066:EQZ131131 EHD131066:EHD131131 DXH131066:DXH131131 DNL131066:DNL131131 DDP131066:DDP131131 CTT131066:CTT131131 CJX131066:CJX131131 CAB131066:CAB131131 BQF131066:BQF131131 BGJ131066:BGJ131131 AWN131066:AWN131131 AMR131066:AMR131131 ACV131066:ACV131131 SZ131066:SZ131131 JD131066:JD131131 H131066:H131131 WVP65530:WVP65595 WLT65530:WLT65595 WBX65530:WBX65595 VSB65530:VSB65595 VIF65530:VIF65595 UYJ65530:UYJ65595 UON65530:UON65595 UER65530:UER65595 TUV65530:TUV65595 TKZ65530:TKZ65595 TBD65530:TBD65595 SRH65530:SRH65595 SHL65530:SHL65595 RXP65530:RXP65595 RNT65530:RNT65595 RDX65530:RDX65595 QUB65530:QUB65595 QKF65530:QKF65595 QAJ65530:QAJ65595 PQN65530:PQN65595 PGR65530:PGR65595 OWV65530:OWV65595 OMZ65530:OMZ65595 ODD65530:ODD65595 NTH65530:NTH65595 NJL65530:NJL65595 MZP65530:MZP65595 MPT65530:MPT65595 MFX65530:MFX65595 LWB65530:LWB65595 LMF65530:LMF65595 LCJ65530:LCJ65595 KSN65530:KSN65595 KIR65530:KIR65595 JYV65530:JYV65595 JOZ65530:JOZ65595 JFD65530:JFD65595 IVH65530:IVH65595 ILL65530:ILL65595 IBP65530:IBP65595 HRT65530:HRT65595 HHX65530:HHX65595 GYB65530:GYB65595 GOF65530:GOF65595 GEJ65530:GEJ65595 FUN65530:FUN65595 FKR65530:FKR65595 FAV65530:FAV65595 EQZ65530:EQZ65595 EHD65530:EHD65595 DXH65530:DXH65595 DNL65530:DNL65595 DDP65530:DDP65595 CTT65530:CTT65595 CJX65530:CJX65595 CAB65530:CAB65595 BQF65530:BQF65595 BGJ65530:BGJ65595 AWN65530:AWN65595 AMR65530:AMR65595 ACV65530:ACV65595 SZ65530:SZ65595 JD65530:JD65595 JD2:JD61">
      <formula1>$AL$4:$AL$12</formula1>
    </dataValidation>
    <dataValidation type="list" allowBlank="1" showInputMessage="1" showErrorMessage="1" sqref="A64355:A64420 IW64355:IW64420 WLM983034:WLM983105 WBQ983034:WBQ983105 VRU983034:VRU983105 VHY983034:VHY983105 UYC983034:UYC983105 UOG983034:UOG983105 UEK983034:UEK983105 TUO983034:TUO983105 TKS983034:TKS983105 TAW983034:TAW983105 SRA983034:SRA983105 SHE983034:SHE983105 RXI983034:RXI983105 RNM983034:RNM983105 RDQ983034:RDQ983105 QTU983034:QTU983105 QJY983034:QJY983105 QAC983034:QAC983105 PQG983034:PQG983105 PGK983034:PGK983105 OWO983034:OWO983105 OMS983034:OMS983105 OCW983034:OCW983105 NTA983034:NTA983105 NJE983034:NJE983105 MZI983034:MZI983105 MPM983034:MPM983105 MFQ983034:MFQ983105 LVU983034:LVU983105 LLY983034:LLY983105 LCC983034:LCC983105 KSG983034:KSG983105 KIK983034:KIK983105 JYO983034:JYO983105 JOS983034:JOS983105 JEW983034:JEW983105 IVA983034:IVA983105 ILE983034:ILE983105 IBI983034:IBI983105 HRM983034:HRM983105 HHQ983034:HHQ983105 GXU983034:GXU983105 GNY983034:GNY983105 GEC983034:GEC983105 FUG983034:FUG983105 FKK983034:FKK983105 FAO983034:FAO983105 EQS983034:EQS983105 EGW983034:EGW983105 DXA983034:DXA983105 DNE983034:DNE983105 DDI983034:DDI983105 CTM983034:CTM983105 CJQ983034:CJQ983105 BZU983034:BZU983105 BPY983034:BPY983105 BGC983034:BGC983105 AWG983034:AWG983105 AMK983034:AMK983105 ACO983034:ACO983105 SS983034:SS983105 IW983034:IW983105 A983034:A983105 WVI917498:WVI917569 WLM917498:WLM917569 WBQ917498:WBQ917569 VRU917498:VRU917569 VHY917498:VHY917569 UYC917498:UYC917569 UOG917498:UOG917569 UEK917498:UEK917569 TUO917498:TUO917569 TKS917498:TKS917569 TAW917498:TAW917569 SRA917498:SRA917569 SHE917498:SHE917569 RXI917498:RXI917569 RNM917498:RNM917569 RDQ917498:RDQ917569 QTU917498:QTU917569 QJY917498:QJY917569 QAC917498:QAC917569 PQG917498:PQG917569 PGK917498:PGK917569 OWO917498:OWO917569 OMS917498:OMS917569 OCW917498:OCW917569 NTA917498:NTA917569 NJE917498:NJE917569 MZI917498:MZI917569 MPM917498:MPM917569 MFQ917498:MFQ917569 LVU917498:LVU917569 LLY917498:LLY917569 LCC917498:LCC917569 KSG917498:KSG917569 KIK917498:KIK917569 JYO917498:JYO917569 JOS917498:JOS917569 JEW917498:JEW917569 IVA917498:IVA917569 ILE917498:ILE917569 IBI917498:IBI917569 HRM917498:HRM917569 HHQ917498:HHQ917569 GXU917498:GXU917569 GNY917498:GNY917569 GEC917498:GEC917569 FUG917498:FUG917569 FKK917498:FKK917569 FAO917498:FAO917569 EQS917498:EQS917569 EGW917498:EGW917569 DXA917498:DXA917569 DNE917498:DNE917569 DDI917498:DDI917569 CTM917498:CTM917569 CJQ917498:CJQ917569 BZU917498:BZU917569 BPY917498:BPY917569 BGC917498:BGC917569 AWG917498:AWG917569 AMK917498:AMK917569 ACO917498:ACO917569 SS917498:SS917569 IW917498:IW917569 A917498:A917569 WVI851962:WVI852033 WLM851962:WLM852033 WBQ851962:WBQ852033 VRU851962:VRU852033 VHY851962:VHY852033 UYC851962:UYC852033 UOG851962:UOG852033 UEK851962:UEK852033 TUO851962:TUO852033 TKS851962:TKS852033 TAW851962:TAW852033 SRA851962:SRA852033 SHE851962:SHE852033 RXI851962:RXI852033 RNM851962:RNM852033 RDQ851962:RDQ852033 QTU851962:QTU852033 QJY851962:QJY852033 QAC851962:QAC852033 PQG851962:PQG852033 PGK851962:PGK852033 OWO851962:OWO852033 OMS851962:OMS852033 OCW851962:OCW852033 NTA851962:NTA852033 NJE851962:NJE852033 MZI851962:MZI852033 MPM851962:MPM852033 MFQ851962:MFQ852033 LVU851962:LVU852033 LLY851962:LLY852033 LCC851962:LCC852033 KSG851962:KSG852033 KIK851962:KIK852033 JYO851962:JYO852033 JOS851962:JOS852033 JEW851962:JEW852033 IVA851962:IVA852033 ILE851962:ILE852033 IBI851962:IBI852033 HRM851962:HRM852033 HHQ851962:HHQ852033 GXU851962:GXU852033 GNY851962:GNY852033 GEC851962:GEC852033 FUG851962:FUG852033 FKK851962:FKK852033 FAO851962:FAO852033 EQS851962:EQS852033 EGW851962:EGW852033 DXA851962:DXA852033 DNE851962:DNE852033 DDI851962:DDI852033 CTM851962:CTM852033 CJQ851962:CJQ852033 BZU851962:BZU852033 BPY851962:BPY852033 BGC851962:BGC852033 AWG851962:AWG852033 AMK851962:AMK852033 ACO851962:ACO852033 SS851962:SS852033 IW851962:IW852033 A851962:A852033 WVI786426:WVI786497 WLM786426:WLM786497 WBQ786426:WBQ786497 VRU786426:VRU786497 VHY786426:VHY786497 UYC786426:UYC786497 UOG786426:UOG786497 UEK786426:UEK786497 TUO786426:TUO786497 TKS786426:TKS786497 TAW786426:TAW786497 SRA786426:SRA786497 SHE786426:SHE786497 RXI786426:RXI786497 RNM786426:RNM786497 RDQ786426:RDQ786497 QTU786426:QTU786497 QJY786426:QJY786497 QAC786426:QAC786497 PQG786426:PQG786497 PGK786426:PGK786497 OWO786426:OWO786497 OMS786426:OMS786497 OCW786426:OCW786497 NTA786426:NTA786497 NJE786426:NJE786497 MZI786426:MZI786497 MPM786426:MPM786497 MFQ786426:MFQ786497 LVU786426:LVU786497 LLY786426:LLY786497 LCC786426:LCC786497 KSG786426:KSG786497 KIK786426:KIK786497 JYO786426:JYO786497 JOS786426:JOS786497 JEW786426:JEW786497 IVA786426:IVA786497 ILE786426:ILE786497 IBI786426:IBI786497 HRM786426:HRM786497 HHQ786426:HHQ786497 GXU786426:GXU786497 GNY786426:GNY786497 GEC786426:GEC786497 FUG786426:FUG786497 FKK786426:FKK786497 FAO786426:FAO786497 EQS786426:EQS786497 EGW786426:EGW786497 DXA786426:DXA786497 DNE786426:DNE786497 DDI786426:DDI786497 CTM786426:CTM786497 CJQ786426:CJQ786497 BZU786426:BZU786497 BPY786426:BPY786497 BGC786426:BGC786497 AWG786426:AWG786497 AMK786426:AMK786497 ACO786426:ACO786497 SS786426:SS786497 IW786426:IW786497 A786426:A786497 WVI720890:WVI720961 WLM720890:WLM720961 WBQ720890:WBQ720961 VRU720890:VRU720961 VHY720890:VHY720961 UYC720890:UYC720961 UOG720890:UOG720961 UEK720890:UEK720961 TUO720890:TUO720961 TKS720890:TKS720961 TAW720890:TAW720961 SRA720890:SRA720961 SHE720890:SHE720961 RXI720890:RXI720961 RNM720890:RNM720961 RDQ720890:RDQ720961 QTU720890:QTU720961 QJY720890:QJY720961 QAC720890:QAC720961 PQG720890:PQG720961 PGK720890:PGK720961 OWO720890:OWO720961 OMS720890:OMS720961 OCW720890:OCW720961 NTA720890:NTA720961 NJE720890:NJE720961 MZI720890:MZI720961 MPM720890:MPM720961 MFQ720890:MFQ720961 LVU720890:LVU720961 LLY720890:LLY720961 LCC720890:LCC720961 KSG720890:KSG720961 KIK720890:KIK720961 JYO720890:JYO720961 JOS720890:JOS720961 JEW720890:JEW720961 IVA720890:IVA720961 ILE720890:ILE720961 IBI720890:IBI720961 HRM720890:HRM720961 HHQ720890:HHQ720961 GXU720890:GXU720961 GNY720890:GNY720961 GEC720890:GEC720961 FUG720890:FUG720961 FKK720890:FKK720961 FAO720890:FAO720961 EQS720890:EQS720961 EGW720890:EGW720961 DXA720890:DXA720961 DNE720890:DNE720961 DDI720890:DDI720961 CTM720890:CTM720961 CJQ720890:CJQ720961 BZU720890:BZU720961 BPY720890:BPY720961 BGC720890:BGC720961 AWG720890:AWG720961 AMK720890:AMK720961 ACO720890:ACO720961 SS720890:SS720961 IW720890:IW720961 A720890:A720961 WVI655354:WVI655425 WLM655354:WLM655425 WBQ655354:WBQ655425 VRU655354:VRU655425 VHY655354:VHY655425 UYC655354:UYC655425 UOG655354:UOG655425 UEK655354:UEK655425 TUO655354:TUO655425 TKS655354:TKS655425 TAW655354:TAW655425 SRA655354:SRA655425 SHE655354:SHE655425 RXI655354:RXI655425 RNM655354:RNM655425 RDQ655354:RDQ655425 QTU655354:QTU655425 QJY655354:QJY655425 QAC655354:QAC655425 PQG655354:PQG655425 PGK655354:PGK655425 OWO655354:OWO655425 OMS655354:OMS655425 OCW655354:OCW655425 NTA655354:NTA655425 NJE655354:NJE655425 MZI655354:MZI655425 MPM655354:MPM655425 MFQ655354:MFQ655425 LVU655354:LVU655425 LLY655354:LLY655425 LCC655354:LCC655425 KSG655354:KSG655425 KIK655354:KIK655425 JYO655354:JYO655425 JOS655354:JOS655425 JEW655354:JEW655425 IVA655354:IVA655425 ILE655354:ILE655425 IBI655354:IBI655425 HRM655354:HRM655425 HHQ655354:HHQ655425 GXU655354:GXU655425 GNY655354:GNY655425 GEC655354:GEC655425 FUG655354:FUG655425 FKK655354:FKK655425 FAO655354:FAO655425 EQS655354:EQS655425 EGW655354:EGW655425 DXA655354:DXA655425 DNE655354:DNE655425 DDI655354:DDI655425 CTM655354:CTM655425 CJQ655354:CJQ655425 BZU655354:BZU655425 BPY655354:BPY655425 BGC655354:BGC655425 AWG655354:AWG655425 AMK655354:AMK655425 ACO655354:ACO655425 SS655354:SS655425 IW655354:IW655425 A655354:A655425 WVI589818:WVI589889 WLM589818:WLM589889 WBQ589818:WBQ589889 VRU589818:VRU589889 VHY589818:VHY589889 UYC589818:UYC589889 UOG589818:UOG589889 UEK589818:UEK589889 TUO589818:TUO589889 TKS589818:TKS589889 TAW589818:TAW589889 SRA589818:SRA589889 SHE589818:SHE589889 RXI589818:RXI589889 RNM589818:RNM589889 RDQ589818:RDQ589889 QTU589818:QTU589889 QJY589818:QJY589889 QAC589818:QAC589889 PQG589818:PQG589889 PGK589818:PGK589889 OWO589818:OWO589889 OMS589818:OMS589889 OCW589818:OCW589889 NTA589818:NTA589889 NJE589818:NJE589889 MZI589818:MZI589889 MPM589818:MPM589889 MFQ589818:MFQ589889 LVU589818:LVU589889 LLY589818:LLY589889 LCC589818:LCC589889 KSG589818:KSG589889 KIK589818:KIK589889 JYO589818:JYO589889 JOS589818:JOS589889 JEW589818:JEW589889 IVA589818:IVA589889 ILE589818:ILE589889 IBI589818:IBI589889 HRM589818:HRM589889 HHQ589818:HHQ589889 GXU589818:GXU589889 GNY589818:GNY589889 GEC589818:GEC589889 FUG589818:FUG589889 FKK589818:FKK589889 FAO589818:FAO589889 EQS589818:EQS589889 EGW589818:EGW589889 DXA589818:DXA589889 DNE589818:DNE589889 DDI589818:DDI589889 CTM589818:CTM589889 CJQ589818:CJQ589889 BZU589818:BZU589889 BPY589818:BPY589889 BGC589818:BGC589889 AWG589818:AWG589889 AMK589818:AMK589889 ACO589818:ACO589889 SS589818:SS589889 IW589818:IW589889 A589818:A589889 WVI524282:WVI524353 WLM524282:WLM524353 WBQ524282:WBQ524353 VRU524282:VRU524353 VHY524282:VHY524353 UYC524282:UYC524353 UOG524282:UOG524353 UEK524282:UEK524353 TUO524282:TUO524353 TKS524282:TKS524353 TAW524282:TAW524353 SRA524282:SRA524353 SHE524282:SHE524353 RXI524282:RXI524353 RNM524282:RNM524353 RDQ524282:RDQ524353 QTU524282:QTU524353 QJY524282:QJY524353 QAC524282:QAC524353 PQG524282:PQG524353 PGK524282:PGK524353 OWO524282:OWO524353 OMS524282:OMS524353 OCW524282:OCW524353 NTA524282:NTA524353 NJE524282:NJE524353 MZI524282:MZI524353 MPM524282:MPM524353 MFQ524282:MFQ524353 LVU524282:LVU524353 LLY524282:LLY524353 LCC524282:LCC524353 KSG524282:KSG524353 KIK524282:KIK524353 JYO524282:JYO524353 JOS524282:JOS524353 JEW524282:JEW524353 IVA524282:IVA524353 ILE524282:ILE524353 IBI524282:IBI524353 HRM524282:HRM524353 HHQ524282:HHQ524353 GXU524282:GXU524353 GNY524282:GNY524353 GEC524282:GEC524353 FUG524282:FUG524353 FKK524282:FKK524353 FAO524282:FAO524353 EQS524282:EQS524353 EGW524282:EGW524353 DXA524282:DXA524353 DNE524282:DNE524353 DDI524282:DDI524353 CTM524282:CTM524353 CJQ524282:CJQ524353 BZU524282:BZU524353 BPY524282:BPY524353 BGC524282:BGC524353 AWG524282:AWG524353 AMK524282:AMK524353 ACO524282:ACO524353 SS524282:SS524353 IW524282:IW524353 A524282:A524353 WVI458746:WVI458817 WLM458746:WLM458817 WBQ458746:WBQ458817 VRU458746:VRU458817 VHY458746:VHY458817 UYC458746:UYC458817 UOG458746:UOG458817 UEK458746:UEK458817 TUO458746:TUO458817 TKS458746:TKS458817 TAW458746:TAW458817 SRA458746:SRA458817 SHE458746:SHE458817 RXI458746:RXI458817 RNM458746:RNM458817 RDQ458746:RDQ458817 QTU458746:QTU458817 QJY458746:QJY458817 QAC458746:QAC458817 PQG458746:PQG458817 PGK458746:PGK458817 OWO458746:OWO458817 OMS458746:OMS458817 OCW458746:OCW458817 NTA458746:NTA458817 NJE458746:NJE458817 MZI458746:MZI458817 MPM458746:MPM458817 MFQ458746:MFQ458817 LVU458746:LVU458817 LLY458746:LLY458817 LCC458746:LCC458817 KSG458746:KSG458817 KIK458746:KIK458817 JYO458746:JYO458817 JOS458746:JOS458817 JEW458746:JEW458817 IVA458746:IVA458817 ILE458746:ILE458817 IBI458746:IBI458817 HRM458746:HRM458817 HHQ458746:HHQ458817 GXU458746:GXU458817 GNY458746:GNY458817 GEC458746:GEC458817 FUG458746:FUG458817 FKK458746:FKK458817 FAO458746:FAO458817 EQS458746:EQS458817 EGW458746:EGW458817 DXA458746:DXA458817 DNE458746:DNE458817 DDI458746:DDI458817 CTM458746:CTM458817 CJQ458746:CJQ458817 BZU458746:BZU458817 BPY458746:BPY458817 BGC458746:BGC458817 AWG458746:AWG458817 AMK458746:AMK458817 ACO458746:ACO458817 SS458746:SS458817 IW458746:IW458817 A458746:A458817 WVI393210:WVI393281 WLM393210:WLM393281 WBQ393210:WBQ393281 VRU393210:VRU393281 VHY393210:VHY393281 UYC393210:UYC393281 UOG393210:UOG393281 UEK393210:UEK393281 TUO393210:TUO393281 TKS393210:TKS393281 TAW393210:TAW393281 SRA393210:SRA393281 SHE393210:SHE393281 RXI393210:RXI393281 RNM393210:RNM393281 RDQ393210:RDQ393281 QTU393210:QTU393281 QJY393210:QJY393281 QAC393210:QAC393281 PQG393210:PQG393281 PGK393210:PGK393281 OWO393210:OWO393281 OMS393210:OMS393281 OCW393210:OCW393281 NTA393210:NTA393281 NJE393210:NJE393281 MZI393210:MZI393281 MPM393210:MPM393281 MFQ393210:MFQ393281 LVU393210:LVU393281 LLY393210:LLY393281 LCC393210:LCC393281 KSG393210:KSG393281 KIK393210:KIK393281 JYO393210:JYO393281 JOS393210:JOS393281 JEW393210:JEW393281 IVA393210:IVA393281 ILE393210:ILE393281 IBI393210:IBI393281 HRM393210:HRM393281 HHQ393210:HHQ393281 GXU393210:GXU393281 GNY393210:GNY393281 GEC393210:GEC393281 FUG393210:FUG393281 FKK393210:FKK393281 FAO393210:FAO393281 EQS393210:EQS393281 EGW393210:EGW393281 DXA393210:DXA393281 DNE393210:DNE393281 DDI393210:DDI393281 CTM393210:CTM393281 CJQ393210:CJQ393281 BZU393210:BZU393281 BPY393210:BPY393281 BGC393210:BGC393281 AWG393210:AWG393281 AMK393210:AMK393281 ACO393210:ACO393281 SS393210:SS393281 IW393210:IW393281 A393210:A393281 WVI327674:WVI327745 WLM327674:WLM327745 WBQ327674:WBQ327745 VRU327674:VRU327745 VHY327674:VHY327745 UYC327674:UYC327745 UOG327674:UOG327745 UEK327674:UEK327745 TUO327674:TUO327745 TKS327674:TKS327745 TAW327674:TAW327745 SRA327674:SRA327745 SHE327674:SHE327745 RXI327674:RXI327745 RNM327674:RNM327745 RDQ327674:RDQ327745 QTU327674:QTU327745 QJY327674:QJY327745 QAC327674:QAC327745 PQG327674:PQG327745 PGK327674:PGK327745 OWO327674:OWO327745 OMS327674:OMS327745 OCW327674:OCW327745 NTA327674:NTA327745 NJE327674:NJE327745 MZI327674:MZI327745 MPM327674:MPM327745 MFQ327674:MFQ327745 LVU327674:LVU327745 LLY327674:LLY327745 LCC327674:LCC327745 KSG327674:KSG327745 KIK327674:KIK327745 JYO327674:JYO327745 JOS327674:JOS327745 JEW327674:JEW327745 IVA327674:IVA327745 ILE327674:ILE327745 IBI327674:IBI327745 HRM327674:HRM327745 HHQ327674:HHQ327745 GXU327674:GXU327745 GNY327674:GNY327745 GEC327674:GEC327745 FUG327674:FUG327745 FKK327674:FKK327745 FAO327674:FAO327745 EQS327674:EQS327745 EGW327674:EGW327745 DXA327674:DXA327745 DNE327674:DNE327745 DDI327674:DDI327745 CTM327674:CTM327745 CJQ327674:CJQ327745 BZU327674:BZU327745 BPY327674:BPY327745 BGC327674:BGC327745 AWG327674:AWG327745 AMK327674:AMK327745 ACO327674:ACO327745 SS327674:SS327745 IW327674:IW327745 A327674:A327745 WVI262138:WVI262209 WLM262138:WLM262209 WBQ262138:WBQ262209 VRU262138:VRU262209 VHY262138:VHY262209 UYC262138:UYC262209 UOG262138:UOG262209 UEK262138:UEK262209 TUO262138:TUO262209 TKS262138:TKS262209 TAW262138:TAW262209 SRA262138:SRA262209 SHE262138:SHE262209 RXI262138:RXI262209 RNM262138:RNM262209 RDQ262138:RDQ262209 QTU262138:QTU262209 QJY262138:QJY262209 QAC262138:QAC262209 PQG262138:PQG262209 PGK262138:PGK262209 OWO262138:OWO262209 OMS262138:OMS262209 OCW262138:OCW262209 NTA262138:NTA262209 NJE262138:NJE262209 MZI262138:MZI262209 MPM262138:MPM262209 MFQ262138:MFQ262209 LVU262138:LVU262209 LLY262138:LLY262209 LCC262138:LCC262209 KSG262138:KSG262209 KIK262138:KIK262209 JYO262138:JYO262209 JOS262138:JOS262209 JEW262138:JEW262209 IVA262138:IVA262209 ILE262138:ILE262209 IBI262138:IBI262209 HRM262138:HRM262209 HHQ262138:HHQ262209 GXU262138:GXU262209 GNY262138:GNY262209 GEC262138:GEC262209 FUG262138:FUG262209 FKK262138:FKK262209 FAO262138:FAO262209 EQS262138:EQS262209 EGW262138:EGW262209 DXA262138:DXA262209 DNE262138:DNE262209 DDI262138:DDI262209 CTM262138:CTM262209 CJQ262138:CJQ262209 BZU262138:BZU262209 BPY262138:BPY262209 BGC262138:BGC262209 AWG262138:AWG262209 AMK262138:AMK262209 ACO262138:ACO262209 SS262138:SS262209 IW262138:IW262209 A262138:A262209 WVI196602:WVI196673 WLM196602:WLM196673 WBQ196602:WBQ196673 VRU196602:VRU196673 VHY196602:VHY196673 UYC196602:UYC196673 UOG196602:UOG196673 UEK196602:UEK196673 TUO196602:TUO196673 TKS196602:TKS196673 TAW196602:TAW196673 SRA196602:SRA196673 SHE196602:SHE196673 RXI196602:RXI196673 RNM196602:RNM196673 RDQ196602:RDQ196673 QTU196602:QTU196673 QJY196602:QJY196673 QAC196602:QAC196673 PQG196602:PQG196673 PGK196602:PGK196673 OWO196602:OWO196673 OMS196602:OMS196673 OCW196602:OCW196673 NTA196602:NTA196673 NJE196602:NJE196673 MZI196602:MZI196673 MPM196602:MPM196673 MFQ196602:MFQ196673 LVU196602:LVU196673 LLY196602:LLY196673 LCC196602:LCC196673 KSG196602:KSG196673 KIK196602:KIK196673 JYO196602:JYO196673 JOS196602:JOS196673 JEW196602:JEW196673 IVA196602:IVA196673 ILE196602:ILE196673 IBI196602:IBI196673 HRM196602:HRM196673 HHQ196602:HHQ196673 GXU196602:GXU196673 GNY196602:GNY196673 GEC196602:GEC196673 FUG196602:FUG196673 FKK196602:FKK196673 FAO196602:FAO196673 EQS196602:EQS196673 EGW196602:EGW196673 DXA196602:DXA196673 DNE196602:DNE196673 DDI196602:DDI196673 CTM196602:CTM196673 CJQ196602:CJQ196673 BZU196602:BZU196673 BPY196602:BPY196673 BGC196602:BGC196673 AWG196602:AWG196673 AMK196602:AMK196673 ACO196602:ACO196673 SS196602:SS196673 IW196602:IW196673 A196602:A196673 WVI131066:WVI131137 WLM131066:WLM131137 WBQ131066:WBQ131137 VRU131066:VRU131137 VHY131066:VHY131137 UYC131066:UYC131137 UOG131066:UOG131137 UEK131066:UEK131137 TUO131066:TUO131137 TKS131066:TKS131137 TAW131066:TAW131137 SRA131066:SRA131137 SHE131066:SHE131137 RXI131066:RXI131137 RNM131066:RNM131137 RDQ131066:RDQ131137 QTU131066:QTU131137 QJY131066:QJY131137 QAC131066:QAC131137 PQG131066:PQG131137 PGK131066:PGK131137 OWO131066:OWO131137 OMS131066:OMS131137 OCW131066:OCW131137 NTA131066:NTA131137 NJE131066:NJE131137 MZI131066:MZI131137 MPM131066:MPM131137 MFQ131066:MFQ131137 LVU131066:LVU131137 LLY131066:LLY131137 LCC131066:LCC131137 KSG131066:KSG131137 KIK131066:KIK131137 JYO131066:JYO131137 JOS131066:JOS131137 JEW131066:JEW131137 IVA131066:IVA131137 ILE131066:ILE131137 IBI131066:IBI131137 HRM131066:HRM131137 HHQ131066:HHQ131137 GXU131066:GXU131137 GNY131066:GNY131137 GEC131066:GEC131137 FUG131066:FUG131137 FKK131066:FKK131137 FAO131066:FAO131137 EQS131066:EQS131137 EGW131066:EGW131137 DXA131066:DXA131137 DNE131066:DNE131137 DDI131066:DDI131137 CTM131066:CTM131137 CJQ131066:CJQ131137 BZU131066:BZU131137 BPY131066:BPY131137 BGC131066:BGC131137 AWG131066:AWG131137 AMK131066:AMK131137 ACO131066:ACO131137 SS131066:SS131137 IW131066:IW131137 A131066:A131137 WVI65530:WVI65601 WLM65530:WLM65601 WBQ65530:WBQ65601 VRU65530:VRU65601 VHY65530:VHY65601 UYC65530:UYC65601 UOG65530:UOG65601 UEK65530:UEK65601 TUO65530:TUO65601 TKS65530:TKS65601 TAW65530:TAW65601 SRA65530:SRA65601 SHE65530:SHE65601 RXI65530:RXI65601 RNM65530:RNM65601 RDQ65530:RDQ65601 QTU65530:QTU65601 QJY65530:QJY65601 QAC65530:QAC65601 PQG65530:PQG65601 PGK65530:PGK65601 OWO65530:OWO65601 OMS65530:OMS65601 OCW65530:OCW65601 NTA65530:NTA65601 NJE65530:NJE65601 MZI65530:MZI65601 MPM65530:MPM65601 MFQ65530:MFQ65601 LVU65530:LVU65601 LLY65530:LLY65601 LCC65530:LCC65601 KSG65530:KSG65601 KIK65530:KIK65601 JYO65530:JYO65601 JOS65530:JOS65601 JEW65530:JEW65601 IVA65530:IVA65601 ILE65530:ILE65601 IBI65530:IBI65601 HRM65530:HRM65601 HHQ65530:HHQ65601 GXU65530:GXU65601 GNY65530:GNY65601 GEC65530:GEC65601 FUG65530:FUG65601 FKK65530:FKK65601 FAO65530:FAO65601 EQS65530:EQS65601 EGW65530:EGW65601 DXA65530:DXA65601 DNE65530:DNE65601 DDI65530:DDI65601 CTM65530:CTM65601 CJQ65530:CJQ65601 BZU65530:BZU65601 BPY65530:BPY65601 BGC65530:BGC65601 AWG65530:AWG65601 AMK65530:AMK65601 ACO65530:ACO65601 SS65530:SS65601 IW65530:IW65601 A65530:A65601 WVI983034:WVI983105 WVI1047395:WVI1047460 WLM1047395:WLM1047460 WBQ1047395:WBQ1047460 VRU1047395:VRU1047460 VHY1047395:VHY1047460 UYC1047395:UYC1047460 UOG1047395:UOG1047460 UEK1047395:UEK1047460 TUO1047395:TUO1047460 TKS1047395:TKS1047460 TAW1047395:TAW1047460 SRA1047395:SRA1047460 SHE1047395:SHE1047460 RXI1047395:RXI1047460 RNM1047395:RNM1047460 RDQ1047395:RDQ1047460 QTU1047395:QTU1047460 QJY1047395:QJY1047460 QAC1047395:QAC1047460 PQG1047395:PQG1047460 PGK1047395:PGK1047460 OWO1047395:OWO1047460 OMS1047395:OMS1047460 OCW1047395:OCW1047460 NTA1047395:NTA1047460 NJE1047395:NJE1047460 MZI1047395:MZI1047460 MPM1047395:MPM1047460 MFQ1047395:MFQ1047460 LVU1047395:LVU1047460 LLY1047395:LLY1047460 LCC1047395:LCC1047460 KSG1047395:KSG1047460 KIK1047395:KIK1047460 JYO1047395:JYO1047460 JOS1047395:JOS1047460 JEW1047395:JEW1047460 IVA1047395:IVA1047460 ILE1047395:ILE1047460 IBI1047395:IBI1047460 HRM1047395:HRM1047460 HHQ1047395:HHQ1047460 GXU1047395:GXU1047460 GNY1047395:GNY1047460 GEC1047395:GEC1047460 FUG1047395:FUG1047460 FKK1047395:FKK1047460 FAO1047395:FAO1047460 EQS1047395:EQS1047460 EGW1047395:EGW1047460 DXA1047395:DXA1047460 DNE1047395:DNE1047460 DDI1047395:DDI1047460 CTM1047395:CTM1047460 CJQ1047395:CJQ1047460 BZU1047395:BZU1047460 BPY1047395:BPY1047460 BGC1047395:BGC1047460 AWG1047395:AWG1047460 AMK1047395:AMK1047460 ACO1047395:ACO1047460 SS1047395:SS1047460 IW1047395:IW1047460 A1047395:A1047460 WVI981859:WVI981924 WLM981859:WLM981924 WBQ981859:WBQ981924 VRU981859:VRU981924 VHY981859:VHY981924 UYC981859:UYC981924 UOG981859:UOG981924 UEK981859:UEK981924 TUO981859:TUO981924 TKS981859:TKS981924 TAW981859:TAW981924 SRA981859:SRA981924 SHE981859:SHE981924 RXI981859:RXI981924 RNM981859:RNM981924 RDQ981859:RDQ981924 QTU981859:QTU981924 QJY981859:QJY981924 QAC981859:QAC981924 PQG981859:PQG981924 PGK981859:PGK981924 OWO981859:OWO981924 OMS981859:OMS981924 OCW981859:OCW981924 NTA981859:NTA981924 NJE981859:NJE981924 MZI981859:MZI981924 MPM981859:MPM981924 MFQ981859:MFQ981924 LVU981859:LVU981924 LLY981859:LLY981924 LCC981859:LCC981924 KSG981859:KSG981924 KIK981859:KIK981924 JYO981859:JYO981924 JOS981859:JOS981924 JEW981859:JEW981924 IVA981859:IVA981924 ILE981859:ILE981924 IBI981859:IBI981924 HRM981859:HRM981924 HHQ981859:HHQ981924 GXU981859:GXU981924 GNY981859:GNY981924 GEC981859:GEC981924 FUG981859:FUG981924 FKK981859:FKK981924 FAO981859:FAO981924 EQS981859:EQS981924 EGW981859:EGW981924 DXA981859:DXA981924 DNE981859:DNE981924 DDI981859:DDI981924 CTM981859:CTM981924 CJQ981859:CJQ981924 BZU981859:BZU981924 BPY981859:BPY981924 BGC981859:BGC981924 AWG981859:AWG981924 AMK981859:AMK981924 ACO981859:ACO981924 SS981859:SS981924 IW981859:IW981924 A981859:A981924 WVI916323:WVI916388 WLM916323:WLM916388 WBQ916323:WBQ916388 VRU916323:VRU916388 VHY916323:VHY916388 UYC916323:UYC916388 UOG916323:UOG916388 UEK916323:UEK916388 TUO916323:TUO916388 TKS916323:TKS916388 TAW916323:TAW916388 SRA916323:SRA916388 SHE916323:SHE916388 RXI916323:RXI916388 RNM916323:RNM916388 RDQ916323:RDQ916388 QTU916323:QTU916388 QJY916323:QJY916388 QAC916323:QAC916388 PQG916323:PQG916388 PGK916323:PGK916388 OWO916323:OWO916388 OMS916323:OMS916388 OCW916323:OCW916388 NTA916323:NTA916388 NJE916323:NJE916388 MZI916323:MZI916388 MPM916323:MPM916388 MFQ916323:MFQ916388 LVU916323:LVU916388 LLY916323:LLY916388 LCC916323:LCC916388 KSG916323:KSG916388 KIK916323:KIK916388 JYO916323:JYO916388 JOS916323:JOS916388 JEW916323:JEW916388 IVA916323:IVA916388 ILE916323:ILE916388 IBI916323:IBI916388 HRM916323:HRM916388 HHQ916323:HHQ916388 GXU916323:GXU916388 GNY916323:GNY916388 GEC916323:GEC916388 FUG916323:FUG916388 FKK916323:FKK916388 FAO916323:FAO916388 EQS916323:EQS916388 EGW916323:EGW916388 DXA916323:DXA916388 DNE916323:DNE916388 DDI916323:DDI916388 CTM916323:CTM916388 CJQ916323:CJQ916388 BZU916323:BZU916388 BPY916323:BPY916388 BGC916323:BGC916388 AWG916323:AWG916388 AMK916323:AMK916388 ACO916323:ACO916388 SS916323:SS916388 IW916323:IW916388 A916323:A916388 WVI850787:WVI850852 WLM850787:WLM850852 WBQ850787:WBQ850852 VRU850787:VRU850852 VHY850787:VHY850852 UYC850787:UYC850852 UOG850787:UOG850852 UEK850787:UEK850852 TUO850787:TUO850852 TKS850787:TKS850852 TAW850787:TAW850852 SRA850787:SRA850852 SHE850787:SHE850852 RXI850787:RXI850852 RNM850787:RNM850852 RDQ850787:RDQ850852 QTU850787:QTU850852 QJY850787:QJY850852 QAC850787:QAC850852 PQG850787:PQG850852 PGK850787:PGK850852 OWO850787:OWO850852 OMS850787:OMS850852 OCW850787:OCW850852 NTA850787:NTA850852 NJE850787:NJE850852 MZI850787:MZI850852 MPM850787:MPM850852 MFQ850787:MFQ850852 LVU850787:LVU850852 LLY850787:LLY850852 LCC850787:LCC850852 KSG850787:KSG850852 KIK850787:KIK850852 JYO850787:JYO850852 JOS850787:JOS850852 JEW850787:JEW850852 IVA850787:IVA850852 ILE850787:ILE850852 IBI850787:IBI850852 HRM850787:HRM850852 HHQ850787:HHQ850852 GXU850787:GXU850852 GNY850787:GNY850852 GEC850787:GEC850852 FUG850787:FUG850852 FKK850787:FKK850852 FAO850787:FAO850852 EQS850787:EQS850852 EGW850787:EGW850852 DXA850787:DXA850852 DNE850787:DNE850852 DDI850787:DDI850852 CTM850787:CTM850852 CJQ850787:CJQ850852 BZU850787:BZU850852 BPY850787:BPY850852 BGC850787:BGC850852 AWG850787:AWG850852 AMK850787:AMK850852 ACO850787:ACO850852 SS850787:SS850852 IW850787:IW850852 A850787:A850852 WVI785251:WVI785316 WLM785251:WLM785316 WBQ785251:WBQ785316 VRU785251:VRU785316 VHY785251:VHY785316 UYC785251:UYC785316 UOG785251:UOG785316 UEK785251:UEK785316 TUO785251:TUO785316 TKS785251:TKS785316 TAW785251:TAW785316 SRA785251:SRA785316 SHE785251:SHE785316 RXI785251:RXI785316 RNM785251:RNM785316 RDQ785251:RDQ785316 QTU785251:QTU785316 QJY785251:QJY785316 QAC785251:QAC785316 PQG785251:PQG785316 PGK785251:PGK785316 OWO785251:OWO785316 OMS785251:OMS785316 OCW785251:OCW785316 NTA785251:NTA785316 NJE785251:NJE785316 MZI785251:MZI785316 MPM785251:MPM785316 MFQ785251:MFQ785316 LVU785251:LVU785316 LLY785251:LLY785316 LCC785251:LCC785316 KSG785251:KSG785316 KIK785251:KIK785316 JYO785251:JYO785316 JOS785251:JOS785316 JEW785251:JEW785316 IVA785251:IVA785316 ILE785251:ILE785316 IBI785251:IBI785316 HRM785251:HRM785316 HHQ785251:HHQ785316 GXU785251:GXU785316 GNY785251:GNY785316 GEC785251:GEC785316 FUG785251:FUG785316 FKK785251:FKK785316 FAO785251:FAO785316 EQS785251:EQS785316 EGW785251:EGW785316 DXA785251:DXA785316 DNE785251:DNE785316 DDI785251:DDI785316 CTM785251:CTM785316 CJQ785251:CJQ785316 BZU785251:BZU785316 BPY785251:BPY785316 BGC785251:BGC785316 AWG785251:AWG785316 AMK785251:AMK785316 ACO785251:ACO785316 SS785251:SS785316 IW785251:IW785316 A785251:A785316 WVI719715:WVI719780 WLM719715:WLM719780 WBQ719715:WBQ719780 VRU719715:VRU719780 VHY719715:VHY719780 UYC719715:UYC719780 UOG719715:UOG719780 UEK719715:UEK719780 TUO719715:TUO719780 TKS719715:TKS719780 TAW719715:TAW719780 SRA719715:SRA719780 SHE719715:SHE719780 RXI719715:RXI719780 RNM719715:RNM719780 RDQ719715:RDQ719780 QTU719715:QTU719780 QJY719715:QJY719780 QAC719715:QAC719780 PQG719715:PQG719780 PGK719715:PGK719780 OWO719715:OWO719780 OMS719715:OMS719780 OCW719715:OCW719780 NTA719715:NTA719780 NJE719715:NJE719780 MZI719715:MZI719780 MPM719715:MPM719780 MFQ719715:MFQ719780 LVU719715:LVU719780 LLY719715:LLY719780 LCC719715:LCC719780 KSG719715:KSG719780 KIK719715:KIK719780 JYO719715:JYO719780 JOS719715:JOS719780 JEW719715:JEW719780 IVA719715:IVA719780 ILE719715:ILE719780 IBI719715:IBI719780 HRM719715:HRM719780 HHQ719715:HHQ719780 GXU719715:GXU719780 GNY719715:GNY719780 GEC719715:GEC719780 FUG719715:FUG719780 FKK719715:FKK719780 FAO719715:FAO719780 EQS719715:EQS719780 EGW719715:EGW719780 DXA719715:DXA719780 DNE719715:DNE719780 DDI719715:DDI719780 CTM719715:CTM719780 CJQ719715:CJQ719780 BZU719715:BZU719780 BPY719715:BPY719780 BGC719715:BGC719780 AWG719715:AWG719780 AMK719715:AMK719780 ACO719715:ACO719780 SS719715:SS719780 IW719715:IW719780 A719715:A719780 WVI654179:WVI654244 WLM654179:WLM654244 WBQ654179:WBQ654244 VRU654179:VRU654244 VHY654179:VHY654244 UYC654179:UYC654244 UOG654179:UOG654244 UEK654179:UEK654244 TUO654179:TUO654244 TKS654179:TKS654244 TAW654179:TAW654244 SRA654179:SRA654244 SHE654179:SHE654244 RXI654179:RXI654244 RNM654179:RNM654244 RDQ654179:RDQ654244 QTU654179:QTU654244 QJY654179:QJY654244 QAC654179:QAC654244 PQG654179:PQG654244 PGK654179:PGK654244 OWO654179:OWO654244 OMS654179:OMS654244 OCW654179:OCW654244 NTA654179:NTA654244 NJE654179:NJE654244 MZI654179:MZI654244 MPM654179:MPM654244 MFQ654179:MFQ654244 LVU654179:LVU654244 LLY654179:LLY654244 LCC654179:LCC654244 KSG654179:KSG654244 KIK654179:KIK654244 JYO654179:JYO654244 JOS654179:JOS654244 JEW654179:JEW654244 IVA654179:IVA654244 ILE654179:ILE654244 IBI654179:IBI654244 HRM654179:HRM654244 HHQ654179:HHQ654244 GXU654179:GXU654244 GNY654179:GNY654244 GEC654179:GEC654244 FUG654179:FUG654244 FKK654179:FKK654244 FAO654179:FAO654244 EQS654179:EQS654244 EGW654179:EGW654244 DXA654179:DXA654244 DNE654179:DNE654244 DDI654179:DDI654244 CTM654179:CTM654244 CJQ654179:CJQ654244 BZU654179:BZU654244 BPY654179:BPY654244 BGC654179:BGC654244 AWG654179:AWG654244 AMK654179:AMK654244 ACO654179:ACO654244 SS654179:SS654244 IW654179:IW654244 A654179:A654244 WVI588643:WVI588708 WLM588643:WLM588708 WBQ588643:WBQ588708 VRU588643:VRU588708 VHY588643:VHY588708 UYC588643:UYC588708 UOG588643:UOG588708 UEK588643:UEK588708 TUO588643:TUO588708 TKS588643:TKS588708 TAW588643:TAW588708 SRA588643:SRA588708 SHE588643:SHE588708 RXI588643:RXI588708 RNM588643:RNM588708 RDQ588643:RDQ588708 QTU588643:QTU588708 QJY588643:QJY588708 QAC588643:QAC588708 PQG588643:PQG588708 PGK588643:PGK588708 OWO588643:OWO588708 OMS588643:OMS588708 OCW588643:OCW588708 NTA588643:NTA588708 NJE588643:NJE588708 MZI588643:MZI588708 MPM588643:MPM588708 MFQ588643:MFQ588708 LVU588643:LVU588708 LLY588643:LLY588708 LCC588643:LCC588708 KSG588643:KSG588708 KIK588643:KIK588708 JYO588643:JYO588708 JOS588643:JOS588708 JEW588643:JEW588708 IVA588643:IVA588708 ILE588643:ILE588708 IBI588643:IBI588708 HRM588643:HRM588708 HHQ588643:HHQ588708 GXU588643:GXU588708 GNY588643:GNY588708 GEC588643:GEC588708 FUG588643:FUG588708 FKK588643:FKK588708 FAO588643:FAO588708 EQS588643:EQS588708 EGW588643:EGW588708 DXA588643:DXA588708 DNE588643:DNE588708 DDI588643:DDI588708 CTM588643:CTM588708 CJQ588643:CJQ588708 BZU588643:BZU588708 BPY588643:BPY588708 BGC588643:BGC588708 AWG588643:AWG588708 AMK588643:AMK588708 ACO588643:ACO588708 SS588643:SS588708 IW588643:IW588708 A588643:A588708 WVI523107:WVI523172 WLM523107:WLM523172 WBQ523107:WBQ523172 VRU523107:VRU523172 VHY523107:VHY523172 UYC523107:UYC523172 UOG523107:UOG523172 UEK523107:UEK523172 TUO523107:TUO523172 TKS523107:TKS523172 TAW523107:TAW523172 SRA523107:SRA523172 SHE523107:SHE523172 RXI523107:RXI523172 RNM523107:RNM523172 RDQ523107:RDQ523172 QTU523107:QTU523172 QJY523107:QJY523172 QAC523107:QAC523172 PQG523107:PQG523172 PGK523107:PGK523172 OWO523107:OWO523172 OMS523107:OMS523172 OCW523107:OCW523172 NTA523107:NTA523172 NJE523107:NJE523172 MZI523107:MZI523172 MPM523107:MPM523172 MFQ523107:MFQ523172 LVU523107:LVU523172 LLY523107:LLY523172 LCC523107:LCC523172 KSG523107:KSG523172 KIK523107:KIK523172 JYO523107:JYO523172 JOS523107:JOS523172 JEW523107:JEW523172 IVA523107:IVA523172 ILE523107:ILE523172 IBI523107:IBI523172 HRM523107:HRM523172 HHQ523107:HHQ523172 GXU523107:GXU523172 GNY523107:GNY523172 GEC523107:GEC523172 FUG523107:FUG523172 FKK523107:FKK523172 FAO523107:FAO523172 EQS523107:EQS523172 EGW523107:EGW523172 DXA523107:DXA523172 DNE523107:DNE523172 DDI523107:DDI523172 CTM523107:CTM523172 CJQ523107:CJQ523172 BZU523107:BZU523172 BPY523107:BPY523172 BGC523107:BGC523172 AWG523107:AWG523172 AMK523107:AMK523172 ACO523107:ACO523172 SS523107:SS523172 IW523107:IW523172 A523107:A523172 WVI457571:WVI457636 WLM457571:WLM457636 WBQ457571:WBQ457636 VRU457571:VRU457636 VHY457571:VHY457636 UYC457571:UYC457636 UOG457571:UOG457636 UEK457571:UEK457636 TUO457571:TUO457636 TKS457571:TKS457636 TAW457571:TAW457636 SRA457571:SRA457636 SHE457571:SHE457636 RXI457571:RXI457636 RNM457571:RNM457636 RDQ457571:RDQ457636 QTU457571:QTU457636 QJY457571:QJY457636 QAC457571:QAC457636 PQG457571:PQG457636 PGK457571:PGK457636 OWO457571:OWO457636 OMS457571:OMS457636 OCW457571:OCW457636 NTA457571:NTA457636 NJE457571:NJE457636 MZI457571:MZI457636 MPM457571:MPM457636 MFQ457571:MFQ457636 LVU457571:LVU457636 LLY457571:LLY457636 LCC457571:LCC457636 KSG457571:KSG457636 KIK457571:KIK457636 JYO457571:JYO457636 JOS457571:JOS457636 JEW457571:JEW457636 IVA457571:IVA457636 ILE457571:ILE457636 IBI457571:IBI457636 HRM457571:HRM457636 HHQ457571:HHQ457636 GXU457571:GXU457636 GNY457571:GNY457636 GEC457571:GEC457636 FUG457571:FUG457636 FKK457571:FKK457636 FAO457571:FAO457636 EQS457571:EQS457636 EGW457571:EGW457636 DXA457571:DXA457636 DNE457571:DNE457636 DDI457571:DDI457636 CTM457571:CTM457636 CJQ457571:CJQ457636 BZU457571:BZU457636 BPY457571:BPY457636 BGC457571:BGC457636 AWG457571:AWG457636 AMK457571:AMK457636 ACO457571:ACO457636 SS457571:SS457636 IW457571:IW457636 A457571:A457636 WVI392035:WVI392100 WLM392035:WLM392100 WBQ392035:WBQ392100 VRU392035:VRU392100 VHY392035:VHY392100 UYC392035:UYC392100 UOG392035:UOG392100 UEK392035:UEK392100 TUO392035:TUO392100 TKS392035:TKS392100 TAW392035:TAW392100 SRA392035:SRA392100 SHE392035:SHE392100 RXI392035:RXI392100 RNM392035:RNM392100 RDQ392035:RDQ392100 QTU392035:QTU392100 QJY392035:QJY392100 QAC392035:QAC392100 PQG392035:PQG392100 PGK392035:PGK392100 OWO392035:OWO392100 OMS392035:OMS392100 OCW392035:OCW392100 NTA392035:NTA392100 NJE392035:NJE392100 MZI392035:MZI392100 MPM392035:MPM392100 MFQ392035:MFQ392100 LVU392035:LVU392100 LLY392035:LLY392100 LCC392035:LCC392100 KSG392035:KSG392100 KIK392035:KIK392100 JYO392035:JYO392100 JOS392035:JOS392100 JEW392035:JEW392100 IVA392035:IVA392100 ILE392035:ILE392100 IBI392035:IBI392100 HRM392035:HRM392100 HHQ392035:HHQ392100 GXU392035:GXU392100 GNY392035:GNY392100 GEC392035:GEC392100 FUG392035:FUG392100 FKK392035:FKK392100 FAO392035:FAO392100 EQS392035:EQS392100 EGW392035:EGW392100 DXA392035:DXA392100 DNE392035:DNE392100 DDI392035:DDI392100 CTM392035:CTM392100 CJQ392035:CJQ392100 BZU392035:BZU392100 BPY392035:BPY392100 BGC392035:BGC392100 AWG392035:AWG392100 AMK392035:AMK392100 ACO392035:ACO392100 SS392035:SS392100 IW392035:IW392100 A392035:A392100 WVI326499:WVI326564 WLM326499:WLM326564 WBQ326499:WBQ326564 VRU326499:VRU326564 VHY326499:VHY326564 UYC326499:UYC326564 UOG326499:UOG326564 UEK326499:UEK326564 TUO326499:TUO326564 TKS326499:TKS326564 TAW326499:TAW326564 SRA326499:SRA326564 SHE326499:SHE326564 RXI326499:RXI326564 RNM326499:RNM326564 RDQ326499:RDQ326564 QTU326499:QTU326564 QJY326499:QJY326564 QAC326499:QAC326564 PQG326499:PQG326564 PGK326499:PGK326564 OWO326499:OWO326564 OMS326499:OMS326564 OCW326499:OCW326564 NTA326499:NTA326564 NJE326499:NJE326564 MZI326499:MZI326564 MPM326499:MPM326564 MFQ326499:MFQ326564 LVU326499:LVU326564 LLY326499:LLY326564 LCC326499:LCC326564 KSG326499:KSG326564 KIK326499:KIK326564 JYO326499:JYO326564 JOS326499:JOS326564 JEW326499:JEW326564 IVA326499:IVA326564 ILE326499:ILE326564 IBI326499:IBI326564 HRM326499:HRM326564 HHQ326499:HHQ326564 GXU326499:GXU326564 GNY326499:GNY326564 GEC326499:GEC326564 FUG326499:FUG326564 FKK326499:FKK326564 FAO326499:FAO326564 EQS326499:EQS326564 EGW326499:EGW326564 DXA326499:DXA326564 DNE326499:DNE326564 DDI326499:DDI326564 CTM326499:CTM326564 CJQ326499:CJQ326564 BZU326499:BZU326564 BPY326499:BPY326564 BGC326499:BGC326564 AWG326499:AWG326564 AMK326499:AMK326564 ACO326499:ACO326564 SS326499:SS326564 IW326499:IW326564 A326499:A326564 WVI260963:WVI261028 WLM260963:WLM261028 WBQ260963:WBQ261028 VRU260963:VRU261028 VHY260963:VHY261028 UYC260963:UYC261028 UOG260963:UOG261028 UEK260963:UEK261028 TUO260963:TUO261028 TKS260963:TKS261028 TAW260963:TAW261028 SRA260963:SRA261028 SHE260963:SHE261028 RXI260963:RXI261028 RNM260963:RNM261028 RDQ260963:RDQ261028 QTU260963:QTU261028 QJY260963:QJY261028 QAC260963:QAC261028 PQG260963:PQG261028 PGK260963:PGK261028 OWO260963:OWO261028 OMS260963:OMS261028 OCW260963:OCW261028 NTA260963:NTA261028 NJE260963:NJE261028 MZI260963:MZI261028 MPM260963:MPM261028 MFQ260963:MFQ261028 LVU260963:LVU261028 LLY260963:LLY261028 LCC260963:LCC261028 KSG260963:KSG261028 KIK260963:KIK261028 JYO260963:JYO261028 JOS260963:JOS261028 JEW260963:JEW261028 IVA260963:IVA261028 ILE260963:ILE261028 IBI260963:IBI261028 HRM260963:HRM261028 HHQ260963:HHQ261028 GXU260963:GXU261028 GNY260963:GNY261028 GEC260963:GEC261028 FUG260963:FUG261028 FKK260963:FKK261028 FAO260963:FAO261028 EQS260963:EQS261028 EGW260963:EGW261028 DXA260963:DXA261028 DNE260963:DNE261028 DDI260963:DDI261028 CTM260963:CTM261028 CJQ260963:CJQ261028 BZU260963:BZU261028 BPY260963:BPY261028 BGC260963:BGC261028 AWG260963:AWG261028 AMK260963:AMK261028 ACO260963:ACO261028 SS260963:SS261028 IW260963:IW261028 A260963:A261028 WVI195427:WVI195492 WLM195427:WLM195492 WBQ195427:WBQ195492 VRU195427:VRU195492 VHY195427:VHY195492 UYC195427:UYC195492 UOG195427:UOG195492 UEK195427:UEK195492 TUO195427:TUO195492 TKS195427:TKS195492 TAW195427:TAW195492 SRA195427:SRA195492 SHE195427:SHE195492 RXI195427:RXI195492 RNM195427:RNM195492 RDQ195427:RDQ195492 QTU195427:QTU195492 QJY195427:QJY195492 QAC195427:QAC195492 PQG195427:PQG195492 PGK195427:PGK195492 OWO195427:OWO195492 OMS195427:OMS195492 OCW195427:OCW195492 NTA195427:NTA195492 NJE195427:NJE195492 MZI195427:MZI195492 MPM195427:MPM195492 MFQ195427:MFQ195492 LVU195427:LVU195492 LLY195427:LLY195492 LCC195427:LCC195492 KSG195427:KSG195492 KIK195427:KIK195492 JYO195427:JYO195492 JOS195427:JOS195492 JEW195427:JEW195492 IVA195427:IVA195492 ILE195427:ILE195492 IBI195427:IBI195492 HRM195427:HRM195492 HHQ195427:HHQ195492 GXU195427:GXU195492 GNY195427:GNY195492 GEC195427:GEC195492 FUG195427:FUG195492 FKK195427:FKK195492 FAO195427:FAO195492 EQS195427:EQS195492 EGW195427:EGW195492 DXA195427:DXA195492 DNE195427:DNE195492 DDI195427:DDI195492 CTM195427:CTM195492 CJQ195427:CJQ195492 BZU195427:BZU195492 BPY195427:BPY195492 BGC195427:BGC195492 AWG195427:AWG195492 AMK195427:AMK195492 ACO195427:ACO195492 SS195427:SS195492 IW195427:IW195492 A195427:A195492 WVI129891:WVI129956 WLM129891:WLM129956 WBQ129891:WBQ129956 VRU129891:VRU129956 VHY129891:VHY129956 UYC129891:UYC129956 UOG129891:UOG129956 UEK129891:UEK129956 TUO129891:TUO129956 TKS129891:TKS129956 TAW129891:TAW129956 SRA129891:SRA129956 SHE129891:SHE129956 RXI129891:RXI129956 RNM129891:RNM129956 RDQ129891:RDQ129956 QTU129891:QTU129956 QJY129891:QJY129956 QAC129891:QAC129956 PQG129891:PQG129956 PGK129891:PGK129956 OWO129891:OWO129956 OMS129891:OMS129956 OCW129891:OCW129956 NTA129891:NTA129956 NJE129891:NJE129956 MZI129891:MZI129956 MPM129891:MPM129956 MFQ129891:MFQ129956 LVU129891:LVU129956 LLY129891:LLY129956 LCC129891:LCC129956 KSG129891:KSG129956 KIK129891:KIK129956 JYO129891:JYO129956 JOS129891:JOS129956 JEW129891:JEW129956 IVA129891:IVA129956 ILE129891:ILE129956 IBI129891:IBI129956 HRM129891:HRM129956 HHQ129891:HHQ129956 GXU129891:GXU129956 GNY129891:GNY129956 GEC129891:GEC129956 FUG129891:FUG129956 FKK129891:FKK129956 FAO129891:FAO129956 EQS129891:EQS129956 EGW129891:EGW129956 DXA129891:DXA129956 DNE129891:DNE129956 DDI129891:DDI129956 CTM129891:CTM129956 CJQ129891:CJQ129956 BZU129891:BZU129956 BPY129891:BPY129956 BGC129891:BGC129956 AWG129891:AWG129956 AMK129891:AMK129956 ACO129891:ACO129956 SS129891:SS129956 IW129891:IW129956 A129891:A129956 WVI64355:WVI64420 WLM64355:WLM64420 WBQ64355:WBQ64420 VRU64355:VRU64420 VHY64355:VHY64420 UYC64355:UYC64420 UOG64355:UOG64420 UEK64355:UEK64420 TUO64355:TUO64420 TKS64355:TKS64420 TAW64355:TAW64420 SRA64355:SRA64420 SHE64355:SHE64420 RXI64355:RXI64420 RNM64355:RNM64420 RDQ64355:RDQ64420 QTU64355:QTU64420 QJY64355:QJY64420 QAC64355:QAC64420 PQG64355:PQG64420 PGK64355:PGK64420 OWO64355:OWO64420 OMS64355:OMS64420 OCW64355:OCW64420 NTA64355:NTA64420 NJE64355:NJE64420 MZI64355:MZI64420 MPM64355:MPM64420 MFQ64355:MFQ64420 LVU64355:LVU64420 LLY64355:LLY64420 LCC64355:LCC64420 KSG64355:KSG64420 KIK64355:KIK64420 JYO64355:JYO64420 JOS64355:JOS64420 JEW64355:JEW64420 IVA64355:IVA64420 ILE64355:ILE64420 IBI64355:IBI64420 HRM64355:HRM64420 HHQ64355:HHQ64420 GXU64355:GXU64420 GNY64355:GNY64420 GEC64355:GEC64420 FUG64355:FUG64420 FKK64355:FKK64420 FAO64355:FAO64420 EQS64355:EQS64420 EGW64355:EGW64420 DXA64355:DXA64420 DNE64355:DNE64420 DDI64355:DDI64420 CTM64355:CTM64420 CJQ64355:CJQ64420 BZU64355:BZU64420 BPY64355:BPY64420 BGC64355:BGC64420 AWG64355:AWG64420 AMK64355:AMK64420 ACO64355:ACO64420 SS64355:SS64420 IW2:IW70 WVI2:WVI70 WLM2:WLM70 WBQ2:WBQ70 VRU2:VRU70 VHY2:VHY70 UYC2:UYC70 UOG2:UOG70 UEK2:UEK70 TUO2:TUO70 TKS2:TKS70 TAW2:TAW70 SRA2:SRA70 SHE2:SHE70 RXI2:RXI70 RNM2:RNM70 RDQ2:RDQ70 QTU2:QTU70 QJY2:QJY70 QAC2:QAC70 PQG2:PQG70 PGK2:PGK70 OWO2:OWO70 OMS2:OMS70 OCW2:OCW70 NTA2:NTA70 NJE2:NJE70 MZI2:MZI70 MPM2:MPM70 MFQ2:MFQ70 LVU2:LVU70 LLY2:LLY70 LCC2:LCC70 KSG2:KSG70 KIK2:KIK70 JYO2:JYO70 JOS2:JOS70 JEW2:JEW70 IVA2:IVA70 ILE2:ILE70 IBI2:IBI70 HRM2:HRM70 HHQ2:HHQ70 GXU2:GXU70 GNY2:GNY70 GEC2:GEC70 FUG2:FUG70 FKK2:FKK70 FAO2:FAO70 EQS2:EQS70 EGW2:EGW70 DXA2:DXA70 DNE2:DNE70 DDI2:DDI70 CTM2:CTM70 CJQ2:CJQ70 BZU2:BZU70 BPY2:BPY70 BGC2:BGC70 AWG2:AWG70 AMK2:AMK70 ACO2:ACO70 SS2:SS70 A2:A492">
      <formula1>$AE$2:$AE$19</formula1>
    </dataValidation>
    <dataValidation type="list" allowBlank="1" showInputMessage="1" showErrorMessage="1" sqref="X64355:X64420 JT64355:JT64420 ADL2:ADL61 ANH2:ANH61 AXD2:AXD61 BGZ2:BGZ61 BQV2:BQV61 CAR2:CAR61 CKN2:CKN61 CUJ2:CUJ61 DEF2:DEF61 DOB2:DOB61 DXX2:DXX61 EHT2:EHT61 ERP2:ERP61 FBL2:FBL61 FLH2:FLH61 FVD2:FVD61 GEZ2:GEZ61 GOV2:GOV61 GYR2:GYR61 HIN2:HIN61 HSJ2:HSJ61 ICF2:ICF61 IMB2:IMB61 IVX2:IVX61 JFT2:JFT61 JPP2:JPP61 JZL2:JZL61 KJH2:KJH61 KTD2:KTD61 LCZ2:LCZ61 LMV2:LMV61 LWR2:LWR61 MGN2:MGN61 MQJ2:MQJ61 NAF2:NAF61 NKB2:NKB61 NTX2:NTX61 ODT2:ODT61 ONP2:ONP61 OXL2:OXL61 PHH2:PHH61 PRD2:PRD61 QAZ2:QAZ61 QKV2:QKV61 QUR2:QUR61 REN2:REN61 ROJ2:ROJ61 RYF2:RYF61 SIB2:SIB61 SRX2:SRX61 TBT2:TBT61 TLP2:TLP61 TVL2:TVL61 UFH2:UFH61 UPD2:UPD61 UYZ2:UYZ61 VIV2:VIV61 VSR2:VSR61 WCN2:WCN61 WMJ2:WMJ61 WWF2:WWF61 JT2:JT61 WMJ983034:WMJ983099 WCN983034:WCN983099 VSR983034:VSR983099 VIV983034:VIV983099 UYZ983034:UYZ983099 UPD983034:UPD983099 UFH983034:UFH983099 TVL983034:TVL983099 TLP983034:TLP983099 TBT983034:TBT983099 SRX983034:SRX983099 SIB983034:SIB983099 RYF983034:RYF983099 ROJ983034:ROJ983099 REN983034:REN983099 QUR983034:QUR983099 QKV983034:QKV983099 QAZ983034:QAZ983099 PRD983034:PRD983099 PHH983034:PHH983099 OXL983034:OXL983099 ONP983034:ONP983099 ODT983034:ODT983099 NTX983034:NTX983099 NKB983034:NKB983099 NAF983034:NAF983099 MQJ983034:MQJ983099 MGN983034:MGN983099 LWR983034:LWR983099 LMV983034:LMV983099 LCZ983034:LCZ983099 KTD983034:KTD983099 KJH983034:KJH983099 JZL983034:JZL983099 JPP983034:JPP983099 JFT983034:JFT983099 IVX983034:IVX983099 IMB983034:IMB983099 ICF983034:ICF983099 HSJ983034:HSJ983099 HIN983034:HIN983099 GYR983034:GYR983099 GOV983034:GOV983099 GEZ983034:GEZ983099 FVD983034:FVD983099 FLH983034:FLH983099 FBL983034:FBL983099 ERP983034:ERP983099 EHT983034:EHT983099 DXX983034:DXX983099 DOB983034:DOB983099 DEF983034:DEF983099 CUJ983034:CUJ983099 CKN983034:CKN983099 CAR983034:CAR983099 BQV983034:BQV983099 BGZ983034:BGZ983099 AXD983034:AXD983099 ANH983034:ANH983099 ADL983034:ADL983099 TP983034:TP983099 JT983034:JT983099 X983034:X983099 WWF917498:WWF917563 WMJ917498:WMJ917563 WCN917498:WCN917563 VSR917498:VSR917563 VIV917498:VIV917563 UYZ917498:UYZ917563 UPD917498:UPD917563 UFH917498:UFH917563 TVL917498:TVL917563 TLP917498:TLP917563 TBT917498:TBT917563 SRX917498:SRX917563 SIB917498:SIB917563 RYF917498:RYF917563 ROJ917498:ROJ917563 REN917498:REN917563 QUR917498:QUR917563 QKV917498:QKV917563 QAZ917498:QAZ917563 PRD917498:PRD917563 PHH917498:PHH917563 OXL917498:OXL917563 ONP917498:ONP917563 ODT917498:ODT917563 NTX917498:NTX917563 NKB917498:NKB917563 NAF917498:NAF917563 MQJ917498:MQJ917563 MGN917498:MGN917563 LWR917498:LWR917563 LMV917498:LMV917563 LCZ917498:LCZ917563 KTD917498:KTD917563 KJH917498:KJH917563 JZL917498:JZL917563 JPP917498:JPP917563 JFT917498:JFT917563 IVX917498:IVX917563 IMB917498:IMB917563 ICF917498:ICF917563 HSJ917498:HSJ917563 HIN917498:HIN917563 GYR917498:GYR917563 GOV917498:GOV917563 GEZ917498:GEZ917563 FVD917498:FVD917563 FLH917498:FLH917563 FBL917498:FBL917563 ERP917498:ERP917563 EHT917498:EHT917563 DXX917498:DXX917563 DOB917498:DOB917563 DEF917498:DEF917563 CUJ917498:CUJ917563 CKN917498:CKN917563 CAR917498:CAR917563 BQV917498:BQV917563 BGZ917498:BGZ917563 AXD917498:AXD917563 ANH917498:ANH917563 ADL917498:ADL917563 TP917498:TP917563 JT917498:JT917563 X917498:X917563 WWF851962:WWF852027 WMJ851962:WMJ852027 WCN851962:WCN852027 VSR851962:VSR852027 VIV851962:VIV852027 UYZ851962:UYZ852027 UPD851962:UPD852027 UFH851962:UFH852027 TVL851962:TVL852027 TLP851962:TLP852027 TBT851962:TBT852027 SRX851962:SRX852027 SIB851962:SIB852027 RYF851962:RYF852027 ROJ851962:ROJ852027 REN851962:REN852027 QUR851962:QUR852027 QKV851962:QKV852027 QAZ851962:QAZ852027 PRD851962:PRD852027 PHH851962:PHH852027 OXL851962:OXL852027 ONP851962:ONP852027 ODT851962:ODT852027 NTX851962:NTX852027 NKB851962:NKB852027 NAF851962:NAF852027 MQJ851962:MQJ852027 MGN851962:MGN852027 LWR851962:LWR852027 LMV851962:LMV852027 LCZ851962:LCZ852027 KTD851962:KTD852027 KJH851962:KJH852027 JZL851962:JZL852027 JPP851962:JPP852027 JFT851962:JFT852027 IVX851962:IVX852027 IMB851962:IMB852027 ICF851962:ICF852027 HSJ851962:HSJ852027 HIN851962:HIN852027 GYR851962:GYR852027 GOV851962:GOV852027 GEZ851962:GEZ852027 FVD851962:FVD852027 FLH851962:FLH852027 FBL851962:FBL852027 ERP851962:ERP852027 EHT851962:EHT852027 DXX851962:DXX852027 DOB851962:DOB852027 DEF851962:DEF852027 CUJ851962:CUJ852027 CKN851962:CKN852027 CAR851962:CAR852027 BQV851962:BQV852027 BGZ851962:BGZ852027 AXD851962:AXD852027 ANH851962:ANH852027 ADL851962:ADL852027 TP851962:TP852027 JT851962:JT852027 X851962:X852027 WWF786426:WWF786491 WMJ786426:WMJ786491 WCN786426:WCN786491 VSR786426:VSR786491 VIV786426:VIV786491 UYZ786426:UYZ786491 UPD786426:UPD786491 UFH786426:UFH786491 TVL786426:TVL786491 TLP786426:TLP786491 TBT786426:TBT786491 SRX786426:SRX786491 SIB786426:SIB786491 RYF786426:RYF786491 ROJ786426:ROJ786491 REN786426:REN786491 QUR786426:QUR786491 QKV786426:QKV786491 QAZ786426:QAZ786491 PRD786426:PRD786491 PHH786426:PHH786491 OXL786426:OXL786491 ONP786426:ONP786491 ODT786426:ODT786491 NTX786426:NTX786491 NKB786426:NKB786491 NAF786426:NAF786491 MQJ786426:MQJ786491 MGN786426:MGN786491 LWR786426:LWR786491 LMV786426:LMV786491 LCZ786426:LCZ786491 KTD786426:KTD786491 KJH786426:KJH786491 JZL786426:JZL786491 JPP786426:JPP786491 JFT786426:JFT786491 IVX786426:IVX786491 IMB786426:IMB786491 ICF786426:ICF786491 HSJ786426:HSJ786491 HIN786426:HIN786491 GYR786426:GYR786491 GOV786426:GOV786491 GEZ786426:GEZ786491 FVD786426:FVD786491 FLH786426:FLH786491 FBL786426:FBL786491 ERP786426:ERP786491 EHT786426:EHT786491 DXX786426:DXX786491 DOB786426:DOB786491 DEF786426:DEF786491 CUJ786426:CUJ786491 CKN786426:CKN786491 CAR786426:CAR786491 BQV786426:BQV786491 BGZ786426:BGZ786491 AXD786426:AXD786491 ANH786426:ANH786491 ADL786426:ADL786491 TP786426:TP786491 JT786426:JT786491 X786426:X786491 WWF720890:WWF720955 WMJ720890:WMJ720955 WCN720890:WCN720955 VSR720890:VSR720955 VIV720890:VIV720955 UYZ720890:UYZ720955 UPD720890:UPD720955 UFH720890:UFH720955 TVL720890:TVL720955 TLP720890:TLP720955 TBT720890:TBT720955 SRX720890:SRX720955 SIB720890:SIB720955 RYF720890:RYF720955 ROJ720890:ROJ720955 REN720890:REN720955 QUR720890:QUR720955 QKV720890:QKV720955 QAZ720890:QAZ720955 PRD720890:PRD720955 PHH720890:PHH720955 OXL720890:OXL720955 ONP720890:ONP720955 ODT720890:ODT720955 NTX720890:NTX720955 NKB720890:NKB720955 NAF720890:NAF720955 MQJ720890:MQJ720955 MGN720890:MGN720955 LWR720890:LWR720955 LMV720890:LMV720955 LCZ720890:LCZ720955 KTD720890:KTD720955 KJH720890:KJH720955 JZL720890:JZL720955 JPP720890:JPP720955 JFT720890:JFT720955 IVX720890:IVX720955 IMB720890:IMB720955 ICF720890:ICF720955 HSJ720890:HSJ720955 HIN720890:HIN720955 GYR720890:GYR720955 GOV720890:GOV720955 GEZ720890:GEZ720955 FVD720890:FVD720955 FLH720890:FLH720955 FBL720890:FBL720955 ERP720890:ERP720955 EHT720890:EHT720955 DXX720890:DXX720955 DOB720890:DOB720955 DEF720890:DEF720955 CUJ720890:CUJ720955 CKN720890:CKN720955 CAR720890:CAR720955 BQV720890:BQV720955 BGZ720890:BGZ720955 AXD720890:AXD720955 ANH720890:ANH720955 ADL720890:ADL720955 TP720890:TP720955 JT720890:JT720955 X720890:X720955 WWF655354:WWF655419 WMJ655354:WMJ655419 WCN655354:WCN655419 VSR655354:VSR655419 VIV655354:VIV655419 UYZ655354:UYZ655419 UPD655354:UPD655419 UFH655354:UFH655419 TVL655354:TVL655419 TLP655354:TLP655419 TBT655354:TBT655419 SRX655354:SRX655419 SIB655354:SIB655419 RYF655354:RYF655419 ROJ655354:ROJ655419 REN655354:REN655419 QUR655354:QUR655419 QKV655354:QKV655419 QAZ655354:QAZ655419 PRD655354:PRD655419 PHH655354:PHH655419 OXL655354:OXL655419 ONP655354:ONP655419 ODT655354:ODT655419 NTX655354:NTX655419 NKB655354:NKB655419 NAF655354:NAF655419 MQJ655354:MQJ655419 MGN655354:MGN655419 LWR655354:LWR655419 LMV655354:LMV655419 LCZ655354:LCZ655419 KTD655354:KTD655419 KJH655354:KJH655419 JZL655354:JZL655419 JPP655354:JPP655419 JFT655354:JFT655419 IVX655354:IVX655419 IMB655354:IMB655419 ICF655354:ICF655419 HSJ655354:HSJ655419 HIN655354:HIN655419 GYR655354:GYR655419 GOV655354:GOV655419 GEZ655354:GEZ655419 FVD655354:FVD655419 FLH655354:FLH655419 FBL655354:FBL655419 ERP655354:ERP655419 EHT655354:EHT655419 DXX655354:DXX655419 DOB655354:DOB655419 DEF655354:DEF655419 CUJ655354:CUJ655419 CKN655354:CKN655419 CAR655354:CAR655419 BQV655354:BQV655419 BGZ655354:BGZ655419 AXD655354:AXD655419 ANH655354:ANH655419 ADL655354:ADL655419 TP655354:TP655419 JT655354:JT655419 X655354:X655419 WWF589818:WWF589883 WMJ589818:WMJ589883 WCN589818:WCN589883 VSR589818:VSR589883 VIV589818:VIV589883 UYZ589818:UYZ589883 UPD589818:UPD589883 UFH589818:UFH589883 TVL589818:TVL589883 TLP589818:TLP589883 TBT589818:TBT589883 SRX589818:SRX589883 SIB589818:SIB589883 RYF589818:RYF589883 ROJ589818:ROJ589883 REN589818:REN589883 QUR589818:QUR589883 QKV589818:QKV589883 QAZ589818:QAZ589883 PRD589818:PRD589883 PHH589818:PHH589883 OXL589818:OXL589883 ONP589818:ONP589883 ODT589818:ODT589883 NTX589818:NTX589883 NKB589818:NKB589883 NAF589818:NAF589883 MQJ589818:MQJ589883 MGN589818:MGN589883 LWR589818:LWR589883 LMV589818:LMV589883 LCZ589818:LCZ589883 KTD589818:KTD589883 KJH589818:KJH589883 JZL589818:JZL589883 JPP589818:JPP589883 JFT589818:JFT589883 IVX589818:IVX589883 IMB589818:IMB589883 ICF589818:ICF589883 HSJ589818:HSJ589883 HIN589818:HIN589883 GYR589818:GYR589883 GOV589818:GOV589883 GEZ589818:GEZ589883 FVD589818:FVD589883 FLH589818:FLH589883 FBL589818:FBL589883 ERP589818:ERP589883 EHT589818:EHT589883 DXX589818:DXX589883 DOB589818:DOB589883 DEF589818:DEF589883 CUJ589818:CUJ589883 CKN589818:CKN589883 CAR589818:CAR589883 BQV589818:BQV589883 BGZ589818:BGZ589883 AXD589818:AXD589883 ANH589818:ANH589883 ADL589818:ADL589883 TP589818:TP589883 JT589818:JT589883 X589818:X589883 WWF524282:WWF524347 WMJ524282:WMJ524347 WCN524282:WCN524347 VSR524282:VSR524347 VIV524282:VIV524347 UYZ524282:UYZ524347 UPD524282:UPD524347 UFH524282:UFH524347 TVL524282:TVL524347 TLP524282:TLP524347 TBT524282:TBT524347 SRX524282:SRX524347 SIB524282:SIB524347 RYF524282:RYF524347 ROJ524282:ROJ524347 REN524282:REN524347 QUR524282:QUR524347 QKV524282:QKV524347 QAZ524282:QAZ524347 PRD524282:PRD524347 PHH524282:PHH524347 OXL524282:OXL524347 ONP524282:ONP524347 ODT524282:ODT524347 NTX524282:NTX524347 NKB524282:NKB524347 NAF524282:NAF524347 MQJ524282:MQJ524347 MGN524282:MGN524347 LWR524282:LWR524347 LMV524282:LMV524347 LCZ524282:LCZ524347 KTD524282:KTD524347 KJH524282:KJH524347 JZL524282:JZL524347 JPP524282:JPP524347 JFT524282:JFT524347 IVX524282:IVX524347 IMB524282:IMB524347 ICF524282:ICF524347 HSJ524282:HSJ524347 HIN524282:HIN524347 GYR524282:GYR524347 GOV524282:GOV524347 GEZ524282:GEZ524347 FVD524282:FVD524347 FLH524282:FLH524347 FBL524282:FBL524347 ERP524282:ERP524347 EHT524282:EHT524347 DXX524282:DXX524347 DOB524282:DOB524347 DEF524282:DEF524347 CUJ524282:CUJ524347 CKN524282:CKN524347 CAR524282:CAR524347 BQV524282:BQV524347 BGZ524282:BGZ524347 AXD524282:AXD524347 ANH524282:ANH524347 ADL524282:ADL524347 TP524282:TP524347 JT524282:JT524347 X524282:X524347 WWF458746:WWF458811 WMJ458746:WMJ458811 WCN458746:WCN458811 VSR458746:VSR458811 VIV458746:VIV458811 UYZ458746:UYZ458811 UPD458746:UPD458811 UFH458746:UFH458811 TVL458746:TVL458811 TLP458746:TLP458811 TBT458746:TBT458811 SRX458746:SRX458811 SIB458746:SIB458811 RYF458746:RYF458811 ROJ458746:ROJ458811 REN458746:REN458811 QUR458746:QUR458811 QKV458746:QKV458811 QAZ458746:QAZ458811 PRD458746:PRD458811 PHH458746:PHH458811 OXL458746:OXL458811 ONP458746:ONP458811 ODT458746:ODT458811 NTX458746:NTX458811 NKB458746:NKB458811 NAF458746:NAF458811 MQJ458746:MQJ458811 MGN458746:MGN458811 LWR458746:LWR458811 LMV458746:LMV458811 LCZ458746:LCZ458811 KTD458746:KTD458811 KJH458746:KJH458811 JZL458746:JZL458811 JPP458746:JPP458811 JFT458746:JFT458811 IVX458746:IVX458811 IMB458746:IMB458811 ICF458746:ICF458811 HSJ458746:HSJ458811 HIN458746:HIN458811 GYR458746:GYR458811 GOV458746:GOV458811 GEZ458746:GEZ458811 FVD458746:FVD458811 FLH458746:FLH458811 FBL458746:FBL458811 ERP458746:ERP458811 EHT458746:EHT458811 DXX458746:DXX458811 DOB458746:DOB458811 DEF458746:DEF458811 CUJ458746:CUJ458811 CKN458746:CKN458811 CAR458746:CAR458811 BQV458746:BQV458811 BGZ458746:BGZ458811 AXD458746:AXD458811 ANH458746:ANH458811 ADL458746:ADL458811 TP458746:TP458811 JT458746:JT458811 X458746:X458811 WWF393210:WWF393275 WMJ393210:WMJ393275 WCN393210:WCN393275 VSR393210:VSR393275 VIV393210:VIV393275 UYZ393210:UYZ393275 UPD393210:UPD393275 UFH393210:UFH393275 TVL393210:TVL393275 TLP393210:TLP393275 TBT393210:TBT393275 SRX393210:SRX393275 SIB393210:SIB393275 RYF393210:RYF393275 ROJ393210:ROJ393275 REN393210:REN393275 QUR393210:QUR393275 QKV393210:QKV393275 QAZ393210:QAZ393275 PRD393210:PRD393275 PHH393210:PHH393275 OXL393210:OXL393275 ONP393210:ONP393275 ODT393210:ODT393275 NTX393210:NTX393275 NKB393210:NKB393275 NAF393210:NAF393275 MQJ393210:MQJ393275 MGN393210:MGN393275 LWR393210:LWR393275 LMV393210:LMV393275 LCZ393210:LCZ393275 KTD393210:KTD393275 KJH393210:KJH393275 JZL393210:JZL393275 JPP393210:JPP393275 JFT393210:JFT393275 IVX393210:IVX393275 IMB393210:IMB393275 ICF393210:ICF393275 HSJ393210:HSJ393275 HIN393210:HIN393275 GYR393210:GYR393275 GOV393210:GOV393275 GEZ393210:GEZ393275 FVD393210:FVD393275 FLH393210:FLH393275 FBL393210:FBL393275 ERP393210:ERP393275 EHT393210:EHT393275 DXX393210:DXX393275 DOB393210:DOB393275 DEF393210:DEF393275 CUJ393210:CUJ393275 CKN393210:CKN393275 CAR393210:CAR393275 BQV393210:BQV393275 BGZ393210:BGZ393275 AXD393210:AXD393275 ANH393210:ANH393275 ADL393210:ADL393275 TP393210:TP393275 JT393210:JT393275 X393210:X393275 WWF327674:WWF327739 WMJ327674:WMJ327739 WCN327674:WCN327739 VSR327674:VSR327739 VIV327674:VIV327739 UYZ327674:UYZ327739 UPD327674:UPD327739 UFH327674:UFH327739 TVL327674:TVL327739 TLP327674:TLP327739 TBT327674:TBT327739 SRX327674:SRX327739 SIB327674:SIB327739 RYF327674:RYF327739 ROJ327674:ROJ327739 REN327674:REN327739 QUR327674:QUR327739 QKV327674:QKV327739 QAZ327674:QAZ327739 PRD327674:PRD327739 PHH327674:PHH327739 OXL327674:OXL327739 ONP327674:ONP327739 ODT327674:ODT327739 NTX327674:NTX327739 NKB327674:NKB327739 NAF327674:NAF327739 MQJ327674:MQJ327739 MGN327674:MGN327739 LWR327674:LWR327739 LMV327674:LMV327739 LCZ327674:LCZ327739 KTD327674:KTD327739 KJH327674:KJH327739 JZL327674:JZL327739 JPP327674:JPP327739 JFT327674:JFT327739 IVX327674:IVX327739 IMB327674:IMB327739 ICF327674:ICF327739 HSJ327674:HSJ327739 HIN327674:HIN327739 GYR327674:GYR327739 GOV327674:GOV327739 GEZ327674:GEZ327739 FVD327674:FVD327739 FLH327674:FLH327739 FBL327674:FBL327739 ERP327674:ERP327739 EHT327674:EHT327739 DXX327674:DXX327739 DOB327674:DOB327739 DEF327674:DEF327739 CUJ327674:CUJ327739 CKN327674:CKN327739 CAR327674:CAR327739 BQV327674:BQV327739 BGZ327674:BGZ327739 AXD327674:AXD327739 ANH327674:ANH327739 ADL327674:ADL327739 TP327674:TP327739 JT327674:JT327739 X327674:X327739 WWF262138:WWF262203 WMJ262138:WMJ262203 WCN262138:WCN262203 VSR262138:VSR262203 VIV262138:VIV262203 UYZ262138:UYZ262203 UPD262138:UPD262203 UFH262138:UFH262203 TVL262138:TVL262203 TLP262138:TLP262203 TBT262138:TBT262203 SRX262138:SRX262203 SIB262138:SIB262203 RYF262138:RYF262203 ROJ262138:ROJ262203 REN262138:REN262203 QUR262138:QUR262203 QKV262138:QKV262203 QAZ262138:QAZ262203 PRD262138:PRD262203 PHH262138:PHH262203 OXL262138:OXL262203 ONP262138:ONP262203 ODT262138:ODT262203 NTX262138:NTX262203 NKB262138:NKB262203 NAF262138:NAF262203 MQJ262138:MQJ262203 MGN262138:MGN262203 LWR262138:LWR262203 LMV262138:LMV262203 LCZ262138:LCZ262203 KTD262138:KTD262203 KJH262138:KJH262203 JZL262138:JZL262203 JPP262138:JPP262203 JFT262138:JFT262203 IVX262138:IVX262203 IMB262138:IMB262203 ICF262138:ICF262203 HSJ262138:HSJ262203 HIN262138:HIN262203 GYR262138:GYR262203 GOV262138:GOV262203 GEZ262138:GEZ262203 FVD262138:FVD262203 FLH262138:FLH262203 FBL262138:FBL262203 ERP262138:ERP262203 EHT262138:EHT262203 DXX262138:DXX262203 DOB262138:DOB262203 DEF262138:DEF262203 CUJ262138:CUJ262203 CKN262138:CKN262203 CAR262138:CAR262203 BQV262138:BQV262203 BGZ262138:BGZ262203 AXD262138:AXD262203 ANH262138:ANH262203 ADL262138:ADL262203 TP262138:TP262203 JT262138:JT262203 X262138:X262203 WWF196602:WWF196667 WMJ196602:WMJ196667 WCN196602:WCN196667 VSR196602:VSR196667 VIV196602:VIV196667 UYZ196602:UYZ196667 UPD196602:UPD196667 UFH196602:UFH196667 TVL196602:TVL196667 TLP196602:TLP196667 TBT196602:TBT196667 SRX196602:SRX196667 SIB196602:SIB196667 RYF196602:RYF196667 ROJ196602:ROJ196667 REN196602:REN196667 QUR196602:QUR196667 QKV196602:QKV196667 QAZ196602:QAZ196667 PRD196602:PRD196667 PHH196602:PHH196667 OXL196602:OXL196667 ONP196602:ONP196667 ODT196602:ODT196667 NTX196602:NTX196667 NKB196602:NKB196667 NAF196602:NAF196667 MQJ196602:MQJ196667 MGN196602:MGN196667 LWR196602:LWR196667 LMV196602:LMV196667 LCZ196602:LCZ196667 KTD196602:KTD196667 KJH196602:KJH196667 JZL196602:JZL196667 JPP196602:JPP196667 JFT196602:JFT196667 IVX196602:IVX196667 IMB196602:IMB196667 ICF196602:ICF196667 HSJ196602:HSJ196667 HIN196602:HIN196667 GYR196602:GYR196667 GOV196602:GOV196667 GEZ196602:GEZ196667 FVD196602:FVD196667 FLH196602:FLH196667 FBL196602:FBL196667 ERP196602:ERP196667 EHT196602:EHT196667 DXX196602:DXX196667 DOB196602:DOB196667 DEF196602:DEF196667 CUJ196602:CUJ196667 CKN196602:CKN196667 CAR196602:CAR196667 BQV196602:BQV196667 BGZ196602:BGZ196667 AXD196602:AXD196667 ANH196602:ANH196667 ADL196602:ADL196667 TP196602:TP196667 JT196602:JT196667 X196602:X196667 WWF131066:WWF131131 WMJ131066:WMJ131131 WCN131066:WCN131131 VSR131066:VSR131131 VIV131066:VIV131131 UYZ131066:UYZ131131 UPD131066:UPD131131 UFH131066:UFH131131 TVL131066:TVL131131 TLP131066:TLP131131 TBT131066:TBT131131 SRX131066:SRX131131 SIB131066:SIB131131 RYF131066:RYF131131 ROJ131066:ROJ131131 REN131066:REN131131 QUR131066:QUR131131 QKV131066:QKV131131 QAZ131066:QAZ131131 PRD131066:PRD131131 PHH131066:PHH131131 OXL131066:OXL131131 ONP131066:ONP131131 ODT131066:ODT131131 NTX131066:NTX131131 NKB131066:NKB131131 NAF131066:NAF131131 MQJ131066:MQJ131131 MGN131066:MGN131131 LWR131066:LWR131131 LMV131066:LMV131131 LCZ131066:LCZ131131 KTD131066:KTD131131 KJH131066:KJH131131 JZL131066:JZL131131 JPP131066:JPP131131 JFT131066:JFT131131 IVX131066:IVX131131 IMB131066:IMB131131 ICF131066:ICF131131 HSJ131066:HSJ131131 HIN131066:HIN131131 GYR131066:GYR131131 GOV131066:GOV131131 GEZ131066:GEZ131131 FVD131066:FVD131131 FLH131066:FLH131131 FBL131066:FBL131131 ERP131066:ERP131131 EHT131066:EHT131131 DXX131066:DXX131131 DOB131066:DOB131131 DEF131066:DEF131131 CUJ131066:CUJ131131 CKN131066:CKN131131 CAR131066:CAR131131 BQV131066:BQV131131 BGZ131066:BGZ131131 AXD131066:AXD131131 ANH131066:ANH131131 ADL131066:ADL131131 TP131066:TP131131 JT131066:JT131131 X131066:X131131 WWF65530:WWF65595 WMJ65530:WMJ65595 WCN65530:WCN65595 VSR65530:VSR65595 VIV65530:VIV65595 UYZ65530:UYZ65595 UPD65530:UPD65595 UFH65530:UFH65595 TVL65530:TVL65595 TLP65530:TLP65595 TBT65530:TBT65595 SRX65530:SRX65595 SIB65530:SIB65595 RYF65530:RYF65595 ROJ65530:ROJ65595 REN65530:REN65595 QUR65530:QUR65595 QKV65530:QKV65595 QAZ65530:QAZ65595 PRD65530:PRD65595 PHH65530:PHH65595 OXL65530:OXL65595 ONP65530:ONP65595 ODT65530:ODT65595 NTX65530:NTX65595 NKB65530:NKB65595 NAF65530:NAF65595 MQJ65530:MQJ65595 MGN65530:MGN65595 LWR65530:LWR65595 LMV65530:LMV65595 LCZ65530:LCZ65595 KTD65530:KTD65595 KJH65530:KJH65595 JZL65530:JZL65595 JPP65530:JPP65595 JFT65530:JFT65595 IVX65530:IVX65595 IMB65530:IMB65595 ICF65530:ICF65595 HSJ65530:HSJ65595 HIN65530:HIN65595 GYR65530:GYR65595 GOV65530:GOV65595 GEZ65530:GEZ65595 FVD65530:FVD65595 FLH65530:FLH65595 FBL65530:FBL65595 ERP65530:ERP65595 EHT65530:EHT65595 DXX65530:DXX65595 DOB65530:DOB65595 DEF65530:DEF65595 CUJ65530:CUJ65595 CKN65530:CKN65595 CAR65530:CAR65595 BQV65530:BQV65595 BGZ65530:BGZ65595 AXD65530:AXD65595 ANH65530:ANH65595 ADL65530:ADL65595 TP65530:TP65595 JT65530:JT65595 X65530:X65595 WWF983034:WWF983099 WWF1047395:WWF1047460 WMJ1047395:WMJ1047460 WCN1047395:WCN1047460 VSR1047395:VSR1047460 VIV1047395:VIV1047460 UYZ1047395:UYZ1047460 UPD1047395:UPD1047460 UFH1047395:UFH1047460 TVL1047395:TVL1047460 TLP1047395:TLP1047460 TBT1047395:TBT1047460 SRX1047395:SRX1047460 SIB1047395:SIB1047460 RYF1047395:RYF1047460 ROJ1047395:ROJ1047460 REN1047395:REN1047460 QUR1047395:QUR1047460 QKV1047395:QKV1047460 QAZ1047395:QAZ1047460 PRD1047395:PRD1047460 PHH1047395:PHH1047460 OXL1047395:OXL1047460 ONP1047395:ONP1047460 ODT1047395:ODT1047460 NTX1047395:NTX1047460 NKB1047395:NKB1047460 NAF1047395:NAF1047460 MQJ1047395:MQJ1047460 MGN1047395:MGN1047460 LWR1047395:LWR1047460 LMV1047395:LMV1047460 LCZ1047395:LCZ1047460 KTD1047395:KTD1047460 KJH1047395:KJH1047460 JZL1047395:JZL1047460 JPP1047395:JPP1047460 JFT1047395:JFT1047460 IVX1047395:IVX1047460 IMB1047395:IMB1047460 ICF1047395:ICF1047460 HSJ1047395:HSJ1047460 HIN1047395:HIN1047460 GYR1047395:GYR1047460 GOV1047395:GOV1047460 GEZ1047395:GEZ1047460 FVD1047395:FVD1047460 FLH1047395:FLH1047460 FBL1047395:FBL1047460 ERP1047395:ERP1047460 EHT1047395:EHT1047460 DXX1047395:DXX1047460 DOB1047395:DOB1047460 DEF1047395:DEF1047460 CUJ1047395:CUJ1047460 CKN1047395:CKN1047460 CAR1047395:CAR1047460 BQV1047395:BQV1047460 BGZ1047395:BGZ1047460 AXD1047395:AXD1047460 ANH1047395:ANH1047460 ADL1047395:ADL1047460 TP1047395:TP1047460 JT1047395:JT1047460 X1047395:X1047460 WWF981859:WWF981924 WMJ981859:WMJ981924 WCN981859:WCN981924 VSR981859:VSR981924 VIV981859:VIV981924 UYZ981859:UYZ981924 UPD981859:UPD981924 UFH981859:UFH981924 TVL981859:TVL981924 TLP981859:TLP981924 TBT981859:TBT981924 SRX981859:SRX981924 SIB981859:SIB981924 RYF981859:RYF981924 ROJ981859:ROJ981924 REN981859:REN981924 QUR981859:QUR981924 QKV981859:QKV981924 QAZ981859:QAZ981924 PRD981859:PRD981924 PHH981859:PHH981924 OXL981859:OXL981924 ONP981859:ONP981924 ODT981859:ODT981924 NTX981859:NTX981924 NKB981859:NKB981924 NAF981859:NAF981924 MQJ981859:MQJ981924 MGN981859:MGN981924 LWR981859:LWR981924 LMV981859:LMV981924 LCZ981859:LCZ981924 KTD981859:KTD981924 KJH981859:KJH981924 JZL981859:JZL981924 JPP981859:JPP981924 JFT981859:JFT981924 IVX981859:IVX981924 IMB981859:IMB981924 ICF981859:ICF981924 HSJ981859:HSJ981924 HIN981859:HIN981924 GYR981859:GYR981924 GOV981859:GOV981924 GEZ981859:GEZ981924 FVD981859:FVD981924 FLH981859:FLH981924 FBL981859:FBL981924 ERP981859:ERP981924 EHT981859:EHT981924 DXX981859:DXX981924 DOB981859:DOB981924 DEF981859:DEF981924 CUJ981859:CUJ981924 CKN981859:CKN981924 CAR981859:CAR981924 BQV981859:BQV981924 BGZ981859:BGZ981924 AXD981859:AXD981924 ANH981859:ANH981924 ADL981859:ADL981924 TP981859:TP981924 JT981859:JT981924 X981859:X981924 WWF916323:WWF916388 WMJ916323:WMJ916388 WCN916323:WCN916388 VSR916323:VSR916388 VIV916323:VIV916388 UYZ916323:UYZ916388 UPD916323:UPD916388 UFH916323:UFH916388 TVL916323:TVL916388 TLP916323:TLP916388 TBT916323:TBT916388 SRX916323:SRX916388 SIB916323:SIB916388 RYF916323:RYF916388 ROJ916323:ROJ916388 REN916323:REN916388 QUR916323:QUR916388 QKV916323:QKV916388 QAZ916323:QAZ916388 PRD916323:PRD916388 PHH916323:PHH916388 OXL916323:OXL916388 ONP916323:ONP916388 ODT916323:ODT916388 NTX916323:NTX916388 NKB916323:NKB916388 NAF916323:NAF916388 MQJ916323:MQJ916388 MGN916323:MGN916388 LWR916323:LWR916388 LMV916323:LMV916388 LCZ916323:LCZ916388 KTD916323:KTD916388 KJH916323:KJH916388 JZL916323:JZL916388 JPP916323:JPP916388 JFT916323:JFT916388 IVX916323:IVX916388 IMB916323:IMB916388 ICF916323:ICF916388 HSJ916323:HSJ916388 HIN916323:HIN916388 GYR916323:GYR916388 GOV916323:GOV916388 GEZ916323:GEZ916388 FVD916323:FVD916388 FLH916323:FLH916388 FBL916323:FBL916388 ERP916323:ERP916388 EHT916323:EHT916388 DXX916323:DXX916388 DOB916323:DOB916388 DEF916323:DEF916388 CUJ916323:CUJ916388 CKN916323:CKN916388 CAR916323:CAR916388 BQV916323:BQV916388 BGZ916323:BGZ916388 AXD916323:AXD916388 ANH916323:ANH916388 ADL916323:ADL916388 TP916323:TP916388 JT916323:JT916388 X916323:X916388 WWF850787:WWF850852 WMJ850787:WMJ850852 WCN850787:WCN850852 VSR850787:VSR850852 VIV850787:VIV850852 UYZ850787:UYZ850852 UPD850787:UPD850852 UFH850787:UFH850852 TVL850787:TVL850852 TLP850787:TLP850852 TBT850787:TBT850852 SRX850787:SRX850852 SIB850787:SIB850852 RYF850787:RYF850852 ROJ850787:ROJ850852 REN850787:REN850852 QUR850787:QUR850852 QKV850787:QKV850852 QAZ850787:QAZ850852 PRD850787:PRD850852 PHH850787:PHH850852 OXL850787:OXL850852 ONP850787:ONP850852 ODT850787:ODT850852 NTX850787:NTX850852 NKB850787:NKB850852 NAF850787:NAF850852 MQJ850787:MQJ850852 MGN850787:MGN850852 LWR850787:LWR850852 LMV850787:LMV850852 LCZ850787:LCZ850852 KTD850787:KTD850852 KJH850787:KJH850852 JZL850787:JZL850852 JPP850787:JPP850852 JFT850787:JFT850852 IVX850787:IVX850852 IMB850787:IMB850852 ICF850787:ICF850852 HSJ850787:HSJ850852 HIN850787:HIN850852 GYR850787:GYR850852 GOV850787:GOV850852 GEZ850787:GEZ850852 FVD850787:FVD850852 FLH850787:FLH850852 FBL850787:FBL850852 ERP850787:ERP850852 EHT850787:EHT850852 DXX850787:DXX850852 DOB850787:DOB850852 DEF850787:DEF850852 CUJ850787:CUJ850852 CKN850787:CKN850852 CAR850787:CAR850852 BQV850787:BQV850852 BGZ850787:BGZ850852 AXD850787:AXD850852 ANH850787:ANH850852 ADL850787:ADL850852 TP850787:TP850852 JT850787:JT850852 X850787:X850852 WWF785251:WWF785316 WMJ785251:WMJ785316 WCN785251:WCN785316 VSR785251:VSR785316 VIV785251:VIV785316 UYZ785251:UYZ785316 UPD785251:UPD785316 UFH785251:UFH785316 TVL785251:TVL785316 TLP785251:TLP785316 TBT785251:TBT785316 SRX785251:SRX785316 SIB785251:SIB785316 RYF785251:RYF785316 ROJ785251:ROJ785316 REN785251:REN785316 QUR785251:QUR785316 QKV785251:QKV785316 QAZ785251:QAZ785316 PRD785251:PRD785316 PHH785251:PHH785316 OXL785251:OXL785316 ONP785251:ONP785316 ODT785251:ODT785316 NTX785251:NTX785316 NKB785251:NKB785316 NAF785251:NAF785316 MQJ785251:MQJ785316 MGN785251:MGN785316 LWR785251:LWR785316 LMV785251:LMV785316 LCZ785251:LCZ785316 KTD785251:KTD785316 KJH785251:KJH785316 JZL785251:JZL785316 JPP785251:JPP785316 JFT785251:JFT785316 IVX785251:IVX785316 IMB785251:IMB785316 ICF785251:ICF785316 HSJ785251:HSJ785316 HIN785251:HIN785316 GYR785251:GYR785316 GOV785251:GOV785316 GEZ785251:GEZ785316 FVD785251:FVD785316 FLH785251:FLH785316 FBL785251:FBL785316 ERP785251:ERP785316 EHT785251:EHT785316 DXX785251:DXX785316 DOB785251:DOB785316 DEF785251:DEF785316 CUJ785251:CUJ785316 CKN785251:CKN785316 CAR785251:CAR785316 BQV785251:BQV785316 BGZ785251:BGZ785316 AXD785251:AXD785316 ANH785251:ANH785316 ADL785251:ADL785316 TP785251:TP785316 JT785251:JT785316 X785251:X785316 WWF719715:WWF719780 WMJ719715:WMJ719780 WCN719715:WCN719780 VSR719715:VSR719780 VIV719715:VIV719780 UYZ719715:UYZ719780 UPD719715:UPD719780 UFH719715:UFH719780 TVL719715:TVL719780 TLP719715:TLP719780 TBT719715:TBT719780 SRX719715:SRX719780 SIB719715:SIB719780 RYF719715:RYF719780 ROJ719715:ROJ719780 REN719715:REN719780 QUR719715:QUR719780 QKV719715:QKV719780 QAZ719715:QAZ719780 PRD719715:PRD719780 PHH719715:PHH719780 OXL719715:OXL719780 ONP719715:ONP719780 ODT719715:ODT719780 NTX719715:NTX719780 NKB719715:NKB719780 NAF719715:NAF719780 MQJ719715:MQJ719780 MGN719715:MGN719780 LWR719715:LWR719780 LMV719715:LMV719780 LCZ719715:LCZ719780 KTD719715:KTD719780 KJH719715:KJH719780 JZL719715:JZL719780 JPP719715:JPP719780 JFT719715:JFT719780 IVX719715:IVX719780 IMB719715:IMB719780 ICF719715:ICF719780 HSJ719715:HSJ719780 HIN719715:HIN719780 GYR719715:GYR719780 GOV719715:GOV719780 GEZ719715:GEZ719780 FVD719715:FVD719780 FLH719715:FLH719780 FBL719715:FBL719780 ERP719715:ERP719780 EHT719715:EHT719780 DXX719715:DXX719780 DOB719715:DOB719780 DEF719715:DEF719780 CUJ719715:CUJ719780 CKN719715:CKN719780 CAR719715:CAR719780 BQV719715:BQV719780 BGZ719715:BGZ719780 AXD719715:AXD719780 ANH719715:ANH719780 ADL719715:ADL719780 TP719715:TP719780 JT719715:JT719780 X719715:X719780 WWF654179:WWF654244 WMJ654179:WMJ654244 WCN654179:WCN654244 VSR654179:VSR654244 VIV654179:VIV654244 UYZ654179:UYZ654244 UPD654179:UPD654244 UFH654179:UFH654244 TVL654179:TVL654244 TLP654179:TLP654244 TBT654179:TBT654244 SRX654179:SRX654244 SIB654179:SIB654244 RYF654179:RYF654244 ROJ654179:ROJ654244 REN654179:REN654244 QUR654179:QUR654244 QKV654179:QKV654244 QAZ654179:QAZ654244 PRD654179:PRD654244 PHH654179:PHH654244 OXL654179:OXL654244 ONP654179:ONP654244 ODT654179:ODT654244 NTX654179:NTX654244 NKB654179:NKB654244 NAF654179:NAF654244 MQJ654179:MQJ654244 MGN654179:MGN654244 LWR654179:LWR654244 LMV654179:LMV654244 LCZ654179:LCZ654244 KTD654179:KTD654244 KJH654179:KJH654244 JZL654179:JZL654244 JPP654179:JPP654244 JFT654179:JFT654244 IVX654179:IVX654244 IMB654179:IMB654244 ICF654179:ICF654244 HSJ654179:HSJ654244 HIN654179:HIN654244 GYR654179:GYR654244 GOV654179:GOV654244 GEZ654179:GEZ654244 FVD654179:FVD654244 FLH654179:FLH654244 FBL654179:FBL654244 ERP654179:ERP654244 EHT654179:EHT654244 DXX654179:DXX654244 DOB654179:DOB654244 DEF654179:DEF654244 CUJ654179:CUJ654244 CKN654179:CKN654244 CAR654179:CAR654244 BQV654179:BQV654244 BGZ654179:BGZ654244 AXD654179:AXD654244 ANH654179:ANH654244 ADL654179:ADL654244 TP654179:TP654244 JT654179:JT654244 X654179:X654244 WWF588643:WWF588708 WMJ588643:WMJ588708 WCN588643:WCN588708 VSR588643:VSR588708 VIV588643:VIV588708 UYZ588643:UYZ588708 UPD588643:UPD588708 UFH588643:UFH588708 TVL588643:TVL588708 TLP588643:TLP588708 TBT588643:TBT588708 SRX588643:SRX588708 SIB588643:SIB588708 RYF588643:RYF588708 ROJ588643:ROJ588708 REN588643:REN588708 QUR588643:QUR588708 QKV588643:QKV588708 QAZ588643:QAZ588708 PRD588643:PRD588708 PHH588643:PHH588708 OXL588643:OXL588708 ONP588643:ONP588708 ODT588643:ODT588708 NTX588643:NTX588708 NKB588643:NKB588708 NAF588643:NAF588708 MQJ588643:MQJ588708 MGN588643:MGN588708 LWR588643:LWR588708 LMV588643:LMV588708 LCZ588643:LCZ588708 KTD588643:KTD588708 KJH588643:KJH588708 JZL588643:JZL588708 JPP588643:JPP588708 JFT588643:JFT588708 IVX588643:IVX588708 IMB588643:IMB588708 ICF588643:ICF588708 HSJ588643:HSJ588708 HIN588643:HIN588708 GYR588643:GYR588708 GOV588643:GOV588708 GEZ588643:GEZ588708 FVD588643:FVD588708 FLH588643:FLH588708 FBL588643:FBL588708 ERP588643:ERP588708 EHT588643:EHT588708 DXX588643:DXX588708 DOB588643:DOB588708 DEF588643:DEF588708 CUJ588643:CUJ588708 CKN588643:CKN588708 CAR588643:CAR588708 BQV588643:BQV588708 BGZ588643:BGZ588708 AXD588643:AXD588708 ANH588643:ANH588708 ADL588643:ADL588708 TP588643:TP588708 JT588643:JT588708 X588643:X588708 WWF523107:WWF523172 WMJ523107:WMJ523172 WCN523107:WCN523172 VSR523107:VSR523172 VIV523107:VIV523172 UYZ523107:UYZ523172 UPD523107:UPD523172 UFH523107:UFH523172 TVL523107:TVL523172 TLP523107:TLP523172 TBT523107:TBT523172 SRX523107:SRX523172 SIB523107:SIB523172 RYF523107:RYF523172 ROJ523107:ROJ523172 REN523107:REN523172 QUR523107:QUR523172 QKV523107:QKV523172 QAZ523107:QAZ523172 PRD523107:PRD523172 PHH523107:PHH523172 OXL523107:OXL523172 ONP523107:ONP523172 ODT523107:ODT523172 NTX523107:NTX523172 NKB523107:NKB523172 NAF523107:NAF523172 MQJ523107:MQJ523172 MGN523107:MGN523172 LWR523107:LWR523172 LMV523107:LMV523172 LCZ523107:LCZ523172 KTD523107:KTD523172 KJH523107:KJH523172 JZL523107:JZL523172 JPP523107:JPP523172 JFT523107:JFT523172 IVX523107:IVX523172 IMB523107:IMB523172 ICF523107:ICF523172 HSJ523107:HSJ523172 HIN523107:HIN523172 GYR523107:GYR523172 GOV523107:GOV523172 GEZ523107:GEZ523172 FVD523107:FVD523172 FLH523107:FLH523172 FBL523107:FBL523172 ERP523107:ERP523172 EHT523107:EHT523172 DXX523107:DXX523172 DOB523107:DOB523172 DEF523107:DEF523172 CUJ523107:CUJ523172 CKN523107:CKN523172 CAR523107:CAR523172 BQV523107:BQV523172 BGZ523107:BGZ523172 AXD523107:AXD523172 ANH523107:ANH523172 ADL523107:ADL523172 TP523107:TP523172 JT523107:JT523172 X523107:X523172 WWF457571:WWF457636 WMJ457571:WMJ457636 WCN457571:WCN457636 VSR457571:VSR457636 VIV457571:VIV457636 UYZ457571:UYZ457636 UPD457571:UPD457636 UFH457571:UFH457636 TVL457571:TVL457636 TLP457571:TLP457636 TBT457571:TBT457636 SRX457571:SRX457636 SIB457571:SIB457636 RYF457571:RYF457636 ROJ457571:ROJ457636 REN457571:REN457636 QUR457571:QUR457636 QKV457571:QKV457636 QAZ457571:QAZ457636 PRD457571:PRD457636 PHH457571:PHH457636 OXL457571:OXL457636 ONP457571:ONP457636 ODT457571:ODT457636 NTX457571:NTX457636 NKB457571:NKB457636 NAF457571:NAF457636 MQJ457571:MQJ457636 MGN457571:MGN457636 LWR457571:LWR457636 LMV457571:LMV457636 LCZ457571:LCZ457636 KTD457571:KTD457636 KJH457571:KJH457636 JZL457571:JZL457636 JPP457571:JPP457636 JFT457571:JFT457636 IVX457571:IVX457636 IMB457571:IMB457636 ICF457571:ICF457636 HSJ457571:HSJ457636 HIN457571:HIN457636 GYR457571:GYR457636 GOV457571:GOV457636 GEZ457571:GEZ457636 FVD457571:FVD457636 FLH457571:FLH457636 FBL457571:FBL457636 ERP457571:ERP457636 EHT457571:EHT457636 DXX457571:DXX457636 DOB457571:DOB457636 DEF457571:DEF457636 CUJ457571:CUJ457636 CKN457571:CKN457636 CAR457571:CAR457636 BQV457571:BQV457636 BGZ457571:BGZ457636 AXD457571:AXD457636 ANH457571:ANH457636 ADL457571:ADL457636 TP457571:TP457636 JT457571:JT457636 X457571:X457636 WWF392035:WWF392100 WMJ392035:WMJ392100 WCN392035:WCN392100 VSR392035:VSR392100 VIV392035:VIV392100 UYZ392035:UYZ392100 UPD392035:UPD392100 UFH392035:UFH392100 TVL392035:TVL392100 TLP392035:TLP392100 TBT392035:TBT392100 SRX392035:SRX392100 SIB392035:SIB392100 RYF392035:RYF392100 ROJ392035:ROJ392100 REN392035:REN392100 QUR392035:QUR392100 QKV392035:QKV392100 QAZ392035:QAZ392100 PRD392035:PRD392100 PHH392035:PHH392100 OXL392035:OXL392100 ONP392035:ONP392100 ODT392035:ODT392100 NTX392035:NTX392100 NKB392035:NKB392100 NAF392035:NAF392100 MQJ392035:MQJ392100 MGN392035:MGN392100 LWR392035:LWR392100 LMV392035:LMV392100 LCZ392035:LCZ392100 KTD392035:KTD392100 KJH392035:KJH392100 JZL392035:JZL392100 JPP392035:JPP392100 JFT392035:JFT392100 IVX392035:IVX392100 IMB392035:IMB392100 ICF392035:ICF392100 HSJ392035:HSJ392100 HIN392035:HIN392100 GYR392035:GYR392100 GOV392035:GOV392100 GEZ392035:GEZ392100 FVD392035:FVD392100 FLH392035:FLH392100 FBL392035:FBL392100 ERP392035:ERP392100 EHT392035:EHT392100 DXX392035:DXX392100 DOB392035:DOB392100 DEF392035:DEF392100 CUJ392035:CUJ392100 CKN392035:CKN392100 CAR392035:CAR392100 BQV392035:BQV392100 BGZ392035:BGZ392100 AXD392035:AXD392100 ANH392035:ANH392100 ADL392035:ADL392100 TP392035:TP392100 JT392035:JT392100 X392035:X392100 WWF326499:WWF326564 WMJ326499:WMJ326564 WCN326499:WCN326564 VSR326499:VSR326564 VIV326499:VIV326564 UYZ326499:UYZ326564 UPD326499:UPD326564 UFH326499:UFH326564 TVL326499:TVL326564 TLP326499:TLP326564 TBT326499:TBT326564 SRX326499:SRX326564 SIB326499:SIB326564 RYF326499:RYF326564 ROJ326499:ROJ326564 REN326499:REN326564 QUR326499:QUR326564 QKV326499:QKV326564 QAZ326499:QAZ326564 PRD326499:PRD326564 PHH326499:PHH326564 OXL326499:OXL326564 ONP326499:ONP326564 ODT326499:ODT326564 NTX326499:NTX326564 NKB326499:NKB326564 NAF326499:NAF326564 MQJ326499:MQJ326564 MGN326499:MGN326564 LWR326499:LWR326564 LMV326499:LMV326564 LCZ326499:LCZ326564 KTD326499:KTD326564 KJH326499:KJH326564 JZL326499:JZL326564 JPP326499:JPP326564 JFT326499:JFT326564 IVX326499:IVX326564 IMB326499:IMB326564 ICF326499:ICF326564 HSJ326499:HSJ326564 HIN326499:HIN326564 GYR326499:GYR326564 GOV326499:GOV326564 GEZ326499:GEZ326564 FVD326499:FVD326564 FLH326499:FLH326564 FBL326499:FBL326564 ERP326499:ERP326564 EHT326499:EHT326564 DXX326499:DXX326564 DOB326499:DOB326564 DEF326499:DEF326564 CUJ326499:CUJ326564 CKN326499:CKN326564 CAR326499:CAR326564 BQV326499:BQV326564 BGZ326499:BGZ326564 AXD326499:AXD326564 ANH326499:ANH326564 ADL326499:ADL326564 TP326499:TP326564 JT326499:JT326564 X326499:X326564 WWF260963:WWF261028 WMJ260963:WMJ261028 WCN260963:WCN261028 VSR260963:VSR261028 VIV260963:VIV261028 UYZ260963:UYZ261028 UPD260963:UPD261028 UFH260963:UFH261028 TVL260963:TVL261028 TLP260963:TLP261028 TBT260963:TBT261028 SRX260963:SRX261028 SIB260963:SIB261028 RYF260963:RYF261028 ROJ260963:ROJ261028 REN260963:REN261028 QUR260963:QUR261028 QKV260963:QKV261028 QAZ260963:QAZ261028 PRD260963:PRD261028 PHH260963:PHH261028 OXL260963:OXL261028 ONP260963:ONP261028 ODT260963:ODT261028 NTX260963:NTX261028 NKB260963:NKB261028 NAF260963:NAF261028 MQJ260963:MQJ261028 MGN260963:MGN261028 LWR260963:LWR261028 LMV260963:LMV261028 LCZ260963:LCZ261028 KTD260963:KTD261028 KJH260963:KJH261028 JZL260963:JZL261028 JPP260963:JPP261028 JFT260963:JFT261028 IVX260963:IVX261028 IMB260963:IMB261028 ICF260963:ICF261028 HSJ260963:HSJ261028 HIN260963:HIN261028 GYR260963:GYR261028 GOV260963:GOV261028 GEZ260963:GEZ261028 FVD260963:FVD261028 FLH260963:FLH261028 FBL260963:FBL261028 ERP260963:ERP261028 EHT260963:EHT261028 DXX260963:DXX261028 DOB260963:DOB261028 DEF260963:DEF261028 CUJ260963:CUJ261028 CKN260963:CKN261028 CAR260963:CAR261028 BQV260963:BQV261028 BGZ260963:BGZ261028 AXD260963:AXD261028 ANH260963:ANH261028 ADL260963:ADL261028 TP260963:TP261028 JT260963:JT261028 X260963:X261028 WWF195427:WWF195492 WMJ195427:WMJ195492 WCN195427:WCN195492 VSR195427:VSR195492 VIV195427:VIV195492 UYZ195427:UYZ195492 UPD195427:UPD195492 UFH195427:UFH195492 TVL195427:TVL195492 TLP195427:TLP195492 TBT195427:TBT195492 SRX195427:SRX195492 SIB195427:SIB195492 RYF195427:RYF195492 ROJ195427:ROJ195492 REN195427:REN195492 QUR195427:QUR195492 QKV195427:QKV195492 QAZ195427:QAZ195492 PRD195427:PRD195492 PHH195427:PHH195492 OXL195427:OXL195492 ONP195427:ONP195492 ODT195427:ODT195492 NTX195427:NTX195492 NKB195427:NKB195492 NAF195427:NAF195492 MQJ195427:MQJ195492 MGN195427:MGN195492 LWR195427:LWR195492 LMV195427:LMV195492 LCZ195427:LCZ195492 KTD195427:KTD195492 KJH195427:KJH195492 JZL195427:JZL195492 JPP195427:JPP195492 JFT195427:JFT195492 IVX195427:IVX195492 IMB195427:IMB195492 ICF195427:ICF195492 HSJ195427:HSJ195492 HIN195427:HIN195492 GYR195427:GYR195492 GOV195427:GOV195492 GEZ195427:GEZ195492 FVD195427:FVD195492 FLH195427:FLH195492 FBL195427:FBL195492 ERP195427:ERP195492 EHT195427:EHT195492 DXX195427:DXX195492 DOB195427:DOB195492 DEF195427:DEF195492 CUJ195427:CUJ195492 CKN195427:CKN195492 CAR195427:CAR195492 BQV195427:BQV195492 BGZ195427:BGZ195492 AXD195427:AXD195492 ANH195427:ANH195492 ADL195427:ADL195492 TP195427:TP195492 JT195427:JT195492 X195427:X195492 WWF129891:WWF129956 WMJ129891:WMJ129956 WCN129891:WCN129956 VSR129891:VSR129956 VIV129891:VIV129956 UYZ129891:UYZ129956 UPD129891:UPD129956 UFH129891:UFH129956 TVL129891:TVL129956 TLP129891:TLP129956 TBT129891:TBT129956 SRX129891:SRX129956 SIB129891:SIB129956 RYF129891:RYF129956 ROJ129891:ROJ129956 REN129891:REN129956 QUR129891:QUR129956 QKV129891:QKV129956 QAZ129891:QAZ129956 PRD129891:PRD129956 PHH129891:PHH129956 OXL129891:OXL129956 ONP129891:ONP129956 ODT129891:ODT129956 NTX129891:NTX129956 NKB129891:NKB129956 NAF129891:NAF129956 MQJ129891:MQJ129956 MGN129891:MGN129956 LWR129891:LWR129956 LMV129891:LMV129956 LCZ129891:LCZ129956 KTD129891:KTD129956 KJH129891:KJH129956 JZL129891:JZL129956 JPP129891:JPP129956 JFT129891:JFT129956 IVX129891:IVX129956 IMB129891:IMB129956 ICF129891:ICF129956 HSJ129891:HSJ129956 HIN129891:HIN129956 GYR129891:GYR129956 GOV129891:GOV129956 GEZ129891:GEZ129956 FVD129891:FVD129956 FLH129891:FLH129956 FBL129891:FBL129956 ERP129891:ERP129956 EHT129891:EHT129956 DXX129891:DXX129956 DOB129891:DOB129956 DEF129891:DEF129956 CUJ129891:CUJ129956 CKN129891:CKN129956 CAR129891:CAR129956 BQV129891:BQV129956 BGZ129891:BGZ129956 AXD129891:AXD129956 ANH129891:ANH129956 ADL129891:ADL129956 TP129891:TP129956 JT129891:JT129956 X129891:X129956 WWF64355:WWF64420 WMJ64355:WMJ64420 WCN64355:WCN64420 VSR64355:VSR64420 VIV64355:VIV64420 UYZ64355:UYZ64420 UPD64355:UPD64420 UFH64355:UFH64420 TVL64355:TVL64420 TLP64355:TLP64420 TBT64355:TBT64420 SRX64355:SRX64420 SIB64355:SIB64420 RYF64355:RYF64420 ROJ64355:ROJ64420 REN64355:REN64420 QUR64355:QUR64420 QKV64355:QKV64420 QAZ64355:QAZ64420 PRD64355:PRD64420 PHH64355:PHH64420 OXL64355:OXL64420 ONP64355:ONP64420 ODT64355:ODT64420 NTX64355:NTX64420 NKB64355:NKB64420 NAF64355:NAF64420 MQJ64355:MQJ64420 MGN64355:MGN64420 LWR64355:LWR64420 LMV64355:LMV64420 LCZ64355:LCZ64420 KTD64355:KTD64420 KJH64355:KJH64420 JZL64355:JZL64420 JPP64355:JPP64420 JFT64355:JFT64420 IVX64355:IVX64420 IMB64355:IMB64420 ICF64355:ICF64420 HSJ64355:HSJ64420 HIN64355:HIN64420 GYR64355:GYR64420 GOV64355:GOV64420 GEZ64355:GEZ64420 FVD64355:FVD64420 FLH64355:FLH64420 FBL64355:FBL64420 ERP64355:ERP64420 EHT64355:EHT64420 DXX64355:DXX64420 DOB64355:DOB64420 DEF64355:DEF64420 CUJ64355:CUJ64420 CKN64355:CKN64420 CAR64355:CAR64420 BQV64355:BQV64420 BGZ64355:BGZ64420 AXD64355:AXD64420 ANH64355:ANH64420 ADL64355:ADL64420 TP64355:TP64420 TP2:TP61 X2:X492">
      <formula1>$AT$2:$AT$3</formula1>
    </dataValidation>
    <dataValidation type="list" allowBlank="1" showInputMessage="1" showErrorMessage="1" sqref="G64355:G64422 JC64355:JC64422 WLS983034:WLS983105 WBW983034:WBW983105 VSA983034:VSA983105 VIE983034:VIE983105 UYI983034:UYI983105 UOM983034:UOM983105 UEQ983034:UEQ983105 TUU983034:TUU983105 TKY983034:TKY983105 TBC983034:TBC983105 SRG983034:SRG983105 SHK983034:SHK983105 RXO983034:RXO983105 RNS983034:RNS983105 RDW983034:RDW983105 QUA983034:QUA983105 QKE983034:QKE983105 QAI983034:QAI983105 PQM983034:PQM983105 PGQ983034:PGQ983105 OWU983034:OWU983105 OMY983034:OMY983105 ODC983034:ODC983105 NTG983034:NTG983105 NJK983034:NJK983105 MZO983034:MZO983105 MPS983034:MPS983105 MFW983034:MFW983105 LWA983034:LWA983105 LME983034:LME983105 LCI983034:LCI983105 KSM983034:KSM983105 KIQ983034:KIQ983105 JYU983034:JYU983105 JOY983034:JOY983105 JFC983034:JFC983105 IVG983034:IVG983105 ILK983034:ILK983105 IBO983034:IBO983105 HRS983034:HRS983105 HHW983034:HHW983105 GYA983034:GYA983105 GOE983034:GOE983105 GEI983034:GEI983105 FUM983034:FUM983105 FKQ983034:FKQ983105 FAU983034:FAU983105 EQY983034:EQY983105 EHC983034:EHC983105 DXG983034:DXG983105 DNK983034:DNK983105 DDO983034:DDO983105 CTS983034:CTS983105 CJW983034:CJW983105 CAA983034:CAA983105 BQE983034:BQE983105 BGI983034:BGI983105 AWM983034:AWM983105 AMQ983034:AMQ983105 ACU983034:ACU983105 SY983034:SY983105 JC983034:JC983105 G983034:G983105 WVO917498:WVO917569 WLS917498:WLS917569 WBW917498:WBW917569 VSA917498:VSA917569 VIE917498:VIE917569 UYI917498:UYI917569 UOM917498:UOM917569 UEQ917498:UEQ917569 TUU917498:TUU917569 TKY917498:TKY917569 TBC917498:TBC917569 SRG917498:SRG917569 SHK917498:SHK917569 RXO917498:RXO917569 RNS917498:RNS917569 RDW917498:RDW917569 QUA917498:QUA917569 QKE917498:QKE917569 QAI917498:QAI917569 PQM917498:PQM917569 PGQ917498:PGQ917569 OWU917498:OWU917569 OMY917498:OMY917569 ODC917498:ODC917569 NTG917498:NTG917569 NJK917498:NJK917569 MZO917498:MZO917569 MPS917498:MPS917569 MFW917498:MFW917569 LWA917498:LWA917569 LME917498:LME917569 LCI917498:LCI917569 KSM917498:KSM917569 KIQ917498:KIQ917569 JYU917498:JYU917569 JOY917498:JOY917569 JFC917498:JFC917569 IVG917498:IVG917569 ILK917498:ILK917569 IBO917498:IBO917569 HRS917498:HRS917569 HHW917498:HHW917569 GYA917498:GYA917569 GOE917498:GOE917569 GEI917498:GEI917569 FUM917498:FUM917569 FKQ917498:FKQ917569 FAU917498:FAU917569 EQY917498:EQY917569 EHC917498:EHC917569 DXG917498:DXG917569 DNK917498:DNK917569 DDO917498:DDO917569 CTS917498:CTS917569 CJW917498:CJW917569 CAA917498:CAA917569 BQE917498:BQE917569 BGI917498:BGI917569 AWM917498:AWM917569 AMQ917498:AMQ917569 ACU917498:ACU917569 SY917498:SY917569 JC917498:JC917569 G917498:G917569 WVO851962:WVO852033 WLS851962:WLS852033 WBW851962:WBW852033 VSA851962:VSA852033 VIE851962:VIE852033 UYI851962:UYI852033 UOM851962:UOM852033 UEQ851962:UEQ852033 TUU851962:TUU852033 TKY851962:TKY852033 TBC851962:TBC852033 SRG851962:SRG852033 SHK851962:SHK852033 RXO851962:RXO852033 RNS851962:RNS852033 RDW851962:RDW852033 QUA851962:QUA852033 QKE851962:QKE852033 QAI851962:QAI852033 PQM851962:PQM852033 PGQ851962:PGQ852033 OWU851962:OWU852033 OMY851962:OMY852033 ODC851962:ODC852033 NTG851962:NTG852033 NJK851962:NJK852033 MZO851962:MZO852033 MPS851962:MPS852033 MFW851962:MFW852033 LWA851962:LWA852033 LME851962:LME852033 LCI851962:LCI852033 KSM851962:KSM852033 KIQ851962:KIQ852033 JYU851962:JYU852033 JOY851962:JOY852033 JFC851962:JFC852033 IVG851962:IVG852033 ILK851962:ILK852033 IBO851962:IBO852033 HRS851962:HRS852033 HHW851962:HHW852033 GYA851962:GYA852033 GOE851962:GOE852033 GEI851962:GEI852033 FUM851962:FUM852033 FKQ851962:FKQ852033 FAU851962:FAU852033 EQY851962:EQY852033 EHC851962:EHC852033 DXG851962:DXG852033 DNK851962:DNK852033 DDO851962:DDO852033 CTS851962:CTS852033 CJW851962:CJW852033 CAA851962:CAA852033 BQE851962:BQE852033 BGI851962:BGI852033 AWM851962:AWM852033 AMQ851962:AMQ852033 ACU851962:ACU852033 SY851962:SY852033 JC851962:JC852033 G851962:G852033 WVO786426:WVO786497 WLS786426:WLS786497 WBW786426:WBW786497 VSA786426:VSA786497 VIE786426:VIE786497 UYI786426:UYI786497 UOM786426:UOM786497 UEQ786426:UEQ786497 TUU786426:TUU786497 TKY786426:TKY786497 TBC786426:TBC786497 SRG786426:SRG786497 SHK786426:SHK786497 RXO786426:RXO786497 RNS786426:RNS786497 RDW786426:RDW786497 QUA786426:QUA786497 QKE786426:QKE786497 QAI786426:QAI786497 PQM786426:PQM786497 PGQ786426:PGQ786497 OWU786426:OWU786497 OMY786426:OMY786497 ODC786426:ODC786497 NTG786426:NTG786497 NJK786426:NJK786497 MZO786426:MZO786497 MPS786426:MPS786497 MFW786426:MFW786497 LWA786426:LWA786497 LME786426:LME786497 LCI786426:LCI786497 KSM786426:KSM786497 KIQ786426:KIQ786497 JYU786426:JYU786497 JOY786426:JOY786497 JFC786426:JFC786497 IVG786426:IVG786497 ILK786426:ILK786497 IBO786426:IBO786497 HRS786426:HRS786497 HHW786426:HHW786497 GYA786426:GYA786497 GOE786426:GOE786497 GEI786426:GEI786497 FUM786426:FUM786497 FKQ786426:FKQ786497 FAU786426:FAU786497 EQY786426:EQY786497 EHC786426:EHC786497 DXG786426:DXG786497 DNK786426:DNK786497 DDO786426:DDO786497 CTS786426:CTS786497 CJW786426:CJW786497 CAA786426:CAA786497 BQE786426:BQE786497 BGI786426:BGI786497 AWM786426:AWM786497 AMQ786426:AMQ786497 ACU786426:ACU786497 SY786426:SY786497 JC786426:JC786497 G786426:G786497 WVO720890:WVO720961 WLS720890:WLS720961 WBW720890:WBW720961 VSA720890:VSA720961 VIE720890:VIE720961 UYI720890:UYI720961 UOM720890:UOM720961 UEQ720890:UEQ720961 TUU720890:TUU720961 TKY720890:TKY720961 TBC720890:TBC720961 SRG720890:SRG720961 SHK720890:SHK720961 RXO720890:RXO720961 RNS720890:RNS720961 RDW720890:RDW720961 QUA720890:QUA720961 QKE720890:QKE720961 QAI720890:QAI720961 PQM720890:PQM720961 PGQ720890:PGQ720961 OWU720890:OWU720961 OMY720890:OMY720961 ODC720890:ODC720961 NTG720890:NTG720961 NJK720890:NJK720961 MZO720890:MZO720961 MPS720890:MPS720961 MFW720890:MFW720961 LWA720890:LWA720961 LME720890:LME720961 LCI720890:LCI720961 KSM720890:KSM720961 KIQ720890:KIQ720961 JYU720890:JYU720961 JOY720890:JOY720961 JFC720890:JFC720961 IVG720890:IVG720961 ILK720890:ILK720961 IBO720890:IBO720961 HRS720890:HRS720961 HHW720890:HHW720961 GYA720890:GYA720961 GOE720890:GOE720961 GEI720890:GEI720961 FUM720890:FUM720961 FKQ720890:FKQ720961 FAU720890:FAU720961 EQY720890:EQY720961 EHC720890:EHC720961 DXG720890:DXG720961 DNK720890:DNK720961 DDO720890:DDO720961 CTS720890:CTS720961 CJW720890:CJW720961 CAA720890:CAA720961 BQE720890:BQE720961 BGI720890:BGI720961 AWM720890:AWM720961 AMQ720890:AMQ720961 ACU720890:ACU720961 SY720890:SY720961 JC720890:JC720961 G720890:G720961 WVO655354:WVO655425 WLS655354:WLS655425 WBW655354:WBW655425 VSA655354:VSA655425 VIE655354:VIE655425 UYI655354:UYI655425 UOM655354:UOM655425 UEQ655354:UEQ655425 TUU655354:TUU655425 TKY655354:TKY655425 TBC655354:TBC655425 SRG655354:SRG655425 SHK655354:SHK655425 RXO655354:RXO655425 RNS655354:RNS655425 RDW655354:RDW655425 QUA655354:QUA655425 QKE655354:QKE655425 QAI655354:QAI655425 PQM655354:PQM655425 PGQ655354:PGQ655425 OWU655354:OWU655425 OMY655354:OMY655425 ODC655354:ODC655425 NTG655354:NTG655425 NJK655354:NJK655425 MZO655354:MZO655425 MPS655354:MPS655425 MFW655354:MFW655425 LWA655354:LWA655425 LME655354:LME655425 LCI655354:LCI655425 KSM655354:KSM655425 KIQ655354:KIQ655425 JYU655354:JYU655425 JOY655354:JOY655425 JFC655354:JFC655425 IVG655354:IVG655425 ILK655354:ILK655425 IBO655354:IBO655425 HRS655354:HRS655425 HHW655354:HHW655425 GYA655354:GYA655425 GOE655354:GOE655425 GEI655354:GEI655425 FUM655354:FUM655425 FKQ655354:FKQ655425 FAU655354:FAU655425 EQY655354:EQY655425 EHC655354:EHC655425 DXG655354:DXG655425 DNK655354:DNK655425 DDO655354:DDO655425 CTS655354:CTS655425 CJW655354:CJW655425 CAA655354:CAA655425 BQE655354:BQE655425 BGI655354:BGI655425 AWM655354:AWM655425 AMQ655354:AMQ655425 ACU655354:ACU655425 SY655354:SY655425 JC655354:JC655425 G655354:G655425 WVO589818:WVO589889 WLS589818:WLS589889 WBW589818:WBW589889 VSA589818:VSA589889 VIE589818:VIE589889 UYI589818:UYI589889 UOM589818:UOM589889 UEQ589818:UEQ589889 TUU589818:TUU589889 TKY589818:TKY589889 TBC589818:TBC589889 SRG589818:SRG589889 SHK589818:SHK589889 RXO589818:RXO589889 RNS589818:RNS589889 RDW589818:RDW589889 QUA589818:QUA589889 QKE589818:QKE589889 QAI589818:QAI589889 PQM589818:PQM589889 PGQ589818:PGQ589889 OWU589818:OWU589889 OMY589818:OMY589889 ODC589818:ODC589889 NTG589818:NTG589889 NJK589818:NJK589889 MZO589818:MZO589889 MPS589818:MPS589889 MFW589818:MFW589889 LWA589818:LWA589889 LME589818:LME589889 LCI589818:LCI589889 KSM589818:KSM589889 KIQ589818:KIQ589889 JYU589818:JYU589889 JOY589818:JOY589889 JFC589818:JFC589889 IVG589818:IVG589889 ILK589818:ILK589889 IBO589818:IBO589889 HRS589818:HRS589889 HHW589818:HHW589889 GYA589818:GYA589889 GOE589818:GOE589889 GEI589818:GEI589889 FUM589818:FUM589889 FKQ589818:FKQ589889 FAU589818:FAU589889 EQY589818:EQY589889 EHC589818:EHC589889 DXG589818:DXG589889 DNK589818:DNK589889 DDO589818:DDO589889 CTS589818:CTS589889 CJW589818:CJW589889 CAA589818:CAA589889 BQE589818:BQE589889 BGI589818:BGI589889 AWM589818:AWM589889 AMQ589818:AMQ589889 ACU589818:ACU589889 SY589818:SY589889 JC589818:JC589889 G589818:G589889 WVO524282:WVO524353 WLS524282:WLS524353 WBW524282:WBW524353 VSA524282:VSA524353 VIE524282:VIE524353 UYI524282:UYI524353 UOM524282:UOM524353 UEQ524282:UEQ524353 TUU524282:TUU524353 TKY524282:TKY524353 TBC524282:TBC524353 SRG524282:SRG524353 SHK524282:SHK524353 RXO524282:RXO524353 RNS524282:RNS524353 RDW524282:RDW524353 QUA524282:QUA524353 QKE524282:QKE524353 QAI524282:QAI524353 PQM524282:PQM524353 PGQ524282:PGQ524353 OWU524282:OWU524353 OMY524282:OMY524353 ODC524282:ODC524353 NTG524282:NTG524353 NJK524282:NJK524353 MZO524282:MZO524353 MPS524282:MPS524353 MFW524282:MFW524353 LWA524282:LWA524353 LME524282:LME524353 LCI524282:LCI524353 KSM524282:KSM524353 KIQ524282:KIQ524353 JYU524282:JYU524353 JOY524282:JOY524353 JFC524282:JFC524353 IVG524282:IVG524353 ILK524282:ILK524353 IBO524282:IBO524353 HRS524282:HRS524353 HHW524282:HHW524353 GYA524282:GYA524353 GOE524282:GOE524353 GEI524282:GEI524353 FUM524282:FUM524353 FKQ524282:FKQ524353 FAU524282:FAU524353 EQY524282:EQY524353 EHC524282:EHC524353 DXG524282:DXG524353 DNK524282:DNK524353 DDO524282:DDO524353 CTS524282:CTS524353 CJW524282:CJW524353 CAA524282:CAA524353 BQE524282:BQE524353 BGI524282:BGI524353 AWM524282:AWM524353 AMQ524282:AMQ524353 ACU524282:ACU524353 SY524282:SY524353 JC524282:JC524353 G524282:G524353 WVO458746:WVO458817 WLS458746:WLS458817 WBW458746:WBW458817 VSA458746:VSA458817 VIE458746:VIE458817 UYI458746:UYI458817 UOM458746:UOM458817 UEQ458746:UEQ458817 TUU458746:TUU458817 TKY458746:TKY458817 TBC458746:TBC458817 SRG458746:SRG458817 SHK458746:SHK458817 RXO458746:RXO458817 RNS458746:RNS458817 RDW458746:RDW458817 QUA458746:QUA458817 QKE458746:QKE458817 QAI458746:QAI458817 PQM458746:PQM458817 PGQ458746:PGQ458817 OWU458746:OWU458817 OMY458746:OMY458817 ODC458746:ODC458817 NTG458746:NTG458817 NJK458746:NJK458817 MZO458746:MZO458817 MPS458746:MPS458817 MFW458746:MFW458817 LWA458746:LWA458817 LME458746:LME458817 LCI458746:LCI458817 KSM458746:KSM458817 KIQ458746:KIQ458817 JYU458746:JYU458817 JOY458746:JOY458817 JFC458746:JFC458817 IVG458746:IVG458817 ILK458746:ILK458817 IBO458746:IBO458817 HRS458746:HRS458817 HHW458746:HHW458817 GYA458746:GYA458817 GOE458746:GOE458817 GEI458746:GEI458817 FUM458746:FUM458817 FKQ458746:FKQ458817 FAU458746:FAU458817 EQY458746:EQY458817 EHC458746:EHC458817 DXG458746:DXG458817 DNK458746:DNK458817 DDO458746:DDO458817 CTS458746:CTS458817 CJW458746:CJW458817 CAA458746:CAA458817 BQE458746:BQE458817 BGI458746:BGI458817 AWM458746:AWM458817 AMQ458746:AMQ458817 ACU458746:ACU458817 SY458746:SY458817 JC458746:JC458817 G458746:G458817 WVO393210:WVO393281 WLS393210:WLS393281 WBW393210:WBW393281 VSA393210:VSA393281 VIE393210:VIE393281 UYI393210:UYI393281 UOM393210:UOM393281 UEQ393210:UEQ393281 TUU393210:TUU393281 TKY393210:TKY393281 TBC393210:TBC393281 SRG393210:SRG393281 SHK393210:SHK393281 RXO393210:RXO393281 RNS393210:RNS393281 RDW393210:RDW393281 QUA393210:QUA393281 QKE393210:QKE393281 QAI393210:QAI393281 PQM393210:PQM393281 PGQ393210:PGQ393281 OWU393210:OWU393281 OMY393210:OMY393281 ODC393210:ODC393281 NTG393210:NTG393281 NJK393210:NJK393281 MZO393210:MZO393281 MPS393210:MPS393281 MFW393210:MFW393281 LWA393210:LWA393281 LME393210:LME393281 LCI393210:LCI393281 KSM393210:KSM393281 KIQ393210:KIQ393281 JYU393210:JYU393281 JOY393210:JOY393281 JFC393210:JFC393281 IVG393210:IVG393281 ILK393210:ILK393281 IBO393210:IBO393281 HRS393210:HRS393281 HHW393210:HHW393281 GYA393210:GYA393281 GOE393210:GOE393281 GEI393210:GEI393281 FUM393210:FUM393281 FKQ393210:FKQ393281 FAU393210:FAU393281 EQY393210:EQY393281 EHC393210:EHC393281 DXG393210:DXG393281 DNK393210:DNK393281 DDO393210:DDO393281 CTS393210:CTS393281 CJW393210:CJW393281 CAA393210:CAA393281 BQE393210:BQE393281 BGI393210:BGI393281 AWM393210:AWM393281 AMQ393210:AMQ393281 ACU393210:ACU393281 SY393210:SY393281 JC393210:JC393281 G393210:G393281 WVO327674:WVO327745 WLS327674:WLS327745 WBW327674:WBW327745 VSA327674:VSA327745 VIE327674:VIE327745 UYI327674:UYI327745 UOM327674:UOM327745 UEQ327674:UEQ327745 TUU327674:TUU327745 TKY327674:TKY327745 TBC327674:TBC327745 SRG327674:SRG327745 SHK327674:SHK327745 RXO327674:RXO327745 RNS327674:RNS327745 RDW327674:RDW327745 QUA327674:QUA327745 QKE327674:QKE327745 QAI327674:QAI327745 PQM327674:PQM327745 PGQ327674:PGQ327745 OWU327674:OWU327745 OMY327674:OMY327745 ODC327674:ODC327745 NTG327674:NTG327745 NJK327674:NJK327745 MZO327674:MZO327745 MPS327674:MPS327745 MFW327674:MFW327745 LWA327674:LWA327745 LME327674:LME327745 LCI327674:LCI327745 KSM327674:KSM327745 KIQ327674:KIQ327745 JYU327674:JYU327745 JOY327674:JOY327745 JFC327674:JFC327745 IVG327674:IVG327745 ILK327674:ILK327745 IBO327674:IBO327745 HRS327674:HRS327745 HHW327674:HHW327745 GYA327674:GYA327745 GOE327674:GOE327745 GEI327674:GEI327745 FUM327674:FUM327745 FKQ327674:FKQ327745 FAU327674:FAU327745 EQY327674:EQY327745 EHC327674:EHC327745 DXG327674:DXG327745 DNK327674:DNK327745 DDO327674:DDO327745 CTS327674:CTS327745 CJW327674:CJW327745 CAA327674:CAA327745 BQE327674:BQE327745 BGI327674:BGI327745 AWM327674:AWM327745 AMQ327674:AMQ327745 ACU327674:ACU327745 SY327674:SY327745 JC327674:JC327745 G327674:G327745 WVO262138:WVO262209 WLS262138:WLS262209 WBW262138:WBW262209 VSA262138:VSA262209 VIE262138:VIE262209 UYI262138:UYI262209 UOM262138:UOM262209 UEQ262138:UEQ262209 TUU262138:TUU262209 TKY262138:TKY262209 TBC262138:TBC262209 SRG262138:SRG262209 SHK262138:SHK262209 RXO262138:RXO262209 RNS262138:RNS262209 RDW262138:RDW262209 QUA262138:QUA262209 QKE262138:QKE262209 QAI262138:QAI262209 PQM262138:PQM262209 PGQ262138:PGQ262209 OWU262138:OWU262209 OMY262138:OMY262209 ODC262138:ODC262209 NTG262138:NTG262209 NJK262138:NJK262209 MZO262138:MZO262209 MPS262138:MPS262209 MFW262138:MFW262209 LWA262138:LWA262209 LME262138:LME262209 LCI262138:LCI262209 KSM262138:KSM262209 KIQ262138:KIQ262209 JYU262138:JYU262209 JOY262138:JOY262209 JFC262138:JFC262209 IVG262138:IVG262209 ILK262138:ILK262209 IBO262138:IBO262209 HRS262138:HRS262209 HHW262138:HHW262209 GYA262138:GYA262209 GOE262138:GOE262209 GEI262138:GEI262209 FUM262138:FUM262209 FKQ262138:FKQ262209 FAU262138:FAU262209 EQY262138:EQY262209 EHC262138:EHC262209 DXG262138:DXG262209 DNK262138:DNK262209 DDO262138:DDO262209 CTS262138:CTS262209 CJW262138:CJW262209 CAA262138:CAA262209 BQE262138:BQE262209 BGI262138:BGI262209 AWM262138:AWM262209 AMQ262138:AMQ262209 ACU262138:ACU262209 SY262138:SY262209 JC262138:JC262209 G262138:G262209 WVO196602:WVO196673 WLS196602:WLS196673 WBW196602:WBW196673 VSA196602:VSA196673 VIE196602:VIE196673 UYI196602:UYI196673 UOM196602:UOM196673 UEQ196602:UEQ196673 TUU196602:TUU196673 TKY196602:TKY196673 TBC196602:TBC196673 SRG196602:SRG196673 SHK196602:SHK196673 RXO196602:RXO196673 RNS196602:RNS196673 RDW196602:RDW196673 QUA196602:QUA196673 QKE196602:QKE196673 QAI196602:QAI196673 PQM196602:PQM196673 PGQ196602:PGQ196673 OWU196602:OWU196673 OMY196602:OMY196673 ODC196602:ODC196673 NTG196602:NTG196673 NJK196602:NJK196673 MZO196602:MZO196673 MPS196602:MPS196673 MFW196602:MFW196673 LWA196602:LWA196673 LME196602:LME196673 LCI196602:LCI196673 KSM196602:KSM196673 KIQ196602:KIQ196673 JYU196602:JYU196673 JOY196602:JOY196673 JFC196602:JFC196673 IVG196602:IVG196673 ILK196602:ILK196673 IBO196602:IBO196673 HRS196602:HRS196673 HHW196602:HHW196673 GYA196602:GYA196673 GOE196602:GOE196673 GEI196602:GEI196673 FUM196602:FUM196673 FKQ196602:FKQ196673 FAU196602:FAU196673 EQY196602:EQY196673 EHC196602:EHC196673 DXG196602:DXG196673 DNK196602:DNK196673 DDO196602:DDO196673 CTS196602:CTS196673 CJW196602:CJW196673 CAA196602:CAA196673 BQE196602:BQE196673 BGI196602:BGI196673 AWM196602:AWM196673 AMQ196602:AMQ196673 ACU196602:ACU196673 SY196602:SY196673 JC196602:JC196673 G196602:G196673 WVO131066:WVO131137 WLS131066:WLS131137 WBW131066:WBW131137 VSA131066:VSA131137 VIE131066:VIE131137 UYI131066:UYI131137 UOM131066:UOM131137 UEQ131066:UEQ131137 TUU131066:TUU131137 TKY131066:TKY131137 TBC131066:TBC131137 SRG131066:SRG131137 SHK131066:SHK131137 RXO131066:RXO131137 RNS131066:RNS131137 RDW131066:RDW131137 QUA131066:QUA131137 QKE131066:QKE131137 QAI131066:QAI131137 PQM131066:PQM131137 PGQ131066:PGQ131137 OWU131066:OWU131137 OMY131066:OMY131137 ODC131066:ODC131137 NTG131066:NTG131137 NJK131066:NJK131137 MZO131066:MZO131137 MPS131066:MPS131137 MFW131066:MFW131137 LWA131066:LWA131137 LME131066:LME131137 LCI131066:LCI131137 KSM131066:KSM131137 KIQ131066:KIQ131137 JYU131066:JYU131137 JOY131066:JOY131137 JFC131066:JFC131137 IVG131066:IVG131137 ILK131066:ILK131137 IBO131066:IBO131137 HRS131066:HRS131137 HHW131066:HHW131137 GYA131066:GYA131137 GOE131066:GOE131137 GEI131066:GEI131137 FUM131066:FUM131137 FKQ131066:FKQ131137 FAU131066:FAU131137 EQY131066:EQY131137 EHC131066:EHC131137 DXG131066:DXG131137 DNK131066:DNK131137 DDO131066:DDO131137 CTS131066:CTS131137 CJW131066:CJW131137 CAA131066:CAA131137 BQE131066:BQE131137 BGI131066:BGI131137 AWM131066:AWM131137 AMQ131066:AMQ131137 ACU131066:ACU131137 SY131066:SY131137 JC131066:JC131137 G131066:G131137 WVO65530:WVO65601 WLS65530:WLS65601 WBW65530:WBW65601 VSA65530:VSA65601 VIE65530:VIE65601 UYI65530:UYI65601 UOM65530:UOM65601 UEQ65530:UEQ65601 TUU65530:TUU65601 TKY65530:TKY65601 TBC65530:TBC65601 SRG65530:SRG65601 SHK65530:SHK65601 RXO65530:RXO65601 RNS65530:RNS65601 RDW65530:RDW65601 QUA65530:QUA65601 QKE65530:QKE65601 QAI65530:QAI65601 PQM65530:PQM65601 PGQ65530:PGQ65601 OWU65530:OWU65601 OMY65530:OMY65601 ODC65530:ODC65601 NTG65530:NTG65601 NJK65530:NJK65601 MZO65530:MZO65601 MPS65530:MPS65601 MFW65530:MFW65601 LWA65530:LWA65601 LME65530:LME65601 LCI65530:LCI65601 KSM65530:KSM65601 KIQ65530:KIQ65601 JYU65530:JYU65601 JOY65530:JOY65601 JFC65530:JFC65601 IVG65530:IVG65601 ILK65530:ILK65601 IBO65530:IBO65601 HRS65530:HRS65601 HHW65530:HHW65601 GYA65530:GYA65601 GOE65530:GOE65601 GEI65530:GEI65601 FUM65530:FUM65601 FKQ65530:FKQ65601 FAU65530:FAU65601 EQY65530:EQY65601 EHC65530:EHC65601 DXG65530:DXG65601 DNK65530:DNK65601 DDO65530:DDO65601 CTS65530:CTS65601 CJW65530:CJW65601 CAA65530:CAA65601 BQE65530:BQE65601 BGI65530:BGI65601 AWM65530:AWM65601 AMQ65530:AMQ65601 ACU65530:ACU65601 SY65530:SY65601 JC65530:JC65601 G65530:G65601 WVO983034:WVO983105 WVO1047395:WVO1047462 WLS1047395:WLS1047462 WBW1047395:WBW1047462 VSA1047395:VSA1047462 VIE1047395:VIE1047462 UYI1047395:UYI1047462 UOM1047395:UOM1047462 UEQ1047395:UEQ1047462 TUU1047395:TUU1047462 TKY1047395:TKY1047462 TBC1047395:TBC1047462 SRG1047395:SRG1047462 SHK1047395:SHK1047462 RXO1047395:RXO1047462 RNS1047395:RNS1047462 RDW1047395:RDW1047462 QUA1047395:QUA1047462 QKE1047395:QKE1047462 QAI1047395:QAI1047462 PQM1047395:PQM1047462 PGQ1047395:PGQ1047462 OWU1047395:OWU1047462 OMY1047395:OMY1047462 ODC1047395:ODC1047462 NTG1047395:NTG1047462 NJK1047395:NJK1047462 MZO1047395:MZO1047462 MPS1047395:MPS1047462 MFW1047395:MFW1047462 LWA1047395:LWA1047462 LME1047395:LME1047462 LCI1047395:LCI1047462 KSM1047395:KSM1047462 KIQ1047395:KIQ1047462 JYU1047395:JYU1047462 JOY1047395:JOY1047462 JFC1047395:JFC1047462 IVG1047395:IVG1047462 ILK1047395:ILK1047462 IBO1047395:IBO1047462 HRS1047395:HRS1047462 HHW1047395:HHW1047462 GYA1047395:GYA1047462 GOE1047395:GOE1047462 GEI1047395:GEI1047462 FUM1047395:FUM1047462 FKQ1047395:FKQ1047462 FAU1047395:FAU1047462 EQY1047395:EQY1047462 EHC1047395:EHC1047462 DXG1047395:DXG1047462 DNK1047395:DNK1047462 DDO1047395:DDO1047462 CTS1047395:CTS1047462 CJW1047395:CJW1047462 CAA1047395:CAA1047462 BQE1047395:BQE1047462 BGI1047395:BGI1047462 AWM1047395:AWM1047462 AMQ1047395:AMQ1047462 ACU1047395:ACU1047462 SY1047395:SY1047462 JC1047395:JC1047462 G1047395:G1047462 WVO981859:WVO981926 WLS981859:WLS981926 WBW981859:WBW981926 VSA981859:VSA981926 VIE981859:VIE981926 UYI981859:UYI981926 UOM981859:UOM981926 UEQ981859:UEQ981926 TUU981859:TUU981926 TKY981859:TKY981926 TBC981859:TBC981926 SRG981859:SRG981926 SHK981859:SHK981926 RXO981859:RXO981926 RNS981859:RNS981926 RDW981859:RDW981926 QUA981859:QUA981926 QKE981859:QKE981926 QAI981859:QAI981926 PQM981859:PQM981926 PGQ981859:PGQ981926 OWU981859:OWU981926 OMY981859:OMY981926 ODC981859:ODC981926 NTG981859:NTG981926 NJK981859:NJK981926 MZO981859:MZO981926 MPS981859:MPS981926 MFW981859:MFW981926 LWA981859:LWA981926 LME981859:LME981926 LCI981859:LCI981926 KSM981859:KSM981926 KIQ981859:KIQ981926 JYU981859:JYU981926 JOY981859:JOY981926 JFC981859:JFC981926 IVG981859:IVG981926 ILK981859:ILK981926 IBO981859:IBO981926 HRS981859:HRS981926 HHW981859:HHW981926 GYA981859:GYA981926 GOE981859:GOE981926 GEI981859:GEI981926 FUM981859:FUM981926 FKQ981859:FKQ981926 FAU981859:FAU981926 EQY981859:EQY981926 EHC981859:EHC981926 DXG981859:DXG981926 DNK981859:DNK981926 DDO981859:DDO981926 CTS981859:CTS981926 CJW981859:CJW981926 CAA981859:CAA981926 BQE981859:BQE981926 BGI981859:BGI981926 AWM981859:AWM981926 AMQ981859:AMQ981926 ACU981859:ACU981926 SY981859:SY981926 JC981859:JC981926 G981859:G981926 WVO916323:WVO916390 WLS916323:WLS916390 WBW916323:WBW916390 VSA916323:VSA916390 VIE916323:VIE916390 UYI916323:UYI916390 UOM916323:UOM916390 UEQ916323:UEQ916390 TUU916323:TUU916390 TKY916323:TKY916390 TBC916323:TBC916390 SRG916323:SRG916390 SHK916323:SHK916390 RXO916323:RXO916390 RNS916323:RNS916390 RDW916323:RDW916390 QUA916323:QUA916390 QKE916323:QKE916390 QAI916323:QAI916390 PQM916323:PQM916390 PGQ916323:PGQ916390 OWU916323:OWU916390 OMY916323:OMY916390 ODC916323:ODC916390 NTG916323:NTG916390 NJK916323:NJK916390 MZO916323:MZO916390 MPS916323:MPS916390 MFW916323:MFW916390 LWA916323:LWA916390 LME916323:LME916390 LCI916323:LCI916390 KSM916323:KSM916390 KIQ916323:KIQ916390 JYU916323:JYU916390 JOY916323:JOY916390 JFC916323:JFC916390 IVG916323:IVG916390 ILK916323:ILK916390 IBO916323:IBO916390 HRS916323:HRS916390 HHW916323:HHW916390 GYA916323:GYA916390 GOE916323:GOE916390 GEI916323:GEI916390 FUM916323:FUM916390 FKQ916323:FKQ916390 FAU916323:FAU916390 EQY916323:EQY916390 EHC916323:EHC916390 DXG916323:DXG916390 DNK916323:DNK916390 DDO916323:DDO916390 CTS916323:CTS916390 CJW916323:CJW916390 CAA916323:CAA916390 BQE916323:BQE916390 BGI916323:BGI916390 AWM916323:AWM916390 AMQ916323:AMQ916390 ACU916323:ACU916390 SY916323:SY916390 JC916323:JC916390 G916323:G916390 WVO850787:WVO850854 WLS850787:WLS850854 WBW850787:WBW850854 VSA850787:VSA850854 VIE850787:VIE850854 UYI850787:UYI850854 UOM850787:UOM850854 UEQ850787:UEQ850854 TUU850787:TUU850854 TKY850787:TKY850854 TBC850787:TBC850854 SRG850787:SRG850854 SHK850787:SHK850854 RXO850787:RXO850854 RNS850787:RNS850854 RDW850787:RDW850854 QUA850787:QUA850854 QKE850787:QKE850854 QAI850787:QAI850854 PQM850787:PQM850854 PGQ850787:PGQ850854 OWU850787:OWU850854 OMY850787:OMY850854 ODC850787:ODC850854 NTG850787:NTG850854 NJK850787:NJK850854 MZO850787:MZO850854 MPS850787:MPS850854 MFW850787:MFW850854 LWA850787:LWA850854 LME850787:LME850854 LCI850787:LCI850854 KSM850787:KSM850854 KIQ850787:KIQ850854 JYU850787:JYU850854 JOY850787:JOY850854 JFC850787:JFC850854 IVG850787:IVG850854 ILK850787:ILK850854 IBO850787:IBO850854 HRS850787:HRS850854 HHW850787:HHW850854 GYA850787:GYA850854 GOE850787:GOE850854 GEI850787:GEI850854 FUM850787:FUM850854 FKQ850787:FKQ850854 FAU850787:FAU850854 EQY850787:EQY850854 EHC850787:EHC850854 DXG850787:DXG850854 DNK850787:DNK850854 DDO850787:DDO850854 CTS850787:CTS850854 CJW850787:CJW850854 CAA850787:CAA850854 BQE850787:BQE850854 BGI850787:BGI850854 AWM850787:AWM850854 AMQ850787:AMQ850854 ACU850787:ACU850854 SY850787:SY850854 JC850787:JC850854 G850787:G850854 WVO785251:WVO785318 WLS785251:WLS785318 WBW785251:WBW785318 VSA785251:VSA785318 VIE785251:VIE785318 UYI785251:UYI785318 UOM785251:UOM785318 UEQ785251:UEQ785318 TUU785251:TUU785318 TKY785251:TKY785318 TBC785251:TBC785318 SRG785251:SRG785318 SHK785251:SHK785318 RXO785251:RXO785318 RNS785251:RNS785318 RDW785251:RDW785318 QUA785251:QUA785318 QKE785251:QKE785318 QAI785251:QAI785318 PQM785251:PQM785318 PGQ785251:PGQ785318 OWU785251:OWU785318 OMY785251:OMY785318 ODC785251:ODC785318 NTG785251:NTG785318 NJK785251:NJK785318 MZO785251:MZO785318 MPS785251:MPS785318 MFW785251:MFW785318 LWA785251:LWA785318 LME785251:LME785318 LCI785251:LCI785318 KSM785251:KSM785318 KIQ785251:KIQ785318 JYU785251:JYU785318 JOY785251:JOY785318 JFC785251:JFC785318 IVG785251:IVG785318 ILK785251:ILK785318 IBO785251:IBO785318 HRS785251:HRS785318 HHW785251:HHW785318 GYA785251:GYA785318 GOE785251:GOE785318 GEI785251:GEI785318 FUM785251:FUM785318 FKQ785251:FKQ785318 FAU785251:FAU785318 EQY785251:EQY785318 EHC785251:EHC785318 DXG785251:DXG785318 DNK785251:DNK785318 DDO785251:DDO785318 CTS785251:CTS785318 CJW785251:CJW785318 CAA785251:CAA785318 BQE785251:BQE785318 BGI785251:BGI785318 AWM785251:AWM785318 AMQ785251:AMQ785318 ACU785251:ACU785318 SY785251:SY785318 JC785251:JC785318 G785251:G785318 WVO719715:WVO719782 WLS719715:WLS719782 WBW719715:WBW719782 VSA719715:VSA719782 VIE719715:VIE719782 UYI719715:UYI719782 UOM719715:UOM719782 UEQ719715:UEQ719782 TUU719715:TUU719782 TKY719715:TKY719782 TBC719715:TBC719782 SRG719715:SRG719782 SHK719715:SHK719782 RXO719715:RXO719782 RNS719715:RNS719782 RDW719715:RDW719782 QUA719715:QUA719782 QKE719715:QKE719782 QAI719715:QAI719782 PQM719715:PQM719782 PGQ719715:PGQ719782 OWU719715:OWU719782 OMY719715:OMY719782 ODC719715:ODC719782 NTG719715:NTG719782 NJK719715:NJK719782 MZO719715:MZO719782 MPS719715:MPS719782 MFW719715:MFW719782 LWA719715:LWA719782 LME719715:LME719782 LCI719715:LCI719782 KSM719715:KSM719782 KIQ719715:KIQ719782 JYU719715:JYU719782 JOY719715:JOY719782 JFC719715:JFC719782 IVG719715:IVG719782 ILK719715:ILK719782 IBO719715:IBO719782 HRS719715:HRS719782 HHW719715:HHW719782 GYA719715:GYA719782 GOE719715:GOE719782 GEI719715:GEI719782 FUM719715:FUM719782 FKQ719715:FKQ719782 FAU719715:FAU719782 EQY719715:EQY719782 EHC719715:EHC719782 DXG719715:DXG719782 DNK719715:DNK719782 DDO719715:DDO719782 CTS719715:CTS719782 CJW719715:CJW719782 CAA719715:CAA719782 BQE719715:BQE719782 BGI719715:BGI719782 AWM719715:AWM719782 AMQ719715:AMQ719782 ACU719715:ACU719782 SY719715:SY719782 JC719715:JC719782 G719715:G719782 WVO654179:WVO654246 WLS654179:WLS654246 WBW654179:WBW654246 VSA654179:VSA654246 VIE654179:VIE654246 UYI654179:UYI654246 UOM654179:UOM654246 UEQ654179:UEQ654246 TUU654179:TUU654246 TKY654179:TKY654246 TBC654179:TBC654246 SRG654179:SRG654246 SHK654179:SHK654246 RXO654179:RXO654246 RNS654179:RNS654246 RDW654179:RDW654246 QUA654179:QUA654246 QKE654179:QKE654246 QAI654179:QAI654246 PQM654179:PQM654246 PGQ654179:PGQ654246 OWU654179:OWU654246 OMY654179:OMY654246 ODC654179:ODC654246 NTG654179:NTG654246 NJK654179:NJK654246 MZO654179:MZO654246 MPS654179:MPS654246 MFW654179:MFW654246 LWA654179:LWA654246 LME654179:LME654246 LCI654179:LCI654246 KSM654179:KSM654246 KIQ654179:KIQ654246 JYU654179:JYU654246 JOY654179:JOY654246 JFC654179:JFC654246 IVG654179:IVG654246 ILK654179:ILK654246 IBO654179:IBO654246 HRS654179:HRS654246 HHW654179:HHW654246 GYA654179:GYA654246 GOE654179:GOE654246 GEI654179:GEI654246 FUM654179:FUM654246 FKQ654179:FKQ654246 FAU654179:FAU654246 EQY654179:EQY654246 EHC654179:EHC654246 DXG654179:DXG654246 DNK654179:DNK654246 DDO654179:DDO654246 CTS654179:CTS654246 CJW654179:CJW654246 CAA654179:CAA654246 BQE654179:BQE654246 BGI654179:BGI654246 AWM654179:AWM654246 AMQ654179:AMQ654246 ACU654179:ACU654246 SY654179:SY654246 JC654179:JC654246 G654179:G654246 WVO588643:WVO588710 WLS588643:WLS588710 WBW588643:WBW588710 VSA588643:VSA588710 VIE588643:VIE588710 UYI588643:UYI588710 UOM588643:UOM588710 UEQ588643:UEQ588710 TUU588643:TUU588710 TKY588643:TKY588710 TBC588643:TBC588710 SRG588643:SRG588710 SHK588643:SHK588710 RXO588643:RXO588710 RNS588643:RNS588710 RDW588643:RDW588710 QUA588643:QUA588710 QKE588643:QKE588710 QAI588643:QAI588710 PQM588643:PQM588710 PGQ588643:PGQ588710 OWU588643:OWU588710 OMY588643:OMY588710 ODC588643:ODC588710 NTG588643:NTG588710 NJK588643:NJK588710 MZO588643:MZO588710 MPS588643:MPS588710 MFW588643:MFW588710 LWA588643:LWA588710 LME588643:LME588710 LCI588643:LCI588710 KSM588643:KSM588710 KIQ588643:KIQ588710 JYU588643:JYU588710 JOY588643:JOY588710 JFC588643:JFC588710 IVG588643:IVG588710 ILK588643:ILK588710 IBO588643:IBO588710 HRS588643:HRS588710 HHW588643:HHW588710 GYA588643:GYA588710 GOE588643:GOE588710 GEI588643:GEI588710 FUM588643:FUM588710 FKQ588643:FKQ588710 FAU588643:FAU588710 EQY588643:EQY588710 EHC588643:EHC588710 DXG588643:DXG588710 DNK588643:DNK588710 DDO588643:DDO588710 CTS588643:CTS588710 CJW588643:CJW588710 CAA588643:CAA588710 BQE588643:BQE588710 BGI588643:BGI588710 AWM588643:AWM588710 AMQ588643:AMQ588710 ACU588643:ACU588710 SY588643:SY588710 JC588643:JC588710 G588643:G588710 WVO523107:WVO523174 WLS523107:WLS523174 WBW523107:WBW523174 VSA523107:VSA523174 VIE523107:VIE523174 UYI523107:UYI523174 UOM523107:UOM523174 UEQ523107:UEQ523174 TUU523107:TUU523174 TKY523107:TKY523174 TBC523107:TBC523174 SRG523107:SRG523174 SHK523107:SHK523174 RXO523107:RXO523174 RNS523107:RNS523174 RDW523107:RDW523174 QUA523107:QUA523174 QKE523107:QKE523174 QAI523107:QAI523174 PQM523107:PQM523174 PGQ523107:PGQ523174 OWU523107:OWU523174 OMY523107:OMY523174 ODC523107:ODC523174 NTG523107:NTG523174 NJK523107:NJK523174 MZO523107:MZO523174 MPS523107:MPS523174 MFW523107:MFW523174 LWA523107:LWA523174 LME523107:LME523174 LCI523107:LCI523174 KSM523107:KSM523174 KIQ523107:KIQ523174 JYU523107:JYU523174 JOY523107:JOY523174 JFC523107:JFC523174 IVG523107:IVG523174 ILK523107:ILK523174 IBO523107:IBO523174 HRS523107:HRS523174 HHW523107:HHW523174 GYA523107:GYA523174 GOE523107:GOE523174 GEI523107:GEI523174 FUM523107:FUM523174 FKQ523107:FKQ523174 FAU523107:FAU523174 EQY523107:EQY523174 EHC523107:EHC523174 DXG523107:DXG523174 DNK523107:DNK523174 DDO523107:DDO523174 CTS523107:CTS523174 CJW523107:CJW523174 CAA523107:CAA523174 BQE523107:BQE523174 BGI523107:BGI523174 AWM523107:AWM523174 AMQ523107:AMQ523174 ACU523107:ACU523174 SY523107:SY523174 JC523107:JC523174 G523107:G523174 WVO457571:WVO457638 WLS457571:WLS457638 WBW457571:WBW457638 VSA457571:VSA457638 VIE457571:VIE457638 UYI457571:UYI457638 UOM457571:UOM457638 UEQ457571:UEQ457638 TUU457571:TUU457638 TKY457571:TKY457638 TBC457571:TBC457638 SRG457571:SRG457638 SHK457571:SHK457638 RXO457571:RXO457638 RNS457571:RNS457638 RDW457571:RDW457638 QUA457571:QUA457638 QKE457571:QKE457638 QAI457571:QAI457638 PQM457571:PQM457638 PGQ457571:PGQ457638 OWU457571:OWU457638 OMY457571:OMY457638 ODC457571:ODC457638 NTG457571:NTG457638 NJK457571:NJK457638 MZO457571:MZO457638 MPS457571:MPS457638 MFW457571:MFW457638 LWA457571:LWA457638 LME457571:LME457638 LCI457571:LCI457638 KSM457571:KSM457638 KIQ457571:KIQ457638 JYU457571:JYU457638 JOY457571:JOY457638 JFC457571:JFC457638 IVG457571:IVG457638 ILK457571:ILK457638 IBO457571:IBO457638 HRS457571:HRS457638 HHW457571:HHW457638 GYA457571:GYA457638 GOE457571:GOE457638 GEI457571:GEI457638 FUM457571:FUM457638 FKQ457571:FKQ457638 FAU457571:FAU457638 EQY457571:EQY457638 EHC457571:EHC457638 DXG457571:DXG457638 DNK457571:DNK457638 DDO457571:DDO457638 CTS457571:CTS457638 CJW457571:CJW457638 CAA457571:CAA457638 BQE457571:BQE457638 BGI457571:BGI457638 AWM457571:AWM457638 AMQ457571:AMQ457638 ACU457571:ACU457638 SY457571:SY457638 JC457571:JC457638 G457571:G457638 WVO392035:WVO392102 WLS392035:WLS392102 WBW392035:WBW392102 VSA392035:VSA392102 VIE392035:VIE392102 UYI392035:UYI392102 UOM392035:UOM392102 UEQ392035:UEQ392102 TUU392035:TUU392102 TKY392035:TKY392102 TBC392035:TBC392102 SRG392035:SRG392102 SHK392035:SHK392102 RXO392035:RXO392102 RNS392035:RNS392102 RDW392035:RDW392102 QUA392035:QUA392102 QKE392035:QKE392102 QAI392035:QAI392102 PQM392035:PQM392102 PGQ392035:PGQ392102 OWU392035:OWU392102 OMY392035:OMY392102 ODC392035:ODC392102 NTG392035:NTG392102 NJK392035:NJK392102 MZO392035:MZO392102 MPS392035:MPS392102 MFW392035:MFW392102 LWA392035:LWA392102 LME392035:LME392102 LCI392035:LCI392102 KSM392035:KSM392102 KIQ392035:KIQ392102 JYU392035:JYU392102 JOY392035:JOY392102 JFC392035:JFC392102 IVG392035:IVG392102 ILK392035:ILK392102 IBO392035:IBO392102 HRS392035:HRS392102 HHW392035:HHW392102 GYA392035:GYA392102 GOE392035:GOE392102 GEI392035:GEI392102 FUM392035:FUM392102 FKQ392035:FKQ392102 FAU392035:FAU392102 EQY392035:EQY392102 EHC392035:EHC392102 DXG392035:DXG392102 DNK392035:DNK392102 DDO392035:DDO392102 CTS392035:CTS392102 CJW392035:CJW392102 CAA392035:CAA392102 BQE392035:BQE392102 BGI392035:BGI392102 AWM392035:AWM392102 AMQ392035:AMQ392102 ACU392035:ACU392102 SY392035:SY392102 JC392035:JC392102 G392035:G392102 WVO326499:WVO326566 WLS326499:WLS326566 WBW326499:WBW326566 VSA326499:VSA326566 VIE326499:VIE326566 UYI326499:UYI326566 UOM326499:UOM326566 UEQ326499:UEQ326566 TUU326499:TUU326566 TKY326499:TKY326566 TBC326499:TBC326566 SRG326499:SRG326566 SHK326499:SHK326566 RXO326499:RXO326566 RNS326499:RNS326566 RDW326499:RDW326566 QUA326499:QUA326566 QKE326499:QKE326566 QAI326499:QAI326566 PQM326499:PQM326566 PGQ326499:PGQ326566 OWU326499:OWU326566 OMY326499:OMY326566 ODC326499:ODC326566 NTG326499:NTG326566 NJK326499:NJK326566 MZO326499:MZO326566 MPS326499:MPS326566 MFW326499:MFW326566 LWA326499:LWA326566 LME326499:LME326566 LCI326499:LCI326566 KSM326499:KSM326566 KIQ326499:KIQ326566 JYU326499:JYU326566 JOY326499:JOY326566 JFC326499:JFC326566 IVG326499:IVG326566 ILK326499:ILK326566 IBO326499:IBO326566 HRS326499:HRS326566 HHW326499:HHW326566 GYA326499:GYA326566 GOE326499:GOE326566 GEI326499:GEI326566 FUM326499:FUM326566 FKQ326499:FKQ326566 FAU326499:FAU326566 EQY326499:EQY326566 EHC326499:EHC326566 DXG326499:DXG326566 DNK326499:DNK326566 DDO326499:DDO326566 CTS326499:CTS326566 CJW326499:CJW326566 CAA326499:CAA326566 BQE326499:BQE326566 BGI326499:BGI326566 AWM326499:AWM326566 AMQ326499:AMQ326566 ACU326499:ACU326566 SY326499:SY326566 JC326499:JC326566 G326499:G326566 WVO260963:WVO261030 WLS260963:WLS261030 WBW260963:WBW261030 VSA260963:VSA261030 VIE260963:VIE261030 UYI260963:UYI261030 UOM260963:UOM261030 UEQ260963:UEQ261030 TUU260963:TUU261030 TKY260963:TKY261030 TBC260963:TBC261030 SRG260963:SRG261030 SHK260963:SHK261030 RXO260963:RXO261030 RNS260963:RNS261030 RDW260963:RDW261030 QUA260963:QUA261030 QKE260963:QKE261030 QAI260963:QAI261030 PQM260963:PQM261030 PGQ260963:PGQ261030 OWU260963:OWU261030 OMY260963:OMY261030 ODC260963:ODC261030 NTG260963:NTG261030 NJK260963:NJK261030 MZO260963:MZO261030 MPS260963:MPS261030 MFW260963:MFW261030 LWA260963:LWA261030 LME260963:LME261030 LCI260963:LCI261030 KSM260963:KSM261030 KIQ260963:KIQ261030 JYU260963:JYU261030 JOY260963:JOY261030 JFC260963:JFC261030 IVG260963:IVG261030 ILK260963:ILK261030 IBO260963:IBO261030 HRS260963:HRS261030 HHW260963:HHW261030 GYA260963:GYA261030 GOE260963:GOE261030 GEI260963:GEI261030 FUM260963:FUM261030 FKQ260963:FKQ261030 FAU260963:FAU261030 EQY260963:EQY261030 EHC260963:EHC261030 DXG260963:DXG261030 DNK260963:DNK261030 DDO260963:DDO261030 CTS260963:CTS261030 CJW260963:CJW261030 CAA260963:CAA261030 BQE260963:BQE261030 BGI260963:BGI261030 AWM260963:AWM261030 AMQ260963:AMQ261030 ACU260963:ACU261030 SY260963:SY261030 JC260963:JC261030 G260963:G261030 WVO195427:WVO195494 WLS195427:WLS195494 WBW195427:WBW195494 VSA195427:VSA195494 VIE195427:VIE195494 UYI195427:UYI195494 UOM195427:UOM195494 UEQ195427:UEQ195494 TUU195427:TUU195494 TKY195427:TKY195494 TBC195427:TBC195494 SRG195427:SRG195494 SHK195427:SHK195494 RXO195427:RXO195494 RNS195427:RNS195494 RDW195427:RDW195494 QUA195427:QUA195494 QKE195427:QKE195494 QAI195427:QAI195494 PQM195427:PQM195494 PGQ195427:PGQ195494 OWU195427:OWU195494 OMY195427:OMY195494 ODC195427:ODC195494 NTG195427:NTG195494 NJK195427:NJK195494 MZO195427:MZO195494 MPS195427:MPS195494 MFW195427:MFW195494 LWA195427:LWA195494 LME195427:LME195494 LCI195427:LCI195494 KSM195427:KSM195494 KIQ195427:KIQ195494 JYU195427:JYU195494 JOY195427:JOY195494 JFC195427:JFC195494 IVG195427:IVG195494 ILK195427:ILK195494 IBO195427:IBO195494 HRS195427:HRS195494 HHW195427:HHW195494 GYA195427:GYA195494 GOE195427:GOE195494 GEI195427:GEI195494 FUM195427:FUM195494 FKQ195427:FKQ195494 FAU195427:FAU195494 EQY195427:EQY195494 EHC195427:EHC195494 DXG195427:DXG195494 DNK195427:DNK195494 DDO195427:DDO195494 CTS195427:CTS195494 CJW195427:CJW195494 CAA195427:CAA195494 BQE195427:BQE195494 BGI195427:BGI195494 AWM195427:AWM195494 AMQ195427:AMQ195494 ACU195427:ACU195494 SY195427:SY195494 JC195427:JC195494 G195427:G195494 WVO129891:WVO129958 WLS129891:WLS129958 WBW129891:WBW129958 VSA129891:VSA129958 VIE129891:VIE129958 UYI129891:UYI129958 UOM129891:UOM129958 UEQ129891:UEQ129958 TUU129891:TUU129958 TKY129891:TKY129958 TBC129891:TBC129958 SRG129891:SRG129958 SHK129891:SHK129958 RXO129891:RXO129958 RNS129891:RNS129958 RDW129891:RDW129958 QUA129891:QUA129958 QKE129891:QKE129958 QAI129891:QAI129958 PQM129891:PQM129958 PGQ129891:PGQ129958 OWU129891:OWU129958 OMY129891:OMY129958 ODC129891:ODC129958 NTG129891:NTG129958 NJK129891:NJK129958 MZO129891:MZO129958 MPS129891:MPS129958 MFW129891:MFW129958 LWA129891:LWA129958 LME129891:LME129958 LCI129891:LCI129958 KSM129891:KSM129958 KIQ129891:KIQ129958 JYU129891:JYU129958 JOY129891:JOY129958 JFC129891:JFC129958 IVG129891:IVG129958 ILK129891:ILK129958 IBO129891:IBO129958 HRS129891:HRS129958 HHW129891:HHW129958 GYA129891:GYA129958 GOE129891:GOE129958 GEI129891:GEI129958 FUM129891:FUM129958 FKQ129891:FKQ129958 FAU129891:FAU129958 EQY129891:EQY129958 EHC129891:EHC129958 DXG129891:DXG129958 DNK129891:DNK129958 DDO129891:DDO129958 CTS129891:CTS129958 CJW129891:CJW129958 CAA129891:CAA129958 BQE129891:BQE129958 BGI129891:BGI129958 AWM129891:AWM129958 AMQ129891:AMQ129958 ACU129891:ACU129958 SY129891:SY129958 JC129891:JC129958 G129891:G129958 WVO64355:WVO64422 WLS64355:WLS64422 WBW64355:WBW64422 VSA64355:VSA64422 VIE64355:VIE64422 UYI64355:UYI64422 UOM64355:UOM64422 UEQ64355:UEQ64422 TUU64355:TUU64422 TKY64355:TKY64422 TBC64355:TBC64422 SRG64355:SRG64422 SHK64355:SHK64422 RXO64355:RXO64422 RNS64355:RNS64422 RDW64355:RDW64422 QUA64355:QUA64422 QKE64355:QKE64422 QAI64355:QAI64422 PQM64355:PQM64422 PGQ64355:PGQ64422 OWU64355:OWU64422 OMY64355:OMY64422 ODC64355:ODC64422 NTG64355:NTG64422 NJK64355:NJK64422 MZO64355:MZO64422 MPS64355:MPS64422 MFW64355:MFW64422 LWA64355:LWA64422 LME64355:LME64422 LCI64355:LCI64422 KSM64355:KSM64422 KIQ64355:KIQ64422 JYU64355:JYU64422 JOY64355:JOY64422 JFC64355:JFC64422 IVG64355:IVG64422 ILK64355:ILK64422 IBO64355:IBO64422 HRS64355:HRS64422 HHW64355:HHW64422 GYA64355:GYA64422 GOE64355:GOE64422 GEI64355:GEI64422 FUM64355:FUM64422 FKQ64355:FKQ64422 FAU64355:FAU64422 EQY64355:EQY64422 EHC64355:EHC64422 DXG64355:DXG64422 DNK64355:DNK64422 DDO64355:DDO64422 CTS64355:CTS64422 CJW64355:CJW64422 CAA64355:CAA64422 BQE64355:BQE64422 BGI64355:BGI64422 AWM64355:AWM64422 AMQ64355:AMQ64422 ACU64355:ACU64422 SY64355:SY64422 JC2:JC70 WVO2:WVO70 WLS2:WLS70 WBW2:WBW70 VSA2:VSA70 VIE2:VIE70 UYI2:UYI70 UOM2:UOM70 UEQ2:UEQ70 TUU2:TUU70 TKY2:TKY70 TBC2:TBC70 SRG2:SRG70 SHK2:SHK70 RXO2:RXO70 RNS2:RNS70 RDW2:RDW70 QUA2:QUA70 QKE2:QKE70 QAI2:QAI70 PQM2:PQM70 PGQ2:PGQ70 OWU2:OWU70 OMY2:OMY70 ODC2:ODC70 NTG2:NTG70 NJK2:NJK70 MZO2:MZO70 MPS2:MPS70 MFW2:MFW70 LWA2:LWA70 LME2:LME70 LCI2:LCI70 KSM2:KSM70 KIQ2:KIQ70 JYU2:JYU70 JOY2:JOY70 JFC2:JFC70 IVG2:IVG70 ILK2:ILK70 IBO2:IBO70 HRS2:HRS70 HHW2:HHW70 GYA2:GYA70 GOE2:GOE70 GEI2:GEI70 FUM2:FUM70 FKQ2:FKQ70 FAU2:FAU70 EQY2:EQY70 EHC2:EHC70 DXG2:DXG70 DNK2:DNK70 DDO2:DDO70 CTS2:CTS70 CJW2:CJW70 CAA2:CAA70 BQE2:BQE70 BGI2:BGI70 AWM2:AWM70 AMQ2:AMQ70 ACU2:ACU70 SY2:SY70 G2:G492">
      <formula1>$AJ$2:$AJ$4</formula1>
    </dataValidation>
    <dataValidation type="list" allowBlank="1" showInputMessage="1" showErrorMessage="1" sqref="I64355:I64420 JE64355:JE64420 ACW2:ACW61 AMS2:AMS61 AWO2:AWO61 BGK2:BGK61 BQG2:BQG61 CAC2:CAC61 CJY2:CJY61 CTU2:CTU61 DDQ2:DDQ61 DNM2:DNM61 DXI2:DXI61 EHE2:EHE61 ERA2:ERA61 FAW2:FAW61 FKS2:FKS61 FUO2:FUO61 GEK2:GEK61 GOG2:GOG61 GYC2:GYC61 HHY2:HHY61 HRU2:HRU61 IBQ2:IBQ61 ILM2:ILM61 IVI2:IVI61 JFE2:JFE61 JPA2:JPA61 JYW2:JYW61 KIS2:KIS61 KSO2:KSO61 LCK2:LCK61 LMG2:LMG61 LWC2:LWC61 MFY2:MFY61 MPU2:MPU61 MZQ2:MZQ61 NJM2:NJM61 NTI2:NTI61 ODE2:ODE61 ONA2:ONA61 OWW2:OWW61 PGS2:PGS61 PQO2:PQO61 QAK2:QAK61 QKG2:QKG61 QUC2:QUC61 RDY2:RDY61 RNU2:RNU61 RXQ2:RXQ61 SHM2:SHM61 SRI2:SRI61 TBE2:TBE61 TLA2:TLA61 TUW2:TUW61 UES2:UES61 UOO2:UOO61 UYK2:UYK61 VIG2:VIG61 VSC2:VSC61 WBY2:WBY61 WLU2:WLU61 WVQ2:WVQ61 JE2:JE61 WLU983034:WLU983099 WBY983034:WBY983099 VSC983034:VSC983099 VIG983034:VIG983099 UYK983034:UYK983099 UOO983034:UOO983099 UES983034:UES983099 TUW983034:TUW983099 TLA983034:TLA983099 TBE983034:TBE983099 SRI983034:SRI983099 SHM983034:SHM983099 RXQ983034:RXQ983099 RNU983034:RNU983099 RDY983034:RDY983099 QUC983034:QUC983099 QKG983034:QKG983099 QAK983034:QAK983099 PQO983034:PQO983099 PGS983034:PGS983099 OWW983034:OWW983099 ONA983034:ONA983099 ODE983034:ODE983099 NTI983034:NTI983099 NJM983034:NJM983099 MZQ983034:MZQ983099 MPU983034:MPU983099 MFY983034:MFY983099 LWC983034:LWC983099 LMG983034:LMG983099 LCK983034:LCK983099 KSO983034:KSO983099 KIS983034:KIS983099 JYW983034:JYW983099 JPA983034:JPA983099 JFE983034:JFE983099 IVI983034:IVI983099 ILM983034:ILM983099 IBQ983034:IBQ983099 HRU983034:HRU983099 HHY983034:HHY983099 GYC983034:GYC983099 GOG983034:GOG983099 GEK983034:GEK983099 FUO983034:FUO983099 FKS983034:FKS983099 FAW983034:FAW983099 ERA983034:ERA983099 EHE983034:EHE983099 DXI983034:DXI983099 DNM983034:DNM983099 DDQ983034:DDQ983099 CTU983034:CTU983099 CJY983034:CJY983099 CAC983034:CAC983099 BQG983034:BQG983099 BGK983034:BGK983099 AWO983034:AWO983099 AMS983034:AMS983099 ACW983034:ACW983099 TA983034:TA983099 JE983034:JE983099 I983034:I983099 WVQ917498:WVQ917563 WLU917498:WLU917563 WBY917498:WBY917563 VSC917498:VSC917563 VIG917498:VIG917563 UYK917498:UYK917563 UOO917498:UOO917563 UES917498:UES917563 TUW917498:TUW917563 TLA917498:TLA917563 TBE917498:TBE917563 SRI917498:SRI917563 SHM917498:SHM917563 RXQ917498:RXQ917563 RNU917498:RNU917563 RDY917498:RDY917563 QUC917498:QUC917563 QKG917498:QKG917563 QAK917498:QAK917563 PQO917498:PQO917563 PGS917498:PGS917563 OWW917498:OWW917563 ONA917498:ONA917563 ODE917498:ODE917563 NTI917498:NTI917563 NJM917498:NJM917563 MZQ917498:MZQ917563 MPU917498:MPU917563 MFY917498:MFY917563 LWC917498:LWC917563 LMG917498:LMG917563 LCK917498:LCK917563 KSO917498:KSO917563 KIS917498:KIS917563 JYW917498:JYW917563 JPA917498:JPA917563 JFE917498:JFE917563 IVI917498:IVI917563 ILM917498:ILM917563 IBQ917498:IBQ917563 HRU917498:HRU917563 HHY917498:HHY917563 GYC917498:GYC917563 GOG917498:GOG917563 GEK917498:GEK917563 FUO917498:FUO917563 FKS917498:FKS917563 FAW917498:FAW917563 ERA917498:ERA917563 EHE917498:EHE917563 DXI917498:DXI917563 DNM917498:DNM917563 DDQ917498:DDQ917563 CTU917498:CTU917563 CJY917498:CJY917563 CAC917498:CAC917563 BQG917498:BQG917563 BGK917498:BGK917563 AWO917498:AWO917563 AMS917498:AMS917563 ACW917498:ACW917563 TA917498:TA917563 JE917498:JE917563 I917498:I917563 WVQ851962:WVQ852027 WLU851962:WLU852027 WBY851962:WBY852027 VSC851962:VSC852027 VIG851962:VIG852027 UYK851962:UYK852027 UOO851962:UOO852027 UES851962:UES852027 TUW851962:TUW852027 TLA851962:TLA852027 TBE851962:TBE852027 SRI851962:SRI852027 SHM851962:SHM852027 RXQ851962:RXQ852027 RNU851962:RNU852027 RDY851962:RDY852027 QUC851962:QUC852027 QKG851962:QKG852027 QAK851962:QAK852027 PQO851962:PQO852027 PGS851962:PGS852027 OWW851962:OWW852027 ONA851962:ONA852027 ODE851962:ODE852027 NTI851962:NTI852027 NJM851962:NJM852027 MZQ851962:MZQ852027 MPU851962:MPU852027 MFY851962:MFY852027 LWC851962:LWC852027 LMG851962:LMG852027 LCK851962:LCK852027 KSO851962:KSO852027 KIS851962:KIS852027 JYW851962:JYW852027 JPA851962:JPA852027 JFE851962:JFE852027 IVI851962:IVI852027 ILM851962:ILM852027 IBQ851962:IBQ852027 HRU851962:HRU852027 HHY851962:HHY852027 GYC851962:GYC852027 GOG851962:GOG852027 GEK851962:GEK852027 FUO851962:FUO852027 FKS851962:FKS852027 FAW851962:FAW852027 ERA851962:ERA852027 EHE851962:EHE852027 DXI851962:DXI852027 DNM851962:DNM852027 DDQ851962:DDQ852027 CTU851962:CTU852027 CJY851962:CJY852027 CAC851962:CAC852027 BQG851962:BQG852027 BGK851962:BGK852027 AWO851962:AWO852027 AMS851962:AMS852027 ACW851962:ACW852027 TA851962:TA852027 JE851962:JE852027 I851962:I852027 WVQ786426:WVQ786491 WLU786426:WLU786491 WBY786426:WBY786491 VSC786426:VSC786491 VIG786426:VIG786491 UYK786426:UYK786491 UOO786426:UOO786491 UES786426:UES786491 TUW786426:TUW786491 TLA786426:TLA786491 TBE786426:TBE786491 SRI786426:SRI786491 SHM786426:SHM786491 RXQ786426:RXQ786491 RNU786426:RNU786491 RDY786426:RDY786491 QUC786426:QUC786491 QKG786426:QKG786491 QAK786426:QAK786491 PQO786426:PQO786491 PGS786426:PGS786491 OWW786426:OWW786491 ONA786426:ONA786491 ODE786426:ODE786491 NTI786426:NTI786491 NJM786426:NJM786491 MZQ786426:MZQ786491 MPU786426:MPU786491 MFY786426:MFY786491 LWC786426:LWC786491 LMG786426:LMG786491 LCK786426:LCK786491 KSO786426:KSO786491 KIS786426:KIS786491 JYW786426:JYW786491 JPA786426:JPA786491 JFE786426:JFE786491 IVI786426:IVI786491 ILM786426:ILM786491 IBQ786426:IBQ786491 HRU786426:HRU786491 HHY786426:HHY786491 GYC786426:GYC786491 GOG786426:GOG786491 GEK786426:GEK786491 FUO786426:FUO786491 FKS786426:FKS786491 FAW786426:FAW786491 ERA786426:ERA786491 EHE786426:EHE786491 DXI786426:DXI786491 DNM786426:DNM786491 DDQ786426:DDQ786491 CTU786426:CTU786491 CJY786426:CJY786491 CAC786426:CAC786491 BQG786426:BQG786491 BGK786426:BGK786491 AWO786426:AWO786491 AMS786426:AMS786491 ACW786426:ACW786491 TA786426:TA786491 JE786426:JE786491 I786426:I786491 WVQ720890:WVQ720955 WLU720890:WLU720955 WBY720890:WBY720955 VSC720890:VSC720955 VIG720890:VIG720955 UYK720890:UYK720955 UOO720890:UOO720955 UES720890:UES720955 TUW720890:TUW720955 TLA720890:TLA720955 TBE720890:TBE720955 SRI720890:SRI720955 SHM720890:SHM720955 RXQ720890:RXQ720955 RNU720890:RNU720955 RDY720890:RDY720955 QUC720890:QUC720955 QKG720890:QKG720955 QAK720890:QAK720955 PQO720890:PQO720955 PGS720890:PGS720955 OWW720890:OWW720955 ONA720890:ONA720955 ODE720890:ODE720955 NTI720890:NTI720955 NJM720890:NJM720955 MZQ720890:MZQ720955 MPU720890:MPU720955 MFY720890:MFY720955 LWC720890:LWC720955 LMG720890:LMG720955 LCK720890:LCK720955 KSO720890:KSO720955 KIS720890:KIS720955 JYW720890:JYW720955 JPA720890:JPA720955 JFE720890:JFE720955 IVI720890:IVI720955 ILM720890:ILM720955 IBQ720890:IBQ720955 HRU720890:HRU720955 HHY720890:HHY720955 GYC720890:GYC720955 GOG720890:GOG720955 GEK720890:GEK720955 FUO720890:FUO720955 FKS720890:FKS720955 FAW720890:FAW720955 ERA720890:ERA720955 EHE720890:EHE720955 DXI720890:DXI720955 DNM720890:DNM720955 DDQ720890:DDQ720955 CTU720890:CTU720955 CJY720890:CJY720955 CAC720890:CAC720955 BQG720890:BQG720955 BGK720890:BGK720955 AWO720890:AWO720955 AMS720890:AMS720955 ACW720890:ACW720955 TA720890:TA720955 JE720890:JE720955 I720890:I720955 WVQ655354:WVQ655419 WLU655354:WLU655419 WBY655354:WBY655419 VSC655354:VSC655419 VIG655354:VIG655419 UYK655354:UYK655419 UOO655354:UOO655419 UES655354:UES655419 TUW655354:TUW655419 TLA655354:TLA655419 TBE655354:TBE655419 SRI655354:SRI655419 SHM655354:SHM655419 RXQ655354:RXQ655419 RNU655354:RNU655419 RDY655354:RDY655419 QUC655354:QUC655419 QKG655354:QKG655419 QAK655354:QAK655419 PQO655354:PQO655419 PGS655354:PGS655419 OWW655354:OWW655419 ONA655354:ONA655419 ODE655354:ODE655419 NTI655354:NTI655419 NJM655354:NJM655419 MZQ655354:MZQ655419 MPU655354:MPU655419 MFY655354:MFY655419 LWC655354:LWC655419 LMG655354:LMG655419 LCK655354:LCK655419 KSO655354:KSO655419 KIS655354:KIS655419 JYW655354:JYW655419 JPA655354:JPA655419 JFE655354:JFE655419 IVI655354:IVI655419 ILM655354:ILM655419 IBQ655354:IBQ655419 HRU655354:HRU655419 HHY655354:HHY655419 GYC655354:GYC655419 GOG655354:GOG655419 GEK655354:GEK655419 FUO655354:FUO655419 FKS655354:FKS655419 FAW655354:FAW655419 ERA655354:ERA655419 EHE655354:EHE655419 DXI655354:DXI655419 DNM655354:DNM655419 DDQ655354:DDQ655419 CTU655354:CTU655419 CJY655354:CJY655419 CAC655354:CAC655419 BQG655354:BQG655419 BGK655354:BGK655419 AWO655354:AWO655419 AMS655354:AMS655419 ACW655354:ACW655419 TA655354:TA655419 JE655354:JE655419 I655354:I655419 WVQ589818:WVQ589883 WLU589818:WLU589883 WBY589818:WBY589883 VSC589818:VSC589883 VIG589818:VIG589883 UYK589818:UYK589883 UOO589818:UOO589883 UES589818:UES589883 TUW589818:TUW589883 TLA589818:TLA589883 TBE589818:TBE589883 SRI589818:SRI589883 SHM589818:SHM589883 RXQ589818:RXQ589883 RNU589818:RNU589883 RDY589818:RDY589883 QUC589818:QUC589883 QKG589818:QKG589883 QAK589818:QAK589883 PQO589818:PQO589883 PGS589818:PGS589883 OWW589818:OWW589883 ONA589818:ONA589883 ODE589818:ODE589883 NTI589818:NTI589883 NJM589818:NJM589883 MZQ589818:MZQ589883 MPU589818:MPU589883 MFY589818:MFY589883 LWC589818:LWC589883 LMG589818:LMG589883 LCK589818:LCK589883 KSO589818:KSO589883 KIS589818:KIS589883 JYW589818:JYW589883 JPA589818:JPA589883 JFE589818:JFE589883 IVI589818:IVI589883 ILM589818:ILM589883 IBQ589818:IBQ589883 HRU589818:HRU589883 HHY589818:HHY589883 GYC589818:GYC589883 GOG589818:GOG589883 GEK589818:GEK589883 FUO589818:FUO589883 FKS589818:FKS589883 FAW589818:FAW589883 ERA589818:ERA589883 EHE589818:EHE589883 DXI589818:DXI589883 DNM589818:DNM589883 DDQ589818:DDQ589883 CTU589818:CTU589883 CJY589818:CJY589883 CAC589818:CAC589883 BQG589818:BQG589883 BGK589818:BGK589883 AWO589818:AWO589883 AMS589818:AMS589883 ACW589818:ACW589883 TA589818:TA589883 JE589818:JE589883 I589818:I589883 WVQ524282:WVQ524347 WLU524282:WLU524347 WBY524282:WBY524347 VSC524282:VSC524347 VIG524282:VIG524347 UYK524282:UYK524347 UOO524282:UOO524347 UES524282:UES524347 TUW524282:TUW524347 TLA524282:TLA524347 TBE524282:TBE524347 SRI524282:SRI524347 SHM524282:SHM524347 RXQ524282:RXQ524347 RNU524282:RNU524347 RDY524282:RDY524347 QUC524282:QUC524347 QKG524282:QKG524347 QAK524282:QAK524347 PQO524282:PQO524347 PGS524282:PGS524347 OWW524282:OWW524347 ONA524282:ONA524347 ODE524282:ODE524347 NTI524282:NTI524347 NJM524282:NJM524347 MZQ524282:MZQ524347 MPU524282:MPU524347 MFY524282:MFY524347 LWC524282:LWC524347 LMG524282:LMG524347 LCK524282:LCK524347 KSO524282:KSO524347 KIS524282:KIS524347 JYW524282:JYW524347 JPA524282:JPA524347 JFE524282:JFE524347 IVI524282:IVI524347 ILM524282:ILM524347 IBQ524282:IBQ524347 HRU524282:HRU524347 HHY524282:HHY524347 GYC524282:GYC524347 GOG524282:GOG524347 GEK524282:GEK524347 FUO524282:FUO524347 FKS524282:FKS524347 FAW524282:FAW524347 ERA524282:ERA524347 EHE524282:EHE524347 DXI524282:DXI524347 DNM524282:DNM524347 DDQ524282:DDQ524347 CTU524282:CTU524347 CJY524282:CJY524347 CAC524282:CAC524347 BQG524282:BQG524347 BGK524282:BGK524347 AWO524282:AWO524347 AMS524282:AMS524347 ACW524282:ACW524347 TA524282:TA524347 JE524282:JE524347 I524282:I524347 WVQ458746:WVQ458811 WLU458746:WLU458811 WBY458746:WBY458811 VSC458746:VSC458811 VIG458746:VIG458811 UYK458746:UYK458811 UOO458746:UOO458811 UES458746:UES458811 TUW458746:TUW458811 TLA458746:TLA458811 TBE458746:TBE458811 SRI458746:SRI458811 SHM458746:SHM458811 RXQ458746:RXQ458811 RNU458746:RNU458811 RDY458746:RDY458811 QUC458746:QUC458811 QKG458746:QKG458811 QAK458746:QAK458811 PQO458746:PQO458811 PGS458746:PGS458811 OWW458746:OWW458811 ONA458746:ONA458811 ODE458746:ODE458811 NTI458746:NTI458811 NJM458746:NJM458811 MZQ458746:MZQ458811 MPU458746:MPU458811 MFY458746:MFY458811 LWC458746:LWC458811 LMG458746:LMG458811 LCK458746:LCK458811 KSO458746:KSO458811 KIS458746:KIS458811 JYW458746:JYW458811 JPA458746:JPA458811 JFE458746:JFE458811 IVI458746:IVI458811 ILM458746:ILM458811 IBQ458746:IBQ458811 HRU458746:HRU458811 HHY458746:HHY458811 GYC458746:GYC458811 GOG458746:GOG458811 GEK458746:GEK458811 FUO458746:FUO458811 FKS458746:FKS458811 FAW458746:FAW458811 ERA458746:ERA458811 EHE458746:EHE458811 DXI458746:DXI458811 DNM458746:DNM458811 DDQ458746:DDQ458811 CTU458746:CTU458811 CJY458746:CJY458811 CAC458746:CAC458811 BQG458746:BQG458811 BGK458746:BGK458811 AWO458746:AWO458811 AMS458746:AMS458811 ACW458746:ACW458811 TA458746:TA458811 JE458746:JE458811 I458746:I458811 WVQ393210:WVQ393275 WLU393210:WLU393275 WBY393210:WBY393275 VSC393210:VSC393275 VIG393210:VIG393275 UYK393210:UYK393275 UOO393210:UOO393275 UES393210:UES393275 TUW393210:TUW393275 TLA393210:TLA393275 TBE393210:TBE393275 SRI393210:SRI393275 SHM393210:SHM393275 RXQ393210:RXQ393275 RNU393210:RNU393275 RDY393210:RDY393275 QUC393210:QUC393275 QKG393210:QKG393275 QAK393210:QAK393275 PQO393210:PQO393275 PGS393210:PGS393275 OWW393210:OWW393275 ONA393210:ONA393275 ODE393210:ODE393275 NTI393210:NTI393275 NJM393210:NJM393275 MZQ393210:MZQ393275 MPU393210:MPU393275 MFY393210:MFY393275 LWC393210:LWC393275 LMG393210:LMG393275 LCK393210:LCK393275 KSO393210:KSO393275 KIS393210:KIS393275 JYW393210:JYW393275 JPA393210:JPA393275 JFE393210:JFE393275 IVI393210:IVI393275 ILM393210:ILM393275 IBQ393210:IBQ393275 HRU393210:HRU393275 HHY393210:HHY393275 GYC393210:GYC393275 GOG393210:GOG393275 GEK393210:GEK393275 FUO393210:FUO393275 FKS393210:FKS393275 FAW393210:FAW393275 ERA393210:ERA393275 EHE393210:EHE393275 DXI393210:DXI393275 DNM393210:DNM393275 DDQ393210:DDQ393275 CTU393210:CTU393275 CJY393210:CJY393275 CAC393210:CAC393275 BQG393210:BQG393275 BGK393210:BGK393275 AWO393210:AWO393275 AMS393210:AMS393275 ACW393210:ACW393275 TA393210:TA393275 JE393210:JE393275 I393210:I393275 WVQ327674:WVQ327739 WLU327674:WLU327739 WBY327674:WBY327739 VSC327674:VSC327739 VIG327674:VIG327739 UYK327674:UYK327739 UOO327674:UOO327739 UES327674:UES327739 TUW327674:TUW327739 TLA327674:TLA327739 TBE327674:TBE327739 SRI327674:SRI327739 SHM327674:SHM327739 RXQ327674:RXQ327739 RNU327674:RNU327739 RDY327674:RDY327739 QUC327674:QUC327739 QKG327674:QKG327739 QAK327674:QAK327739 PQO327674:PQO327739 PGS327674:PGS327739 OWW327674:OWW327739 ONA327674:ONA327739 ODE327674:ODE327739 NTI327674:NTI327739 NJM327674:NJM327739 MZQ327674:MZQ327739 MPU327674:MPU327739 MFY327674:MFY327739 LWC327674:LWC327739 LMG327674:LMG327739 LCK327674:LCK327739 KSO327674:KSO327739 KIS327674:KIS327739 JYW327674:JYW327739 JPA327674:JPA327739 JFE327674:JFE327739 IVI327674:IVI327739 ILM327674:ILM327739 IBQ327674:IBQ327739 HRU327674:HRU327739 HHY327674:HHY327739 GYC327674:GYC327739 GOG327674:GOG327739 GEK327674:GEK327739 FUO327674:FUO327739 FKS327674:FKS327739 FAW327674:FAW327739 ERA327674:ERA327739 EHE327674:EHE327739 DXI327674:DXI327739 DNM327674:DNM327739 DDQ327674:DDQ327739 CTU327674:CTU327739 CJY327674:CJY327739 CAC327674:CAC327739 BQG327674:BQG327739 BGK327674:BGK327739 AWO327674:AWO327739 AMS327674:AMS327739 ACW327674:ACW327739 TA327674:TA327739 JE327674:JE327739 I327674:I327739 WVQ262138:WVQ262203 WLU262138:WLU262203 WBY262138:WBY262203 VSC262138:VSC262203 VIG262138:VIG262203 UYK262138:UYK262203 UOO262138:UOO262203 UES262138:UES262203 TUW262138:TUW262203 TLA262138:TLA262203 TBE262138:TBE262203 SRI262138:SRI262203 SHM262138:SHM262203 RXQ262138:RXQ262203 RNU262138:RNU262203 RDY262138:RDY262203 QUC262138:QUC262203 QKG262138:QKG262203 QAK262138:QAK262203 PQO262138:PQO262203 PGS262138:PGS262203 OWW262138:OWW262203 ONA262138:ONA262203 ODE262138:ODE262203 NTI262138:NTI262203 NJM262138:NJM262203 MZQ262138:MZQ262203 MPU262138:MPU262203 MFY262138:MFY262203 LWC262138:LWC262203 LMG262138:LMG262203 LCK262138:LCK262203 KSO262138:KSO262203 KIS262138:KIS262203 JYW262138:JYW262203 JPA262138:JPA262203 JFE262138:JFE262203 IVI262138:IVI262203 ILM262138:ILM262203 IBQ262138:IBQ262203 HRU262138:HRU262203 HHY262138:HHY262203 GYC262138:GYC262203 GOG262138:GOG262203 GEK262138:GEK262203 FUO262138:FUO262203 FKS262138:FKS262203 FAW262138:FAW262203 ERA262138:ERA262203 EHE262138:EHE262203 DXI262138:DXI262203 DNM262138:DNM262203 DDQ262138:DDQ262203 CTU262138:CTU262203 CJY262138:CJY262203 CAC262138:CAC262203 BQG262138:BQG262203 BGK262138:BGK262203 AWO262138:AWO262203 AMS262138:AMS262203 ACW262138:ACW262203 TA262138:TA262203 JE262138:JE262203 I262138:I262203 WVQ196602:WVQ196667 WLU196602:WLU196667 WBY196602:WBY196667 VSC196602:VSC196667 VIG196602:VIG196667 UYK196602:UYK196667 UOO196602:UOO196667 UES196602:UES196667 TUW196602:TUW196667 TLA196602:TLA196667 TBE196602:TBE196667 SRI196602:SRI196667 SHM196602:SHM196667 RXQ196602:RXQ196667 RNU196602:RNU196667 RDY196602:RDY196667 QUC196602:QUC196667 QKG196602:QKG196667 QAK196602:QAK196667 PQO196602:PQO196667 PGS196602:PGS196667 OWW196602:OWW196667 ONA196602:ONA196667 ODE196602:ODE196667 NTI196602:NTI196667 NJM196602:NJM196667 MZQ196602:MZQ196667 MPU196602:MPU196667 MFY196602:MFY196667 LWC196602:LWC196667 LMG196602:LMG196667 LCK196602:LCK196667 KSO196602:KSO196667 KIS196602:KIS196667 JYW196602:JYW196667 JPA196602:JPA196667 JFE196602:JFE196667 IVI196602:IVI196667 ILM196602:ILM196667 IBQ196602:IBQ196667 HRU196602:HRU196667 HHY196602:HHY196667 GYC196602:GYC196667 GOG196602:GOG196667 GEK196602:GEK196667 FUO196602:FUO196667 FKS196602:FKS196667 FAW196602:FAW196667 ERA196602:ERA196667 EHE196602:EHE196667 DXI196602:DXI196667 DNM196602:DNM196667 DDQ196602:DDQ196667 CTU196602:CTU196667 CJY196602:CJY196667 CAC196602:CAC196667 BQG196602:BQG196667 BGK196602:BGK196667 AWO196602:AWO196667 AMS196602:AMS196667 ACW196602:ACW196667 TA196602:TA196667 JE196602:JE196667 I196602:I196667 WVQ131066:WVQ131131 WLU131066:WLU131131 WBY131066:WBY131131 VSC131066:VSC131131 VIG131066:VIG131131 UYK131066:UYK131131 UOO131066:UOO131131 UES131066:UES131131 TUW131066:TUW131131 TLA131066:TLA131131 TBE131066:TBE131131 SRI131066:SRI131131 SHM131066:SHM131131 RXQ131066:RXQ131131 RNU131066:RNU131131 RDY131066:RDY131131 QUC131066:QUC131131 QKG131066:QKG131131 QAK131066:QAK131131 PQO131066:PQO131131 PGS131066:PGS131131 OWW131066:OWW131131 ONA131066:ONA131131 ODE131066:ODE131131 NTI131066:NTI131131 NJM131066:NJM131131 MZQ131066:MZQ131131 MPU131066:MPU131131 MFY131066:MFY131131 LWC131066:LWC131131 LMG131066:LMG131131 LCK131066:LCK131131 KSO131066:KSO131131 KIS131066:KIS131131 JYW131066:JYW131131 JPA131066:JPA131131 JFE131066:JFE131131 IVI131066:IVI131131 ILM131066:ILM131131 IBQ131066:IBQ131131 HRU131066:HRU131131 HHY131066:HHY131131 GYC131066:GYC131131 GOG131066:GOG131131 GEK131066:GEK131131 FUO131066:FUO131131 FKS131066:FKS131131 FAW131066:FAW131131 ERA131066:ERA131131 EHE131066:EHE131131 DXI131066:DXI131131 DNM131066:DNM131131 DDQ131066:DDQ131131 CTU131066:CTU131131 CJY131066:CJY131131 CAC131066:CAC131131 BQG131066:BQG131131 BGK131066:BGK131131 AWO131066:AWO131131 AMS131066:AMS131131 ACW131066:ACW131131 TA131066:TA131131 JE131066:JE131131 I131066:I131131 WVQ65530:WVQ65595 WLU65530:WLU65595 WBY65530:WBY65595 VSC65530:VSC65595 VIG65530:VIG65595 UYK65530:UYK65595 UOO65530:UOO65595 UES65530:UES65595 TUW65530:TUW65595 TLA65530:TLA65595 TBE65530:TBE65595 SRI65530:SRI65595 SHM65530:SHM65595 RXQ65530:RXQ65595 RNU65530:RNU65595 RDY65530:RDY65595 QUC65530:QUC65595 QKG65530:QKG65595 QAK65530:QAK65595 PQO65530:PQO65595 PGS65530:PGS65595 OWW65530:OWW65595 ONA65530:ONA65595 ODE65530:ODE65595 NTI65530:NTI65595 NJM65530:NJM65595 MZQ65530:MZQ65595 MPU65530:MPU65595 MFY65530:MFY65595 LWC65530:LWC65595 LMG65530:LMG65595 LCK65530:LCK65595 KSO65530:KSO65595 KIS65530:KIS65595 JYW65530:JYW65595 JPA65530:JPA65595 JFE65530:JFE65595 IVI65530:IVI65595 ILM65530:ILM65595 IBQ65530:IBQ65595 HRU65530:HRU65595 HHY65530:HHY65595 GYC65530:GYC65595 GOG65530:GOG65595 GEK65530:GEK65595 FUO65530:FUO65595 FKS65530:FKS65595 FAW65530:FAW65595 ERA65530:ERA65595 EHE65530:EHE65595 DXI65530:DXI65595 DNM65530:DNM65595 DDQ65530:DDQ65595 CTU65530:CTU65595 CJY65530:CJY65595 CAC65530:CAC65595 BQG65530:BQG65595 BGK65530:BGK65595 AWO65530:AWO65595 AMS65530:AMS65595 ACW65530:ACW65595 TA65530:TA65595 JE65530:JE65595 I65530:I65595 WVQ983034:WVQ983099 WVQ1047395:WVQ1047460 WLU1047395:WLU1047460 WBY1047395:WBY1047460 VSC1047395:VSC1047460 VIG1047395:VIG1047460 UYK1047395:UYK1047460 UOO1047395:UOO1047460 UES1047395:UES1047460 TUW1047395:TUW1047460 TLA1047395:TLA1047460 TBE1047395:TBE1047460 SRI1047395:SRI1047460 SHM1047395:SHM1047460 RXQ1047395:RXQ1047460 RNU1047395:RNU1047460 RDY1047395:RDY1047460 QUC1047395:QUC1047460 QKG1047395:QKG1047460 QAK1047395:QAK1047460 PQO1047395:PQO1047460 PGS1047395:PGS1047460 OWW1047395:OWW1047460 ONA1047395:ONA1047460 ODE1047395:ODE1047460 NTI1047395:NTI1047460 NJM1047395:NJM1047460 MZQ1047395:MZQ1047460 MPU1047395:MPU1047460 MFY1047395:MFY1047460 LWC1047395:LWC1047460 LMG1047395:LMG1047460 LCK1047395:LCK1047460 KSO1047395:KSO1047460 KIS1047395:KIS1047460 JYW1047395:JYW1047460 JPA1047395:JPA1047460 JFE1047395:JFE1047460 IVI1047395:IVI1047460 ILM1047395:ILM1047460 IBQ1047395:IBQ1047460 HRU1047395:HRU1047460 HHY1047395:HHY1047460 GYC1047395:GYC1047460 GOG1047395:GOG1047460 GEK1047395:GEK1047460 FUO1047395:FUO1047460 FKS1047395:FKS1047460 FAW1047395:FAW1047460 ERA1047395:ERA1047460 EHE1047395:EHE1047460 DXI1047395:DXI1047460 DNM1047395:DNM1047460 DDQ1047395:DDQ1047460 CTU1047395:CTU1047460 CJY1047395:CJY1047460 CAC1047395:CAC1047460 BQG1047395:BQG1047460 BGK1047395:BGK1047460 AWO1047395:AWO1047460 AMS1047395:AMS1047460 ACW1047395:ACW1047460 TA1047395:TA1047460 JE1047395:JE1047460 I1047395:I1047460 WVQ981859:WVQ981924 WLU981859:WLU981924 WBY981859:WBY981924 VSC981859:VSC981924 VIG981859:VIG981924 UYK981859:UYK981924 UOO981859:UOO981924 UES981859:UES981924 TUW981859:TUW981924 TLA981859:TLA981924 TBE981859:TBE981924 SRI981859:SRI981924 SHM981859:SHM981924 RXQ981859:RXQ981924 RNU981859:RNU981924 RDY981859:RDY981924 QUC981859:QUC981924 QKG981859:QKG981924 QAK981859:QAK981924 PQO981859:PQO981924 PGS981859:PGS981924 OWW981859:OWW981924 ONA981859:ONA981924 ODE981859:ODE981924 NTI981859:NTI981924 NJM981859:NJM981924 MZQ981859:MZQ981924 MPU981859:MPU981924 MFY981859:MFY981924 LWC981859:LWC981924 LMG981859:LMG981924 LCK981859:LCK981924 KSO981859:KSO981924 KIS981859:KIS981924 JYW981859:JYW981924 JPA981859:JPA981924 JFE981859:JFE981924 IVI981859:IVI981924 ILM981859:ILM981924 IBQ981859:IBQ981924 HRU981859:HRU981924 HHY981859:HHY981924 GYC981859:GYC981924 GOG981859:GOG981924 GEK981859:GEK981924 FUO981859:FUO981924 FKS981859:FKS981924 FAW981859:FAW981924 ERA981859:ERA981924 EHE981859:EHE981924 DXI981859:DXI981924 DNM981859:DNM981924 DDQ981859:DDQ981924 CTU981859:CTU981924 CJY981859:CJY981924 CAC981859:CAC981924 BQG981859:BQG981924 BGK981859:BGK981924 AWO981859:AWO981924 AMS981859:AMS981924 ACW981859:ACW981924 TA981859:TA981924 JE981859:JE981924 I981859:I981924 WVQ916323:WVQ916388 WLU916323:WLU916388 WBY916323:WBY916388 VSC916323:VSC916388 VIG916323:VIG916388 UYK916323:UYK916388 UOO916323:UOO916388 UES916323:UES916388 TUW916323:TUW916388 TLA916323:TLA916388 TBE916323:TBE916388 SRI916323:SRI916388 SHM916323:SHM916388 RXQ916323:RXQ916388 RNU916323:RNU916388 RDY916323:RDY916388 QUC916323:QUC916388 QKG916323:QKG916388 QAK916323:QAK916388 PQO916323:PQO916388 PGS916323:PGS916388 OWW916323:OWW916388 ONA916323:ONA916388 ODE916323:ODE916388 NTI916323:NTI916388 NJM916323:NJM916388 MZQ916323:MZQ916388 MPU916323:MPU916388 MFY916323:MFY916388 LWC916323:LWC916388 LMG916323:LMG916388 LCK916323:LCK916388 KSO916323:KSO916388 KIS916323:KIS916388 JYW916323:JYW916388 JPA916323:JPA916388 JFE916323:JFE916388 IVI916323:IVI916388 ILM916323:ILM916388 IBQ916323:IBQ916388 HRU916323:HRU916388 HHY916323:HHY916388 GYC916323:GYC916388 GOG916323:GOG916388 GEK916323:GEK916388 FUO916323:FUO916388 FKS916323:FKS916388 FAW916323:FAW916388 ERA916323:ERA916388 EHE916323:EHE916388 DXI916323:DXI916388 DNM916323:DNM916388 DDQ916323:DDQ916388 CTU916323:CTU916388 CJY916323:CJY916388 CAC916323:CAC916388 BQG916323:BQG916388 BGK916323:BGK916388 AWO916323:AWO916388 AMS916323:AMS916388 ACW916323:ACW916388 TA916323:TA916388 JE916323:JE916388 I916323:I916388 WVQ850787:WVQ850852 WLU850787:WLU850852 WBY850787:WBY850852 VSC850787:VSC850852 VIG850787:VIG850852 UYK850787:UYK850852 UOO850787:UOO850852 UES850787:UES850852 TUW850787:TUW850852 TLA850787:TLA850852 TBE850787:TBE850852 SRI850787:SRI850852 SHM850787:SHM850852 RXQ850787:RXQ850852 RNU850787:RNU850852 RDY850787:RDY850852 QUC850787:QUC850852 QKG850787:QKG850852 QAK850787:QAK850852 PQO850787:PQO850852 PGS850787:PGS850852 OWW850787:OWW850852 ONA850787:ONA850852 ODE850787:ODE850852 NTI850787:NTI850852 NJM850787:NJM850852 MZQ850787:MZQ850852 MPU850787:MPU850852 MFY850787:MFY850852 LWC850787:LWC850852 LMG850787:LMG850852 LCK850787:LCK850852 KSO850787:KSO850852 KIS850787:KIS850852 JYW850787:JYW850852 JPA850787:JPA850852 JFE850787:JFE850852 IVI850787:IVI850852 ILM850787:ILM850852 IBQ850787:IBQ850852 HRU850787:HRU850852 HHY850787:HHY850852 GYC850787:GYC850852 GOG850787:GOG850852 GEK850787:GEK850852 FUO850787:FUO850852 FKS850787:FKS850852 FAW850787:FAW850852 ERA850787:ERA850852 EHE850787:EHE850852 DXI850787:DXI850852 DNM850787:DNM850852 DDQ850787:DDQ850852 CTU850787:CTU850852 CJY850787:CJY850852 CAC850787:CAC850852 BQG850787:BQG850852 BGK850787:BGK850852 AWO850787:AWO850852 AMS850787:AMS850852 ACW850787:ACW850852 TA850787:TA850852 JE850787:JE850852 I850787:I850852 WVQ785251:WVQ785316 WLU785251:WLU785316 WBY785251:WBY785316 VSC785251:VSC785316 VIG785251:VIG785316 UYK785251:UYK785316 UOO785251:UOO785316 UES785251:UES785316 TUW785251:TUW785316 TLA785251:TLA785316 TBE785251:TBE785316 SRI785251:SRI785316 SHM785251:SHM785316 RXQ785251:RXQ785316 RNU785251:RNU785316 RDY785251:RDY785316 QUC785251:QUC785316 QKG785251:QKG785316 QAK785251:QAK785316 PQO785251:PQO785316 PGS785251:PGS785316 OWW785251:OWW785316 ONA785251:ONA785316 ODE785251:ODE785316 NTI785251:NTI785316 NJM785251:NJM785316 MZQ785251:MZQ785316 MPU785251:MPU785316 MFY785251:MFY785316 LWC785251:LWC785316 LMG785251:LMG785316 LCK785251:LCK785316 KSO785251:KSO785316 KIS785251:KIS785316 JYW785251:JYW785316 JPA785251:JPA785316 JFE785251:JFE785316 IVI785251:IVI785316 ILM785251:ILM785316 IBQ785251:IBQ785316 HRU785251:HRU785316 HHY785251:HHY785316 GYC785251:GYC785316 GOG785251:GOG785316 GEK785251:GEK785316 FUO785251:FUO785316 FKS785251:FKS785316 FAW785251:FAW785316 ERA785251:ERA785316 EHE785251:EHE785316 DXI785251:DXI785316 DNM785251:DNM785316 DDQ785251:DDQ785316 CTU785251:CTU785316 CJY785251:CJY785316 CAC785251:CAC785316 BQG785251:BQG785316 BGK785251:BGK785316 AWO785251:AWO785316 AMS785251:AMS785316 ACW785251:ACW785316 TA785251:TA785316 JE785251:JE785316 I785251:I785316 WVQ719715:WVQ719780 WLU719715:WLU719780 WBY719715:WBY719780 VSC719715:VSC719780 VIG719715:VIG719780 UYK719715:UYK719780 UOO719715:UOO719780 UES719715:UES719780 TUW719715:TUW719780 TLA719715:TLA719780 TBE719715:TBE719780 SRI719715:SRI719780 SHM719715:SHM719780 RXQ719715:RXQ719780 RNU719715:RNU719780 RDY719715:RDY719780 QUC719715:QUC719780 QKG719715:QKG719780 QAK719715:QAK719780 PQO719715:PQO719780 PGS719715:PGS719780 OWW719715:OWW719780 ONA719715:ONA719780 ODE719715:ODE719780 NTI719715:NTI719780 NJM719715:NJM719780 MZQ719715:MZQ719780 MPU719715:MPU719780 MFY719715:MFY719780 LWC719715:LWC719780 LMG719715:LMG719780 LCK719715:LCK719780 KSO719715:KSO719780 KIS719715:KIS719780 JYW719715:JYW719780 JPA719715:JPA719780 JFE719715:JFE719780 IVI719715:IVI719780 ILM719715:ILM719780 IBQ719715:IBQ719780 HRU719715:HRU719780 HHY719715:HHY719780 GYC719715:GYC719780 GOG719715:GOG719780 GEK719715:GEK719780 FUO719715:FUO719780 FKS719715:FKS719780 FAW719715:FAW719780 ERA719715:ERA719780 EHE719715:EHE719780 DXI719715:DXI719780 DNM719715:DNM719780 DDQ719715:DDQ719780 CTU719715:CTU719780 CJY719715:CJY719780 CAC719715:CAC719780 BQG719715:BQG719780 BGK719715:BGK719780 AWO719715:AWO719780 AMS719715:AMS719780 ACW719715:ACW719780 TA719715:TA719780 JE719715:JE719780 I719715:I719780 WVQ654179:WVQ654244 WLU654179:WLU654244 WBY654179:WBY654244 VSC654179:VSC654244 VIG654179:VIG654244 UYK654179:UYK654244 UOO654179:UOO654244 UES654179:UES654244 TUW654179:TUW654244 TLA654179:TLA654244 TBE654179:TBE654244 SRI654179:SRI654244 SHM654179:SHM654244 RXQ654179:RXQ654244 RNU654179:RNU654244 RDY654179:RDY654244 QUC654179:QUC654244 QKG654179:QKG654244 QAK654179:QAK654244 PQO654179:PQO654244 PGS654179:PGS654244 OWW654179:OWW654244 ONA654179:ONA654244 ODE654179:ODE654244 NTI654179:NTI654244 NJM654179:NJM654244 MZQ654179:MZQ654244 MPU654179:MPU654244 MFY654179:MFY654244 LWC654179:LWC654244 LMG654179:LMG654244 LCK654179:LCK654244 KSO654179:KSO654244 KIS654179:KIS654244 JYW654179:JYW654244 JPA654179:JPA654244 JFE654179:JFE654244 IVI654179:IVI654244 ILM654179:ILM654244 IBQ654179:IBQ654244 HRU654179:HRU654244 HHY654179:HHY654244 GYC654179:GYC654244 GOG654179:GOG654244 GEK654179:GEK654244 FUO654179:FUO654244 FKS654179:FKS654244 FAW654179:FAW654244 ERA654179:ERA654244 EHE654179:EHE654244 DXI654179:DXI654244 DNM654179:DNM654244 DDQ654179:DDQ654244 CTU654179:CTU654244 CJY654179:CJY654244 CAC654179:CAC654244 BQG654179:BQG654244 BGK654179:BGK654244 AWO654179:AWO654244 AMS654179:AMS654244 ACW654179:ACW654244 TA654179:TA654244 JE654179:JE654244 I654179:I654244 WVQ588643:WVQ588708 WLU588643:WLU588708 WBY588643:WBY588708 VSC588643:VSC588708 VIG588643:VIG588708 UYK588643:UYK588708 UOO588643:UOO588708 UES588643:UES588708 TUW588643:TUW588708 TLA588643:TLA588708 TBE588643:TBE588708 SRI588643:SRI588708 SHM588643:SHM588708 RXQ588643:RXQ588708 RNU588643:RNU588708 RDY588643:RDY588708 QUC588643:QUC588708 QKG588643:QKG588708 QAK588643:QAK588708 PQO588643:PQO588708 PGS588643:PGS588708 OWW588643:OWW588708 ONA588643:ONA588708 ODE588643:ODE588708 NTI588643:NTI588708 NJM588643:NJM588708 MZQ588643:MZQ588708 MPU588643:MPU588708 MFY588643:MFY588708 LWC588643:LWC588708 LMG588643:LMG588708 LCK588643:LCK588708 KSO588643:KSO588708 KIS588643:KIS588708 JYW588643:JYW588708 JPA588643:JPA588708 JFE588643:JFE588708 IVI588643:IVI588708 ILM588643:ILM588708 IBQ588643:IBQ588708 HRU588643:HRU588708 HHY588643:HHY588708 GYC588643:GYC588708 GOG588643:GOG588708 GEK588643:GEK588708 FUO588643:FUO588708 FKS588643:FKS588708 FAW588643:FAW588708 ERA588643:ERA588708 EHE588643:EHE588708 DXI588643:DXI588708 DNM588643:DNM588708 DDQ588643:DDQ588708 CTU588643:CTU588708 CJY588643:CJY588708 CAC588643:CAC588708 BQG588643:BQG588708 BGK588643:BGK588708 AWO588643:AWO588708 AMS588643:AMS588708 ACW588643:ACW588708 TA588643:TA588708 JE588643:JE588708 I588643:I588708 WVQ523107:WVQ523172 WLU523107:WLU523172 WBY523107:WBY523172 VSC523107:VSC523172 VIG523107:VIG523172 UYK523107:UYK523172 UOO523107:UOO523172 UES523107:UES523172 TUW523107:TUW523172 TLA523107:TLA523172 TBE523107:TBE523172 SRI523107:SRI523172 SHM523107:SHM523172 RXQ523107:RXQ523172 RNU523107:RNU523172 RDY523107:RDY523172 QUC523107:QUC523172 QKG523107:QKG523172 QAK523107:QAK523172 PQO523107:PQO523172 PGS523107:PGS523172 OWW523107:OWW523172 ONA523107:ONA523172 ODE523107:ODE523172 NTI523107:NTI523172 NJM523107:NJM523172 MZQ523107:MZQ523172 MPU523107:MPU523172 MFY523107:MFY523172 LWC523107:LWC523172 LMG523107:LMG523172 LCK523107:LCK523172 KSO523107:KSO523172 KIS523107:KIS523172 JYW523107:JYW523172 JPA523107:JPA523172 JFE523107:JFE523172 IVI523107:IVI523172 ILM523107:ILM523172 IBQ523107:IBQ523172 HRU523107:HRU523172 HHY523107:HHY523172 GYC523107:GYC523172 GOG523107:GOG523172 GEK523107:GEK523172 FUO523107:FUO523172 FKS523107:FKS523172 FAW523107:FAW523172 ERA523107:ERA523172 EHE523107:EHE523172 DXI523107:DXI523172 DNM523107:DNM523172 DDQ523107:DDQ523172 CTU523107:CTU523172 CJY523107:CJY523172 CAC523107:CAC523172 BQG523107:BQG523172 BGK523107:BGK523172 AWO523107:AWO523172 AMS523107:AMS523172 ACW523107:ACW523172 TA523107:TA523172 JE523107:JE523172 I523107:I523172 WVQ457571:WVQ457636 WLU457571:WLU457636 WBY457571:WBY457636 VSC457571:VSC457636 VIG457571:VIG457636 UYK457571:UYK457636 UOO457571:UOO457636 UES457571:UES457636 TUW457571:TUW457636 TLA457571:TLA457636 TBE457571:TBE457636 SRI457571:SRI457636 SHM457571:SHM457636 RXQ457571:RXQ457636 RNU457571:RNU457636 RDY457571:RDY457636 QUC457571:QUC457636 QKG457571:QKG457636 QAK457571:QAK457636 PQO457571:PQO457636 PGS457571:PGS457636 OWW457571:OWW457636 ONA457571:ONA457636 ODE457571:ODE457636 NTI457571:NTI457636 NJM457571:NJM457636 MZQ457571:MZQ457636 MPU457571:MPU457636 MFY457571:MFY457636 LWC457571:LWC457636 LMG457571:LMG457636 LCK457571:LCK457636 KSO457571:KSO457636 KIS457571:KIS457636 JYW457571:JYW457636 JPA457571:JPA457636 JFE457571:JFE457636 IVI457571:IVI457636 ILM457571:ILM457636 IBQ457571:IBQ457636 HRU457571:HRU457636 HHY457571:HHY457636 GYC457571:GYC457636 GOG457571:GOG457636 GEK457571:GEK457636 FUO457571:FUO457636 FKS457571:FKS457636 FAW457571:FAW457636 ERA457571:ERA457636 EHE457571:EHE457636 DXI457571:DXI457636 DNM457571:DNM457636 DDQ457571:DDQ457636 CTU457571:CTU457636 CJY457571:CJY457636 CAC457571:CAC457636 BQG457571:BQG457636 BGK457571:BGK457636 AWO457571:AWO457636 AMS457571:AMS457636 ACW457571:ACW457636 TA457571:TA457636 JE457571:JE457636 I457571:I457636 WVQ392035:WVQ392100 WLU392035:WLU392100 WBY392035:WBY392100 VSC392035:VSC392100 VIG392035:VIG392100 UYK392035:UYK392100 UOO392035:UOO392100 UES392035:UES392100 TUW392035:TUW392100 TLA392035:TLA392100 TBE392035:TBE392100 SRI392035:SRI392100 SHM392035:SHM392100 RXQ392035:RXQ392100 RNU392035:RNU392100 RDY392035:RDY392100 QUC392035:QUC392100 QKG392035:QKG392100 QAK392035:QAK392100 PQO392035:PQO392100 PGS392035:PGS392100 OWW392035:OWW392100 ONA392035:ONA392100 ODE392035:ODE392100 NTI392035:NTI392100 NJM392035:NJM392100 MZQ392035:MZQ392100 MPU392035:MPU392100 MFY392035:MFY392100 LWC392035:LWC392100 LMG392035:LMG392100 LCK392035:LCK392100 KSO392035:KSO392100 KIS392035:KIS392100 JYW392035:JYW392100 JPA392035:JPA392100 JFE392035:JFE392100 IVI392035:IVI392100 ILM392035:ILM392100 IBQ392035:IBQ392100 HRU392035:HRU392100 HHY392035:HHY392100 GYC392035:GYC392100 GOG392035:GOG392100 GEK392035:GEK392100 FUO392035:FUO392100 FKS392035:FKS392100 FAW392035:FAW392100 ERA392035:ERA392100 EHE392035:EHE392100 DXI392035:DXI392100 DNM392035:DNM392100 DDQ392035:DDQ392100 CTU392035:CTU392100 CJY392035:CJY392100 CAC392035:CAC392100 BQG392035:BQG392100 BGK392035:BGK392100 AWO392035:AWO392100 AMS392035:AMS392100 ACW392035:ACW392100 TA392035:TA392100 JE392035:JE392100 I392035:I392100 WVQ326499:WVQ326564 WLU326499:WLU326564 WBY326499:WBY326564 VSC326499:VSC326564 VIG326499:VIG326564 UYK326499:UYK326564 UOO326499:UOO326564 UES326499:UES326564 TUW326499:TUW326564 TLA326499:TLA326564 TBE326499:TBE326564 SRI326499:SRI326564 SHM326499:SHM326564 RXQ326499:RXQ326564 RNU326499:RNU326564 RDY326499:RDY326564 QUC326499:QUC326564 QKG326499:QKG326564 QAK326499:QAK326564 PQO326499:PQO326564 PGS326499:PGS326564 OWW326499:OWW326564 ONA326499:ONA326564 ODE326499:ODE326564 NTI326499:NTI326564 NJM326499:NJM326564 MZQ326499:MZQ326564 MPU326499:MPU326564 MFY326499:MFY326564 LWC326499:LWC326564 LMG326499:LMG326564 LCK326499:LCK326564 KSO326499:KSO326564 KIS326499:KIS326564 JYW326499:JYW326564 JPA326499:JPA326564 JFE326499:JFE326564 IVI326499:IVI326564 ILM326499:ILM326564 IBQ326499:IBQ326564 HRU326499:HRU326564 HHY326499:HHY326564 GYC326499:GYC326564 GOG326499:GOG326564 GEK326499:GEK326564 FUO326499:FUO326564 FKS326499:FKS326564 FAW326499:FAW326564 ERA326499:ERA326564 EHE326499:EHE326564 DXI326499:DXI326564 DNM326499:DNM326564 DDQ326499:DDQ326564 CTU326499:CTU326564 CJY326499:CJY326564 CAC326499:CAC326564 BQG326499:BQG326564 BGK326499:BGK326564 AWO326499:AWO326564 AMS326499:AMS326564 ACW326499:ACW326564 TA326499:TA326564 JE326499:JE326564 I326499:I326564 WVQ260963:WVQ261028 WLU260963:WLU261028 WBY260963:WBY261028 VSC260963:VSC261028 VIG260963:VIG261028 UYK260963:UYK261028 UOO260963:UOO261028 UES260963:UES261028 TUW260963:TUW261028 TLA260963:TLA261028 TBE260963:TBE261028 SRI260963:SRI261028 SHM260963:SHM261028 RXQ260963:RXQ261028 RNU260963:RNU261028 RDY260963:RDY261028 QUC260963:QUC261028 QKG260963:QKG261028 QAK260963:QAK261028 PQO260963:PQO261028 PGS260963:PGS261028 OWW260963:OWW261028 ONA260963:ONA261028 ODE260963:ODE261028 NTI260963:NTI261028 NJM260963:NJM261028 MZQ260963:MZQ261028 MPU260963:MPU261028 MFY260963:MFY261028 LWC260963:LWC261028 LMG260963:LMG261028 LCK260963:LCK261028 KSO260963:KSO261028 KIS260963:KIS261028 JYW260963:JYW261028 JPA260963:JPA261028 JFE260963:JFE261028 IVI260963:IVI261028 ILM260963:ILM261028 IBQ260963:IBQ261028 HRU260963:HRU261028 HHY260963:HHY261028 GYC260963:GYC261028 GOG260963:GOG261028 GEK260963:GEK261028 FUO260963:FUO261028 FKS260963:FKS261028 FAW260963:FAW261028 ERA260963:ERA261028 EHE260963:EHE261028 DXI260963:DXI261028 DNM260963:DNM261028 DDQ260963:DDQ261028 CTU260963:CTU261028 CJY260963:CJY261028 CAC260963:CAC261028 BQG260963:BQG261028 BGK260963:BGK261028 AWO260963:AWO261028 AMS260963:AMS261028 ACW260963:ACW261028 TA260963:TA261028 JE260963:JE261028 I260963:I261028 WVQ195427:WVQ195492 WLU195427:WLU195492 WBY195427:WBY195492 VSC195427:VSC195492 VIG195427:VIG195492 UYK195427:UYK195492 UOO195427:UOO195492 UES195427:UES195492 TUW195427:TUW195492 TLA195427:TLA195492 TBE195427:TBE195492 SRI195427:SRI195492 SHM195427:SHM195492 RXQ195427:RXQ195492 RNU195427:RNU195492 RDY195427:RDY195492 QUC195427:QUC195492 QKG195427:QKG195492 QAK195427:QAK195492 PQO195427:PQO195492 PGS195427:PGS195492 OWW195427:OWW195492 ONA195427:ONA195492 ODE195427:ODE195492 NTI195427:NTI195492 NJM195427:NJM195492 MZQ195427:MZQ195492 MPU195427:MPU195492 MFY195427:MFY195492 LWC195427:LWC195492 LMG195427:LMG195492 LCK195427:LCK195492 KSO195427:KSO195492 KIS195427:KIS195492 JYW195427:JYW195492 JPA195427:JPA195492 JFE195427:JFE195492 IVI195427:IVI195492 ILM195427:ILM195492 IBQ195427:IBQ195492 HRU195427:HRU195492 HHY195427:HHY195492 GYC195427:GYC195492 GOG195427:GOG195492 GEK195427:GEK195492 FUO195427:FUO195492 FKS195427:FKS195492 FAW195427:FAW195492 ERA195427:ERA195492 EHE195427:EHE195492 DXI195427:DXI195492 DNM195427:DNM195492 DDQ195427:DDQ195492 CTU195427:CTU195492 CJY195427:CJY195492 CAC195427:CAC195492 BQG195427:BQG195492 BGK195427:BGK195492 AWO195427:AWO195492 AMS195427:AMS195492 ACW195427:ACW195492 TA195427:TA195492 JE195427:JE195492 I195427:I195492 WVQ129891:WVQ129956 WLU129891:WLU129956 WBY129891:WBY129956 VSC129891:VSC129956 VIG129891:VIG129956 UYK129891:UYK129956 UOO129891:UOO129956 UES129891:UES129956 TUW129891:TUW129956 TLA129891:TLA129956 TBE129891:TBE129956 SRI129891:SRI129956 SHM129891:SHM129956 RXQ129891:RXQ129956 RNU129891:RNU129956 RDY129891:RDY129956 QUC129891:QUC129956 QKG129891:QKG129956 QAK129891:QAK129956 PQO129891:PQO129956 PGS129891:PGS129956 OWW129891:OWW129956 ONA129891:ONA129956 ODE129891:ODE129956 NTI129891:NTI129956 NJM129891:NJM129956 MZQ129891:MZQ129956 MPU129891:MPU129956 MFY129891:MFY129956 LWC129891:LWC129956 LMG129891:LMG129956 LCK129891:LCK129956 KSO129891:KSO129956 KIS129891:KIS129956 JYW129891:JYW129956 JPA129891:JPA129956 JFE129891:JFE129956 IVI129891:IVI129956 ILM129891:ILM129956 IBQ129891:IBQ129956 HRU129891:HRU129956 HHY129891:HHY129956 GYC129891:GYC129956 GOG129891:GOG129956 GEK129891:GEK129956 FUO129891:FUO129956 FKS129891:FKS129956 FAW129891:FAW129956 ERA129891:ERA129956 EHE129891:EHE129956 DXI129891:DXI129956 DNM129891:DNM129956 DDQ129891:DDQ129956 CTU129891:CTU129956 CJY129891:CJY129956 CAC129891:CAC129956 BQG129891:BQG129956 BGK129891:BGK129956 AWO129891:AWO129956 AMS129891:AMS129956 ACW129891:ACW129956 TA129891:TA129956 JE129891:JE129956 I129891:I129956 WVQ64355:WVQ64420 WLU64355:WLU64420 WBY64355:WBY64420 VSC64355:VSC64420 VIG64355:VIG64420 UYK64355:UYK64420 UOO64355:UOO64420 UES64355:UES64420 TUW64355:TUW64420 TLA64355:TLA64420 TBE64355:TBE64420 SRI64355:SRI64420 SHM64355:SHM64420 RXQ64355:RXQ64420 RNU64355:RNU64420 RDY64355:RDY64420 QUC64355:QUC64420 QKG64355:QKG64420 QAK64355:QAK64420 PQO64355:PQO64420 PGS64355:PGS64420 OWW64355:OWW64420 ONA64355:ONA64420 ODE64355:ODE64420 NTI64355:NTI64420 NJM64355:NJM64420 MZQ64355:MZQ64420 MPU64355:MPU64420 MFY64355:MFY64420 LWC64355:LWC64420 LMG64355:LMG64420 LCK64355:LCK64420 KSO64355:KSO64420 KIS64355:KIS64420 JYW64355:JYW64420 JPA64355:JPA64420 JFE64355:JFE64420 IVI64355:IVI64420 ILM64355:ILM64420 IBQ64355:IBQ64420 HRU64355:HRU64420 HHY64355:HHY64420 GYC64355:GYC64420 GOG64355:GOG64420 GEK64355:GEK64420 FUO64355:FUO64420 FKS64355:FKS64420 FAW64355:FAW64420 ERA64355:ERA64420 EHE64355:EHE64420 DXI64355:DXI64420 DNM64355:DNM64420 DDQ64355:DDQ64420 CTU64355:CTU64420 CJY64355:CJY64420 CAC64355:CAC64420 BQG64355:BQG64420 BGK64355:BGK64420 AWO64355:AWO64420 AMS64355:AMS64420 ACW64355:ACW64420 TA64355:TA64420 TA2:TA61 I2:I492">
      <formula1>$AN$5:$AN$6</formula1>
    </dataValidation>
    <dataValidation type="list" allowBlank="1" showInputMessage="1" showErrorMessage="1" sqref="J64355:J64420 WVR1047395:WVR1047460 WLV1047395:WLV1047460 WBZ1047395:WBZ1047460 VSD1047395:VSD1047460 VIH1047395:VIH1047460 UYL1047395:UYL1047460 UOP1047395:UOP1047460 UET1047395:UET1047460 TUX1047395:TUX1047460 TLB1047395:TLB1047460 TBF1047395:TBF1047460 SRJ1047395:SRJ1047460 SHN1047395:SHN1047460 RXR1047395:RXR1047460 RNV1047395:RNV1047460 RDZ1047395:RDZ1047460 QUD1047395:QUD1047460 QKH1047395:QKH1047460 QAL1047395:QAL1047460 PQP1047395:PQP1047460 PGT1047395:PGT1047460 OWX1047395:OWX1047460 ONB1047395:ONB1047460 ODF1047395:ODF1047460 NTJ1047395:NTJ1047460 NJN1047395:NJN1047460 MZR1047395:MZR1047460 MPV1047395:MPV1047460 MFZ1047395:MFZ1047460 LWD1047395:LWD1047460 LMH1047395:LMH1047460 LCL1047395:LCL1047460 KSP1047395:KSP1047460 KIT1047395:KIT1047460 JYX1047395:JYX1047460 JPB1047395:JPB1047460 JFF1047395:JFF1047460 IVJ1047395:IVJ1047460 ILN1047395:ILN1047460 IBR1047395:IBR1047460 HRV1047395:HRV1047460 HHZ1047395:HHZ1047460 GYD1047395:GYD1047460 GOH1047395:GOH1047460 GEL1047395:GEL1047460 FUP1047395:FUP1047460 FKT1047395:FKT1047460 FAX1047395:FAX1047460 ERB1047395:ERB1047460 EHF1047395:EHF1047460 DXJ1047395:DXJ1047460 DNN1047395:DNN1047460 DDR1047395:DDR1047460 CTV1047395:CTV1047460 CJZ1047395:CJZ1047460 CAD1047395:CAD1047460 BQH1047395:BQH1047460 BGL1047395:BGL1047460 AWP1047395:AWP1047460 AMT1047395:AMT1047460 ACX1047395:ACX1047460 TB1047395:TB1047460 JF1047395:JF1047460 J1047395:J1047460 WVR981859:WVR981924 WLV981859:WLV981924 WBZ981859:WBZ981924 VSD981859:VSD981924 VIH981859:VIH981924 UYL981859:UYL981924 UOP981859:UOP981924 UET981859:UET981924 TUX981859:TUX981924 TLB981859:TLB981924 TBF981859:TBF981924 SRJ981859:SRJ981924 SHN981859:SHN981924 RXR981859:RXR981924 RNV981859:RNV981924 RDZ981859:RDZ981924 QUD981859:QUD981924 QKH981859:QKH981924 QAL981859:QAL981924 PQP981859:PQP981924 PGT981859:PGT981924 OWX981859:OWX981924 ONB981859:ONB981924 ODF981859:ODF981924 NTJ981859:NTJ981924 NJN981859:NJN981924 MZR981859:MZR981924 MPV981859:MPV981924 MFZ981859:MFZ981924 LWD981859:LWD981924 LMH981859:LMH981924 LCL981859:LCL981924 KSP981859:KSP981924 KIT981859:KIT981924 JYX981859:JYX981924 JPB981859:JPB981924 JFF981859:JFF981924 IVJ981859:IVJ981924 ILN981859:ILN981924 IBR981859:IBR981924 HRV981859:HRV981924 HHZ981859:HHZ981924 GYD981859:GYD981924 GOH981859:GOH981924 GEL981859:GEL981924 FUP981859:FUP981924 FKT981859:FKT981924 FAX981859:FAX981924 ERB981859:ERB981924 EHF981859:EHF981924 DXJ981859:DXJ981924 DNN981859:DNN981924 DDR981859:DDR981924 CTV981859:CTV981924 CJZ981859:CJZ981924 CAD981859:CAD981924 BQH981859:BQH981924 BGL981859:BGL981924 AWP981859:AWP981924 AMT981859:AMT981924 ACX981859:ACX981924 TB981859:TB981924 JF981859:JF981924 J981859:J981924 WVR916323:WVR916388 WLV916323:WLV916388 WBZ916323:WBZ916388 VSD916323:VSD916388 VIH916323:VIH916388 UYL916323:UYL916388 UOP916323:UOP916388 UET916323:UET916388 TUX916323:TUX916388 TLB916323:TLB916388 TBF916323:TBF916388 SRJ916323:SRJ916388 SHN916323:SHN916388 RXR916323:RXR916388 RNV916323:RNV916388 RDZ916323:RDZ916388 QUD916323:QUD916388 QKH916323:QKH916388 QAL916323:QAL916388 PQP916323:PQP916388 PGT916323:PGT916388 OWX916323:OWX916388 ONB916323:ONB916388 ODF916323:ODF916388 NTJ916323:NTJ916388 NJN916323:NJN916388 MZR916323:MZR916388 MPV916323:MPV916388 MFZ916323:MFZ916388 LWD916323:LWD916388 LMH916323:LMH916388 LCL916323:LCL916388 KSP916323:KSP916388 KIT916323:KIT916388 JYX916323:JYX916388 JPB916323:JPB916388 JFF916323:JFF916388 IVJ916323:IVJ916388 ILN916323:ILN916388 IBR916323:IBR916388 HRV916323:HRV916388 HHZ916323:HHZ916388 GYD916323:GYD916388 GOH916323:GOH916388 GEL916323:GEL916388 FUP916323:FUP916388 FKT916323:FKT916388 FAX916323:FAX916388 ERB916323:ERB916388 EHF916323:EHF916388 DXJ916323:DXJ916388 DNN916323:DNN916388 DDR916323:DDR916388 CTV916323:CTV916388 CJZ916323:CJZ916388 CAD916323:CAD916388 BQH916323:BQH916388 BGL916323:BGL916388 AWP916323:AWP916388 AMT916323:AMT916388 ACX916323:ACX916388 TB916323:TB916388 JF916323:JF916388 J916323:J916388 WVR850787:WVR850852 WLV850787:WLV850852 WBZ850787:WBZ850852 VSD850787:VSD850852 VIH850787:VIH850852 UYL850787:UYL850852 UOP850787:UOP850852 UET850787:UET850852 TUX850787:TUX850852 TLB850787:TLB850852 TBF850787:TBF850852 SRJ850787:SRJ850852 SHN850787:SHN850852 RXR850787:RXR850852 RNV850787:RNV850852 RDZ850787:RDZ850852 QUD850787:QUD850852 QKH850787:QKH850852 QAL850787:QAL850852 PQP850787:PQP850852 PGT850787:PGT850852 OWX850787:OWX850852 ONB850787:ONB850852 ODF850787:ODF850852 NTJ850787:NTJ850852 NJN850787:NJN850852 MZR850787:MZR850852 MPV850787:MPV850852 MFZ850787:MFZ850852 LWD850787:LWD850852 LMH850787:LMH850852 LCL850787:LCL850852 KSP850787:KSP850852 KIT850787:KIT850852 JYX850787:JYX850852 JPB850787:JPB850852 JFF850787:JFF850852 IVJ850787:IVJ850852 ILN850787:ILN850852 IBR850787:IBR850852 HRV850787:HRV850852 HHZ850787:HHZ850852 GYD850787:GYD850852 GOH850787:GOH850852 GEL850787:GEL850852 FUP850787:FUP850852 FKT850787:FKT850852 FAX850787:FAX850852 ERB850787:ERB850852 EHF850787:EHF850852 DXJ850787:DXJ850852 DNN850787:DNN850852 DDR850787:DDR850852 CTV850787:CTV850852 CJZ850787:CJZ850852 CAD850787:CAD850852 BQH850787:BQH850852 BGL850787:BGL850852 AWP850787:AWP850852 AMT850787:AMT850852 ACX850787:ACX850852 TB850787:TB850852 JF850787:JF850852 J850787:J850852 WVR785251:WVR785316 WLV785251:WLV785316 WBZ785251:WBZ785316 VSD785251:VSD785316 VIH785251:VIH785316 UYL785251:UYL785316 UOP785251:UOP785316 UET785251:UET785316 TUX785251:TUX785316 TLB785251:TLB785316 TBF785251:TBF785316 SRJ785251:SRJ785316 SHN785251:SHN785316 RXR785251:RXR785316 RNV785251:RNV785316 RDZ785251:RDZ785316 QUD785251:QUD785316 QKH785251:QKH785316 QAL785251:QAL785316 PQP785251:PQP785316 PGT785251:PGT785316 OWX785251:OWX785316 ONB785251:ONB785316 ODF785251:ODF785316 NTJ785251:NTJ785316 NJN785251:NJN785316 MZR785251:MZR785316 MPV785251:MPV785316 MFZ785251:MFZ785316 LWD785251:LWD785316 LMH785251:LMH785316 LCL785251:LCL785316 KSP785251:KSP785316 KIT785251:KIT785316 JYX785251:JYX785316 JPB785251:JPB785316 JFF785251:JFF785316 IVJ785251:IVJ785316 ILN785251:ILN785316 IBR785251:IBR785316 HRV785251:HRV785316 HHZ785251:HHZ785316 GYD785251:GYD785316 GOH785251:GOH785316 GEL785251:GEL785316 FUP785251:FUP785316 FKT785251:FKT785316 FAX785251:FAX785316 ERB785251:ERB785316 EHF785251:EHF785316 DXJ785251:DXJ785316 DNN785251:DNN785316 DDR785251:DDR785316 CTV785251:CTV785316 CJZ785251:CJZ785316 CAD785251:CAD785316 BQH785251:BQH785316 BGL785251:BGL785316 AWP785251:AWP785316 AMT785251:AMT785316 ACX785251:ACX785316 TB785251:TB785316 JF785251:JF785316 J785251:J785316 WVR719715:WVR719780 WLV719715:WLV719780 WBZ719715:WBZ719780 VSD719715:VSD719780 VIH719715:VIH719780 UYL719715:UYL719780 UOP719715:UOP719780 UET719715:UET719780 TUX719715:TUX719780 TLB719715:TLB719780 TBF719715:TBF719780 SRJ719715:SRJ719780 SHN719715:SHN719780 RXR719715:RXR719780 RNV719715:RNV719780 RDZ719715:RDZ719780 QUD719715:QUD719780 QKH719715:QKH719780 QAL719715:QAL719780 PQP719715:PQP719780 PGT719715:PGT719780 OWX719715:OWX719780 ONB719715:ONB719780 ODF719715:ODF719780 NTJ719715:NTJ719780 NJN719715:NJN719780 MZR719715:MZR719780 MPV719715:MPV719780 MFZ719715:MFZ719780 LWD719715:LWD719780 LMH719715:LMH719780 LCL719715:LCL719780 KSP719715:KSP719780 KIT719715:KIT719780 JYX719715:JYX719780 JPB719715:JPB719780 JFF719715:JFF719780 IVJ719715:IVJ719780 ILN719715:ILN719780 IBR719715:IBR719780 HRV719715:HRV719780 HHZ719715:HHZ719780 GYD719715:GYD719780 GOH719715:GOH719780 GEL719715:GEL719780 FUP719715:FUP719780 FKT719715:FKT719780 FAX719715:FAX719780 ERB719715:ERB719780 EHF719715:EHF719780 DXJ719715:DXJ719780 DNN719715:DNN719780 DDR719715:DDR719780 CTV719715:CTV719780 CJZ719715:CJZ719780 CAD719715:CAD719780 BQH719715:BQH719780 BGL719715:BGL719780 AWP719715:AWP719780 AMT719715:AMT719780 ACX719715:ACX719780 TB719715:TB719780 JF719715:JF719780 J719715:J719780 WVR654179:WVR654244 WLV654179:WLV654244 WBZ654179:WBZ654244 VSD654179:VSD654244 VIH654179:VIH654244 UYL654179:UYL654244 UOP654179:UOP654244 UET654179:UET654244 TUX654179:TUX654244 TLB654179:TLB654244 TBF654179:TBF654244 SRJ654179:SRJ654244 SHN654179:SHN654244 RXR654179:RXR654244 RNV654179:RNV654244 RDZ654179:RDZ654244 QUD654179:QUD654244 QKH654179:QKH654244 QAL654179:QAL654244 PQP654179:PQP654244 PGT654179:PGT654244 OWX654179:OWX654244 ONB654179:ONB654244 ODF654179:ODF654244 NTJ654179:NTJ654244 NJN654179:NJN654244 MZR654179:MZR654244 MPV654179:MPV654244 MFZ654179:MFZ654244 LWD654179:LWD654244 LMH654179:LMH654244 LCL654179:LCL654244 KSP654179:KSP654244 KIT654179:KIT654244 JYX654179:JYX654244 JPB654179:JPB654244 JFF654179:JFF654244 IVJ654179:IVJ654244 ILN654179:ILN654244 IBR654179:IBR654244 HRV654179:HRV654244 HHZ654179:HHZ654244 GYD654179:GYD654244 GOH654179:GOH654244 GEL654179:GEL654244 FUP654179:FUP654244 FKT654179:FKT654244 FAX654179:FAX654244 ERB654179:ERB654244 EHF654179:EHF654244 DXJ654179:DXJ654244 DNN654179:DNN654244 DDR654179:DDR654244 CTV654179:CTV654244 CJZ654179:CJZ654244 CAD654179:CAD654244 BQH654179:BQH654244 BGL654179:BGL654244 AWP654179:AWP654244 AMT654179:AMT654244 ACX654179:ACX654244 TB654179:TB654244 JF654179:JF654244 J654179:J654244 WVR588643:WVR588708 WLV588643:WLV588708 WBZ588643:WBZ588708 VSD588643:VSD588708 VIH588643:VIH588708 UYL588643:UYL588708 UOP588643:UOP588708 UET588643:UET588708 TUX588643:TUX588708 TLB588643:TLB588708 TBF588643:TBF588708 SRJ588643:SRJ588708 SHN588643:SHN588708 RXR588643:RXR588708 RNV588643:RNV588708 RDZ588643:RDZ588708 QUD588643:QUD588708 QKH588643:QKH588708 QAL588643:QAL588708 PQP588643:PQP588708 PGT588643:PGT588708 OWX588643:OWX588708 ONB588643:ONB588708 ODF588643:ODF588708 NTJ588643:NTJ588708 NJN588643:NJN588708 MZR588643:MZR588708 MPV588643:MPV588708 MFZ588643:MFZ588708 LWD588643:LWD588708 LMH588643:LMH588708 LCL588643:LCL588708 KSP588643:KSP588708 KIT588643:KIT588708 JYX588643:JYX588708 JPB588643:JPB588708 JFF588643:JFF588708 IVJ588643:IVJ588708 ILN588643:ILN588708 IBR588643:IBR588708 HRV588643:HRV588708 HHZ588643:HHZ588708 GYD588643:GYD588708 GOH588643:GOH588708 GEL588643:GEL588708 FUP588643:FUP588708 FKT588643:FKT588708 FAX588643:FAX588708 ERB588643:ERB588708 EHF588643:EHF588708 DXJ588643:DXJ588708 DNN588643:DNN588708 DDR588643:DDR588708 CTV588643:CTV588708 CJZ588643:CJZ588708 CAD588643:CAD588708 BQH588643:BQH588708 BGL588643:BGL588708 AWP588643:AWP588708 AMT588643:AMT588708 ACX588643:ACX588708 TB588643:TB588708 JF588643:JF588708 J588643:J588708 WVR523107:WVR523172 WLV523107:WLV523172 WBZ523107:WBZ523172 VSD523107:VSD523172 VIH523107:VIH523172 UYL523107:UYL523172 UOP523107:UOP523172 UET523107:UET523172 TUX523107:TUX523172 TLB523107:TLB523172 TBF523107:TBF523172 SRJ523107:SRJ523172 SHN523107:SHN523172 RXR523107:RXR523172 RNV523107:RNV523172 RDZ523107:RDZ523172 QUD523107:QUD523172 QKH523107:QKH523172 QAL523107:QAL523172 PQP523107:PQP523172 PGT523107:PGT523172 OWX523107:OWX523172 ONB523107:ONB523172 ODF523107:ODF523172 NTJ523107:NTJ523172 NJN523107:NJN523172 MZR523107:MZR523172 MPV523107:MPV523172 MFZ523107:MFZ523172 LWD523107:LWD523172 LMH523107:LMH523172 LCL523107:LCL523172 KSP523107:KSP523172 KIT523107:KIT523172 JYX523107:JYX523172 JPB523107:JPB523172 JFF523107:JFF523172 IVJ523107:IVJ523172 ILN523107:ILN523172 IBR523107:IBR523172 HRV523107:HRV523172 HHZ523107:HHZ523172 GYD523107:GYD523172 GOH523107:GOH523172 GEL523107:GEL523172 FUP523107:FUP523172 FKT523107:FKT523172 FAX523107:FAX523172 ERB523107:ERB523172 EHF523107:EHF523172 DXJ523107:DXJ523172 DNN523107:DNN523172 DDR523107:DDR523172 CTV523107:CTV523172 CJZ523107:CJZ523172 CAD523107:CAD523172 BQH523107:BQH523172 BGL523107:BGL523172 AWP523107:AWP523172 AMT523107:AMT523172 ACX523107:ACX523172 TB523107:TB523172 JF523107:JF523172 J523107:J523172 WVR457571:WVR457636 WLV457571:WLV457636 WBZ457571:WBZ457636 VSD457571:VSD457636 VIH457571:VIH457636 UYL457571:UYL457636 UOP457571:UOP457636 UET457571:UET457636 TUX457571:TUX457636 TLB457571:TLB457636 TBF457571:TBF457636 SRJ457571:SRJ457636 SHN457571:SHN457636 RXR457571:RXR457636 RNV457571:RNV457636 RDZ457571:RDZ457636 QUD457571:QUD457636 QKH457571:QKH457636 QAL457571:QAL457636 PQP457571:PQP457636 PGT457571:PGT457636 OWX457571:OWX457636 ONB457571:ONB457636 ODF457571:ODF457636 NTJ457571:NTJ457636 NJN457571:NJN457636 MZR457571:MZR457636 MPV457571:MPV457636 MFZ457571:MFZ457636 LWD457571:LWD457636 LMH457571:LMH457636 LCL457571:LCL457636 KSP457571:KSP457636 KIT457571:KIT457636 JYX457571:JYX457636 JPB457571:JPB457636 JFF457571:JFF457636 IVJ457571:IVJ457636 ILN457571:ILN457636 IBR457571:IBR457636 HRV457571:HRV457636 HHZ457571:HHZ457636 GYD457571:GYD457636 GOH457571:GOH457636 GEL457571:GEL457636 FUP457571:FUP457636 FKT457571:FKT457636 FAX457571:FAX457636 ERB457571:ERB457636 EHF457571:EHF457636 DXJ457571:DXJ457636 DNN457571:DNN457636 DDR457571:DDR457636 CTV457571:CTV457636 CJZ457571:CJZ457636 CAD457571:CAD457636 BQH457571:BQH457636 BGL457571:BGL457636 AWP457571:AWP457636 AMT457571:AMT457636 ACX457571:ACX457636 TB457571:TB457636 JF457571:JF457636 J457571:J457636 WVR392035:WVR392100 WLV392035:WLV392100 WBZ392035:WBZ392100 VSD392035:VSD392100 VIH392035:VIH392100 UYL392035:UYL392100 UOP392035:UOP392100 UET392035:UET392100 TUX392035:TUX392100 TLB392035:TLB392100 TBF392035:TBF392100 SRJ392035:SRJ392100 SHN392035:SHN392100 RXR392035:RXR392100 RNV392035:RNV392100 RDZ392035:RDZ392100 QUD392035:QUD392100 QKH392035:QKH392100 QAL392035:QAL392100 PQP392035:PQP392100 PGT392035:PGT392100 OWX392035:OWX392100 ONB392035:ONB392100 ODF392035:ODF392100 NTJ392035:NTJ392100 NJN392035:NJN392100 MZR392035:MZR392100 MPV392035:MPV392100 MFZ392035:MFZ392100 LWD392035:LWD392100 LMH392035:LMH392100 LCL392035:LCL392100 KSP392035:KSP392100 KIT392035:KIT392100 JYX392035:JYX392100 JPB392035:JPB392100 JFF392035:JFF392100 IVJ392035:IVJ392100 ILN392035:ILN392100 IBR392035:IBR392100 HRV392035:HRV392100 HHZ392035:HHZ392100 GYD392035:GYD392100 GOH392035:GOH392100 GEL392035:GEL392100 FUP392035:FUP392100 FKT392035:FKT392100 FAX392035:FAX392100 ERB392035:ERB392100 EHF392035:EHF392100 DXJ392035:DXJ392100 DNN392035:DNN392100 DDR392035:DDR392100 CTV392035:CTV392100 CJZ392035:CJZ392100 CAD392035:CAD392100 BQH392035:BQH392100 BGL392035:BGL392100 AWP392035:AWP392100 AMT392035:AMT392100 ACX392035:ACX392100 TB392035:TB392100 JF392035:JF392100 J392035:J392100 WVR326499:WVR326564 WLV326499:WLV326564 WBZ326499:WBZ326564 VSD326499:VSD326564 VIH326499:VIH326564 UYL326499:UYL326564 UOP326499:UOP326564 UET326499:UET326564 TUX326499:TUX326564 TLB326499:TLB326564 TBF326499:TBF326564 SRJ326499:SRJ326564 SHN326499:SHN326564 RXR326499:RXR326564 RNV326499:RNV326564 RDZ326499:RDZ326564 QUD326499:QUD326564 QKH326499:QKH326564 QAL326499:QAL326564 PQP326499:PQP326564 PGT326499:PGT326564 OWX326499:OWX326564 ONB326499:ONB326564 ODF326499:ODF326564 NTJ326499:NTJ326564 NJN326499:NJN326564 MZR326499:MZR326564 MPV326499:MPV326564 MFZ326499:MFZ326564 LWD326499:LWD326564 LMH326499:LMH326564 LCL326499:LCL326564 KSP326499:KSP326564 KIT326499:KIT326564 JYX326499:JYX326564 JPB326499:JPB326564 JFF326499:JFF326564 IVJ326499:IVJ326564 ILN326499:ILN326564 IBR326499:IBR326564 HRV326499:HRV326564 HHZ326499:HHZ326564 GYD326499:GYD326564 GOH326499:GOH326564 GEL326499:GEL326564 FUP326499:FUP326564 FKT326499:FKT326564 FAX326499:FAX326564 ERB326499:ERB326564 EHF326499:EHF326564 DXJ326499:DXJ326564 DNN326499:DNN326564 DDR326499:DDR326564 CTV326499:CTV326564 CJZ326499:CJZ326564 CAD326499:CAD326564 BQH326499:BQH326564 BGL326499:BGL326564 AWP326499:AWP326564 AMT326499:AMT326564 ACX326499:ACX326564 TB326499:TB326564 JF326499:JF326564 J326499:J326564 WVR260963:WVR261028 WLV260963:WLV261028 WBZ260963:WBZ261028 VSD260963:VSD261028 VIH260963:VIH261028 UYL260963:UYL261028 UOP260963:UOP261028 UET260963:UET261028 TUX260963:TUX261028 TLB260963:TLB261028 TBF260963:TBF261028 SRJ260963:SRJ261028 SHN260963:SHN261028 RXR260963:RXR261028 RNV260963:RNV261028 RDZ260963:RDZ261028 QUD260963:QUD261028 QKH260963:QKH261028 QAL260963:QAL261028 PQP260963:PQP261028 PGT260963:PGT261028 OWX260963:OWX261028 ONB260963:ONB261028 ODF260963:ODF261028 NTJ260963:NTJ261028 NJN260963:NJN261028 MZR260963:MZR261028 MPV260963:MPV261028 MFZ260963:MFZ261028 LWD260963:LWD261028 LMH260963:LMH261028 LCL260963:LCL261028 KSP260963:KSP261028 KIT260963:KIT261028 JYX260963:JYX261028 JPB260963:JPB261028 JFF260963:JFF261028 IVJ260963:IVJ261028 ILN260963:ILN261028 IBR260963:IBR261028 HRV260963:HRV261028 HHZ260963:HHZ261028 GYD260963:GYD261028 GOH260963:GOH261028 GEL260963:GEL261028 FUP260963:FUP261028 FKT260963:FKT261028 FAX260963:FAX261028 ERB260963:ERB261028 EHF260963:EHF261028 DXJ260963:DXJ261028 DNN260963:DNN261028 DDR260963:DDR261028 CTV260963:CTV261028 CJZ260963:CJZ261028 CAD260963:CAD261028 BQH260963:BQH261028 BGL260963:BGL261028 AWP260963:AWP261028 AMT260963:AMT261028 ACX260963:ACX261028 TB260963:TB261028 JF260963:JF261028 J260963:J261028 WVR195427:WVR195492 WLV195427:WLV195492 WBZ195427:WBZ195492 VSD195427:VSD195492 VIH195427:VIH195492 UYL195427:UYL195492 UOP195427:UOP195492 UET195427:UET195492 TUX195427:TUX195492 TLB195427:TLB195492 TBF195427:TBF195492 SRJ195427:SRJ195492 SHN195427:SHN195492 RXR195427:RXR195492 RNV195427:RNV195492 RDZ195427:RDZ195492 QUD195427:QUD195492 QKH195427:QKH195492 QAL195427:QAL195492 PQP195427:PQP195492 PGT195427:PGT195492 OWX195427:OWX195492 ONB195427:ONB195492 ODF195427:ODF195492 NTJ195427:NTJ195492 NJN195427:NJN195492 MZR195427:MZR195492 MPV195427:MPV195492 MFZ195427:MFZ195492 LWD195427:LWD195492 LMH195427:LMH195492 LCL195427:LCL195492 KSP195427:KSP195492 KIT195427:KIT195492 JYX195427:JYX195492 JPB195427:JPB195492 JFF195427:JFF195492 IVJ195427:IVJ195492 ILN195427:ILN195492 IBR195427:IBR195492 HRV195427:HRV195492 HHZ195427:HHZ195492 GYD195427:GYD195492 GOH195427:GOH195492 GEL195427:GEL195492 FUP195427:FUP195492 FKT195427:FKT195492 FAX195427:FAX195492 ERB195427:ERB195492 EHF195427:EHF195492 DXJ195427:DXJ195492 DNN195427:DNN195492 DDR195427:DDR195492 CTV195427:CTV195492 CJZ195427:CJZ195492 CAD195427:CAD195492 BQH195427:BQH195492 BGL195427:BGL195492 AWP195427:AWP195492 AMT195427:AMT195492 ACX195427:ACX195492 TB195427:TB195492 JF195427:JF195492 J195427:J195492 WVR129891:WVR129956 WLV129891:WLV129956 WBZ129891:WBZ129956 VSD129891:VSD129956 VIH129891:VIH129956 UYL129891:UYL129956 UOP129891:UOP129956 UET129891:UET129956 TUX129891:TUX129956 TLB129891:TLB129956 TBF129891:TBF129956 SRJ129891:SRJ129956 SHN129891:SHN129956 RXR129891:RXR129956 RNV129891:RNV129956 RDZ129891:RDZ129956 QUD129891:QUD129956 QKH129891:QKH129956 QAL129891:QAL129956 PQP129891:PQP129956 PGT129891:PGT129956 OWX129891:OWX129956 ONB129891:ONB129956 ODF129891:ODF129956 NTJ129891:NTJ129956 NJN129891:NJN129956 MZR129891:MZR129956 MPV129891:MPV129956 MFZ129891:MFZ129956 LWD129891:LWD129956 LMH129891:LMH129956 LCL129891:LCL129956 KSP129891:KSP129956 KIT129891:KIT129956 JYX129891:JYX129956 JPB129891:JPB129956 JFF129891:JFF129956 IVJ129891:IVJ129956 ILN129891:ILN129956 IBR129891:IBR129956 HRV129891:HRV129956 HHZ129891:HHZ129956 GYD129891:GYD129956 GOH129891:GOH129956 GEL129891:GEL129956 FUP129891:FUP129956 FKT129891:FKT129956 FAX129891:FAX129956 ERB129891:ERB129956 EHF129891:EHF129956 DXJ129891:DXJ129956 DNN129891:DNN129956 DDR129891:DDR129956 CTV129891:CTV129956 CJZ129891:CJZ129956 CAD129891:CAD129956 BQH129891:BQH129956 BGL129891:BGL129956 AWP129891:AWP129956 AMT129891:AMT129956 ACX129891:ACX129956 TB129891:TB129956 JF129891:JF129956 J129891:J129956 WVR64355:WVR64420 WLV64355:WLV64420 WBZ64355:WBZ64420 VSD64355:VSD64420 VIH64355:VIH64420 UYL64355:UYL64420 UOP64355:UOP64420 UET64355:UET64420 TUX64355:TUX64420 TLB64355:TLB64420 TBF64355:TBF64420 SRJ64355:SRJ64420 SHN64355:SHN64420 RXR64355:RXR64420 RNV64355:RNV64420 RDZ64355:RDZ64420 QUD64355:QUD64420 QKH64355:QKH64420 QAL64355:QAL64420 PQP64355:PQP64420 PGT64355:PGT64420 OWX64355:OWX64420 ONB64355:ONB64420 ODF64355:ODF64420 NTJ64355:NTJ64420 NJN64355:NJN64420 MZR64355:MZR64420 MPV64355:MPV64420 MFZ64355:MFZ64420 LWD64355:LWD64420 LMH64355:LMH64420 LCL64355:LCL64420 KSP64355:KSP64420 KIT64355:KIT64420 JYX64355:JYX64420 JPB64355:JPB64420 JFF64355:JFF64420 IVJ64355:IVJ64420 ILN64355:ILN64420 IBR64355:IBR64420 HRV64355:HRV64420 HHZ64355:HHZ64420 GYD64355:GYD64420 GOH64355:GOH64420 GEL64355:GEL64420 FUP64355:FUP64420 FKT64355:FKT64420 FAX64355:FAX64420 ERB64355:ERB64420 EHF64355:EHF64420 DXJ64355:DXJ64420 DNN64355:DNN64420 DDR64355:DDR64420 CTV64355:CTV64420 CJZ64355:CJZ64420 CAD64355:CAD64420 BQH64355:BQH64420 BGL64355:BGL64420 AWP64355:AWP64420 AMT64355:AMT64420 ACX64355:ACX64420 TB64355:TB64420 JF64355:JF64420">
      <formula1>$AP$2:$AP$15</formula1>
    </dataValidation>
    <dataValidation type="list" allowBlank="1" showInputMessage="1" showErrorMessage="1" sqref="K64355:K64420 WVS1047395:WVS1047460 WLW1047395:WLW1047460 WCA1047395:WCA1047460 VSE1047395:VSE1047460 VII1047395:VII1047460 UYM1047395:UYM1047460 UOQ1047395:UOQ1047460 UEU1047395:UEU1047460 TUY1047395:TUY1047460 TLC1047395:TLC1047460 TBG1047395:TBG1047460 SRK1047395:SRK1047460 SHO1047395:SHO1047460 RXS1047395:RXS1047460 RNW1047395:RNW1047460 REA1047395:REA1047460 QUE1047395:QUE1047460 QKI1047395:QKI1047460 QAM1047395:QAM1047460 PQQ1047395:PQQ1047460 PGU1047395:PGU1047460 OWY1047395:OWY1047460 ONC1047395:ONC1047460 ODG1047395:ODG1047460 NTK1047395:NTK1047460 NJO1047395:NJO1047460 MZS1047395:MZS1047460 MPW1047395:MPW1047460 MGA1047395:MGA1047460 LWE1047395:LWE1047460 LMI1047395:LMI1047460 LCM1047395:LCM1047460 KSQ1047395:KSQ1047460 KIU1047395:KIU1047460 JYY1047395:JYY1047460 JPC1047395:JPC1047460 JFG1047395:JFG1047460 IVK1047395:IVK1047460 ILO1047395:ILO1047460 IBS1047395:IBS1047460 HRW1047395:HRW1047460 HIA1047395:HIA1047460 GYE1047395:GYE1047460 GOI1047395:GOI1047460 GEM1047395:GEM1047460 FUQ1047395:FUQ1047460 FKU1047395:FKU1047460 FAY1047395:FAY1047460 ERC1047395:ERC1047460 EHG1047395:EHG1047460 DXK1047395:DXK1047460 DNO1047395:DNO1047460 DDS1047395:DDS1047460 CTW1047395:CTW1047460 CKA1047395:CKA1047460 CAE1047395:CAE1047460 BQI1047395:BQI1047460 BGM1047395:BGM1047460 AWQ1047395:AWQ1047460 AMU1047395:AMU1047460 ACY1047395:ACY1047460 TC1047395:TC1047460 JG1047395:JG1047460 K1047395:K1047460 WVS981859:WVS981924 WLW981859:WLW981924 WCA981859:WCA981924 VSE981859:VSE981924 VII981859:VII981924 UYM981859:UYM981924 UOQ981859:UOQ981924 UEU981859:UEU981924 TUY981859:TUY981924 TLC981859:TLC981924 TBG981859:TBG981924 SRK981859:SRK981924 SHO981859:SHO981924 RXS981859:RXS981924 RNW981859:RNW981924 REA981859:REA981924 QUE981859:QUE981924 QKI981859:QKI981924 QAM981859:QAM981924 PQQ981859:PQQ981924 PGU981859:PGU981924 OWY981859:OWY981924 ONC981859:ONC981924 ODG981859:ODG981924 NTK981859:NTK981924 NJO981859:NJO981924 MZS981859:MZS981924 MPW981859:MPW981924 MGA981859:MGA981924 LWE981859:LWE981924 LMI981859:LMI981924 LCM981859:LCM981924 KSQ981859:KSQ981924 KIU981859:KIU981924 JYY981859:JYY981924 JPC981859:JPC981924 JFG981859:JFG981924 IVK981859:IVK981924 ILO981859:ILO981924 IBS981859:IBS981924 HRW981859:HRW981924 HIA981859:HIA981924 GYE981859:GYE981924 GOI981859:GOI981924 GEM981859:GEM981924 FUQ981859:FUQ981924 FKU981859:FKU981924 FAY981859:FAY981924 ERC981859:ERC981924 EHG981859:EHG981924 DXK981859:DXK981924 DNO981859:DNO981924 DDS981859:DDS981924 CTW981859:CTW981924 CKA981859:CKA981924 CAE981859:CAE981924 BQI981859:BQI981924 BGM981859:BGM981924 AWQ981859:AWQ981924 AMU981859:AMU981924 ACY981859:ACY981924 TC981859:TC981924 JG981859:JG981924 K981859:K981924 WVS916323:WVS916388 WLW916323:WLW916388 WCA916323:WCA916388 VSE916323:VSE916388 VII916323:VII916388 UYM916323:UYM916388 UOQ916323:UOQ916388 UEU916323:UEU916388 TUY916323:TUY916388 TLC916323:TLC916388 TBG916323:TBG916388 SRK916323:SRK916388 SHO916323:SHO916388 RXS916323:RXS916388 RNW916323:RNW916388 REA916323:REA916388 QUE916323:QUE916388 QKI916323:QKI916388 QAM916323:QAM916388 PQQ916323:PQQ916388 PGU916323:PGU916388 OWY916323:OWY916388 ONC916323:ONC916388 ODG916323:ODG916388 NTK916323:NTK916388 NJO916323:NJO916388 MZS916323:MZS916388 MPW916323:MPW916388 MGA916323:MGA916388 LWE916323:LWE916388 LMI916323:LMI916388 LCM916323:LCM916388 KSQ916323:KSQ916388 KIU916323:KIU916388 JYY916323:JYY916388 JPC916323:JPC916388 JFG916323:JFG916388 IVK916323:IVK916388 ILO916323:ILO916388 IBS916323:IBS916388 HRW916323:HRW916388 HIA916323:HIA916388 GYE916323:GYE916388 GOI916323:GOI916388 GEM916323:GEM916388 FUQ916323:FUQ916388 FKU916323:FKU916388 FAY916323:FAY916388 ERC916323:ERC916388 EHG916323:EHG916388 DXK916323:DXK916388 DNO916323:DNO916388 DDS916323:DDS916388 CTW916323:CTW916388 CKA916323:CKA916388 CAE916323:CAE916388 BQI916323:BQI916388 BGM916323:BGM916388 AWQ916323:AWQ916388 AMU916323:AMU916388 ACY916323:ACY916388 TC916323:TC916388 JG916323:JG916388 K916323:K916388 WVS850787:WVS850852 WLW850787:WLW850852 WCA850787:WCA850852 VSE850787:VSE850852 VII850787:VII850852 UYM850787:UYM850852 UOQ850787:UOQ850852 UEU850787:UEU850852 TUY850787:TUY850852 TLC850787:TLC850852 TBG850787:TBG850852 SRK850787:SRK850852 SHO850787:SHO850852 RXS850787:RXS850852 RNW850787:RNW850852 REA850787:REA850852 QUE850787:QUE850852 QKI850787:QKI850852 QAM850787:QAM850852 PQQ850787:PQQ850852 PGU850787:PGU850852 OWY850787:OWY850852 ONC850787:ONC850852 ODG850787:ODG850852 NTK850787:NTK850852 NJO850787:NJO850852 MZS850787:MZS850852 MPW850787:MPW850852 MGA850787:MGA850852 LWE850787:LWE850852 LMI850787:LMI850852 LCM850787:LCM850852 KSQ850787:KSQ850852 KIU850787:KIU850852 JYY850787:JYY850852 JPC850787:JPC850852 JFG850787:JFG850852 IVK850787:IVK850852 ILO850787:ILO850852 IBS850787:IBS850852 HRW850787:HRW850852 HIA850787:HIA850852 GYE850787:GYE850852 GOI850787:GOI850852 GEM850787:GEM850852 FUQ850787:FUQ850852 FKU850787:FKU850852 FAY850787:FAY850852 ERC850787:ERC850852 EHG850787:EHG850852 DXK850787:DXK850852 DNO850787:DNO850852 DDS850787:DDS850852 CTW850787:CTW850852 CKA850787:CKA850852 CAE850787:CAE850852 BQI850787:BQI850852 BGM850787:BGM850852 AWQ850787:AWQ850852 AMU850787:AMU850852 ACY850787:ACY850852 TC850787:TC850852 JG850787:JG850852 K850787:K850852 WVS785251:WVS785316 WLW785251:WLW785316 WCA785251:WCA785316 VSE785251:VSE785316 VII785251:VII785316 UYM785251:UYM785316 UOQ785251:UOQ785316 UEU785251:UEU785316 TUY785251:TUY785316 TLC785251:TLC785316 TBG785251:TBG785316 SRK785251:SRK785316 SHO785251:SHO785316 RXS785251:RXS785316 RNW785251:RNW785316 REA785251:REA785316 QUE785251:QUE785316 QKI785251:QKI785316 QAM785251:QAM785316 PQQ785251:PQQ785316 PGU785251:PGU785316 OWY785251:OWY785316 ONC785251:ONC785316 ODG785251:ODG785316 NTK785251:NTK785316 NJO785251:NJO785316 MZS785251:MZS785316 MPW785251:MPW785316 MGA785251:MGA785316 LWE785251:LWE785316 LMI785251:LMI785316 LCM785251:LCM785316 KSQ785251:KSQ785316 KIU785251:KIU785316 JYY785251:JYY785316 JPC785251:JPC785316 JFG785251:JFG785316 IVK785251:IVK785316 ILO785251:ILO785316 IBS785251:IBS785316 HRW785251:HRW785316 HIA785251:HIA785316 GYE785251:GYE785316 GOI785251:GOI785316 GEM785251:GEM785316 FUQ785251:FUQ785316 FKU785251:FKU785316 FAY785251:FAY785316 ERC785251:ERC785316 EHG785251:EHG785316 DXK785251:DXK785316 DNO785251:DNO785316 DDS785251:DDS785316 CTW785251:CTW785316 CKA785251:CKA785316 CAE785251:CAE785316 BQI785251:BQI785316 BGM785251:BGM785316 AWQ785251:AWQ785316 AMU785251:AMU785316 ACY785251:ACY785316 TC785251:TC785316 JG785251:JG785316 K785251:K785316 WVS719715:WVS719780 WLW719715:WLW719780 WCA719715:WCA719780 VSE719715:VSE719780 VII719715:VII719780 UYM719715:UYM719780 UOQ719715:UOQ719780 UEU719715:UEU719780 TUY719715:TUY719780 TLC719715:TLC719780 TBG719715:TBG719780 SRK719715:SRK719780 SHO719715:SHO719780 RXS719715:RXS719780 RNW719715:RNW719780 REA719715:REA719780 QUE719715:QUE719780 QKI719715:QKI719780 QAM719715:QAM719780 PQQ719715:PQQ719780 PGU719715:PGU719780 OWY719715:OWY719780 ONC719715:ONC719780 ODG719715:ODG719780 NTK719715:NTK719780 NJO719715:NJO719780 MZS719715:MZS719780 MPW719715:MPW719780 MGA719715:MGA719780 LWE719715:LWE719780 LMI719715:LMI719780 LCM719715:LCM719780 KSQ719715:KSQ719780 KIU719715:KIU719780 JYY719715:JYY719780 JPC719715:JPC719780 JFG719715:JFG719780 IVK719715:IVK719780 ILO719715:ILO719780 IBS719715:IBS719780 HRW719715:HRW719780 HIA719715:HIA719780 GYE719715:GYE719780 GOI719715:GOI719780 GEM719715:GEM719780 FUQ719715:FUQ719780 FKU719715:FKU719780 FAY719715:FAY719780 ERC719715:ERC719780 EHG719715:EHG719780 DXK719715:DXK719780 DNO719715:DNO719780 DDS719715:DDS719780 CTW719715:CTW719780 CKA719715:CKA719780 CAE719715:CAE719780 BQI719715:BQI719780 BGM719715:BGM719780 AWQ719715:AWQ719780 AMU719715:AMU719780 ACY719715:ACY719780 TC719715:TC719780 JG719715:JG719780 K719715:K719780 WVS654179:WVS654244 WLW654179:WLW654244 WCA654179:WCA654244 VSE654179:VSE654244 VII654179:VII654244 UYM654179:UYM654244 UOQ654179:UOQ654244 UEU654179:UEU654244 TUY654179:TUY654244 TLC654179:TLC654244 TBG654179:TBG654244 SRK654179:SRK654244 SHO654179:SHO654244 RXS654179:RXS654244 RNW654179:RNW654244 REA654179:REA654244 QUE654179:QUE654244 QKI654179:QKI654244 QAM654179:QAM654244 PQQ654179:PQQ654244 PGU654179:PGU654244 OWY654179:OWY654244 ONC654179:ONC654244 ODG654179:ODG654244 NTK654179:NTK654244 NJO654179:NJO654244 MZS654179:MZS654244 MPW654179:MPW654244 MGA654179:MGA654244 LWE654179:LWE654244 LMI654179:LMI654244 LCM654179:LCM654244 KSQ654179:KSQ654244 KIU654179:KIU654244 JYY654179:JYY654244 JPC654179:JPC654244 JFG654179:JFG654244 IVK654179:IVK654244 ILO654179:ILO654244 IBS654179:IBS654244 HRW654179:HRW654244 HIA654179:HIA654244 GYE654179:GYE654244 GOI654179:GOI654244 GEM654179:GEM654244 FUQ654179:FUQ654244 FKU654179:FKU654244 FAY654179:FAY654244 ERC654179:ERC654244 EHG654179:EHG654244 DXK654179:DXK654244 DNO654179:DNO654244 DDS654179:DDS654244 CTW654179:CTW654244 CKA654179:CKA654244 CAE654179:CAE654244 BQI654179:BQI654244 BGM654179:BGM654244 AWQ654179:AWQ654244 AMU654179:AMU654244 ACY654179:ACY654244 TC654179:TC654244 JG654179:JG654244 K654179:K654244 WVS588643:WVS588708 WLW588643:WLW588708 WCA588643:WCA588708 VSE588643:VSE588708 VII588643:VII588708 UYM588643:UYM588708 UOQ588643:UOQ588708 UEU588643:UEU588708 TUY588643:TUY588708 TLC588643:TLC588708 TBG588643:TBG588708 SRK588643:SRK588708 SHO588643:SHO588708 RXS588643:RXS588708 RNW588643:RNW588708 REA588643:REA588708 QUE588643:QUE588708 QKI588643:QKI588708 QAM588643:QAM588708 PQQ588643:PQQ588708 PGU588643:PGU588708 OWY588643:OWY588708 ONC588643:ONC588708 ODG588643:ODG588708 NTK588643:NTK588708 NJO588643:NJO588708 MZS588643:MZS588708 MPW588643:MPW588708 MGA588643:MGA588708 LWE588643:LWE588708 LMI588643:LMI588708 LCM588643:LCM588708 KSQ588643:KSQ588708 KIU588643:KIU588708 JYY588643:JYY588708 JPC588643:JPC588708 JFG588643:JFG588708 IVK588643:IVK588708 ILO588643:ILO588708 IBS588643:IBS588708 HRW588643:HRW588708 HIA588643:HIA588708 GYE588643:GYE588708 GOI588643:GOI588708 GEM588643:GEM588708 FUQ588643:FUQ588708 FKU588643:FKU588708 FAY588643:FAY588708 ERC588643:ERC588708 EHG588643:EHG588708 DXK588643:DXK588708 DNO588643:DNO588708 DDS588643:DDS588708 CTW588643:CTW588708 CKA588643:CKA588708 CAE588643:CAE588708 BQI588643:BQI588708 BGM588643:BGM588708 AWQ588643:AWQ588708 AMU588643:AMU588708 ACY588643:ACY588708 TC588643:TC588708 JG588643:JG588708 K588643:K588708 WVS523107:WVS523172 WLW523107:WLW523172 WCA523107:WCA523172 VSE523107:VSE523172 VII523107:VII523172 UYM523107:UYM523172 UOQ523107:UOQ523172 UEU523107:UEU523172 TUY523107:TUY523172 TLC523107:TLC523172 TBG523107:TBG523172 SRK523107:SRK523172 SHO523107:SHO523172 RXS523107:RXS523172 RNW523107:RNW523172 REA523107:REA523172 QUE523107:QUE523172 QKI523107:QKI523172 QAM523107:QAM523172 PQQ523107:PQQ523172 PGU523107:PGU523172 OWY523107:OWY523172 ONC523107:ONC523172 ODG523107:ODG523172 NTK523107:NTK523172 NJO523107:NJO523172 MZS523107:MZS523172 MPW523107:MPW523172 MGA523107:MGA523172 LWE523107:LWE523172 LMI523107:LMI523172 LCM523107:LCM523172 KSQ523107:KSQ523172 KIU523107:KIU523172 JYY523107:JYY523172 JPC523107:JPC523172 JFG523107:JFG523172 IVK523107:IVK523172 ILO523107:ILO523172 IBS523107:IBS523172 HRW523107:HRW523172 HIA523107:HIA523172 GYE523107:GYE523172 GOI523107:GOI523172 GEM523107:GEM523172 FUQ523107:FUQ523172 FKU523107:FKU523172 FAY523107:FAY523172 ERC523107:ERC523172 EHG523107:EHG523172 DXK523107:DXK523172 DNO523107:DNO523172 DDS523107:DDS523172 CTW523107:CTW523172 CKA523107:CKA523172 CAE523107:CAE523172 BQI523107:BQI523172 BGM523107:BGM523172 AWQ523107:AWQ523172 AMU523107:AMU523172 ACY523107:ACY523172 TC523107:TC523172 JG523107:JG523172 K523107:K523172 WVS457571:WVS457636 WLW457571:WLW457636 WCA457571:WCA457636 VSE457571:VSE457636 VII457571:VII457636 UYM457571:UYM457636 UOQ457571:UOQ457636 UEU457571:UEU457636 TUY457571:TUY457636 TLC457571:TLC457636 TBG457571:TBG457636 SRK457571:SRK457636 SHO457571:SHO457636 RXS457571:RXS457636 RNW457571:RNW457636 REA457571:REA457636 QUE457571:QUE457636 QKI457571:QKI457636 QAM457571:QAM457636 PQQ457571:PQQ457636 PGU457571:PGU457636 OWY457571:OWY457636 ONC457571:ONC457636 ODG457571:ODG457636 NTK457571:NTK457636 NJO457571:NJO457636 MZS457571:MZS457636 MPW457571:MPW457636 MGA457571:MGA457636 LWE457571:LWE457636 LMI457571:LMI457636 LCM457571:LCM457636 KSQ457571:KSQ457636 KIU457571:KIU457636 JYY457571:JYY457636 JPC457571:JPC457636 JFG457571:JFG457636 IVK457571:IVK457636 ILO457571:ILO457636 IBS457571:IBS457636 HRW457571:HRW457636 HIA457571:HIA457636 GYE457571:GYE457636 GOI457571:GOI457636 GEM457571:GEM457636 FUQ457571:FUQ457636 FKU457571:FKU457636 FAY457571:FAY457636 ERC457571:ERC457636 EHG457571:EHG457636 DXK457571:DXK457636 DNO457571:DNO457636 DDS457571:DDS457636 CTW457571:CTW457636 CKA457571:CKA457636 CAE457571:CAE457636 BQI457571:BQI457636 BGM457571:BGM457636 AWQ457571:AWQ457636 AMU457571:AMU457636 ACY457571:ACY457636 TC457571:TC457636 JG457571:JG457636 K457571:K457636 WVS392035:WVS392100 WLW392035:WLW392100 WCA392035:WCA392100 VSE392035:VSE392100 VII392035:VII392100 UYM392035:UYM392100 UOQ392035:UOQ392100 UEU392035:UEU392100 TUY392035:TUY392100 TLC392035:TLC392100 TBG392035:TBG392100 SRK392035:SRK392100 SHO392035:SHO392100 RXS392035:RXS392100 RNW392035:RNW392100 REA392035:REA392100 QUE392035:QUE392100 QKI392035:QKI392100 QAM392035:QAM392100 PQQ392035:PQQ392100 PGU392035:PGU392100 OWY392035:OWY392100 ONC392035:ONC392100 ODG392035:ODG392100 NTK392035:NTK392100 NJO392035:NJO392100 MZS392035:MZS392100 MPW392035:MPW392100 MGA392035:MGA392100 LWE392035:LWE392100 LMI392035:LMI392100 LCM392035:LCM392100 KSQ392035:KSQ392100 KIU392035:KIU392100 JYY392035:JYY392100 JPC392035:JPC392100 JFG392035:JFG392100 IVK392035:IVK392100 ILO392035:ILO392100 IBS392035:IBS392100 HRW392035:HRW392100 HIA392035:HIA392100 GYE392035:GYE392100 GOI392035:GOI392100 GEM392035:GEM392100 FUQ392035:FUQ392100 FKU392035:FKU392100 FAY392035:FAY392100 ERC392035:ERC392100 EHG392035:EHG392100 DXK392035:DXK392100 DNO392035:DNO392100 DDS392035:DDS392100 CTW392035:CTW392100 CKA392035:CKA392100 CAE392035:CAE392100 BQI392035:BQI392100 BGM392035:BGM392100 AWQ392035:AWQ392100 AMU392035:AMU392100 ACY392035:ACY392100 TC392035:TC392100 JG392035:JG392100 K392035:K392100 WVS326499:WVS326564 WLW326499:WLW326564 WCA326499:WCA326564 VSE326499:VSE326564 VII326499:VII326564 UYM326499:UYM326564 UOQ326499:UOQ326564 UEU326499:UEU326564 TUY326499:TUY326564 TLC326499:TLC326564 TBG326499:TBG326564 SRK326499:SRK326564 SHO326499:SHO326564 RXS326499:RXS326564 RNW326499:RNW326564 REA326499:REA326564 QUE326499:QUE326564 QKI326499:QKI326564 QAM326499:QAM326564 PQQ326499:PQQ326564 PGU326499:PGU326564 OWY326499:OWY326564 ONC326499:ONC326564 ODG326499:ODG326564 NTK326499:NTK326564 NJO326499:NJO326564 MZS326499:MZS326564 MPW326499:MPW326564 MGA326499:MGA326564 LWE326499:LWE326564 LMI326499:LMI326564 LCM326499:LCM326564 KSQ326499:KSQ326564 KIU326499:KIU326564 JYY326499:JYY326564 JPC326499:JPC326564 JFG326499:JFG326564 IVK326499:IVK326564 ILO326499:ILO326564 IBS326499:IBS326564 HRW326499:HRW326564 HIA326499:HIA326564 GYE326499:GYE326564 GOI326499:GOI326564 GEM326499:GEM326564 FUQ326499:FUQ326564 FKU326499:FKU326564 FAY326499:FAY326564 ERC326499:ERC326564 EHG326499:EHG326564 DXK326499:DXK326564 DNO326499:DNO326564 DDS326499:DDS326564 CTW326499:CTW326564 CKA326499:CKA326564 CAE326499:CAE326564 BQI326499:BQI326564 BGM326499:BGM326564 AWQ326499:AWQ326564 AMU326499:AMU326564 ACY326499:ACY326564 TC326499:TC326564 JG326499:JG326564 K326499:K326564 WVS260963:WVS261028 WLW260963:WLW261028 WCA260963:WCA261028 VSE260963:VSE261028 VII260963:VII261028 UYM260963:UYM261028 UOQ260963:UOQ261028 UEU260963:UEU261028 TUY260963:TUY261028 TLC260963:TLC261028 TBG260963:TBG261028 SRK260963:SRK261028 SHO260963:SHO261028 RXS260963:RXS261028 RNW260963:RNW261028 REA260963:REA261028 QUE260963:QUE261028 QKI260963:QKI261028 QAM260963:QAM261028 PQQ260963:PQQ261028 PGU260963:PGU261028 OWY260963:OWY261028 ONC260963:ONC261028 ODG260963:ODG261028 NTK260963:NTK261028 NJO260963:NJO261028 MZS260963:MZS261028 MPW260963:MPW261028 MGA260963:MGA261028 LWE260963:LWE261028 LMI260963:LMI261028 LCM260963:LCM261028 KSQ260963:KSQ261028 KIU260963:KIU261028 JYY260963:JYY261028 JPC260963:JPC261028 JFG260963:JFG261028 IVK260963:IVK261028 ILO260963:ILO261028 IBS260963:IBS261028 HRW260963:HRW261028 HIA260963:HIA261028 GYE260963:GYE261028 GOI260963:GOI261028 GEM260963:GEM261028 FUQ260963:FUQ261028 FKU260963:FKU261028 FAY260963:FAY261028 ERC260963:ERC261028 EHG260963:EHG261028 DXK260963:DXK261028 DNO260963:DNO261028 DDS260963:DDS261028 CTW260963:CTW261028 CKA260963:CKA261028 CAE260963:CAE261028 BQI260963:BQI261028 BGM260963:BGM261028 AWQ260963:AWQ261028 AMU260963:AMU261028 ACY260963:ACY261028 TC260963:TC261028 JG260963:JG261028 K260963:K261028 WVS195427:WVS195492 WLW195427:WLW195492 WCA195427:WCA195492 VSE195427:VSE195492 VII195427:VII195492 UYM195427:UYM195492 UOQ195427:UOQ195492 UEU195427:UEU195492 TUY195427:TUY195492 TLC195427:TLC195492 TBG195427:TBG195492 SRK195427:SRK195492 SHO195427:SHO195492 RXS195427:RXS195492 RNW195427:RNW195492 REA195427:REA195492 QUE195427:QUE195492 QKI195427:QKI195492 QAM195427:QAM195492 PQQ195427:PQQ195492 PGU195427:PGU195492 OWY195427:OWY195492 ONC195427:ONC195492 ODG195427:ODG195492 NTK195427:NTK195492 NJO195427:NJO195492 MZS195427:MZS195492 MPW195427:MPW195492 MGA195427:MGA195492 LWE195427:LWE195492 LMI195427:LMI195492 LCM195427:LCM195492 KSQ195427:KSQ195492 KIU195427:KIU195492 JYY195427:JYY195492 JPC195427:JPC195492 JFG195427:JFG195492 IVK195427:IVK195492 ILO195427:ILO195492 IBS195427:IBS195492 HRW195427:HRW195492 HIA195427:HIA195492 GYE195427:GYE195492 GOI195427:GOI195492 GEM195427:GEM195492 FUQ195427:FUQ195492 FKU195427:FKU195492 FAY195427:FAY195492 ERC195427:ERC195492 EHG195427:EHG195492 DXK195427:DXK195492 DNO195427:DNO195492 DDS195427:DDS195492 CTW195427:CTW195492 CKA195427:CKA195492 CAE195427:CAE195492 BQI195427:BQI195492 BGM195427:BGM195492 AWQ195427:AWQ195492 AMU195427:AMU195492 ACY195427:ACY195492 TC195427:TC195492 JG195427:JG195492 K195427:K195492 WVS129891:WVS129956 WLW129891:WLW129956 WCA129891:WCA129956 VSE129891:VSE129956 VII129891:VII129956 UYM129891:UYM129956 UOQ129891:UOQ129956 UEU129891:UEU129956 TUY129891:TUY129956 TLC129891:TLC129956 TBG129891:TBG129956 SRK129891:SRK129956 SHO129891:SHO129956 RXS129891:RXS129956 RNW129891:RNW129956 REA129891:REA129956 QUE129891:QUE129956 QKI129891:QKI129956 QAM129891:QAM129956 PQQ129891:PQQ129956 PGU129891:PGU129956 OWY129891:OWY129956 ONC129891:ONC129956 ODG129891:ODG129956 NTK129891:NTK129956 NJO129891:NJO129956 MZS129891:MZS129956 MPW129891:MPW129956 MGA129891:MGA129956 LWE129891:LWE129956 LMI129891:LMI129956 LCM129891:LCM129956 KSQ129891:KSQ129956 KIU129891:KIU129956 JYY129891:JYY129956 JPC129891:JPC129956 JFG129891:JFG129956 IVK129891:IVK129956 ILO129891:ILO129956 IBS129891:IBS129956 HRW129891:HRW129956 HIA129891:HIA129956 GYE129891:GYE129956 GOI129891:GOI129956 GEM129891:GEM129956 FUQ129891:FUQ129956 FKU129891:FKU129956 FAY129891:FAY129956 ERC129891:ERC129956 EHG129891:EHG129956 DXK129891:DXK129956 DNO129891:DNO129956 DDS129891:DDS129956 CTW129891:CTW129956 CKA129891:CKA129956 CAE129891:CAE129956 BQI129891:BQI129956 BGM129891:BGM129956 AWQ129891:AWQ129956 AMU129891:AMU129956 ACY129891:ACY129956 TC129891:TC129956 JG129891:JG129956 K129891:K129956 WVS64355:WVS64420 WLW64355:WLW64420 WCA64355:WCA64420 VSE64355:VSE64420 VII64355:VII64420 UYM64355:UYM64420 UOQ64355:UOQ64420 UEU64355:UEU64420 TUY64355:TUY64420 TLC64355:TLC64420 TBG64355:TBG64420 SRK64355:SRK64420 SHO64355:SHO64420 RXS64355:RXS64420 RNW64355:RNW64420 REA64355:REA64420 QUE64355:QUE64420 QKI64355:QKI64420 QAM64355:QAM64420 PQQ64355:PQQ64420 PGU64355:PGU64420 OWY64355:OWY64420 ONC64355:ONC64420 ODG64355:ODG64420 NTK64355:NTK64420 NJO64355:NJO64420 MZS64355:MZS64420 MPW64355:MPW64420 MGA64355:MGA64420 LWE64355:LWE64420 LMI64355:LMI64420 LCM64355:LCM64420 KSQ64355:KSQ64420 KIU64355:KIU64420 JYY64355:JYY64420 JPC64355:JPC64420 JFG64355:JFG64420 IVK64355:IVK64420 ILO64355:ILO64420 IBS64355:IBS64420 HRW64355:HRW64420 HIA64355:HIA64420 GYE64355:GYE64420 GOI64355:GOI64420 GEM64355:GEM64420 FUQ64355:FUQ64420 FKU64355:FKU64420 FAY64355:FAY64420 ERC64355:ERC64420 EHG64355:EHG64420 DXK64355:DXK64420 DNO64355:DNO64420 DDS64355:DDS64420 CTW64355:CTW64420 CKA64355:CKA64420 CAE64355:CAE64420 BQI64355:BQI64420 BGM64355:BGM64420 AWQ64355:AWQ64420 AMU64355:AMU64420 ACY64355:ACY64420 TC64355:TC64420 JG64355:JG64420">
      <formula1>$AR$2:$AR$24</formula1>
    </dataValidation>
    <dataValidation type="list" allowBlank="1" showInputMessage="1" showErrorMessage="1" sqref="Y64355:AA64420 TQ2:TS61 ADM2:ADO61 ANI2:ANK61 AXE2:AXG61 BHA2:BHC61 BQW2:BQY61 CAS2:CAU61 CKO2:CKQ61 CUK2:CUM61 DEG2:DEI61 DOC2:DOE61 DXY2:DYA61 EHU2:EHW61 ERQ2:ERS61 FBM2:FBO61 FLI2:FLK61 FVE2:FVG61 GFA2:GFC61 GOW2:GOY61 GYS2:GYU61 HIO2:HIQ61 HSK2:HSM61 ICG2:ICI61 IMC2:IME61 IVY2:IWA61 JFU2:JFW61 JPQ2:JPS61 JZM2:JZO61 KJI2:KJK61 KTE2:KTG61 LDA2:LDC61 LMW2:LMY61 LWS2:LWU61 MGO2:MGQ61 MQK2:MQM61 NAG2:NAI61 NKC2:NKE61 NTY2:NUA61 ODU2:ODW61 ONQ2:ONS61 OXM2:OXO61 PHI2:PHK61 PRE2:PRG61 QBA2:QBC61 QKW2:QKY61 QUS2:QUU61 REO2:REQ61 ROK2:ROM61 RYG2:RYI61 SIC2:SIE61 SRY2:SSA61 TBU2:TBW61 TLQ2:TLS61 TVM2:TVO61 UFI2:UFK61 UPE2:UPG61 UZA2:UZC61 VIW2:VIY61 VSS2:VSU61 WCO2:WCQ61 WMK2:WMM61 WWG2:WWI61 JU64355:JW64420 WMK983034:WMM983099 WCO983034:WCQ983099 VSS983034:VSU983099 VIW983034:VIY983099 UZA983034:UZC983099 UPE983034:UPG983099 UFI983034:UFK983099 TVM983034:TVO983099 TLQ983034:TLS983099 TBU983034:TBW983099 SRY983034:SSA983099 SIC983034:SIE983099 RYG983034:RYI983099 ROK983034:ROM983099 REO983034:REQ983099 QUS983034:QUU983099 QKW983034:QKY983099 QBA983034:QBC983099 PRE983034:PRG983099 PHI983034:PHK983099 OXM983034:OXO983099 ONQ983034:ONS983099 ODU983034:ODW983099 NTY983034:NUA983099 NKC983034:NKE983099 NAG983034:NAI983099 MQK983034:MQM983099 MGO983034:MGQ983099 LWS983034:LWU983099 LMW983034:LMY983099 LDA983034:LDC983099 KTE983034:KTG983099 KJI983034:KJK983099 JZM983034:JZO983099 JPQ983034:JPS983099 JFU983034:JFW983099 IVY983034:IWA983099 IMC983034:IME983099 ICG983034:ICI983099 HSK983034:HSM983099 HIO983034:HIQ983099 GYS983034:GYU983099 GOW983034:GOY983099 GFA983034:GFC983099 FVE983034:FVG983099 FLI983034:FLK983099 FBM983034:FBO983099 ERQ983034:ERS983099 EHU983034:EHW983099 DXY983034:DYA983099 DOC983034:DOE983099 DEG983034:DEI983099 CUK983034:CUM983099 CKO983034:CKQ983099 CAS983034:CAU983099 BQW983034:BQY983099 BHA983034:BHC983099 AXE983034:AXG983099 ANI983034:ANK983099 ADM983034:ADO983099 TQ983034:TS983099 JU983034:JW983099 Y983034:AA983099 WWG917498:WWI917563 WMK917498:WMM917563 WCO917498:WCQ917563 VSS917498:VSU917563 VIW917498:VIY917563 UZA917498:UZC917563 UPE917498:UPG917563 UFI917498:UFK917563 TVM917498:TVO917563 TLQ917498:TLS917563 TBU917498:TBW917563 SRY917498:SSA917563 SIC917498:SIE917563 RYG917498:RYI917563 ROK917498:ROM917563 REO917498:REQ917563 QUS917498:QUU917563 QKW917498:QKY917563 QBA917498:QBC917563 PRE917498:PRG917563 PHI917498:PHK917563 OXM917498:OXO917563 ONQ917498:ONS917563 ODU917498:ODW917563 NTY917498:NUA917563 NKC917498:NKE917563 NAG917498:NAI917563 MQK917498:MQM917563 MGO917498:MGQ917563 LWS917498:LWU917563 LMW917498:LMY917563 LDA917498:LDC917563 KTE917498:KTG917563 KJI917498:KJK917563 JZM917498:JZO917563 JPQ917498:JPS917563 JFU917498:JFW917563 IVY917498:IWA917563 IMC917498:IME917563 ICG917498:ICI917563 HSK917498:HSM917563 HIO917498:HIQ917563 GYS917498:GYU917563 GOW917498:GOY917563 GFA917498:GFC917563 FVE917498:FVG917563 FLI917498:FLK917563 FBM917498:FBO917563 ERQ917498:ERS917563 EHU917498:EHW917563 DXY917498:DYA917563 DOC917498:DOE917563 DEG917498:DEI917563 CUK917498:CUM917563 CKO917498:CKQ917563 CAS917498:CAU917563 BQW917498:BQY917563 BHA917498:BHC917563 AXE917498:AXG917563 ANI917498:ANK917563 ADM917498:ADO917563 TQ917498:TS917563 JU917498:JW917563 Y917498:AA917563 WWG851962:WWI852027 WMK851962:WMM852027 WCO851962:WCQ852027 VSS851962:VSU852027 VIW851962:VIY852027 UZA851962:UZC852027 UPE851962:UPG852027 UFI851962:UFK852027 TVM851962:TVO852027 TLQ851962:TLS852027 TBU851962:TBW852027 SRY851962:SSA852027 SIC851962:SIE852027 RYG851962:RYI852027 ROK851962:ROM852027 REO851962:REQ852027 QUS851962:QUU852027 QKW851962:QKY852027 QBA851962:QBC852027 PRE851962:PRG852027 PHI851962:PHK852027 OXM851962:OXO852027 ONQ851962:ONS852027 ODU851962:ODW852027 NTY851962:NUA852027 NKC851962:NKE852027 NAG851962:NAI852027 MQK851962:MQM852027 MGO851962:MGQ852027 LWS851962:LWU852027 LMW851962:LMY852027 LDA851962:LDC852027 KTE851962:KTG852027 KJI851962:KJK852027 JZM851962:JZO852027 JPQ851962:JPS852027 JFU851962:JFW852027 IVY851962:IWA852027 IMC851962:IME852027 ICG851962:ICI852027 HSK851962:HSM852027 HIO851962:HIQ852027 GYS851962:GYU852027 GOW851962:GOY852027 GFA851962:GFC852027 FVE851962:FVG852027 FLI851962:FLK852027 FBM851962:FBO852027 ERQ851962:ERS852027 EHU851962:EHW852027 DXY851962:DYA852027 DOC851962:DOE852027 DEG851962:DEI852027 CUK851962:CUM852027 CKO851962:CKQ852027 CAS851962:CAU852027 BQW851962:BQY852027 BHA851962:BHC852027 AXE851962:AXG852027 ANI851962:ANK852027 ADM851962:ADO852027 TQ851962:TS852027 JU851962:JW852027 Y851962:AA852027 WWG786426:WWI786491 WMK786426:WMM786491 WCO786426:WCQ786491 VSS786426:VSU786491 VIW786426:VIY786491 UZA786426:UZC786491 UPE786426:UPG786491 UFI786426:UFK786491 TVM786426:TVO786491 TLQ786426:TLS786491 TBU786426:TBW786491 SRY786426:SSA786491 SIC786426:SIE786491 RYG786426:RYI786491 ROK786426:ROM786491 REO786426:REQ786491 QUS786426:QUU786491 QKW786426:QKY786491 QBA786426:QBC786491 PRE786426:PRG786491 PHI786426:PHK786491 OXM786426:OXO786491 ONQ786426:ONS786491 ODU786426:ODW786491 NTY786426:NUA786491 NKC786426:NKE786491 NAG786426:NAI786491 MQK786426:MQM786491 MGO786426:MGQ786491 LWS786426:LWU786491 LMW786426:LMY786491 LDA786426:LDC786491 KTE786426:KTG786491 KJI786426:KJK786491 JZM786426:JZO786491 JPQ786426:JPS786491 JFU786426:JFW786491 IVY786426:IWA786491 IMC786426:IME786491 ICG786426:ICI786491 HSK786426:HSM786491 HIO786426:HIQ786491 GYS786426:GYU786491 GOW786426:GOY786491 GFA786426:GFC786491 FVE786426:FVG786491 FLI786426:FLK786491 FBM786426:FBO786491 ERQ786426:ERS786491 EHU786426:EHW786491 DXY786426:DYA786491 DOC786426:DOE786491 DEG786426:DEI786491 CUK786426:CUM786491 CKO786426:CKQ786491 CAS786426:CAU786491 BQW786426:BQY786491 BHA786426:BHC786491 AXE786426:AXG786491 ANI786426:ANK786491 ADM786426:ADO786491 TQ786426:TS786491 JU786426:JW786491 Y786426:AA786491 WWG720890:WWI720955 WMK720890:WMM720955 WCO720890:WCQ720955 VSS720890:VSU720955 VIW720890:VIY720955 UZA720890:UZC720955 UPE720890:UPG720955 UFI720890:UFK720955 TVM720890:TVO720955 TLQ720890:TLS720955 TBU720890:TBW720955 SRY720890:SSA720955 SIC720890:SIE720955 RYG720890:RYI720955 ROK720890:ROM720955 REO720890:REQ720955 QUS720890:QUU720955 QKW720890:QKY720955 QBA720890:QBC720955 PRE720890:PRG720955 PHI720890:PHK720955 OXM720890:OXO720955 ONQ720890:ONS720955 ODU720890:ODW720955 NTY720890:NUA720955 NKC720890:NKE720955 NAG720890:NAI720955 MQK720890:MQM720955 MGO720890:MGQ720955 LWS720890:LWU720955 LMW720890:LMY720955 LDA720890:LDC720955 KTE720890:KTG720955 KJI720890:KJK720955 JZM720890:JZO720955 JPQ720890:JPS720955 JFU720890:JFW720955 IVY720890:IWA720955 IMC720890:IME720955 ICG720890:ICI720955 HSK720890:HSM720955 HIO720890:HIQ720955 GYS720890:GYU720955 GOW720890:GOY720955 GFA720890:GFC720955 FVE720890:FVG720955 FLI720890:FLK720955 FBM720890:FBO720955 ERQ720890:ERS720955 EHU720890:EHW720955 DXY720890:DYA720955 DOC720890:DOE720955 DEG720890:DEI720955 CUK720890:CUM720955 CKO720890:CKQ720955 CAS720890:CAU720955 BQW720890:BQY720955 BHA720890:BHC720955 AXE720890:AXG720955 ANI720890:ANK720955 ADM720890:ADO720955 TQ720890:TS720955 JU720890:JW720955 Y720890:AA720955 WWG655354:WWI655419 WMK655354:WMM655419 WCO655354:WCQ655419 VSS655354:VSU655419 VIW655354:VIY655419 UZA655354:UZC655419 UPE655354:UPG655419 UFI655354:UFK655419 TVM655354:TVO655419 TLQ655354:TLS655419 TBU655354:TBW655419 SRY655354:SSA655419 SIC655354:SIE655419 RYG655354:RYI655419 ROK655354:ROM655419 REO655354:REQ655419 QUS655354:QUU655419 QKW655354:QKY655419 QBA655354:QBC655419 PRE655354:PRG655419 PHI655354:PHK655419 OXM655354:OXO655419 ONQ655354:ONS655419 ODU655354:ODW655419 NTY655354:NUA655419 NKC655354:NKE655419 NAG655354:NAI655419 MQK655354:MQM655419 MGO655354:MGQ655419 LWS655354:LWU655419 LMW655354:LMY655419 LDA655354:LDC655419 KTE655354:KTG655419 KJI655354:KJK655419 JZM655354:JZO655419 JPQ655354:JPS655419 JFU655354:JFW655419 IVY655354:IWA655419 IMC655354:IME655419 ICG655354:ICI655419 HSK655354:HSM655419 HIO655354:HIQ655419 GYS655354:GYU655419 GOW655354:GOY655419 GFA655354:GFC655419 FVE655354:FVG655419 FLI655354:FLK655419 FBM655354:FBO655419 ERQ655354:ERS655419 EHU655354:EHW655419 DXY655354:DYA655419 DOC655354:DOE655419 DEG655354:DEI655419 CUK655354:CUM655419 CKO655354:CKQ655419 CAS655354:CAU655419 BQW655354:BQY655419 BHA655354:BHC655419 AXE655354:AXG655419 ANI655354:ANK655419 ADM655354:ADO655419 TQ655354:TS655419 JU655354:JW655419 Y655354:AA655419 WWG589818:WWI589883 WMK589818:WMM589883 WCO589818:WCQ589883 VSS589818:VSU589883 VIW589818:VIY589883 UZA589818:UZC589883 UPE589818:UPG589883 UFI589818:UFK589883 TVM589818:TVO589883 TLQ589818:TLS589883 TBU589818:TBW589883 SRY589818:SSA589883 SIC589818:SIE589883 RYG589818:RYI589883 ROK589818:ROM589883 REO589818:REQ589883 QUS589818:QUU589883 QKW589818:QKY589883 QBA589818:QBC589883 PRE589818:PRG589883 PHI589818:PHK589883 OXM589818:OXO589883 ONQ589818:ONS589883 ODU589818:ODW589883 NTY589818:NUA589883 NKC589818:NKE589883 NAG589818:NAI589883 MQK589818:MQM589883 MGO589818:MGQ589883 LWS589818:LWU589883 LMW589818:LMY589883 LDA589818:LDC589883 KTE589818:KTG589883 KJI589818:KJK589883 JZM589818:JZO589883 JPQ589818:JPS589883 JFU589818:JFW589883 IVY589818:IWA589883 IMC589818:IME589883 ICG589818:ICI589883 HSK589818:HSM589883 HIO589818:HIQ589883 GYS589818:GYU589883 GOW589818:GOY589883 GFA589818:GFC589883 FVE589818:FVG589883 FLI589818:FLK589883 FBM589818:FBO589883 ERQ589818:ERS589883 EHU589818:EHW589883 DXY589818:DYA589883 DOC589818:DOE589883 DEG589818:DEI589883 CUK589818:CUM589883 CKO589818:CKQ589883 CAS589818:CAU589883 BQW589818:BQY589883 BHA589818:BHC589883 AXE589818:AXG589883 ANI589818:ANK589883 ADM589818:ADO589883 TQ589818:TS589883 JU589818:JW589883 Y589818:AA589883 WWG524282:WWI524347 WMK524282:WMM524347 WCO524282:WCQ524347 VSS524282:VSU524347 VIW524282:VIY524347 UZA524282:UZC524347 UPE524282:UPG524347 UFI524282:UFK524347 TVM524282:TVO524347 TLQ524282:TLS524347 TBU524282:TBW524347 SRY524282:SSA524347 SIC524282:SIE524347 RYG524282:RYI524347 ROK524282:ROM524347 REO524282:REQ524347 QUS524282:QUU524347 QKW524282:QKY524347 QBA524282:QBC524347 PRE524282:PRG524347 PHI524282:PHK524347 OXM524282:OXO524347 ONQ524282:ONS524347 ODU524282:ODW524347 NTY524282:NUA524347 NKC524282:NKE524347 NAG524282:NAI524347 MQK524282:MQM524347 MGO524282:MGQ524347 LWS524282:LWU524347 LMW524282:LMY524347 LDA524282:LDC524347 KTE524282:KTG524347 KJI524282:KJK524347 JZM524282:JZO524347 JPQ524282:JPS524347 JFU524282:JFW524347 IVY524282:IWA524347 IMC524282:IME524347 ICG524282:ICI524347 HSK524282:HSM524347 HIO524282:HIQ524347 GYS524282:GYU524347 GOW524282:GOY524347 GFA524282:GFC524347 FVE524282:FVG524347 FLI524282:FLK524347 FBM524282:FBO524347 ERQ524282:ERS524347 EHU524282:EHW524347 DXY524282:DYA524347 DOC524282:DOE524347 DEG524282:DEI524347 CUK524282:CUM524347 CKO524282:CKQ524347 CAS524282:CAU524347 BQW524282:BQY524347 BHA524282:BHC524347 AXE524282:AXG524347 ANI524282:ANK524347 ADM524282:ADO524347 TQ524282:TS524347 JU524282:JW524347 Y524282:AA524347 WWG458746:WWI458811 WMK458746:WMM458811 WCO458746:WCQ458811 VSS458746:VSU458811 VIW458746:VIY458811 UZA458746:UZC458811 UPE458746:UPG458811 UFI458746:UFK458811 TVM458746:TVO458811 TLQ458746:TLS458811 TBU458746:TBW458811 SRY458746:SSA458811 SIC458746:SIE458811 RYG458746:RYI458811 ROK458746:ROM458811 REO458746:REQ458811 QUS458746:QUU458811 QKW458746:QKY458811 QBA458746:QBC458811 PRE458746:PRG458811 PHI458746:PHK458811 OXM458746:OXO458811 ONQ458746:ONS458811 ODU458746:ODW458811 NTY458746:NUA458811 NKC458746:NKE458811 NAG458746:NAI458811 MQK458746:MQM458811 MGO458746:MGQ458811 LWS458746:LWU458811 LMW458746:LMY458811 LDA458746:LDC458811 KTE458746:KTG458811 KJI458746:KJK458811 JZM458746:JZO458811 JPQ458746:JPS458811 JFU458746:JFW458811 IVY458746:IWA458811 IMC458746:IME458811 ICG458746:ICI458811 HSK458746:HSM458811 HIO458746:HIQ458811 GYS458746:GYU458811 GOW458746:GOY458811 GFA458746:GFC458811 FVE458746:FVG458811 FLI458746:FLK458811 FBM458746:FBO458811 ERQ458746:ERS458811 EHU458746:EHW458811 DXY458746:DYA458811 DOC458746:DOE458811 DEG458746:DEI458811 CUK458746:CUM458811 CKO458746:CKQ458811 CAS458746:CAU458811 BQW458746:BQY458811 BHA458746:BHC458811 AXE458746:AXG458811 ANI458746:ANK458811 ADM458746:ADO458811 TQ458746:TS458811 JU458746:JW458811 Y458746:AA458811 WWG393210:WWI393275 WMK393210:WMM393275 WCO393210:WCQ393275 VSS393210:VSU393275 VIW393210:VIY393275 UZA393210:UZC393275 UPE393210:UPG393275 UFI393210:UFK393275 TVM393210:TVO393275 TLQ393210:TLS393275 TBU393210:TBW393275 SRY393210:SSA393275 SIC393210:SIE393275 RYG393210:RYI393275 ROK393210:ROM393275 REO393210:REQ393275 QUS393210:QUU393275 QKW393210:QKY393275 QBA393210:QBC393275 PRE393210:PRG393275 PHI393210:PHK393275 OXM393210:OXO393275 ONQ393210:ONS393275 ODU393210:ODW393275 NTY393210:NUA393275 NKC393210:NKE393275 NAG393210:NAI393275 MQK393210:MQM393275 MGO393210:MGQ393275 LWS393210:LWU393275 LMW393210:LMY393275 LDA393210:LDC393275 KTE393210:KTG393275 KJI393210:KJK393275 JZM393210:JZO393275 JPQ393210:JPS393275 JFU393210:JFW393275 IVY393210:IWA393275 IMC393210:IME393275 ICG393210:ICI393275 HSK393210:HSM393275 HIO393210:HIQ393275 GYS393210:GYU393275 GOW393210:GOY393275 GFA393210:GFC393275 FVE393210:FVG393275 FLI393210:FLK393275 FBM393210:FBO393275 ERQ393210:ERS393275 EHU393210:EHW393275 DXY393210:DYA393275 DOC393210:DOE393275 DEG393210:DEI393275 CUK393210:CUM393275 CKO393210:CKQ393275 CAS393210:CAU393275 BQW393210:BQY393275 BHA393210:BHC393275 AXE393210:AXG393275 ANI393210:ANK393275 ADM393210:ADO393275 TQ393210:TS393275 JU393210:JW393275 Y393210:AA393275 WWG327674:WWI327739 WMK327674:WMM327739 WCO327674:WCQ327739 VSS327674:VSU327739 VIW327674:VIY327739 UZA327674:UZC327739 UPE327674:UPG327739 UFI327674:UFK327739 TVM327674:TVO327739 TLQ327674:TLS327739 TBU327674:TBW327739 SRY327674:SSA327739 SIC327674:SIE327739 RYG327674:RYI327739 ROK327674:ROM327739 REO327674:REQ327739 QUS327674:QUU327739 QKW327674:QKY327739 QBA327674:QBC327739 PRE327674:PRG327739 PHI327674:PHK327739 OXM327674:OXO327739 ONQ327674:ONS327739 ODU327674:ODW327739 NTY327674:NUA327739 NKC327674:NKE327739 NAG327674:NAI327739 MQK327674:MQM327739 MGO327674:MGQ327739 LWS327674:LWU327739 LMW327674:LMY327739 LDA327674:LDC327739 KTE327674:KTG327739 KJI327674:KJK327739 JZM327674:JZO327739 JPQ327674:JPS327739 JFU327674:JFW327739 IVY327674:IWA327739 IMC327674:IME327739 ICG327674:ICI327739 HSK327674:HSM327739 HIO327674:HIQ327739 GYS327674:GYU327739 GOW327674:GOY327739 GFA327674:GFC327739 FVE327674:FVG327739 FLI327674:FLK327739 FBM327674:FBO327739 ERQ327674:ERS327739 EHU327674:EHW327739 DXY327674:DYA327739 DOC327674:DOE327739 DEG327674:DEI327739 CUK327674:CUM327739 CKO327674:CKQ327739 CAS327674:CAU327739 BQW327674:BQY327739 BHA327674:BHC327739 AXE327674:AXG327739 ANI327674:ANK327739 ADM327674:ADO327739 TQ327674:TS327739 JU327674:JW327739 Y327674:AA327739 WWG262138:WWI262203 WMK262138:WMM262203 WCO262138:WCQ262203 VSS262138:VSU262203 VIW262138:VIY262203 UZA262138:UZC262203 UPE262138:UPG262203 UFI262138:UFK262203 TVM262138:TVO262203 TLQ262138:TLS262203 TBU262138:TBW262203 SRY262138:SSA262203 SIC262138:SIE262203 RYG262138:RYI262203 ROK262138:ROM262203 REO262138:REQ262203 QUS262138:QUU262203 QKW262138:QKY262203 QBA262138:QBC262203 PRE262138:PRG262203 PHI262138:PHK262203 OXM262138:OXO262203 ONQ262138:ONS262203 ODU262138:ODW262203 NTY262138:NUA262203 NKC262138:NKE262203 NAG262138:NAI262203 MQK262138:MQM262203 MGO262138:MGQ262203 LWS262138:LWU262203 LMW262138:LMY262203 LDA262138:LDC262203 KTE262138:KTG262203 KJI262138:KJK262203 JZM262138:JZO262203 JPQ262138:JPS262203 JFU262138:JFW262203 IVY262138:IWA262203 IMC262138:IME262203 ICG262138:ICI262203 HSK262138:HSM262203 HIO262138:HIQ262203 GYS262138:GYU262203 GOW262138:GOY262203 GFA262138:GFC262203 FVE262138:FVG262203 FLI262138:FLK262203 FBM262138:FBO262203 ERQ262138:ERS262203 EHU262138:EHW262203 DXY262138:DYA262203 DOC262138:DOE262203 DEG262138:DEI262203 CUK262138:CUM262203 CKO262138:CKQ262203 CAS262138:CAU262203 BQW262138:BQY262203 BHA262138:BHC262203 AXE262138:AXG262203 ANI262138:ANK262203 ADM262138:ADO262203 TQ262138:TS262203 JU262138:JW262203 Y262138:AA262203 WWG196602:WWI196667 WMK196602:WMM196667 WCO196602:WCQ196667 VSS196602:VSU196667 VIW196602:VIY196667 UZA196602:UZC196667 UPE196602:UPG196667 UFI196602:UFK196667 TVM196602:TVO196667 TLQ196602:TLS196667 TBU196602:TBW196667 SRY196602:SSA196667 SIC196602:SIE196667 RYG196602:RYI196667 ROK196602:ROM196667 REO196602:REQ196667 QUS196602:QUU196667 QKW196602:QKY196667 QBA196602:QBC196667 PRE196602:PRG196667 PHI196602:PHK196667 OXM196602:OXO196667 ONQ196602:ONS196667 ODU196602:ODW196667 NTY196602:NUA196667 NKC196602:NKE196667 NAG196602:NAI196667 MQK196602:MQM196667 MGO196602:MGQ196667 LWS196602:LWU196667 LMW196602:LMY196667 LDA196602:LDC196667 KTE196602:KTG196667 KJI196602:KJK196667 JZM196602:JZO196667 JPQ196602:JPS196667 JFU196602:JFW196667 IVY196602:IWA196667 IMC196602:IME196667 ICG196602:ICI196667 HSK196602:HSM196667 HIO196602:HIQ196667 GYS196602:GYU196667 GOW196602:GOY196667 GFA196602:GFC196667 FVE196602:FVG196667 FLI196602:FLK196667 FBM196602:FBO196667 ERQ196602:ERS196667 EHU196602:EHW196667 DXY196602:DYA196667 DOC196602:DOE196667 DEG196602:DEI196667 CUK196602:CUM196667 CKO196602:CKQ196667 CAS196602:CAU196667 BQW196602:BQY196667 BHA196602:BHC196667 AXE196602:AXG196667 ANI196602:ANK196667 ADM196602:ADO196667 TQ196602:TS196667 JU196602:JW196667 Y196602:AA196667 WWG131066:WWI131131 WMK131066:WMM131131 WCO131066:WCQ131131 VSS131066:VSU131131 VIW131066:VIY131131 UZA131066:UZC131131 UPE131066:UPG131131 UFI131066:UFK131131 TVM131066:TVO131131 TLQ131066:TLS131131 TBU131066:TBW131131 SRY131066:SSA131131 SIC131066:SIE131131 RYG131066:RYI131131 ROK131066:ROM131131 REO131066:REQ131131 QUS131066:QUU131131 QKW131066:QKY131131 QBA131066:QBC131131 PRE131066:PRG131131 PHI131066:PHK131131 OXM131066:OXO131131 ONQ131066:ONS131131 ODU131066:ODW131131 NTY131066:NUA131131 NKC131066:NKE131131 NAG131066:NAI131131 MQK131066:MQM131131 MGO131066:MGQ131131 LWS131066:LWU131131 LMW131066:LMY131131 LDA131066:LDC131131 KTE131066:KTG131131 KJI131066:KJK131131 JZM131066:JZO131131 JPQ131066:JPS131131 JFU131066:JFW131131 IVY131066:IWA131131 IMC131066:IME131131 ICG131066:ICI131131 HSK131066:HSM131131 HIO131066:HIQ131131 GYS131066:GYU131131 GOW131066:GOY131131 GFA131066:GFC131131 FVE131066:FVG131131 FLI131066:FLK131131 FBM131066:FBO131131 ERQ131066:ERS131131 EHU131066:EHW131131 DXY131066:DYA131131 DOC131066:DOE131131 DEG131066:DEI131131 CUK131066:CUM131131 CKO131066:CKQ131131 CAS131066:CAU131131 BQW131066:BQY131131 BHA131066:BHC131131 AXE131066:AXG131131 ANI131066:ANK131131 ADM131066:ADO131131 TQ131066:TS131131 JU131066:JW131131 Y131066:AA131131 WWG65530:WWI65595 WMK65530:WMM65595 WCO65530:WCQ65595 VSS65530:VSU65595 VIW65530:VIY65595 UZA65530:UZC65595 UPE65530:UPG65595 UFI65530:UFK65595 TVM65530:TVO65595 TLQ65530:TLS65595 TBU65530:TBW65595 SRY65530:SSA65595 SIC65530:SIE65595 RYG65530:RYI65595 ROK65530:ROM65595 REO65530:REQ65595 QUS65530:QUU65595 QKW65530:QKY65595 QBA65530:QBC65595 PRE65530:PRG65595 PHI65530:PHK65595 OXM65530:OXO65595 ONQ65530:ONS65595 ODU65530:ODW65595 NTY65530:NUA65595 NKC65530:NKE65595 NAG65530:NAI65595 MQK65530:MQM65595 MGO65530:MGQ65595 LWS65530:LWU65595 LMW65530:LMY65595 LDA65530:LDC65595 KTE65530:KTG65595 KJI65530:KJK65595 JZM65530:JZO65595 JPQ65530:JPS65595 JFU65530:JFW65595 IVY65530:IWA65595 IMC65530:IME65595 ICG65530:ICI65595 HSK65530:HSM65595 HIO65530:HIQ65595 GYS65530:GYU65595 GOW65530:GOY65595 GFA65530:GFC65595 FVE65530:FVG65595 FLI65530:FLK65595 FBM65530:FBO65595 ERQ65530:ERS65595 EHU65530:EHW65595 DXY65530:DYA65595 DOC65530:DOE65595 DEG65530:DEI65595 CUK65530:CUM65595 CKO65530:CKQ65595 CAS65530:CAU65595 BQW65530:BQY65595 BHA65530:BHC65595 AXE65530:AXG65595 ANI65530:ANK65595 ADM65530:ADO65595 TQ65530:TS65595 JU65530:JW65595 Y65530:AA65595 WWG983034:WWI983099 WWG1047395:WWI1047460 WMK1047395:WMM1047460 WCO1047395:WCQ1047460 VSS1047395:VSU1047460 VIW1047395:VIY1047460 UZA1047395:UZC1047460 UPE1047395:UPG1047460 UFI1047395:UFK1047460 TVM1047395:TVO1047460 TLQ1047395:TLS1047460 TBU1047395:TBW1047460 SRY1047395:SSA1047460 SIC1047395:SIE1047460 RYG1047395:RYI1047460 ROK1047395:ROM1047460 REO1047395:REQ1047460 QUS1047395:QUU1047460 QKW1047395:QKY1047460 QBA1047395:QBC1047460 PRE1047395:PRG1047460 PHI1047395:PHK1047460 OXM1047395:OXO1047460 ONQ1047395:ONS1047460 ODU1047395:ODW1047460 NTY1047395:NUA1047460 NKC1047395:NKE1047460 NAG1047395:NAI1047460 MQK1047395:MQM1047460 MGO1047395:MGQ1047460 LWS1047395:LWU1047460 LMW1047395:LMY1047460 LDA1047395:LDC1047460 KTE1047395:KTG1047460 KJI1047395:KJK1047460 JZM1047395:JZO1047460 JPQ1047395:JPS1047460 JFU1047395:JFW1047460 IVY1047395:IWA1047460 IMC1047395:IME1047460 ICG1047395:ICI1047460 HSK1047395:HSM1047460 HIO1047395:HIQ1047460 GYS1047395:GYU1047460 GOW1047395:GOY1047460 GFA1047395:GFC1047460 FVE1047395:FVG1047460 FLI1047395:FLK1047460 FBM1047395:FBO1047460 ERQ1047395:ERS1047460 EHU1047395:EHW1047460 DXY1047395:DYA1047460 DOC1047395:DOE1047460 DEG1047395:DEI1047460 CUK1047395:CUM1047460 CKO1047395:CKQ1047460 CAS1047395:CAU1047460 BQW1047395:BQY1047460 BHA1047395:BHC1047460 AXE1047395:AXG1047460 ANI1047395:ANK1047460 ADM1047395:ADO1047460 TQ1047395:TS1047460 JU1047395:JW1047460 Y1047395:AA1047460 WWG981859:WWI981924 WMK981859:WMM981924 WCO981859:WCQ981924 VSS981859:VSU981924 VIW981859:VIY981924 UZA981859:UZC981924 UPE981859:UPG981924 UFI981859:UFK981924 TVM981859:TVO981924 TLQ981859:TLS981924 TBU981859:TBW981924 SRY981859:SSA981924 SIC981859:SIE981924 RYG981859:RYI981924 ROK981859:ROM981924 REO981859:REQ981924 QUS981859:QUU981924 QKW981859:QKY981924 QBA981859:QBC981924 PRE981859:PRG981924 PHI981859:PHK981924 OXM981859:OXO981924 ONQ981859:ONS981924 ODU981859:ODW981924 NTY981859:NUA981924 NKC981859:NKE981924 NAG981859:NAI981924 MQK981859:MQM981924 MGO981859:MGQ981924 LWS981859:LWU981924 LMW981859:LMY981924 LDA981859:LDC981924 KTE981859:KTG981924 KJI981859:KJK981924 JZM981859:JZO981924 JPQ981859:JPS981924 JFU981859:JFW981924 IVY981859:IWA981924 IMC981859:IME981924 ICG981859:ICI981924 HSK981859:HSM981924 HIO981859:HIQ981924 GYS981859:GYU981924 GOW981859:GOY981924 GFA981859:GFC981924 FVE981859:FVG981924 FLI981859:FLK981924 FBM981859:FBO981924 ERQ981859:ERS981924 EHU981859:EHW981924 DXY981859:DYA981924 DOC981859:DOE981924 DEG981859:DEI981924 CUK981859:CUM981924 CKO981859:CKQ981924 CAS981859:CAU981924 BQW981859:BQY981924 BHA981859:BHC981924 AXE981859:AXG981924 ANI981859:ANK981924 ADM981859:ADO981924 TQ981859:TS981924 JU981859:JW981924 Y981859:AA981924 WWG916323:WWI916388 WMK916323:WMM916388 WCO916323:WCQ916388 VSS916323:VSU916388 VIW916323:VIY916388 UZA916323:UZC916388 UPE916323:UPG916388 UFI916323:UFK916388 TVM916323:TVO916388 TLQ916323:TLS916388 TBU916323:TBW916388 SRY916323:SSA916388 SIC916323:SIE916388 RYG916323:RYI916388 ROK916323:ROM916388 REO916323:REQ916388 QUS916323:QUU916388 QKW916323:QKY916388 QBA916323:QBC916388 PRE916323:PRG916388 PHI916323:PHK916388 OXM916323:OXO916388 ONQ916323:ONS916388 ODU916323:ODW916388 NTY916323:NUA916388 NKC916323:NKE916388 NAG916323:NAI916388 MQK916323:MQM916388 MGO916323:MGQ916388 LWS916323:LWU916388 LMW916323:LMY916388 LDA916323:LDC916388 KTE916323:KTG916388 KJI916323:KJK916388 JZM916323:JZO916388 JPQ916323:JPS916388 JFU916323:JFW916388 IVY916323:IWA916388 IMC916323:IME916388 ICG916323:ICI916388 HSK916323:HSM916388 HIO916323:HIQ916388 GYS916323:GYU916388 GOW916323:GOY916388 GFA916323:GFC916388 FVE916323:FVG916388 FLI916323:FLK916388 FBM916323:FBO916388 ERQ916323:ERS916388 EHU916323:EHW916388 DXY916323:DYA916388 DOC916323:DOE916388 DEG916323:DEI916388 CUK916323:CUM916388 CKO916323:CKQ916388 CAS916323:CAU916388 BQW916323:BQY916388 BHA916323:BHC916388 AXE916323:AXG916388 ANI916323:ANK916388 ADM916323:ADO916388 TQ916323:TS916388 JU916323:JW916388 Y916323:AA916388 WWG850787:WWI850852 WMK850787:WMM850852 WCO850787:WCQ850852 VSS850787:VSU850852 VIW850787:VIY850852 UZA850787:UZC850852 UPE850787:UPG850852 UFI850787:UFK850852 TVM850787:TVO850852 TLQ850787:TLS850852 TBU850787:TBW850852 SRY850787:SSA850852 SIC850787:SIE850852 RYG850787:RYI850852 ROK850787:ROM850852 REO850787:REQ850852 QUS850787:QUU850852 QKW850787:QKY850852 QBA850787:QBC850852 PRE850787:PRG850852 PHI850787:PHK850852 OXM850787:OXO850852 ONQ850787:ONS850852 ODU850787:ODW850852 NTY850787:NUA850852 NKC850787:NKE850852 NAG850787:NAI850852 MQK850787:MQM850852 MGO850787:MGQ850852 LWS850787:LWU850852 LMW850787:LMY850852 LDA850787:LDC850852 KTE850787:KTG850852 KJI850787:KJK850852 JZM850787:JZO850852 JPQ850787:JPS850852 JFU850787:JFW850852 IVY850787:IWA850852 IMC850787:IME850852 ICG850787:ICI850852 HSK850787:HSM850852 HIO850787:HIQ850852 GYS850787:GYU850852 GOW850787:GOY850852 GFA850787:GFC850852 FVE850787:FVG850852 FLI850787:FLK850852 FBM850787:FBO850852 ERQ850787:ERS850852 EHU850787:EHW850852 DXY850787:DYA850852 DOC850787:DOE850852 DEG850787:DEI850852 CUK850787:CUM850852 CKO850787:CKQ850852 CAS850787:CAU850852 BQW850787:BQY850852 BHA850787:BHC850852 AXE850787:AXG850852 ANI850787:ANK850852 ADM850787:ADO850852 TQ850787:TS850852 JU850787:JW850852 Y850787:AA850852 WWG785251:WWI785316 WMK785251:WMM785316 WCO785251:WCQ785316 VSS785251:VSU785316 VIW785251:VIY785316 UZA785251:UZC785316 UPE785251:UPG785316 UFI785251:UFK785316 TVM785251:TVO785316 TLQ785251:TLS785316 TBU785251:TBW785316 SRY785251:SSA785316 SIC785251:SIE785316 RYG785251:RYI785316 ROK785251:ROM785316 REO785251:REQ785316 QUS785251:QUU785316 QKW785251:QKY785316 QBA785251:QBC785316 PRE785251:PRG785316 PHI785251:PHK785316 OXM785251:OXO785316 ONQ785251:ONS785316 ODU785251:ODW785316 NTY785251:NUA785316 NKC785251:NKE785316 NAG785251:NAI785316 MQK785251:MQM785316 MGO785251:MGQ785316 LWS785251:LWU785316 LMW785251:LMY785316 LDA785251:LDC785316 KTE785251:KTG785316 KJI785251:KJK785316 JZM785251:JZO785316 JPQ785251:JPS785316 JFU785251:JFW785316 IVY785251:IWA785316 IMC785251:IME785316 ICG785251:ICI785316 HSK785251:HSM785316 HIO785251:HIQ785316 GYS785251:GYU785316 GOW785251:GOY785316 GFA785251:GFC785316 FVE785251:FVG785316 FLI785251:FLK785316 FBM785251:FBO785316 ERQ785251:ERS785316 EHU785251:EHW785316 DXY785251:DYA785316 DOC785251:DOE785316 DEG785251:DEI785316 CUK785251:CUM785316 CKO785251:CKQ785316 CAS785251:CAU785316 BQW785251:BQY785316 BHA785251:BHC785316 AXE785251:AXG785316 ANI785251:ANK785316 ADM785251:ADO785316 TQ785251:TS785316 JU785251:JW785316 Y785251:AA785316 WWG719715:WWI719780 WMK719715:WMM719780 WCO719715:WCQ719780 VSS719715:VSU719780 VIW719715:VIY719780 UZA719715:UZC719780 UPE719715:UPG719780 UFI719715:UFK719780 TVM719715:TVO719780 TLQ719715:TLS719780 TBU719715:TBW719780 SRY719715:SSA719780 SIC719715:SIE719780 RYG719715:RYI719780 ROK719715:ROM719780 REO719715:REQ719780 QUS719715:QUU719780 QKW719715:QKY719780 QBA719715:QBC719780 PRE719715:PRG719780 PHI719715:PHK719780 OXM719715:OXO719780 ONQ719715:ONS719780 ODU719715:ODW719780 NTY719715:NUA719780 NKC719715:NKE719780 NAG719715:NAI719780 MQK719715:MQM719780 MGO719715:MGQ719780 LWS719715:LWU719780 LMW719715:LMY719780 LDA719715:LDC719780 KTE719715:KTG719780 KJI719715:KJK719780 JZM719715:JZO719780 JPQ719715:JPS719780 JFU719715:JFW719780 IVY719715:IWA719780 IMC719715:IME719780 ICG719715:ICI719780 HSK719715:HSM719780 HIO719715:HIQ719780 GYS719715:GYU719780 GOW719715:GOY719780 GFA719715:GFC719780 FVE719715:FVG719780 FLI719715:FLK719780 FBM719715:FBO719780 ERQ719715:ERS719780 EHU719715:EHW719780 DXY719715:DYA719780 DOC719715:DOE719780 DEG719715:DEI719780 CUK719715:CUM719780 CKO719715:CKQ719780 CAS719715:CAU719780 BQW719715:BQY719780 BHA719715:BHC719780 AXE719715:AXG719780 ANI719715:ANK719780 ADM719715:ADO719780 TQ719715:TS719780 JU719715:JW719780 Y719715:AA719780 WWG654179:WWI654244 WMK654179:WMM654244 WCO654179:WCQ654244 VSS654179:VSU654244 VIW654179:VIY654244 UZA654179:UZC654244 UPE654179:UPG654244 UFI654179:UFK654244 TVM654179:TVO654244 TLQ654179:TLS654244 TBU654179:TBW654244 SRY654179:SSA654244 SIC654179:SIE654244 RYG654179:RYI654244 ROK654179:ROM654244 REO654179:REQ654244 QUS654179:QUU654244 QKW654179:QKY654244 QBA654179:QBC654244 PRE654179:PRG654244 PHI654179:PHK654244 OXM654179:OXO654244 ONQ654179:ONS654244 ODU654179:ODW654244 NTY654179:NUA654244 NKC654179:NKE654244 NAG654179:NAI654244 MQK654179:MQM654244 MGO654179:MGQ654244 LWS654179:LWU654244 LMW654179:LMY654244 LDA654179:LDC654244 KTE654179:KTG654244 KJI654179:KJK654244 JZM654179:JZO654244 JPQ654179:JPS654244 JFU654179:JFW654244 IVY654179:IWA654244 IMC654179:IME654244 ICG654179:ICI654244 HSK654179:HSM654244 HIO654179:HIQ654244 GYS654179:GYU654244 GOW654179:GOY654244 GFA654179:GFC654244 FVE654179:FVG654244 FLI654179:FLK654244 FBM654179:FBO654244 ERQ654179:ERS654244 EHU654179:EHW654244 DXY654179:DYA654244 DOC654179:DOE654244 DEG654179:DEI654244 CUK654179:CUM654244 CKO654179:CKQ654244 CAS654179:CAU654244 BQW654179:BQY654244 BHA654179:BHC654244 AXE654179:AXG654244 ANI654179:ANK654244 ADM654179:ADO654244 TQ654179:TS654244 JU654179:JW654244 Y654179:AA654244 WWG588643:WWI588708 WMK588643:WMM588708 WCO588643:WCQ588708 VSS588643:VSU588708 VIW588643:VIY588708 UZA588643:UZC588708 UPE588643:UPG588708 UFI588643:UFK588708 TVM588643:TVO588708 TLQ588643:TLS588708 TBU588643:TBW588708 SRY588643:SSA588708 SIC588643:SIE588708 RYG588643:RYI588708 ROK588643:ROM588708 REO588643:REQ588708 QUS588643:QUU588708 QKW588643:QKY588708 QBA588643:QBC588708 PRE588643:PRG588708 PHI588643:PHK588708 OXM588643:OXO588708 ONQ588643:ONS588708 ODU588643:ODW588708 NTY588643:NUA588708 NKC588643:NKE588708 NAG588643:NAI588708 MQK588643:MQM588708 MGO588643:MGQ588708 LWS588643:LWU588708 LMW588643:LMY588708 LDA588643:LDC588708 KTE588643:KTG588708 KJI588643:KJK588708 JZM588643:JZO588708 JPQ588643:JPS588708 JFU588643:JFW588708 IVY588643:IWA588708 IMC588643:IME588708 ICG588643:ICI588708 HSK588643:HSM588708 HIO588643:HIQ588708 GYS588643:GYU588708 GOW588643:GOY588708 GFA588643:GFC588708 FVE588643:FVG588708 FLI588643:FLK588708 FBM588643:FBO588708 ERQ588643:ERS588708 EHU588643:EHW588708 DXY588643:DYA588708 DOC588643:DOE588708 DEG588643:DEI588708 CUK588643:CUM588708 CKO588643:CKQ588708 CAS588643:CAU588708 BQW588643:BQY588708 BHA588643:BHC588708 AXE588643:AXG588708 ANI588643:ANK588708 ADM588643:ADO588708 TQ588643:TS588708 JU588643:JW588708 Y588643:AA588708 WWG523107:WWI523172 WMK523107:WMM523172 WCO523107:WCQ523172 VSS523107:VSU523172 VIW523107:VIY523172 UZA523107:UZC523172 UPE523107:UPG523172 UFI523107:UFK523172 TVM523107:TVO523172 TLQ523107:TLS523172 TBU523107:TBW523172 SRY523107:SSA523172 SIC523107:SIE523172 RYG523107:RYI523172 ROK523107:ROM523172 REO523107:REQ523172 QUS523107:QUU523172 QKW523107:QKY523172 QBA523107:QBC523172 PRE523107:PRG523172 PHI523107:PHK523172 OXM523107:OXO523172 ONQ523107:ONS523172 ODU523107:ODW523172 NTY523107:NUA523172 NKC523107:NKE523172 NAG523107:NAI523172 MQK523107:MQM523172 MGO523107:MGQ523172 LWS523107:LWU523172 LMW523107:LMY523172 LDA523107:LDC523172 KTE523107:KTG523172 KJI523107:KJK523172 JZM523107:JZO523172 JPQ523107:JPS523172 JFU523107:JFW523172 IVY523107:IWA523172 IMC523107:IME523172 ICG523107:ICI523172 HSK523107:HSM523172 HIO523107:HIQ523172 GYS523107:GYU523172 GOW523107:GOY523172 GFA523107:GFC523172 FVE523107:FVG523172 FLI523107:FLK523172 FBM523107:FBO523172 ERQ523107:ERS523172 EHU523107:EHW523172 DXY523107:DYA523172 DOC523107:DOE523172 DEG523107:DEI523172 CUK523107:CUM523172 CKO523107:CKQ523172 CAS523107:CAU523172 BQW523107:BQY523172 BHA523107:BHC523172 AXE523107:AXG523172 ANI523107:ANK523172 ADM523107:ADO523172 TQ523107:TS523172 JU523107:JW523172 Y523107:AA523172 WWG457571:WWI457636 WMK457571:WMM457636 WCO457571:WCQ457636 VSS457571:VSU457636 VIW457571:VIY457636 UZA457571:UZC457636 UPE457571:UPG457636 UFI457571:UFK457636 TVM457571:TVO457636 TLQ457571:TLS457636 TBU457571:TBW457636 SRY457571:SSA457636 SIC457571:SIE457636 RYG457571:RYI457636 ROK457571:ROM457636 REO457571:REQ457636 QUS457571:QUU457636 QKW457571:QKY457636 QBA457571:QBC457636 PRE457571:PRG457636 PHI457571:PHK457636 OXM457571:OXO457636 ONQ457571:ONS457636 ODU457571:ODW457636 NTY457571:NUA457636 NKC457571:NKE457636 NAG457571:NAI457636 MQK457571:MQM457636 MGO457571:MGQ457636 LWS457571:LWU457636 LMW457571:LMY457636 LDA457571:LDC457636 KTE457571:KTG457636 KJI457571:KJK457636 JZM457571:JZO457636 JPQ457571:JPS457636 JFU457571:JFW457636 IVY457571:IWA457636 IMC457571:IME457636 ICG457571:ICI457636 HSK457571:HSM457636 HIO457571:HIQ457636 GYS457571:GYU457636 GOW457571:GOY457636 GFA457571:GFC457636 FVE457571:FVG457636 FLI457571:FLK457636 FBM457571:FBO457636 ERQ457571:ERS457636 EHU457571:EHW457636 DXY457571:DYA457636 DOC457571:DOE457636 DEG457571:DEI457636 CUK457571:CUM457636 CKO457571:CKQ457636 CAS457571:CAU457636 BQW457571:BQY457636 BHA457571:BHC457636 AXE457571:AXG457636 ANI457571:ANK457636 ADM457571:ADO457636 TQ457571:TS457636 JU457571:JW457636 Y457571:AA457636 WWG392035:WWI392100 WMK392035:WMM392100 WCO392035:WCQ392100 VSS392035:VSU392100 VIW392035:VIY392100 UZA392035:UZC392100 UPE392035:UPG392100 UFI392035:UFK392100 TVM392035:TVO392100 TLQ392035:TLS392100 TBU392035:TBW392100 SRY392035:SSA392100 SIC392035:SIE392100 RYG392035:RYI392100 ROK392035:ROM392100 REO392035:REQ392100 QUS392035:QUU392100 QKW392035:QKY392100 QBA392035:QBC392100 PRE392035:PRG392100 PHI392035:PHK392100 OXM392035:OXO392100 ONQ392035:ONS392100 ODU392035:ODW392100 NTY392035:NUA392100 NKC392035:NKE392100 NAG392035:NAI392100 MQK392035:MQM392100 MGO392035:MGQ392100 LWS392035:LWU392100 LMW392035:LMY392100 LDA392035:LDC392100 KTE392035:KTG392100 KJI392035:KJK392100 JZM392035:JZO392100 JPQ392035:JPS392100 JFU392035:JFW392100 IVY392035:IWA392100 IMC392035:IME392100 ICG392035:ICI392100 HSK392035:HSM392100 HIO392035:HIQ392100 GYS392035:GYU392100 GOW392035:GOY392100 GFA392035:GFC392100 FVE392035:FVG392100 FLI392035:FLK392100 FBM392035:FBO392100 ERQ392035:ERS392100 EHU392035:EHW392100 DXY392035:DYA392100 DOC392035:DOE392100 DEG392035:DEI392100 CUK392035:CUM392100 CKO392035:CKQ392100 CAS392035:CAU392100 BQW392035:BQY392100 BHA392035:BHC392100 AXE392035:AXG392100 ANI392035:ANK392100 ADM392035:ADO392100 TQ392035:TS392100 JU392035:JW392100 Y392035:AA392100 WWG326499:WWI326564 WMK326499:WMM326564 WCO326499:WCQ326564 VSS326499:VSU326564 VIW326499:VIY326564 UZA326499:UZC326564 UPE326499:UPG326564 UFI326499:UFK326564 TVM326499:TVO326564 TLQ326499:TLS326564 TBU326499:TBW326564 SRY326499:SSA326564 SIC326499:SIE326564 RYG326499:RYI326564 ROK326499:ROM326564 REO326499:REQ326564 QUS326499:QUU326564 QKW326499:QKY326564 QBA326499:QBC326564 PRE326499:PRG326564 PHI326499:PHK326564 OXM326499:OXO326564 ONQ326499:ONS326564 ODU326499:ODW326564 NTY326499:NUA326564 NKC326499:NKE326564 NAG326499:NAI326564 MQK326499:MQM326564 MGO326499:MGQ326564 LWS326499:LWU326564 LMW326499:LMY326564 LDA326499:LDC326564 KTE326499:KTG326564 KJI326499:KJK326564 JZM326499:JZO326564 JPQ326499:JPS326564 JFU326499:JFW326564 IVY326499:IWA326564 IMC326499:IME326564 ICG326499:ICI326564 HSK326499:HSM326564 HIO326499:HIQ326564 GYS326499:GYU326564 GOW326499:GOY326564 GFA326499:GFC326564 FVE326499:FVG326564 FLI326499:FLK326564 FBM326499:FBO326564 ERQ326499:ERS326564 EHU326499:EHW326564 DXY326499:DYA326564 DOC326499:DOE326564 DEG326499:DEI326564 CUK326499:CUM326564 CKO326499:CKQ326564 CAS326499:CAU326564 BQW326499:BQY326564 BHA326499:BHC326564 AXE326499:AXG326564 ANI326499:ANK326564 ADM326499:ADO326564 TQ326499:TS326564 JU326499:JW326564 Y326499:AA326564 WWG260963:WWI261028 WMK260963:WMM261028 WCO260963:WCQ261028 VSS260963:VSU261028 VIW260963:VIY261028 UZA260963:UZC261028 UPE260963:UPG261028 UFI260963:UFK261028 TVM260963:TVO261028 TLQ260963:TLS261028 TBU260963:TBW261028 SRY260963:SSA261028 SIC260963:SIE261028 RYG260963:RYI261028 ROK260963:ROM261028 REO260963:REQ261028 QUS260963:QUU261028 QKW260963:QKY261028 QBA260963:QBC261028 PRE260963:PRG261028 PHI260963:PHK261028 OXM260963:OXO261028 ONQ260963:ONS261028 ODU260963:ODW261028 NTY260963:NUA261028 NKC260963:NKE261028 NAG260963:NAI261028 MQK260963:MQM261028 MGO260963:MGQ261028 LWS260963:LWU261028 LMW260963:LMY261028 LDA260963:LDC261028 KTE260963:KTG261028 KJI260963:KJK261028 JZM260963:JZO261028 JPQ260963:JPS261028 JFU260963:JFW261028 IVY260963:IWA261028 IMC260963:IME261028 ICG260963:ICI261028 HSK260963:HSM261028 HIO260963:HIQ261028 GYS260963:GYU261028 GOW260963:GOY261028 GFA260963:GFC261028 FVE260963:FVG261028 FLI260963:FLK261028 FBM260963:FBO261028 ERQ260963:ERS261028 EHU260963:EHW261028 DXY260963:DYA261028 DOC260963:DOE261028 DEG260963:DEI261028 CUK260963:CUM261028 CKO260963:CKQ261028 CAS260963:CAU261028 BQW260963:BQY261028 BHA260963:BHC261028 AXE260963:AXG261028 ANI260963:ANK261028 ADM260963:ADO261028 TQ260963:TS261028 JU260963:JW261028 Y260963:AA261028 WWG195427:WWI195492 WMK195427:WMM195492 WCO195427:WCQ195492 VSS195427:VSU195492 VIW195427:VIY195492 UZA195427:UZC195492 UPE195427:UPG195492 UFI195427:UFK195492 TVM195427:TVO195492 TLQ195427:TLS195492 TBU195427:TBW195492 SRY195427:SSA195492 SIC195427:SIE195492 RYG195427:RYI195492 ROK195427:ROM195492 REO195427:REQ195492 QUS195427:QUU195492 QKW195427:QKY195492 QBA195427:QBC195492 PRE195427:PRG195492 PHI195427:PHK195492 OXM195427:OXO195492 ONQ195427:ONS195492 ODU195427:ODW195492 NTY195427:NUA195492 NKC195427:NKE195492 NAG195427:NAI195492 MQK195427:MQM195492 MGO195427:MGQ195492 LWS195427:LWU195492 LMW195427:LMY195492 LDA195427:LDC195492 KTE195427:KTG195492 KJI195427:KJK195492 JZM195427:JZO195492 JPQ195427:JPS195492 JFU195427:JFW195492 IVY195427:IWA195492 IMC195427:IME195492 ICG195427:ICI195492 HSK195427:HSM195492 HIO195427:HIQ195492 GYS195427:GYU195492 GOW195427:GOY195492 GFA195427:GFC195492 FVE195427:FVG195492 FLI195427:FLK195492 FBM195427:FBO195492 ERQ195427:ERS195492 EHU195427:EHW195492 DXY195427:DYA195492 DOC195427:DOE195492 DEG195427:DEI195492 CUK195427:CUM195492 CKO195427:CKQ195492 CAS195427:CAU195492 BQW195427:BQY195492 BHA195427:BHC195492 AXE195427:AXG195492 ANI195427:ANK195492 ADM195427:ADO195492 TQ195427:TS195492 JU195427:JW195492 Y195427:AA195492 WWG129891:WWI129956 WMK129891:WMM129956 WCO129891:WCQ129956 VSS129891:VSU129956 VIW129891:VIY129956 UZA129891:UZC129956 UPE129891:UPG129956 UFI129891:UFK129956 TVM129891:TVO129956 TLQ129891:TLS129956 TBU129891:TBW129956 SRY129891:SSA129956 SIC129891:SIE129956 RYG129891:RYI129956 ROK129891:ROM129956 REO129891:REQ129956 QUS129891:QUU129956 QKW129891:QKY129956 QBA129891:QBC129956 PRE129891:PRG129956 PHI129891:PHK129956 OXM129891:OXO129956 ONQ129891:ONS129956 ODU129891:ODW129956 NTY129891:NUA129956 NKC129891:NKE129956 NAG129891:NAI129956 MQK129891:MQM129956 MGO129891:MGQ129956 LWS129891:LWU129956 LMW129891:LMY129956 LDA129891:LDC129956 KTE129891:KTG129956 KJI129891:KJK129956 JZM129891:JZO129956 JPQ129891:JPS129956 JFU129891:JFW129956 IVY129891:IWA129956 IMC129891:IME129956 ICG129891:ICI129956 HSK129891:HSM129956 HIO129891:HIQ129956 GYS129891:GYU129956 GOW129891:GOY129956 GFA129891:GFC129956 FVE129891:FVG129956 FLI129891:FLK129956 FBM129891:FBO129956 ERQ129891:ERS129956 EHU129891:EHW129956 DXY129891:DYA129956 DOC129891:DOE129956 DEG129891:DEI129956 CUK129891:CUM129956 CKO129891:CKQ129956 CAS129891:CAU129956 BQW129891:BQY129956 BHA129891:BHC129956 AXE129891:AXG129956 ANI129891:ANK129956 ADM129891:ADO129956 TQ129891:TS129956 JU129891:JW129956 Y129891:AA129956 WWG64355:WWI64420 WMK64355:WMM64420 WCO64355:WCQ64420 VSS64355:VSU64420 VIW64355:VIY64420 UZA64355:UZC64420 UPE64355:UPG64420 UFI64355:UFK64420 TVM64355:TVO64420 TLQ64355:TLS64420 TBU64355:TBW64420 SRY64355:SSA64420 SIC64355:SIE64420 RYG64355:RYI64420 ROK64355:ROM64420 REO64355:REQ64420 QUS64355:QUU64420 QKW64355:QKY64420 QBA64355:QBC64420 PRE64355:PRG64420 PHI64355:PHK64420 OXM64355:OXO64420 ONQ64355:ONS64420 ODU64355:ODW64420 NTY64355:NUA64420 NKC64355:NKE64420 NAG64355:NAI64420 MQK64355:MQM64420 MGO64355:MGQ64420 LWS64355:LWU64420 LMW64355:LMY64420 LDA64355:LDC64420 KTE64355:KTG64420 KJI64355:KJK64420 JZM64355:JZO64420 JPQ64355:JPS64420 JFU64355:JFW64420 IVY64355:IWA64420 IMC64355:IME64420 ICG64355:ICI64420 HSK64355:HSM64420 HIO64355:HIQ64420 GYS64355:GYU64420 GOW64355:GOY64420 GFA64355:GFC64420 FVE64355:FVG64420 FLI64355:FLK64420 FBM64355:FBO64420 ERQ64355:ERS64420 EHU64355:EHW64420 DXY64355:DYA64420 DOC64355:DOE64420 DEG64355:DEI64420 CUK64355:CUM64420 CKO64355:CKQ64420 CAS64355:CAU64420 BQW64355:BQY64420 BHA64355:BHC64420 AXE64355:AXG64420 ANI64355:ANK64420 ADM64355:ADO64420 TQ64355:TS64420 JU2:JW61">
      <formula1>$AV$2:$AV$20</formula1>
    </dataValidation>
    <dataValidation type="list" allowBlank="1" showInputMessage="1" showErrorMessage="1" sqref="H64355:H64420 WVP1047395:WVP1047460 WLT1047395:WLT1047460 WBX1047395:WBX1047460 VSB1047395:VSB1047460 VIF1047395:VIF1047460 UYJ1047395:UYJ1047460 UON1047395:UON1047460 UER1047395:UER1047460 TUV1047395:TUV1047460 TKZ1047395:TKZ1047460 TBD1047395:TBD1047460 SRH1047395:SRH1047460 SHL1047395:SHL1047460 RXP1047395:RXP1047460 RNT1047395:RNT1047460 RDX1047395:RDX1047460 QUB1047395:QUB1047460 QKF1047395:QKF1047460 QAJ1047395:QAJ1047460 PQN1047395:PQN1047460 PGR1047395:PGR1047460 OWV1047395:OWV1047460 OMZ1047395:OMZ1047460 ODD1047395:ODD1047460 NTH1047395:NTH1047460 NJL1047395:NJL1047460 MZP1047395:MZP1047460 MPT1047395:MPT1047460 MFX1047395:MFX1047460 LWB1047395:LWB1047460 LMF1047395:LMF1047460 LCJ1047395:LCJ1047460 KSN1047395:KSN1047460 KIR1047395:KIR1047460 JYV1047395:JYV1047460 JOZ1047395:JOZ1047460 JFD1047395:JFD1047460 IVH1047395:IVH1047460 ILL1047395:ILL1047460 IBP1047395:IBP1047460 HRT1047395:HRT1047460 HHX1047395:HHX1047460 GYB1047395:GYB1047460 GOF1047395:GOF1047460 GEJ1047395:GEJ1047460 FUN1047395:FUN1047460 FKR1047395:FKR1047460 FAV1047395:FAV1047460 EQZ1047395:EQZ1047460 EHD1047395:EHD1047460 DXH1047395:DXH1047460 DNL1047395:DNL1047460 DDP1047395:DDP1047460 CTT1047395:CTT1047460 CJX1047395:CJX1047460 CAB1047395:CAB1047460 BQF1047395:BQF1047460 BGJ1047395:BGJ1047460 AWN1047395:AWN1047460 AMR1047395:AMR1047460 ACV1047395:ACV1047460 SZ1047395:SZ1047460 JD1047395:JD1047460 H1047395:H1047460 WVP981859:WVP981924 WLT981859:WLT981924 WBX981859:WBX981924 VSB981859:VSB981924 VIF981859:VIF981924 UYJ981859:UYJ981924 UON981859:UON981924 UER981859:UER981924 TUV981859:TUV981924 TKZ981859:TKZ981924 TBD981859:TBD981924 SRH981859:SRH981924 SHL981859:SHL981924 RXP981859:RXP981924 RNT981859:RNT981924 RDX981859:RDX981924 QUB981859:QUB981924 QKF981859:QKF981924 QAJ981859:QAJ981924 PQN981859:PQN981924 PGR981859:PGR981924 OWV981859:OWV981924 OMZ981859:OMZ981924 ODD981859:ODD981924 NTH981859:NTH981924 NJL981859:NJL981924 MZP981859:MZP981924 MPT981859:MPT981924 MFX981859:MFX981924 LWB981859:LWB981924 LMF981859:LMF981924 LCJ981859:LCJ981924 KSN981859:KSN981924 KIR981859:KIR981924 JYV981859:JYV981924 JOZ981859:JOZ981924 JFD981859:JFD981924 IVH981859:IVH981924 ILL981859:ILL981924 IBP981859:IBP981924 HRT981859:HRT981924 HHX981859:HHX981924 GYB981859:GYB981924 GOF981859:GOF981924 GEJ981859:GEJ981924 FUN981859:FUN981924 FKR981859:FKR981924 FAV981859:FAV981924 EQZ981859:EQZ981924 EHD981859:EHD981924 DXH981859:DXH981924 DNL981859:DNL981924 DDP981859:DDP981924 CTT981859:CTT981924 CJX981859:CJX981924 CAB981859:CAB981924 BQF981859:BQF981924 BGJ981859:BGJ981924 AWN981859:AWN981924 AMR981859:AMR981924 ACV981859:ACV981924 SZ981859:SZ981924 JD981859:JD981924 H981859:H981924 WVP916323:WVP916388 WLT916323:WLT916388 WBX916323:WBX916388 VSB916323:VSB916388 VIF916323:VIF916388 UYJ916323:UYJ916388 UON916323:UON916388 UER916323:UER916388 TUV916323:TUV916388 TKZ916323:TKZ916388 TBD916323:TBD916388 SRH916323:SRH916388 SHL916323:SHL916388 RXP916323:RXP916388 RNT916323:RNT916388 RDX916323:RDX916388 QUB916323:QUB916388 QKF916323:QKF916388 QAJ916323:QAJ916388 PQN916323:PQN916388 PGR916323:PGR916388 OWV916323:OWV916388 OMZ916323:OMZ916388 ODD916323:ODD916388 NTH916323:NTH916388 NJL916323:NJL916388 MZP916323:MZP916388 MPT916323:MPT916388 MFX916323:MFX916388 LWB916323:LWB916388 LMF916323:LMF916388 LCJ916323:LCJ916388 KSN916323:KSN916388 KIR916323:KIR916388 JYV916323:JYV916388 JOZ916323:JOZ916388 JFD916323:JFD916388 IVH916323:IVH916388 ILL916323:ILL916388 IBP916323:IBP916388 HRT916323:HRT916388 HHX916323:HHX916388 GYB916323:GYB916388 GOF916323:GOF916388 GEJ916323:GEJ916388 FUN916323:FUN916388 FKR916323:FKR916388 FAV916323:FAV916388 EQZ916323:EQZ916388 EHD916323:EHD916388 DXH916323:DXH916388 DNL916323:DNL916388 DDP916323:DDP916388 CTT916323:CTT916388 CJX916323:CJX916388 CAB916323:CAB916388 BQF916323:BQF916388 BGJ916323:BGJ916388 AWN916323:AWN916388 AMR916323:AMR916388 ACV916323:ACV916388 SZ916323:SZ916388 JD916323:JD916388 H916323:H916388 WVP850787:WVP850852 WLT850787:WLT850852 WBX850787:WBX850852 VSB850787:VSB850852 VIF850787:VIF850852 UYJ850787:UYJ850852 UON850787:UON850852 UER850787:UER850852 TUV850787:TUV850852 TKZ850787:TKZ850852 TBD850787:TBD850852 SRH850787:SRH850852 SHL850787:SHL850852 RXP850787:RXP850852 RNT850787:RNT850852 RDX850787:RDX850852 QUB850787:QUB850852 QKF850787:QKF850852 QAJ850787:QAJ850852 PQN850787:PQN850852 PGR850787:PGR850852 OWV850787:OWV850852 OMZ850787:OMZ850852 ODD850787:ODD850852 NTH850787:NTH850852 NJL850787:NJL850852 MZP850787:MZP850852 MPT850787:MPT850852 MFX850787:MFX850852 LWB850787:LWB850852 LMF850787:LMF850852 LCJ850787:LCJ850852 KSN850787:KSN850852 KIR850787:KIR850852 JYV850787:JYV850852 JOZ850787:JOZ850852 JFD850787:JFD850852 IVH850787:IVH850852 ILL850787:ILL850852 IBP850787:IBP850852 HRT850787:HRT850852 HHX850787:HHX850852 GYB850787:GYB850852 GOF850787:GOF850852 GEJ850787:GEJ850852 FUN850787:FUN850852 FKR850787:FKR850852 FAV850787:FAV850852 EQZ850787:EQZ850852 EHD850787:EHD850852 DXH850787:DXH850852 DNL850787:DNL850852 DDP850787:DDP850852 CTT850787:CTT850852 CJX850787:CJX850852 CAB850787:CAB850852 BQF850787:BQF850852 BGJ850787:BGJ850852 AWN850787:AWN850852 AMR850787:AMR850852 ACV850787:ACV850852 SZ850787:SZ850852 JD850787:JD850852 H850787:H850852 WVP785251:WVP785316 WLT785251:WLT785316 WBX785251:WBX785316 VSB785251:VSB785316 VIF785251:VIF785316 UYJ785251:UYJ785316 UON785251:UON785316 UER785251:UER785316 TUV785251:TUV785316 TKZ785251:TKZ785316 TBD785251:TBD785316 SRH785251:SRH785316 SHL785251:SHL785316 RXP785251:RXP785316 RNT785251:RNT785316 RDX785251:RDX785316 QUB785251:QUB785316 QKF785251:QKF785316 QAJ785251:QAJ785316 PQN785251:PQN785316 PGR785251:PGR785316 OWV785251:OWV785316 OMZ785251:OMZ785316 ODD785251:ODD785316 NTH785251:NTH785316 NJL785251:NJL785316 MZP785251:MZP785316 MPT785251:MPT785316 MFX785251:MFX785316 LWB785251:LWB785316 LMF785251:LMF785316 LCJ785251:LCJ785316 KSN785251:KSN785316 KIR785251:KIR785316 JYV785251:JYV785316 JOZ785251:JOZ785316 JFD785251:JFD785316 IVH785251:IVH785316 ILL785251:ILL785316 IBP785251:IBP785316 HRT785251:HRT785316 HHX785251:HHX785316 GYB785251:GYB785316 GOF785251:GOF785316 GEJ785251:GEJ785316 FUN785251:FUN785316 FKR785251:FKR785316 FAV785251:FAV785316 EQZ785251:EQZ785316 EHD785251:EHD785316 DXH785251:DXH785316 DNL785251:DNL785316 DDP785251:DDP785316 CTT785251:CTT785316 CJX785251:CJX785316 CAB785251:CAB785316 BQF785251:BQF785316 BGJ785251:BGJ785316 AWN785251:AWN785316 AMR785251:AMR785316 ACV785251:ACV785316 SZ785251:SZ785316 JD785251:JD785316 H785251:H785316 WVP719715:WVP719780 WLT719715:WLT719780 WBX719715:WBX719780 VSB719715:VSB719780 VIF719715:VIF719780 UYJ719715:UYJ719780 UON719715:UON719780 UER719715:UER719780 TUV719715:TUV719780 TKZ719715:TKZ719780 TBD719715:TBD719780 SRH719715:SRH719780 SHL719715:SHL719780 RXP719715:RXP719780 RNT719715:RNT719780 RDX719715:RDX719780 QUB719715:QUB719780 QKF719715:QKF719780 QAJ719715:QAJ719780 PQN719715:PQN719780 PGR719715:PGR719780 OWV719715:OWV719780 OMZ719715:OMZ719780 ODD719715:ODD719780 NTH719715:NTH719780 NJL719715:NJL719780 MZP719715:MZP719780 MPT719715:MPT719780 MFX719715:MFX719780 LWB719715:LWB719780 LMF719715:LMF719780 LCJ719715:LCJ719780 KSN719715:KSN719780 KIR719715:KIR719780 JYV719715:JYV719780 JOZ719715:JOZ719780 JFD719715:JFD719780 IVH719715:IVH719780 ILL719715:ILL719780 IBP719715:IBP719780 HRT719715:HRT719780 HHX719715:HHX719780 GYB719715:GYB719780 GOF719715:GOF719780 GEJ719715:GEJ719780 FUN719715:FUN719780 FKR719715:FKR719780 FAV719715:FAV719780 EQZ719715:EQZ719780 EHD719715:EHD719780 DXH719715:DXH719780 DNL719715:DNL719780 DDP719715:DDP719780 CTT719715:CTT719780 CJX719715:CJX719780 CAB719715:CAB719780 BQF719715:BQF719780 BGJ719715:BGJ719780 AWN719715:AWN719780 AMR719715:AMR719780 ACV719715:ACV719780 SZ719715:SZ719780 JD719715:JD719780 H719715:H719780 WVP654179:WVP654244 WLT654179:WLT654244 WBX654179:WBX654244 VSB654179:VSB654244 VIF654179:VIF654244 UYJ654179:UYJ654244 UON654179:UON654244 UER654179:UER654244 TUV654179:TUV654244 TKZ654179:TKZ654244 TBD654179:TBD654244 SRH654179:SRH654244 SHL654179:SHL654244 RXP654179:RXP654244 RNT654179:RNT654244 RDX654179:RDX654244 QUB654179:QUB654244 QKF654179:QKF654244 QAJ654179:QAJ654244 PQN654179:PQN654244 PGR654179:PGR654244 OWV654179:OWV654244 OMZ654179:OMZ654244 ODD654179:ODD654244 NTH654179:NTH654244 NJL654179:NJL654244 MZP654179:MZP654244 MPT654179:MPT654244 MFX654179:MFX654244 LWB654179:LWB654244 LMF654179:LMF654244 LCJ654179:LCJ654244 KSN654179:KSN654244 KIR654179:KIR654244 JYV654179:JYV654244 JOZ654179:JOZ654244 JFD654179:JFD654244 IVH654179:IVH654244 ILL654179:ILL654244 IBP654179:IBP654244 HRT654179:HRT654244 HHX654179:HHX654244 GYB654179:GYB654244 GOF654179:GOF654244 GEJ654179:GEJ654244 FUN654179:FUN654244 FKR654179:FKR654244 FAV654179:FAV654244 EQZ654179:EQZ654244 EHD654179:EHD654244 DXH654179:DXH654244 DNL654179:DNL654244 DDP654179:DDP654244 CTT654179:CTT654244 CJX654179:CJX654244 CAB654179:CAB654244 BQF654179:BQF654244 BGJ654179:BGJ654244 AWN654179:AWN654244 AMR654179:AMR654244 ACV654179:ACV654244 SZ654179:SZ654244 JD654179:JD654244 H654179:H654244 WVP588643:WVP588708 WLT588643:WLT588708 WBX588643:WBX588708 VSB588643:VSB588708 VIF588643:VIF588708 UYJ588643:UYJ588708 UON588643:UON588708 UER588643:UER588708 TUV588643:TUV588708 TKZ588643:TKZ588708 TBD588643:TBD588708 SRH588643:SRH588708 SHL588643:SHL588708 RXP588643:RXP588708 RNT588643:RNT588708 RDX588643:RDX588708 QUB588643:QUB588708 QKF588643:QKF588708 QAJ588643:QAJ588708 PQN588643:PQN588708 PGR588643:PGR588708 OWV588643:OWV588708 OMZ588643:OMZ588708 ODD588643:ODD588708 NTH588643:NTH588708 NJL588643:NJL588708 MZP588643:MZP588708 MPT588643:MPT588708 MFX588643:MFX588708 LWB588643:LWB588708 LMF588643:LMF588708 LCJ588643:LCJ588708 KSN588643:KSN588708 KIR588643:KIR588708 JYV588643:JYV588708 JOZ588643:JOZ588708 JFD588643:JFD588708 IVH588643:IVH588708 ILL588643:ILL588708 IBP588643:IBP588708 HRT588643:HRT588708 HHX588643:HHX588708 GYB588643:GYB588708 GOF588643:GOF588708 GEJ588643:GEJ588708 FUN588643:FUN588708 FKR588643:FKR588708 FAV588643:FAV588708 EQZ588643:EQZ588708 EHD588643:EHD588708 DXH588643:DXH588708 DNL588643:DNL588708 DDP588643:DDP588708 CTT588643:CTT588708 CJX588643:CJX588708 CAB588643:CAB588708 BQF588643:BQF588708 BGJ588643:BGJ588708 AWN588643:AWN588708 AMR588643:AMR588708 ACV588643:ACV588708 SZ588643:SZ588708 JD588643:JD588708 H588643:H588708 WVP523107:WVP523172 WLT523107:WLT523172 WBX523107:WBX523172 VSB523107:VSB523172 VIF523107:VIF523172 UYJ523107:UYJ523172 UON523107:UON523172 UER523107:UER523172 TUV523107:TUV523172 TKZ523107:TKZ523172 TBD523107:TBD523172 SRH523107:SRH523172 SHL523107:SHL523172 RXP523107:RXP523172 RNT523107:RNT523172 RDX523107:RDX523172 QUB523107:QUB523172 QKF523107:QKF523172 QAJ523107:QAJ523172 PQN523107:PQN523172 PGR523107:PGR523172 OWV523107:OWV523172 OMZ523107:OMZ523172 ODD523107:ODD523172 NTH523107:NTH523172 NJL523107:NJL523172 MZP523107:MZP523172 MPT523107:MPT523172 MFX523107:MFX523172 LWB523107:LWB523172 LMF523107:LMF523172 LCJ523107:LCJ523172 KSN523107:KSN523172 KIR523107:KIR523172 JYV523107:JYV523172 JOZ523107:JOZ523172 JFD523107:JFD523172 IVH523107:IVH523172 ILL523107:ILL523172 IBP523107:IBP523172 HRT523107:HRT523172 HHX523107:HHX523172 GYB523107:GYB523172 GOF523107:GOF523172 GEJ523107:GEJ523172 FUN523107:FUN523172 FKR523107:FKR523172 FAV523107:FAV523172 EQZ523107:EQZ523172 EHD523107:EHD523172 DXH523107:DXH523172 DNL523107:DNL523172 DDP523107:DDP523172 CTT523107:CTT523172 CJX523107:CJX523172 CAB523107:CAB523172 BQF523107:BQF523172 BGJ523107:BGJ523172 AWN523107:AWN523172 AMR523107:AMR523172 ACV523107:ACV523172 SZ523107:SZ523172 JD523107:JD523172 H523107:H523172 WVP457571:WVP457636 WLT457571:WLT457636 WBX457571:WBX457636 VSB457571:VSB457636 VIF457571:VIF457636 UYJ457571:UYJ457636 UON457571:UON457636 UER457571:UER457636 TUV457571:TUV457636 TKZ457571:TKZ457636 TBD457571:TBD457636 SRH457571:SRH457636 SHL457571:SHL457636 RXP457571:RXP457636 RNT457571:RNT457636 RDX457571:RDX457636 QUB457571:QUB457636 QKF457571:QKF457636 QAJ457571:QAJ457636 PQN457571:PQN457636 PGR457571:PGR457636 OWV457571:OWV457636 OMZ457571:OMZ457636 ODD457571:ODD457636 NTH457571:NTH457636 NJL457571:NJL457636 MZP457571:MZP457636 MPT457571:MPT457636 MFX457571:MFX457636 LWB457571:LWB457636 LMF457571:LMF457636 LCJ457571:LCJ457636 KSN457571:KSN457636 KIR457571:KIR457636 JYV457571:JYV457636 JOZ457571:JOZ457636 JFD457571:JFD457636 IVH457571:IVH457636 ILL457571:ILL457636 IBP457571:IBP457636 HRT457571:HRT457636 HHX457571:HHX457636 GYB457571:GYB457636 GOF457571:GOF457636 GEJ457571:GEJ457636 FUN457571:FUN457636 FKR457571:FKR457636 FAV457571:FAV457636 EQZ457571:EQZ457636 EHD457571:EHD457636 DXH457571:DXH457636 DNL457571:DNL457636 DDP457571:DDP457636 CTT457571:CTT457636 CJX457571:CJX457636 CAB457571:CAB457636 BQF457571:BQF457636 BGJ457571:BGJ457636 AWN457571:AWN457636 AMR457571:AMR457636 ACV457571:ACV457636 SZ457571:SZ457636 JD457571:JD457636 H457571:H457636 WVP392035:WVP392100 WLT392035:WLT392100 WBX392035:WBX392100 VSB392035:VSB392100 VIF392035:VIF392100 UYJ392035:UYJ392100 UON392035:UON392100 UER392035:UER392100 TUV392035:TUV392100 TKZ392035:TKZ392100 TBD392035:TBD392100 SRH392035:SRH392100 SHL392035:SHL392100 RXP392035:RXP392100 RNT392035:RNT392100 RDX392035:RDX392100 QUB392035:QUB392100 QKF392035:QKF392100 QAJ392035:QAJ392100 PQN392035:PQN392100 PGR392035:PGR392100 OWV392035:OWV392100 OMZ392035:OMZ392100 ODD392035:ODD392100 NTH392035:NTH392100 NJL392035:NJL392100 MZP392035:MZP392100 MPT392035:MPT392100 MFX392035:MFX392100 LWB392035:LWB392100 LMF392035:LMF392100 LCJ392035:LCJ392100 KSN392035:KSN392100 KIR392035:KIR392100 JYV392035:JYV392100 JOZ392035:JOZ392100 JFD392035:JFD392100 IVH392035:IVH392100 ILL392035:ILL392100 IBP392035:IBP392100 HRT392035:HRT392100 HHX392035:HHX392100 GYB392035:GYB392100 GOF392035:GOF392100 GEJ392035:GEJ392100 FUN392035:FUN392100 FKR392035:FKR392100 FAV392035:FAV392100 EQZ392035:EQZ392100 EHD392035:EHD392100 DXH392035:DXH392100 DNL392035:DNL392100 DDP392035:DDP392100 CTT392035:CTT392100 CJX392035:CJX392100 CAB392035:CAB392100 BQF392035:BQF392100 BGJ392035:BGJ392100 AWN392035:AWN392100 AMR392035:AMR392100 ACV392035:ACV392100 SZ392035:SZ392100 JD392035:JD392100 H392035:H392100 WVP326499:WVP326564 WLT326499:WLT326564 WBX326499:WBX326564 VSB326499:VSB326564 VIF326499:VIF326564 UYJ326499:UYJ326564 UON326499:UON326564 UER326499:UER326564 TUV326499:TUV326564 TKZ326499:TKZ326564 TBD326499:TBD326564 SRH326499:SRH326564 SHL326499:SHL326564 RXP326499:RXP326564 RNT326499:RNT326564 RDX326499:RDX326564 QUB326499:QUB326564 QKF326499:QKF326564 QAJ326499:QAJ326564 PQN326499:PQN326564 PGR326499:PGR326564 OWV326499:OWV326564 OMZ326499:OMZ326564 ODD326499:ODD326564 NTH326499:NTH326564 NJL326499:NJL326564 MZP326499:MZP326564 MPT326499:MPT326564 MFX326499:MFX326564 LWB326499:LWB326564 LMF326499:LMF326564 LCJ326499:LCJ326564 KSN326499:KSN326564 KIR326499:KIR326564 JYV326499:JYV326564 JOZ326499:JOZ326564 JFD326499:JFD326564 IVH326499:IVH326564 ILL326499:ILL326564 IBP326499:IBP326564 HRT326499:HRT326564 HHX326499:HHX326564 GYB326499:GYB326564 GOF326499:GOF326564 GEJ326499:GEJ326564 FUN326499:FUN326564 FKR326499:FKR326564 FAV326499:FAV326564 EQZ326499:EQZ326564 EHD326499:EHD326564 DXH326499:DXH326564 DNL326499:DNL326564 DDP326499:DDP326564 CTT326499:CTT326564 CJX326499:CJX326564 CAB326499:CAB326564 BQF326499:BQF326564 BGJ326499:BGJ326564 AWN326499:AWN326564 AMR326499:AMR326564 ACV326499:ACV326564 SZ326499:SZ326564 JD326499:JD326564 H326499:H326564 WVP260963:WVP261028 WLT260963:WLT261028 WBX260963:WBX261028 VSB260963:VSB261028 VIF260963:VIF261028 UYJ260963:UYJ261028 UON260963:UON261028 UER260963:UER261028 TUV260963:TUV261028 TKZ260963:TKZ261028 TBD260963:TBD261028 SRH260963:SRH261028 SHL260963:SHL261028 RXP260963:RXP261028 RNT260963:RNT261028 RDX260963:RDX261028 QUB260963:QUB261028 QKF260963:QKF261028 QAJ260963:QAJ261028 PQN260963:PQN261028 PGR260963:PGR261028 OWV260963:OWV261028 OMZ260963:OMZ261028 ODD260963:ODD261028 NTH260963:NTH261028 NJL260963:NJL261028 MZP260963:MZP261028 MPT260963:MPT261028 MFX260963:MFX261028 LWB260963:LWB261028 LMF260963:LMF261028 LCJ260963:LCJ261028 KSN260963:KSN261028 KIR260963:KIR261028 JYV260963:JYV261028 JOZ260963:JOZ261028 JFD260963:JFD261028 IVH260963:IVH261028 ILL260963:ILL261028 IBP260963:IBP261028 HRT260963:HRT261028 HHX260963:HHX261028 GYB260963:GYB261028 GOF260963:GOF261028 GEJ260963:GEJ261028 FUN260963:FUN261028 FKR260963:FKR261028 FAV260963:FAV261028 EQZ260963:EQZ261028 EHD260963:EHD261028 DXH260963:DXH261028 DNL260963:DNL261028 DDP260963:DDP261028 CTT260963:CTT261028 CJX260963:CJX261028 CAB260963:CAB261028 BQF260963:BQF261028 BGJ260963:BGJ261028 AWN260963:AWN261028 AMR260963:AMR261028 ACV260963:ACV261028 SZ260963:SZ261028 JD260963:JD261028 H260963:H261028 WVP195427:WVP195492 WLT195427:WLT195492 WBX195427:WBX195492 VSB195427:VSB195492 VIF195427:VIF195492 UYJ195427:UYJ195492 UON195427:UON195492 UER195427:UER195492 TUV195427:TUV195492 TKZ195427:TKZ195492 TBD195427:TBD195492 SRH195427:SRH195492 SHL195427:SHL195492 RXP195427:RXP195492 RNT195427:RNT195492 RDX195427:RDX195492 QUB195427:QUB195492 QKF195427:QKF195492 QAJ195427:QAJ195492 PQN195427:PQN195492 PGR195427:PGR195492 OWV195427:OWV195492 OMZ195427:OMZ195492 ODD195427:ODD195492 NTH195427:NTH195492 NJL195427:NJL195492 MZP195427:MZP195492 MPT195427:MPT195492 MFX195427:MFX195492 LWB195427:LWB195492 LMF195427:LMF195492 LCJ195427:LCJ195492 KSN195427:KSN195492 KIR195427:KIR195492 JYV195427:JYV195492 JOZ195427:JOZ195492 JFD195427:JFD195492 IVH195427:IVH195492 ILL195427:ILL195492 IBP195427:IBP195492 HRT195427:HRT195492 HHX195427:HHX195492 GYB195427:GYB195492 GOF195427:GOF195492 GEJ195427:GEJ195492 FUN195427:FUN195492 FKR195427:FKR195492 FAV195427:FAV195492 EQZ195427:EQZ195492 EHD195427:EHD195492 DXH195427:DXH195492 DNL195427:DNL195492 DDP195427:DDP195492 CTT195427:CTT195492 CJX195427:CJX195492 CAB195427:CAB195492 BQF195427:BQF195492 BGJ195427:BGJ195492 AWN195427:AWN195492 AMR195427:AMR195492 ACV195427:ACV195492 SZ195427:SZ195492 JD195427:JD195492 H195427:H195492 WVP129891:WVP129956 WLT129891:WLT129956 WBX129891:WBX129956 VSB129891:VSB129956 VIF129891:VIF129956 UYJ129891:UYJ129956 UON129891:UON129956 UER129891:UER129956 TUV129891:TUV129956 TKZ129891:TKZ129956 TBD129891:TBD129956 SRH129891:SRH129956 SHL129891:SHL129956 RXP129891:RXP129956 RNT129891:RNT129956 RDX129891:RDX129956 QUB129891:QUB129956 QKF129891:QKF129956 QAJ129891:QAJ129956 PQN129891:PQN129956 PGR129891:PGR129956 OWV129891:OWV129956 OMZ129891:OMZ129956 ODD129891:ODD129956 NTH129891:NTH129956 NJL129891:NJL129956 MZP129891:MZP129956 MPT129891:MPT129956 MFX129891:MFX129956 LWB129891:LWB129956 LMF129891:LMF129956 LCJ129891:LCJ129956 KSN129891:KSN129956 KIR129891:KIR129956 JYV129891:JYV129956 JOZ129891:JOZ129956 JFD129891:JFD129956 IVH129891:IVH129956 ILL129891:ILL129956 IBP129891:IBP129956 HRT129891:HRT129956 HHX129891:HHX129956 GYB129891:GYB129956 GOF129891:GOF129956 GEJ129891:GEJ129956 FUN129891:FUN129956 FKR129891:FKR129956 FAV129891:FAV129956 EQZ129891:EQZ129956 EHD129891:EHD129956 DXH129891:DXH129956 DNL129891:DNL129956 DDP129891:DDP129956 CTT129891:CTT129956 CJX129891:CJX129956 CAB129891:CAB129956 BQF129891:BQF129956 BGJ129891:BGJ129956 AWN129891:AWN129956 AMR129891:AMR129956 ACV129891:ACV129956 SZ129891:SZ129956 JD129891:JD129956 H129891:H129956 WVP64355:WVP64420 WLT64355:WLT64420 WBX64355:WBX64420 VSB64355:VSB64420 VIF64355:VIF64420 UYJ64355:UYJ64420 UON64355:UON64420 UER64355:UER64420 TUV64355:TUV64420 TKZ64355:TKZ64420 TBD64355:TBD64420 SRH64355:SRH64420 SHL64355:SHL64420 RXP64355:RXP64420 RNT64355:RNT64420 RDX64355:RDX64420 QUB64355:QUB64420 QKF64355:QKF64420 QAJ64355:QAJ64420 PQN64355:PQN64420 PGR64355:PGR64420 OWV64355:OWV64420 OMZ64355:OMZ64420 ODD64355:ODD64420 NTH64355:NTH64420 NJL64355:NJL64420 MZP64355:MZP64420 MPT64355:MPT64420 MFX64355:MFX64420 LWB64355:LWB64420 LMF64355:LMF64420 LCJ64355:LCJ64420 KSN64355:KSN64420 KIR64355:KIR64420 JYV64355:JYV64420 JOZ64355:JOZ64420 JFD64355:JFD64420 IVH64355:IVH64420 ILL64355:ILL64420 IBP64355:IBP64420 HRT64355:HRT64420 HHX64355:HHX64420 GYB64355:GYB64420 GOF64355:GOF64420 GEJ64355:GEJ64420 FUN64355:FUN64420 FKR64355:FKR64420 FAV64355:FAV64420 EQZ64355:EQZ64420 EHD64355:EHD64420 DXH64355:DXH64420 DNL64355:DNL64420 DDP64355:DDP64420 CTT64355:CTT64420 CJX64355:CJX64420 CAB64355:CAB64420 BQF64355:BQF64420 BGJ64355:BGJ64420 AWN64355:AWN64420 AMR64355:AMR64420 ACV64355:ACV64420 SZ64355:SZ64420 JD64355:JD64420">
      <formula1>$AL$5:$AL$12</formula1>
    </dataValidation>
    <dataValidation type="list" allowBlank="1" showInputMessage="1" showErrorMessage="1" sqref="E64355:F64420 WVM983034:WVN983105 SW64355:SX64420 ACS64355:ACT64420 AMO64355:AMP64420 AWK64355:AWL64420 BGG64355:BGH64420 BQC64355:BQD64420 BZY64355:BZZ64420 CJU64355:CJV64420 CTQ64355:CTR64420 DDM64355:DDN64420 DNI64355:DNJ64420 DXE64355:DXF64420 EHA64355:EHB64420 EQW64355:EQX64420 FAS64355:FAT64420 FKO64355:FKP64420 FUK64355:FUL64420 GEG64355:GEH64420 GOC64355:GOD64420 GXY64355:GXZ64420 HHU64355:HHV64420 HRQ64355:HRR64420 IBM64355:IBN64420 ILI64355:ILJ64420 IVE64355:IVF64420 JFA64355:JFB64420 JOW64355:JOX64420 JYS64355:JYT64420 KIO64355:KIP64420 KSK64355:KSL64420 LCG64355:LCH64420 LMC64355:LMD64420 LVY64355:LVZ64420 MFU64355:MFV64420 MPQ64355:MPR64420 MZM64355:MZN64420 NJI64355:NJJ64420 NTE64355:NTF64420 ODA64355:ODB64420 OMW64355:OMX64420 OWS64355:OWT64420 PGO64355:PGP64420 PQK64355:PQL64420 QAG64355:QAH64420 QKC64355:QKD64420 QTY64355:QTZ64420 RDU64355:RDV64420 RNQ64355:RNR64420 RXM64355:RXN64420 SHI64355:SHJ64420 SRE64355:SRF64420 TBA64355:TBB64420 TKW64355:TKX64420 TUS64355:TUT64420 UEO64355:UEP64420 UOK64355:UOL64420 UYG64355:UYH64420 VIC64355:VID64420 VRY64355:VRZ64420 WBU64355:WBV64420 WLQ64355:WLR64420 WVM64355:WVN64420 E129891:F129956 JA129891:JB129956 SW129891:SX129956 ACS129891:ACT129956 AMO129891:AMP129956 AWK129891:AWL129956 BGG129891:BGH129956 BQC129891:BQD129956 BZY129891:BZZ129956 CJU129891:CJV129956 CTQ129891:CTR129956 DDM129891:DDN129956 DNI129891:DNJ129956 DXE129891:DXF129956 EHA129891:EHB129956 EQW129891:EQX129956 FAS129891:FAT129956 FKO129891:FKP129956 FUK129891:FUL129956 GEG129891:GEH129956 GOC129891:GOD129956 GXY129891:GXZ129956 HHU129891:HHV129956 HRQ129891:HRR129956 IBM129891:IBN129956 ILI129891:ILJ129956 IVE129891:IVF129956 JFA129891:JFB129956 JOW129891:JOX129956 JYS129891:JYT129956 KIO129891:KIP129956 KSK129891:KSL129956 LCG129891:LCH129956 LMC129891:LMD129956 LVY129891:LVZ129956 MFU129891:MFV129956 MPQ129891:MPR129956 MZM129891:MZN129956 NJI129891:NJJ129956 NTE129891:NTF129956 ODA129891:ODB129956 OMW129891:OMX129956 OWS129891:OWT129956 PGO129891:PGP129956 PQK129891:PQL129956 QAG129891:QAH129956 QKC129891:QKD129956 QTY129891:QTZ129956 RDU129891:RDV129956 RNQ129891:RNR129956 RXM129891:RXN129956 SHI129891:SHJ129956 SRE129891:SRF129956 TBA129891:TBB129956 TKW129891:TKX129956 TUS129891:TUT129956 UEO129891:UEP129956 UOK129891:UOL129956 UYG129891:UYH129956 VIC129891:VID129956 VRY129891:VRZ129956 WBU129891:WBV129956 WLQ129891:WLR129956 WVM129891:WVN129956 E195427:F195492 JA195427:JB195492 SW195427:SX195492 ACS195427:ACT195492 AMO195427:AMP195492 AWK195427:AWL195492 BGG195427:BGH195492 BQC195427:BQD195492 BZY195427:BZZ195492 CJU195427:CJV195492 CTQ195427:CTR195492 DDM195427:DDN195492 DNI195427:DNJ195492 DXE195427:DXF195492 EHA195427:EHB195492 EQW195427:EQX195492 FAS195427:FAT195492 FKO195427:FKP195492 FUK195427:FUL195492 GEG195427:GEH195492 GOC195427:GOD195492 GXY195427:GXZ195492 HHU195427:HHV195492 HRQ195427:HRR195492 IBM195427:IBN195492 ILI195427:ILJ195492 IVE195427:IVF195492 JFA195427:JFB195492 JOW195427:JOX195492 JYS195427:JYT195492 KIO195427:KIP195492 KSK195427:KSL195492 LCG195427:LCH195492 LMC195427:LMD195492 LVY195427:LVZ195492 MFU195427:MFV195492 MPQ195427:MPR195492 MZM195427:MZN195492 NJI195427:NJJ195492 NTE195427:NTF195492 ODA195427:ODB195492 OMW195427:OMX195492 OWS195427:OWT195492 PGO195427:PGP195492 PQK195427:PQL195492 QAG195427:QAH195492 QKC195427:QKD195492 QTY195427:QTZ195492 RDU195427:RDV195492 RNQ195427:RNR195492 RXM195427:RXN195492 SHI195427:SHJ195492 SRE195427:SRF195492 TBA195427:TBB195492 TKW195427:TKX195492 TUS195427:TUT195492 UEO195427:UEP195492 UOK195427:UOL195492 UYG195427:UYH195492 VIC195427:VID195492 VRY195427:VRZ195492 WBU195427:WBV195492 WLQ195427:WLR195492 WVM195427:WVN195492 E260963:F261028 JA260963:JB261028 SW260963:SX261028 ACS260963:ACT261028 AMO260963:AMP261028 AWK260963:AWL261028 BGG260963:BGH261028 BQC260963:BQD261028 BZY260963:BZZ261028 CJU260963:CJV261028 CTQ260963:CTR261028 DDM260963:DDN261028 DNI260963:DNJ261028 DXE260963:DXF261028 EHA260963:EHB261028 EQW260963:EQX261028 FAS260963:FAT261028 FKO260963:FKP261028 FUK260963:FUL261028 GEG260963:GEH261028 GOC260963:GOD261028 GXY260963:GXZ261028 HHU260963:HHV261028 HRQ260963:HRR261028 IBM260963:IBN261028 ILI260963:ILJ261028 IVE260963:IVF261028 JFA260963:JFB261028 JOW260963:JOX261028 JYS260963:JYT261028 KIO260963:KIP261028 KSK260963:KSL261028 LCG260963:LCH261028 LMC260963:LMD261028 LVY260963:LVZ261028 MFU260963:MFV261028 MPQ260963:MPR261028 MZM260963:MZN261028 NJI260963:NJJ261028 NTE260963:NTF261028 ODA260963:ODB261028 OMW260963:OMX261028 OWS260963:OWT261028 PGO260963:PGP261028 PQK260963:PQL261028 QAG260963:QAH261028 QKC260963:QKD261028 QTY260963:QTZ261028 RDU260963:RDV261028 RNQ260963:RNR261028 RXM260963:RXN261028 SHI260963:SHJ261028 SRE260963:SRF261028 TBA260963:TBB261028 TKW260963:TKX261028 TUS260963:TUT261028 UEO260963:UEP261028 UOK260963:UOL261028 UYG260963:UYH261028 VIC260963:VID261028 VRY260963:VRZ261028 WBU260963:WBV261028 WLQ260963:WLR261028 WVM260963:WVN261028 E326499:F326564 JA326499:JB326564 SW326499:SX326564 ACS326499:ACT326564 AMO326499:AMP326564 AWK326499:AWL326564 BGG326499:BGH326564 BQC326499:BQD326564 BZY326499:BZZ326564 CJU326499:CJV326564 CTQ326499:CTR326564 DDM326499:DDN326564 DNI326499:DNJ326564 DXE326499:DXF326564 EHA326499:EHB326564 EQW326499:EQX326564 FAS326499:FAT326564 FKO326499:FKP326564 FUK326499:FUL326564 GEG326499:GEH326564 GOC326499:GOD326564 GXY326499:GXZ326564 HHU326499:HHV326564 HRQ326499:HRR326564 IBM326499:IBN326564 ILI326499:ILJ326564 IVE326499:IVF326564 JFA326499:JFB326564 JOW326499:JOX326564 JYS326499:JYT326564 KIO326499:KIP326564 KSK326499:KSL326564 LCG326499:LCH326564 LMC326499:LMD326564 LVY326499:LVZ326564 MFU326499:MFV326564 MPQ326499:MPR326564 MZM326499:MZN326564 NJI326499:NJJ326564 NTE326499:NTF326564 ODA326499:ODB326564 OMW326499:OMX326564 OWS326499:OWT326564 PGO326499:PGP326564 PQK326499:PQL326564 QAG326499:QAH326564 QKC326499:QKD326564 QTY326499:QTZ326564 RDU326499:RDV326564 RNQ326499:RNR326564 RXM326499:RXN326564 SHI326499:SHJ326564 SRE326499:SRF326564 TBA326499:TBB326564 TKW326499:TKX326564 TUS326499:TUT326564 UEO326499:UEP326564 UOK326499:UOL326564 UYG326499:UYH326564 VIC326499:VID326564 VRY326499:VRZ326564 WBU326499:WBV326564 WLQ326499:WLR326564 WVM326499:WVN326564 E392035:F392100 JA392035:JB392100 SW392035:SX392100 ACS392035:ACT392100 AMO392035:AMP392100 AWK392035:AWL392100 BGG392035:BGH392100 BQC392035:BQD392100 BZY392035:BZZ392100 CJU392035:CJV392100 CTQ392035:CTR392100 DDM392035:DDN392100 DNI392035:DNJ392100 DXE392035:DXF392100 EHA392035:EHB392100 EQW392035:EQX392100 FAS392035:FAT392100 FKO392035:FKP392100 FUK392035:FUL392100 GEG392035:GEH392100 GOC392035:GOD392100 GXY392035:GXZ392100 HHU392035:HHV392100 HRQ392035:HRR392100 IBM392035:IBN392100 ILI392035:ILJ392100 IVE392035:IVF392100 JFA392035:JFB392100 JOW392035:JOX392100 JYS392035:JYT392100 KIO392035:KIP392100 KSK392035:KSL392100 LCG392035:LCH392100 LMC392035:LMD392100 LVY392035:LVZ392100 MFU392035:MFV392100 MPQ392035:MPR392100 MZM392035:MZN392100 NJI392035:NJJ392100 NTE392035:NTF392100 ODA392035:ODB392100 OMW392035:OMX392100 OWS392035:OWT392100 PGO392035:PGP392100 PQK392035:PQL392100 QAG392035:QAH392100 QKC392035:QKD392100 QTY392035:QTZ392100 RDU392035:RDV392100 RNQ392035:RNR392100 RXM392035:RXN392100 SHI392035:SHJ392100 SRE392035:SRF392100 TBA392035:TBB392100 TKW392035:TKX392100 TUS392035:TUT392100 UEO392035:UEP392100 UOK392035:UOL392100 UYG392035:UYH392100 VIC392035:VID392100 VRY392035:VRZ392100 WBU392035:WBV392100 WLQ392035:WLR392100 WVM392035:WVN392100 E457571:F457636 JA457571:JB457636 SW457571:SX457636 ACS457571:ACT457636 AMO457571:AMP457636 AWK457571:AWL457636 BGG457571:BGH457636 BQC457571:BQD457636 BZY457571:BZZ457636 CJU457571:CJV457636 CTQ457571:CTR457636 DDM457571:DDN457636 DNI457571:DNJ457636 DXE457571:DXF457636 EHA457571:EHB457636 EQW457571:EQX457636 FAS457571:FAT457636 FKO457571:FKP457636 FUK457571:FUL457636 GEG457571:GEH457636 GOC457571:GOD457636 GXY457571:GXZ457636 HHU457571:HHV457636 HRQ457571:HRR457636 IBM457571:IBN457636 ILI457571:ILJ457636 IVE457571:IVF457636 JFA457571:JFB457636 JOW457571:JOX457636 JYS457571:JYT457636 KIO457571:KIP457636 KSK457571:KSL457636 LCG457571:LCH457636 LMC457571:LMD457636 LVY457571:LVZ457636 MFU457571:MFV457636 MPQ457571:MPR457636 MZM457571:MZN457636 NJI457571:NJJ457636 NTE457571:NTF457636 ODA457571:ODB457636 OMW457571:OMX457636 OWS457571:OWT457636 PGO457571:PGP457636 PQK457571:PQL457636 QAG457571:QAH457636 QKC457571:QKD457636 QTY457571:QTZ457636 RDU457571:RDV457636 RNQ457571:RNR457636 RXM457571:RXN457636 SHI457571:SHJ457636 SRE457571:SRF457636 TBA457571:TBB457636 TKW457571:TKX457636 TUS457571:TUT457636 UEO457571:UEP457636 UOK457571:UOL457636 UYG457571:UYH457636 VIC457571:VID457636 VRY457571:VRZ457636 WBU457571:WBV457636 WLQ457571:WLR457636 WVM457571:WVN457636 E523107:F523172 JA523107:JB523172 SW523107:SX523172 ACS523107:ACT523172 AMO523107:AMP523172 AWK523107:AWL523172 BGG523107:BGH523172 BQC523107:BQD523172 BZY523107:BZZ523172 CJU523107:CJV523172 CTQ523107:CTR523172 DDM523107:DDN523172 DNI523107:DNJ523172 DXE523107:DXF523172 EHA523107:EHB523172 EQW523107:EQX523172 FAS523107:FAT523172 FKO523107:FKP523172 FUK523107:FUL523172 GEG523107:GEH523172 GOC523107:GOD523172 GXY523107:GXZ523172 HHU523107:HHV523172 HRQ523107:HRR523172 IBM523107:IBN523172 ILI523107:ILJ523172 IVE523107:IVF523172 JFA523107:JFB523172 JOW523107:JOX523172 JYS523107:JYT523172 KIO523107:KIP523172 KSK523107:KSL523172 LCG523107:LCH523172 LMC523107:LMD523172 LVY523107:LVZ523172 MFU523107:MFV523172 MPQ523107:MPR523172 MZM523107:MZN523172 NJI523107:NJJ523172 NTE523107:NTF523172 ODA523107:ODB523172 OMW523107:OMX523172 OWS523107:OWT523172 PGO523107:PGP523172 PQK523107:PQL523172 QAG523107:QAH523172 QKC523107:QKD523172 QTY523107:QTZ523172 RDU523107:RDV523172 RNQ523107:RNR523172 RXM523107:RXN523172 SHI523107:SHJ523172 SRE523107:SRF523172 TBA523107:TBB523172 TKW523107:TKX523172 TUS523107:TUT523172 UEO523107:UEP523172 UOK523107:UOL523172 UYG523107:UYH523172 VIC523107:VID523172 VRY523107:VRZ523172 WBU523107:WBV523172 WLQ523107:WLR523172 WVM523107:WVN523172 E588643:F588708 JA588643:JB588708 SW588643:SX588708 ACS588643:ACT588708 AMO588643:AMP588708 AWK588643:AWL588708 BGG588643:BGH588708 BQC588643:BQD588708 BZY588643:BZZ588708 CJU588643:CJV588708 CTQ588643:CTR588708 DDM588643:DDN588708 DNI588643:DNJ588708 DXE588643:DXF588708 EHA588643:EHB588708 EQW588643:EQX588708 FAS588643:FAT588708 FKO588643:FKP588708 FUK588643:FUL588708 GEG588643:GEH588708 GOC588643:GOD588708 GXY588643:GXZ588708 HHU588643:HHV588708 HRQ588643:HRR588708 IBM588643:IBN588708 ILI588643:ILJ588708 IVE588643:IVF588708 JFA588643:JFB588708 JOW588643:JOX588708 JYS588643:JYT588708 KIO588643:KIP588708 KSK588643:KSL588708 LCG588643:LCH588708 LMC588643:LMD588708 LVY588643:LVZ588708 MFU588643:MFV588708 MPQ588643:MPR588708 MZM588643:MZN588708 NJI588643:NJJ588708 NTE588643:NTF588708 ODA588643:ODB588708 OMW588643:OMX588708 OWS588643:OWT588708 PGO588643:PGP588708 PQK588643:PQL588708 QAG588643:QAH588708 QKC588643:QKD588708 QTY588643:QTZ588708 RDU588643:RDV588708 RNQ588643:RNR588708 RXM588643:RXN588708 SHI588643:SHJ588708 SRE588643:SRF588708 TBA588643:TBB588708 TKW588643:TKX588708 TUS588643:TUT588708 UEO588643:UEP588708 UOK588643:UOL588708 UYG588643:UYH588708 VIC588643:VID588708 VRY588643:VRZ588708 WBU588643:WBV588708 WLQ588643:WLR588708 WVM588643:WVN588708 E654179:F654244 JA654179:JB654244 SW654179:SX654244 ACS654179:ACT654244 AMO654179:AMP654244 AWK654179:AWL654244 BGG654179:BGH654244 BQC654179:BQD654244 BZY654179:BZZ654244 CJU654179:CJV654244 CTQ654179:CTR654244 DDM654179:DDN654244 DNI654179:DNJ654244 DXE654179:DXF654244 EHA654179:EHB654244 EQW654179:EQX654244 FAS654179:FAT654244 FKO654179:FKP654244 FUK654179:FUL654244 GEG654179:GEH654244 GOC654179:GOD654244 GXY654179:GXZ654244 HHU654179:HHV654244 HRQ654179:HRR654244 IBM654179:IBN654244 ILI654179:ILJ654244 IVE654179:IVF654244 JFA654179:JFB654244 JOW654179:JOX654244 JYS654179:JYT654244 KIO654179:KIP654244 KSK654179:KSL654244 LCG654179:LCH654244 LMC654179:LMD654244 LVY654179:LVZ654244 MFU654179:MFV654244 MPQ654179:MPR654244 MZM654179:MZN654244 NJI654179:NJJ654244 NTE654179:NTF654244 ODA654179:ODB654244 OMW654179:OMX654244 OWS654179:OWT654244 PGO654179:PGP654244 PQK654179:PQL654244 QAG654179:QAH654244 QKC654179:QKD654244 QTY654179:QTZ654244 RDU654179:RDV654244 RNQ654179:RNR654244 RXM654179:RXN654244 SHI654179:SHJ654244 SRE654179:SRF654244 TBA654179:TBB654244 TKW654179:TKX654244 TUS654179:TUT654244 UEO654179:UEP654244 UOK654179:UOL654244 UYG654179:UYH654244 VIC654179:VID654244 VRY654179:VRZ654244 WBU654179:WBV654244 WLQ654179:WLR654244 WVM654179:WVN654244 E719715:F719780 JA719715:JB719780 SW719715:SX719780 ACS719715:ACT719780 AMO719715:AMP719780 AWK719715:AWL719780 BGG719715:BGH719780 BQC719715:BQD719780 BZY719715:BZZ719780 CJU719715:CJV719780 CTQ719715:CTR719780 DDM719715:DDN719780 DNI719715:DNJ719780 DXE719715:DXF719780 EHA719715:EHB719780 EQW719715:EQX719780 FAS719715:FAT719780 FKO719715:FKP719780 FUK719715:FUL719780 GEG719715:GEH719780 GOC719715:GOD719780 GXY719715:GXZ719780 HHU719715:HHV719780 HRQ719715:HRR719780 IBM719715:IBN719780 ILI719715:ILJ719780 IVE719715:IVF719780 JFA719715:JFB719780 JOW719715:JOX719780 JYS719715:JYT719780 KIO719715:KIP719780 KSK719715:KSL719780 LCG719715:LCH719780 LMC719715:LMD719780 LVY719715:LVZ719780 MFU719715:MFV719780 MPQ719715:MPR719780 MZM719715:MZN719780 NJI719715:NJJ719780 NTE719715:NTF719780 ODA719715:ODB719780 OMW719715:OMX719780 OWS719715:OWT719780 PGO719715:PGP719780 PQK719715:PQL719780 QAG719715:QAH719780 QKC719715:QKD719780 QTY719715:QTZ719780 RDU719715:RDV719780 RNQ719715:RNR719780 RXM719715:RXN719780 SHI719715:SHJ719780 SRE719715:SRF719780 TBA719715:TBB719780 TKW719715:TKX719780 TUS719715:TUT719780 UEO719715:UEP719780 UOK719715:UOL719780 UYG719715:UYH719780 VIC719715:VID719780 VRY719715:VRZ719780 WBU719715:WBV719780 WLQ719715:WLR719780 WVM719715:WVN719780 E785251:F785316 JA785251:JB785316 SW785251:SX785316 ACS785251:ACT785316 AMO785251:AMP785316 AWK785251:AWL785316 BGG785251:BGH785316 BQC785251:BQD785316 BZY785251:BZZ785316 CJU785251:CJV785316 CTQ785251:CTR785316 DDM785251:DDN785316 DNI785251:DNJ785316 DXE785251:DXF785316 EHA785251:EHB785316 EQW785251:EQX785316 FAS785251:FAT785316 FKO785251:FKP785316 FUK785251:FUL785316 GEG785251:GEH785316 GOC785251:GOD785316 GXY785251:GXZ785316 HHU785251:HHV785316 HRQ785251:HRR785316 IBM785251:IBN785316 ILI785251:ILJ785316 IVE785251:IVF785316 JFA785251:JFB785316 JOW785251:JOX785316 JYS785251:JYT785316 KIO785251:KIP785316 KSK785251:KSL785316 LCG785251:LCH785316 LMC785251:LMD785316 LVY785251:LVZ785316 MFU785251:MFV785316 MPQ785251:MPR785316 MZM785251:MZN785316 NJI785251:NJJ785316 NTE785251:NTF785316 ODA785251:ODB785316 OMW785251:OMX785316 OWS785251:OWT785316 PGO785251:PGP785316 PQK785251:PQL785316 QAG785251:QAH785316 QKC785251:QKD785316 QTY785251:QTZ785316 RDU785251:RDV785316 RNQ785251:RNR785316 RXM785251:RXN785316 SHI785251:SHJ785316 SRE785251:SRF785316 TBA785251:TBB785316 TKW785251:TKX785316 TUS785251:TUT785316 UEO785251:UEP785316 UOK785251:UOL785316 UYG785251:UYH785316 VIC785251:VID785316 VRY785251:VRZ785316 WBU785251:WBV785316 WLQ785251:WLR785316 WVM785251:WVN785316 E850787:F850852 JA850787:JB850852 SW850787:SX850852 ACS850787:ACT850852 AMO850787:AMP850852 AWK850787:AWL850852 BGG850787:BGH850852 BQC850787:BQD850852 BZY850787:BZZ850852 CJU850787:CJV850852 CTQ850787:CTR850852 DDM850787:DDN850852 DNI850787:DNJ850852 DXE850787:DXF850852 EHA850787:EHB850852 EQW850787:EQX850852 FAS850787:FAT850852 FKO850787:FKP850852 FUK850787:FUL850852 GEG850787:GEH850852 GOC850787:GOD850852 GXY850787:GXZ850852 HHU850787:HHV850852 HRQ850787:HRR850852 IBM850787:IBN850852 ILI850787:ILJ850852 IVE850787:IVF850852 JFA850787:JFB850852 JOW850787:JOX850852 JYS850787:JYT850852 KIO850787:KIP850852 KSK850787:KSL850852 LCG850787:LCH850852 LMC850787:LMD850852 LVY850787:LVZ850852 MFU850787:MFV850852 MPQ850787:MPR850852 MZM850787:MZN850852 NJI850787:NJJ850852 NTE850787:NTF850852 ODA850787:ODB850852 OMW850787:OMX850852 OWS850787:OWT850852 PGO850787:PGP850852 PQK850787:PQL850852 QAG850787:QAH850852 QKC850787:QKD850852 QTY850787:QTZ850852 RDU850787:RDV850852 RNQ850787:RNR850852 RXM850787:RXN850852 SHI850787:SHJ850852 SRE850787:SRF850852 TBA850787:TBB850852 TKW850787:TKX850852 TUS850787:TUT850852 UEO850787:UEP850852 UOK850787:UOL850852 UYG850787:UYH850852 VIC850787:VID850852 VRY850787:VRZ850852 WBU850787:WBV850852 WLQ850787:WLR850852 WVM850787:WVN850852 E916323:F916388 JA916323:JB916388 SW916323:SX916388 ACS916323:ACT916388 AMO916323:AMP916388 AWK916323:AWL916388 BGG916323:BGH916388 BQC916323:BQD916388 BZY916323:BZZ916388 CJU916323:CJV916388 CTQ916323:CTR916388 DDM916323:DDN916388 DNI916323:DNJ916388 DXE916323:DXF916388 EHA916323:EHB916388 EQW916323:EQX916388 FAS916323:FAT916388 FKO916323:FKP916388 FUK916323:FUL916388 GEG916323:GEH916388 GOC916323:GOD916388 GXY916323:GXZ916388 HHU916323:HHV916388 HRQ916323:HRR916388 IBM916323:IBN916388 ILI916323:ILJ916388 IVE916323:IVF916388 JFA916323:JFB916388 JOW916323:JOX916388 JYS916323:JYT916388 KIO916323:KIP916388 KSK916323:KSL916388 LCG916323:LCH916388 LMC916323:LMD916388 LVY916323:LVZ916388 MFU916323:MFV916388 MPQ916323:MPR916388 MZM916323:MZN916388 NJI916323:NJJ916388 NTE916323:NTF916388 ODA916323:ODB916388 OMW916323:OMX916388 OWS916323:OWT916388 PGO916323:PGP916388 PQK916323:PQL916388 QAG916323:QAH916388 QKC916323:QKD916388 QTY916323:QTZ916388 RDU916323:RDV916388 RNQ916323:RNR916388 RXM916323:RXN916388 SHI916323:SHJ916388 SRE916323:SRF916388 TBA916323:TBB916388 TKW916323:TKX916388 TUS916323:TUT916388 UEO916323:UEP916388 UOK916323:UOL916388 UYG916323:UYH916388 VIC916323:VID916388 VRY916323:VRZ916388 WBU916323:WBV916388 WLQ916323:WLR916388 WVM916323:WVN916388 E981859:F981924 JA981859:JB981924 SW981859:SX981924 ACS981859:ACT981924 AMO981859:AMP981924 AWK981859:AWL981924 BGG981859:BGH981924 BQC981859:BQD981924 BZY981859:BZZ981924 CJU981859:CJV981924 CTQ981859:CTR981924 DDM981859:DDN981924 DNI981859:DNJ981924 DXE981859:DXF981924 EHA981859:EHB981924 EQW981859:EQX981924 FAS981859:FAT981924 FKO981859:FKP981924 FUK981859:FUL981924 GEG981859:GEH981924 GOC981859:GOD981924 GXY981859:GXZ981924 HHU981859:HHV981924 HRQ981859:HRR981924 IBM981859:IBN981924 ILI981859:ILJ981924 IVE981859:IVF981924 JFA981859:JFB981924 JOW981859:JOX981924 JYS981859:JYT981924 KIO981859:KIP981924 KSK981859:KSL981924 LCG981859:LCH981924 LMC981859:LMD981924 LVY981859:LVZ981924 MFU981859:MFV981924 MPQ981859:MPR981924 MZM981859:MZN981924 NJI981859:NJJ981924 NTE981859:NTF981924 ODA981859:ODB981924 OMW981859:OMX981924 OWS981859:OWT981924 PGO981859:PGP981924 PQK981859:PQL981924 QAG981859:QAH981924 QKC981859:QKD981924 QTY981859:QTZ981924 RDU981859:RDV981924 RNQ981859:RNR981924 RXM981859:RXN981924 SHI981859:SHJ981924 SRE981859:SRF981924 TBA981859:TBB981924 TKW981859:TKX981924 TUS981859:TUT981924 UEO981859:UEP981924 UOK981859:UOL981924 UYG981859:UYH981924 VIC981859:VID981924 VRY981859:VRZ981924 WBU981859:WBV981924 WLQ981859:WLR981924 WVM981859:WVN981924 E1047395:F1047460 JA1047395:JB1047460 SW1047395:SX1047460 ACS1047395:ACT1047460 AMO1047395:AMP1047460 AWK1047395:AWL1047460 BGG1047395:BGH1047460 BQC1047395:BQD1047460 BZY1047395:BZZ1047460 CJU1047395:CJV1047460 CTQ1047395:CTR1047460 DDM1047395:DDN1047460 DNI1047395:DNJ1047460 DXE1047395:DXF1047460 EHA1047395:EHB1047460 EQW1047395:EQX1047460 FAS1047395:FAT1047460 FKO1047395:FKP1047460 FUK1047395:FUL1047460 GEG1047395:GEH1047460 GOC1047395:GOD1047460 GXY1047395:GXZ1047460 HHU1047395:HHV1047460 HRQ1047395:HRR1047460 IBM1047395:IBN1047460 ILI1047395:ILJ1047460 IVE1047395:IVF1047460 JFA1047395:JFB1047460 JOW1047395:JOX1047460 JYS1047395:JYT1047460 KIO1047395:KIP1047460 KSK1047395:KSL1047460 LCG1047395:LCH1047460 LMC1047395:LMD1047460 LVY1047395:LVZ1047460 MFU1047395:MFV1047460 MPQ1047395:MPR1047460 MZM1047395:MZN1047460 NJI1047395:NJJ1047460 NTE1047395:NTF1047460 ODA1047395:ODB1047460 OMW1047395:OMX1047460 OWS1047395:OWT1047460 PGO1047395:PGP1047460 PQK1047395:PQL1047460 QAG1047395:QAH1047460 QKC1047395:QKD1047460 QTY1047395:QTZ1047460 RDU1047395:RDV1047460 RNQ1047395:RNR1047460 RXM1047395:RXN1047460 SHI1047395:SHJ1047460 SRE1047395:SRF1047460 TBA1047395:TBB1047460 TKW1047395:TKX1047460 TUS1047395:TUT1047460 UEO1047395:UEP1047460 UOK1047395:UOL1047460 UYG1047395:UYH1047460 VIC1047395:VID1047460 VRY1047395:VRZ1047460 WBU1047395:WBV1047460 WLQ1047395:WLR1047460 WVM1047395:WVN1047460 JA64355:JB64420 E65530:F65601 JA65530:JB65601 SW65530:SX65601 ACS65530:ACT65601 AMO65530:AMP65601 AWK65530:AWL65601 BGG65530:BGH65601 BQC65530:BQD65601 BZY65530:BZZ65601 CJU65530:CJV65601 CTQ65530:CTR65601 DDM65530:DDN65601 DNI65530:DNJ65601 DXE65530:DXF65601 EHA65530:EHB65601 EQW65530:EQX65601 FAS65530:FAT65601 FKO65530:FKP65601 FUK65530:FUL65601 GEG65530:GEH65601 GOC65530:GOD65601 GXY65530:GXZ65601 HHU65530:HHV65601 HRQ65530:HRR65601 IBM65530:IBN65601 ILI65530:ILJ65601 IVE65530:IVF65601 JFA65530:JFB65601 JOW65530:JOX65601 JYS65530:JYT65601 KIO65530:KIP65601 KSK65530:KSL65601 LCG65530:LCH65601 LMC65530:LMD65601 LVY65530:LVZ65601 MFU65530:MFV65601 MPQ65530:MPR65601 MZM65530:MZN65601 NJI65530:NJJ65601 NTE65530:NTF65601 ODA65530:ODB65601 OMW65530:OMX65601 OWS65530:OWT65601 PGO65530:PGP65601 PQK65530:PQL65601 QAG65530:QAH65601 QKC65530:QKD65601 QTY65530:QTZ65601 RDU65530:RDV65601 RNQ65530:RNR65601 RXM65530:RXN65601 SHI65530:SHJ65601 SRE65530:SRF65601 TBA65530:TBB65601 TKW65530:TKX65601 TUS65530:TUT65601 UEO65530:UEP65601 UOK65530:UOL65601 UYG65530:UYH65601 VIC65530:VID65601 VRY65530:VRZ65601 WBU65530:WBV65601 WLQ65530:WLR65601 WVM65530:WVN65601 E131066:F131137 JA131066:JB131137 SW131066:SX131137 ACS131066:ACT131137 AMO131066:AMP131137 AWK131066:AWL131137 BGG131066:BGH131137 BQC131066:BQD131137 BZY131066:BZZ131137 CJU131066:CJV131137 CTQ131066:CTR131137 DDM131066:DDN131137 DNI131066:DNJ131137 DXE131066:DXF131137 EHA131066:EHB131137 EQW131066:EQX131137 FAS131066:FAT131137 FKO131066:FKP131137 FUK131066:FUL131137 GEG131066:GEH131137 GOC131066:GOD131137 GXY131066:GXZ131137 HHU131066:HHV131137 HRQ131066:HRR131137 IBM131066:IBN131137 ILI131066:ILJ131137 IVE131066:IVF131137 JFA131066:JFB131137 JOW131066:JOX131137 JYS131066:JYT131137 KIO131066:KIP131137 KSK131066:KSL131137 LCG131066:LCH131137 LMC131066:LMD131137 LVY131066:LVZ131137 MFU131066:MFV131137 MPQ131066:MPR131137 MZM131066:MZN131137 NJI131066:NJJ131137 NTE131066:NTF131137 ODA131066:ODB131137 OMW131066:OMX131137 OWS131066:OWT131137 PGO131066:PGP131137 PQK131066:PQL131137 QAG131066:QAH131137 QKC131066:QKD131137 QTY131066:QTZ131137 RDU131066:RDV131137 RNQ131066:RNR131137 RXM131066:RXN131137 SHI131066:SHJ131137 SRE131066:SRF131137 TBA131066:TBB131137 TKW131066:TKX131137 TUS131066:TUT131137 UEO131066:UEP131137 UOK131066:UOL131137 UYG131066:UYH131137 VIC131066:VID131137 VRY131066:VRZ131137 WBU131066:WBV131137 WLQ131066:WLR131137 WVM131066:WVN131137 E196602:F196673 JA196602:JB196673 SW196602:SX196673 ACS196602:ACT196673 AMO196602:AMP196673 AWK196602:AWL196673 BGG196602:BGH196673 BQC196602:BQD196673 BZY196602:BZZ196673 CJU196602:CJV196673 CTQ196602:CTR196673 DDM196602:DDN196673 DNI196602:DNJ196673 DXE196602:DXF196673 EHA196602:EHB196673 EQW196602:EQX196673 FAS196602:FAT196673 FKO196602:FKP196673 FUK196602:FUL196673 GEG196602:GEH196673 GOC196602:GOD196673 GXY196602:GXZ196673 HHU196602:HHV196673 HRQ196602:HRR196673 IBM196602:IBN196673 ILI196602:ILJ196673 IVE196602:IVF196673 JFA196602:JFB196673 JOW196602:JOX196673 JYS196602:JYT196673 KIO196602:KIP196673 KSK196602:KSL196673 LCG196602:LCH196673 LMC196602:LMD196673 LVY196602:LVZ196673 MFU196602:MFV196673 MPQ196602:MPR196673 MZM196602:MZN196673 NJI196602:NJJ196673 NTE196602:NTF196673 ODA196602:ODB196673 OMW196602:OMX196673 OWS196602:OWT196673 PGO196602:PGP196673 PQK196602:PQL196673 QAG196602:QAH196673 QKC196602:QKD196673 QTY196602:QTZ196673 RDU196602:RDV196673 RNQ196602:RNR196673 RXM196602:RXN196673 SHI196602:SHJ196673 SRE196602:SRF196673 TBA196602:TBB196673 TKW196602:TKX196673 TUS196602:TUT196673 UEO196602:UEP196673 UOK196602:UOL196673 UYG196602:UYH196673 VIC196602:VID196673 VRY196602:VRZ196673 WBU196602:WBV196673 WLQ196602:WLR196673 WVM196602:WVN196673 E262138:F262209 JA262138:JB262209 SW262138:SX262209 ACS262138:ACT262209 AMO262138:AMP262209 AWK262138:AWL262209 BGG262138:BGH262209 BQC262138:BQD262209 BZY262138:BZZ262209 CJU262138:CJV262209 CTQ262138:CTR262209 DDM262138:DDN262209 DNI262138:DNJ262209 DXE262138:DXF262209 EHA262138:EHB262209 EQW262138:EQX262209 FAS262138:FAT262209 FKO262138:FKP262209 FUK262138:FUL262209 GEG262138:GEH262209 GOC262138:GOD262209 GXY262138:GXZ262209 HHU262138:HHV262209 HRQ262138:HRR262209 IBM262138:IBN262209 ILI262138:ILJ262209 IVE262138:IVF262209 JFA262138:JFB262209 JOW262138:JOX262209 JYS262138:JYT262209 KIO262138:KIP262209 KSK262138:KSL262209 LCG262138:LCH262209 LMC262138:LMD262209 LVY262138:LVZ262209 MFU262138:MFV262209 MPQ262138:MPR262209 MZM262138:MZN262209 NJI262138:NJJ262209 NTE262138:NTF262209 ODA262138:ODB262209 OMW262138:OMX262209 OWS262138:OWT262209 PGO262138:PGP262209 PQK262138:PQL262209 QAG262138:QAH262209 QKC262138:QKD262209 QTY262138:QTZ262209 RDU262138:RDV262209 RNQ262138:RNR262209 RXM262138:RXN262209 SHI262138:SHJ262209 SRE262138:SRF262209 TBA262138:TBB262209 TKW262138:TKX262209 TUS262138:TUT262209 UEO262138:UEP262209 UOK262138:UOL262209 UYG262138:UYH262209 VIC262138:VID262209 VRY262138:VRZ262209 WBU262138:WBV262209 WLQ262138:WLR262209 WVM262138:WVN262209 E327674:F327745 JA327674:JB327745 SW327674:SX327745 ACS327674:ACT327745 AMO327674:AMP327745 AWK327674:AWL327745 BGG327674:BGH327745 BQC327674:BQD327745 BZY327674:BZZ327745 CJU327674:CJV327745 CTQ327674:CTR327745 DDM327674:DDN327745 DNI327674:DNJ327745 DXE327674:DXF327745 EHA327674:EHB327745 EQW327674:EQX327745 FAS327674:FAT327745 FKO327674:FKP327745 FUK327674:FUL327745 GEG327674:GEH327745 GOC327674:GOD327745 GXY327674:GXZ327745 HHU327674:HHV327745 HRQ327674:HRR327745 IBM327674:IBN327745 ILI327674:ILJ327745 IVE327674:IVF327745 JFA327674:JFB327745 JOW327674:JOX327745 JYS327674:JYT327745 KIO327674:KIP327745 KSK327674:KSL327745 LCG327674:LCH327745 LMC327674:LMD327745 LVY327674:LVZ327745 MFU327674:MFV327745 MPQ327674:MPR327745 MZM327674:MZN327745 NJI327674:NJJ327745 NTE327674:NTF327745 ODA327674:ODB327745 OMW327674:OMX327745 OWS327674:OWT327745 PGO327674:PGP327745 PQK327674:PQL327745 QAG327674:QAH327745 QKC327674:QKD327745 QTY327674:QTZ327745 RDU327674:RDV327745 RNQ327674:RNR327745 RXM327674:RXN327745 SHI327674:SHJ327745 SRE327674:SRF327745 TBA327674:TBB327745 TKW327674:TKX327745 TUS327674:TUT327745 UEO327674:UEP327745 UOK327674:UOL327745 UYG327674:UYH327745 VIC327674:VID327745 VRY327674:VRZ327745 WBU327674:WBV327745 WLQ327674:WLR327745 WVM327674:WVN327745 E393210:F393281 JA393210:JB393281 SW393210:SX393281 ACS393210:ACT393281 AMO393210:AMP393281 AWK393210:AWL393281 BGG393210:BGH393281 BQC393210:BQD393281 BZY393210:BZZ393281 CJU393210:CJV393281 CTQ393210:CTR393281 DDM393210:DDN393281 DNI393210:DNJ393281 DXE393210:DXF393281 EHA393210:EHB393281 EQW393210:EQX393281 FAS393210:FAT393281 FKO393210:FKP393281 FUK393210:FUL393281 GEG393210:GEH393281 GOC393210:GOD393281 GXY393210:GXZ393281 HHU393210:HHV393281 HRQ393210:HRR393281 IBM393210:IBN393281 ILI393210:ILJ393281 IVE393210:IVF393281 JFA393210:JFB393281 JOW393210:JOX393281 JYS393210:JYT393281 KIO393210:KIP393281 KSK393210:KSL393281 LCG393210:LCH393281 LMC393210:LMD393281 LVY393210:LVZ393281 MFU393210:MFV393281 MPQ393210:MPR393281 MZM393210:MZN393281 NJI393210:NJJ393281 NTE393210:NTF393281 ODA393210:ODB393281 OMW393210:OMX393281 OWS393210:OWT393281 PGO393210:PGP393281 PQK393210:PQL393281 QAG393210:QAH393281 QKC393210:QKD393281 QTY393210:QTZ393281 RDU393210:RDV393281 RNQ393210:RNR393281 RXM393210:RXN393281 SHI393210:SHJ393281 SRE393210:SRF393281 TBA393210:TBB393281 TKW393210:TKX393281 TUS393210:TUT393281 UEO393210:UEP393281 UOK393210:UOL393281 UYG393210:UYH393281 VIC393210:VID393281 VRY393210:VRZ393281 WBU393210:WBV393281 WLQ393210:WLR393281 WVM393210:WVN393281 E458746:F458817 JA458746:JB458817 SW458746:SX458817 ACS458746:ACT458817 AMO458746:AMP458817 AWK458746:AWL458817 BGG458746:BGH458817 BQC458746:BQD458817 BZY458746:BZZ458817 CJU458746:CJV458817 CTQ458746:CTR458817 DDM458746:DDN458817 DNI458746:DNJ458817 DXE458746:DXF458817 EHA458746:EHB458817 EQW458746:EQX458817 FAS458746:FAT458817 FKO458746:FKP458817 FUK458746:FUL458817 GEG458746:GEH458817 GOC458746:GOD458817 GXY458746:GXZ458817 HHU458746:HHV458817 HRQ458746:HRR458817 IBM458746:IBN458817 ILI458746:ILJ458817 IVE458746:IVF458817 JFA458746:JFB458817 JOW458746:JOX458817 JYS458746:JYT458817 KIO458746:KIP458817 KSK458746:KSL458817 LCG458746:LCH458817 LMC458746:LMD458817 LVY458746:LVZ458817 MFU458746:MFV458817 MPQ458746:MPR458817 MZM458746:MZN458817 NJI458746:NJJ458817 NTE458746:NTF458817 ODA458746:ODB458817 OMW458746:OMX458817 OWS458746:OWT458817 PGO458746:PGP458817 PQK458746:PQL458817 QAG458746:QAH458817 QKC458746:QKD458817 QTY458746:QTZ458817 RDU458746:RDV458817 RNQ458746:RNR458817 RXM458746:RXN458817 SHI458746:SHJ458817 SRE458746:SRF458817 TBA458746:TBB458817 TKW458746:TKX458817 TUS458746:TUT458817 UEO458746:UEP458817 UOK458746:UOL458817 UYG458746:UYH458817 VIC458746:VID458817 VRY458746:VRZ458817 WBU458746:WBV458817 WLQ458746:WLR458817 WVM458746:WVN458817 E524282:F524353 JA524282:JB524353 SW524282:SX524353 ACS524282:ACT524353 AMO524282:AMP524353 AWK524282:AWL524353 BGG524282:BGH524353 BQC524282:BQD524353 BZY524282:BZZ524353 CJU524282:CJV524353 CTQ524282:CTR524353 DDM524282:DDN524353 DNI524282:DNJ524353 DXE524282:DXF524353 EHA524282:EHB524353 EQW524282:EQX524353 FAS524282:FAT524353 FKO524282:FKP524353 FUK524282:FUL524353 GEG524282:GEH524353 GOC524282:GOD524353 GXY524282:GXZ524353 HHU524282:HHV524353 HRQ524282:HRR524353 IBM524282:IBN524353 ILI524282:ILJ524353 IVE524282:IVF524353 JFA524282:JFB524353 JOW524282:JOX524353 JYS524282:JYT524353 KIO524282:KIP524353 KSK524282:KSL524353 LCG524282:LCH524353 LMC524282:LMD524353 LVY524282:LVZ524353 MFU524282:MFV524353 MPQ524282:MPR524353 MZM524282:MZN524353 NJI524282:NJJ524353 NTE524282:NTF524353 ODA524282:ODB524353 OMW524282:OMX524353 OWS524282:OWT524353 PGO524282:PGP524353 PQK524282:PQL524353 QAG524282:QAH524353 QKC524282:QKD524353 QTY524282:QTZ524353 RDU524282:RDV524353 RNQ524282:RNR524353 RXM524282:RXN524353 SHI524282:SHJ524353 SRE524282:SRF524353 TBA524282:TBB524353 TKW524282:TKX524353 TUS524282:TUT524353 UEO524282:UEP524353 UOK524282:UOL524353 UYG524282:UYH524353 VIC524282:VID524353 VRY524282:VRZ524353 WBU524282:WBV524353 WLQ524282:WLR524353 WVM524282:WVN524353 E589818:F589889 JA589818:JB589889 SW589818:SX589889 ACS589818:ACT589889 AMO589818:AMP589889 AWK589818:AWL589889 BGG589818:BGH589889 BQC589818:BQD589889 BZY589818:BZZ589889 CJU589818:CJV589889 CTQ589818:CTR589889 DDM589818:DDN589889 DNI589818:DNJ589889 DXE589818:DXF589889 EHA589818:EHB589889 EQW589818:EQX589889 FAS589818:FAT589889 FKO589818:FKP589889 FUK589818:FUL589889 GEG589818:GEH589889 GOC589818:GOD589889 GXY589818:GXZ589889 HHU589818:HHV589889 HRQ589818:HRR589889 IBM589818:IBN589889 ILI589818:ILJ589889 IVE589818:IVF589889 JFA589818:JFB589889 JOW589818:JOX589889 JYS589818:JYT589889 KIO589818:KIP589889 KSK589818:KSL589889 LCG589818:LCH589889 LMC589818:LMD589889 LVY589818:LVZ589889 MFU589818:MFV589889 MPQ589818:MPR589889 MZM589818:MZN589889 NJI589818:NJJ589889 NTE589818:NTF589889 ODA589818:ODB589889 OMW589818:OMX589889 OWS589818:OWT589889 PGO589818:PGP589889 PQK589818:PQL589889 QAG589818:QAH589889 QKC589818:QKD589889 QTY589818:QTZ589889 RDU589818:RDV589889 RNQ589818:RNR589889 RXM589818:RXN589889 SHI589818:SHJ589889 SRE589818:SRF589889 TBA589818:TBB589889 TKW589818:TKX589889 TUS589818:TUT589889 UEO589818:UEP589889 UOK589818:UOL589889 UYG589818:UYH589889 VIC589818:VID589889 VRY589818:VRZ589889 WBU589818:WBV589889 WLQ589818:WLR589889 WVM589818:WVN589889 E655354:F655425 JA655354:JB655425 SW655354:SX655425 ACS655354:ACT655425 AMO655354:AMP655425 AWK655354:AWL655425 BGG655354:BGH655425 BQC655354:BQD655425 BZY655354:BZZ655425 CJU655354:CJV655425 CTQ655354:CTR655425 DDM655354:DDN655425 DNI655354:DNJ655425 DXE655354:DXF655425 EHA655354:EHB655425 EQW655354:EQX655425 FAS655354:FAT655425 FKO655354:FKP655425 FUK655354:FUL655425 GEG655354:GEH655425 GOC655354:GOD655425 GXY655354:GXZ655425 HHU655354:HHV655425 HRQ655354:HRR655425 IBM655354:IBN655425 ILI655354:ILJ655425 IVE655354:IVF655425 JFA655354:JFB655425 JOW655354:JOX655425 JYS655354:JYT655425 KIO655354:KIP655425 KSK655354:KSL655425 LCG655354:LCH655425 LMC655354:LMD655425 LVY655354:LVZ655425 MFU655354:MFV655425 MPQ655354:MPR655425 MZM655354:MZN655425 NJI655354:NJJ655425 NTE655354:NTF655425 ODA655354:ODB655425 OMW655354:OMX655425 OWS655354:OWT655425 PGO655354:PGP655425 PQK655354:PQL655425 QAG655354:QAH655425 QKC655354:QKD655425 QTY655354:QTZ655425 RDU655354:RDV655425 RNQ655354:RNR655425 RXM655354:RXN655425 SHI655354:SHJ655425 SRE655354:SRF655425 TBA655354:TBB655425 TKW655354:TKX655425 TUS655354:TUT655425 UEO655354:UEP655425 UOK655354:UOL655425 UYG655354:UYH655425 VIC655354:VID655425 VRY655354:VRZ655425 WBU655354:WBV655425 WLQ655354:WLR655425 WVM655354:WVN655425 E720890:F720961 JA720890:JB720961 SW720890:SX720961 ACS720890:ACT720961 AMO720890:AMP720961 AWK720890:AWL720961 BGG720890:BGH720961 BQC720890:BQD720961 BZY720890:BZZ720961 CJU720890:CJV720961 CTQ720890:CTR720961 DDM720890:DDN720961 DNI720890:DNJ720961 DXE720890:DXF720961 EHA720890:EHB720961 EQW720890:EQX720961 FAS720890:FAT720961 FKO720890:FKP720961 FUK720890:FUL720961 GEG720890:GEH720961 GOC720890:GOD720961 GXY720890:GXZ720961 HHU720890:HHV720961 HRQ720890:HRR720961 IBM720890:IBN720961 ILI720890:ILJ720961 IVE720890:IVF720961 JFA720890:JFB720961 JOW720890:JOX720961 JYS720890:JYT720961 KIO720890:KIP720961 KSK720890:KSL720961 LCG720890:LCH720961 LMC720890:LMD720961 LVY720890:LVZ720961 MFU720890:MFV720961 MPQ720890:MPR720961 MZM720890:MZN720961 NJI720890:NJJ720961 NTE720890:NTF720961 ODA720890:ODB720961 OMW720890:OMX720961 OWS720890:OWT720961 PGO720890:PGP720961 PQK720890:PQL720961 QAG720890:QAH720961 QKC720890:QKD720961 QTY720890:QTZ720961 RDU720890:RDV720961 RNQ720890:RNR720961 RXM720890:RXN720961 SHI720890:SHJ720961 SRE720890:SRF720961 TBA720890:TBB720961 TKW720890:TKX720961 TUS720890:TUT720961 UEO720890:UEP720961 UOK720890:UOL720961 UYG720890:UYH720961 VIC720890:VID720961 VRY720890:VRZ720961 WBU720890:WBV720961 WLQ720890:WLR720961 WVM720890:WVN720961 E786426:F786497 JA786426:JB786497 SW786426:SX786497 ACS786426:ACT786497 AMO786426:AMP786497 AWK786426:AWL786497 BGG786426:BGH786497 BQC786426:BQD786497 BZY786426:BZZ786497 CJU786426:CJV786497 CTQ786426:CTR786497 DDM786426:DDN786497 DNI786426:DNJ786497 DXE786426:DXF786497 EHA786426:EHB786497 EQW786426:EQX786497 FAS786426:FAT786497 FKO786426:FKP786497 FUK786426:FUL786497 GEG786426:GEH786497 GOC786426:GOD786497 GXY786426:GXZ786497 HHU786426:HHV786497 HRQ786426:HRR786497 IBM786426:IBN786497 ILI786426:ILJ786497 IVE786426:IVF786497 JFA786426:JFB786497 JOW786426:JOX786497 JYS786426:JYT786497 KIO786426:KIP786497 KSK786426:KSL786497 LCG786426:LCH786497 LMC786426:LMD786497 LVY786426:LVZ786497 MFU786426:MFV786497 MPQ786426:MPR786497 MZM786426:MZN786497 NJI786426:NJJ786497 NTE786426:NTF786497 ODA786426:ODB786497 OMW786426:OMX786497 OWS786426:OWT786497 PGO786426:PGP786497 PQK786426:PQL786497 QAG786426:QAH786497 QKC786426:QKD786497 QTY786426:QTZ786497 RDU786426:RDV786497 RNQ786426:RNR786497 RXM786426:RXN786497 SHI786426:SHJ786497 SRE786426:SRF786497 TBA786426:TBB786497 TKW786426:TKX786497 TUS786426:TUT786497 UEO786426:UEP786497 UOK786426:UOL786497 UYG786426:UYH786497 VIC786426:VID786497 VRY786426:VRZ786497 WBU786426:WBV786497 WLQ786426:WLR786497 WVM786426:WVN786497 E851962:F852033 JA851962:JB852033 SW851962:SX852033 ACS851962:ACT852033 AMO851962:AMP852033 AWK851962:AWL852033 BGG851962:BGH852033 BQC851962:BQD852033 BZY851962:BZZ852033 CJU851962:CJV852033 CTQ851962:CTR852033 DDM851962:DDN852033 DNI851962:DNJ852033 DXE851962:DXF852033 EHA851962:EHB852033 EQW851962:EQX852033 FAS851962:FAT852033 FKO851962:FKP852033 FUK851962:FUL852033 GEG851962:GEH852033 GOC851962:GOD852033 GXY851962:GXZ852033 HHU851962:HHV852033 HRQ851962:HRR852033 IBM851962:IBN852033 ILI851962:ILJ852033 IVE851962:IVF852033 JFA851962:JFB852033 JOW851962:JOX852033 JYS851962:JYT852033 KIO851962:KIP852033 KSK851962:KSL852033 LCG851962:LCH852033 LMC851962:LMD852033 LVY851962:LVZ852033 MFU851962:MFV852033 MPQ851962:MPR852033 MZM851962:MZN852033 NJI851962:NJJ852033 NTE851962:NTF852033 ODA851962:ODB852033 OMW851962:OMX852033 OWS851962:OWT852033 PGO851962:PGP852033 PQK851962:PQL852033 QAG851962:QAH852033 QKC851962:QKD852033 QTY851962:QTZ852033 RDU851962:RDV852033 RNQ851962:RNR852033 RXM851962:RXN852033 SHI851962:SHJ852033 SRE851962:SRF852033 TBA851962:TBB852033 TKW851962:TKX852033 TUS851962:TUT852033 UEO851962:UEP852033 UOK851962:UOL852033 UYG851962:UYH852033 VIC851962:VID852033 VRY851962:VRZ852033 WBU851962:WBV852033 WLQ851962:WLR852033 WVM851962:WVN852033 E917498:F917569 JA917498:JB917569 SW917498:SX917569 ACS917498:ACT917569 AMO917498:AMP917569 AWK917498:AWL917569 BGG917498:BGH917569 BQC917498:BQD917569 BZY917498:BZZ917569 CJU917498:CJV917569 CTQ917498:CTR917569 DDM917498:DDN917569 DNI917498:DNJ917569 DXE917498:DXF917569 EHA917498:EHB917569 EQW917498:EQX917569 FAS917498:FAT917569 FKO917498:FKP917569 FUK917498:FUL917569 GEG917498:GEH917569 GOC917498:GOD917569 GXY917498:GXZ917569 HHU917498:HHV917569 HRQ917498:HRR917569 IBM917498:IBN917569 ILI917498:ILJ917569 IVE917498:IVF917569 JFA917498:JFB917569 JOW917498:JOX917569 JYS917498:JYT917569 KIO917498:KIP917569 KSK917498:KSL917569 LCG917498:LCH917569 LMC917498:LMD917569 LVY917498:LVZ917569 MFU917498:MFV917569 MPQ917498:MPR917569 MZM917498:MZN917569 NJI917498:NJJ917569 NTE917498:NTF917569 ODA917498:ODB917569 OMW917498:OMX917569 OWS917498:OWT917569 PGO917498:PGP917569 PQK917498:PQL917569 QAG917498:QAH917569 QKC917498:QKD917569 QTY917498:QTZ917569 RDU917498:RDV917569 RNQ917498:RNR917569 RXM917498:RXN917569 SHI917498:SHJ917569 SRE917498:SRF917569 TBA917498:TBB917569 TKW917498:TKX917569 TUS917498:TUT917569 UEO917498:UEP917569 UOK917498:UOL917569 UYG917498:UYH917569 VIC917498:VID917569 VRY917498:VRZ917569 WBU917498:WBV917569 WLQ917498:WLR917569 WVM917498:WVN917569 E983034:F983105 JA983034:JB983105 SW983034:SX983105 ACS983034:ACT983105 AMO983034:AMP983105 AWK983034:AWL983105 BGG983034:BGH983105 BQC983034:BQD983105 BZY983034:BZZ983105 CJU983034:CJV983105 CTQ983034:CTR983105 DDM983034:DDN983105 DNI983034:DNJ983105 DXE983034:DXF983105 EHA983034:EHB983105 EQW983034:EQX983105 FAS983034:FAT983105 FKO983034:FKP983105 FUK983034:FUL983105 GEG983034:GEH983105 GOC983034:GOD983105 GXY983034:GXZ983105 HHU983034:HHV983105 HRQ983034:HRR983105 IBM983034:IBN983105 ILI983034:ILJ983105 IVE983034:IVF983105 JFA983034:JFB983105 JOW983034:JOX983105 JYS983034:JYT983105 KIO983034:KIP983105 KSK983034:KSL983105 LCG983034:LCH983105 LMC983034:LMD983105 LVY983034:LVZ983105 MFU983034:MFV983105 MPQ983034:MPR983105 MZM983034:MZN983105 NJI983034:NJJ983105 NTE983034:NTF983105 ODA983034:ODB983105 OMW983034:OMX983105 OWS983034:OWT983105 PGO983034:PGP983105 PQK983034:PQL983105 QAG983034:QAH983105 QKC983034:QKD983105 QTY983034:QTZ983105 RDU983034:RDV983105 RNQ983034:RNR983105 RXM983034:RXN983105 SHI983034:SHJ983105 SRE983034:SRF983105 TBA983034:TBB983105 TKW983034:TKX983105 TUS983034:TUT983105 UEO983034:UEP983105 UOK983034:UOL983105 UYG983034:UYH983105 VIC983034:VID983105 VRY983034:VRZ983105 WBU983034:WBV983105 WLQ983034:WLR983105 SW2:SX70 ACS2:ACT70 AMO2:AMP70 AWK2:AWL70 BGG2:BGH70 BQC2:BQD70 BZY2:BZZ70 CJU2:CJV70 CTQ2:CTR70 DDM2:DDN70 DNI2:DNJ70 DXE2:DXF70 EHA2:EHB70 EQW2:EQX70 FAS2:FAT70 FKO2:FKP70 FUK2:FUL70 GEG2:GEH70 GOC2:GOD70 GXY2:GXZ70 HHU2:HHV70 HRQ2:HRR70 IBM2:IBN70 ILI2:ILJ70 IVE2:IVF70 JFA2:JFB70 JOW2:JOX70 JYS2:JYT70 KIO2:KIP70 KSK2:KSL70 LCG2:LCH70 LMC2:LMD70 LVY2:LVZ70 MFU2:MFV70 MPQ2:MPR70 MZM2:MZN70 NJI2:NJJ70 NTE2:NTF70 ODA2:ODB70 OMW2:OMX70 OWS2:OWT70 PGO2:PGP70 PQK2:PQL70 QAG2:QAH70 QKC2:QKD70 QTY2:QTZ70 RDU2:RDV70 RNQ2:RNR70 RXM2:RXN70 SHI2:SHJ70 SRE2:SRF70 TBA2:TBB70 TKW2:TKX70 TUS2:TUT70 UEO2:UEP70 UOK2:UOL70 UYG2:UYH70 VIC2:VID70 VRY2:VRZ70 WBU2:WBV70 WLQ2:WLR70 WVM2:WVN70 JA2:JB70">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6">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85" zoomScaleNormal="85" zoomScaleSheetLayoutView="100" workbookViewId="0">
      <selection activeCell="K37" sqref="K37"/>
    </sheetView>
  </sheetViews>
  <sheetFormatPr defaultRowHeight="13.5" x14ac:dyDescent="0.15"/>
  <cols>
    <col min="1" max="3" width="9" style="208"/>
    <col min="4" max="4" width="10.5" style="208" bestFit="1" customWidth="1"/>
    <col min="5" max="16" width="9" style="208"/>
    <col min="17" max="17" width="9" style="217"/>
    <col min="18" max="19" width="9" style="208"/>
    <col min="20" max="20" width="9" style="217"/>
    <col min="21" max="21" width="9" style="208"/>
    <col min="22" max="22" width="9" style="217"/>
    <col min="23" max="32" width="9" style="208"/>
    <col min="33" max="33" width="16.875" style="208" bestFit="1" customWidth="1"/>
    <col min="34" max="34" width="15.625" style="208" customWidth="1"/>
    <col min="35" max="39" width="9" style="143"/>
    <col min="40" max="16384" width="9" style="208"/>
  </cols>
  <sheetData>
    <row r="1" spans="1:53" ht="45" x14ac:dyDescent="0.15">
      <c r="A1" s="240" t="s">
        <v>0</v>
      </c>
      <c r="B1" s="202" t="s">
        <v>1</v>
      </c>
      <c r="C1" s="202" t="s">
        <v>323</v>
      </c>
      <c r="D1" s="203" t="s">
        <v>3</v>
      </c>
      <c r="E1" s="241" t="s">
        <v>4</v>
      </c>
      <c r="F1" s="241" t="s">
        <v>5</v>
      </c>
      <c r="G1" s="241" t="s">
        <v>6</v>
      </c>
      <c r="H1" s="241" t="s">
        <v>7</v>
      </c>
      <c r="I1" s="241" t="s">
        <v>8</v>
      </c>
      <c r="J1" s="241" t="s">
        <v>9</v>
      </c>
      <c r="K1" s="201" t="s">
        <v>10</v>
      </c>
      <c r="L1" s="203" t="s">
        <v>324</v>
      </c>
      <c r="M1" s="203" t="s">
        <v>12</v>
      </c>
      <c r="N1" s="203" t="s">
        <v>13</v>
      </c>
      <c r="O1" s="203" t="s">
        <v>325</v>
      </c>
      <c r="P1" s="203" t="s">
        <v>326</v>
      </c>
      <c r="Q1" s="204" t="s">
        <v>16</v>
      </c>
      <c r="R1" s="203" t="s">
        <v>327</v>
      </c>
      <c r="S1" s="203" t="s">
        <v>328</v>
      </c>
      <c r="T1" s="204" t="s">
        <v>19</v>
      </c>
      <c r="U1" s="205" t="s">
        <v>108</v>
      </c>
      <c r="V1" s="206" t="s">
        <v>20</v>
      </c>
      <c r="W1" s="203" t="s">
        <v>21</v>
      </c>
      <c r="X1" s="241" t="s">
        <v>22</v>
      </c>
      <c r="Y1" s="241" t="s">
        <v>23</v>
      </c>
      <c r="Z1" s="241" t="s">
        <v>24</v>
      </c>
      <c r="AA1" s="242" t="s">
        <v>25</v>
      </c>
      <c r="AB1" s="207" t="s">
        <v>329</v>
      </c>
      <c r="AE1" s="209" t="s">
        <v>0</v>
      </c>
      <c r="AF1" s="210"/>
      <c r="AG1" s="209" t="s">
        <v>4</v>
      </c>
      <c r="AH1" s="209" t="s">
        <v>5</v>
      </c>
      <c r="AI1" s="162"/>
      <c r="AJ1" s="163" t="s">
        <v>6</v>
      </c>
      <c r="AK1" s="162"/>
      <c r="AL1" s="164" t="s">
        <v>7</v>
      </c>
      <c r="AM1" s="162"/>
      <c r="AN1" s="211" t="s">
        <v>8</v>
      </c>
      <c r="AO1" s="210"/>
      <c r="AP1" s="211" t="s">
        <v>27</v>
      </c>
      <c r="AQ1" s="210"/>
      <c r="AR1" s="211" t="s">
        <v>10</v>
      </c>
      <c r="AS1" s="210"/>
      <c r="AT1" s="212" t="s">
        <v>28</v>
      </c>
      <c r="AU1" s="210"/>
      <c r="AV1" s="211" t="s">
        <v>29</v>
      </c>
      <c r="AX1" s="213" t="s">
        <v>330</v>
      </c>
      <c r="AY1" s="214" t="s">
        <v>331</v>
      </c>
      <c r="AZ1" s="214" t="s">
        <v>332</v>
      </c>
      <c r="BA1" s="215" t="s">
        <v>333</v>
      </c>
    </row>
    <row r="2" spans="1:53" x14ac:dyDescent="0.15">
      <c r="A2" s="165" t="s">
        <v>34</v>
      </c>
      <c r="B2" s="165" t="s">
        <v>349</v>
      </c>
      <c r="C2" s="165">
        <v>2018</v>
      </c>
      <c r="D2" s="166" t="s">
        <v>350</v>
      </c>
      <c r="E2" s="165" t="s">
        <v>493</v>
      </c>
      <c r="F2" s="165" t="s">
        <v>256</v>
      </c>
      <c r="G2" s="167" t="s">
        <v>36</v>
      </c>
      <c r="H2" s="168" t="s">
        <v>155</v>
      </c>
      <c r="I2" s="137" t="s">
        <v>153</v>
      </c>
      <c r="J2" s="200" t="s">
        <v>38</v>
      </c>
      <c r="K2" s="137" t="s">
        <v>154</v>
      </c>
      <c r="L2" s="169">
        <v>1</v>
      </c>
      <c r="M2" s="170"/>
      <c r="N2" s="170">
        <v>1</v>
      </c>
      <c r="O2" s="170">
        <v>0.55000000000000004</v>
      </c>
      <c r="P2" s="170">
        <v>0.5</v>
      </c>
      <c r="Q2" s="171">
        <f t="shared" ref="Q2:Q65" si="0">IF(OR(O2="",P2=""),"",AVERAGE(O2,P2))</f>
        <v>0.52500000000000002</v>
      </c>
      <c r="R2" s="172">
        <v>15.4</v>
      </c>
      <c r="S2" s="168">
        <v>121</v>
      </c>
      <c r="T2" s="173">
        <f t="shared" ref="T2:T65" si="1">IF(H2="","",IF(OR(H2="GREEN",H2="GK"),IF(S2&gt;=$AX$2,VLOOKUP(S2,$AX$2:$AY$7,2,1),""),IF(S2&gt;=$AZ$2,VLOOKUP(S2,$AZ$2:$BA$7,2,1),"")))</f>
        <v>30</v>
      </c>
      <c r="U2" s="137">
        <v>78</v>
      </c>
      <c r="V2" s="173">
        <f t="shared" ref="V2:V65" si="2">IF(OR(N2="",U2="",T2=""),"",U2/N2*T2)</f>
        <v>2340</v>
      </c>
      <c r="W2" s="174">
        <v>4</v>
      </c>
      <c r="X2" s="175" t="s">
        <v>46</v>
      </c>
      <c r="Y2" s="175" t="s">
        <v>50</v>
      </c>
      <c r="Z2" s="175" t="s">
        <v>90</v>
      </c>
      <c r="AA2" s="176" t="s">
        <v>84</v>
      </c>
      <c r="AB2" s="55" t="s">
        <v>495</v>
      </c>
      <c r="AE2" s="218" t="s">
        <v>35</v>
      </c>
      <c r="AG2" s="243" t="s">
        <v>496</v>
      </c>
      <c r="AH2" s="243" t="s">
        <v>257</v>
      </c>
      <c r="AJ2" s="144" t="s">
        <v>36</v>
      </c>
      <c r="AL2" s="219" t="s">
        <v>127</v>
      </c>
      <c r="AN2" s="219" t="s">
        <v>37</v>
      </c>
      <c r="AO2" s="216"/>
      <c r="AP2" s="219" t="s">
        <v>38</v>
      </c>
      <c r="AQ2" s="216"/>
      <c r="AR2" s="219" t="s">
        <v>335</v>
      </c>
      <c r="AS2" s="216"/>
      <c r="AT2" s="219" t="s">
        <v>39</v>
      </c>
      <c r="AU2" s="216"/>
      <c r="AV2" s="248" t="s">
        <v>40</v>
      </c>
      <c r="AW2" s="216"/>
      <c r="AX2" s="220">
        <v>1</v>
      </c>
      <c r="AY2" s="221">
        <v>50</v>
      </c>
      <c r="AZ2" s="221">
        <v>1</v>
      </c>
      <c r="BA2" s="222">
        <v>50</v>
      </c>
    </row>
    <row r="3" spans="1:53" x14ac:dyDescent="0.15">
      <c r="A3" s="177" t="s">
        <v>34</v>
      </c>
      <c r="B3" s="177" t="s">
        <v>315</v>
      </c>
      <c r="C3" s="178">
        <v>2018</v>
      </c>
      <c r="D3" s="260" t="s">
        <v>497</v>
      </c>
      <c r="E3" s="177" t="s">
        <v>493</v>
      </c>
      <c r="F3" s="177" t="s">
        <v>256</v>
      </c>
      <c r="G3" s="180" t="s">
        <v>36</v>
      </c>
      <c r="H3" s="137" t="s">
        <v>155</v>
      </c>
      <c r="I3" s="137" t="s">
        <v>153</v>
      </c>
      <c r="J3" s="137" t="s">
        <v>38</v>
      </c>
      <c r="K3" s="137" t="s">
        <v>154</v>
      </c>
      <c r="L3" s="208">
        <v>2</v>
      </c>
      <c r="N3" s="208">
        <v>1</v>
      </c>
      <c r="O3" s="208">
        <v>0.6</v>
      </c>
      <c r="P3" s="235">
        <v>0.55000000000000004</v>
      </c>
      <c r="Q3" s="181">
        <f t="shared" si="0"/>
        <v>0.57499999999999996</v>
      </c>
      <c r="R3" s="182">
        <v>14.6</v>
      </c>
      <c r="S3" s="182">
        <v>125</v>
      </c>
      <c r="T3" s="217">
        <f t="shared" si="1"/>
        <v>30</v>
      </c>
      <c r="U3" s="183">
        <v>78</v>
      </c>
      <c r="V3" s="184">
        <f t="shared" si="2"/>
        <v>2340</v>
      </c>
      <c r="W3" s="185">
        <v>4</v>
      </c>
      <c r="X3" s="186" t="s">
        <v>46</v>
      </c>
      <c r="Y3" s="186" t="s">
        <v>50</v>
      </c>
      <c r="Z3" s="186" t="s">
        <v>90</v>
      </c>
      <c r="AA3" s="176" t="s">
        <v>84</v>
      </c>
      <c r="AB3" s="55" t="s">
        <v>317</v>
      </c>
      <c r="AE3" s="223" t="s">
        <v>41</v>
      </c>
      <c r="AG3" s="243" t="s">
        <v>258</v>
      </c>
      <c r="AH3" s="243" t="s">
        <v>259</v>
      </c>
      <c r="AJ3" s="187" t="s">
        <v>42</v>
      </c>
      <c r="AL3" s="224" t="s">
        <v>128</v>
      </c>
      <c r="AN3" s="224" t="s">
        <v>43</v>
      </c>
      <c r="AP3" s="224" t="s">
        <v>44</v>
      </c>
      <c r="AR3" s="238" t="s">
        <v>45</v>
      </c>
      <c r="AT3" s="224" t="s">
        <v>46</v>
      </c>
      <c r="AV3" s="224" t="s">
        <v>47</v>
      </c>
      <c r="AX3" s="225">
        <v>72</v>
      </c>
      <c r="AY3" s="226">
        <v>46</v>
      </c>
      <c r="AZ3" s="226">
        <v>71</v>
      </c>
      <c r="BA3" s="227">
        <v>42</v>
      </c>
    </row>
    <row r="4" spans="1:53" x14ac:dyDescent="0.15">
      <c r="A4" s="177" t="s">
        <v>34</v>
      </c>
      <c r="B4" s="177" t="s">
        <v>315</v>
      </c>
      <c r="C4" s="177">
        <v>2018</v>
      </c>
      <c r="D4" s="179" t="s">
        <v>497</v>
      </c>
      <c r="E4" s="177" t="s">
        <v>493</v>
      </c>
      <c r="F4" s="177" t="s">
        <v>256</v>
      </c>
      <c r="G4" s="180" t="s">
        <v>36</v>
      </c>
      <c r="H4" s="137" t="s">
        <v>155</v>
      </c>
      <c r="I4" s="137" t="s">
        <v>153</v>
      </c>
      <c r="J4" s="137" t="s">
        <v>38</v>
      </c>
      <c r="K4" s="137" t="s">
        <v>154</v>
      </c>
      <c r="L4" s="208">
        <v>3</v>
      </c>
      <c r="N4" s="208">
        <v>1</v>
      </c>
      <c r="O4" s="208">
        <v>0.5</v>
      </c>
      <c r="P4" s="235">
        <v>0.5</v>
      </c>
      <c r="Q4" s="245">
        <f t="shared" si="0"/>
        <v>0.5</v>
      </c>
      <c r="R4" s="188">
        <v>15.2</v>
      </c>
      <c r="S4" s="188">
        <v>120</v>
      </c>
      <c r="T4" s="217">
        <f t="shared" si="1"/>
        <v>30</v>
      </c>
      <c r="U4" s="189">
        <v>78</v>
      </c>
      <c r="V4" s="184">
        <f t="shared" si="2"/>
        <v>2340</v>
      </c>
      <c r="W4" s="190">
        <v>4</v>
      </c>
      <c r="X4" s="186" t="s">
        <v>46</v>
      </c>
      <c r="Y4" s="186" t="s">
        <v>50</v>
      </c>
      <c r="Z4" s="186" t="s">
        <v>90</v>
      </c>
      <c r="AA4" s="176" t="s">
        <v>84</v>
      </c>
      <c r="AB4" s="55" t="s">
        <v>317</v>
      </c>
      <c r="AE4" s="223" t="s">
        <v>34</v>
      </c>
      <c r="AG4" s="243" t="s">
        <v>498</v>
      </c>
      <c r="AH4" s="243" t="s">
        <v>260</v>
      </c>
      <c r="AJ4" s="191" t="s">
        <v>48</v>
      </c>
      <c r="AL4" s="228" t="s">
        <v>129</v>
      </c>
      <c r="AN4" s="229" t="s">
        <v>49</v>
      </c>
      <c r="AP4" s="224" t="s">
        <v>336</v>
      </c>
      <c r="AR4" s="238" t="s">
        <v>337</v>
      </c>
      <c r="AT4" s="229"/>
      <c r="AV4" s="224" t="s">
        <v>50</v>
      </c>
      <c r="AX4" s="225">
        <v>75</v>
      </c>
      <c r="AY4" s="226">
        <v>42</v>
      </c>
      <c r="AZ4" s="226">
        <v>76</v>
      </c>
      <c r="BA4" s="227">
        <v>39</v>
      </c>
    </row>
    <row r="5" spans="1:53" x14ac:dyDescent="0.15">
      <c r="A5" s="177" t="s">
        <v>34</v>
      </c>
      <c r="B5" s="177" t="s">
        <v>315</v>
      </c>
      <c r="C5" s="178">
        <v>2018</v>
      </c>
      <c r="D5" s="179" t="s">
        <v>497</v>
      </c>
      <c r="E5" s="177" t="s">
        <v>493</v>
      </c>
      <c r="F5" s="177" t="s">
        <v>256</v>
      </c>
      <c r="G5" s="180" t="s">
        <v>36</v>
      </c>
      <c r="H5" s="137" t="s">
        <v>157</v>
      </c>
      <c r="I5" s="137" t="s">
        <v>153</v>
      </c>
      <c r="J5" s="137" t="s">
        <v>38</v>
      </c>
      <c r="K5" s="137" t="s">
        <v>154</v>
      </c>
      <c r="L5" s="208">
        <v>1</v>
      </c>
      <c r="N5" s="208">
        <v>1</v>
      </c>
      <c r="O5" s="208">
        <v>0.6</v>
      </c>
      <c r="P5" s="237">
        <v>0.5</v>
      </c>
      <c r="Q5" s="245">
        <f t="shared" si="0"/>
        <v>0.55000000000000004</v>
      </c>
      <c r="R5" s="188">
        <v>15.8</v>
      </c>
      <c r="S5" s="188">
        <v>161</v>
      </c>
      <c r="T5" s="217">
        <f t="shared" si="1"/>
        <v>30</v>
      </c>
      <c r="U5" s="189">
        <v>138</v>
      </c>
      <c r="V5" s="184">
        <f t="shared" si="2"/>
        <v>4140</v>
      </c>
      <c r="W5" s="190">
        <v>4</v>
      </c>
      <c r="X5" s="186" t="s">
        <v>46</v>
      </c>
      <c r="Y5" s="186" t="s">
        <v>50</v>
      </c>
      <c r="Z5" s="186" t="s">
        <v>90</v>
      </c>
      <c r="AA5" s="176" t="s">
        <v>84</v>
      </c>
      <c r="AB5" s="55" t="s">
        <v>317</v>
      </c>
      <c r="AE5" s="223" t="s">
        <v>51</v>
      </c>
      <c r="AG5" s="243" t="s">
        <v>499</v>
      </c>
      <c r="AH5" s="243" t="s">
        <v>263</v>
      </c>
      <c r="AJ5" s="192"/>
      <c r="AL5" s="230" t="s">
        <v>357</v>
      </c>
      <c r="AN5" s="230" t="s">
        <v>358</v>
      </c>
      <c r="AP5" s="224" t="s">
        <v>500</v>
      </c>
      <c r="AR5" s="238" t="s">
        <v>54</v>
      </c>
      <c r="AT5" s="247"/>
      <c r="AV5" s="224" t="s">
        <v>55</v>
      </c>
      <c r="AX5" s="225">
        <v>84</v>
      </c>
      <c r="AY5" s="226">
        <v>39</v>
      </c>
      <c r="AZ5" s="226">
        <v>84</v>
      </c>
      <c r="BA5" s="227">
        <v>36</v>
      </c>
    </row>
    <row r="6" spans="1:53" x14ac:dyDescent="0.15">
      <c r="A6" s="177" t="s">
        <v>34</v>
      </c>
      <c r="B6" s="177" t="s">
        <v>315</v>
      </c>
      <c r="C6" s="177">
        <v>2018</v>
      </c>
      <c r="D6" s="179" t="s">
        <v>497</v>
      </c>
      <c r="E6" s="177" t="s">
        <v>493</v>
      </c>
      <c r="F6" s="177" t="s">
        <v>256</v>
      </c>
      <c r="G6" s="180" t="s">
        <v>36</v>
      </c>
      <c r="H6" s="137" t="s">
        <v>157</v>
      </c>
      <c r="I6" s="137" t="s">
        <v>153</v>
      </c>
      <c r="J6" s="137" t="s">
        <v>38</v>
      </c>
      <c r="K6" s="137" t="s">
        <v>154</v>
      </c>
      <c r="L6" s="208">
        <v>2</v>
      </c>
      <c r="N6" s="208">
        <v>1</v>
      </c>
      <c r="O6" s="208">
        <v>0.65</v>
      </c>
      <c r="P6" s="237">
        <v>0.6</v>
      </c>
      <c r="Q6" s="245">
        <f t="shared" si="0"/>
        <v>0.625</v>
      </c>
      <c r="R6" s="188">
        <v>15.3</v>
      </c>
      <c r="S6" s="188">
        <v>209</v>
      </c>
      <c r="T6" s="217">
        <f t="shared" si="1"/>
        <v>30</v>
      </c>
      <c r="U6" s="189">
        <v>138</v>
      </c>
      <c r="V6" s="184">
        <f t="shared" si="2"/>
        <v>4140</v>
      </c>
      <c r="W6" s="190">
        <v>4</v>
      </c>
      <c r="X6" s="186" t="s">
        <v>46</v>
      </c>
      <c r="Y6" s="186" t="s">
        <v>50</v>
      </c>
      <c r="Z6" s="186" t="s">
        <v>90</v>
      </c>
      <c r="AA6" s="176" t="s">
        <v>84</v>
      </c>
      <c r="AB6" s="55" t="s">
        <v>317</v>
      </c>
      <c r="AE6" s="223" t="s">
        <v>56</v>
      </c>
      <c r="AG6" s="243" t="s">
        <v>501</v>
      </c>
      <c r="AH6" s="243" t="s">
        <v>262</v>
      </c>
      <c r="AL6" s="230" t="s">
        <v>361</v>
      </c>
      <c r="AN6" s="230" t="s">
        <v>362</v>
      </c>
      <c r="AP6" s="224" t="s">
        <v>53</v>
      </c>
      <c r="AR6" s="238" t="s">
        <v>59</v>
      </c>
      <c r="AV6" s="224" t="s">
        <v>60</v>
      </c>
      <c r="AX6" s="225">
        <v>97</v>
      </c>
      <c r="AY6" s="226">
        <v>36</v>
      </c>
      <c r="AZ6" s="226">
        <v>99</v>
      </c>
      <c r="BA6" s="227">
        <v>33</v>
      </c>
    </row>
    <row r="7" spans="1:53" x14ac:dyDescent="0.15">
      <c r="A7" s="177" t="s">
        <v>34</v>
      </c>
      <c r="B7" s="177" t="s">
        <v>315</v>
      </c>
      <c r="C7" s="178">
        <v>2018</v>
      </c>
      <c r="D7" s="179" t="s">
        <v>497</v>
      </c>
      <c r="E7" s="177" t="s">
        <v>493</v>
      </c>
      <c r="F7" s="177" t="s">
        <v>256</v>
      </c>
      <c r="G7" s="180" t="s">
        <v>36</v>
      </c>
      <c r="H7" s="137" t="s">
        <v>157</v>
      </c>
      <c r="I7" s="137" t="s">
        <v>153</v>
      </c>
      <c r="J7" s="137" t="s">
        <v>38</v>
      </c>
      <c r="K7" s="137" t="s">
        <v>154</v>
      </c>
      <c r="L7" s="208">
        <v>3</v>
      </c>
      <c r="N7" s="208">
        <v>1</v>
      </c>
      <c r="O7" s="208">
        <v>0.6</v>
      </c>
      <c r="P7" s="237">
        <v>0.65</v>
      </c>
      <c r="Q7" s="245">
        <f t="shared" si="0"/>
        <v>0.625</v>
      </c>
      <c r="R7" s="188">
        <v>15.4</v>
      </c>
      <c r="S7" s="188">
        <v>196</v>
      </c>
      <c r="T7" s="217">
        <f t="shared" si="1"/>
        <v>30</v>
      </c>
      <c r="U7" s="189">
        <v>138</v>
      </c>
      <c r="V7" s="184">
        <f t="shared" si="2"/>
        <v>4140</v>
      </c>
      <c r="W7" s="190">
        <v>4</v>
      </c>
      <c r="X7" s="186" t="s">
        <v>46</v>
      </c>
      <c r="Y7" s="186" t="s">
        <v>50</v>
      </c>
      <c r="Z7" s="186" t="s">
        <v>90</v>
      </c>
      <c r="AA7" s="176" t="s">
        <v>84</v>
      </c>
      <c r="AB7" s="55" t="s">
        <v>317</v>
      </c>
      <c r="AE7" s="223" t="s">
        <v>61</v>
      </c>
      <c r="AG7" s="243" t="s">
        <v>261</v>
      </c>
      <c r="AH7" s="243" t="s">
        <v>256</v>
      </c>
      <c r="AL7" s="235" t="s">
        <v>502</v>
      </c>
      <c r="AP7" s="224" t="s">
        <v>58</v>
      </c>
      <c r="AR7" s="231" t="s">
        <v>122</v>
      </c>
      <c r="AV7" s="224" t="s">
        <v>64</v>
      </c>
      <c r="AX7" s="225">
        <v>109</v>
      </c>
      <c r="AY7" s="226">
        <v>33</v>
      </c>
      <c r="AZ7" s="226">
        <v>113</v>
      </c>
      <c r="BA7" s="227">
        <v>30</v>
      </c>
    </row>
    <row r="8" spans="1:53" x14ac:dyDescent="0.15">
      <c r="A8" s="177" t="s">
        <v>34</v>
      </c>
      <c r="B8" s="177" t="s">
        <v>315</v>
      </c>
      <c r="C8" s="177">
        <v>2018</v>
      </c>
      <c r="D8" s="179" t="s">
        <v>497</v>
      </c>
      <c r="E8" s="178" t="s">
        <v>261</v>
      </c>
      <c r="F8" s="177" t="s">
        <v>262</v>
      </c>
      <c r="G8" s="180" t="s">
        <v>36</v>
      </c>
      <c r="H8" s="137" t="s">
        <v>155</v>
      </c>
      <c r="I8" s="137" t="s">
        <v>153</v>
      </c>
      <c r="J8" s="137" t="s">
        <v>38</v>
      </c>
      <c r="K8" s="137" t="s">
        <v>154</v>
      </c>
      <c r="L8" s="208">
        <v>1</v>
      </c>
      <c r="N8" s="208">
        <v>1</v>
      </c>
      <c r="O8" s="208">
        <v>0.65</v>
      </c>
      <c r="P8" s="208">
        <v>0.6</v>
      </c>
      <c r="Q8" s="245">
        <f t="shared" si="0"/>
        <v>0.625</v>
      </c>
      <c r="R8" s="188">
        <v>14.7</v>
      </c>
      <c r="S8" s="188">
        <v>122</v>
      </c>
      <c r="T8" s="217">
        <f t="shared" si="1"/>
        <v>30</v>
      </c>
      <c r="U8" s="193">
        <v>148</v>
      </c>
      <c r="V8" s="184">
        <f t="shared" si="2"/>
        <v>4440</v>
      </c>
      <c r="W8" s="190">
        <v>2</v>
      </c>
      <c r="X8" s="186" t="s">
        <v>46</v>
      </c>
      <c r="Y8" s="194" t="s">
        <v>90</v>
      </c>
      <c r="Z8" s="186" t="s">
        <v>50</v>
      </c>
      <c r="AA8" s="176" t="s">
        <v>84</v>
      </c>
      <c r="AB8" s="55" t="s">
        <v>317</v>
      </c>
      <c r="AE8" s="223" t="s">
        <v>59</v>
      </c>
      <c r="AG8" s="243" t="s">
        <v>503</v>
      </c>
      <c r="AH8" s="243" t="s">
        <v>265</v>
      </c>
      <c r="AL8" s="235" t="s">
        <v>346</v>
      </c>
      <c r="AP8" s="224" t="s">
        <v>62</v>
      </c>
      <c r="AR8" s="238" t="s">
        <v>81</v>
      </c>
      <c r="AV8" s="224" t="s">
        <v>97</v>
      </c>
      <c r="AX8" s="225">
        <v>151</v>
      </c>
      <c r="AY8" s="226">
        <v>22</v>
      </c>
      <c r="AZ8" s="226">
        <v>152</v>
      </c>
      <c r="BA8" s="227">
        <v>18</v>
      </c>
    </row>
    <row r="9" spans="1:53" x14ac:dyDescent="0.15">
      <c r="A9" s="177" t="s">
        <v>34</v>
      </c>
      <c r="B9" s="177" t="s">
        <v>315</v>
      </c>
      <c r="C9" s="178">
        <v>2018</v>
      </c>
      <c r="D9" s="179" t="s">
        <v>497</v>
      </c>
      <c r="E9" s="178" t="s">
        <v>261</v>
      </c>
      <c r="F9" s="177" t="s">
        <v>262</v>
      </c>
      <c r="G9" s="180" t="s">
        <v>36</v>
      </c>
      <c r="H9" s="137" t="s">
        <v>155</v>
      </c>
      <c r="I9" s="137" t="s">
        <v>153</v>
      </c>
      <c r="J9" s="137" t="s">
        <v>38</v>
      </c>
      <c r="K9" s="137" t="s">
        <v>154</v>
      </c>
      <c r="L9" s="208">
        <v>2</v>
      </c>
      <c r="N9" s="208">
        <v>1</v>
      </c>
      <c r="O9" s="208">
        <v>0.8</v>
      </c>
      <c r="P9" s="208">
        <v>0.85</v>
      </c>
      <c r="Q9" s="245">
        <f t="shared" si="0"/>
        <v>0.82499999999999996</v>
      </c>
      <c r="R9" s="188">
        <v>14.3</v>
      </c>
      <c r="S9" s="188">
        <v>123</v>
      </c>
      <c r="T9" s="217">
        <f t="shared" si="1"/>
        <v>30</v>
      </c>
      <c r="U9" s="193">
        <v>148</v>
      </c>
      <c r="V9" s="184">
        <f t="shared" si="2"/>
        <v>4440</v>
      </c>
      <c r="W9" s="190">
        <v>2</v>
      </c>
      <c r="X9" s="186" t="s">
        <v>46</v>
      </c>
      <c r="Y9" s="194" t="s">
        <v>90</v>
      </c>
      <c r="Z9" s="186" t="s">
        <v>50</v>
      </c>
      <c r="AA9" s="176" t="s">
        <v>84</v>
      </c>
      <c r="AB9" s="55" t="s">
        <v>317</v>
      </c>
      <c r="AE9" s="223" t="s">
        <v>98</v>
      </c>
      <c r="AG9" s="243" t="s">
        <v>504</v>
      </c>
      <c r="AH9" s="243" t="s">
        <v>266</v>
      </c>
      <c r="AL9" s="230"/>
      <c r="AP9" s="224" t="s">
        <v>95</v>
      </c>
      <c r="AR9" s="231" t="s">
        <v>89</v>
      </c>
      <c r="AV9" s="224" t="s">
        <v>102</v>
      </c>
      <c r="AX9" s="232">
        <v>180</v>
      </c>
      <c r="AY9" s="233">
        <v>18</v>
      </c>
      <c r="AZ9" s="233">
        <v>181</v>
      </c>
      <c r="BA9" s="234">
        <v>16</v>
      </c>
    </row>
    <row r="10" spans="1:53" x14ac:dyDescent="0.15">
      <c r="A10" s="177" t="s">
        <v>34</v>
      </c>
      <c r="B10" s="177" t="s">
        <v>315</v>
      </c>
      <c r="C10" s="177">
        <v>2018</v>
      </c>
      <c r="D10" s="179" t="s">
        <v>497</v>
      </c>
      <c r="E10" s="178" t="s">
        <v>261</v>
      </c>
      <c r="F10" s="177" t="s">
        <v>262</v>
      </c>
      <c r="G10" s="180" t="s">
        <v>36</v>
      </c>
      <c r="H10" s="137" t="s">
        <v>155</v>
      </c>
      <c r="I10" s="137" t="s">
        <v>153</v>
      </c>
      <c r="J10" s="137" t="s">
        <v>38</v>
      </c>
      <c r="K10" s="137" t="s">
        <v>154</v>
      </c>
      <c r="L10" s="208">
        <v>3</v>
      </c>
      <c r="N10" s="208">
        <v>1</v>
      </c>
      <c r="O10" s="208">
        <v>0.6</v>
      </c>
      <c r="P10" s="208">
        <v>0.7</v>
      </c>
      <c r="Q10" s="245">
        <f t="shared" si="0"/>
        <v>0.64999999999999991</v>
      </c>
      <c r="R10" s="188">
        <v>14.8</v>
      </c>
      <c r="S10" s="188">
        <v>121</v>
      </c>
      <c r="T10" s="217">
        <f t="shared" si="1"/>
        <v>30</v>
      </c>
      <c r="U10" s="193">
        <v>148</v>
      </c>
      <c r="V10" s="184">
        <f t="shared" si="2"/>
        <v>4440</v>
      </c>
      <c r="W10" s="190">
        <v>2</v>
      </c>
      <c r="X10" s="186" t="s">
        <v>46</v>
      </c>
      <c r="Y10" s="194" t="s">
        <v>90</v>
      </c>
      <c r="Z10" s="186" t="s">
        <v>50</v>
      </c>
      <c r="AA10" s="176" t="s">
        <v>84</v>
      </c>
      <c r="AB10" s="55" t="s">
        <v>317</v>
      </c>
      <c r="AE10" s="223" t="s">
        <v>103</v>
      </c>
      <c r="AG10" s="243" t="s">
        <v>505</v>
      </c>
      <c r="AH10" s="243" t="s">
        <v>506</v>
      </c>
      <c r="AL10" s="235"/>
      <c r="AP10" s="224" t="s">
        <v>100</v>
      </c>
      <c r="AR10" s="231" t="s">
        <v>123</v>
      </c>
      <c r="AV10" s="224" t="s">
        <v>106</v>
      </c>
    </row>
    <row r="11" spans="1:53" x14ac:dyDescent="0.15">
      <c r="A11" s="177" t="s">
        <v>34</v>
      </c>
      <c r="B11" s="177" t="s">
        <v>315</v>
      </c>
      <c r="C11" s="178">
        <v>2018</v>
      </c>
      <c r="D11" s="179" t="s">
        <v>497</v>
      </c>
      <c r="E11" s="178" t="s">
        <v>261</v>
      </c>
      <c r="F11" s="177" t="s">
        <v>262</v>
      </c>
      <c r="G11" s="180" t="s">
        <v>36</v>
      </c>
      <c r="H11" s="137" t="s">
        <v>157</v>
      </c>
      <c r="I11" s="137" t="s">
        <v>153</v>
      </c>
      <c r="J11" s="137" t="s">
        <v>38</v>
      </c>
      <c r="K11" s="137" t="s">
        <v>154</v>
      </c>
      <c r="L11" s="208">
        <v>1</v>
      </c>
      <c r="N11" s="208">
        <v>1</v>
      </c>
      <c r="O11" s="208">
        <v>0.5</v>
      </c>
      <c r="P11" s="208">
        <v>0.55000000000000004</v>
      </c>
      <c r="Q11" s="245">
        <f t="shared" si="0"/>
        <v>0.52500000000000002</v>
      </c>
      <c r="R11" s="188">
        <v>15.3</v>
      </c>
      <c r="S11" s="188">
        <v>137</v>
      </c>
      <c r="T11" s="217">
        <f t="shared" si="1"/>
        <v>30</v>
      </c>
      <c r="U11" s="193">
        <v>148</v>
      </c>
      <c r="V11" s="184">
        <f t="shared" si="2"/>
        <v>4440</v>
      </c>
      <c r="W11" s="190">
        <v>2</v>
      </c>
      <c r="X11" s="186" t="s">
        <v>46</v>
      </c>
      <c r="Y11" s="194" t="s">
        <v>90</v>
      </c>
      <c r="Z11" s="186" t="s">
        <v>50</v>
      </c>
      <c r="AA11" s="195" t="s">
        <v>84</v>
      </c>
      <c r="AB11" s="55" t="s">
        <v>317</v>
      </c>
      <c r="AE11" s="223" t="s">
        <v>65</v>
      </c>
      <c r="AG11" s="238"/>
      <c r="AH11" s="238"/>
      <c r="AL11" s="235"/>
      <c r="AP11" s="224" t="s">
        <v>104</v>
      </c>
      <c r="AR11" s="231" t="s">
        <v>87</v>
      </c>
      <c r="AV11" s="224" t="s">
        <v>69</v>
      </c>
    </row>
    <row r="12" spans="1:53" x14ac:dyDescent="0.15">
      <c r="A12" s="177" t="s">
        <v>34</v>
      </c>
      <c r="B12" s="177" t="s">
        <v>315</v>
      </c>
      <c r="C12" s="177">
        <v>2018</v>
      </c>
      <c r="D12" s="179" t="s">
        <v>497</v>
      </c>
      <c r="E12" s="178" t="s">
        <v>261</v>
      </c>
      <c r="F12" s="177" t="s">
        <v>262</v>
      </c>
      <c r="G12" s="180" t="s">
        <v>36</v>
      </c>
      <c r="H12" s="137" t="s">
        <v>157</v>
      </c>
      <c r="I12" s="137" t="s">
        <v>153</v>
      </c>
      <c r="J12" s="137" t="s">
        <v>38</v>
      </c>
      <c r="K12" s="137" t="s">
        <v>154</v>
      </c>
      <c r="L12" s="208">
        <v>2</v>
      </c>
      <c r="N12" s="208">
        <v>1</v>
      </c>
      <c r="O12" s="208">
        <v>0.45</v>
      </c>
      <c r="P12" s="208">
        <v>0.5</v>
      </c>
      <c r="Q12" s="245">
        <f t="shared" si="0"/>
        <v>0.47499999999999998</v>
      </c>
      <c r="R12" s="188">
        <v>15.7</v>
      </c>
      <c r="S12" s="188">
        <v>139</v>
      </c>
      <c r="T12" s="217">
        <f t="shared" si="1"/>
        <v>30</v>
      </c>
      <c r="U12" s="193">
        <v>148</v>
      </c>
      <c r="V12" s="184">
        <f t="shared" si="2"/>
        <v>4440</v>
      </c>
      <c r="W12" s="190">
        <v>2</v>
      </c>
      <c r="X12" s="186" t="s">
        <v>46</v>
      </c>
      <c r="Y12" s="194" t="s">
        <v>90</v>
      </c>
      <c r="Z12" s="186" t="s">
        <v>50</v>
      </c>
      <c r="AA12" s="195" t="s">
        <v>84</v>
      </c>
      <c r="AB12" s="55" t="s">
        <v>317</v>
      </c>
      <c r="AE12" s="223" t="s">
        <v>70</v>
      </c>
      <c r="AG12" s="238"/>
      <c r="AH12" s="238"/>
      <c r="AL12" s="235"/>
      <c r="AP12" s="224" t="s">
        <v>67</v>
      </c>
      <c r="AR12" s="231" t="s">
        <v>124</v>
      </c>
      <c r="AV12" s="224" t="s">
        <v>72</v>
      </c>
    </row>
    <row r="13" spans="1:53" x14ac:dyDescent="0.15">
      <c r="A13" s="177" t="s">
        <v>34</v>
      </c>
      <c r="B13" s="177" t="s">
        <v>315</v>
      </c>
      <c r="C13" s="178">
        <v>2018</v>
      </c>
      <c r="D13" s="179" t="s">
        <v>497</v>
      </c>
      <c r="E13" s="178" t="s">
        <v>261</v>
      </c>
      <c r="F13" s="177" t="s">
        <v>262</v>
      </c>
      <c r="G13" s="180" t="s">
        <v>36</v>
      </c>
      <c r="H13" s="137" t="s">
        <v>157</v>
      </c>
      <c r="I13" s="137" t="s">
        <v>153</v>
      </c>
      <c r="J13" s="137" t="s">
        <v>38</v>
      </c>
      <c r="K13" s="137" t="s">
        <v>154</v>
      </c>
      <c r="L13" s="208">
        <v>3</v>
      </c>
      <c r="N13" s="208">
        <v>1</v>
      </c>
      <c r="O13" s="208">
        <v>0.6</v>
      </c>
      <c r="P13" s="208">
        <v>0.55000000000000004</v>
      </c>
      <c r="Q13" s="245">
        <f t="shared" si="0"/>
        <v>0.57499999999999996</v>
      </c>
      <c r="R13" s="188">
        <v>15.5</v>
      </c>
      <c r="S13" s="188">
        <v>139</v>
      </c>
      <c r="T13" s="217">
        <f t="shared" si="1"/>
        <v>30</v>
      </c>
      <c r="U13" s="193">
        <v>148</v>
      </c>
      <c r="V13" s="184">
        <f t="shared" si="2"/>
        <v>4440</v>
      </c>
      <c r="W13" s="190">
        <v>2</v>
      </c>
      <c r="X13" s="186" t="s">
        <v>46</v>
      </c>
      <c r="Y13" s="194" t="s">
        <v>90</v>
      </c>
      <c r="Z13" s="186" t="s">
        <v>50</v>
      </c>
      <c r="AA13" s="195" t="s">
        <v>84</v>
      </c>
      <c r="AB13" s="55" t="s">
        <v>317</v>
      </c>
      <c r="AE13" s="223" t="s">
        <v>73</v>
      </c>
      <c r="AG13" s="196"/>
      <c r="AH13" s="196"/>
      <c r="AP13" s="224" t="s">
        <v>71</v>
      </c>
      <c r="AR13" s="231" t="s">
        <v>103</v>
      </c>
      <c r="AV13" s="224" t="s">
        <v>75</v>
      </c>
    </row>
    <row r="14" spans="1:53" x14ac:dyDescent="0.15">
      <c r="A14" s="177" t="s">
        <v>34</v>
      </c>
      <c r="B14" s="177" t="s">
        <v>315</v>
      </c>
      <c r="C14" s="177">
        <v>2018</v>
      </c>
      <c r="D14" s="179" t="s">
        <v>497</v>
      </c>
      <c r="E14" s="178" t="s">
        <v>264</v>
      </c>
      <c r="F14" s="177" t="s">
        <v>262</v>
      </c>
      <c r="G14" s="180" t="s">
        <v>36</v>
      </c>
      <c r="H14" s="137" t="s">
        <v>155</v>
      </c>
      <c r="I14" s="137" t="s">
        <v>153</v>
      </c>
      <c r="J14" s="137" t="s">
        <v>38</v>
      </c>
      <c r="K14" s="137" t="s">
        <v>154</v>
      </c>
      <c r="L14" s="208">
        <v>1</v>
      </c>
      <c r="N14" s="208">
        <v>1</v>
      </c>
      <c r="O14" s="208">
        <v>0.4</v>
      </c>
      <c r="P14" s="208">
        <v>0.45</v>
      </c>
      <c r="Q14" s="245">
        <f t="shared" si="0"/>
        <v>0.42500000000000004</v>
      </c>
      <c r="R14" s="188">
        <v>14.6</v>
      </c>
      <c r="S14" s="188">
        <v>129</v>
      </c>
      <c r="T14" s="217">
        <f t="shared" si="1"/>
        <v>30</v>
      </c>
      <c r="U14" s="193">
        <v>98</v>
      </c>
      <c r="V14" s="184">
        <v>3582</v>
      </c>
      <c r="W14" s="190">
        <v>2</v>
      </c>
      <c r="X14" s="186" t="s">
        <v>46</v>
      </c>
      <c r="Y14" s="194" t="s">
        <v>78</v>
      </c>
      <c r="Z14" s="194" t="s">
        <v>84</v>
      </c>
      <c r="AA14" s="195" t="s">
        <v>90</v>
      </c>
      <c r="AB14" s="55" t="s">
        <v>317</v>
      </c>
      <c r="AC14" s="235"/>
      <c r="AE14" s="223" t="s">
        <v>76</v>
      </c>
      <c r="AG14" s="247"/>
      <c r="AH14" s="247"/>
      <c r="AP14" s="224" t="s">
        <v>74</v>
      </c>
      <c r="AR14" s="231" t="s">
        <v>125</v>
      </c>
      <c r="AV14" s="224" t="s">
        <v>78</v>
      </c>
    </row>
    <row r="15" spans="1:53" x14ac:dyDescent="0.15">
      <c r="A15" s="177" t="s">
        <v>34</v>
      </c>
      <c r="B15" s="177" t="s">
        <v>315</v>
      </c>
      <c r="C15" s="178">
        <v>2018</v>
      </c>
      <c r="D15" s="179" t="s">
        <v>497</v>
      </c>
      <c r="E15" s="178" t="s">
        <v>264</v>
      </c>
      <c r="F15" s="177" t="s">
        <v>262</v>
      </c>
      <c r="G15" s="180" t="s">
        <v>36</v>
      </c>
      <c r="H15" s="137" t="s">
        <v>155</v>
      </c>
      <c r="I15" s="137" t="s">
        <v>153</v>
      </c>
      <c r="J15" s="137" t="s">
        <v>38</v>
      </c>
      <c r="K15" s="137" t="s">
        <v>154</v>
      </c>
      <c r="L15" s="208">
        <v>2</v>
      </c>
      <c r="N15" s="208">
        <v>1</v>
      </c>
      <c r="O15" s="208">
        <v>0.5</v>
      </c>
      <c r="P15" s="208">
        <v>0.55000000000000004</v>
      </c>
      <c r="Q15" s="245">
        <f t="shared" si="0"/>
        <v>0.52500000000000002</v>
      </c>
      <c r="R15" s="188">
        <v>15.1</v>
      </c>
      <c r="S15" s="188">
        <v>132</v>
      </c>
      <c r="T15" s="217">
        <f t="shared" si="1"/>
        <v>30</v>
      </c>
      <c r="U15" s="193">
        <v>98</v>
      </c>
      <c r="V15" s="184">
        <f t="shared" si="2"/>
        <v>2940</v>
      </c>
      <c r="W15" s="190">
        <v>2</v>
      </c>
      <c r="X15" s="186" t="s">
        <v>46</v>
      </c>
      <c r="Y15" s="194" t="s">
        <v>78</v>
      </c>
      <c r="Z15" s="194" t="s">
        <v>84</v>
      </c>
      <c r="AA15" s="195" t="s">
        <v>90</v>
      </c>
      <c r="AB15" s="55" t="s">
        <v>317</v>
      </c>
      <c r="AC15" s="235"/>
      <c r="AE15" s="223" t="s">
        <v>79</v>
      </c>
      <c r="AP15" s="224" t="s">
        <v>77</v>
      </c>
      <c r="AR15" s="231" t="s">
        <v>94</v>
      </c>
      <c r="AV15" s="224" t="s">
        <v>107</v>
      </c>
    </row>
    <row r="16" spans="1:53" x14ac:dyDescent="0.15">
      <c r="A16" s="177" t="s">
        <v>34</v>
      </c>
      <c r="B16" s="177" t="s">
        <v>315</v>
      </c>
      <c r="C16" s="177">
        <v>2018</v>
      </c>
      <c r="D16" s="179" t="s">
        <v>497</v>
      </c>
      <c r="E16" s="178" t="s">
        <v>264</v>
      </c>
      <c r="F16" s="177" t="s">
        <v>262</v>
      </c>
      <c r="G16" s="180" t="s">
        <v>36</v>
      </c>
      <c r="H16" s="137" t="s">
        <v>155</v>
      </c>
      <c r="I16" s="137" t="s">
        <v>153</v>
      </c>
      <c r="J16" s="137" t="s">
        <v>38</v>
      </c>
      <c r="K16" s="137" t="s">
        <v>154</v>
      </c>
      <c r="L16" s="208">
        <v>3</v>
      </c>
      <c r="N16" s="208">
        <v>1</v>
      </c>
      <c r="O16" s="208">
        <v>0.55000000000000004</v>
      </c>
      <c r="P16" s="208">
        <v>0.6</v>
      </c>
      <c r="Q16" s="245">
        <f t="shared" si="0"/>
        <v>0.57499999999999996</v>
      </c>
      <c r="R16" s="188">
        <v>15.3</v>
      </c>
      <c r="S16" s="188">
        <v>132</v>
      </c>
      <c r="T16" s="217">
        <f t="shared" si="1"/>
        <v>30</v>
      </c>
      <c r="U16" s="193">
        <v>98</v>
      </c>
      <c r="V16" s="184">
        <f t="shared" si="2"/>
        <v>2940</v>
      </c>
      <c r="W16" s="190">
        <v>2</v>
      </c>
      <c r="X16" s="186" t="s">
        <v>46</v>
      </c>
      <c r="Y16" s="194" t="s">
        <v>78</v>
      </c>
      <c r="Z16" s="194" t="s">
        <v>84</v>
      </c>
      <c r="AA16" s="195" t="s">
        <v>90</v>
      </c>
      <c r="AB16" s="55" t="s">
        <v>317</v>
      </c>
      <c r="AC16" s="235"/>
      <c r="AE16" s="223" t="s">
        <v>82</v>
      </c>
      <c r="AP16" s="224" t="s">
        <v>80</v>
      </c>
      <c r="AR16" s="238" t="s">
        <v>63</v>
      </c>
      <c r="AV16" s="224" t="s">
        <v>84</v>
      </c>
    </row>
    <row r="17" spans="1:48" x14ac:dyDescent="0.15">
      <c r="A17" s="177" t="s">
        <v>34</v>
      </c>
      <c r="B17" s="177" t="s">
        <v>315</v>
      </c>
      <c r="C17" s="178">
        <v>2018</v>
      </c>
      <c r="D17" s="179" t="s">
        <v>497</v>
      </c>
      <c r="E17" s="178" t="s">
        <v>264</v>
      </c>
      <c r="F17" s="177" t="s">
        <v>262</v>
      </c>
      <c r="G17" s="180" t="s">
        <v>36</v>
      </c>
      <c r="H17" s="137" t="s">
        <v>157</v>
      </c>
      <c r="I17" s="137" t="s">
        <v>153</v>
      </c>
      <c r="J17" s="137" t="s">
        <v>38</v>
      </c>
      <c r="K17" s="137" t="s">
        <v>154</v>
      </c>
      <c r="L17" s="208">
        <v>1</v>
      </c>
      <c r="N17" s="208">
        <v>1</v>
      </c>
      <c r="O17" s="208">
        <v>0.55000000000000004</v>
      </c>
      <c r="P17" s="208">
        <v>0.5</v>
      </c>
      <c r="Q17" s="245">
        <f t="shared" si="0"/>
        <v>0.52500000000000002</v>
      </c>
      <c r="R17" s="188">
        <v>15.5</v>
      </c>
      <c r="S17" s="188">
        <v>163</v>
      </c>
      <c r="T17" s="217">
        <f t="shared" si="1"/>
        <v>30</v>
      </c>
      <c r="U17" s="193">
        <v>158</v>
      </c>
      <c r="V17" s="184">
        <f t="shared" si="2"/>
        <v>4740</v>
      </c>
      <c r="W17" s="190">
        <v>2</v>
      </c>
      <c r="X17" s="186" t="s">
        <v>46</v>
      </c>
      <c r="Y17" s="194" t="s">
        <v>78</v>
      </c>
      <c r="Z17" s="194" t="s">
        <v>84</v>
      </c>
      <c r="AA17" s="195" t="s">
        <v>90</v>
      </c>
      <c r="AB17" s="55" t="s">
        <v>317</v>
      </c>
      <c r="AC17" s="235"/>
      <c r="AE17" s="223" t="s">
        <v>85</v>
      </c>
      <c r="AP17" s="239" t="s">
        <v>110</v>
      </c>
      <c r="AR17" s="238" t="s">
        <v>96</v>
      </c>
      <c r="AV17" s="224" t="s">
        <v>86</v>
      </c>
    </row>
    <row r="18" spans="1:48" x14ac:dyDescent="0.15">
      <c r="A18" s="177" t="s">
        <v>34</v>
      </c>
      <c r="B18" s="177" t="s">
        <v>315</v>
      </c>
      <c r="C18" s="177">
        <v>2018</v>
      </c>
      <c r="D18" s="179" t="s">
        <v>497</v>
      </c>
      <c r="E18" s="178" t="s">
        <v>264</v>
      </c>
      <c r="F18" s="177" t="s">
        <v>262</v>
      </c>
      <c r="G18" s="180" t="s">
        <v>36</v>
      </c>
      <c r="H18" s="137" t="s">
        <v>157</v>
      </c>
      <c r="I18" s="137" t="s">
        <v>153</v>
      </c>
      <c r="J18" s="137" t="s">
        <v>38</v>
      </c>
      <c r="K18" s="137" t="s">
        <v>154</v>
      </c>
      <c r="L18" s="208">
        <v>2</v>
      </c>
      <c r="N18" s="208">
        <v>1</v>
      </c>
      <c r="O18" s="208">
        <v>0.45</v>
      </c>
      <c r="P18" s="208">
        <v>0.55000000000000004</v>
      </c>
      <c r="Q18" s="245">
        <f t="shared" si="0"/>
        <v>0.5</v>
      </c>
      <c r="R18" s="188">
        <v>15</v>
      </c>
      <c r="S18" s="188">
        <v>166</v>
      </c>
      <c r="T18" s="217">
        <f t="shared" si="1"/>
        <v>30</v>
      </c>
      <c r="U18" s="193">
        <v>158</v>
      </c>
      <c r="V18" s="184">
        <f t="shared" si="2"/>
        <v>4740</v>
      </c>
      <c r="W18" s="190">
        <v>2</v>
      </c>
      <c r="X18" s="186" t="s">
        <v>46</v>
      </c>
      <c r="Y18" s="194" t="s">
        <v>78</v>
      </c>
      <c r="Z18" s="194" t="s">
        <v>84</v>
      </c>
      <c r="AA18" s="195" t="s">
        <v>90</v>
      </c>
      <c r="AB18" s="55" t="s">
        <v>317</v>
      </c>
      <c r="AC18" s="235"/>
      <c r="AE18" s="223" t="s">
        <v>87</v>
      </c>
      <c r="AP18" s="239" t="s">
        <v>111</v>
      </c>
      <c r="AR18" s="238" t="s">
        <v>101</v>
      </c>
      <c r="AV18" s="224" t="s">
        <v>88</v>
      </c>
    </row>
    <row r="19" spans="1:48" x14ac:dyDescent="0.15">
      <c r="A19" s="177" t="s">
        <v>34</v>
      </c>
      <c r="B19" s="177" t="s">
        <v>315</v>
      </c>
      <c r="C19" s="178">
        <v>2018</v>
      </c>
      <c r="D19" s="179" t="s">
        <v>497</v>
      </c>
      <c r="E19" s="178" t="s">
        <v>264</v>
      </c>
      <c r="F19" s="177" t="s">
        <v>262</v>
      </c>
      <c r="G19" s="180" t="s">
        <v>36</v>
      </c>
      <c r="H19" s="137" t="s">
        <v>157</v>
      </c>
      <c r="I19" s="137" t="s">
        <v>153</v>
      </c>
      <c r="J19" s="137" t="s">
        <v>38</v>
      </c>
      <c r="K19" s="137" t="s">
        <v>154</v>
      </c>
      <c r="L19" s="208">
        <v>3</v>
      </c>
      <c r="N19" s="208">
        <v>1</v>
      </c>
      <c r="O19" s="208">
        <v>0.5</v>
      </c>
      <c r="P19" s="208">
        <v>0.5</v>
      </c>
      <c r="Q19" s="245">
        <f t="shared" si="0"/>
        <v>0.5</v>
      </c>
      <c r="R19" s="188">
        <v>15.3</v>
      </c>
      <c r="S19" s="188">
        <v>168</v>
      </c>
      <c r="T19" s="217">
        <f t="shared" si="1"/>
        <v>30</v>
      </c>
      <c r="U19" s="193">
        <v>158</v>
      </c>
      <c r="V19" s="184">
        <f t="shared" si="2"/>
        <v>4740</v>
      </c>
      <c r="W19" s="190">
        <v>2</v>
      </c>
      <c r="X19" s="186" t="s">
        <v>46</v>
      </c>
      <c r="Y19" s="194" t="s">
        <v>78</v>
      </c>
      <c r="Z19" s="194" t="s">
        <v>84</v>
      </c>
      <c r="AA19" s="195" t="s">
        <v>90</v>
      </c>
      <c r="AB19" s="55" t="s">
        <v>317</v>
      </c>
      <c r="AC19" s="235"/>
      <c r="AE19" s="236" t="s">
        <v>89</v>
      </c>
      <c r="AP19" s="239" t="s">
        <v>112</v>
      </c>
      <c r="AR19" s="231" t="s">
        <v>126</v>
      </c>
      <c r="AV19" s="224" t="s">
        <v>90</v>
      </c>
    </row>
    <row r="20" spans="1:48" x14ac:dyDescent="0.15">
      <c r="A20" s="177" t="s">
        <v>34</v>
      </c>
      <c r="B20" s="177" t="s">
        <v>315</v>
      </c>
      <c r="C20" s="177">
        <v>2018</v>
      </c>
      <c r="D20" s="179" t="s">
        <v>497</v>
      </c>
      <c r="E20" s="178" t="s">
        <v>493</v>
      </c>
      <c r="F20" s="177" t="s">
        <v>507</v>
      </c>
      <c r="G20" s="180" t="s">
        <v>36</v>
      </c>
      <c r="H20" s="137" t="s">
        <v>155</v>
      </c>
      <c r="I20" s="137" t="s">
        <v>153</v>
      </c>
      <c r="J20" s="137" t="s">
        <v>38</v>
      </c>
      <c r="K20" s="137" t="s">
        <v>154</v>
      </c>
      <c r="L20" s="208">
        <v>1</v>
      </c>
      <c r="N20" s="208">
        <v>1</v>
      </c>
      <c r="O20" s="208">
        <v>0.6</v>
      </c>
      <c r="P20" s="208">
        <v>0.55000000000000004</v>
      </c>
      <c r="Q20" s="245">
        <f t="shared" si="0"/>
        <v>0.57499999999999996</v>
      </c>
      <c r="R20" s="188">
        <v>14.7</v>
      </c>
      <c r="S20" s="197">
        <v>123</v>
      </c>
      <c r="T20" s="217">
        <f t="shared" si="1"/>
        <v>30</v>
      </c>
      <c r="U20" s="193">
        <v>128</v>
      </c>
      <c r="V20" s="184">
        <f t="shared" si="2"/>
        <v>3840</v>
      </c>
      <c r="W20" s="190">
        <v>2</v>
      </c>
      <c r="X20" s="186" t="s">
        <v>46</v>
      </c>
      <c r="Y20" s="194" t="s">
        <v>90</v>
      </c>
      <c r="Z20" s="194" t="s">
        <v>69</v>
      </c>
      <c r="AA20" s="195" t="s">
        <v>84</v>
      </c>
      <c r="AB20" s="55" t="s">
        <v>317</v>
      </c>
      <c r="AE20" s="236"/>
      <c r="AP20" s="239" t="s">
        <v>113</v>
      </c>
      <c r="AR20" s="238" t="s">
        <v>105</v>
      </c>
      <c r="AV20" s="228" t="s">
        <v>347</v>
      </c>
    </row>
    <row r="21" spans="1:48" x14ac:dyDescent="0.15">
      <c r="A21" s="177" t="s">
        <v>34</v>
      </c>
      <c r="B21" s="177" t="s">
        <v>315</v>
      </c>
      <c r="C21" s="178">
        <v>2018</v>
      </c>
      <c r="D21" s="179" t="s">
        <v>497</v>
      </c>
      <c r="E21" s="178" t="s">
        <v>493</v>
      </c>
      <c r="F21" s="177" t="s">
        <v>507</v>
      </c>
      <c r="G21" s="180" t="s">
        <v>36</v>
      </c>
      <c r="H21" s="137" t="s">
        <v>155</v>
      </c>
      <c r="I21" s="137" t="s">
        <v>153</v>
      </c>
      <c r="J21" s="137" t="s">
        <v>38</v>
      </c>
      <c r="K21" s="137" t="s">
        <v>154</v>
      </c>
      <c r="L21" s="208">
        <v>2</v>
      </c>
      <c r="N21" s="208">
        <v>1</v>
      </c>
      <c r="O21" s="208">
        <v>0.6</v>
      </c>
      <c r="P21" s="208">
        <v>0.5</v>
      </c>
      <c r="Q21" s="245">
        <f t="shared" si="0"/>
        <v>0.55000000000000004</v>
      </c>
      <c r="R21" s="197">
        <v>15.3</v>
      </c>
      <c r="S21" s="188">
        <v>122</v>
      </c>
      <c r="T21" s="217">
        <f t="shared" si="1"/>
        <v>30</v>
      </c>
      <c r="U21" s="193">
        <v>128</v>
      </c>
      <c r="V21" s="184">
        <f t="shared" si="2"/>
        <v>3840</v>
      </c>
      <c r="W21" s="190">
        <v>2</v>
      </c>
      <c r="X21" s="186" t="s">
        <v>46</v>
      </c>
      <c r="Y21" s="194" t="s">
        <v>90</v>
      </c>
      <c r="Z21" s="194" t="s">
        <v>69</v>
      </c>
      <c r="AA21" s="195" t="s">
        <v>84</v>
      </c>
      <c r="AB21" s="55" t="s">
        <v>317</v>
      </c>
      <c r="AE21" s="229"/>
      <c r="AP21" s="239" t="s">
        <v>114</v>
      </c>
      <c r="AR21" s="238" t="s">
        <v>68</v>
      </c>
      <c r="AV21" s="228" t="s">
        <v>348</v>
      </c>
    </row>
    <row r="22" spans="1:48" x14ac:dyDescent="0.15">
      <c r="A22" s="177" t="s">
        <v>34</v>
      </c>
      <c r="B22" s="177" t="s">
        <v>315</v>
      </c>
      <c r="C22" s="177">
        <v>2018</v>
      </c>
      <c r="D22" s="179" t="s">
        <v>497</v>
      </c>
      <c r="E22" s="178" t="s">
        <v>493</v>
      </c>
      <c r="F22" s="177" t="s">
        <v>507</v>
      </c>
      <c r="G22" s="180" t="s">
        <v>36</v>
      </c>
      <c r="H22" s="137" t="s">
        <v>155</v>
      </c>
      <c r="I22" s="137" t="s">
        <v>153</v>
      </c>
      <c r="J22" s="137" t="s">
        <v>38</v>
      </c>
      <c r="K22" s="137" t="s">
        <v>154</v>
      </c>
      <c r="L22" s="208">
        <v>3</v>
      </c>
      <c r="N22" s="208">
        <v>1</v>
      </c>
      <c r="O22" s="208">
        <v>0.55000000000000004</v>
      </c>
      <c r="P22" s="235">
        <v>0.5</v>
      </c>
      <c r="Q22" s="245">
        <f t="shared" si="0"/>
        <v>0.52500000000000002</v>
      </c>
      <c r="R22" s="188">
        <v>15.3</v>
      </c>
      <c r="S22" s="188">
        <v>116</v>
      </c>
      <c r="T22" s="217">
        <f t="shared" si="1"/>
        <v>30</v>
      </c>
      <c r="U22" s="193">
        <v>128</v>
      </c>
      <c r="V22" s="184">
        <f t="shared" si="2"/>
        <v>3840</v>
      </c>
      <c r="W22" s="190">
        <v>2</v>
      </c>
      <c r="X22" s="186" t="s">
        <v>46</v>
      </c>
      <c r="Y22" s="194" t="s">
        <v>90</v>
      </c>
      <c r="Z22" s="194" t="s">
        <v>69</v>
      </c>
      <c r="AA22" s="195" t="s">
        <v>84</v>
      </c>
      <c r="AB22" s="55" t="s">
        <v>317</v>
      </c>
      <c r="AP22" s="239" t="s">
        <v>115</v>
      </c>
      <c r="AR22" s="238" t="s">
        <v>83</v>
      </c>
      <c r="AV22" s="224"/>
    </row>
    <row r="23" spans="1:48" x14ac:dyDescent="0.15">
      <c r="A23" s="177" t="s">
        <v>34</v>
      </c>
      <c r="B23" s="177" t="s">
        <v>315</v>
      </c>
      <c r="C23" s="178">
        <v>2018</v>
      </c>
      <c r="D23" s="179" t="s">
        <v>497</v>
      </c>
      <c r="E23" s="178" t="s">
        <v>493</v>
      </c>
      <c r="F23" s="177" t="s">
        <v>507</v>
      </c>
      <c r="G23" s="180" t="s">
        <v>36</v>
      </c>
      <c r="H23" s="137" t="s">
        <v>157</v>
      </c>
      <c r="I23" s="137" t="s">
        <v>153</v>
      </c>
      <c r="J23" s="137" t="s">
        <v>38</v>
      </c>
      <c r="K23" s="137" t="s">
        <v>154</v>
      </c>
      <c r="L23" s="208">
        <v>1</v>
      </c>
      <c r="N23" s="208">
        <v>1</v>
      </c>
      <c r="O23" s="208">
        <v>0.6</v>
      </c>
      <c r="P23" s="235">
        <v>0.6</v>
      </c>
      <c r="Q23" s="245">
        <f t="shared" si="0"/>
        <v>0.6</v>
      </c>
      <c r="R23" s="188">
        <v>16.100000000000001</v>
      </c>
      <c r="S23" s="188">
        <v>149</v>
      </c>
      <c r="T23" s="217">
        <f t="shared" si="1"/>
        <v>30</v>
      </c>
      <c r="U23" s="193">
        <v>138</v>
      </c>
      <c r="V23" s="184">
        <f t="shared" si="2"/>
        <v>4140</v>
      </c>
      <c r="W23" s="190">
        <v>2</v>
      </c>
      <c r="X23" s="186" t="s">
        <v>46</v>
      </c>
      <c r="Y23" s="194" t="s">
        <v>90</v>
      </c>
      <c r="Z23" s="194" t="s">
        <v>69</v>
      </c>
      <c r="AA23" s="195" t="s">
        <v>84</v>
      </c>
      <c r="AB23" s="55" t="s">
        <v>317</v>
      </c>
      <c r="AP23" s="239" t="s">
        <v>388</v>
      </c>
      <c r="AR23" s="238" t="s">
        <v>61</v>
      </c>
      <c r="AV23" s="224"/>
    </row>
    <row r="24" spans="1:48" x14ac:dyDescent="0.15">
      <c r="A24" s="177" t="s">
        <v>34</v>
      </c>
      <c r="B24" s="177" t="s">
        <v>315</v>
      </c>
      <c r="C24" s="177">
        <v>2018</v>
      </c>
      <c r="D24" s="179" t="s">
        <v>497</v>
      </c>
      <c r="E24" s="178" t="s">
        <v>493</v>
      </c>
      <c r="F24" s="177" t="s">
        <v>507</v>
      </c>
      <c r="G24" s="180" t="s">
        <v>36</v>
      </c>
      <c r="H24" s="137" t="s">
        <v>157</v>
      </c>
      <c r="I24" s="137" t="s">
        <v>153</v>
      </c>
      <c r="J24" s="137" t="s">
        <v>38</v>
      </c>
      <c r="K24" s="137" t="s">
        <v>154</v>
      </c>
      <c r="L24" s="208">
        <v>2</v>
      </c>
      <c r="N24" s="208">
        <v>1</v>
      </c>
      <c r="O24" s="208">
        <v>0.5</v>
      </c>
      <c r="P24" s="235">
        <v>0.5</v>
      </c>
      <c r="Q24" s="245">
        <f t="shared" si="0"/>
        <v>0.5</v>
      </c>
      <c r="R24" s="188">
        <v>15.5</v>
      </c>
      <c r="S24" s="188">
        <v>172</v>
      </c>
      <c r="T24" s="217">
        <f t="shared" si="1"/>
        <v>30</v>
      </c>
      <c r="U24" s="193">
        <v>138</v>
      </c>
      <c r="V24" s="184">
        <f t="shared" si="2"/>
        <v>4140</v>
      </c>
      <c r="W24" s="190">
        <v>2</v>
      </c>
      <c r="X24" s="186" t="s">
        <v>46</v>
      </c>
      <c r="Y24" s="194" t="s">
        <v>90</v>
      </c>
      <c r="Z24" s="194" t="s">
        <v>69</v>
      </c>
      <c r="AA24" s="195" t="s">
        <v>84</v>
      </c>
      <c r="AB24" s="55" t="s">
        <v>317</v>
      </c>
      <c r="AP24" s="239" t="s">
        <v>389</v>
      </c>
      <c r="AR24" s="238" t="s">
        <v>91</v>
      </c>
      <c r="AV24" s="224"/>
    </row>
    <row r="25" spans="1:48" x14ac:dyDescent="0.15">
      <c r="A25" s="177" t="s">
        <v>34</v>
      </c>
      <c r="B25" s="177" t="s">
        <v>315</v>
      </c>
      <c r="C25" s="178">
        <v>2018</v>
      </c>
      <c r="D25" s="179" t="s">
        <v>497</v>
      </c>
      <c r="E25" s="178" t="s">
        <v>493</v>
      </c>
      <c r="F25" s="177" t="s">
        <v>507</v>
      </c>
      <c r="G25" s="180" t="s">
        <v>36</v>
      </c>
      <c r="H25" s="137" t="s">
        <v>157</v>
      </c>
      <c r="I25" s="137" t="s">
        <v>153</v>
      </c>
      <c r="J25" s="137" t="s">
        <v>38</v>
      </c>
      <c r="K25" s="137" t="s">
        <v>154</v>
      </c>
      <c r="L25" s="208">
        <v>3</v>
      </c>
      <c r="N25" s="208">
        <v>1</v>
      </c>
      <c r="O25" s="208">
        <v>0.5</v>
      </c>
      <c r="P25" s="235">
        <v>0.55000000000000004</v>
      </c>
      <c r="Q25" s="245">
        <f t="shared" si="0"/>
        <v>0.52500000000000002</v>
      </c>
      <c r="R25" s="188">
        <v>15.6</v>
      </c>
      <c r="S25" s="188">
        <v>172</v>
      </c>
      <c r="T25" s="217">
        <f t="shared" si="1"/>
        <v>30</v>
      </c>
      <c r="U25" s="193">
        <v>138</v>
      </c>
      <c r="V25" s="184">
        <f t="shared" si="2"/>
        <v>4140</v>
      </c>
      <c r="W25" s="190">
        <v>2</v>
      </c>
      <c r="X25" s="186" t="s">
        <v>46</v>
      </c>
      <c r="Y25" s="194" t="s">
        <v>90</v>
      </c>
      <c r="Z25" s="194" t="s">
        <v>69</v>
      </c>
      <c r="AA25" s="195" t="s">
        <v>84</v>
      </c>
      <c r="AB25" s="55" t="s">
        <v>317</v>
      </c>
      <c r="AP25" s="239" t="s">
        <v>116</v>
      </c>
      <c r="AR25" s="42" t="s">
        <v>92</v>
      </c>
      <c r="AV25" s="224"/>
    </row>
    <row r="26" spans="1:48" x14ac:dyDescent="0.15">
      <c r="A26" s="177" t="s">
        <v>34</v>
      </c>
      <c r="B26" s="177" t="s">
        <v>315</v>
      </c>
      <c r="C26" s="177">
        <v>2018</v>
      </c>
      <c r="D26" s="179" t="s">
        <v>497</v>
      </c>
      <c r="E26" s="178" t="s">
        <v>258</v>
      </c>
      <c r="F26" s="177" t="s">
        <v>259</v>
      </c>
      <c r="G26" s="180" t="s">
        <v>42</v>
      </c>
      <c r="H26" s="137" t="s">
        <v>155</v>
      </c>
      <c r="I26" s="137" t="s">
        <v>153</v>
      </c>
      <c r="J26" s="137" t="s">
        <v>38</v>
      </c>
      <c r="K26" s="137" t="s">
        <v>154</v>
      </c>
      <c r="L26" s="208">
        <v>1</v>
      </c>
      <c r="N26" s="208">
        <v>1</v>
      </c>
      <c r="O26" s="208">
        <v>0.45</v>
      </c>
      <c r="P26" s="237">
        <v>0.4</v>
      </c>
      <c r="Q26" s="245">
        <f t="shared" si="0"/>
        <v>0.42500000000000004</v>
      </c>
      <c r="R26" s="188">
        <v>16.7</v>
      </c>
      <c r="S26" s="188">
        <v>139</v>
      </c>
      <c r="T26" s="217">
        <f t="shared" si="1"/>
        <v>30</v>
      </c>
      <c r="U26" s="193">
        <v>127</v>
      </c>
      <c r="V26" s="184">
        <f t="shared" si="2"/>
        <v>3810</v>
      </c>
      <c r="W26" s="190">
        <v>6</v>
      </c>
      <c r="X26" s="186" t="s">
        <v>46</v>
      </c>
      <c r="Y26" s="195" t="s">
        <v>50</v>
      </c>
      <c r="Z26" s="194" t="s">
        <v>90</v>
      </c>
      <c r="AA26" s="195" t="s">
        <v>84</v>
      </c>
      <c r="AB26" s="55" t="s">
        <v>317</v>
      </c>
      <c r="AP26" s="239" t="s">
        <v>117</v>
      </c>
      <c r="AR26" s="224" t="s">
        <v>268</v>
      </c>
      <c r="AV26" s="228"/>
    </row>
    <row r="27" spans="1:48" x14ac:dyDescent="0.15">
      <c r="A27" s="177" t="s">
        <v>34</v>
      </c>
      <c r="B27" s="177" t="s">
        <v>315</v>
      </c>
      <c r="C27" s="178">
        <v>2018</v>
      </c>
      <c r="D27" s="179" t="s">
        <v>497</v>
      </c>
      <c r="E27" s="178" t="s">
        <v>258</v>
      </c>
      <c r="F27" s="177" t="s">
        <v>259</v>
      </c>
      <c r="G27" s="180" t="s">
        <v>42</v>
      </c>
      <c r="H27" s="137" t="s">
        <v>155</v>
      </c>
      <c r="I27" s="137" t="s">
        <v>153</v>
      </c>
      <c r="J27" s="137" t="s">
        <v>38</v>
      </c>
      <c r="K27" s="137" t="s">
        <v>154</v>
      </c>
      <c r="L27" s="208">
        <v>2</v>
      </c>
      <c r="N27" s="208">
        <v>1</v>
      </c>
      <c r="O27" s="235">
        <v>0.5</v>
      </c>
      <c r="P27" s="237">
        <v>0.5</v>
      </c>
      <c r="Q27" s="245">
        <f t="shared" si="0"/>
        <v>0.5</v>
      </c>
      <c r="R27" s="188">
        <v>15.4</v>
      </c>
      <c r="S27" s="188">
        <v>140</v>
      </c>
      <c r="T27" s="217">
        <f t="shared" si="1"/>
        <v>30</v>
      </c>
      <c r="U27" s="193">
        <v>127</v>
      </c>
      <c r="V27" s="184">
        <f t="shared" si="2"/>
        <v>3810</v>
      </c>
      <c r="W27" s="190">
        <v>6</v>
      </c>
      <c r="X27" s="186" t="s">
        <v>46</v>
      </c>
      <c r="Y27" s="195" t="s">
        <v>50</v>
      </c>
      <c r="Z27" s="194" t="s">
        <v>90</v>
      </c>
      <c r="AA27" s="195" t="s">
        <v>84</v>
      </c>
      <c r="AB27" s="55" t="s">
        <v>317</v>
      </c>
      <c r="AP27" s="239" t="s">
        <v>118</v>
      </c>
      <c r="AR27" s="224"/>
    </row>
    <row r="28" spans="1:48" x14ac:dyDescent="0.15">
      <c r="A28" s="177" t="s">
        <v>34</v>
      </c>
      <c r="B28" s="177" t="s">
        <v>315</v>
      </c>
      <c r="C28" s="177">
        <v>2018</v>
      </c>
      <c r="D28" s="179" t="s">
        <v>497</v>
      </c>
      <c r="E28" s="178" t="s">
        <v>258</v>
      </c>
      <c r="F28" s="177" t="s">
        <v>259</v>
      </c>
      <c r="G28" s="180" t="s">
        <v>42</v>
      </c>
      <c r="H28" s="137" t="s">
        <v>155</v>
      </c>
      <c r="I28" s="137" t="s">
        <v>153</v>
      </c>
      <c r="J28" s="137" t="s">
        <v>38</v>
      </c>
      <c r="K28" s="137" t="s">
        <v>154</v>
      </c>
      <c r="L28" s="208">
        <v>3</v>
      </c>
      <c r="N28" s="208">
        <v>1</v>
      </c>
      <c r="O28" s="235">
        <v>0.55000000000000004</v>
      </c>
      <c r="P28" s="208">
        <v>0.5</v>
      </c>
      <c r="Q28" s="245">
        <f t="shared" si="0"/>
        <v>0.52500000000000002</v>
      </c>
      <c r="R28" s="188">
        <v>15.8</v>
      </c>
      <c r="S28" s="188">
        <v>146</v>
      </c>
      <c r="T28" s="217">
        <f t="shared" si="1"/>
        <v>30</v>
      </c>
      <c r="U28" s="193">
        <v>127</v>
      </c>
      <c r="V28" s="184">
        <f t="shared" si="2"/>
        <v>3810</v>
      </c>
      <c r="W28" s="190">
        <v>6</v>
      </c>
      <c r="X28" s="186" t="s">
        <v>46</v>
      </c>
      <c r="Y28" s="195" t="s">
        <v>50</v>
      </c>
      <c r="Z28" s="194" t="s">
        <v>90</v>
      </c>
      <c r="AA28" s="195" t="s">
        <v>84</v>
      </c>
      <c r="AB28" s="55" t="s">
        <v>317</v>
      </c>
      <c r="AR28" s="224"/>
    </row>
    <row r="29" spans="1:48" x14ac:dyDescent="0.15">
      <c r="A29" s="177" t="s">
        <v>34</v>
      </c>
      <c r="B29" s="177" t="s">
        <v>315</v>
      </c>
      <c r="C29" s="177">
        <v>2018</v>
      </c>
      <c r="D29" s="179" t="s">
        <v>497</v>
      </c>
      <c r="E29" s="178" t="s">
        <v>258</v>
      </c>
      <c r="F29" s="177" t="s">
        <v>259</v>
      </c>
      <c r="G29" s="180" t="s">
        <v>42</v>
      </c>
      <c r="H29" s="137" t="s">
        <v>157</v>
      </c>
      <c r="I29" s="137" t="s">
        <v>153</v>
      </c>
      <c r="J29" s="137" t="s">
        <v>38</v>
      </c>
      <c r="K29" s="137" t="s">
        <v>154</v>
      </c>
      <c r="L29" s="208">
        <v>1</v>
      </c>
      <c r="N29" s="208">
        <v>1</v>
      </c>
      <c r="O29" s="208">
        <v>0.55000000000000004</v>
      </c>
      <c r="P29" s="208">
        <v>0.5</v>
      </c>
      <c r="Q29" s="245">
        <f t="shared" si="0"/>
        <v>0.52500000000000002</v>
      </c>
      <c r="R29" s="188">
        <v>16</v>
      </c>
      <c r="S29" s="188">
        <v>157</v>
      </c>
      <c r="T29" s="217">
        <f t="shared" si="1"/>
        <v>30</v>
      </c>
      <c r="U29" s="193">
        <v>127</v>
      </c>
      <c r="V29" s="184">
        <f t="shared" si="2"/>
        <v>3810</v>
      </c>
      <c r="W29" s="190">
        <v>6</v>
      </c>
      <c r="X29" s="186" t="s">
        <v>46</v>
      </c>
      <c r="Y29" s="195" t="s">
        <v>50</v>
      </c>
      <c r="Z29" s="194" t="s">
        <v>90</v>
      </c>
      <c r="AA29" s="195" t="s">
        <v>84</v>
      </c>
      <c r="AB29" s="55" t="s">
        <v>317</v>
      </c>
      <c r="AR29" s="229"/>
    </row>
    <row r="30" spans="1:48" x14ac:dyDescent="0.15">
      <c r="A30" s="177" t="s">
        <v>34</v>
      </c>
      <c r="B30" s="177" t="s">
        <v>315</v>
      </c>
      <c r="C30" s="178">
        <v>2018</v>
      </c>
      <c r="D30" s="179" t="s">
        <v>497</v>
      </c>
      <c r="E30" s="178" t="s">
        <v>258</v>
      </c>
      <c r="F30" s="177" t="s">
        <v>259</v>
      </c>
      <c r="G30" s="180" t="s">
        <v>42</v>
      </c>
      <c r="H30" s="137" t="s">
        <v>157</v>
      </c>
      <c r="I30" s="137" t="s">
        <v>153</v>
      </c>
      <c r="J30" s="137" t="s">
        <v>38</v>
      </c>
      <c r="K30" s="137" t="s">
        <v>154</v>
      </c>
      <c r="L30" s="208">
        <v>2</v>
      </c>
      <c r="N30" s="208">
        <v>1</v>
      </c>
      <c r="O30" s="208">
        <v>0.4</v>
      </c>
      <c r="P30" s="208">
        <v>0.45</v>
      </c>
      <c r="Q30" s="245">
        <f t="shared" si="0"/>
        <v>0.42500000000000004</v>
      </c>
      <c r="R30" s="188">
        <v>16.399999999999999</v>
      </c>
      <c r="S30" s="188">
        <v>158</v>
      </c>
      <c r="T30" s="217">
        <f t="shared" si="1"/>
        <v>30</v>
      </c>
      <c r="U30" s="193">
        <v>127</v>
      </c>
      <c r="V30" s="184">
        <f t="shared" si="2"/>
        <v>3810</v>
      </c>
      <c r="W30" s="190">
        <v>6</v>
      </c>
      <c r="X30" s="186" t="s">
        <v>46</v>
      </c>
      <c r="Y30" s="195" t="s">
        <v>50</v>
      </c>
      <c r="Z30" s="194" t="s">
        <v>90</v>
      </c>
      <c r="AA30" s="195" t="s">
        <v>84</v>
      </c>
      <c r="AB30" s="55" t="s">
        <v>317</v>
      </c>
    </row>
    <row r="31" spans="1:48" x14ac:dyDescent="0.15">
      <c r="A31" s="177" t="s">
        <v>34</v>
      </c>
      <c r="B31" s="177" t="s">
        <v>315</v>
      </c>
      <c r="C31" s="177">
        <v>2018</v>
      </c>
      <c r="D31" s="179" t="s">
        <v>497</v>
      </c>
      <c r="E31" s="178" t="s">
        <v>258</v>
      </c>
      <c r="F31" s="177" t="s">
        <v>259</v>
      </c>
      <c r="G31" s="180" t="s">
        <v>42</v>
      </c>
      <c r="H31" s="137" t="s">
        <v>157</v>
      </c>
      <c r="I31" s="137" t="s">
        <v>153</v>
      </c>
      <c r="J31" s="137" t="s">
        <v>38</v>
      </c>
      <c r="K31" s="137" t="s">
        <v>154</v>
      </c>
      <c r="L31" s="208">
        <v>3</v>
      </c>
      <c r="N31" s="208">
        <v>1</v>
      </c>
      <c r="O31" s="208">
        <v>0.45</v>
      </c>
      <c r="P31" s="208">
        <v>0.4</v>
      </c>
      <c r="Q31" s="245">
        <f t="shared" si="0"/>
        <v>0.42500000000000004</v>
      </c>
      <c r="R31" s="188">
        <v>16.100000000000001</v>
      </c>
      <c r="S31" s="188">
        <v>156</v>
      </c>
      <c r="T31" s="217">
        <f t="shared" si="1"/>
        <v>30</v>
      </c>
      <c r="U31" s="193">
        <v>127</v>
      </c>
      <c r="V31" s="184">
        <f t="shared" si="2"/>
        <v>3810</v>
      </c>
      <c r="W31" s="190">
        <v>6</v>
      </c>
      <c r="X31" s="186" t="s">
        <v>46</v>
      </c>
      <c r="Y31" s="195" t="s">
        <v>50</v>
      </c>
      <c r="Z31" s="194" t="s">
        <v>90</v>
      </c>
      <c r="AA31" s="195" t="s">
        <v>84</v>
      </c>
      <c r="AB31" s="55" t="s">
        <v>317</v>
      </c>
    </row>
    <row r="32" spans="1:48" ht="14.25" customHeight="1" x14ac:dyDescent="0.15">
      <c r="A32" s="177" t="s">
        <v>34</v>
      </c>
      <c r="B32" s="177" t="s">
        <v>315</v>
      </c>
      <c r="C32" s="178">
        <v>2018</v>
      </c>
      <c r="D32" s="179" t="s">
        <v>497</v>
      </c>
      <c r="E32" s="178" t="s">
        <v>508</v>
      </c>
      <c r="F32" s="177" t="s">
        <v>259</v>
      </c>
      <c r="G32" s="180" t="s">
        <v>42</v>
      </c>
      <c r="H32" s="137" t="s">
        <v>155</v>
      </c>
      <c r="I32" s="137" t="s">
        <v>153</v>
      </c>
      <c r="J32" s="137" t="s">
        <v>38</v>
      </c>
      <c r="K32" s="137" t="s">
        <v>154</v>
      </c>
      <c r="L32" s="208">
        <v>1</v>
      </c>
      <c r="N32" s="208">
        <v>1</v>
      </c>
      <c r="O32" s="208">
        <v>1.1000000000000001</v>
      </c>
      <c r="P32" s="208">
        <v>0.95</v>
      </c>
      <c r="Q32" s="245">
        <f t="shared" si="0"/>
        <v>1.0249999999999999</v>
      </c>
      <c r="R32" s="188">
        <v>14.2</v>
      </c>
      <c r="S32" s="188">
        <v>145</v>
      </c>
      <c r="T32" s="217">
        <f t="shared" si="1"/>
        <v>30</v>
      </c>
      <c r="U32" s="193">
        <v>139</v>
      </c>
      <c r="V32" s="184">
        <f t="shared" si="2"/>
        <v>4170</v>
      </c>
      <c r="W32" s="190">
        <v>2</v>
      </c>
      <c r="X32" s="186" t="s">
        <v>46</v>
      </c>
      <c r="Y32" s="195" t="s">
        <v>50</v>
      </c>
      <c r="Z32" s="194" t="s">
        <v>84</v>
      </c>
      <c r="AA32" s="194" t="s">
        <v>78</v>
      </c>
      <c r="AB32" s="55" t="s">
        <v>317</v>
      </c>
    </row>
    <row r="33" spans="1:28" x14ac:dyDescent="0.15">
      <c r="A33" s="177" t="s">
        <v>34</v>
      </c>
      <c r="B33" s="177" t="s">
        <v>315</v>
      </c>
      <c r="C33" s="177">
        <v>2018</v>
      </c>
      <c r="D33" s="179" t="s">
        <v>497</v>
      </c>
      <c r="E33" s="178" t="s">
        <v>508</v>
      </c>
      <c r="F33" s="177" t="s">
        <v>259</v>
      </c>
      <c r="G33" s="180" t="s">
        <v>42</v>
      </c>
      <c r="H33" s="137" t="s">
        <v>155</v>
      </c>
      <c r="I33" s="137" t="s">
        <v>153</v>
      </c>
      <c r="J33" s="137" t="s">
        <v>38</v>
      </c>
      <c r="K33" s="137" t="s">
        <v>154</v>
      </c>
      <c r="L33" s="208">
        <v>2</v>
      </c>
      <c r="N33" s="208">
        <v>1</v>
      </c>
      <c r="O33" s="208">
        <v>0.95</v>
      </c>
      <c r="P33" s="208">
        <v>0.8</v>
      </c>
      <c r="Q33" s="245">
        <f t="shared" si="0"/>
        <v>0.875</v>
      </c>
      <c r="R33" s="188">
        <v>13.8</v>
      </c>
      <c r="S33" s="188">
        <v>143</v>
      </c>
      <c r="T33" s="217">
        <f t="shared" si="1"/>
        <v>30</v>
      </c>
      <c r="U33" s="193">
        <v>139</v>
      </c>
      <c r="V33" s="184">
        <f t="shared" si="2"/>
        <v>4170</v>
      </c>
      <c r="W33" s="190">
        <v>2</v>
      </c>
      <c r="X33" s="186" t="s">
        <v>46</v>
      </c>
      <c r="Y33" s="195" t="s">
        <v>50</v>
      </c>
      <c r="Z33" s="194" t="s">
        <v>84</v>
      </c>
      <c r="AA33" s="194" t="s">
        <v>78</v>
      </c>
      <c r="AB33" s="55" t="s">
        <v>317</v>
      </c>
    </row>
    <row r="34" spans="1:28" x14ac:dyDescent="0.15">
      <c r="A34" s="177" t="s">
        <v>34</v>
      </c>
      <c r="B34" s="177" t="s">
        <v>315</v>
      </c>
      <c r="C34" s="178">
        <v>2018</v>
      </c>
      <c r="D34" s="179" t="s">
        <v>497</v>
      </c>
      <c r="E34" s="178" t="s">
        <v>508</v>
      </c>
      <c r="F34" s="177" t="s">
        <v>259</v>
      </c>
      <c r="G34" s="180" t="s">
        <v>42</v>
      </c>
      <c r="H34" s="137" t="s">
        <v>155</v>
      </c>
      <c r="I34" s="137" t="s">
        <v>153</v>
      </c>
      <c r="J34" s="137" t="s">
        <v>38</v>
      </c>
      <c r="K34" s="137" t="s">
        <v>154</v>
      </c>
      <c r="L34" s="208">
        <v>3</v>
      </c>
      <c r="N34" s="208">
        <v>1</v>
      </c>
      <c r="O34" s="208">
        <v>1</v>
      </c>
      <c r="P34" s="235">
        <v>0.85</v>
      </c>
      <c r="Q34" s="245">
        <f t="shared" si="0"/>
        <v>0.92500000000000004</v>
      </c>
      <c r="R34" s="188">
        <v>14.5</v>
      </c>
      <c r="S34" s="188">
        <v>140</v>
      </c>
      <c r="T34" s="217">
        <f t="shared" si="1"/>
        <v>30</v>
      </c>
      <c r="U34" s="193">
        <v>139</v>
      </c>
      <c r="V34" s="184">
        <f t="shared" si="2"/>
        <v>4170</v>
      </c>
      <c r="W34" s="190">
        <v>2</v>
      </c>
      <c r="X34" s="186" t="s">
        <v>46</v>
      </c>
      <c r="Y34" s="195" t="s">
        <v>50</v>
      </c>
      <c r="Z34" s="194" t="s">
        <v>84</v>
      </c>
      <c r="AA34" s="194" t="s">
        <v>78</v>
      </c>
      <c r="AB34" s="55" t="s">
        <v>317</v>
      </c>
    </row>
    <row r="35" spans="1:28" x14ac:dyDescent="0.15">
      <c r="A35" s="177" t="s">
        <v>34</v>
      </c>
      <c r="B35" s="177" t="s">
        <v>315</v>
      </c>
      <c r="C35" s="177">
        <v>2018</v>
      </c>
      <c r="D35" s="179" t="s">
        <v>497</v>
      </c>
      <c r="E35" s="178" t="s">
        <v>508</v>
      </c>
      <c r="F35" s="177" t="s">
        <v>259</v>
      </c>
      <c r="G35" s="180" t="s">
        <v>42</v>
      </c>
      <c r="H35" s="137" t="s">
        <v>157</v>
      </c>
      <c r="I35" s="137" t="s">
        <v>153</v>
      </c>
      <c r="J35" s="137" t="s">
        <v>38</v>
      </c>
      <c r="K35" s="137" t="s">
        <v>154</v>
      </c>
      <c r="L35" s="208">
        <v>1</v>
      </c>
      <c r="N35" s="208">
        <v>1</v>
      </c>
      <c r="O35" s="208">
        <v>0.5</v>
      </c>
      <c r="P35" s="208">
        <v>0.45</v>
      </c>
      <c r="Q35" s="245">
        <f t="shared" si="0"/>
        <v>0.47499999999999998</v>
      </c>
      <c r="R35" s="188">
        <v>15.3</v>
      </c>
      <c r="S35" s="188">
        <v>145</v>
      </c>
      <c r="T35" s="217">
        <f t="shared" si="1"/>
        <v>30</v>
      </c>
      <c r="U35" s="193">
        <v>139</v>
      </c>
      <c r="V35" s="184">
        <f t="shared" si="2"/>
        <v>4170</v>
      </c>
      <c r="W35" s="190">
        <v>2</v>
      </c>
      <c r="X35" s="186" t="s">
        <v>46</v>
      </c>
      <c r="Y35" s="194" t="s">
        <v>50</v>
      </c>
      <c r="Z35" s="194" t="s">
        <v>84</v>
      </c>
      <c r="AA35" s="194" t="s">
        <v>78</v>
      </c>
      <c r="AB35" s="55" t="s">
        <v>317</v>
      </c>
    </row>
    <row r="36" spans="1:28" x14ac:dyDescent="0.15">
      <c r="A36" s="177" t="s">
        <v>34</v>
      </c>
      <c r="B36" s="177" t="s">
        <v>315</v>
      </c>
      <c r="C36" s="178">
        <v>2018</v>
      </c>
      <c r="D36" s="179" t="s">
        <v>497</v>
      </c>
      <c r="E36" s="178" t="s">
        <v>508</v>
      </c>
      <c r="F36" s="177" t="s">
        <v>259</v>
      </c>
      <c r="G36" s="180" t="s">
        <v>42</v>
      </c>
      <c r="H36" s="137" t="s">
        <v>157</v>
      </c>
      <c r="I36" s="137" t="s">
        <v>153</v>
      </c>
      <c r="J36" s="137" t="s">
        <v>38</v>
      </c>
      <c r="K36" s="137" t="s">
        <v>154</v>
      </c>
      <c r="L36" s="208">
        <v>2</v>
      </c>
      <c r="N36" s="208">
        <v>1</v>
      </c>
      <c r="O36" s="208">
        <v>0.45</v>
      </c>
      <c r="P36" s="208">
        <v>0.4</v>
      </c>
      <c r="Q36" s="245">
        <f t="shared" si="0"/>
        <v>0.42500000000000004</v>
      </c>
      <c r="R36" s="188">
        <v>15.7</v>
      </c>
      <c r="S36" s="188">
        <v>139</v>
      </c>
      <c r="T36" s="217">
        <f t="shared" si="1"/>
        <v>30</v>
      </c>
      <c r="U36" s="193">
        <v>139</v>
      </c>
      <c r="V36" s="184">
        <f t="shared" si="2"/>
        <v>4170</v>
      </c>
      <c r="W36" s="190">
        <v>2</v>
      </c>
      <c r="X36" s="186" t="s">
        <v>46</v>
      </c>
      <c r="Y36" s="194" t="s">
        <v>50</v>
      </c>
      <c r="Z36" s="194" t="s">
        <v>84</v>
      </c>
      <c r="AA36" s="194" t="s">
        <v>78</v>
      </c>
      <c r="AB36" s="55" t="s">
        <v>317</v>
      </c>
    </row>
    <row r="37" spans="1:28" x14ac:dyDescent="0.15">
      <c r="A37" s="177" t="s">
        <v>34</v>
      </c>
      <c r="B37" s="177" t="s">
        <v>315</v>
      </c>
      <c r="C37" s="177">
        <v>2018</v>
      </c>
      <c r="D37" s="179" t="s">
        <v>497</v>
      </c>
      <c r="E37" s="178" t="s">
        <v>508</v>
      </c>
      <c r="F37" s="177" t="s">
        <v>259</v>
      </c>
      <c r="G37" s="180" t="s">
        <v>42</v>
      </c>
      <c r="H37" s="137" t="s">
        <v>157</v>
      </c>
      <c r="I37" s="137" t="s">
        <v>153</v>
      </c>
      <c r="J37" s="137" t="s">
        <v>38</v>
      </c>
      <c r="K37" s="137" t="s">
        <v>154</v>
      </c>
      <c r="L37" s="208">
        <v>3</v>
      </c>
      <c r="N37" s="208">
        <v>1</v>
      </c>
      <c r="O37" s="208">
        <v>0.5</v>
      </c>
      <c r="P37" s="208">
        <v>0.45</v>
      </c>
      <c r="Q37" s="245">
        <f t="shared" si="0"/>
        <v>0.47499999999999998</v>
      </c>
      <c r="R37" s="188">
        <v>15.4</v>
      </c>
      <c r="S37" s="188">
        <v>140</v>
      </c>
      <c r="T37" s="217">
        <f t="shared" si="1"/>
        <v>30</v>
      </c>
      <c r="U37" s="193">
        <v>139</v>
      </c>
      <c r="V37" s="184">
        <f t="shared" si="2"/>
        <v>4170</v>
      </c>
      <c r="W37" s="190">
        <v>2</v>
      </c>
      <c r="X37" s="186" t="s">
        <v>46</v>
      </c>
      <c r="Y37" s="194" t="s">
        <v>50</v>
      </c>
      <c r="Z37" s="194" t="s">
        <v>84</v>
      </c>
      <c r="AA37" s="194" t="s">
        <v>78</v>
      </c>
      <c r="AB37" s="55" t="s">
        <v>317</v>
      </c>
    </row>
    <row r="38" spans="1:28" x14ac:dyDescent="0.15">
      <c r="A38" s="177" t="s">
        <v>34</v>
      </c>
      <c r="B38" s="177" t="s">
        <v>315</v>
      </c>
      <c r="C38" s="178">
        <v>2018</v>
      </c>
      <c r="D38" s="179" t="s">
        <v>497</v>
      </c>
      <c r="E38" s="178" t="s">
        <v>258</v>
      </c>
      <c r="F38" s="177" t="s">
        <v>266</v>
      </c>
      <c r="G38" s="180" t="s">
        <v>42</v>
      </c>
      <c r="H38" s="137" t="s">
        <v>155</v>
      </c>
      <c r="I38" s="137" t="s">
        <v>153</v>
      </c>
      <c r="J38" s="137" t="s">
        <v>38</v>
      </c>
      <c r="K38" s="137" t="s">
        <v>154</v>
      </c>
      <c r="L38" s="208">
        <v>1</v>
      </c>
      <c r="N38" s="208">
        <v>1</v>
      </c>
      <c r="O38" s="208">
        <v>0.5</v>
      </c>
      <c r="P38" s="208">
        <v>0.5</v>
      </c>
      <c r="Q38" s="245">
        <f t="shared" si="0"/>
        <v>0.5</v>
      </c>
      <c r="R38" s="188">
        <v>15.5</v>
      </c>
      <c r="S38" s="188">
        <v>137</v>
      </c>
      <c r="T38" s="217">
        <f t="shared" si="1"/>
        <v>30</v>
      </c>
      <c r="U38" s="193">
        <v>127</v>
      </c>
      <c r="V38" s="184">
        <f t="shared" si="2"/>
        <v>3810</v>
      </c>
      <c r="W38" s="190">
        <v>6</v>
      </c>
      <c r="X38" s="186" t="s">
        <v>46</v>
      </c>
      <c r="Y38" s="194" t="s">
        <v>50</v>
      </c>
      <c r="Z38" s="194" t="s">
        <v>78</v>
      </c>
      <c r="AA38" s="194" t="s">
        <v>69</v>
      </c>
      <c r="AB38" s="55" t="s">
        <v>317</v>
      </c>
    </row>
    <row r="39" spans="1:28" x14ac:dyDescent="0.15">
      <c r="A39" s="177" t="s">
        <v>34</v>
      </c>
      <c r="B39" s="177" t="s">
        <v>315</v>
      </c>
      <c r="C39" s="177">
        <v>2018</v>
      </c>
      <c r="D39" s="179" t="s">
        <v>497</v>
      </c>
      <c r="E39" s="178" t="s">
        <v>258</v>
      </c>
      <c r="F39" s="177" t="s">
        <v>266</v>
      </c>
      <c r="G39" s="180" t="s">
        <v>42</v>
      </c>
      <c r="H39" s="137" t="s">
        <v>155</v>
      </c>
      <c r="I39" s="137" t="s">
        <v>153</v>
      </c>
      <c r="J39" s="137" t="s">
        <v>38</v>
      </c>
      <c r="K39" s="137" t="s">
        <v>154</v>
      </c>
      <c r="L39" s="208">
        <v>2</v>
      </c>
      <c r="N39" s="208">
        <v>1</v>
      </c>
      <c r="O39" s="208">
        <v>0.5</v>
      </c>
      <c r="P39" s="208">
        <v>0.55000000000000004</v>
      </c>
      <c r="Q39" s="245">
        <f t="shared" si="0"/>
        <v>0.52500000000000002</v>
      </c>
      <c r="R39" s="188">
        <v>15.5</v>
      </c>
      <c r="S39" s="188">
        <v>135</v>
      </c>
      <c r="T39" s="217">
        <f t="shared" si="1"/>
        <v>30</v>
      </c>
      <c r="U39" s="193">
        <v>127</v>
      </c>
      <c r="V39" s="184">
        <f t="shared" si="2"/>
        <v>3810</v>
      </c>
      <c r="W39" s="190">
        <v>6</v>
      </c>
      <c r="X39" s="186" t="s">
        <v>46</v>
      </c>
      <c r="Y39" s="194" t="s">
        <v>50</v>
      </c>
      <c r="Z39" s="194" t="s">
        <v>78</v>
      </c>
      <c r="AA39" s="194" t="s">
        <v>69</v>
      </c>
      <c r="AB39" s="55" t="s">
        <v>317</v>
      </c>
    </row>
    <row r="40" spans="1:28" ht="12.75" customHeight="1" x14ac:dyDescent="0.15">
      <c r="A40" s="177" t="s">
        <v>34</v>
      </c>
      <c r="B40" s="177" t="s">
        <v>315</v>
      </c>
      <c r="C40" s="178">
        <v>2018</v>
      </c>
      <c r="D40" s="179" t="s">
        <v>497</v>
      </c>
      <c r="E40" s="178" t="s">
        <v>258</v>
      </c>
      <c r="F40" s="177" t="s">
        <v>266</v>
      </c>
      <c r="G40" s="180" t="s">
        <v>42</v>
      </c>
      <c r="H40" s="137" t="s">
        <v>155</v>
      </c>
      <c r="I40" s="137" t="s">
        <v>153</v>
      </c>
      <c r="J40" s="137" t="s">
        <v>38</v>
      </c>
      <c r="K40" s="137" t="s">
        <v>154</v>
      </c>
      <c r="L40" s="208">
        <v>3</v>
      </c>
      <c r="N40" s="208">
        <v>1</v>
      </c>
      <c r="O40" s="208">
        <v>0.65</v>
      </c>
      <c r="P40" s="208">
        <v>0.55000000000000004</v>
      </c>
      <c r="Q40" s="245">
        <f t="shared" si="0"/>
        <v>0.60000000000000009</v>
      </c>
      <c r="R40" s="188">
        <v>15.3</v>
      </c>
      <c r="S40" s="188">
        <v>146</v>
      </c>
      <c r="T40" s="217">
        <f t="shared" si="1"/>
        <v>30</v>
      </c>
      <c r="U40" s="193">
        <v>127</v>
      </c>
      <c r="V40" s="184">
        <f t="shared" si="2"/>
        <v>3810</v>
      </c>
      <c r="W40" s="190">
        <v>6</v>
      </c>
      <c r="X40" s="186" t="s">
        <v>46</v>
      </c>
      <c r="Y40" s="194" t="s">
        <v>50</v>
      </c>
      <c r="Z40" s="194" t="s">
        <v>78</v>
      </c>
      <c r="AA40" s="194" t="s">
        <v>69</v>
      </c>
      <c r="AB40" s="55" t="s">
        <v>317</v>
      </c>
    </row>
    <row r="41" spans="1:28" ht="12.75" customHeight="1" x14ac:dyDescent="0.15">
      <c r="A41" s="137" t="s">
        <v>34</v>
      </c>
      <c r="B41" s="177" t="s">
        <v>315</v>
      </c>
      <c r="C41" s="178">
        <v>2018</v>
      </c>
      <c r="D41" s="179" t="s">
        <v>497</v>
      </c>
      <c r="E41" s="178" t="s">
        <v>258</v>
      </c>
      <c r="F41" s="177" t="s">
        <v>266</v>
      </c>
      <c r="G41" s="180" t="s">
        <v>42</v>
      </c>
      <c r="H41" s="137" t="s">
        <v>157</v>
      </c>
      <c r="I41" s="137" t="s">
        <v>153</v>
      </c>
      <c r="J41" s="137" t="s">
        <v>38</v>
      </c>
      <c r="K41" s="137" t="s">
        <v>154</v>
      </c>
      <c r="L41" s="208">
        <v>1</v>
      </c>
      <c r="N41" s="208">
        <v>1</v>
      </c>
      <c r="O41" s="208">
        <v>0.4</v>
      </c>
      <c r="P41" s="208">
        <v>0.45</v>
      </c>
      <c r="Q41" s="245">
        <f t="shared" si="0"/>
        <v>0.42500000000000004</v>
      </c>
      <c r="R41" s="188">
        <v>15.8</v>
      </c>
      <c r="S41" s="188">
        <v>150</v>
      </c>
      <c r="T41" s="217">
        <f t="shared" si="1"/>
        <v>30</v>
      </c>
      <c r="U41" s="193">
        <v>127</v>
      </c>
      <c r="V41" s="184">
        <f t="shared" si="2"/>
        <v>3810</v>
      </c>
      <c r="W41" s="247">
        <v>6</v>
      </c>
      <c r="X41" s="186" t="s">
        <v>46</v>
      </c>
      <c r="Y41" s="198" t="s">
        <v>50</v>
      </c>
      <c r="Z41" s="198" t="s">
        <v>78</v>
      </c>
      <c r="AA41" s="198" t="s">
        <v>69</v>
      </c>
      <c r="AB41" s="55" t="s">
        <v>317</v>
      </c>
    </row>
    <row r="42" spans="1:28" ht="12.75" customHeight="1" x14ac:dyDescent="0.15">
      <c r="A42" s="137" t="s">
        <v>34</v>
      </c>
      <c r="B42" s="177" t="s">
        <v>315</v>
      </c>
      <c r="C42" s="178">
        <v>2018</v>
      </c>
      <c r="D42" s="179" t="s">
        <v>497</v>
      </c>
      <c r="E42" s="178" t="s">
        <v>258</v>
      </c>
      <c r="F42" s="177" t="s">
        <v>266</v>
      </c>
      <c r="G42" s="180" t="s">
        <v>42</v>
      </c>
      <c r="H42" s="137" t="s">
        <v>157</v>
      </c>
      <c r="I42" s="137" t="s">
        <v>153</v>
      </c>
      <c r="J42" s="137" t="s">
        <v>38</v>
      </c>
      <c r="K42" s="137" t="s">
        <v>154</v>
      </c>
      <c r="L42" s="208">
        <v>2</v>
      </c>
      <c r="N42" s="208">
        <v>1</v>
      </c>
      <c r="O42" s="208">
        <v>0.55000000000000004</v>
      </c>
      <c r="P42" s="208">
        <v>0.5</v>
      </c>
      <c r="Q42" s="245">
        <f t="shared" si="0"/>
        <v>0.52500000000000002</v>
      </c>
      <c r="R42" s="188">
        <v>16.100000000000001</v>
      </c>
      <c r="S42" s="188">
        <v>149</v>
      </c>
      <c r="T42" s="217">
        <f t="shared" si="1"/>
        <v>30</v>
      </c>
      <c r="U42" s="193">
        <v>127</v>
      </c>
      <c r="V42" s="184">
        <f t="shared" si="2"/>
        <v>3810</v>
      </c>
      <c r="W42" s="247">
        <v>6</v>
      </c>
      <c r="X42" s="186" t="s">
        <v>46</v>
      </c>
      <c r="Y42" s="198" t="s">
        <v>50</v>
      </c>
      <c r="Z42" s="198" t="s">
        <v>78</v>
      </c>
      <c r="AA42" s="198" t="s">
        <v>69</v>
      </c>
      <c r="AB42" s="55" t="s">
        <v>317</v>
      </c>
    </row>
    <row r="43" spans="1:28" ht="12.75" customHeight="1" x14ac:dyDescent="0.15">
      <c r="A43" s="137" t="s">
        <v>34</v>
      </c>
      <c r="B43" s="177" t="s">
        <v>315</v>
      </c>
      <c r="C43" s="178">
        <v>2018</v>
      </c>
      <c r="D43" s="179" t="s">
        <v>497</v>
      </c>
      <c r="E43" s="178" t="s">
        <v>258</v>
      </c>
      <c r="F43" s="177" t="s">
        <v>266</v>
      </c>
      <c r="G43" s="180" t="s">
        <v>42</v>
      </c>
      <c r="H43" s="137" t="s">
        <v>157</v>
      </c>
      <c r="I43" s="137" t="s">
        <v>153</v>
      </c>
      <c r="J43" s="137" t="s">
        <v>38</v>
      </c>
      <c r="K43" s="137" t="s">
        <v>154</v>
      </c>
      <c r="L43" s="208">
        <v>3</v>
      </c>
      <c r="N43" s="208">
        <v>1</v>
      </c>
      <c r="O43" s="208">
        <v>0.45</v>
      </c>
      <c r="P43" s="208">
        <v>0.5</v>
      </c>
      <c r="Q43" s="245">
        <f t="shared" si="0"/>
        <v>0.47499999999999998</v>
      </c>
      <c r="R43" s="188">
        <v>16.3</v>
      </c>
      <c r="S43" s="188">
        <v>166</v>
      </c>
      <c r="T43" s="217">
        <f t="shared" si="1"/>
        <v>30</v>
      </c>
      <c r="U43" s="193">
        <v>127</v>
      </c>
      <c r="V43" s="184">
        <f t="shared" si="2"/>
        <v>3810</v>
      </c>
      <c r="W43" s="247">
        <v>6</v>
      </c>
      <c r="X43" s="186" t="s">
        <v>46</v>
      </c>
      <c r="Y43" s="198" t="s">
        <v>50</v>
      </c>
      <c r="Z43" s="198" t="s">
        <v>78</v>
      </c>
      <c r="AA43" s="198" t="s">
        <v>69</v>
      </c>
      <c r="AB43" s="55" t="s">
        <v>317</v>
      </c>
    </row>
    <row r="44" spans="1:28" x14ac:dyDescent="0.15">
      <c r="A44" s="208" t="s">
        <v>34</v>
      </c>
      <c r="B44" s="177" t="s">
        <v>315</v>
      </c>
      <c r="C44" s="178">
        <v>2018</v>
      </c>
      <c r="D44" s="179" t="s">
        <v>497</v>
      </c>
      <c r="E44" s="178" t="s">
        <v>139</v>
      </c>
      <c r="F44" s="177" t="s">
        <v>266</v>
      </c>
      <c r="G44" s="180" t="s">
        <v>36</v>
      </c>
      <c r="H44" s="137" t="s">
        <v>155</v>
      </c>
      <c r="I44" s="137" t="s">
        <v>153</v>
      </c>
      <c r="J44" s="247" t="s">
        <v>38</v>
      </c>
      <c r="K44" s="137" t="s">
        <v>154</v>
      </c>
      <c r="L44" s="208">
        <v>1</v>
      </c>
      <c r="N44" s="208">
        <v>1</v>
      </c>
      <c r="O44" s="208">
        <v>0.8</v>
      </c>
      <c r="P44" s="208">
        <v>0.75</v>
      </c>
      <c r="Q44" s="245">
        <f t="shared" si="0"/>
        <v>0.77500000000000002</v>
      </c>
      <c r="R44" s="188">
        <v>15.2</v>
      </c>
      <c r="S44" s="188">
        <v>134</v>
      </c>
      <c r="T44" s="217">
        <f t="shared" si="1"/>
        <v>30</v>
      </c>
      <c r="U44" s="193">
        <v>128</v>
      </c>
      <c r="V44" s="217">
        <f t="shared" si="2"/>
        <v>3840</v>
      </c>
      <c r="W44" s="208">
        <v>18</v>
      </c>
      <c r="X44" s="186" t="s">
        <v>46</v>
      </c>
      <c r="Y44" s="198" t="s">
        <v>50</v>
      </c>
      <c r="Z44" s="198" t="s">
        <v>90</v>
      </c>
      <c r="AA44" s="198" t="s">
        <v>78</v>
      </c>
      <c r="AB44" s="55" t="s">
        <v>317</v>
      </c>
    </row>
    <row r="45" spans="1:28" x14ac:dyDescent="0.15">
      <c r="A45" s="208" t="s">
        <v>34</v>
      </c>
      <c r="B45" s="177" t="s">
        <v>315</v>
      </c>
      <c r="C45" s="177">
        <v>2018</v>
      </c>
      <c r="D45" s="179" t="s">
        <v>497</v>
      </c>
      <c r="E45" s="178" t="s">
        <v>139</v>
      </c>
      <c r="F45" s="177" t="s">
        <v>266</v>
      </c>
      <c r="G45" s="180" t="s">
        <v>36</v>
      </c>
      <c r="H45" s="137" t="s">
        <v>155</v>
      </c>
      <c r="I45" s="137" t="s">
        <v>153</v>
      </c>
      <c r="J45" s="247" t="s">
        <v>38</v>
      </c>
      <c r="K45" s="137" t="s">
        <v>154</v>
      </c>
      <c r="L45" s="208">
        <v>2</v>
      </c>
      <c r="N45" s="208">
        <v>1</v>
      </c>
      <c r="O45" s="208">
        <v>0.65</v>
      </c>
      <c r="P45" s="208">
        <v>0.7</v>
      </c>
      <c r="Q45" s="245">
        <f t="shared" si="0"/>
        <v>0.67500000000000004</v>
      </c>
      <c r="R45" s="188">
        <v>15.7</v>
      </c>
      <c r="S45" s="188">
        <v>139</v>
      </c>
      <c r="T45" s="217">
        <f t="shared" si="1"/>
        <v>30</v>
      </c>
      <c r="U45" s="193">
        <v>128</v>
      </c>
      <c r="V45" s="217">
        <f t="shared" si="2"/>
        <v>3840</v>
      </c>
      <c r="W45" s="208">
        <v>18</v>
      </c>
      <c r="X45" s="186" t="s">
        <v>46</v>
      </c>
      <c r="Y45" s="198" t="s">
        <v>50</v>
      </c>
      <c r="Z45" s="198" t="s">
        <v>90</v>
      </c>
      <c r="AA45" s="198" t="s">
        <v>78</v>
      </c>
      <c r="AB45" s="55" t="s">
        <v>317</v>
      </c>
    </row>
    <row r="46" spans="1:28" x14ac:dyDescent="0.15">
      <c r="A46" s="208" t="s">
        <v>34</v>
      </c>
      <c r="B46" s="177" t="s">
        <v>315</v>
      </c>
      <c r="C46" s="178">
        <v>2018</v>
      </c>
      <c r="D46" s="179" t="s">
        <v>497</v>
      </c>
      <c r="E46" s="178" t="s">
        <v>139</v>
      </c>
      <c r="F46" s="177" t="s">
        <v>266</v>
      </c>
      <c r="G46" s="180" t="s">
        <v>36</v>
      </c>
      <c r="H46" s="137" t="s">
        <v>155</v>
      </c>
      <c r="I46" s="137" t="s">
        <v>153</v>
      </c>
      <c r="J46" s="247" t="s">
        <v>38</v>
      </c>
      <c r="K46" s="137" t="s">
        <v>154</v>
      </c>
      <c r="L46" s="208">
        <v>3</v>
      </c>
      <c r="N46" s="208">
        <v>1</v>
      </c>
      <c r="O46" s="208">
        <v>0.8</v>
      </c>
      <c r="P46" s="208">
        <v>0.75</v>
      </c>
      <c r="Q46" s="245">
        <f t="shared" si="0"/>
        <v>0.77500000000000002</v>
      </c>
      <c r="R46" s="188">
        <v>15.3</v>
      </c>
      <c r="S46" s="188">
        <v>142</v>
      </c>
      <c r="T46" s="217">
        <f t="shared" si="1"/>
        <v>30</v>
      </c>
      <c r="U46" s="193">
        <v>128</v>
      </c>
      <c r="V46" s="217">
        <f t="shared" si="2"/>
        <v>3840</v>
      </c>
      <c r="W46" s="208">
        <v>18</v>
      </c>
      <c r="X46" s="186" t="s">
        <v>46</v>
      </c>
      <c r="Y46" s="198" t="s">
        <v>50</v>
      </c>
      <c r="Z46" s="198" t="s">
        <v>90</v>
      </c>
      <c r="AA46" s="198" t="s">
        <v>78</v>
      </c>
      <c r="AB46" s="55" t="s">
        <v>317</v>
      </c>
    </row>
    <row r="47" spans="1:28" x14ac:dyDescent="0.15">
      <c r="A47" s="208" t="s">
        <v>34</v>
      </c>
      <c r="B47" s="235" t="s">
        <v>315</v>
      </c>
      <c r="C47" s="208">
        <v>2018</v>
      </c>
      <c r="D47" s="179" t="s">
        <v>497</v>
      </c>
      <c r="E47" s="208" t="s">
        <v>139</v>
      </c>
      <c r="F47" s="177" t="s">
        <v>266</v>
      </c>
      <c r="G47" s="180" t="s">
        <v>36</v>
      </c>
      <c r="H47" s="137" t="s">
        <v>157</v>
      </c>
      <c r="I47" s="137" t="s">
        <v>153</v>
      </c>
      <c r="J47" s="247" t="s">
        <v>38</v>
      </c>
      <c r="K47" s="137" t="s">
        <v>154</v>
      </c>
      <c r="L47" s="208">
        <v>1</v>
      </c>
      <c r="N47" s="208">
        <v>1</v>
      </c>
      <c r="O47" s="208">
        <v>0.55000000000000004</v>
      </c>
      <c r="P47" s="208">
        <v>0.6</v>
      </c>
      <c r="Q47" s="245">
        <f t="shared" si="0"/>
        <v>0.57499999999999996</v>
      </c>
      <c r="R47" s="188">
        <v>16.600000000000001</v>
      </c>
      <c r="S47" s="188">
        <v>177</v>
      </c>
      <c r="T47" s="217">
        <f t="shared" si="1"/>
        <v>30</v>
      </c>
      <c r="U47" s="208">
        <v>178</v>
      </c>
      <c r="V47" s="217">
        <f t="shared" si="2"/>
        <v>5340</v>
      </c>
      <c r="W47" s="208">
        <v>18</v>
      </c>
      <c r="X47" s="186" t="s">
        <v>46</v>
      </c>
      <c r="Y47" s="208" t="s">
        <v>50</v>
      </c>
      <c r="Z47" s="208" t="s">
        <v>90</v>
      </c>
      <c r="AA47" s="208" t="s">
        <v>78</v>
      </c>
      <c r="AB47" s="55" t="s">
        <v>317</v>
      </c>
    </row>
    <row r="48" spans="1:28" x14ac:dyDescent="0.15">
      <c r="A48" s="208" t="s">
        <v>34</v>
      </c>
      <c r="B48" s="235" t="s">
        <v>315</v>
      </c>
      <c r="C48" s="208">
        <v>2018</v>
      </c>
      <c r="D48" s="179" t="s">
        <v>497</v>
      </c>
      <c r="E48" s="208" t="s">
        <v>139</v>
      </c>
      <c r="F48" s="177" t="s">
        <v>266</v>
      </c>
      <c r="G48" s="180" t="s">
        <v>36</v>
      </c>
      <c r="H48" s="137" t="s">
        <v>157</v>
      </c>
      <c r="I48" s="137" t="s">
        <v>153</v>
      </c>
      <c r="J48" s="247" t="s">
        <v>38</v>
      </c>
      <c r="K48" s="137" t="s">
        <v>154</v>
      </c>
      <c r="L48" s="208">
        <v>2</v>
      </c>
      <c r="N48" s="208">
        <v>1</v>
      </c>
      <c r="O48" s="208">
        <v>0.6</v>
      </c>
      <c r="P48" s="208">
        <v>0.5</v>
      </c>
      <c r="Q48" s="245">
        <f t="shared" si="0"/>
        <v>0.55000000000000004</v>
      </c>
      <c r="R48" s="188">
        <v>17.100000000000001</v>
      </c>
      <c r="S48" s="188">
        <v>156</v>
      </c>
      <c r="T48" s="217">
        <f t="shared" si="1"/>
        <v>30</v>
      </c>
      <c r="U48" s="208">
        <v>178</v>
      </c>
      <c r="V48" s="217">
        <f t="shared" si="2"/>
        <v>5340</v>
      </c>
      <c r="W48" s="208">
        <v>18</v>
      </c>
      <c r="X48" s="186" t="s">
        <v>46</v>
      </c>
      <c r="Y48" s="208" t="s">
        <v>50</v>
      </c>
      <c r="Z48" s="208" t="s">
        <v>90</v>
      </c>
      <c r="AA48" s="208" t="s">
        <v>78</v>
      </c>
      <c r="AB48" s="55" t="s">
        <v>317</v>
      </c>
    </row>
    <row r="49" spans="1:28" x14ac:dyDescent="0.15">
      <c r="A49" s="208" t="s">
        <v>34</v>
      </c>
      <c r="B49" s="235" t="s">
        <v>315</v>
      </c>
      <c r="C49" s="208">
        <v>2018</v>
      </c>
      <c r="D49" s="179" t="s">
        <v>497</v>
      </c>
      <c r="E49" s="208" t="s">
        <v>139</v>
      </c>
      <c r="F49" s="177" t="s">
        <v>266</v>
      </c>
      <c r="G49" s="180" t="s">
        <v>36</v>
      </c>
      <c r="H49" s="137" t="s">
        <v>157</v>
      </c>
      <c r="I49" s="137" t="s">
        <v>153</v>
      </c>
      <c r="J49" s="247" t="s">
        <v>38</v>
      </c>
      <c r="K49" s="137" t="s">
        <v>154</v>
      </c>
      <c r="L49" s="208">
        <v>3</v>
      </c>
      <c r="N49" s="208">
        <v>1</v>
      </c>
      <c r="O49" s="208">
        <v>0.55000000000000004</v>
      </c>
      <c r="P49" s="208">
        <v>0.5</v>
      </c>
      <c r="Q49" s="245">
        <f t="shared" si="0"/>
        <v>0.52500000000000002</v>
      </c>
      <c r="R49" s="188">
        <v>16.7</v>
      </c>
      <c r="S49" s="188">
        <v>159</v>
      </c>
      <c r="T49" s="217">
        <f t="shared" si="1"/>
        <v>30</v>
      </c>
      <c r="U49" s="208">
        <v>178</v>
      </c>
      <c r="V49" s="217">
        <f t="shared" si="2"/>
        <v>5340</v>
      </c>
      <c r="W49" s="208">
        <v>18</v>
      </c>
      <c r="X49" s="186" t="s">
        <v>46</v>
      </c>
      <c r="Y49" s="208" t="s">
        <v>50</v>
      </c>
      <c r="Z49" s="208" t="s">
        <v>90</v>
      </c>
      <c r="AA49" s="208" t="s">
        <v>78</v>
      </c>
      <c r="AB49" s="55" t="s">
        <v>317</v>
      </c>
    </row>
    <row r="50" spans="1:28" x14ac:dyDescent="0.15">
      <c r="A50" s="208" t="s">
        <v>34</v>
      </c>
      <c r="B50" s="208" t="s">
        <v>315</v>
      </c>
      <c r="C50" s="208">
        <v>2018</v>
      </c>
      <c r="D50" s="179" t="s">
        <v>497</v>
      </c>
      <c r="E50" s="208" t="s">
        <v>133</v>
      </c>
      <c r="F50" s="177" t="s">
        <v>260</v>
      </c>
      <c r="G50" s="180" t="s">
        <v>36</v>
      </c>
      <c r="H50" s="247" t="s">
        <v>155</v>
      </c>
      <c r="I50" s="247" t="s">
        <v>153</v>
      </c>
      <c r="J50" s="247" t="s">
        <v>38</v>
      </c>
      <c r="K50" s="137" t="s">
        <v>154</v>
      </c>
      <c r="L50" s="208">
        <v>1</v>
      </c>
      <c r="N50" s="208">
        <v>1</v>
      </c>
      <c r="O50" s="208">
        <v>0.75</v>
      </c>
      <c r="P50" s="208">
        <v>0.95</v>
      </c>
      <c r="Q50" s="245">
        <f t="shared" si="0"/>
        <v>0.85</v>
      </c>
      <c r="R50" s="208">
        <v>15.3</v>
      </c>
      <c r="S50" s="208">
        <v>161</v>
      </c>
      <c r="T50" s="217">
        <f t="shared" si="1"/>
        <v>30</v>
      </c>
      <c r="U50" s="208">
        <v>105</v>
      </c>
      <c r="V50" s="217">
        <f t="shared" si="2"/>
        <v>3150</v>
      </c>
      <c r="W50" s="208">
        <v>22</v>
      </c>
      <c r="X50" s="186" t="s">
        <v>46</v>
      </c>
      <c r="Y50" s="208" t="s">
        <v>90</v>
      </c>
      <c r="Z50" s="208" t="s">
        <v>84</v>
      </c>
      <c r="AA50" s="208" t="s">
        <v>78</v>
      </c>
      <c r="AB50" s="208" t="s">
        <v>317</v>
      </c>
    </row>
    <row r="51" spans="1:28" x14ac:dyDescent="0.15">
      <c r="A51" s="208" t="s">
        <v>34</v>
      </c>
      <c r="B51" s="208" t="s">
        <v>315</v>
      </c>
      <c r="C51" s="208">
        <v>2018</v>
      </c>
      <c r="D51" s="179" t="s">
        <v>497</v>
      </c>
      <c r="E51" s="208" t="s">
        <v>133</v>
      </c>
      <c r="F51" s="177" t="s">
        <v>260</v>
      </c>
      <c r="G51" s="180" t="s">
        <v>36</v>
      </c>
      <c r="H51" s="247" t="s">
        <v>155</v>
      </c>
      <c r="I51" s="247" t="s">
        <v>153</v>
      </c>
      <c r="J51" s="247" t="s">
        <v>38</v>
      </c>
      <c r="K51" s="137" t="s">
        <v>154</v>
      </c>
      <c r="L51" s="208">
        <v>2</v>
      </c>
      <c r="N51" s="208">
        <v>1</v>
      </c>
      <c r="O51" s="208">
        <v>0.8</v>
      </c>
      <c r="P51" s="208">
        <v>0.9</v>
      </c>
      <c r="Q51" s="245">
        <f t="shared" si="0"/>
        <v>0.85000000000000009</v>
      </c>
      <c r="R51" s="208">
        <v>15.1</v>
      </c>
      <c r="S51" s="208">
        <v>158</v>
      </c>
      <c r="T51" s="217">
        <f t="shared" si="1"/>
        <v>30</v>
      </c>
      <c r="U51" s="208">
        <v>105</v>
      </c>
      <c r="V51" s="217">
        <f t="shared" si="2"/>
        <v>3150</v>
      </c>
      <c r="W51" s="208">
        <v>22</v>
      </c>
      <c r="X51" s="186" t="s">
        <v>46</v>
      </c>
      <c r="Y51" s="208" t="s">
        <v>90</v>
      </c>
      <c r="Z51" s="208" t="s">
        <v>84</v>
      </c>
      <c r="AA51" s="208" t="s">
        <v>78</v>
      </c>
      <c r="AB51" s="208" t="s">
        <v>317</v>
      </c>
    </row>
    <row r="52" spans="1:28" x14ac:dyDescent="0.15">
      <c r="A52" s="208" t="s">
        <v>34</v>
      </c>
      <c r="B52" s="208" t="s">
        <v>315</v>
      </c>
      <c r="C52" s="208">
        <v>2018</v>
      </c>
      <c r="D52" s="179" t="s">
        <v>497</v>
      </c>
      <c r="E52" s="208" t="s">
        <v>133</v>
      </c>
      <c r="F52" s="177" t="s">
        <v>260</v>
      </c>
      <c r="G52" s="180" t="s">
        <v>36</v>
      </c>
      <c r="H52" s="247" t="s">
        <v>155</v>
      </c>
      <c r="I52" s="247" t="s">
        <v>153</v>
      </c>
      <c r="J52" s="247" t="s">
        <v>38</v>
      </c>
      <c r="K52" s="137" t="s">
        <v>154</v>
      </c>
      <c r="L52" s="208">
        <v>3</v>
      </c>
      <c r="N52" s="208">
        <v>1</v>
      </c>
      <c r="O52" s="208">
        <v>0.8</v>
      </c>
      <c r="P52" s="208">
        <v>0.7</v>
      </c>
      <c r="Q52" s="245">
        <f t="shared" si="0"/>
        <v>0.75</v>
      </c>
      <c r="R52" s="208">
        <v>15.5</v>
      </c>
      <c r="S52" s="208">
        <v>153</v>
      </c>
      <c r="T52" s="217">
        <f t="shared" si="1"/>
        <v>30</v>
      </c>
      <c r="U52" s="208">
        <v>105</v>
      </c>
      <c r="V52" s="217">
        <f t="shared" si="2"/>
        <v>3150</v>
      </c>
      <c r="W52" s="208">
        <v>22</v>
      </c>
      <c r="X52" s="186" t="s">
        <v>46</v>
      </c>
      <c r="Y52" s="208" t="s">
        <v>90</v>
      </c>
      <c r="Z52" s="208" t="s">
        <v>84</v>
      </c>
      <c r="AA52" s="208" t="s">
        <v>78</v>
      </c>
      <c r="AB52" s="208" t="s">
        <v>317</v>
      </c>
    </row>
    <row r="53" spans="1:28" x14ac:dyDescent="0.15">
      <c r="A53" s="208" t="s">
        <v>34</v>
      </c>
      <c r="B53" s="208" t="s">
        <v>315</v>
      </c>
      <c r="C53" s="208">
        <v>2018</v>
      </c>
      <c r="D53" s="179" t="s">
        <v>497</v>
      </c>
      <c r="E53" s="208" t="s">
        <v>133</v>
      </c>
      <c r="F53" s="177" t="s">
        <v>260</v>
      </c>
      <c r="G53" s="180" t="s">
        <v>36</v>
      </c>
      <c r="H53" s="247" t="s">
        <v>157</v>
      </c>
      <c r="I53" s="247" t="s">
        <v>153</v>
      </c>
      <c r="J53" s="247" t="s">
        <v>38</v>
      </c>
      <c r="K53" s="137" t="s">
        <v>154</v>
      </c>
      <c r="L53" s="208">
        <v>1</v>
      </c>
      <c r="N53" s="208">
        <v>1</v>
      </c>
      <c r="O53" s="208">
        <v>0.55000000000000004</v>
      </c>
      <c r="P53" s="208">
        <v>0.6</v>
      </c>
      <c r="Q53" s="245">
        <f t="shared" si="0"/>
        <v>0.57499999999999996</v>
      </c>
      <c r="R53" s="208">
        <v>15.4</v>
      </c>
      <c r="S53" s="208">
        <v>178</v>
      </c>
      <c r="T53" s="217">
        <f t="shared" si="1"/>
        <v>30</v>
      </c>
      <c r="U53" s="208">
        <v>149</v>
      </c>
      <c r="V53" s="217">
        <f t="shared" si="2"/>
        <v>4470</v>
      </c>
      <c r="W53" s="208">
        <v>22</v>
      </c>
      <c r="X53" s="186" t="s">
        <v>46</v>
      </c>
      <c r="Y53" s="208" t="s">
        <v>90</v>
      </c>
      <c r="Z53" s="208" t="s">
        <v>84</v>
      </c>
      <c r="AA53" s="208" t="s">
        <v>78</v>
      </c>
      <c r="AB53" s="208" t="s">
        <v>317</v>
      </c>
    </row>
    <row r="54" spans="1:28" x14ac:dyDescent="0.15">
      <c r="A54" s="208" t="s">
        <v>34</v>
      </c>
      <c r="B54" s="208" t="s">
        <v>315</v>
      </c>
      <c r="C54" s="208">
        <v>2018</v>
      </c>
      <c r="D54" s="179" t="s">
        <v>497</v>
      </c>
      <c r="E54" s="208" t="s">
        <v>133</v>
      </c>
      <c r="F54" s="177" t="s">
        <v>260</v>
      </c>
      <c r="G54" s="180" t="s">
        <v>36</v>
      </c>
      <c r="H54" s="247" t="s">
        <v>157</v>
      </c>
      <c r="I54" s="247" t="s">
        <v>153</v>
      </c>
      <c r="J54" s="247" t="s">
        <v>38</v>
      </c>
      <c r="K54" s="137" t="s">
        <v>154</v>
      </c>
      <c r="L54" s="208">
        <v>2</v>
      </c>
      <c r="N54" s="208">
        <v>1</v>
      </c>
      <c r="O54" s="208">
        <v>0.5</v>
      </c>
      <c r="P54" s="208">
        <v>0.55000000000000004</v>
      </c>
      <c r="Q54" s="245">
        <f t="shared" si="0"/>
        <v>0.52500000000000002</v>
      </c>
      <c r="R54" s="208">
        <v>15.3</v>
      </c>
      <c r="S54" s="208">
        <v>166</v>
      </c>
      <c r="T54" s="217">
        <f t="shared" si="1"/>
        <v>30</v>
      </c>
      <c r="U54" s="208">
        <v>149</v>
      </c>
      <c r="V54" s="217">
        <f t="shared" si="2"/>
        <v>4470</v>
      </c>
      <c r="W54" s="208">
        <v>22</v>
      </c>
      <c r="X54" s="186" t="s">
        <v>46</v>
      </c>
      <c r="Y54" s="208" t="s">
        <v>90</v>
      </c>
      <c r="Z54" s="208" t="s">
        <v>84</v>
      </c>
      <c r="AA54" s="208" t="s">
        <v>78</v>
      </c>
      <c r="AB54" s="208" t="s">
        <v>317</v>
      </c>
    </row>
    <row r="55" spans="1:28" x14ac:dyDescent="0.15">
      <c r="A55" s="208" t="s">
        <v>34</v>
      </c>
      <c r="B55" s="208" t="s">
        <v>315</v>
      </c>
      <c r="C55" s="208">
        <v>2018</v>
      </c>
      <c r="D55" s="179" t="s">
        <v>497</v>
      </c>
      <c r="E55" s="208" t="s">
        <v>133</v>
      </c>
      <c r="F55" s="177" t="s">
        <v>260</v>
      </c>
      <c r="G55" s="180" t="s">
        <v>36</v>
      </c>
      <c r="H55" s="247" t="s">
        <v>157</v>
      </c>
      <c r="I55" s="247" t="s">
        <v>153</v>
      </c>
      <c r="J55" s="247" t="s">
        <v>38</v>
      </c>
      <c r="K55" s="137" t="s">
        <v>154</v>
      </c>
      <c r="L55" s="208">
        <v>3</v>
      </c>
      <c r="N55" s="208">
        <v>1</v>
      </c>
      <c r="O55" s="208">
        <v>0.6</v>
      </c>
      <c r="P55" s="208">
        <v>0.5</v>
      </c>
      <c r="Q55" s="245">
        <f t="shared" si="0"/>
        <v>0.55000000000000004</v>
      </c>
      <c r="R55" s="208">
        <v>15.5</v>
      </c>
      <c r="S55" s="208">
        <v>155</v>
      </c>
      <c r="T55" s="217">
        <f t="shared" si="1"/>
        <v>30</v>
      </c>
      <c r="U55" s="208">
        <v>149</v>
      </c>
      <c r="V55" s="217">
        <f t="shared" si="2"/>
        <v>4470</v>
      </c>
      <c r="W55" s="208">
        <v>22</v>
      </c>
      <c r="X55" s="186" t="s">
        <v>46</v>
      </c>
      <c r="Y55" s="208" t="s">
        <v>90</v>
      </c>
      <c r="Z55" s="208" t="s">
        <v>84</v>
      </c>
      <c r="AA55" s="208" t="s">
        <v>78</v>
      </c>
      <c r="AB55" s="208" t="s">
        <v>317</v>
      </c>
    </row>
    <row r="56" spans="1:28" x14ac:dyDescent="0.15">
      <c r="A56" s="208" t="s">
        <v>34</v>
      </c>
      <c r="B56" s="208" t="s">
        <v>315</v>
      </c>
      <c r="C56" s="208">
        <v>2018</v>
      </c>
      <c r="D56" s="179" t="s">
        <v>497</v>
      </c>
      <c r="E56" s="208" t="s">
        <v>194</v>
      </c>
      <c r="F56" s="177" t="s">
        <v>263</v>
      </c>
      <c r="G56" s="180" t="s">
        <v>36</v>
      </c>
      <c r="H56" s="247" t="s">
        <v>157</v>
      </c>
      <c r="I56" s="247" t="s">
        <v>153</v>
      </c>
      <c r="J56" s="247" t="s">
        <v>38</v>
      </c>
      <c r="K56" s="137" t="s">
        <v>154</v>
      </c>
      <c r="L56" s="208">
        <v>1</v>
      </c>
      <c r="N56" s="208">
        <v>1</v>
      </c>
      <c r="O56" s="208">
        <v>0.45</v>
      </c>
      <c r="P56" s="208">
        <v>0.5</v>
      </c>
      <c r="Q56" s="245">
        <f t="shared" si="0"/>
        <v>0.47499999999999998</v>
      </c>
      <c r="R56" s="208">
        <v>14.9</v>
      </c>
      <c r="S56" s="208">
        <v>153</v>
      </c>
      <c r="T56" s="217">
        <f t="shared" si="1"/>
        <v>30</v>
      </c>
      <c r="U56" s="208">
        <v>158</v>
      </c>
      <c r="V56" s="217">
        <f t="shared" si="2"/>
        <v>4740</v>
      </c>
      <c r="W56" s="208">
        <v>1</v>
      </c>
      <c r="X56" s="186" t="s">
        <v>46</v>
      </c>
      <c r="Y56" s="208" t="s">
        <v>90</v>
      </c>
      <c r="Z56" s="208" t="s">
        <v>50</v>
      </c>
      <c r="AA56" s="208" t="s">
        <v>84</v>
      </c>
      <c r="AB56" s="208" t="s">
        <v>317</v>
      </c>
    </row>
    <row r="57" spans="1:28" x14ac:dyDescent="0.15">
      <c r="A57" s="208" t="s">
        <v>34</v>
      </c>
      <c r="B57" s="208" t="s">
        <v>315</v>
      </c>
      <c r="C57" s="208">
        <v>2018</v>
      </c>
      <c r="D57" s="179" t="s">
        <v>497</v>
      </c>
      <c r="E57" s="208" t="s">
        <v>194</v>
      </c>
      <c r="F57" s="177" t="s">
        <v>263</v>
      </c>
      <c r="G57" s="180" t="s">
        <v>36</v>
      </c>
      <c r="H57" s="247" t="s">
        <v>157</v>
      </c>
      <c r="I57" s="247" t="s">
        <v>153</v>
      </c>
      <c r="J57" s="247" t="s">
        <v>38</v>
      </c>
      <c r="K57" s="137" t="s">
        <v>154</v>
      </c>
      <c r="L57" s="208">
        <v>2</v>
      </c>
      <c r="N57" s="208">
        <v>1</v>
      </c>
      <c r="O57" s="208">
        <v>0.5</v>
      </c>
      <c r="P57" s="208">
        <v>0.4</v>
      </c>
      <c r="Q57" s="245">
        <f t="shared" si="0"/>
        <v>0.45</v>
      </c>
      <c r="R57" s="208">
        <v>14.3</v>
      </c>
      <c r="S57" s="208">
        <v>159</v>
      </c>
      <c r="T57" s="217">
        <f t="shared" si="1"/>
        <v>30</v>
      </c>
      <c r="U57" s="208">
        <v>158</v>
      </c>
      <c r="V57" s="217">
        <f t="shared" si="2"/>
        <v>4740</v>
      </c>
      <c r="W57" s="208">
        <v>1</v>
      </c>
      <c r="X57" s="186" t="s">
        <v>46</v>
      </c>
      <c r="Y57" s="208" t="s">
        <v>90</v>
      </c>
      <c r="Z57" s="208" t="s">
        <v>50</v>
      </c>
      <c r="AA57" s="208" t="s">
        <v>84</v>
      </c>
      <c r="AB57" s="208" t="s">
        <v>317</v>
      </c>
    </row>
    <row r="58" spans="1:28" x14ac:dyDescent="0.15">
      <c r="A58" s="208" t="s">
        <v>34</v>
      </c>
      <c r="B58" s="208" t="s">
        <v>315</v>
      </c>
      <c r="C58" s="208">
        <v>2018</v>
      </c>
      <c r="D58" s="179" t="s">
        <v>497</v>
      </c>
      <c r="E58" s="208" t="s">
        <v>194</v>
      </c>
      <c r="F58" s="177" t="s">
        <v>263</v>
      </c>
      <c r="G58" s="180" t="s">
        <v>36</v>
      </c>
      <c r="H58" s="247" t="s">
        <v>157</v>
      </c>
      <c r="I58" s="247" t="s">
        <v>153</v>
      </c>
      <c r="J58" s="247" t="s">
        <v>38</v>
      </c>
      <c r="K58" s="137" t="s">
        <v>154</v>
      </c>
      <c r="L58" s="208">
        <v>3</v>
      </c>
      <c r="N58" s="208">
        <v>1</v>
      </c>
      <c r="O58" s="208">
        <v>0.4</v>
      </c>
      <c r="P58" s="208">
        <v>0.4</v>
      </c>
      <c r="Q58" s="245">
        <f t="shared" si="0"/>
        <v>0.4</v>
      </c>
      <c r="R58" s="208">
        <v>15</v>
      </c>
      <c r="S58" s="208">
        <v>147</v>
      </c>
      <c r="T58" s="217">
        <f t="shared" si="1"/>
        <v>30</v>
      </c>
      <c r="U58" s="208">
        <v>158</v>
      </c>
      <c r="V58" s="217">
        <f t="shared" si="2"/>
        <v>4740</v>
      </c>
      <c r="W58" s="208">
        <v>1</v>
      </c>
      <c r="X58" s="186" t="s">
        <v>46</v>
      </c>
      <c r="Y58" s="208" t="s">
        <v>90</v>
      </c>
      <c r="Z58" s="208" t="s">
        <v>50</v>
      </c>
      <c r="AA58" s="208" t="s">
        <v>84</v>
      </c>
      <c r="AB58" s="208" t="s">
        <v>317</v>
      </c>
    </row>
    <row r="59" spans="1:28" x14ac:dyDescent="0.15">
      <c r="D59" s="179"/>
      <c r="F59" s="177"/>
      <c r="G59" s="180"/>
      <c r="H59" s="247"/>
      <c r="I59" s="247"/>
      <c r="J59" s="247"/>
      <c r="K59" s="137"/>
      <c r="Q59" s="245"/>
      <c r="X59" s="186"/>
    </row>
    <row r="60" spans="1:28" x14ac:dyDescent="0.15">
      <c r="D60" s="261"/>
      <c r="F60" s="177"/>
      <c r="G60" s="180"/>
      <c r="H60" s="247"/>
      <c r="I60" s="247"/>
      <c r="J60" s="247"/>
      <c r="K60" s="137"/>
      <c r="Q60" s="245"/>
      <c r="X60" s="186"/>
    </row>
    <row r="61" spans="1:28" x14ac:dyDescent="0.15">
      <c r="D61" s="179"/>
      <c r="F61" s="177"/>
      <c r="G61" s="180"/>
      <c r="H61" s="247"/>
      <c r="I61" s="247"/>
      <c r="J61" s="247"/>
      <c r="K61" s="137"/>
      <c r="Q61" s="245"/>
      <c r="X61" s="186"/>
    </row>
    <row r="62" spans="1:28" x14ac:dyDescent="0.15">
      <c r="D62" s="199"/>
      <c r="F62" s="177"/>
      <c r="G62" s="180"/>
      <c r="H62" s="247"/>
      <c r="I62" s="247"/>
      <c r="J62" s="247"/>
      <c r="K62" s="137"/>
      <c r="Q62" s="245" t="str">
        <f t="shared" si="0"/>
        <v/>
      </c>
      <c r="T62" s="217" t="str">
        <f t="shared" si="1"/>
        <v/>
      </c>
      <c r="V62" s="217" t="str">
        <f t="shared" si="2"/>
        <v/>
      </c>
      <c r="X62" s="186"/>
    </row>
    <row r="63" spans="1:28" x14ac:dyDescent="0.15">
      <c r="D63" s="199"/>
      <c r="F63" s="177"/>
      <c r="G63" s="180"/>
      <c r="H63" s="247"/>
      <c r="I63" s="247"/>
      <c r="J63" s="247"/>
      <c r="K63" s="137"/>
      <c r="Q63" s="245" t="str">
        <f t="shared" si="0"/>
        <v/>
      </c>
      <c r="T63" s="217" t="str">
        <f t="shared" si="1"/>
        <v/>
      </c>
      <c r="V63" s="217" t="str">
        <f t="shared" si="2"/>
        <v/>
      </c>
      <c r="X63" s="186"/>
    </row>
    <row r="64" spans="1:28" x14ac:dyDescent="0.15">
      <c r="D64" s="199"/>
      <c r="F64" s="177"/>
      <c r="G64" s="180"/>
      <c r="H64" s="247"/>
      <c r="I64" s="247"/>
      <c r="J64" s="247"/>
      <c r="K64" s="137"/>
      <c r="Q64" s="245" t="str">
        <f t="shared" si="0"/>
        <v/>
      </c>
      <c r="T64" s="217" t="str">
        <f t="shared" si="1"/>
        <v/>
      </c>
      <c r="V64" s="217" t="str">
        <f t="shared" si="2"/>
        <v/>
      </c>
      <c r="X64" s="186"/>
    </row>
    <row r="65" spans="4:24" x14ac:dyDescent="0.15">
      <c r="D65" s="199"/>
      <c r="F65" s="177"/>
      <c r="G65" s="180"/>
      <c r="H65" s="247"/>
      <c r="I65" s="247"/>
      <c r="J65" s="247"/>
      <c r="K65" s="137"/>
      <c r="Q65" s="245" t="str">
        <f t="shared" si="0"/>
        <v/>
      </c>
      <c r="T65" s="217" t="str">
        <f t="shared" si="1"/>
        <v/>
      </c>
      <c r="V65" s="217" t="str">
        <f t="shared" si="2"/>
        <v/>
      </c>
      <c r="X65" s="186"/>
    </row>
    <row r="66" spans="4:24" x14ac:dyDescent="0.15">
      <c r="D66" s="199"/>
      <c r="F66" s="177"/>
      <c r="G66" s="180"/>
      <c r="H66" s="247"/>
      <c r="I66" s="247"/>
      <c r="J66" s="247"/>
      <c r="K66" s="137"/>
      <c r="Q66" s="245" t="str">
        <f t="shared" ref="Q66:Q91" si="3">IF(OR(O66="",P66=""),"",AVERAGE(O66,P66))</f>
        <v/>
      </c>
      <c r="T66" s="217" t="str">
        <f t="shared" ref="T66:T91" si="4">IF(H66="","",IF(OR(H66="GREEN",H66="GK"),IF(S66&gt;=$AX$2,VLOOKUP(S66,$AX$2:$AY$7,2,1),""),IF(S66&gt;=$AZ$2,VLOOKUP(S66,$AZ$2:$BA$7,2,1),"")))</f>
        <v/>
      </c>
      <c r="V66" s="217" t="str">
        <f t="shared" ref="V66:V91" si="5">IF(OR(N66="",U66="",T66=""),"",U66/N66*T66)</f>
        <v/>
      </c>
      <c r="X66" s="186"/>
    </row>
    <row r="67" spans="4:24" x14ac:dyDescent="0.15">
      <c r="D67" s="199"/>
      <c r="F67" s="177"/>
      <c r="G67" s="180"/>
      <c r="H67" s="247"/>
      <c r="I67" s="247"/>
      <c r="J67" s="247"/>
      <c r="K67" s="137"/>
      <c r="Q67" s="245" t="str">
        <f t="shared" si="3"/>
        <v/>
      </c>
      <c r="T67" s="217" t="str">
        <f t="shared" si="4"/>
        <v/>
      </c>
      <c r="V67" s="217" t="str">
        <f t="shared" si="5"/>
        <v/>
      </c>
      <c r="X67" s="186"/>
    </row>
    <row r="68" spans="4:24" x14ac:dyDescent="0.15">
      <c r="D68" s="199"/>
      <c r="F68" s="177"/>
      <c r="G68" s="180"/>
      <c r="H68" s="247"/>
      <c r="I68" s="247"/>
      <c r="J68" s="247"/>
      <c r="K68" s="137"/>
      <c r="Q68" s="245" t="str">
        <f t="shared" si="3"/>
        <v/>
      </c>
      <c r="T68" s="217" t="str">
        <f t="shared" si="4"/>
        <v/>
      </c>
      <c r="V68" s="217" t="str">
        <f t="shared" si="5"/>
        <v/>
      </c>
      <c r="X68" s="186"/>
    </row>
    <row r="69" spans="4:24" x14ac:dyDescent="0.15">
      <c r="D69" s="199"/>
      <c r="F69" s="177"/>
      <c r="G69" s="180"/>
      <c r="H69" s="247"/>
      <c r="I69" s="247"/>
      <c r="J69" s="247"/>
      <c r="K69" s="137"/>
      <c r="Q69" s="245" t="str">
        <f t="shared" si="3"/>
        <v/>
      </c>
      <c r="T69" s="217" t="str">
        <f t="shared" si="4"/>
        <v/>
      </c>
      <c r="V69" s="217" t="str">
        <f t="shared" si="5"/>
        <v/>
      </c>
      <c r="X69" s="186"/>
    </row>
    <row r="70" spans="4:24" x14ac:dyDescent="0.15">
      <c r="D70" s="199"/>
      <c r="F70" s="177"/>
      <c r="G70" s="180"/>
      <c r="H70" s="247"/>
      <c r="I70" s="247"/>
      <c r="J70" s="247"/>
      <c r="K70" s="137"/>
      <c r="Q70" s="245" t="str">
        <f t="shared" si="3"/>
        <v/>
      </c>
      <c r="T70" s="217" t="str">
        <f t="shared" si="4"/>
        <v/>
      </c>
      <c r="V70" s="217" t="str">
        <f t="shared" si="5"/>
        <v/>
      </c>
      <c r="X70" s="186"/>
    </row>
    <row r="71" spans="4:24" x14ac:dyDescent="0.15">
      <c r="D71" s="199"/>
      <c r="F71" s="177"/>
      <c r="G71" s="180"/>
      <c r="H71" s="247"/>
      <c r="I71" s="247"/>
      <c r="J71" s="247"/>
      <c r="K71" s="137"/>
      <c r="Q71" s="245" t="str">
        <f t="shared" si="3"/>
        <v/>
      </c>
      <c r="T71" s="217" t="str">
        <f t="shared" si="4"/>
        <v/>
      </c>
      <c r="V71" s="217" t="str">
        <f t="shared" si="5"/>
        <v/>
      </c>
      <c r="X71" s="186"/>
    </row>
    <row r="72" spans="4:24" x14ac:dyDescent="0.15">
      <c r="D72" s="199"/>
      <c r="F72" s="177"/>
      <c r="G72" s="180"/>
      <c r="H72" s="247"/>
      <c r="I72" s="247"/>
      <c r="J72" s="247"/>
      <c r="K72" s="137"/>
      <c r="Q72" s="245" t="str">
        <f t="shared" si="3"/>
        <v/>
      </c>
      <c r="T72" s="217" t="str">
        <f t="shared" si="4"/>
        <v/>
      </c>
      <c r="V72" s="217" t="str">
        <f t="shared" si="5"/>
        <v/>
      </c>
      <c r="X72" s="186"/>
    </row>
    <row r="73" spans="4:24" x14ac:dyDescent="0.15">
      <c r="D73" s="199"/>
      <c r="F73" s="177"/>
      <c r="G73" s="180"/>
      <c r="H73" s="247"/>
      <c r="I73" s="247"/>
      <c r="J73" s="247"/>
      <c r="K73" s="137"/>
      <c r="Q73" s="245" t="str">
        <f t="shared" si="3"/>
        <v/>
      </c>
      <c r="T73" s="217" t="str">
        <f t="shared" si="4"/>
        <v/>
      </c>
      <c r="V73" s="217" t="str">
        <f t="shared" si="5"/>
        <v/>
      </c>
      <c r="X73" s="186"/>
    </row>
    <row r="74" spans="4:24" x14ac:dyDescent="0.15">
      <c r="D74" s="199"/>
      <c r="F74" s="177"/>
      <c r="G74" s="180"/>
      <c r="H74" s="247"/>
      <c r="I74" s="247"/>
      <c r="J74" s="247"/>
      <c r="K74" s="137"/>
      <c r="Q74" s="245" t="str">
        <f t="shared" si="3"/>
        <v/>
      </c>
      <c r="T74" s="217" t="str">
        <f t="shared" si="4"/>
        <v/>
      </c>
      <c r="V74" s="217" t="str">
        <f t="shared" si="5"/>
        <v/>
      </c>
      <c r="X74" s="186"/>
    </row>
    <row r="75" spans="4:24" x14ac:dyDescent="0.15">
      <c r="D75" s="199"/>
      <c r="F75" s="177"/>
      <c r="G75" s="180"/>
      <c r="H75" s="247"/>
      <c r="I75" s="247"/>
      <c r="J75" s="247"/>
      <c r="K75" s="137"/>
      <c r="Q75" s="245" t="str">
        <f t="shared" si="3"/>
        <v/>
      </c>
      <c r="T75" s="217" t="str">
        <f t="shared" si="4"/>
        <v/>
      </c>
      <c r="V75" s="217" t="str">
        <f t="shared" si="5"/>
        <v/>
      </c>
      <c r="X75" s="186"/>
    </row>
    <row r="76" spans="4:24" x14ac:dyDescent="0.15">
      <c r="D76" s="199"/>
      <c r="F76" s="177"/>
      <c r="G76" s="180"/>
      <c r="H76" s="247"/>
      <c r="I76" s="247"/>
      <c r="J76" s="247"/>
      <c r="K76" s="137"/>
      <c r="Q76" s="245" t="str">
        <f t="shared" si="3"/>
        <v/>
      </c>
      <c r="T76" s="217" t="str">
        <f t="shared" si="4"/>
        <v/>
      </c>
      <c r="V76" s="217" t="str">
        <f t="shared" si="5"/>
        <v/>
      </c>
      <c r="X76" s="186"/>
    </row>
    <row r="77" spans="4:24" x14ac:dyDescent="0.15">
      <c r="D77" s="199"/>
      <c r="F77" s="177"/>
      <c r="G77" s="180"/>
      <c r="H77" s="247"/>
      <c r="I77" s="247"/>
      <c r="J77" s="247"/>
      <c r="K77" s="137"/>
      <c r="Q77" s="245" t="str">
        <f t="shared" si="3"/>
        <v/>
      </c>
      <c r="T77" s="217" t="str">
        <f t="shared" si="4"/>
        <v/>
      </c>
      <c r="V77" s="217" t="str">
        <f t="shared" si="5"/>
        <v/>
      </c>
      <c r="X77" s="186"/>
    </row>
    <row r="78" spans="4:24" x14ac:dyDescent="0.15">
      <c r="D78" s="199"/>
      <c r="F78" s="177"/>
      <c r="G78" s="180"/>
      <c r="H78" s="247"/>
      <c r="I78" s="247"/>
      <c r="J78" s="247"/>
      <c r="K78" s="137"/>
      <c r="Q78" s="245" t="str">
        <f t="shared" si="3"/>
        <v/>
      </c>
      <c r="T78" s="217" t="str">
        <f t="shared" si="4"/>
        <v/>
      </c>
      <c r="V78" s="217" t="str">
        <f t="shared" si="5"/>
        <v/>
      </c>
      <c r="X78" s="186"/>
    </row>
    <row r="79" spans="4:24" x14ac:dyDescent="0.15">
      <c r="D79" s="199"/>
      <c r="F79" s="177"/>
      <c r="G79" s="180"/>
      <c r="H79" s="247"/>
      <c r="I79" s="247"/>
      <c r="J79" s="247"/>
      <c r="K79" s="137"/>
      <c r="Q79" s="245" t="str">
        <f t="shared" si="3"/>
        <v/>
      </c>
      <c r="T79" s="217" t="str">
        <f t="shared" si="4"/>
        <v/>
      </c>
      <c r="V79" s="217" t="str">
        <f t="shared" si="5"/>
        <v/>
      </c>
      <c r="X79" s="186"/>
    </row>
    <row r="80" spans="4:24" x14ac:dyDescent="0.15">
      <c r="H80" s="247"/>
      <c r="I80" s="247"/>
      <c r="J80" s="247"/>
      <c r="K80" s="137"/>
      <c r="Q80" s="245" t="str">
        <f t="shared" si="3"/>
        <v/>
      </c>
      <c r="T80" s="217" t="str">
        <f t="shared" si="4"/>
        <v/>
      </c>
      <c r="V80" s="217" t="str">
        <f t="shared" si="5"/>
        <v/>
      </c>
    </row>
    <row r="81" spans="8:22" x14ac:dyDescent="0.15">
      <c r="H81" s="247"/>
      <c r="I81" s="247"/>
      <c r="J81" s="247"/>
      <c r="K81" s="137"/>
      <c r="Q81" s="245" t="str">
        <f t="shared" si="3"/>
        <v/>
      </c>
      <c r="T81" s="217" t="str">
        <f t="shared" si="4"/>
        <v/>
      </c>
      <c r="V81" s="217" t="str">
        <f t="shared" si="5"/>
        <v/>
      </c>
    </row>
    <row r="82" spans="8:22" x14ac:dyDescent="0.15">
      <c r="H82" s="247"/>
      <c r="I82" s="247"/>
      <c r="J82" s="247"/>
      <c r="K82" s="137"/>
      <c r="Q82" s="245" t="str">
        <f t="shared" si="3"/>
        <v/>
      </c>
      <c r="T82" s="217" t="str">
        <f t="shared" si="4"/>
        <v/>
      </c>
      <c r="V82" s="217" t="str">
        <f t="shared" si="5"/>
        <v/>
      </c>
    </row>
    <row r="83" spans="8:22" x14ac:dyDescent="0.15">
      <c r="H83" s="247"/>
      <c r="I83" s="247"/>
      <c r="J83" s="247"/>
      <c r="K83" s="137"/>
      <c r="Q83" s="245" t="str">
        <f t="shared" si="3"/>
        <v/>
      </c>
      <c r="T83" s="217" t="str">
        <f t="shared" si="4"/>
        <v/>
      </c>
      <c r="V83" s="217" t="str">
        <f t="shared" si="5"/>
        <v/>
      </c>
    </row>
    <row r="84" spans="8:22" x14ac:dyDescent="0.15">
      <c r="H84" s="247"/>
      <c r="I84" s="247"/>
      <c r="J84" s="247"/>
      <c r="K84" s="137"/>
      <c r="Q84" s="245" t="str">
        <f t="shared" si="3"/>
        <v/>
      </c>
      <c r="T84" s="217" t="str">
        <f t="shared" si="4"/>
        <v/>
      </c>
      <c r="V84" s="217" t="str">
        <f t="shared" si="5"/>
        <v/>
      </c>
    </row>
    <row r="85" spans="8:22" x14ac:dyDescent="0.15">
      <c r="H85" s="247"/>
      <c r="I85" s="247"/>
      <c r="J85" s="247"/>
      <c r="K85" s="137"/>
      <c r="Q85" s="245" t="str">
        <f t="shared" si="3"/>
        <v/>
      </c>
      <c r="T85" s="217" t="str">
        <f t="shared" si="4"/>
        <v/>
      </c>
      <c r="V85" s="217" t="str">
        <f t="shared" si="5"/>
        <v/>
      </c>
    </row>
    <row r="86" spans="8:22" x14ac:dyDescent="0.15">
      <c r="H86" s="247"/>
      <c r="I86" s="247"/>
      <c r="J86" s="247"/>
      <c r="K86" s="137"/>
      <c r="Q86" s="245" t="str">
        <f t="shared" si="3"/>
        <v/>
      </c>
      <c r="T86" s="217" t="str">
        <f t="shared" si="4"/>
        <v/>
      </c>
      <c r="V86" s="217" t="str">
        <f t="shared" si="5"/>
        <v/>
      </c>
    </row>
    <row r="87" spans="8:22" x14ac:dyDescent="0.15">
      <c r="H87" s="247"/>
      <c r="I87" s="247"/>
      <c r="J87" s="247"/>
      <c r="K87" s="137"/>
      <c r="Q87" s="245" t="str">
        <f t="shared" si="3"/>
        <v/>
      </c>
      <c r="T87" s="217" t="str">
        <f t="shared" si="4"/>
        <v/>
      </c>
      <c r="V87" s="217" t="str">
        <f t="shared" si="5"/>
        <v/>
      </c>
    </row>
    <row r="88" spans="8:22" x14ac:dyDescent="0.15">
      <c r="H88" s="247"/>
      <c r="I88" s="247"/>
      <c r="J88" s="247"/>
      <c r="K88" s="137"/>
      <c r="Q88" s="245" t="str">
        <f t="shared" si="3"/>
        <v/>
      </c>
      <c r="T88" s="217" t="str">
        <f t="shared" si="4"/>
        <v/>
      </c>
      <c r="V88" s="217" t="str">
        <f t="shared" si="5"/>
        <v/>
      </c>
    </row>
    <row r="89" spans="8:22" x14ac:dyDescent="0.15">
      <c r="H89" s="247"/>
      <c r="I89" s="247"/>
      <c r="J89" s="247"/>
      <c r="K89" s="137"/>
      <c r="Q89" s="245" t="str">
        <f t="shared" si="3"/>
        <v/>
      </c>
      <c r="T89" s="217" t="str">
        <f t="shared" si="4"/>
        <v/>
      </c>
      <c r="V89" s="217" t="str">
        <f t="shared" si="5"/>
        <v/>
      </c>
    </row>
    <row r="90" spans="8:22" x14ac:dyDescent="0.15">
      <c r="H90" s="247"/>
      <c r="I90" s="247"/>
      <c r="J90" s="247"/>
      <c r="K90" s="137"/>
      <c r="Q90" s="245" t="str">
        <f t="shared" si="3"/>
        <v/>
      </c>
      <c r="T90" s="217" t="str">
        <f t="shared" si="4"/>
        <v/>
      </c>
      <c r="V90" s="217" t="str">
        <f t="shared" si="5"/>
        <v/>
      </c>
    </row>
    <row r="91" spans="8:22" x14ac:dyDescent="0.15">
      <c r="H91" s="247"/>
      <c r="I91" s="247"/>
      <c r="J91" s="247"/>
      <c r="K91" s="137"/>
      <c r="Q91" s="245" t="str">
        <f t="shared" si="3"/>
        <v/>
      </c>
      <c r="T91" s="217" t="str">
        <f t="shared" si="4"/>
        <v/>
      </c>
      <c r="V91" s="217" t="str">
        <f t="shared" si="5"/>
        <v/>
      </c>
    </row>
    <row r="92" spans="8:22" x14ac:dyDescent="0.15">
      <c r="H92" s="247"/>
      <c r="I92" s="247"/>
      <c r="J92" s="247"/>
      <c r="K92" s="137"/>
      <c r="Q92" s="245"/>
    </row>
    <row r="93" spans="8:22" x14ac:dyDescent="0.15">
      <c r="H93" s="247"/>
      <c r="I93" s="247"/>
      <c r="J93" s="247"/>
      <c r="K93" s="137"/>
      <c r="Q93" s="245"/>
    </row>
    <row r="94" spans="8:22" x14ac:dyDescent="0.15">
      <c r="H94" s="247"/>
      <c r="I94" s="247"/>
      <c r="J94" s="247"/>
      <c r="K94" s="137"/>
      <c r="Q94" s="245"/>
    </row>
    <row r="95" spans="8:22" x14ac:dyDescent="0.15">
      <c r="H95" s="247"/>
      <c r="I95" s="247"/>
      <c r="J95" s="247"/>
      <c r="K95" s="137"/>
      <c r="Q95" s="245"/>
    </row>
    <row r="96" spans="8:22" x14ac:dyDescent="0.15">
      <c r="H96" s="247"/>
      <c r="I96" s="247"/>
      <c r="J96" s="247"/>
      <c r="K96" s="137"/>
      <c r="Q96" s="245"/>
    </row>
    <row r="97" spans="8:17" x14ac:dyDescent="0.15">
      <c r="H97" s="247"/>
      <c r="I97" s="247"/>
      <c r="J97" s="247"/>
      <c r="K97" s="137"/>
      <c r="Q97" s="245"/>
    </row>
    <row r="98" spans="8:17" x14ac:dyDescent="0.15">
      <c r="H98" s="247"/>
      <c r="I98" s="247"/>
      <c r="J98" s="247"/>
      <c r="K98" s="137"/>
      <c r="Q98" s="245"/>
    </row>
    <row r="99" spans="8:17" x14ac:dyDescent="0.15">
      <c r="H99" s="247"/>
      <c r="I99" s="247"/>
      <c r="J99" s="247"/>
      <c r="K99" s="137"/>
      <c r="Q99" s="245"/>
    </row>
    <row r="100" spans="8:17" x14ac:dyDescent="0.15">
      <c r="H100" s="247"/>
      <c r="I100" s="247"/>
      <c r="J100" s="247"/>
      <c r="K100" s="137"/>
      <c r="Q100" s="245"/>
    </row>
    <row r="101" spans="8:17" x14ac:dyDescent="0.15">
      <c r="H101" s="247"/>
      <c r="I101" s="247"/>
      <c r="J101" s="247"/>
      <c r="K101" s="137"/>
      <c r="Q101" s="245"/>
    </row>
    <row r="102" spans="8:17" x14ac:dyDescent="0.15">
      <c r="H102" s="247"/>
      <c r="I102" s="247"/>
      <c r="J102" s="247"/>
      <c r="K102" s="137"/>
      <c r="Q102" s="245"/>
    </row>
    <row r="103" spans="8:17" x14ac:dyDescent="0.15">
      <c r="H103" s="247"/>
      <c r="I103" s="247"/>
      <c r="J103" s="247"/>
      <c r="K103" s="137"/>
      <c r="Q103" s="245"/>
    </row>
    <row r="104" spans="8:17" x14ac:dyDescent="0.15">
      <c r="H104" s="247"/>
      <c r="I104" s="247"/>
      <c r="J104" s="247"/>
      <c r="K104" s="137"/>
      <c r="Q104" s="245"/>
    </row>
    <row r="105" spans="8:17" x14ac:dyDescent="0.15">
      <c r="H105" s="247"/>
      <c r="I105" s="247"/>
      <c r="J105" s="247"/>
      <c r="K105" s="137"/>
      <c r="Q105" s="245"/>
    </row>
    <row r="106" spans="8:17" x14ac:dyDescent="0.15">
      <c r="H106" s="247"/>
      <c r="I106" s="247"/>
      <c r="J106" s="247"/>
      <c r="K106" s="137"/>
      <c r="Q106" s="245"/>
    </row>
    <row r="107" spans="8:17" x14ac:dyDescent="0.15">
      <c r="H107" s="247"/>
      <c r="I107" s="247"/>
      <c r="J107" s="247"/>
      <c r="K107" s="137"/>
      <c r="Q107" s="245"/>
    </row>
    <row r="108" spans="8:17" x14ac:dyDescent="0.15">
      <c r="H108" s="247"/>
      <c r="I108" s="247"/>
      <c r="J108" s="247"/>
      <c r="K108" s="137"/>
      <c r="Q108" s="245"/>
    </row>
    <row r="109" spans="8:17" x14ac:dyDescent="0.15">
      <c r="H109" s="247"/>
      <c r="I109" s="247"/>
      <c r="J109" s="247"/>
      <c r="K109" s="137"/>
      <c r="Q109" s="245"/>
    </row>
    <row r="110" spans="8:17" x14ac:dyDescent="0.15">
      <c r="H110" s="247"/>
      <c r="I110" s="247"/>
      <c r="J110" s="247"/>
      <c r="K110" s="137"/>
      <c r="Q110" s="245"/>
    </row>
    <row r="111" spans="8:17" x14ac:dyDescent="0.15">
      <c r="H111" s="247"/>
      <c r="I111" s="247"/>
      <c r="J111" s="247"/>
      <c r="K111" s="137"/>
      <c r="Q111" s="245"/>
    </row>
    <row r="112" spans="8:17" x14ac:dyDescent="0.15">
      <c r="H112" s="247"/>
      <c r="I112" s="247"/>
      <c r="J112" s="247"/>
      <c r="K112" s="137"/>
      <c r="Q112" s="245"/>
    </row>
    <row r="113" spans="8:17" x14ac:dyDescent="0.15">
      <c r="H113" s="247"/>
      <c r="I113" s="247"/>
      <c r="J113" s="247"/>
      <c r="K113" s="137"/>
      <c r="Q113" s="245"/>
    </row>
    <row r="114" spans="8:17" x14ac:dyDescent="0.15">
      <c r="H114" s="247"/>
      <c r="I114" s="247"/>
      <c r="J114" s="247"/>
      <c r="K114" s="137"/>
      <c r="Q114" s="245"/>
    </row>
    <row r="115" spans="8:17" x14ac:dyDescent="0.15">
      <c r="H115" s="247"/>
      <c r="I115" s="247"/>
      <c r="J115" s="247"/>
      <c r="K115" s="137"/>
      <c r="Q115" s="245"/>
    </row>
    <row r="116" spans="8:17" x14ac:dyDescent="0.15">
      <c r="H116" s="247"/>
      <c r="I116" s="247"/>
      <c r="J116" s="247"/>
      <c r="K116" s="137"/>
      <c r="Q116" s="245"/>
    </row>
    <row r="117" spans="8:17" x14ac:dyDescent="0.15">
      <c r="H117" s="247"/>
      <c r="I117" s="247"/>
      <c r="J117" s="247"/>
      <c r="K117" s="137"/>
      <c r="Q117" s="245"/>
    </row>
    <row r="118" spans="8:17" x14ac:dyDescent="0.15">
      <c r="H118" s="247"/>
      <c r="I118" s="247"/>
      <c r="J118" s="247"/>
      <c r="K118" s="137"/>
      <c r="Q118" s="245"/>
    </row>
    <row r="119" spans="8:17" x14ac:dyDescent="0.15">
      <c r="H119" s="247"/>
      <c r="I119" s="247"/>
      <c r="J119" s="247"/>
      <c r="K119" s="137"/>
      <c r="Q119" s="245"/>
    </row>
    <row r="120" spans="8:17" x14ac:dyDescent="0.15">
      <c r="H120" s="247"/>
      <c r="I120" s="247"/>
      <c r="J120" s="247"/>
      <c r="K120" s="137"/>
      <c r="Q120" s="245"/>
    </row>
    <row r="121" spans="8:17" x14ac:dyDescent="0.15">
      <c r="H121" s="247"/>
      <c r="I121" s="247"/>
      <c r="J121" s="247"/>
      <c r="K121" s="137"/>
      <c r="Q121" s="245"/>
    </row>
    <row r="122" spans="8:17" x14ac:dyDescent="0.15">
      <c r="H122" s="247"/>
      <c r="I122" s="247"/>
      <c r="J122" s="247"/>
      <c r="K122" s="137"/>
      <c r="Q122" s="245"/>
    </row>
    <row r="123" spans="8:17" x14ac:dyDescent="0.15">
      <c r="H123" s="247"/>
      <c r="I123" s="247"/>
      <c r="J123" s="247"/>
      <c r="K123" s="137"/>
      <c r="Q123" s="245"/>
    </row>
    <row r="124" spans="8:17" x14ac:dyDescent="0.15">
      <c r="H124" s="247"/>
      <c r="I124" s="247"/>
      <c r="J124" s="247"/>
      <c r="K124" s="137"/>
      <c r="Q124" s="245"/>
    </row>
    <row r="125" spans="8:17" x14ac:dyDescent="0.15">
      <c r="H125" s="247"/>
      <c r="I125" s="247"/>
      <c r="J125" s="247"/>
      <c r="K125" s="137"/>
      <c r="Q125" s="245"/>
    </row>
    <row r="126" spans="8:17" x14ac:dyDescent="0.15">
      <c r="H126" s="247"/>
      <c r="I126" s="247"/>
      <c r="J126" s="247"/>
      <c r="K126" s="137"/>
      <c r="Q126" s="245"/>
    </row>
    <row r="127" spans="8:17" x14ac:dyDescent="0.15">
      <c r="H127" s="247"/>
      <c r="I127" s="247"/>
      <c r="J127" s="247"/>
      <c r="K127" s="137"/>
      <c r="Q127" s="245"/>
    </row>
    <row r="128" spans="8:17" x14ac:dyDescent="0.15">
      <c r="H128" s="247"/>
      <c r="I128" s="247"/>
      <c r="J128" s="247"/>
      <c r="K128" s="137"/>
      <c r="Q128" s="245"/>
    </row>
    <row r="129" spans="8:17" x14ac:dyDescent="0.15">
      <c r="H129" s="247"/>
      <c r="I129" s="247"/>
      <c r="J129" s="247"/>
      <c r="K129" s="137"/>
      <c r="Q129" s="245"/>
    </row>
    <row r="130" spans="8:17" x14ac:dyDescent="0.15">
      <c r="H130" s="247"/>
      <c r="I130" s="247"/>
      <c r="J130" s="247"/>
      <c r="K130" s="137"/>
      <c r="Q130" s="245"/>
    </row>
    <row r="131" spans="8:17" x14ac:dyDescent="0.15">
      <c r="H131" s="247"/>
      <c r="I131" s="247"/>
      <c r="J131" s="247"/>
      <c r="K131" s="137"/>
      <c r="Q131" s="245"/>
    </row>
    <row r="132" spans="8:17" x14ac:dyDescent="0.15">
      <c r="H132" s="247"/>
      <c r="I132" s="247"/>
      <c r="J132" s="247"/>
      <c r="K132" s="137"/>
      <c r="Q132" s="245"/>
    </row>
    <row r="133" spans="8:17" x14ac:dyDescent="0.15">
      <c r="H133" s="247"/>
      <c r="I133" s="247"/>
      <c r="J133" s="247"/>
      <c r="K133" s="137"/>
      <c r="Q133" s="245"/>
    </row>
    <row r="134" spans="8:17" x14ac:dyDescent="0.15">
      <c r="H134" s="247"/>
      <c r="I134" s="247"/>
      <c r="J134" s="247"/>
      <c r="K134" s="137"/>
      <c r="Q134" s="245"/>
    </row>
    <row r="135" spans="8:17" x14ac:dyDescent="0.15">
      <c r="H135" s="247"/>
      <c r="I135" s="247"/>
      <c r="J135" s="247"/>
      <c r="K135" s="137"/>
      <c r="Q135" s="245"/>
    </row>
    <row r="136" spans="8:17" x14ac:dyDescent="0.15">
      <c r="H136" s="247"/>
      <c r="I136" s="247"/>
      <c r="J136" s="247"/>
      <c r="K136" s="137"/>
      <c r="Q136" s="245"/>
    </row>
    <row r="137" spans="8:17" x14ac:dyDescent="0.15">
      <c r="H137" s="247"/>
      <c r="I137" s="247"/>
      <c r="J137" s="247"/>
      <c r="K137" s="137"/>
      <c r="Q137" s="245"/>
    </row>
    <row r="138" spans="8:17" x14ac:dyDescent="0.15">
      <c r="H138" s="247"/>
      <c r="I138" s="247"/>
      <c r="J138" s="247"/>
      <c r="K138" s="137"/>
      <c r="Q138" s="245"/>
    </row>
    <row r="139" spans="8:17" x14ac:dyDescent="0.15">
      <c r="H139" s="247"/>
      <c r="I139" s="247"/>
      <c r="J139" s="247"/>
      <c r="K139" s="137"/>
      <c r="Q139" s="245"/>
    </row>
    <row r="140" spans="8:17" x14ac:dyDescent="0.15">
      <c r="H140" s="247"/>
      <c r="I140" s="247"/>
      <c r="J140" s="247"/>
      <c r="K140" s="137"/>
      <c r="Q140" s="245"/>
    </row>
    <row r="141" spans="8:17" x14ac:dyDescent="0.15">
      <c r="H141" s="247"/>
      <c r="I141" s="247"/>
      <c r="J141" s="247"/>
      <c r="K141" s="137"/>
      <c r="Q141" s="245"/>
    </row>
    <row r="142" spans="8:17" x14ac:dyDescent="0.15">
      <c r="K142" s="137"/>
      <c r="Q142" s="245"/>
    </row>
    <row r="143" spans="8:17" x14ac:dyDescent="0.15">
      <c r="K143" s="137"/>
      <c r="Q143" s="245"/>
    </row>
    <row r="144" spans="8:17" x14ac:dyDescent="0.15">
      <c r="K144" s="137"/>
      <c r="Q144" s="245"/>
    </row>
    <row r="145" spans="11:17" x14ac:dyDescent="0.15">
      <c r="K145" s="137"/>
      <c r="Q145" s="245"/>
    </row>
    <row r="146" spans="11:17" x14ac:dyDescent="0.15">
      <c r="K146" s="137"/>
      <c r="Q146" s="245"/>
    </row>
    <row r="147" spans="11:17" x14ac:dyDescent="0.15">
      <c r="K147" s="137"/>
      <c r="Q147" s="245"/>
    </row>
    <row r="148" spans="11:17" x14ac:dyDescent="0.15">
      <c r="K148" s="137"/>
      <c r="Q148" s="245"/>
    </row>
    <row r="149" spans="11:17" x14ac:dyDescent="0.15">
      <c r="K149" s="137"/>
      <c r="Q149" s="245"/>
    </row>
    <row r="150" spans="11:17" x14ac:dyDescent="0.15">
      <c r="K150" s="137"/>
      <c r="Q150" s="245"/>
    </row>
    <row r="151" spans="11:17" x14ac:dyDescent="0.15">
      <c r="K151" s="137"/>
      <c r="Q151" s="245"/>
    </row>
    <row r="152" spans="11:17" x14ac:dyDescent="0.15">
      <c r="K152" s="137"/>
      <c r="Q152" s="245"/>
    </row>
    <row r="153" spans="11:17" x14ac:dyDescent="0.15">
      <c r="K153" s="137"/>
      <c r="Q153" s="245"/>
    </row>
    <row r="154" spans="11:17" x14ac:dyDescent="0.15">
      <c r="K154" s="137"/>
      <c r="Q154" s="245"/>
    </row>
    <row r="155" spans="11:17" x14ac:dyDescent="0.15">
      <c r="K155" s="137"/>
      <c r="Q155" s="245"/>
    </row>
    <row r="156" spans="11:17" x14ac:dyDescent="0.15">
      <c r="K156" s="137"/>
      <c r="Q156" s="245"/>
    </row>
    <row r="157" spans="11:17" x14ac:dyDescent="0.15">
      <c r="K157" s="137"/>
      <c r="Q157" s="245"/>
    </row>
    <row r="158" spans="11:17" x14ac:dyDescent="0.15">
      <c r="K158" s="137"/>
      <c r="Q158" s="245"/>
    </row>
    <row r="159" spans="11:17" x14ac:dyDescent="0.15">
      <c r="K159" s="137"/>
      <c r="Q159" s="245"/>
    </row>
    <row r="160" spans="11:17" x14ac:dyDescent="0.15">
      <c r="K160" s="137"/>
      <c r="Q160" s="245"/>
    </row>
    <row r="161" spans="11:17" x14ac:dyDescent="0.15">
      <c r="K161" s="137"/>
      <c r="Q161" s="245"/>
    </row>
    <row r="162" spans="11:17" x14ac:dyDescent="0.15">
      <c r="K162" s="137"/>
      <c r="Q162" s="245"/>
    </row>
    <row r="163" spans="11:17" x14ac:dyDescent="0.15">
      <c r="K163" s="137"/>
      <c r="Q163" s="245"/>
    </row>
    <row r="164" spans="11:17" x14ac:dyDescent="0.15">
      <c r="K164" s="137"/>
      <c r="Q164" s="245"/>
    </row>
    <row r="165" spans="11:17" x14ac:dyDescent="0.15">
      <c r="K165" s="137"/>
      <c r="Q165" s="245"/>
    </row>
    <row r="166" spans="11:17" x14ac:dyDescent="0.15">
      <c r="K166" s="137"/>
      <c r="Q166" s="245"/>
    </row>
    <row r="167" spans="11:17" x14ac:dyDescent="0.15">
      <c r="K167" s="137"/>
      <c r="Q167" s="245"/>
    </row>
    <row r="168" spans="11:17" x14ac:dyDescent="0.15">
      <c r="K168" s="137"/>
      <c r="Q168" s="245"/>
    </row>
    <row r="169" spans="11:17" x14ac:dyDescent="0.15">
      <c r="K169" s="137"/>
      <c r="Q169" s="245"/>
    </row>
    <row r="170" spans="11:17" x14ac:dyDescent="0.15">
      <c r="K170" s="137"/>
      <c r="Q170" s="245"/>
    </row>
    <row r="171" spans="11:17" x14ac:dyDescent="0.15">
      <c r="K171" s="137"/>
      <c r="Q171" s="245"/>
    </row>
    <row r="172" spans="11:17" x14ac:dyDescent="0.15">
      <c r="K172" s="137"/>
      <c r="Q172" s="245"/>
    </row>
    <row r="173" spans="11:17" x14ac:dyDescent="0.15">
      <c r="K173" s="137"/>
      <c r="Q173" s="245"/>
    </row>
    <row r="174" spans="11:17" x14ac:dyDescent="0.15">
      <c r="K174" s="137"/>
      <c r="Q174" s="245"/>
    </row>
    <row r="175" spans="11:17" x14ac:dyDescent="0.15">
      <c r="K175" s="137"/>
      <c r="Q175" s="245"/>
    </row>
    <row r="176" spans="11:17" x14ac:dyDescent="0.15">
      <c r="K176" s="137"/>
      <c r="Q176" s="245"/>
    </row>
    <row r="177" spans="11:17" x14ac:dyDescent="0.15">
      <c r="K177" s="137"/>
      <c r="Q177" s="245"/>
    </row>
    <row r="178" spans="11:17" x14ac:dyDescent="0.15">
      <c r="K178" s="137"/>
      <c r="Q178" s="245"/>
    </row>
    <row r="179" spans="11:17" x14ac:dyDescent="0.15">
      <c r="K179" s="137"/>
      <c r="Q179" s="245"/>
    </row>
    <row r="180" spans="11:17" x14ac:dyDescent="0.15">
      <c r="K180" s="137"/>
      <c r="Q180" s="245"/>
    </row>
    <row r="181" spans="11:17" x14ac:dyDescent="0.15">
      <c r="K181" s="137"/>
      <c r="Q181" s="245"/>
    </row>
    <row r="182" spans="11:17" x14ac:dyDescent="0.15">
      <c r="K182" s="137"/>
      <c r="Q182" s="245"/>
    </row>
    <row r="183" spans="11:17" x14ac:dyDescent="0.15">
      <c r="K183" s="137"/>
      <c r="Q183" s="245"/>
    </row>
    <row r="184" spans="11:17" x14ac:dyDescent="0.15">
      <c r="K184" s="137"/>
      <c r="Q184" s="245"/>
    </row>
    <row r="185" spans="11:17" x14ac:dyDescent="0.15">
      <c r="K185" s="137"/>
      <c r="Q185" s="245"/>
    </row>
    <row r="186" spans="11:17" x14ac:dyDescent="0.15">
      <c r="K186" s="137"/>
      <c r="Q186" s="245"/>
    </row>
    <row r="187" spans="11:17" x14ac:dyDescent="0.15">
      <c r="K187" s="137"/>
      <c r="Q187" s="245"/>
    </row>
    <row r="188" spans="11:17" x14ac:dyDescent="0.15">
      <c r="K188" s="137"/>
      <c r="Q188" s="245"/>
    </row>
    <row r="189" spans="11:17" x14ac:dyDescent="0.15">
      <c r="K189" s="137"/>
      <c r="Q189" s="245"/>
    </row>
    <row r="190" spans="11:17" x14ac:dyDescent="0.15">
      <c r="K190" s="137"/>
      <c r="Q190" s="245"/>
    </row>
    <row r="191" spans="11:17" x14ac:dyDescent="0.15">
      <c r="K191" s="137"/>
      <c r="Q191" s="245"/>
    </row>
    <row r="192" spans="11:17" x14ac:dyDescent="0.15">
      <c r="K192" s="137"/>
      <c r="Q192" s="245"/>
    </row>
    <row r="193" spans="11:17" x14ac:dyDescent="0.15">
      <c r="K193" s="137"/>
      <c r="Q193" s="245"/>
    </row>
    <row r="194" spans="11:17" x14ac:dyDescent="0.15">
      <c r="K194" s="137"/>
      <c r="Q194" s="245"/>
    </row>
    <row r="195" spans="11:17" x14ac:dyDescent="0.15">
      <c r="K195" s="137"/>
      <c r="Q195" s="245"/>
    </row>
    <row r="196" spans="11:17" x14ac:dyDescent="0.15">
      <c r="K196" s="137"/>
      <c r="Q196" s="245"/>
    </row>
    <row r="197" spans="11:17" x14ac:dyDescent="0.15">
      <c r="K197" s="137"/>
      <c r="Q197" s="245"/>
    </row>
    <row r="198" spans="11:17" x14ac:dyDescent="0.15">
      <c r="K198" s="137"/>
      <c r="Q198" s="245"/>
    </row>
    <row r="199" spans="11:17" x14ac:dyDescent="0.15">
      <c r="K199" s="137"/>
      <c r="Q199" s="245"/>
    </row>
    <row r="200" spans="11:17" x14ac:dyDescent="0.15">
      <c r="K200" s="137"/>
      <c r="Q200" s="245"/>
    </row>
    <row r="201" spans="11:17" x14ac:dyDescent="0.15">
      <c r="K201" s="137"/>
      <c r="Q201" s="245"/>
    </row>
    <row r="202" spans="11:17" x14ac:dyDescent="0.15">
      <c r="K202" s="137"/>
      <c r="Q202" s="245"/>
    </row>
    <row r="203" spans="11:17" x14ac:dyDescent="0.15">
      <c r="K203" s="137"/>
      <c r="Q203" s="245"/>
    </row>
    <row r="204" spans="11:17" x14ac:dyDescent="0.15">
      <c r="K204" s="137"/>
      <c r="Q204" s="245"/>
    </row>
    <row r="205" spans="11:17" x14ac:dyDescent="0.15">
      <c r="K205" s="137"/>
      <c r="Q205" s="245"/>
    </row>
    <row r="206" spans="11:17" x14ac:dyDescent="0.15">
      <c r="K206" s="137"/>
      <c r="Q206" s="245"/>
    </row>
    <row r="207" spans="11:17" x14ac:dyDescent="0.15">
      <c r="K207" s="137"/>
      <c r="Q207" s="245"/>
    </row>
    <row r="208" spans="11:17" x14ac:dyDescent="0.15">
      <c r="K208" s="137"/>
      <c r="Q208" s="245"/>
    </row>
    <row r="209" spans="11:17" x14ac:dyDescent="0.15">
      <c r="K209" s="137"/>
      <c r="Q209" s="245"/>
    </row>
    <row r="210" spans="11:17" x14ac:dyDescent="0.15">
      <c r="K210" s="137"/>
      <c r="Q210" s="245"/>
    </row>
    <row r="211" spans="11:17" x14ac:dyDescent="0.15">
      <c r="K211" s="137"/>
      <c r="Q211" s="245"/>
    </row>
    <row r="212" spans="11:17" x14ac:dyDescent="0.15">
      <c r="K212" s="137"/>
      <c r="Q212" s="245"/>
    </row>
    <row r="213" spans="11:17" x14ac:dyDescent="0.15">
      <c r="K213" s="137"/>
      <c r="Q213" s="245"/>
    </row>
    <row r="214" spans="11:17" x14ac:dyDescent="0.15">
      <c r="K214" s="137"/>
      <c r="Q214" s="245"/>
    </row>
    <row r="215" spans="11:17" x14ac:dyDescent="0.15">
      <c r="K215" s="137"/>
      <c r="Q215" s="245"/>
    </row>
    <row r="216" spans="11:17" x14ac:dyDescent="0.15">
      <c r="K216" s="137"/>
      <c r="Q216" s="245"/>
    </row>
    <row r="217" spans="11:17" x14ac:dyDescent="0.15">
      <c r="K217" s="137"/>
      <c r="Q217" s="245"/>
    </row>
    <row r="218" spans="11:17" x14ac:dyDescent="0.15">
      <c r="K218" s="137"/>
      <c r="Q218" s="245"/>
    </row>
    <row r="219" spans="11:17" x14ac:dyDescent="0.15">
      <c r="K219" s="137"/>
      <c r="Q219" s="245"/>
    </row>
    <row r="220" spans="11:17" x14ac:dyDescent="0.15">
      <c r="K220" s="137"/>
      <c r="Q220" s="245"/>
    </row>
    <row r="221" spans="11:17" x14ac:dyDescent="0.15">
      <c r="K221" s="137"/>
      <c r="Q221" s="245"/>
    </row>
    <row r="222" spans="11:17" x14ac:dyDescent="0.15">
      <c r="K222" s="137"/>
      <c r="Q222" s="245"/>
    </row>
    <row r="223" spans="11:17" x14ac:dyDescent="0.15">
      <c r="K223" s="137"/>
      <c r="Q223" s="245"/>
    </row>
    <row r="224" spans="11:17" x14ac:dyDescent="0.15">
      <c r="K224" s="137"/>
      <c r="Q224" s="245"/>
    </row>
    <row r="225" spans="11:17" x14ac:dyDescent="0.15">
      <c r="K225" s="137"/>
      <c r="Q225" s="245"/>
    </row>
    <row r="226" spans="11:17" x14ac:dyDescent="0.15">
      <c r="K226" s="137"/>
      <c r="Q226" s="245"/>
    </row>
    <row r="227" spans="11:17" x14ac:dyDescent="0.15">
      <c r="K227" s="137"/>
      <c r="Q227" s="245"/>
    </row>
    <row r="228" spans="11:17" x14ac:dyDescent="0.15">
      <c r="K228" s="137"/>
      <c r="Q228" s="245"/>
    </row>
    <row r="229" spans="11:17" x14ac:dyDescent="0.15">
      <c r="K229" s="137"/>
      <c r="Q229" s="245"/>
    </row>
    <row r="230" spans="11:17" x14ac:dyDescent="0.15">
      <c r="K230" s="137"/>
      <c r="Q230" s="245"/>
    </row>
    <row r="231" spans="11:17" x14ac:dyDescent="0.15">
      <c r="K231" s="137"/>
      <c r="Q231" s="245"/>
    </row>
    <row r="232" spans="11:17" x14ac:dyDescent="0.15">
      <c r="K232" s="137"/>
      <c r="Q232" s="245"/>
    </row>
    <row r="233" spans="11:17" x14ac:dyDescent="0.15">
      <c r="K233" s="137"/>
      <c r="Q233" s="245"/>
    </row>
    <row r="234" spans="11:17" x14ac:dyDescent="0.15">
      <c r="K234" s="137"/>
      <c r="Q234" s="245"/>
    </row>
    <row r="235" spans="11:17" x14ac:dyDescent="0.15">
      <c r="K235" s="137"/>
      <c r="Q235" s="245"/>
    </row>
    <row r="236" spans="11:17" x14ac:dyDescent="0.15">
      <c r="K236" s="137"/>
      <c r="Q236" s="245"/>
    </row>
    <row r="237" spans="11:17" x14ac:dyDescent="0.15">
      <c r="K237" s="137"/>
      <c r="Q237" s="245"/>
    </row>
    <row r="238" spans="11:17" x14ac:dyDescent="0.15">
      <c r="K238" s="137"/>
      <c r="Q238" s="245"/>
    </row>
    <row r="239" spans="11:17" x14ac:dyDescent="0.15">
      <c r="K239" s="137"/>
      <c r="Q239" s="245"/>
    </row>
    <row r="240" spans="11:17" x14ac:dyDescent="0.15">
      <c r="K240" s="137"/>
      <c r="Q240" s="245"/>
    </row>
    <row r="241" spans="11:17" x14ac:dyDescent="0.15">
      <c r="K241" s="137"/>
      <c r="Q241" s="245"/>
    </row>
    <row r="242" spans="11:17" x14ac:dyDescent="0.15">
      <c r="K242" s="137"/>
      <c r="Q242" s="245"/>
    </row>
    <row r="243" spans="11:17" x14ac:dyDescent="0.15">
      <c r="K243" s="137"/>
      <c r="Q243" s="245"/>
    </row>
    <row r="244" spans="11:17" x14ac:dyDescent="0.15">
      <c r="K244" s="137"/>
      <c r="Q244" s="245"/>
    </row>
    <row r="245" spans="11:17" x14ac:dyDescent="0.15">
      <c r="K245" s="137"/>
      <c r="Q245" s="245"/>
    </row>
    <row r="246" spans="11:17" x14ac:dyDescent="0.15">
      <c r="K246" s="137"/>
      <c r="Q246" s="245"/>
    </row>
    <row r="247" spans="11:17" x14ac:dyDescent="0.15">
      <c r="K247" s="137"/>
      <c r="Q247" s="245"/>
    </row>
    <row r="248" spans="11:17" x14ac:dyDescent="0.15">
      <c r="K248" s="137"/>
      <c r="Q248" s="245"/>
    </row>
    <row r="249" spans="11:17" x14ac:dyDescent="0.15">
      <c r="K249" s="137"/>
      <c r="Q249" s="245"/>
    </row>
    <row r="250" spans="11:17" x14ac:dyDescent="0.15">
      <c r="K250" s="137"/>
      <c r="Q250" s="245"/>
    </row>
    <row r="251" spans="11:17" x14ac:dyDescent="0.15">
      <c r="K251" s="137"/>
      <c r="Q251" s="245"/>
    </row>
    <row r="252" spans="11:17" x14ac:dyDescent="0.15">
      <c r="K252" s="137"/>
      <c r="Q252" s="245"/>
    </row>
    <row r="253" spans="11:17" x14ac:dyDescent="0.15">
      <c r="K253" s="137"/>
      <c r="Q253" s="245"/>
    </row>
    <row r="254" spans="11:17" x14ac:dyDescent="0.15">
      <c r="K254" s="137"/>
      <c r="Q254" s="245"/>
    </row>
    <row r="255" spans="11:17" x14ac:dyDescent="0.15">
      <c r="K255" s="137"/>
      <c r="Q255" s="245"/>
    </row>
    <row r="256" spans="11:17" x14ac:dyDescent="0.15">
      <c r="K256" s="137"/>
      <c r="Q256" s="245"/>
    </row>
    <row r="257" spans="11:17" x14ac:dyDescent="0.15">
      <c r="K257" s="137"/>
      <c r="Q257" s="245"/>
    </row>
    <row r="258" spans="11:17" x14ac:dyDescent="0.15">
      <c r="K258" s="137"/>
      <c r="Q258" s="245"/>
    </row>
    <row r="259" spans="11:17" x14ac:dyDescent="0.15">
      <c r="K259" s="137"/>
      <c r="Q259" s="245"/>
    </row>
    <row r="260" spans="11:17" x14ac:dyDescent="0.15">
      <c r="K260" s="137"/>
      <c r="Q260" s="245"/>
    </row>
    <row r="261" spans="11:17" x14ac:dyDescent="0.15">
      <c r="K261" s="137"/>
      <c r="Q261" s="245"/>
    </row>
    <row r="262" spans="11:17" x14ac:dyDescent="0.15">
      <c r="K262" s="137"/>
      <c r="Q262" s="245"/>
    </row>
    <row r="263" spans="11:17" x14ac:dyDescent="0.15">
      <c r="K263" s="137"/>
      <c r="Q263" s="245"/>
    </row>
    <row r="264" spans="11:17" x14ac:dyDescent="0.15">
      <c r="K264" s="137"/>
      <c r="Q264" s="245"/>
    </row>
    <row r="265" spans="11:17" x14ac:dyDescent="0.15">
      <c r="K265" s="137"/>
      <c r="Q265" s="245"/>
    </row>
    <row r="266" spans="11:17" x14ac:dyDescent="0.15">
      <c r="K266" s="137"/>
      <c r="Q266" s="245"/>
    </row>
    <row r="267" spans="11:17" x14ac:dyDescent="0.15">
      <c r="K267" s="137"/>
      <c r="Q267" s="245"/>
    </row>
    <row r="268" spans="11:17" x14ac:dyDescent="0.15">
      <c r="K268" s="137"/>
      <c r="Q268" s="245"/>
    </row>
    <row r="269" spans="11:17" x14ac:dyDescent="0.15">
      <c r="K269" s="137"/>
      <c r="Q269" s="245"/>
    </row>
    <row r="270" spans="11:17" x14ac:dyDescent="0.15">
      <c r="K270" s="137"/>
      <c r="Q270" s="245"/>
    </row>
    <row r="271" spans="11:17" x14ac:dyDescent="0.15">
      <c r="K271" s="137"/>
      <c r="Q271" s="245"/>
    </row>
    <row r="272" spans="11:17" x14ac:dyDescent="0.15">
      <c r="K272" s="137"/>
      <c r="Q272" s="245"/>
    </row>
    <row r="273" spans="11:17" x14ac:dyDescent="0.15">
      <c r="K273" s="137"/>
      <c r="Q273" s="245"/>
    </row>
    <row r="274" spans="11:17" x14ac:dyDescent="0.15">
      <c r="K274" s="137"/>
      <c r="Q274" s="245"/>
    </row>
    <row r="275" spans="11:17" x14ac:dyDescent="0.15">
      <c r="K275" s="137"/>
      <c r="Q275" s="245"/>
    </row>
    <row r="276" spans="11:17" x14ac:dyDescent="0.15">
      <c r="K276" s="137"/>
      <c r="Q276" s="245"/>
    </row>
    <row r="277" spans="11:17" x14ac:dyDescent="0.15">
      <c r="K277" s="137"/>
      <c r="Q277" s="245"/>
    </row>
    <row r="278" spans="11:17" x14ac:dyDescent="0.15">
      <c r="K278" s="137"/>
      <c r="Q278" s="245"/>
    </row>
    <row r="279" spans="11:17" x14ac:dyDescent="0.15">
      <c r="K279" s="137"/>
      <c r="Q279" s="245"/>
    </row>
    <row r="280" spans="11:17" x14ac:dyDescent="0.15">
      <c r="K280" s="137"/>
      <c r="Q280" s="245"/>
    </row>
    <row r="281" spans="11:17" x14ac:dyDescent="0.15">
      <c r="K281" s="137"/>
      <c r="Q281" s="245"/>
    </row>
    <row r="282" spans="11:17" x14ac:dyDescent="0.15">
      <c r="K282" s="137"/>
      <c r="Q282" s="245"/>
    </row>
    <row r="283" spans="11:17" x14ac:dyDescent="0.15">
      <c r="K283" s="137"/>
      <c r="Q283" s="245"/>
    </row>
    <row r="284" spans="11:17" x14ac:dyDescent="0.15">
      <c r="K284" s="137"/>
      <c r="Q284" s="245"/>
    </row>
    <row r="285" spans="11:17" x14ac:dyDescent="0.15">
      <c r="K285" s="137"/>
      <c r="Q285" s="245"/>
    </row>
    <row r="286" spans="11:17" x14ac:dyDescent="0.15">
      <c r="K286" s="137"/>
      <c r="Q286" s="245"/>
    </row>
    <row r="287" spans="11:17" x14ac:dyDescent="0.15">
      <c r="K287" s="137"/>
      <c r="Q287" s="245"/>
    </row>
    <row r="288" spans="11:17" x14ac:dyDescent="0.15">
      <c r="K288" s="137"/>
      <c r="Q288" s="245"/>
    </row>
    <row r="289" spans="11:17" x14ac:dyDescent="0.15">
      <c r="K289" s="137"/>
      <c r="Q289" s="245"/>
    </row>
    <row r="290" spans="11:17" x14ac:dyDescent="0.15">
      <c r="K290" s="137"/>
      <c r="Q290" s="245"/>
    </row>
    <row r="291" spans="11:17" x14ac:dyDescent="0.15">
      <c r="K291" s="137"/>
      <c r="Q291" s="245"/>
    </row>
    <row r="292" spans="11:17" x14ac:dyDescent="0.15">
      <c r="K292" s="137"/>
    </row>
    <row r="293" spans="11:17" x14ac:dyDescent="0.15">
      <c r="K293" s="137"/>
    </row>
    <row r="294" spans="11:17" x14ac:dyDescent="0.15">
      <c r="K294" s="137"/>
    </row>
    <row r="295" spans="11:17" x14ac:dyDescent="0.15">
      <c r="K295" s="137"/>
    </row>
    <row r="296" spans="11:17" x14ac:dyDescent="0.15">
      <c r="K296" s="137"/>
    </row>
    <row r="297" spans="11:17" x14ac:dyDescent="0.15">
      <c r="K297" s="137"/>
    </row>
    <row r="298" spans="11:17" x14ac:dyDescent="0.15">
      <c r="K298" s="137"/>
    </row>
    <row r="299" spans="11:17" x14ac:dyDescent="0.15">
      <c r="K299" s="137"/>
    </row>
    <row r="300" spans="11:17" x14ac:dyDescent="0.15">
      <c r="K300" s="137"/>
    </row>
    <row r="301" spans="11:17" x14ac:dyDescent="0.15">
      <c r="K301" s="137"/>
    </row>
    <row r="302" spans="11:17" x14ac:dyDescent="0.15">
      <c r="K302" s="137"/>
    </row>
    <row r="303" spans="11:17" x14ac:dyDescent="0.15">
      <c r="K303" s="137"/>
    </row>
    <row r="304" spans="11:17"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row r="439" spans="11:11" x14ac:dyDescent="0.15">
      <c r="K439" s="137"/>
    </row>
    <row r="440" spans="11:11" x14ac:dyDescent="0.15">
      <c r="K440" s="137"/>
    </row>
    <row r="441" spans="11:11" x14ac:dyDescent="0.15">
      <c r="K441" s="137"/>
    </row>
    <row r="442" spans="11:11" x14ac:dyDescent="0.15">
      <c r="K442" s="137"/>
    </row>
    <row r="443" spans="11:11" x14ac:dyDescent="0.15">
      <c r="K443" s="137"/>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55"/>
  <sheetViews>
    <sheetView topLeftCell="A58" zoomScale="85" zoomScaleNormal="85" workbookViewId="0">
      <selection activeCell="G98" sqref="G98"/>
    </sheetView>
  </sheetViews>
  <sheetFormatPr defaultRowHeight="13.5" x14ac:dyDescent="0.15"/>
  <cols>
    <col min="1" max="3" width="9" style="208"/>
    <col min="4" max="4" width="10.5" style="208" bestFit="1" customWidth="1"/>
    <col min="5" max="5" width="10.875" style="208" bestFit="1" customWidth="1"/>
    <col min="6" max="6" width="18.875" style="208" bestFit="1" customWidth="1"/>
    <col min="7" max="9" width="9" style="208"/>
    <col min="10" max="10" width="9.25" style="208" customWidth="1"/>
    <col min="11" max="16" width="9" style="208"/>
    <col min="17" max="17" width="9" style="217"/>
    <col min="18" max="19" width="9" style="208"/>
    <col min="20" max="20" width="9" style="217"/>
    <col min="21" max="21" width="9" style="208"/>
    <col min="22" max="22" width="14.25" style="217" customWidth="1"/>
    <col min="23" max="23" width="9" style="208"/>
    <col min="24" max="24" width="9.625" style="208" customWidth="1"/>
    <col min="25" max="26" width="9" style="208"/>
    <col min="27" max="27" width="12.125" style="208" customWidth="1"/>
    <col min="28" max="32" width="9" style="208"/>
    <col min="33" max="33" width="15.125" style="208" bestFit="1" customWidth="1"/>
    <col min="34" max="34" width="19.625" style="208" bestFit="1" customWidth="1"/>
    <col min="35" max="16384" width="9" style="208"/>
  </cols>
  <sheetData>
    <row r="1" spans="1:53" ht="45" x14ac:dyDescent="0.15">
      <c r="A1" s="240" t="s">
        <v>0</v>
      </c>
      <c r="B1" s="202" t="s">
        <v>1</v>
      </c>
      <c r="C1" s="202" t="s">
        <v>509</v>
      </c>
      <c r="D1" s="203" t="s">
        <v>3</v>
      </c>
      <c r="E1" s="241" t="s">
        <v>4</v>
      </c>
      <c r="F1" s="241" t="s">
        <v>5</v>
      </c>
      <c r="G1" s="241" t="s">
        <v>6</v>
      </c>
      <c r="H1" s="241" t="s">
        <v>7</v>
      </c>
      <c r="I1" s="241" t="s">
        <v>8</v>
      </c>
      <c r="J1" s="241" t="s">
        <v>9</v>
      </c>
      <c r="K1" s="241" t="s">
        <v>10</v>
      </c>
      <c r="L1" s="203" t="s">
        <v>510</v>
      </c>
      <c r="M1" s="203" t="s">
        <v>12</v>
      </c>
      <c r="N1" s="203" t="s">
        <v>13</v>
      </c>
      <c r="O1" s="203" t="s">
        <v>511</v>
      </c>
      <c r="P1" s="203" t="s">
        <v>512</v>
      </c>
      <c r="Q1" s="204" t="s">
        <v>16</v>
      </c>
      <c r="R1" s="203" t="s">
        <v>513</v>
      </c>
      <c r="S1" s="203" t="s">
        <v>514</v>
      </c>
      <c r="T1" s="204" t="s">
        <v>19</v>
      </c>
      <c r="U1" s="205" t="s">
        <v>515</v>
      </c>
      <c r="V1" s="206" t="s">
        <v>20</v>
      </c>
      <c r="W1" s="203" t="s">
        <v>21</v>
      </c>
      <c r="X1" s="241" t="s">
        <v>22</v>
      </c>
      <c r="Y1" s="241" t="s">
        <v>23</v>
      </c>
      <c r="Z1" s="241" t="s">
        <v>516</v>
      </c>
      <c r="AA1" s="242" t="s">
        <v>25</v>
      </c>
      <c r="AB1" s="207" t="s">
        <v>517</v>
      </c>
      <c r="AE1" s="209" t="s">
        <v>0</v>
      </c>
      <c r="AF1" s="210"/>
      <c r="AG1" s="24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518</v>
      </c>
      <c r="AY1" s="214" t="s">
        <v>519</v>
      </c>
      <c r="AZ1" s="214" t="s">
        <v>520</v>
      </c>
      <c r="BA1" s="215" t="s">
        <v>521</v>
      </c>
    </row>
    <row r="2" spans="1:53" s="216" customFormat="1" x14ac:dyDescent="0.15">
      <c r="A2" s="216" t="s">
        <v>34</v>
      </c>
      <c r="B2" s="208" t="s">
        <v>315</v>
      </c>
      <c r="C2" s="208">
        <v>2018</v>
      </c>
      <c r="D2" s="250" t="s">
        <v>522</v>
      </c>
      <c r="E2" s="237" t="s">
        <v>194</v>
      </c>
      <c r="F2" s="237" t="s">
        <v>307</v>
      </c>
      <c r="G2" s="216" t="s">
        <v>36</v>
      </c>
      <c r="H2" s="208" t="s">
        <v>155</v>
      </c>
      <c r="I2" s="216" t="s">
        <v>153</v>
      </c>
      <c r="J2" s="216" t="s">
        <v>38</v>
      </c>
      <c r="K2" s="216" t="s">
        <v>154</v>
      </c>
      <c r="L2" s="216">
        <v>1</v>
      </c>
      <c r="N2" s="216">
        <v>1</v>
      </c>
      <c r="O2" s="216">
        <v>0.65</v>
      </c>
      <c r="P2" s="216">
        <v>0.65</v>
      </c>
      <c r="Q2" s="245">
        <f t="shared" ref="Q2:Q82" si="0">IF(OR(O2="",P2=""),"",AVERAGE(O2,P2))</f>
        <v>0.65</v>
      </c>
      <c r="R2" s="216">
        <v>14</v>
      </c>
      <c r="S2" s="216">
        <v>108</v>
      </c>
      <c r="T2" s="217">
        <f t="shared" ref="T2:T112" si="1">IF(H2="","",IF(OR(H2="GREEN",H2="GK"),IF(S2&gt;=$AX$2,VLOOKUP(S2,$AX$2:$AY$9,2,1),""),IF(S2&gt;=$AZ$2,VLOOKUP(S2,$AZ$2:$BA$9,2,1),"")))</f>
        <v>33</v>
      </c>
      <c r="U2" s="216">
        <v>105</v>
      </c>
      <c r="V2" s="217">
        <f t="shared" ref="V2:V112" si="2">IF(OR(N2="",U2="",T2=""),"",U2/N2*T2)</f>
        <v>3465</v>
      </c>
      <c r="W2" s="216">
        <v>4</v>
      </c>
      <c r="X2" s="216" t="s">
        <v>39</v>
      </c>
      <c r="Y2" s="216" t="s">
        <v>84</v>
      </c>
      <c r="Z2" s="216" t="s">
        <v>90</v>
      </c>
      <c r="AA2" s="216" t="s">
        <v>50</v>
      </c>
      <c r="AB2" s="216" t="s">
        <v>317</v>
      </c>
      <c r="AE2" s="218" t="s">
        <v>35</v>
      </c>
      <c r="AG2" s="251" t="s">
        <v>264</v>
      </c>
      <c r="AH2" s="243" t="s">
        <v>298</v>
      </c>
      <c r="AJ2" s="219" t="s">
        <v>36</v>
      </c>
      <c r="AL2" s="219" t="s">
        <v>127</v>
      </c>
      <c r="AN2" s="219" t="s">
        <v>37</v>
      </c>
      <c r="AP2" s="219" t="s">
        <v>38</v>
      </c>
      <c r="AR2" s="219" t="s">
        <v>523</v>
      </c>
      <c r="AT2" s="219" t="s">
        <v>39</v>
      </c>
      <c r="AV2" s="248" t="s">
        <v>40</v>
      </c>
      <c r="AX2" s="220">
        <v>1</v>
      </c>
      <c r="AY2" s="221">
        <v>50</v>
      </c>
      <c r="AZ2" s="221">
        <v>1</v>
      </c>
      <c r="BA2" s="222">
        <v>50</v>
      </c>
    </row>
    <row r="3" spans="1:53" x14ac:dyDescent="0.15">
      <c r="A3" s="216" t="s">
        <v>34</v>
      </c>
      <c r="B3" s="208" t="s">
        <v>315</v>
      </c>
      <c r="C3" s="208">
        <v>2018</v>
      </c>
      <c r="D3" s="250" t="s">
        <v>522</v>
      </c>
      <c r="E3" s="237" t="s">
        <v>194</v>
      </c>
      <c r="F3" s="237" t="s">
        <v>307</v>
      </c>
      <c r="G3" s="216" t="s">
        <v>36</v>
      </c>
      <c r="H3" s="208" t="s">
        <v>155</v>
      </c>
      <c r="I3" s="216" t="s">
        <v>153</v>
      </c>
      <c r="J3" s="216" t="s">
        <v>38</v>
      </c>
      <c r="K3" s="216" t="s">
        <v>154</v>
      </c>
      <c r="L3" s="208">
        <v>2</v>
      </c>
      <c r="N3" s="208">
        <v>1</v>
      </c>
      <c r="O3" s="208">
        <v>0.7</v>
      </c>
      <c r="P3" s="208">
        <v>0.65</v>
      </c>
      <c r="Q3" s="245">
        <f t="shared" si="0"/>
        <v>0.67500000000000004</v>
      </c>
      <c r="R3" s="208">
        <v>14.9</v>
      </c>
      <c r="S3" s="208">
        <v>104</v>
      </c>
      <c r="T3" s="217">
        <f t="shared" si="1"/>
        <v>33</v>
      </c>
      <c r="U3" s="208">
        <v>105</v>
      </c>
      <c r="V3" s="217">
        <f t="shared" si="2"/>
        <v>3465</v>
      </c>
      <c r="W3" s="216">
        <v>4</v>
      </c>
      <c r="X3" s="216" t="s">
        <v>39</v>
      </c>
      <c r="Y3" s="216" t="s">
        <v>84</v>
      </c>
      <c r="Z3" s="216" t="s">
        <v>90</v>
      </c>
      <c r="AA3" s="216" t="s">
        <v>50</v>
      </c>
      <c r="AB3" s="216" t="s">
        <v>317</v>
      </c>
      <c r="AC3" s="216"/>
      <c r="AE3" s="223" t="s">
        <v>41</v>
      </c>
      <c r="AG3" s="252" t="s">
        <v>299</v>
      </c>
      <c r="AH3" s="243" t="s">
        <v>300</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216" t="s">
        <v>34</v>
      </c>
      <c r="B4" s="208" t="s">
        <v>315</v>
      </c>
      <c r="C4" s="208">
        <v>2018</v>
      </c>
      <c r="D4" s="250" t="s">
        <v>522</v>
      </c>
      <c r="E4" s="237" t="s">
        <v>194</v>
      </c>
      <c r="F4" s="237" t="s">
        <v>307</v>
      </c>
      <c r="G4" s="216" t="s">
        <v>36</v>
      </c>
      <c r="H4" s="208" t="s">
        <v>155</v>
      </c>
      <c r="I4" s="216" t="s">
        <v>153</v>
      </c>
      <c r="J4" s="216" t="s">
        <v>38</v>
      </c>
      <c r="K4" s="216" t="s">
        <v>154</v>
      </c>
      <c r="L4" s="208">
        <v>3</v>
      </c>
      <c r="N4" s="208">
        <v>1</v>
      </c>
      <c r="O4" s="208">
        <v>0.2</v>
      </c>
      <c r="P4" s="208">
        <v>0.2</v>
      </c>
      <c r="Q4" s="245">
        <f t="shared" si="0"/>
        <v>0.2</v>
      </c>
      <c r="R4" s="208">
        <v>14.8</v>
      </c>
      <c r="S4" s="208">
        <v>106</v>
      </c>
      <c r="T4" s="217">
        <f t="shared" si="1"/>
        <v>33</v>
      </c>
      <c r="U4" s="208">
        <v>105</v>
      </c>
      <c r="V4" s="217">
        <f t="shared" si="2"/>
        <v>3465</v>
      </c>
      <c r="W4" s="208">
        <v>4</v>
      </c>
      <c r="X4" s="216" t="s">
        <v>39</v>
      </c>
      <c r="Y4" s="216" t="s">
        <v>84</v>
      </c>
      <c r="Z4" s="216" t="s">
        <v>90</v>
      </c>
      <c r="AA4" s="216" t="s">
        <v>50</v>
      </c>
      <c r="AB4" s="216" t="s">
        <v>317</v>
      </c>
      <c r="AC4" s="216"/>
      <c r="AE4" s="223" t="s">
        <v>34</v>
      </c>
      <c r="AG4" s="252" t="s">
        <v>301</v>
      </c>
      <c r="AH4" s="243" t="s">
        <v>302</v>
      </c>
      <c r="AJ4" s="228" t="s">
        <v>48</v>
      </c>
      <c r="AL4" s="228" t="s">
        <v>129</v>
      </c>
      <c r="AN4" s="229" t="s">
        <v>49</v>
      </c>
      <c r="AP4" s="224" t="s">
        <v>524</v>
      </c>
      <c r="AR4" s="238" t="s">
        <v>525</v>
      </c>
      <c r="AT4" s="229"/>
      <c r="AV4" s="224" t="s">
        <v>50</v>
      </c>
      <c r="AX4" s="225">
        <v>75</v>
      </c>
      <c r="AY4" s="226">
        <v>42</v>
      </c>
      <c r="AZ4" s="226">
        <v>76</v>
      </c>
      <c r="BA4" s="227">
        <v>39</v>
      </c>
    </row>
    <row r="5" spans="1:53" x14ac:dyDescent="0.15">
      <c r="A5" s="216" t="s">
        <v>34</v>
      </c>
      <c r="B5" s="208" t="s">
        <v>315</v>
      </c>
      <c r="C5" s="208">
        <v>2018</v>
      </c>
      <c r="D5" s="250" t="s">
        <v>522</v>
      </c>
      <c r="E5" s="237" t="s">
        <v>194</v>
      </c>
      <c r="F5" s="237" t="s">
        <v>307</v>
      </c>
      <c r="G5" s="216" t="s">
        <v>36</v>
      </c>
      <c r="H5" s="208" t="s">
        <v>155</v>
      </c>
      <c r="I5" s="216" t="s">
        <v>153</v>
      </c>
      <c r="J5" s="216" t="s">
        <v>38</v>
      </c>
      <c r="K5" s="216" t="s">
        <v>154</v>
      </c>
      <c r="L5" s="216">
        <v>1</v>
      </c>
      <c r="N5" s="208">
        <v>5</v>
      </c>
      <c r="O5" s="208">
        <v>0.2</v>
      </c>
      <c r="P5" s="208">
        <v>0.2</v>
      </c>
      <c r="Q5" s="245">
        <f t="shared" si="0"/>
        <v>0.2</v>
      </c>
      <c r="R5" s="208">
        <v>10.9</v>
      </c>
      <c r="S5" s="208">
        <v>83</v>
      </c>
      <c r="T5" s="217">
        <f t="shared" si="1"/>
        <v>39</v>
      </c>
      <c r="U5" s="208">
        <v>321</v>
      </c>
      <c r="V5" s="217">
        <f t="shared" si="2"/>
        <v>2503.8000000000002</v>
      </c>
      <c r="W5" s="208">
        <v>4</v>
      </c>
      <c r="X5" s="216" t="s">
        <v>39</v>
      </c>
      <c r="Y5" s="216" t="s">
        <v>84</v>
      </c>
      <c r="Z5" s="216" t="s">
        <v>90</v>
      </c>
      <c r="AA5" s="216" t="s">
        <v>50</v>
      </c>
      <c r="AB5" s="216" t="s">
        <v>317</v>
      </c>
      <c r="AE5" s="223" t="s">
        <v>51</v>
      </c>
      <c r="AG5" s="252" t="s">
        <v>303</v>
      </c>
      <c r="AH5" s="243" t="s">
        <v>304</v>
      </c>
      <c r="AJ5" s="229"/>
      <c r="AL5" s="230" t="s">
        <v>526</v>
      </c>
      <c r="AN5" s="230" t="s">
        <v>527</v>
      </c>
      <c r="AP5" s="224" t="s">
        <v>528</v>
      </c>
      <c r="AR5" s="238" t="s">
        <v>54</v>
      </c>
      <c r="AV5" s="224" t="s">
        <v>55</v>
      </c>
      <c r="AX5" s="225">
        <v>84</v>
      </c>
      <c r="AY5" s="226">
        <v>39</v>
      </c>
      <c r="AZ5" s="226">
        <v>84</v>
      </c>
      <c r="BA5" s="227">
        <v>36</v>
      </c>
    </row>
    <row r="6" spans="1:53" x14ac:dyDescent="0.15">
      <c r="A6" s="216" t="s">
        <v>34</v>
      </c>
      <c r="B6" s="208" t="s">
        <v>315</v>
      </c>
      <c r="C6" s="208">
        <v>2018</v>
      </c>
      <c r="D6" s="250" t="s">
        <v>522</v>
      </c>
      <c r="E6" s="237" t="s">
        <v>194</v>
      </c>
      <c r="F6" s="237" t="s">
        <v>307</v>
      </c>
      <c r="G6" s="216" t="s">
        <v>36</v>
      </c>
      <c r="H6" s="208" t="s">
        <v>155</v>
      </c>
      <c r="I6" s="216" t="s">
        <v>153</v>
      </c>
      <c r="J6" s="216" t="s">
        <v>38</v>
      </c>
      <c r="K6" s="216" t="s">
        <v>154</v>
      </c>
      <c r="L6" s="208">
        <v>2</v>
      </c>
      <c r="N6" s="208">
        <v>5</v>
      </c>
      <c r="O6" s="208">
        <v>0.7</v>
      </c>
      <c r="P6" s="208">
        <v>0.65</v>
      </c>
      <c r="Q6" s="245">
        <f t="shared" si="0"/>
        <v>0.67500000000000004</v>
      </c>
      <c r="R6" s="208">
        <v>12.8</v>
      </c>
      <c r="S6" s="208">
        <v>92</v>
      </c>
      <c r="T6" s="217">
        <f t="shared" si="1"/>
        <v>36</v>
      </c>
      <c r="U6" s="208">
        <v>321</v>
      </c>
      <c r="V6" s="217">
        <f t="shared" si="2"/>
        <v>2311.2000000000003</v>
      </c>
      <c r="W6" s="208">
        <v>4</v>
      </c>
      <c r="X6" s="216" t="s">
        <v>39</v>
      </c>
      <c r="Y6" s="216" t="s">
        <v>84</v>
      </c>
      <c r="Z6" s="216" t="s">
        <v>90</v>
      </c>
      <c r="AA6" s="216" t="s">
        <v>50</v>
      </c>
      <c r="AB6" s="216" t="s">
        <v>317</v>
      </c>
      <c r="AE6" s="223" t="s">
        <v>56</v>
      </c>
      <c r="AG6" s="252" t="s">
        <v>305</v>
      </c>
      <c r="AH6" s="243" t="s">
        <v>306</v>
      </c>
      <c r="AL6" s="230" t="s">
        <v>529</v>
      </c>
      <c r="AN6" s="230" t="s">
        <v>530</v>
      </c>
      <c r="AP6" s="224" t="s">
        <v>53</v>
      </c>
      <c r="AR6" s="238" t="s">
        <v>59</v>
      </c>
      <c r="AV6" s="224" t="s">
        <v>60</v>
      </c>
      <c r="AX6" s="225">
        <v>97</v>
      </c>
      <c r="AY6" s="226">
        <v>36</v>
      </c>
      <c r="AZ6" s="226">
        <v>99</v>
      </c>
      <c r="BA6" s="227">
        <v>33</v>
      </c>
    </row>
    <row r="7" spans="1:53" x14ac:dyDescent="0.15">
      <c r="A7" s="216" t="s">
        <v>34</v>
      </c>
      <c r="B7" s="208" t="s">
        <v>315</v>
      </c>
      <c r="C7" s="208">
        <v>2018</v>
      </c>
      <c r="D7" s="250" t="s">
        <v>522</v>
      </c>
      <c r="E7" s="237" t="s">
        <v>194</v>
      </c>
      <c r="F7" s="237" t="s">
        <v>307</v>
      </c>
      <c r="G7" s="216" t="s">
        <v>36</v>
      </c>
      <c r="H7" s="208" t="s">
        <v>155</v>
      </c>
      <c r="I7" s="216" t="s">
        <v>153</v>
      </c>
      <c r="J7" s="216" t="s">
        <v>38</v>
      </c>
      <c r="K7" s="216" t="s">
        <v>154</v>
      </c>
      <c r="L7" s="208">
        <v>3</v>
      </c>
      <c r="N7" s="208">
        <v>5</v>
      </c>
      <c r="O7" s="208">
        <v>0.2</v>
      </c>
      <c r="P7" s="208">
        <v>0.2</v>
      </c>
      <c r="Q7" s="245">
        <f t="shared" si="0"/>
        <v>0.2</v>
      </c>
      <c r="R7" s="208">
        <v>9.9</v>
      </c>
      <c r="S7" s="208">
        <v>89</v>
      </c>
      <c r="T7" s="217">
        <f t="shared" si="1"/>
        <v>36</v>
      </c>
      <c r="U7" s="208">
        <v>321</v>
      </c>
      <c r="V7" s="217">
        <f t="shared" si="2"/>
        <v>2311.2000000000003</v>
      </c>
      <c r="W7" s="208">
        <v>4</v>
      </c>
      <c r="X7" s="216" t="s">
        <v>39</v>
      </c>
      <c r="Y7" s="216" t="s">
        <v>84</v>
      </c>
      <c r="Z7" s="216" t="s">
        <v>90</v>
      </c>
      <c r="AA7" s="216" t="s">
        <v>50</v>
      </c>
      <c r="AB7" s="216" t="s">
        <v>317</v>
      </c>
      <c r="AE7" s="223" t="s">
        <v>61</v>
      </c>
      <c r="AG7" s="252" t="s">
        <v>194</v>
      </c>
      <c r="AH7" s="243" t="s">
        <v>307</v>
      </c>
      <c r="AL7" s="235" t="s">
        <v>531</v>
      </c>
      <c r="AP7" s="224" t="s">
        <v>58</v>
      </c>
      <c r="AR7" s="231" t="s">
        <v>122</v>
      </c>
      <c r="AV7" s="224" t="s">
        <v>64</v>
      </c>
      <c r="AX7" s="225">
        <v>109</v>
      </c>
      <c r="AY7" s="226">
        <v>33</v>
      </c>
      <c r="AZ7" s="226">
        <v>113</v>
      </c>
      <c r="BA7" s="227">
        <v>30</v>
      </c>
    </row>
    <row r="8" spans="1:53" x14ac:dyDescent="0.15">
      <c r="A8" s="216" t="s">
        <v>34</v>
      </c>
      <c r="B8" s="208" t="s">
        <v>315</v>
      </c>
      <c r="C8" s="208">
        <v>2018</v>
      </c>
      <c r="D8" s="250" t="s">
        <v>409</v>
      </c>
      <c r="E8" s="237" t="s">
        <v>194</v>
      </c>
      <c r="F8" s="237" t="s">
        <v>307</v>
      </c>
      <c r="G8" s="216" t="s">
        <v>36</v>
      </c>
      <c r="H8" s="208" t="s">
        <v>157</v>
      </c>
      <c r="I8" s="216" t="s">
        <v>153</v>
      </c>
      <c r="J8" s="216" t="s">
        <v>38</v>
      </c>
      <c r="K8" s="216" t="s">
        <v>154</v>
      </c>
      <c r="L8" s="216">
        <v>1</v>
      </c>
      <c r="N8" s="208">
        <v>1</v>
      </c>
      <c r="O8" s="208">
        <v>0.5</v>
      </c>
      <c r="P8" s="208">
        <v>0.45</v>
      </c>
      <c r="Q8" s="245">
        <f t="shared" si="0"/>
        <v>0.47499999999999998</v>
      </c>
      <c r="R8" s="208">
        <v>15</v>
      </c>
      <c r="S8" s="208">
        <v>148</v>
      </c>
      <c r="T8" s="217">
        <f t="shared" si="1"/>
        <v>30</v>
      </c>
      <c r="U8" s="208">
        <v>149</v>
      </c>
      <c r="V8" s="217">
        <f t="shared" si="2"/>
        <v>4470</v>
      </c>
      <c r="W8" s="208">
        <v>1</v>
      </c>
      <c r="X8" s="216" t="s">
        <v>39</v>
      </c>
      <c r="Y8" s="216" t="s">
        <v>84</v>
      </c>
      <c r="Z8" s="216" t="s">
        <v>90</v>
      </c>
      <c r="AA8" s="216" t="s">
        <v>50</v>
      </c>
      <c r="AB8" s="216" t="s">
        <v>317</v>
      </c>
      <c r="AE8" s="223" t="s">
        <v>59</v>
      </c>
      <c r="AG8" s="252" t="s">
        <v>308</v>
      </c>
      <c r="AH8" s="243" t="s">
        <v>309</v>
      </c>
      <c r="AL8" s="235" t="s">
        <v>346</v>
      </c>
      <c r="AP8" s="224" t="s">
        <v>62</v>
      </c>
      <c r="AR8" s="238" t="s">
        <v>81</v>
      </c>
      <c r="AV8" s="224" t="s">
        <v>97</v>
      </c>
      <c r="AX8" s="225">
        <v>151</v>
      </c>
      <c r="AY8" s="226">
        <v>22</v>
      </c>
      <c r="AZ8" s="226">
        <v>152</v>
      </c>
      <c r="BA8" s="227">
        <v>18</v>
      </c>
    </row>
    <row r="9" spans="1:53" x14ac:dyDescent="0.15">
      <c r="A9" s="216" t="s">
        <v>34</v>
      </c>
      <c r="B9" s="208" t="s">
        <v>315</v>
      </c>
      <c r="C9" s="208">
        <v>2018</v>
      </c>
      <c r="D9" s="250" t="s">
        <v>409</v>
      </c>
      <c r="E9" s="237" t="s">
        <v>194</v>
      </c>
      <c r="F9" s="237" t="s">
        <v>307</v>
      </c>
      <c r="G9" s="216" t="s">
        <v>36</v>
      </c>
      <c r="H9" s="208" t="s">
        <v>157</v>
      </c>
      <c r="I9" s="216" t="s">
        <v>153</v>
      </c>
      <c r="J9" s="216" t="s">
        <v>38</v>
      </c>
      <c r="K9" s="216" t="s">
        <v>154</v>
      </c>
      <c r="L9" s="208">
        <v>2</v>
      </c>
      <c r="N9" s="208">
        <v>1</v>
      </c>
      <c r="O9" s="208">
        <v>0.55000000000000004</v>
      </c>
      <c r="P9" s="208">
        <v>0.5</v>
      </c>
      <c r="Q9" s="245">
        <f t="shared" si="0"/>
        <v>0.52500000000000002</v>
      </c>
      <c r="R9" s="208">
        <v>15.2</v>
      </c>
      <c r="S9" s="208">
        <v>148</v>
      </c>
      <c r="T9" s="217">
        <f t="shared" si="1"/>
        <v>30</v>
      </c>
      <c r="U9" s="208">
        <v>149</v>
      </c>
      <c r="V9" s="217">
        <f t="shared" si="2"/>
        <v>4470</v>
      </c>
      <c r="W9" s="208">
        <v>1</v>
      </c>
      <c r="X9" s="216" t="s">
        <v>39</v>
      </c>
      <c r="Y9" s="216" t="s">
        <v>84</v>
      </c>
      <c r="Z9" s="216" t="s">
        <v>90</v>
      </c>
      <c r="AA9" s="216" t="s">
        <v>50</v>
      </c>
      <c r="AB9" s="216" t="s">
        <v>317</v>
      </c>
      <c r="AE9" s="223" t="s">
        <v>98</v>
      </c>
      <c r="AG9" s="252" t="s">
        <v>267</v>
      </c>
      <c r="AH9" s="243" t="s">
        <v>310</v>
      </c>
      <c r="AL9" s="230"/>
      <c r="AP9" s="224" t="s">
        <v>95</v>
      </c>
      <c r="AR9" s="231" t="s">
        <v>89</v>
      </c>
      <c r="AV9" s="224" t="s">
        <v>102</v>
      </c>
      <c r="AX9" s="232">
        <v>180</v>
      </c>
      <c r="AY9" s="233">
        <v>18</v>
      </c>
      <c r="AZ9" s="233">
        <v>181</v>
      </c>
      <c r="BA9" s="234">
        <v>16</v>
      </c>
    </row>
    <row r="10" spans="1:53" x14ac:dyDescent="0.15">
      <c r="A10" s="216" t="s">
        <v>34</v>
      </c>
      <c r="B10" s="208" t="s">
        <v>315</v>
      </c>
      <c r="C10" s="208">
        <v>2018</v>
      </c>
      <c r="D10" s="250" t="s">
        <v>411</v>
      </c>
      <c r="E10" s="237" t="s">
        <v>194</v>
      </c>
      <c r="F10" s="237" t="s">
        <v>307</v>
      </c>
      <c r="G10" s="216" t="s">
        <v>36</v>
      </c>
      <c r="H10" s="208" t="s">
        <v>157</v>
      </c>
      <c r="I10" s="216" t="s">
        <v>153</v>
      </c>
      <c r="J10" s="216" t="s">
        <v>38</v>
      </c>
      <c r="K10" s="216" t="s">
        <v>154</v>
      </c>
      <c r="L10" s="208">
        <v>3</v>
      </c>
      <c r="N10" s="208">
        <v>1</v>
      </c>
      <c r="O10" s="208">
        <v>0.55000000000000004</v>
      </c>
      <c r="P10" s="208">
        <v>0.5</v>
      </c>
      <c r="Q10" s="245">
        <f t="shared" si="0"/>
        <v>0.52500000000000002</v>
      </c>
      <c r="R10" s="208">
        <v>14.1</v>
      </c>
      <c r="S10" s="208">
        <v>153</v>
      </c>
      <c r="T10" s="217">
        <f t="shared" si="1"/>
        <v>18</v>
      </c>
      <c r="U10" s="208">
        <v>149</v>
      </c>
      <c r="V10" s="217">
        <f t="shared" si="2"/>
        <v>2682</v>
      </c>
      <c r="W10" s="208">
        <v>1</v>
      </c>
      <c r="X10" s="216" t="s">
        <v>39</v>
      </c>
      <c r="Y10" s="216" t="s">
        <v>84</v>
      </c>
      <c r="Z10" s="216" t="s">
        <v>90</v>
      </c>
      <c r="AA10" s="216" t="s">
        <v>50</v>
      </c>
      <c r="AB10" s="216" t="s">
        <v>317</v>
      </c>
      <c r="AE10" s="223" t="s">
        <v>103</v>
      </c>
      <c r="AG10" s="252" t="s">
        <v>311</v>
      </c>
      <c r="AH10" s="243" t="s">
        <v>312</v>
      </c>
      <c r="AL10" s="235"/>
      <c r="AP10" s="224" t="s">
        <v>100</v>
      </c>
      <c r="AR10" s="231" t="s">
        <v>123</v>
      </c>
      <c r="AV10" s="224" t="s">
        <v>106</v>
      </c>
    </row>
    <row r="11" spans="1:53" x14ac:dyDescent="0.15">
      <c r="A11" s="216" t="s">
        <v>34</v>
      </c>
      <c r="B11" s="208" t="s">
        <v>315</v>
      </c>
      <c r="C11" s="208">
        <v>2018</v>
      </c>
      <c r="D11" s="250" t="s">
        <v>411</v>
      </c>
      <c r="E11" s="237" t="s">
        <v>308</v>
      </c>
      <c r="F11" s="237" t="s">
        <v>309</v>
      </c>
      <c r="G11" s="216" t="s">
        <v>36</v>
      </c>
      <c r="H11" s="208" t="s">
        <v>155</v>
      </c>
      <c r="I11" s="216" t="s">
        <v>153</v>
      </c>
      <c r="J11" s="216" t="s">
        <v>38</v>
      </c>
      <c r="K11" s="216" t="s">
        <v>154</v>
      </c>
      <c r="L11" s="216">
        <v>1</v>
      </c>
      <c r="N11" s="208">
        <v>1</v>
      </c>
      <c r="O11" s="208">
        <v>0.9</v>
      </c>
      <c r="P11" s="208">
        <v>1.05</v>
      </c>
      <c r="Q11" s="245">
        <f t="shared" si="0"/>
        <v>0.97500000000000009</v>
      </c>
      <c r="R11" s="208">
        <v>14.8</v>
      </c>
      <c r="S11" s="208">
        <v>137</v>
      </c>
      <c r="T11" s="217">
        <f t="shared" si="1"/>
        <v>30</v>
      </c>
      <c r="U11" s="208">
        <v>105</v>
      </c>
      <c r="V11" s="217">
        <f t="shared" si="2"/>
        <v>3150</v>
      </c>
      <c r="W11" s="208">
        <v>3</v>
      </c>
      <c r="X11" s="216" t="s">
        <v>46</v>
      </c>
      <c r="Y11" s="216" t="s">
        <v>84</v>
      </c>
      <c r="Z11" s="216" t="s">
        <v>69</v>
      </c>
      <c r="AA11" s="216" t="s">
        <v>55</v>
      </c>
      <c r="AB11" s="216" t="s">
        <v>317</v>
      </c>
      <c r="AE11" s="223" t="s">
        <v>65</v>
      </c>
      <c r="AG11" s="252" t="s">
        <v>159</v>
      </c>
      <c r="AH11" s="243" t="s">
        <v>313</v>
      </c>
      <c r="AL11" s="235"/>
      <c r="AP11" s="224" t="s">
        <v>104</v>
      </c>
      <c r="AR11" s="231" t="s">
        <v>87</v>
      </c>
      <c r="AV11" s="224" t="s">
        <v>69</v>
      </c>
    </row>
    <row r="12" spans="1:53" x14ac:dyDescent="0.15">
      <c r="A12" s="216" t="s">
        <v>34</v>
      </c>
      <c r="B12" s="208" t="s">
        <v>315</v>
      </c>
      <c r="C12" s="208">
        <v>2018</v>
      </c>
      <c r="D12" s="250" t="s">
        <v>414</v>
      </c>
      <c r="E12" s="237" t="s">
        <v>308</v>
      </c>
      <c r="F12" s="237" t="s">
        <v>309</v>
      </c>
      <c r="G12" s="216" t="s">
        <v>36</v>
      </c>
      <c r="H12" s="208" t="s">
        <v>155</v>
      </c>
      <c r="I12" s="216" t="s">
        <v>153</v>
      </c>
      <c r="J12" s="216" t="s">
        <v>38</v>
      </c>
      <c r="K12" s="216" t="s">
        <v>154</v>
      </c>
      <c r="L12" s="208">
        <v>2</v>
      </c>
      <c r="N12" s="208">
        <v>1</v>
      </c>
      <c r="O12" s="208">
        <v>0.95</v>
      </c>
      <c r="P12" s="208">
        <v>0.9</v>
      </c>
      <c r="Q12" s="245">
        <f t="shared" si="0"/>
        <v>0.92500000000000004</v>
      </c>
      <c r="R12" s="208">
        <v>11.2</v>
      </c>
      <c r="S12" s="208">
        <v>136</v>
      </c>
      <c r="T12" s="217">
        <f t="shared" si="1"/>
        <v>30</v>
      </c>
      <c r="U12" s="208">
        <v>105</v>
      </c>
      <c r="V12" s="217">
        <f t="shared" si="2"/>
        <v>3150</v>
      </c>
      <c r="W12" s="208">
        <v>3</v>
      </c>
      <c r="X12" s="216" t="s">
        <v>46</v>
      </c>
      <c r="Y12" s="216" t="s">
        <v>84</v>
      </c>
      <c r="Z12" s="216" t="s">
        <v>69</v>
      </c>
      <c r="AA12" s="216" t="s">
        <v>55</v>
      </c>
      <c r="AB12" s="216" t="s">
        <v>317</v>
      </c>
      <c r="AE12" s="223" t="s">
        <v>70</v>
      </c>
      <c r="AG12" s="244"/>
      <c r="AH12" s="224"/>
      <c r="AL12" s="235"/>
      <c r="AP12" s="224" t="s">
        <v>67</v>
      </c>
      <c r="AR12" s="231" t="s">
        <v>124</v>
      </c>
      <c r="AV12" s="224" t="s">
        <v>72</v>
      </c>
    </row>
    <row r="13" spans="1:53" x14ac:dyDescent="0.15">
      <c r="A13" s="216" t="s">
        <v>34</v>
      </c>
      <c r="B13" s="208" t="s">
        <v>315</v>
      </c>
      <c r="C13" s="208">
        <v>2018</v>
      </c>
      <c r="D13" s="250" t="s">
        <v>417</v>
      </c>
      <c r="E13" s="237" t="s">
        <v>308</v>
      </c>
      <c r="F13" s="237" t="s">
        <v>309</v>
      </c>
      <c r="G13" s="216" t="s">
        <v>36</v>
      </c>
      <c r="H13" s="208" t="s">
        <v>155</v>
      </c>
      <c r="I13" s="216" t="s">
        <v>153</v>
      </c>
      <c r="J13" s="216" t="s">
        <v>38</v>
      </c>
      <c r="K13" s="216" t="s">
        <v>154</v>
      </c>
      <c r="L13" s="208">
        <v>3</v>
      </c>
      <c r="N13" s="208">
        <v>1</v>
      </c>
      <c r="O13" s="208">
        <v>0.65</v>
      </c>
      <c r="P13" s="208">
        <v>0.65</v>
      </c>
      <c r="Q13" s="245">
        <f t="shared" si="0"/>
        <v>0.65</v>
      </c>
      <c r="R13" s="208">
        <v>12.3</v>
      </c>
      <c r="S13" s="208">
        <v>130</v>
      </c>
      <c r="T13" s="217">
        <f t="shared" si="1"/>
        <v>30</v>
      </c>
      <c r="U13" s="208">
        <v>105</v>
      </c>
      <c r="V13" s="217">
        <f t="shared" si="2"/>
        <v>3150</v>
      </c>
      <c r="W13" s="208">
        <v>3</v>
      </c>
      <c r="X13" s="216" t="s">
        <v>46</v>
      </c>
      <c r="Y13" s="216" t="s">
        <v>84</v>
      </c>
      <c r="Z13" s="216" t="s">
        <v>69</v>
      </c>
      <c r="AA13" s="216" t="s">
        <v>55</v>
      </c>
      <c r="AB13" s="216" t="s">
        <v>317</v>
      </c>
      <c r="AE13" s="223" t="s">
        <v>73</v>
      </c>
      <c r="AG13" s="253"/>
      <c r="AH13" s="229"/>
      <c r="AP13" s="224" t="s">
        <v>71</v>
      </c>
      <c r="AR13" s="231" t="s">
        <v>103</v>
      </c>
      <c r="AV13" s="224" t="s">
        <v>75</v>
      </c>
    </row>
    <row r="14" spans="1:53" x14ac:dyDescent="0.15">
      <c r="A14" s="216" t="s">
        <v>34</v>
      </c>
      <c r="B14" s="208" t="s">
        <v>315</v>
      </c>
      <c r="C14" s="208">
        <v>2018</v>
      </c>
      <c r="D14" s="250" t="s">
        <v>420</v>
      </c>
      <c r="E14" s="237" t="s">
        <v>308</v>
      </c>
      <c r="F14" s="237" t="s">
        <v>309</v>
      </c>
      <c r="G14" s="216" t="s">
        <v>36</v>
      </c>
      <c r="H14" s="208" t="s">
        <v>157</v>
      </c>
      <c r="I14" s="216" t="s">
        <v>153</v>
      </c>
      <c r="J14" s="216" t="s">
        <v>38</v>
      </c>
      <c r="K14" s="216" t="s">
        <v>154</v>
      </c>
      <c r="L14" s="216">
        <v>1</v>
      </c>
      <c r="N14" s="208">
        <v>1</v>
      </c>
      <c r="O14" s="208">
        <v>0.65</v>
      </c>
      <c r="P14" s="208">
        <v>0.55000000000000004</v>
      </c>
      <c r="Q14" s="245">
        <f t="shared" si="0"/>
        <v>0.60000000000000009</v>
      </c>
      <c r="R14" s="208">
        <v>15.2</v>
      </c>
      <c r="S14" s="208">
        <v>153</v>
      </c>
      <c r="T14" s="217">
        <f t="shared" si="1"/>
        <v>18</v>
      </c>
      <c r="U14" s="208">
        <v>105</v>
      </c>
      <c r="V14" s="217">
        <f t="shared" si="2"/>
        <v>1890</v>
      </c>
      <c r="W14" s="208">
        <v>6</v>
      </c>
      <c r="X14" s="216" t="s">
        <v>46</v>
      </c>
      <c r="Y14" s="216" t="s">
        <v>84</v>
      </c>
      <c r="Z14" s="216" t="s">
        <v>69</v>
      </c>
      <c r="AA14" s="216" t="s">
        <v>55</v>
      </c>
      <c r="AB14" s="216" t="s">
        <v>317</v>
      </c>
      <c r="AE14" s="223" t="s">
        <v>76</v>
      </c>
      <c r="AG14" s="254"/>
      <c r="AL14" s="247"/>
      <c r="AP14" s="224" t="s">
        <v>74</v>
      </c>
      <c r="AR14" s="231" t="s">
        <v>125</v>
      </c>
      <c r="AV14" s="224" t="s">
        <v>78</v>
      </c>
    </row>
    <row r="15" spans="1:53" x14ac:dyDescent="0.15">
      <c r="A15" s="216" t="s">
        <v>34</v>
      </c>
      <c r="B15" s="208" t="s">
        <v>315</v>
      </c>
      <c r="C15" s="208">
        <v>2018</v>
      </c>
      <c r="D15" s="250" t="s">
        <v>420</v>
      </c>
      <c r="E15" s="237" t="s">
        <v>308</v>
      </c>
      <c r="F15" s="237" t="s">
        <v>309</v>
      </c>
      <c r="G15" s="216" t="s">
        <v>36</v>
      </c>
      <c r="H15" s="208" t="s">
        <v>157</v>
      </c>
      <c r="I15" s="216" t="s">
        <v>153</v>
      </c>
      <c r="J15" s="216" t="s">
        <v>38</v>
      </c>
      <c r="K15" s="216" t="s">
        <v>154</v>
      </c>
      <c r="L15" s="208">
        <v>2</v>
      </c>
      <c r="N15" s="208">
        <v>1</v>
      </c>
      <c r="O15" s="208">
        <v>0.65</v>
      </c>
      <c r="P15" s="208">
        <v>0.45</v>
      </c>
      <c r="Q15" s="245">
        <f t="shared" si="0"/>
        <v>0.55000000000000004</v>
      </c>
      <c r="R15" s="208">
        <v>14.9</v>
      </c>
      <c r="S15" s="208">
        <v>150</v>
      </c>
      <c r="T15" s="217">
        <f t="shared" si="1"/>
        <v>30</v>
      </c>
      <c r="U15" s="208">
        <v>105</v>
      </c>
      <c r="V15" s="217">
        <f t="shared" si="2"/>
        <v>3150</v>
      </c>
      <c r="W15" s="208">
        <v>6</v>
      </c>
      <c r="X15" s="216" t="s">
        <v>46</v>
      </c>
      <c r="Y15" s="216" t="s">
        <v>84</v>
      </c>
      <c r="Z15" s="216" t="s">
        <v>69</v>
      </c>
      <c r="AA15" s="216" t="s">
        <v>55</v>
      </c>
      <c r="AB15" s="216" t="s">
        <v>317</v>
      </c>
      <c r="AE15" s="223" t="s">
        <v>79</v>
      </c>
      <c r="AL15" s="255"/>
      <c r="AP15" s="224" t="s">
        <v>77</v>
      </c>
      <c r="AR15" s="231" t="s">
        <v>94</v>
      </c>
      <c r="AV15" s="224" t="s">
        <v>107</v>
      </c>
    </row>
    <row r="16" spans="1:53" x14ac:dyDescent="0.15">
      <c r="A16" s="216" t="s">
        <v>34</v>
      </c>
      <c r="B16" s="208" t="s">
        <v>315</v>
      </c>
      <c r="C16" s="208">
        <v>2018</v>
      </c>
      <c r="D16" s="250" t="s">
        <v>424</v>
      </c>
      <c r="E16" s="237" t="s">
        <v>308</v>
      </c>
      <c r="F16" s="237" t="s">
        <v>309</v>
      </c>
      <c r="G16" s="216" t="s">
        <v>36</v>
      </c>
      <c r="H16" s="208" t="s">
        <v>157</v>
      </c>
      <c r="I16" s="216" t="s">
        <v>153</v>
      </c>
      <c r="J16" s="216" t="s">
        <v>38</v>
      </c>
      <c r="K16" s="216" t="s">
        <v>154</v>
      </c>
      <c r="L16" s="208">
        <v>3</v>
      </c>
      <c r="N16" s="208">
        <v>1</v>
      </c>
      <c r="O16" s="208">
        <v>0.2</v>
      </c>
      <c r="P16" s="208">
        <v>0.45</v>
      </c>
      <c r="Q16" s="245">
        <f t="shared" si="0"/>
        <v>0.32500000000000001</v>
      </c>
      <c r="R16" s="208">
        <v>14.4</v>
      </c>
      <c r="S16" s="208">
        <v>152</v>
      </c>
      <c r="T16" s="217">
        <f t="shared" si="1"/>
        <v>18</v>
      </c>
      <c r="U16" s="208">
        <v>105</v>
      </c>
      <c r="V16" s="217">
        <f t="shared" si="2"/>
        <v>1890</v>
      </c>
      <c r="W16" s="208">
        <v>6</v>
      </c>
      <c r="X16" s="216" t="s">
        <v>46</v>
      </c>
      <c r="Y16" s="216" t="s">
        <v>84</v>
      </c>
      <c r="Z16" s="216" t="s">
        <v>69</v>
      </c>
      <c r="AA16" s="216" t="s">
        <v>55</v>
      </c>
      <c r="AB16" s="216" t="s">
        <v>317</v>
      </c>
      <c r="AE16" s="223" t="s">
        <v>82</v>
      </c>
      <c r="AL16" s="255"/>
      <c r="AP16" s="224" t="s">
        <v>80</v>
      </c>
      <c r="AR16" s="238" t="s">
        <v>63</v>
      </c>
      <c r="AV16" s="224" t="s">
        <v>84</v>
      </c>
    </row>
    <row r="17" spans="1:48" x14ac:dyDescent="0.15">
      <c r="A17" s="216" t="s">
        <v>34</v>
      </c>
      <c r="B17" s="208" t="s">
        <v>315</v>
      </c>
      <c r="C17" s="208">
        <v>2018</v>
      </c>
      <c r="D17" s="250" t="s">
        <v>424</v>
      </c>
      <c r="E17" s="237" t="s">
        <v>267</v>
      </c>
      <c r="F17" s="237" t="s">
        <v>310</v>
      </c>
      <c r="G17" s="216" t="s">
        <v>36</v>
      </c>
      <c r="H17" s="208" t="s">
        <v>155</v>
      </c>
      <c r="I17" s="216" t="s">
        <v>153</v>
      </c>
      <c r="J17" s="216" t="s">
        <v>38</v>
      </c>
      <c r="K17" s="216" t="s">
        <v>154</v>
      </c>
      <c r="L17" s="216">
        <v>1</v>
      </c>
      <c r="N17" s="208">
        <v>1</v>
      </c>
      <c r="O17" s="208">
        <v>0.65</v>
      </c>
      <c r="P17" s="208">
        <v>0.75</v>
      </c>
      <c r="Q17" s="245">
        <f t="shared" si="0"/>
        <v>0.7</v>
      </c>
      <c r="R17" s="208">
        <v>14.1</v>
      </c>
      <c r="S17" s="208">
        <v>116</v>
      </c>
      <c r="T17" s="217">
        <f t="shared" si="1"/>
        <v>30</v>
      </c>
      <c r="U17" s="208">
        <v>138</v>
      </c>
      <c r="V17" s="217">
        <f t="shared" si="2"/>
        <v>4140</v>
      </c>
      <c r="W17" s="208">
        <v>3</v>
      </c>
      <c r="X17" s="216" t="s">
        <v>39</v>
      </c>
      <c r="Y17" s="216" t="s">
        <v>84</v>
      </c>
      <c r="Z17" s="216" t="s">
        <v>50</v>
      </c>
      <c r="AA17" s="216" t="s">
        <v>90</v>
      </c>
      <c r="AB17" s="216" t="s">
        <v>317</v>
      </c>
      <c r="AE17" s="223" t="s">
        <v>85</v>
      </c>
      <c r="AL17" s="255"/>
      <c r="AP17" s="239" t="s">
        <v>110</v>
      </c>
      <c r="AR17" s="238" t="s">
        <v>96</v>
      </c>
      <c r="AV17" s="224" t="s">
        <v>86</v>
      </c>
    </row>
    <row r="18" spans="1:48" x14ac:dyDescent="0.15">
      <c r="A18" s="216" t="s">
        <v>34</v>
      </c>
      <c r="B18" s="208" t="s">
        <v>315</v>
      </c>
      <c r="C18" s="208">
        <v>2018</v>
      </c>
      <c r="D18" s="250" t="s">
        <v>424</v>
      </c>
      <c r="E18" s="237" t="s">
        <v>267</v>
      </c>
      <c r="F18" s="237" t="s">
        <v>310</v>
      </c>
      <c r="G18" s="216" t="s">
        <v>36</v>
      </c>
      <c r="H18" s="208" t="s">
        <v>155</v>
      </c>
      <c r="I18" s="216" t="s">
        <v>153</v>
      </c>
      <c r="J18" s="216" t="s">
        <v>38</v>
      </c>
      <c r="K18" s="216" t="s">
        <v>154</v>
      </c>
      <c r="L18" s="208">
        <v>2</v>
      </c>
      <c r="N18" s="208">
        <v>1</v>
      </c>
      <c r="O18" s="208">
        <v>0.5</v>
      </c>
      <c r="P18" s="208">
        <v>0.55000000000000004</v>
      </c>
      <c r="Q18" s="245">
        <f t="shared" si="0"/>
        <v>0.52500000000000002</v>
      </c>
      <c r="R18" s="208">
        <v>14.5</v>
      </c>
      <c r="S18" s="208">
        <v>119</v>
      </c>
      <c r="T18" s="217">
        <f t="shared" si="1"/>
        <v>30</v>
      </c>
      <c r="U18" s="208">
        <v>138</v>
      </c>
      <c r="V18" s="217">
        <f t="shared" si="2"/>
        <v>4140</v>
      </c>
      <c r="W18" s="208">
        <v>3</v>
      </c>
      <c r="X18" s="216" t="s">
        <v>39</v>
      </c>
      <c r="Y18" s="216" t="s">
        <v>84</v>
      </c>
      <c r="Z18" s="216" t="s">
        <v>50</v>
      </c>
      <c r="AA18" s="216" t="s">
        <v>90</v>
      </c>
      <c r="AB18" s="216" t="s">
        <v>317</v>
      </c>
      <c r="AE18" s="223" t="s">
        <v>87</v>
      </c>
      <c r="AL18" s="216"/>
      <c r="AP18" s="239" t="s">
        <v>111</v>
      </c>
      <c r="AR18" s="238" t="s">
        <v>101</v>
      </c>
      <c r="AV18" s="224" t="s">
        <v>88</v>
      </c>
    </row>
    <row r="19" spans="1:48" x14ac:dyDescent="0.15">
      <c r="A19" s="216" t="s">
        <v>34</v>
      </c>
      <c r="B19" s="208" t="s">
        <v>315</v>
      </c>
      <c r="C19" s="208">
        <v>2018</v>
      </c>
      <c r="D19" s="250" t="s">
        <v>414</v>
      </c>
      <c r="E19" s="237" t="s">
        <v>267</v>
      </c>
      <c r="F19" s="237" t="s">
        <v>310</v>
      </c>
      <c r="G19" s="216" t="s">
        <v>36</v>
      </c>
      <c r="H19" s="208" t="s">
        <v>155</v>
      </c>
      <c r="I19" s="216" t="s">
        <v>153</v>
      </c>
      <c r="J19" s="216" t="s">
        <v>38</v>
      </c>
      <c r="K19" s="216" t="s">
        <v>154</v>
      </c>
      <c r="L19" s="208">
        <v>3</v>
      </c>
      <c r="N19" s="208">
        <v>1</v>
      </c>
      <c r="O19" s="208">
        <v>0.55000000000000004</v>
      </c>
      <c r="P19" s="208">
        <v>0.7</v>
      </c>
      <c r="Q19" s="245">
        <f t="shared" si="0"/>
        <v>0.625</v>
      </c>
      <c r="R19" s="208">
        <v>14.7</v>
      </c>
      <c r="S19" s="208">
        <v>119</v>
      </c>
      <c r="T19" s="217">
        <f t="shared" si="1"/>
        <v>30</v>
      </c>
      <c r="U19" s="208">
        <v>138</v>
      </c>
      <c r="V19" s="217">
        <f t="shared" si="2"/>
        <v>4140</v>
      </c>
      <c r="W19" s="208">
        <v>3</v>
      </c>
      <c r="X19" s="216" t="s">
        <v>39</v>
      </c>
      <c r="Y19" s="216" t="s">
        <v>84</v>
      </c>
      <c r="Z19" s="216" t="s">
        <v>50</v>
      </c>
      <c r="AA19" s="216" t="s">
        <v>90</v>
      </c>
      <c r="AB19" s="216" t="s">
        <v>317</v>
      </c>
      <c r="AE19" s="236" t="s">
        <v>89</v>
      </c>
      <c r="AP19" s="239" t="s">
        <v>112</v>
      </c>
      <c r="AR19" s="231" t="s">
        <v>126</v>
      </c>
      <c r="AV19" s="224" t="s">
        <v>90</v>
      </c>
    </row>
    <row r="20" spans="1:48" x14ac:dyDescent="0.15">
      <c r="A20" s="216" t="s">
        <v>34</v>
      </c>
      <c r="B20" s="208" t="s">
        <v>315</v>
      </c>
      <c r="C20" s="208">
        <v>2018</v>
      </c>
      <c r="D20" s="250" t="s">
        <v>414</v>
      </c>
      <c r="E20" s="237" t="s">
        <v>267</v>
      </c>
      <c r="F20" s="237" t="s">
        <v>310</v>
      </c>
      <c r="G20" s="216" t="s">
        <v>36</v>
      </c>
      <c r="H20" s="208" t="s">
        <v>155</v>
      </c>
      <c r="I20" s="216" t="s">
        <v>153</v>
      </c>
      <c r="J20" s="216" t="s">
        <v>38</v>
      </c>
      <c r="K20" s="216" t="s">
        <v>154</v>
      </c>
      <c r="L20" s="216">
        <v>1</v>
      </c>
      <c r="N20" s="208">
        <v>4</v>
      </c>
      <c r="O20" s="208">
        <v>0.2</v>
      </c>
      <c r="P20" s="208">
        <v>0.2</v>
      </c>
      <c r="Q20" s="245">
        <f t="shared" si="0"/>
        <v>0.2</v>
      </c>
      <c r="R20" s="208">
        <v>14.1</v>
      </c>
      <c r="S20" s="208">
        <v>103</v>
      </c>
      <c r="T20" s="217">
        <f t="shared" si="1"/>
        <v>33</v>
      </c>
      <c r="U20" s="208">
        <v>386</v>
      </c>
      <c r="V20" s="217">
        <f t="shared" si="2"/>
        <v>3184.5</v>
      </c>
      <c r="W20" s="208">
        <v>3</v>
      </c>
      <c r="X20" s="216" t="s">
        <v>39</v>
      </c>
      <c r="Y20" s="216" t="s">
        <v>84</v>
      </c>
      <c r="Z20" s="216" t="s">
        <v>50</v>
      </c>
      <c r="AA20" s="216" t="s">
        <v>90</v>
      </c>
      <c r="AB20" s="216" t="s">
        <v>317</v>
      </c>
      <c r="AP20" s="239" t="s">
        <v>113</v>
      </c>
      <c r="AR20" s="238" t="s">
        <v>105</v>
      </c>
      <c r="AV20" s="228" t="s">
        <v>347</v>
      </c>
    </row>
    <row r="21" spans="1:48" x14ac:dyDescent="0.15">
      <c r="A21" s="216" t="s">
        <v>34</v>
      </c>
      <c r="B21" s="208" t="s">
        <v>315</v>
      </c>
      <c r="C21" s="208">
        <v>2018</v>
      </c>
      <c r="D21" s="250" t="s">
        <v>414</v>
      </c>
      <c r="E21" s="237" t="s">
        <v>267</v>
      </c>
      <c r="F21" s="237" t="s">
        <v>310</v>
      </c>
      <c r="G21" s="216" t="s">
        <v>36</v>
      </c>
      <c r="H21" s="208" t="s">
        <v>155</v>
      </c>
      <c r="I21" s="216" t="s">
        <v>153</v>
      </c>
      <c r="J21" s="216" t="s">
        <v>38</v>
      </c>
      <c r="K21" s="216" t="s">
        <v>154</v>
      </c>
      <c r="L21" s="208">
        <v>2</v>
      </c>
      <c r="N21" s="208">
        <v>4</v>
      </c>
      <c r="O21" s="208">
        <v>0.2</v>
      </c>
      <c r="P21" s="208">
        <v>0.55000000000000004</v>
      </c>
      <c r="Q21" s="245">
        <f t="shared" si="0"/>
        <v>0.375</v>
      </c>
      <c r="R21" s="208">
        <v>13.2</v>
      </c>
      <c r="S21" s="208">
        <v>98</v>
      </c>
      <c r="T21" s="217">
        <f t="shared" si="1"/>
        <v>36</v>
      </c>
      <c r="U21" s="208">
        <v>386</v>
      </c>
      <c r="V21" s="217">
        <f t="shared" si="2"/>
        <v>3474</v>
      </c>
      <c r="W21" s="208">
        <v>3</v>
      </c>
      <c r="X21" s="216" t="s">
        <v>39</v>
      </c>
      <c r="Y21" s="216" t="s">
        <v>84</v>
      </c>
      <c r="Z21" s="216" t="s">
        <v>50</v>
      </c>
      <c r="AA21" s="216" t="s">
        <v>90</v>
      </c>
      <c r="AB21" s="216" t="s">
        <v>317</v>
      </c>
      <c r="AP21" s="239" t="s">
        <v>114</v>
      </c>
      <c r="AR21" s="238" t="s">
        <v>68</v>
      </c>
      <c r="AV21" s="228" t="s">
        <v>348</v>
      </c>
    </row>
    <row r="22" spans="1:48" x14ac:dyDescent="0.15">
      <c r="A22" s="216" t="s">
        <v>34</v>
      </c>
      <c r="B22" s="208" t="s">
        <v>315</v>
      </c>
      <c r="C22" s="208">
        <v>2018</v>
      </c>
      <c r="D22" s="250" t="s">
        <v>414</v>
      </c>
      <c r="E22" s="237" t="s">
        <v>267</v>
      </c>
      <c r="F22" s="237" t="s">
        <v>310</v>
      </c>
      <c r="G22" s="216" t="s">
        <v>36</v>
      </c>
      <c r="H22" s="208" t="s">
        <v>155</v>
      </c>
      <c r="I22" s="216" t="s">
        <v>153</v>
      </c>
      <c r="J22" s="216" t="s">
        <v>38</v>
      </c>
      <c r="K22" s="216" t="s">
        <v>154</v>
      </c>
      <c r="L22" s="208">
        <v>3</v>
      </c>
      <c r="N22" s="208">
        <v>4</v>
      </c>
      <c r="O22" s="208">
        <v>0.2</v>
      </c>
      <c r="P22" s="208">
        <v>0.55000000000000004</v>
      </c>
      <c r="Q22" s="245">
        <f t="shared" si="0"/>
        <v>0.375</v>
      </c>
      <c r="R22" s="208">
        <v>13.5</v>
      </c>
      <c r="S22" s="208">
        <v>104</v>
      </c>
      <c r="T22" s="217">
        <f t="shared" si="1"/>
        <v>33</v>
      </c>
      <c r="U22" s="208">
        <v>386</v>
      </c>
      <c r="V22" s="217">
        <f t="shared" si="2"/>
        <v>3184.5</v>
      </c>
      <c r="W22" s="208">
        <v>3</v>
      </c>
      <c r="X22" s="216" t="s">
        <v>39</v>
      </c>
      <c r="Y22" s="216" t="s">
        <v>84</v>
      </c>
      <c r="Z22" s="216" t="s">
        <v>50</v>
      </c>
      <c r="AA22" s="216" t="s">
        <v>90</v>
      </c>
      <c r="AB22" s="216" t="s">
        <v>317</v>
      </c>
      <c r="AP22" s="239" t="s">
        <v>115</v>
      </c>
      <c r="AR22" s="238" t="s">
        <v>83</v>
      </c>
      <c r="AV22" s="228"/>
    </row>
    <row r="23" spans="1:48" x14ac:dyDescent="0.15">
      <c r="A23" s="216" t="s">
        <v>34</v>
      </c>
      <c r="B23" s="208" t="s">
        <v>315</v>
      </c>
      <c r="C23" s="208">
        <v>2018</v>
      </c>
      <c r="D23" s="250" t="s">
        <v>414</v>
      </c>
      <c r="E23" s="237" t="s">
        <v>267</v>
      </c>
      <c r="F23" s="237" t="s">
        <v>310</v>
      </c>
      <c r="G23" s="216" t="s">
        <v>36</v>
      </c>
      <c r="H23" s="208" t="s">
        <v>157</v>
      </c>
      <c r="I23" s="216" t="s">
        <v>153</v>
      </c>
      <c r="J23" s="216" t="s">
        <v>38</v>
      </c>
      <c r="K23" s="216" t="s">
        <v>154</v>
      </c>
      <c r="L23" s="216">
        <v>1</v>
      </c>
      <c r="N23" s="208">
        <v>1</v>
      </c>
      <c r="O23" s="208">
        <v>0.45</v>
      </c>
      <c r="P23" s="208">
        <v>0.45</v>
      </c>
      <c r="Q23" s="245">
        <f t="shared" si="0"/>
        <v>0.45</v>
      </c>
      <c r="R23" s="208">
        <v>14.6</v>
      </c>
      <c r="S23" s="208">
        <v>193</v>
      </c>
      <c r="T23" s="217">
        <f t="shared" si="1"/>
        <v>16</v>
      </c>
      <c r="U23" s="208">
        <v>149</v>
      </c>
      <c r="V23" s="217">
        <f t="shared" si="2"/>
        <v>2384</v>
      </c>
      <c r="W23" s="208">
        <v>2</v>
      </c>
      <c r="X23" s="216" t="s">
        <v>39</v>
      </c>
      <c r="Y23" s="216" t="s">
        <v>84</v>
      </c>
      <c r="Z23" s="216" t="s">
        <v>50</v>
      </c>
      <c r="AA23" s="216" t="s">
        <v>90</v>
      </c>
      <c r="AB23" s="216" t="s">
        <v>317</v>
      </c>
      <c r="AP23" s="239" t="s">
        <v>117</v>
      </c>
      <c r="AR23" s="238" t="s">
        <v>268</v>
      </c>
    </row>
    <row r="24" spans="1:48" x14ac:dyDescent="0.15">
      <c r="A24" s="216" t="s">
        <v>34</v>
      </c>
      <c r="B24" s="208" t="s">
        <v>315</v>
      </c>
      <c r="C24" s="208">
        <v>2018</v>
      </c>
      <c r="D24" s="250" t="s">
        <v>414</v>
      </c>
      <c r="E24" s="237" t="s">
        <v>267</v>
      </c>
      <c r="F24" s="237" t="s">
        <v>310</v>
      </c>
      <c r="G24" s="216" t="s">
        <v>36</v>
      </c>
      <c r="H24" s="208" t="s">
        <v>157</v>
      </c>
      <c r="I24" s="216" t="s">
        <v>153</v>
      </c>
      <c r="J24" s="216" t="s">
        <v>38</v>
      </c>
      <c r="K24" s="216" t="s">
        <v>154</v>
      </c>
      <c r="L24" s="208">
        <v>2</v>
      </c>
      <c r="N24" s="208">
        <v>1</v>
      </c>
      <c r="O24" s="208">
        <v>0.65</v>
      </c>
      <c r="P24" s="208">
        <v>0.6</v>
      </c>
      <c r="Q24" s="245">
        <f t="shared" si="0"/>
        <v>0.625</v>
      </c>
      <c r="R24" s="208">
        <v>14.5</v>
      </c>
      <c r="S24" s="208">
        <v>200</v>
      </c>
      <c r="T24" s="217">
        <f t="shared" si="1"/>
        <v>16</v>
      </c>
      <c r="U24" s="208">
        <v>149</v>
      </c>
      <c r="V24" s="217">
        <f t="shared" si="2"/>
        <v>2384</v>
      </c>
      <c r="W24" s="208">
        <v>2</v>
      </c>
      <c r="X24" s="216" t="s">
        <v>39</v>
      </c>
      <c r="Y24" s="216" t="s">
        <v>84</v>
      </c>
      <c r="Z24" s="216" t="s">
        <v>50</v>
      </c>
      <c r="AA24" s="216" t="s">
        <v>90</v>
      </c>
      <c r="AB24" s="216" t="s">
        <v>317</v>
      </c>
      <c r="AP24" s="239" t="s">
        <v>118</v>
      </c>
    </row>
    <row r="25" spans="1:48" x14ac:dyDescent="0.15">
      <c r="A25" s="216" t="s">
        <v>34</v>
      </c>
      <c r="B25" s="208" t="s">
        <v>315</v>
      </c>
      <c r="C25" s="208">
        <v>2018</v>
      </c>
      <c r="D25" s="250" t="s">
        <v>414</v>
      </c>
      <c r="E25" s="237" t="s">
        <v>267</v>
      </c>
      <c r="F25" s="237" t="s">
        <v>310</v>
      </c>
      <c r="G25" s="216" t="s">
        <v>36</v>
      </c>
      <c r="H25" s="208" t="s">
        <v>157</v>
      </c>
      <c r="I25" s="216" t="s">
        <v>153</v>
      </c>
      <c r="J25" s="216" t="s">
        <v>38</v>
      </c>
      <c r="K25" s="216" t="s">
        <v>154</v>
      </c>
      <c r="L25" s="208">
        <v>3</v>
      </c>
      <c r="N25" s="208">
        <v>1</v>
      </c>
      <c r="O25" s="208">
        <v>0.2</v>
      </c>
      <c r="P25" s="208">
        <v>0.2</v>
      </c>
      <c r="Q25" s="245">
        <f t="shared" si="0"/>
        <v>0.2</v>
      </c>
      <c r="R25" s="208">
        <v>16.600000000000001</v>
      </c>
      <c r="S25" s="208">
        <v>193</v>
      </c>
      <c r="T25" s="217">
        <f t="shared" si="1"/>
        <v>16</v>
      </c>
      <c r="U25" s="208">
        <v>149</v>
      </c>
      <c r="V25" s="217">
        <f t="shared" si="2"/>
        <v>2384</v>
      </c>
      <c r="W25" s="208">
        <v>2</v>
      </c>
      <c r="X25" s="216" t="s">
        <v>39</v>
      </c>
      <c r="Y25" s="216" t="s">
        <v>84</v>
      </c>
      <c r="Z25" s="216" t="s">
        <v>50</v>
      </c>
      <c r="AA25" s="216" t="s">
        <v>90</v>
      </c>
      <c r="AB25" s="216" t="s">
        <v>317</v>
      </c>
    </row>
    <row r="26" spans="1:48" x14ac:dyDescent="0.15">
      <c r="A26" s="216" t="s">
        <v>34</v>
      </c>
      <c r="B26" s="208" t="s">
        <v>315</v>
      </c>
      <c r="C26" s="208">
        <v>2018</v>
      </c>
      <c r="D26" s="250" t="s">
        <v>414</v>
      </c>
      <c r="E26" s="237" t="s">
        <v>267</v>
      </c>
      <c r="F26" s="237" t="s">
        <v>310</v>
      </c>
      <c r="G26" s="216" t="s">
        <v>36</v>
      </c>
      <c r="H26" s="208" t="s">
        <v>157</v>
      </c>
      <c r="I26" s="216" t="s">
        <v>153</v>
      </c>
      <c r="J26" s="216" t="s">
        <v>38</v>
      </c>
      <c r="K26" s="216" t="s">
        <v>154</v>
      </c>
      <c r="L26" s="216">
        <v>1</v>
      </c>
      <c r="N26" s="208">
        <v>4</v>
      </c>
      <c r="O26" s="208">
        <v>0.55000000000000004</v>
      </c>
      <c r="P26" s="208">
        <v>0.55000000000000004</v>
      </c>
      <c r="Q26" s="245">
        <f t="shared" si="0"/>
        <v>0.55000000000000004</v>
      </c>
      <c r="R26" s="208">
        <v>16.3</v>
      </c>
      <c r="S26" s="208">
        <v>128</v>
      </c>
      <c r="T26" s="217">
        <f t="shared" si="1"/>
        <v>30</v>
      </c>
      <c r="U26" s="208">
        <v>537</v>
      </c>
      <c r="V26" s="217">
        <f t="shared" si="2"/>
        <v>4027.5</v>
      </c>
      <c r="W26" s="208">
        <v>2</v>
      </c>
      <c r="X26" s="216" t="s">
        <v>39</v>
      </c>
      <c r="Y26" s="216" t="s">
        <v>84</v>
      </c>
      <c r="Z26" s="216" t="s">
        <v>50</v>
      </c>
      <c r="AA26" s="216" t="s">
        <v>90</v>
      </c>
      <c r="AB26" s="216" t="s">
        <v>317</v>
      </c>
    </row>
    <row r="27" spans="1:48" x14ac:dyDescent="0.15">
      <c r="A27" s="216" t="s">
        <v>34</v>
      </c>
      <c r="B27" s="208" t="s">
        <v>315</v>
      </c>
      <c r="C27" s="208">
        <v>2018</v>
      </c>
      <c r="D27" s="250" t="s">
        <v>414</v>
      </c>
      <c r="E27" s="237" t="s">
        <v>267</v>
      </c>
      <c r="F27" s="237" t="s">
        <v>310</v>
      </c>
      <c r="G27" s="216" t="s">
        <v>36</v>
      </c>
      <c r="H27" s="208" t="s">
        <v>157</v>
      </c>
      <c r="I27" s="216" t="s">
        <v>153</v>
      </c>
      <c r="J27" s="216" t="s">
        <v>38</v>
      </c>
      <c r="K27" s="216" t="s">
        <v>154</v>
      </c>
      <c r="L27" s="208">
        <v>2</v>
      </c>
      <c r="N27" s="208">
        <v>4</v>
      </c>
      <c r="O27" s="208">
        <v>0.2</v>
      </c>
      <c r="P27" s="208">
        <v>0.2</v>
      </c>
      <c r="Q27" s="245">
        <f t="shared" si="0"/>
        <v>0.2</v>
      </c>
      <c r="R27" s="208">
        <v>16.600000000000001</v>
      </c>
      <c r="S27" s="208">
        <v>134</v>
      </c>
      <c r="T27" s="217">
        <f t="shared" si="1"/>
        <v>30</v>
      </c>
      <c r="U27" s="208">
        <v>537</v>
      </c>
      <c r="V27" s="217">
        <f t="shared" si="2"/>
        <v>4027.5</v>
      </c>
      <c r="W27" s="208">
        <v>2</v>
      </c>
      <c r="X27" s="216" t="s">
        <v>39</v>
      </c>
      <c r="Y27" s="216" t="s">
        <v>84</v>
      </c>
      <c r="Z27" s="216" t="s">
        <v>50</v>
      </c>
      <c r="AA27" s="216" t="s">
        <v>90</v>
      </c>
      <c r="AB27" s="216" t="s">
        <v>317</v>
      </c>
    </row>
    <row r="28" spans="1:48" x14ac:dyDescent="0.15">
      <c r="A28" s="216" t="s">
        <v>34</v>
      </c>
      <c r="B28" s="208" t="s">
        <v>315</v>
      </c>
      <c r="C28" s="208">
        <v>2018</v>
      </c>
      <c r="D28" s="250" t="s">
        <v>414</v>
      </c>
      <c r="E28" s="237" t="s">
        <v>267</v>
      </c>
      <c r="F28" s="237" t="s">
        <v>310</v>
      </c>
      <c r="G28" s="216" t="s">
        <v>36</v>
      </c>
      <c r="H28" s="208" t="s">
        <v>157</v>
      </c>
      <c r="I28" s="216" t="s">
        <v>153</v>
      </c>
      <c r="J28" s="216" t="s">
        <v>38</v>
      </c>
      <c r="K28" s="216" t="s">
        <v>154</v>
      </c>
      <c r="L28" s="208">
        <v>3</v>
      </c>
      <c r="N28" s="208">
        <v>4</v>
      </c>
      <c r="O28" s="208">
        <v>0.5</v>
      </c>
      <c r="P28" s="208">
        <v>0.5</v>
      </c>
      <c r="Q28" s="245">
        <f t="shared" si="0"/>
        <v>0.5</v>
      </c>
      <c r="R28" s="208">
        <v>15</v>
      </c>
      <c r="S28" s="208">
        <v>129</v>
      </c>
      <c r="T28" s="217">
        <f t="shared" si="1"/>
        <v>30</v>
      </c>
      <c r="U28" s="208">
        <v>537</v>
      </c>
      <c r="V28" s="217">
        <f t="shared" si="2"/>
        <v>4027.5</v>
      </c>
      <c r="W28" s="208">
        <v>2</v>
      </c>
      <c r="X28" s="216" t="s">
        <v>39</v>
      </c>
      <c r="Y28" s="216" t="s">
        <v>84</v>
      </c>
      <c r="Z28" s="216" t="s">
        <v>50</v>
      </c>
      <c r="AA28" s="216" t="s">
        <v>90</v>
      </c>
      <c r="AB28" s="216" t="s">
        <v>317</v>
      </c>
    </row>
    <row r="29" spans="1:48" x14ac:dyDescent="0.15">
      <c r="A29" s="216" t="s">
        <v>34</v>
      </c>
      <c r="B29" s="208" t="s">
        <v>315</v>
      </c>
      <c r="C29" s="208">
        <v>2018</v>
      </c>
      <c r="D29" s="250" t="s">
        <v>414</v>
      </c>
      <c r="E29" s="237" t="s">
        <v>264</v>
      </c>
      <c r="F29" s="237" t="s">
        <v>298</v>
      </c>
      <c r="G29" s="216" t="s">
        <v>36</v>
      </c>
      <c r="H29" s="208" t="s">
        <v>155</v>
      </c>
      <c r="I29" s="216" t="s">
        <v>153</v>
      </c>
      <c r="J29" s="216" t="s">
        <v>38</v>
      </c>
      <c r="K29" s="216" t="s">
        <v>154</v>
      </c>
      <c r="L29" s="216">
        <v>1</v>
      </c>
      <c r="N29" s="208">
        <v>1</v>
      </c>
      <c r="O29" s="208">
        <v>0.85</v>
      </c>
      <c r="P29" s="208">
        <v>1.05</v>
      </c>
      <c r="Q29" s="245">
        <f t="shared" si="0"/>
        <v>0.95</v>
      </c>
      <c r="R29" s="208">
        <v>15</v>
      </c>
      <c r="S29" s="208">
        <v>134</v>
      </c>
      <c r="T29" s="217">
        <f t="shared" si="1"/>
        <v>30</v>
      </c>
      <c r="U29" s="208">
        <v>105</v>
      </c>
      <c r="V29" s="217">
        <f t="shared" si="2"/>
        <v>3150</v>
      </c>
      <c r="W29" s="208">
        <v>1</v>
      </c>
      <c r="X29" s="216" t="s">
        <v>46</v>
      </c>
      <c r="Y29" s="216" t="s">
        <v>84</v>
      </c>
      <c r="Z29" s="216" t="s">
        <v>50</v>
      </c>
      <c r="AA29" s="216" t="s">
        <v>90</v>
      </c>
      <c r="AB29" s="216" t="s">
        <v>317</v>
      </c>
    </row>
    <row r="30" spans="1:48" x14ac:dyDescent="0.15">
      <c r="A30" s="216" t="s">
        <v>34</v>
      </c>
      <c r="B30" s="208" t="s">
        <v>315</v>
      </c>
      <c r="C30" s="208">
        <v>2018</v>
      </c>
      <c r="D30" s="250" t="s">
        <v>414</v>
      </c>
      <c r="E30" s="237" t="s">
        <v>264</v>
      </c>
      <c r="F30" s="237" t="s">
        <v>298</v>
      </c>
      <c r="G30" s="216" t="s">
        <v>36</v>
      </c>
      <c r="H30" s="208" t="s">
        <v>155</v>
      </c>
      <c r="I30" s="216" t="s">
        <v>153</v>
      </c>
      <c r="J30" s="216" t="s">
        <v>38</v>
      </c>
      <c r="K30" s="216" t="s">
        <v>154</v>
      </c>
      <c r="L30" s="208">
        <v>2</v>
      </c>
      <c r="N30" s="208">
        <v>1</v>
      </c>
      <c r="O30" s="208">
        <v>0.95</v>
      </c>
      <c r="P30" s="208">
        <v>1.2</v>
      </c>
      <c r="Q30" s="245">
        <f t="shared" si="0"/>
        <v>1.075</v>
      </c>
      <c r="R30" s="208">
        <v>13</v>
      </c>
      <c r="S30" s="208">
        <v>128</v>
      </c>
      <c r="T30" s="217">
        <f t="shared" si="1"/>
        <v>30</v>
      </c>
      <c r="U30" s="208">
        <v>105</v>
      </c>
      <c r="V30" s="217">
        <f t="shared" si="2"/>
        <v>3150</v>
      </c>
      <c r="W30" s="208">
        <v>1</v>
      </c>
      <c r="X30" s="216" t="s">
        <v>46</v>
      </c>
      <c r="Y30" s="216" t="s">
        <v>84</v>
      </c>
      <c r="Z30" s="216" t="s">
        <v>50</v>
      </c>
      <c r="AA30" s="216" t="s">
        <v>90</v>
      </c>
      <c r="AB30" s="216" t="s">
        <v>317</v>
      </c>
    </row>
    <row r="31" spans="1:48" x14ac:dyDescent="0.15">
      <c r="A31" s="216" t="s">
        <v>34</v>
      </c>
      <c r="B31" s="208" t="s">
        <v>315</v>
      </c>
      <c r="C31" s="208">
        <v>2018</v>
      </c>
      <c r="D31" s="250" t="s">
        <v>414</v>
      </c>
      <c r="E31" s="237" t="s">
        <v>264</v>
      </c>
      <c r="F31" s="237" t="s">
        <v>298</v>
      </c>
      <c r="G31" s="216" t="s">
        <v>36</v>
      </c>
      <c r="H31" s="208" t="s">
        <v>155</v>
      </c>
      <c r="I31" s="216" t="s">
        <v>153</v>
      </c>
      <c r="J31" s="216" t="s">
        <v>38</v>
      </c>
      <c r="K31" s="216" t="s">
        <v>154</v>
      </c>
      <c r="L31" s="208">
        <v>3</v>
      </c>
      <c r="N31" s="208">
        <v>1</v>
      </c>
      <c r="O31" s="208">
        <v>0.7</v>
      </c>
      <c r="P31" s="208">
        <v>0.75</v>
      </c>
      <c r="Q31" s="245">
        <f t="shared" si="0"/>
        <v>0.72499999999999998</v>
      </c>
      <c r="R31" s="208">
        <v>13.9</v>
      </c>
      <c r="S31" s="208">
        <v>140</v>
      </c>
      <c r="T31" s="217">
        <f t="shared" si="1"/>
        <v>30</v>
      </c>
      <c r="U31" s="208">
        <v>105</v>
      </c>
      <c r="V31" s="217">
        <f t="shared" si="2"/>
        <v>3150</v>
      </c>
      <c r="W31" s="208">
        <v>1</v>
      </c>
      <c r="X31" s="216" t="s">
        <v>46</v>
      </c>
      <c r="Y31" s="216" t="s">
        <v>84</v>
      </c>
      <c r="Z31" s="216" t="s">
        <v>50</v>
      </c>
      <c r="AA31" s="216" t="s">
        <v>90</v>
      </c>
      <c r="AB31" s="216" t="s">
        <v>317</v>
      </c>
    </row>
    <row r="32" spans="1:48" x14ac:dyDescent="0.15">
      <c r="A32" s="216" t="s">
        <v>34</v>
      </c>
      <c r="B32" s="208" t="s">
        <v>315</v>
      </c>
      <c r="C32" s="208">
        <v>2018</v>
      </c>
      <c r="D32" s="250" t="s">
        <v>414</v>
      </c>
      <c r="E32" s="237" t="s">
        <v>264</v>
      </c>
      <c r="F32" s="237" t="s">
        <v>298</v>
      </c>
      <c r="G32" s="216" t="s">
        <v>36</v>
      </c>
      <c r="H32" s="208" t="s">
        <v>157</v>
      </c>
      <c r="I32" s="216" t="s">
        <v>153</v>
      </c>
      <c r="J32" s="216" t="s">
        <v>38</v>
      </c>
      <c r="K32" s="216" t="s">
        <v>154</v>
      </c>
      <c r="L32" s="216">
        <v>1</v>
      </c>
      <c r="N32" s="208">
        <v>1</v>
      </c>
      <c r="O32" s="208">
        <v>0.5</v>
      </c>
      <c r="P32" s="208">
        <v>0.5</v>
      </c>
      <c r="Q32" s="245">
        <f t="shared" si="0"/>
        <v>0.5</v>
      </c>
      <c r="R32" s="208">
        <v>15.4</v>
      </c>
      <c r="S32" s="208">
        <v>158</v>
      </c>
      <c r="T32" s="217">
        <f t="shared" si="1"/>
        <v>18</v>
      </c>
      <c r="U32" s="208">
        <v>138</v>
      </c>
      <c r="V32" s="217">
        <f t="shared" si="2"/>
        <v>2484</v>
      </c>
      <c r="W32" s="208">
        <v>1</v>
      </c>
      <c r="X32" s="216" t="s">
        <v>46</v>
      </c>
      <c r="Y32" s="216" t="s">
        <v>84</v>
      </c>
      <c r="Z32" s="216" t="s">
        <v>50</v>
      </c>
      <c r="AA32" s="216" t="s">
        <v>90</v>
      </c>
      <c r="AB32" s="216" t="s">
        <v>317</v>
      </c>
    </row>
    <row r="33" spans="1:28" x14ac:dyDescent="0.15">
      <c r="A33" s="216" t="s">
        <v>34</v>
      </c>
      <c r="B33" s="208" t="s">
        <v>315</v>
      </c>
      <c r="C33" s="208">
        <v>2018</v>
      </c>
      <c r="D33" s="250" t="s">
        <v>414</v>
      </c>
      <c r="E33" s="237" t="s">
        <v>264</v>
      </c>
      <c r="F33" s="237" t="s">
        <v>298</v>
      </c>
      <c r="G33" s="216" t="s">
        <v>36</v>
      </c>
      <c r="H33" s="208" t="s">
        <v>157</v>
      </c>
      <c r="I33" s="216" t="s">
        <v>153</v>
      </c>
      <c r="J33" s="216" t="s">
        <v>38</v>
      </c>
      <c r="K33" s="216" t="s">
        <v>154</v>
      </c>
      <c r="L33" s="208">
        <v>2</v>
      </c>
      <c r="N33" s="208">
        <v>1</v>
      </c>
      <c r="O33" s="208">
        <v>0.5</v>
      </c>
      <c r="P33" s="208">
        <v>0.55000000000000004</v>
      </c>
      <c r="Q33" s="245">
        <f t="shared" si="0"/>
        <v>0.52500000000000002</v>
      </c>
      <c r="R33" s="208">
        <v>14.6</v>
      </c>
      <c r="S33" s="208">
        <v>155</v>
      </c>
      <c r="T33" s="217">
        <f t="shared" si="1"/>
        <v>18</v>
      </c>
      <c r="U33" s="208">
        <v>138</v>
      </c>
      <c r="V33" s="217">
        <f t="shared" si="2"/>
        <v>2484</v>
      </c>
      <c r="W33" s="208">
        <v>1</v>
      </c>
      <c r="X33" s="216" t="s">
        <v>46</v>
      </c>
      <c r="Y33" s="216" t="s">
        <v>84</v>
      </c>
      <c r="Z33" s="216" t="s">
        <v>50</v>
      </c>
      <c r="AA33" s="216" t="s">
        <v>90</v>
      </c>
      <c r="AB33" s="216" t="s">
        <v>317</v>
      </c>
    </row>
    <row r="34" spans="1:28" x14ac:dyDescent="0.15">
      <c r="A34" s="216" t="s">
        <v>34</v>
      </c>
      <c r="B34" s="208" t="s">
        <v>315</v>
      </c>
      <c r="C34" s="208">
        <v>2018</v>
      </c>
      <c r="D34" s="250" t="s">
        <v>414</v>
      </c>
      <c r="E34" s="237" t="s">
        <v>264</v>
      </c>
      <c r="F34" s="237" t="s">
        <v>298</v>
      </c>
      <c r="G34" s="216" t="s">
        <v>36</v>
      </c>
      <c r="H34" s="208" t="s">
        <v>157</v>
      </c>
      <c r="I34" s="216" t="s">
        <v>153</v>
      </c>
      <c r="J34" s="216" t="s">
        <v>38</v>
      </c>
      <c r="K34" s="216" t="s">
        <v>154</v>
      </c>
      <c r="L34" s="208">
        <v>3</v>
      </c>
      <c r="N34" s="208">
        <v>1</v>
      </c>
      <c r="O34" s="208">
        <v>0.5</v>
      </c>
      <c r="P34" s="208">
        <v>0.2</v>
      </c>
      <c r="Q34" s="245">
        <f>IF(OR(O34="",P34=""),"",AVERAGE(O34,P34))</f>
        <v>0.35</v>
      </c>
      <c r="R34" s="208">
        <v>15.9</v>
      </c>
      <c r="S34" s="208">
        <v>137</v>
      </c>
      <c r="T34" s="217">
        <f t="shared" si="1"/>
        <v>30</v>
      </c>
      <c r="U34" s="208">
        <v>138</v>
      </c>
      <c r="V34" s="217">
        <f t="shared" si="2"/>
        <v>4140</v>
      </c>
      <c r="W34" s="208">
        <v>1</v>
      </c>
      <c r="X34" s="216" t="s">
        <v>46</v>
      </c>
      <c r="Y34" s="216" t="s">
        <v>84</v>
      </c>
      <c r="Z34" s="216" t="s">
        <v>50</v>
      </c>
      <c r="AA34" s="216" t="s">
        <v>90</v>
      </c>
      <c r="AB34" s="216" t="s">
        <v>317</v>
      </c>
    </row>
    <row r="35" spans="1:28" x14ac:dyDescent="0.15">
      <c r="A35" s="216" t="s">
        <v>34</v>
      </c>
      <c r="B35" s="208" t="s">
        <v>315</v>
      </c>
      <c r="C35" s="208">
        <v>2018</v>
      </c>
      <c r="D35" s="250" t="s">
        <v>414</v>
      </c>
      <c r="E35" s="237" t="s">
        <v>311</v>
      </c>
      <c r="F35" s="237" t="s">
        <v>312</v>
      </c>
      <c r="G35" s="216" t="s">
        <v>36</v>
      </c>
      <c r="H35" s="208" t="s">
        <v>155</v>
      </c>
      <c r="I35" s="216" t="s">
        <v>153</v>
      </c>
      <c r="J35" s="216" t="s">
        <v>38</v>
      </c>
      <c r="K35" s="216" t="s">
        <v>154</v>
      </c>
      <c r="L35" s="216">
        <v>1</v>
      </c>
      <c r="N35" s="208">
        <v>1</v>
      </c>
      <c r="O35" s="208">
        <v>0.5</v>
      </c>
      <c r="P35" s="208">
        <v>0.5</v>
      </c>
      <c r="Q35" s="245">
        <f t="shared" ref="Q35:Q36" si="3">IF(OR(O35="",P35=""),"",AVERAGE(O35,P35))</f>
        <v>0.5</v>
      </c>
      <c r="R35" s="208">
        <v>13.5</v>
      </c>
      <c r="S35" s="208">
        <v>141</v>
      </c>
      <c r="T35" s="217">
        <f t="shared" si="1"/>
        <v>30</v>
      </c>
      <c r="U35" s="208">
        <v>136</v>
      </c>
      <c r="V35" s="217">
        <f t="shared" si="2"/>
        <v>4080</v>
      </c>
      <c r="W35" s="208">
        <v>2</v>
      </c>
      <c r="X35" s="216" t="s">
        <v>46</v>
      </c>
      <c r="Y35" s="216" t="s">
        <v>84</v>
      </c>
      <c r="Z35" s="216" t="s">
        <v>90</v>
      </c>
      <c r="AA35" s="216" t="s">
        <v>69</v>
      </c>
      <c r="AB35" s="216" t="s">
        <v>317</v>
      </c>
    </row>
    <row r="36" spans="1:28" x14ac:dyDescent="0.15">
      <c r="A36" s="216" t="s">
        <v>34</v>
      </c>
      <c r="B36" s="208" t="s">
        <v>315</v>
      </c>
      <c r="C36" s="208">
        <v>2018</v>
      </c>
      <c r="D36" s="250" t="s">
        <v>414</v>
      </c>
      <c r="E36" s="237" t="s">
        <v>311</v>
      </c>
      <c r="F36" s="237" t="s">
        <v>312</v>
      </c>
      <c r="G36" s="216" t="s">
        <v>36</v>
      </c>
      <c r="H36" s="208" t="s">
        <v>155</v>
      </c>
      <c r="I36" s="216" t="s">
        <v>153</v>
      </c>
      <c r="J36" s="216" t="s">
        <v>38</v>
      </c>
      <c r="K36" s="216" t="s">
        <v>154</v>
      </c>
      <c r="L36" s="208">
        <v>2</v>
      </c>
      <c r="N36" s="208">
        <v>1</v>
      </c>
      <c r="O36" s="208">
        <v>0.55000000000000004</v>
      </c>
      <c r="P36" s="208">
        <v>0.6</v>
      </c>
      <c r="Q36" s="245">
        <f t="shared" si="3"/>
        <v>0.57499999999999996</v>
      </c>
      <c r="R36" s="208">
        <v>14.5</v>
      </c>
      <c r="S36" s="208">
        <v>133</v>
      </c>
      <c r="T36" s="217">
        <f t="shared" si="1"/>
        <v>30</v>
      </c>
      <c r="U36" s="208">
        <v>136</v>
      </c>
      <c r="V36" s="217">
        <f t="shared" si="2"/>
        <v>4080</v>
      </c>
      <c r="W36" s="208">
        <v>2</v>
      </c>
      <c r="X36" s="216" t="s">
        <v>46</v>
      </c>
      <c r="Y36" s="216" t="s">
        <v>84</v>
      </c>
      <c r="Z36" s="216" t="s">
        <v>90</v>
      </c>
      <c r="AA36" s="216" t="s">
        <v>69</v>
      </c>
      <c r="AB36" s="216" t="s">
        <v>317</v>
      </c>
    </row>
    <row r="37" spans="1:28" x14ac:dyDescent="0.15">
      <c r="A37" s="216" t="s">
        <v>34</v>
      </c>
      <c r="B37" s="208" t="s">
        <v>315</v>
      </c>
      <c r="C37" s="208">
        <v>2018</v>
      </c>
      <c r="D37" s="250" t="s">
        <v>414</v>
      </c>
      <c r="E37" s="237" t="s">
        <v>311</v>
      </c>
      <c r="F37" s="237" t="s">
        <v>312</v>
      </c>
      <c r="G37" s="216" t="s">
        <v>36</v>
      </c>
      <c r="H37" s="208" t="s">
        <v>155</v>
      </c>
      <c r="I37" s="216" t="s">
        <v>153</v>
      </c>
      <c r="J37" s="216" t="s">
        <v>38</v>
      </c>
      <c r="K37" s="216" t="s">
        <v>154</v>
      </c>
      <c r="L37" s="208">
        <v>3</v>
      </c>
      <c r="N37" s="208">
        <v>1</v>
      </c>
      <c r="O37" s="208">
        <v>0.2</v>
      </c>
      <c r="P37" s="208">
        <v>0.2</v>
      </c>
      <c r="Q37" s="245">
        <f>IF(OR(O37="",P37=""),"",AVERAGE(O37,P37))</f>
        <v>0.2</v>
      </c>
      <c r="R37" s="208">
        <v>14.7</v>
      </c>
      <c r="S37" s="208">
        <v>135</v>
      </c>
      <c r="T37" s="217">
        <f t="shared" si="1"/>
        <v>30</v>
      </c>
      <c r="U37" s="208">
        <v>136</v>
      </c>
      <c r="V37" s="217">
        <f t="shared" si="2"/>
        <v>4080</v>
      </c>
      <c r="W37" s="208">
        <v>2</v>
      </c>
      <c r="X37" s="216" t="s">
        <v>46</v>
      </c>
      <c r="Y37" s="216" t="s">
        <v>84</v>
      </c>
      <c r="Z37" s="216" t="s">
        <v>90</v>
      </c>
      <c r="AA37" s="216" t="s">
        <v>69</v>
      </c>
      <c r="AB37" s="216" t="s">
        <v>317</v>
      </c>
    </row>
    <row r="38" spans="1:28" x14ac:dyDescent="0.15">
      <c r="A38" s="216" t="s">
        <v>34</v>
      </c>
      <c r="B38" s="208" t="s">
        <v>315</v>
      </c>
      <c r="C38" s="208">
        <v>2018</v>
      </c>
      <c r="D38" s="250" t="s">
        <v>414</v>
      </c>
      <c r="E38" s="237" t="s">
        <v>311</v>
      </c>
      <c r="F38" s="237" t="s">
        <v>312</v>
      </c>
      <c r="G38" s="216" t="s">
        <v>36</v>
      </c>
      <c r="H38" s="208" t="s">
        <v>155</v>
      </c>
      <c r="I38" s="216" t="s">
        <v>153</v>
      </c>
      <c r="J38" s="216" t="s">
        <v>38</v>
      </c>
      <c r="K38" s="216" t="s">
        <v>154</v>
      </c>
      <c r="L38" s="216">
        <v>1</v>
      </c>
      <c r="N38" s="208">
        <v>5</v>
      </c>
      <c r="O38" s="208">
        <v>0.7</v>
      </c>
      <c r="P38" s="208">
        <v>0.75</v>
      </c>
      <c r="Q38" s="245">
        <f t="shared" ref="Q38:Q39" si="4">IF(OR(O38="",P38=""),"",AVERAGE(O38,P38))</f>
        <v>0.72499999999999998</v>
      </c>
      <c r="R38" s="208">
        <v>12.1</v>
      </c>
      <c r="S38" s="208">
        <v>84</v>
      </c>
      <c r="T38" s="217">
        <f t="shared" si="1"/>
        <v>36</v>
      </c>
      <c r="U38" s="208">
        <v>322</v>
      </c>
      <c r="V38" s="217">
        <f t="shared" si="2"/>
        <v>2318.4</v>
      </c>
      <c r="W38" s="208">
        <v>2</v>
      </c>
      <c r="X38" s="216" t="s">
        <v>46</v>
      </c>
      <c r="Y38" s="216" t="s">
        <v>84</v>
      </c>
      <c r="Z38" s="216" t="s">
        <v>90</v>
      </c>
      <c r="AA38" s="216" t="s">
        <v>69</v>
      </c>
      <c r="AB38" s="216" t="s">
        <v>317</v>
      </c>
    </row>
    <row r="39" spans="1:28" x14ac:dyDescent="0.15">
      <c r="A39" s="216" t="s">
        <v>34</v>
      </c>
      <c r="B39" s="208" t="s">
        <v>315</v>
      </c>
      <c r="C39" s="208">
        <v>2018</v>
      </c>
      <c r="D39" s="250" t="s">
        <v>414</v>
      </c>
      <c r="E39" s="237" t="s">
        <v>311</v>
      </c>
      <c r="F39" s="237" t="s">
        <v>312</v>
      </c>
      <c r="G39" s="216" t="s">
        <v>36</v>
      </c>
      <c r="H39" s="208" t="s">
        <v>155</v>
      </c>
      <c r="I39" s="216" t="s">
        <v>153</v>
      </c>
      <c r="J39" s="216" t="s">
        <v>38</v>
      </c>
      <c r="K39" s="216" t="s">
        <v>154</v>
      </c>
      <c r="L39" s="208">
        <v>2</v>
      </c>
      <c r="N39" s="208">
        <v>5</v>
      </c>
      <c r="O39" s="208">
        <v>0.55000000000000004</v>
      </c>
      <c r="P39" s="208">
        <v>0.5</v>
      </c>
      <c r="Q39" s="245">
        <f t="shared" si="4"/>
        <v>0.52500000000000002</v>
      </c>
      <c r="R39" s="208">
        <v>11</v>
      </c>
      <c r="S39" s="208">
        <v>81</v>
      </c>
      <c r="T39" s="217">
        <f t="shared" si="1"/>
        <v>39</v>
      </c>
      <c r="U39" s="208">
        <v>322</v>
      </c>
      <c r="V39" s="217">
        <f t="shared" si="2"/>
        <v>2511.6000000000004</v>
      </c>
      <c r="W39" s="208">
        <v>2</v>
      </c>
      <c r="X39" s="216" t="s">
        <v>46</v>
      </c>
      <c r="Y39" s="216" t="s">
        <v>84</v>
      </c>
      <c r="Z39" s="216" t="s">
        <v>90</v>
      </c>
      <c r="AA39" s="216" t="s">
        <v>69</v>
      </c>
      <c r="AB39" s="216" t="s">
        <v>317</v>
      </c>
    </row>
    <row r="40" spans="1:28" x14ac:dyDescent="0.15">
      <c r="A40" s="216" t="s">
        <v>34</v>
      </c>
      <c r="B40" s="208" t="s">
        <v>315</v>
      </c>
      <c r="C40" s="208">
        <v>2018</v>
      </c>
      <c r="D40" s="250" t="s">
        <v>414</v>
      </c>
      <c r="E40" s="237" t="s">
        <v>311</v>
      </c>
      <c r="F40" s="237" t="s">
        <v>312</v>
      </c>
      <c r="G40" s="216" t="s">
        <v>36</v>
      </c>
      <c r="H40" s="208" t="s">
        <v>155</v>
      </c>
      <c r="I40" s="216" t="s">
        <v>153</v>
      </c>
      <c r="J40" s="216" t="s">
        <v>38</v>
      </c>
      <c r="K40" s="216" t="s">
        <v>154</v>
      </c>
      <c r="L40" s="208">
        <v>3</v>
      </c>
      <c r="N40" s="208">
        <v>5</v>
      </c>
      <c r="O40" s="208">
        <v>0.65</v>
      </c>
      <c r="P40" s="208">
        <v>0.5</v>
      </c>
      <c r="Q40" s="245">
        <f>IF(OR(O40="",P40=""),"",AVERAGE(O40,P40))</f>
        <v>0.57499999999999996</v>
      </c>
      <c r="R40" s="208">
        <v>13.5</v>
      </c>
      <c r="S40" s="208">
        <v>80</v>
      </c>
      <c r="T40" s="217">
        <f t="shared" si="1"/>
        <v>39</v>
      </c>
      <c r="U40" s="208">
        <v>322</v>
      </c>
      <c r="V40" s="217">
        <f t="shared" si="2"/>
        <v>2511.6000000000004</v>
      </c>
      <c r="W40" s="208">
        <v>2</v>
      </c>
      <c r="X40" s="216" t="s">
        <v>46</v>
      </c>
      <c r="Y40" s="216" t="s">
        <v>84</v>
      </c>
      <c r="Z40" s="216" t="s">
        <v>90</v>
      </c>
      <c r="AA40" s="216" t="s">
        <v>69</v>
      </c>
      <c r="AB40" s="216" t="s">
        <v>317</v>
      </c>
    </row>
    <row r="41" spans="1:28" x14ac:dyDescent="0.15">
      <c r="A41" s="216" t="s">
        <v>34</v>
      </c>
      <c r="B41" s="208" t="s">
        <v>315</v>
      </c>
      <c r="C41" s="208">
        <v>2018</v>
      </c>
      <c r="D41" s="250" t="s">
        <v>414</v>
      </c>
      <c r="E41" s="237" t="s">
        <v>311</v>
      </c>
      <c r="F41" s="237" t="s">
        <v>312</v>
      </c>
      <c r="G41" s="216" t="s">
        <v>36</v>
      </c>
      <c r="H41" s="208" t="s">
        <v>157</v>
      </c>
      <c r="I41" s="216" t="s">
        <v>153</v>
      </c>
      <c r="J41" s="216" t="s">
        <v>38</v>
      </c>
      <c r="K41" s="216" t="s">
        <v>154</v>
      </c>
      <c r="L41" s="216">
        <v>1</v>
      </c>
      <c r="N41" s="208">
        <v>1</v>
      </c>
      <c r="O41" s="208">
        <v>0.65</v>
      </c>
      <c r="P41" s="208">
        <v>0.75</v>
      </c>
      <c r="Q41" s="245">
        <f t="shared" si="0"/>
        <v>0.7</v>
      </c>
      <c r="R41" s="208">
        <v>12.6</v>
      </c>
      <c r="S41" s="208">
        <v>152</v>
      </c>
      <c r="T41" s="217">
        <f t="shared" si="1"/>
        <v>18</v>
      </c>
      <c r="U41" s="208">
        <v>136</v>
      </c>
      <c r="V41" s="217">
        <f t="shared" si="2"/>
        <v>2448</v>
      </c>
      <c r="W41" s="208">
        <v>1</v>
      </c>
      <c r="X41" s="216" t="s">
        <v>46</v>
      </c>
      <c r="Y41" s="216" t="s">
        <v>84</v>
      </c>
      <c r="Z41" s="216" t="s">
        <v>90</v>
      </c>
      <c r="AA41" s="216" t="s">
        <v>69</v>
      </c>
      <c r="AB41" s="216" t="s">
        <v>317</v>
      </c>
    </row>
    <row r="42" spans="1:28" x14ac:dyDescent="0.15">
      <c r="A42" s="216" t="s">
        <v>34</v>
      </c>
      <c r="B42" s="208" t="s">
        <v>315</v>
      </c>
      <c r="C42" s="208">
        <v>2018</v>
      </c>
      <c r="D42" s="250" t="s">
        <v>414</v>
      </c>
      <c r="E42" s="237" t="s">
        <v>311</v>
      </c>
      <c r="F42" s="237" t="s">
        <v>312</v>
      </c>
      <c r="G42" s="216" t="s">
        <v>36</v>
      </c>
      <c r="H42" s="208" t="s">
        <v>157</v>
      </c>
      <c r="I42" s="216" t="s">
        <v>153</v>
      </c>
      <c r="J42" s="216" t="s">
        <v>38</v>
      </c>
      <c r="K42" s="216" t="s">
        <v>154</v>
      </c>
      <c r="L42" s="208">
        <v>2</v>
      </c>
      <c r="N42" s="208">
        <v>1</v>
      </c>
      <c r="O42" s="208">
        <v>0.55000000000000004</v>
      </c>
      <c r="P42" s="208">
        <v>0.45</v>
      </c>
      <c r="Q42" s="245">
        <f t="shared" si="0"/>
        <v>0.5</v>
      </c>
      <c r="R42" s="208">
        <v>15.7</v>
      </c>
      <c r="S42" s="208">
        <v>148</v>
      </c>
      <c r="T42" s="217">
        <f t="shared" si="1"/>
        <v>30</v>
      </c>
      <c r="U42" s="208">
        <v>136</v>
      </c>
      <c r="V42" s="217">
        <f t="shared" si="2"/>
        <v>4080</v>
      </c>
      <c r="W42" s="208">
        <v>1</v>
      </c>
      <c r="X42" s="216" t="s">
        <v>46</v>
      </c>
      <c r="Y42" s="216" t="s">
        <v>84</v>
      </c>
      <c r="Z42" s="216" t="s">
        <v>90</v>
      </c>
      <c r="AA42" s="216" t="s">
        <v>69</v>
      </c>
      <c r="AB42" s="216" t="s">
        <v>317</v>
      </c>
    </row>
    <row r="43" spans="1:28" x14ac:dyDescent="0.15">
      <c r="A43" s="216" t="s">
        <v>34</v>
      </c>
      <c r="B43" s="208" t="s">
        <v>315</v>
      </c>
      <c r="C43" s="208">
        <v>2018</v>
      </c>
      <c r="D43" s="250" t="s">
        <v>414</v>
      </c>
      <c r="E43" s="237" t="s">
        <v>311</v>
      </c>
      <c r="F43" s="237" t="s">
        <v>312</v>
      </c>
      <c r="G43" s="216" t="s">
        <v>36</v>
      </c>
      <c r="H43" s="208" t="s">
        <v>157</v>
      </c>
      <c r="I43" s="216" t="s">
        <v>153</v>
      </c>
      <c r="J43" s="216" t="s">
        <v>38</v>
      </c>
      <c r="K43" s="216" t="s">
        <v>154</v>
      </c>
      <c r="L43" s="208">
        <v>3</v>
      </c>
      <c r="N43" s="208">
        <v>1</v>
      </c>
      <c r="O43" s="208">
        <v>0.5</v>
      </c>
      <c r="P43" s="208">
        <v>0.45</v>
      </c>
      <c r="Q43" s="245">
        <f t="shared" si="0"/>
        <v>0.47499999999999998</v>
      </c>
      <c r="R43" s="208">
        <v>14.4</v>
      </c>
      <c r="S43" s="208">
        <v>149</v>
      </c>
      <c r="T43" s="217">
        <f t="shared" si="1"/>
        <v>30</v>
      </c>
      <c r="U43" s="208">
        <v>136</v>
      </c>
      <c r="V43" s="217">
        <f t="shared" si="2"/>
        <v>4080</v>
      </c>
      <c r="W43" s="208">
        <v>1</v>
      </c>
      <c r="X43" s="216" t="s">
        <v>46</v>
      </c>
      <c r="Y43" s="216" t="s">
        <v>84</v>
      </c>
      <c r="Z43" s="216" t="s">
        <v>90</v>
      </c>
      <c r="AA43" s="216" t="s">
        <v>69</v>
      </c>
      <c r="AB43" s="216" t="s">
        <v>317</v>
      </c>
    </row>
    <row r="44" spans="1:28" x14ac:dyDescent="0.15">
      <c r="A44" s="216" t="s">
        <v>34</v>
      </c>
      <c r="B44" s="208" t="s">
        <v>315</v>
      </c>
      <c r="C44" s="208">
        <v>2018</v>
      </c>
      <c r="D44" s="250" t="s">
        <v>414</v>
      </c>
      <c r="E44" s="237" t="s">
        <v>159</v>
      </c>
      <c r="F44" s="237" t="s">
        <v>313</v>
      </c>
      <c r="G44" s="216" t="s">
        <v>36</v>
      </c>
      <c r="H44" s="208" t="s">
        <v>155</v>
      </c>
      <c r="I44" s="216" t="s">
        <v>153</v>
      </c>
      <c r="J44" s="216" t="s">
        <v>38</v>
      </c>
      <c r="K44" s="216" t="s">
        <v>154</v>
      </c>
      <c r="L44" s="216">
        <v>1</v>
      </c>
      <c r="N44" s="208">
        <v>1</v>
      </c>
      <c r="O44" s="208">
        <v>0.2</v>
      </c>
      <c r="P44" s="208">
        <v>0.2</v>
      </c>
      <c r="Q44" s="245">
        <f t="shared" si="0"/>
        <v>0.2</v>
      </c>
      <c r="R44" s="208">
        <v>11.4</v>
      </c>
      <c r="S44" s="208">
        <v>138</v>
      </c>
      <c r="T44" s="217">
        <f t="shared" si="1"/>
        <v>30</v>
      </c>
      <c r="U44" s="208">
        <v>137</v>
      </c>
      <c r="V44" s="217">
        <f t="shared" si="2"/>
        <v>4110</v>
      </c>
      <c r="W44" s="208">
        <v>2</v>
      </c>
      <c r="X44" s="216" t="s">
        <v>46</v>
      </c>
      <c r="Y44" s="216" t="s">
        <v>84</v>
      </c>
      <c r="Z44" s="216" t="s">
        <v>50</v>
      </c>
      <c r="AA44" s="216" t="s">
        <v>69</v>
      </c>
      <c r="AB44" s="216" t="s">
        <v>317</v>
      </c>
    </row>
    <row r="45" spans="1:28" x14ac:dyDescent="0.15">
      <c r="A45" s="216" t="s">
        <v>34</v>
      </c>
      <c r="B45" s="208" t="s">
        <v>315</v>
      </c>
      <c r="C45" s="208">
        <v>2018</v>
      </c>
      <c r="D45" s="250" t="s">
        <v>414</v>
      </c>
      <c r="E45" s="237" t="s">
        <v>159</v>
      </c>
      <c r="F45" s="237" t="s">
        <v>313</v>
      </c>
      <c r="G45" s="216" t="s">
        <v>36</v>
      </c>
      <c r="H45" s="208" t="s">
        <v>155</v>
      </c>
      <c r="I45" s="216" t="s">
        <v>153</v>
      </c>
      <c r="J45" s="216" t="s">
        <v>38</v>
      </c>
      <c r="K45" s="216" t="s">
        <v>154</v>
      </c>
      <c r="L45" s="208">
        <v>2</v>
      </c>
      <c r="N45" s="208">
        <v>1</v>
      </c>
      <c r="O45" s="208">
        <v>0.2</v>
      </c>
      <c r="P45" s="208">
        <v>0.2</v>
      </c>
      <c r="Q45" s="245">
        <f t="shared" si="0"/>
        <v>0.2</v>
      </c>
      <c r="R45" s="208">
        <v>12.6</v>
      </c>
      <c r="S45" s="208">
        <v>140</v>
      </c>
      <c r="T45" s="217">
        <f t="shared" si="1"/>
        <v>30</v>
      </c>
      <c r="U45" s="208">
        <v>137</v>
      </c>
      <c r="V45" s="217">
        <f t="shared" si="2"/>
        <v>4110</v>
      </c>
      <c r="W45" s="208">
        <v>2</v>
      </c>
      <c r="X45" s="216" t="s">
        <v>46</v>
      </c>
      <c r="Y45" s="216" t="s">
        <v>84</v>
      </c>
      <c r="Z45" s="216" t="s">
        <v>50</v>
      </c>
      <c r="AA45" s="216" t="s">
        <v>69</v>
      </c>
      <c r="AB45" s="216" t="s">
        <v>317</v>
      </c>
    </row>
    <row r="46" spans="1:28" x14ac:dyDescent="0.15">
      <c r="A46" s="216" t="s">
        <v>34</v>
      </c>
      <c r="B46" s="208" t="s">
        <v>315</v>
      </c>
      <c r="C46" s="208">
        <v>2018</v>
      </c>
      <c r="D46" s="250" t="s">
        <v>414</v>
      </c>
      <c r="E46" s="237" t="s">
        <v>159</v>
      </c>
      <c r="F46" s="237" t="s">
        <v>313</v>
      </c>
      <c r="G46" s="216" t="s">
        <v>36</v>
      </c>
      <c r="H46" s="208" t="s">
        <v>155</v>
      </c>
      <c r="I46" s="216" t="s">
        <v>153</v>
      </c>
      <c r="J46" s="216" t="s">
        <v>38</v>
      </c>
      <c r="K46" s="216" t="s">
        <v>154</v>
      </c>
      <c r="L46" s="208">
        <v>3</v>
      </c>
      <c r="N46" s="208">
        <v>1</v>
      </c>
      <c r="O46" s="208">
        <v>0.2</v>
      </c>
      <c r="P46" s="208">
        <v>0.2</v>
      </c>
      <c r="Q46" s="245">
        <f t="shared" si="0"/>
        <v>0.2</v>
      </c>
      <c r="R46" s="208">
        <v>13.6</v>
      </c>
      <c r="S46" s="208">
        <v>137</v>
      </c>
      <c r="T46" s="217">
        <f t="shared" si="1"/>
        <v>30</v>
      </c>
      <c r="U46" s="208">
        <v>137</v>
      </c>
      <c r="V46" s="217">
        <f t="shared" si="2"/>
        <v>4110</v>
      </c>
      <c r="W46" s="208">
        <v>2</v>
      </c>
      <c r="X46" s="216" t="s">
        <v>46</v>
      </c>
      <c r="Y46" s="216" t="s">
        <v>84</v>
      </c>
      <c r="Z46" s="216" t="s">
        <v>50</v>
      </c>
      <c r="AA46" s="216" t="s">
        <v>69</v>
      </c>
      <c r="AB46" s="216" t="s">
        <v>317</v>
      </c>
    </row>
    <row r="47" spans="1:28" x14ac:dyDescent="0.15">
      <c r="A47" s="216" t="s">
        <v>34</v>
      </c>
      <c r="B47" s="208" t="s">
        <v>315</v>
      </c>
      <c r="C47" s="208">
        <v>2018</v>
      </c>
      <c r="D47" s="250" t="s">
        <v>414</v>
      </c>
      <c r="E47" s="237" t="s">
        <v>159</v>
      </c>
      <c r="F47" s="237" t="s">
        <v>313</v>
      </c>
      <c r="G47" s="216" t="s">
        <v>36</v>
      </c>
      <c r="H47" s="208" t="s">
        <v>155</v>
      </c>
      <c r="I47" s="216" t="s">
        <v>153</v>
      </c>
      <c r="J47" s="216" t="s">
        <v>38</v>
      </c>
      <c r="K47" s="216" t="s">
        <v>154</v>
      </c>
      <c r="L47" s="216">
        <v>1</v>
      </c>
      <c r="N47" s="208">
        <v>4</v>
      </c>
      <c r="O47" s="208">
        <v>0.5</v>
      </c>
      <c r="P47" s="208">
        <v>0.45</v>
      </c>
      <c r="Q47" s="245">
        <f t="shared" si="0"/>
        <v>0.47499999999999998</v>
      </c>
      <c r="R47" s="208">
        <v>14</v>
      </c>
      <c r="S47" s="208">
        <v>114</v>
      </c>
      <c r="T47" s="217">
        <f t="shared" si="1"/>
        <v>30</v>
      </c>
      <c r="U47" s="208">
        <v>515</v>
      </c>
      <c r="V47" s="217">
        <f t="shared" si="2"/>
        <v>3862.5</v>
      </c>
      <c r="W47" s="208">
        <v>2</v>
      </c>
      <c r="X47" s="216" t="s">
        <v>46</v>
      </c>
      <c r="Y47" s="216" t="s">
        <v>84</v>
      </c>
      <c r="Z47" s="216" t="s">
        <v>50</v>
      </c>
      <c r="AA47" s="216" t="s">
        <v>69</v>
      </c>
      <c r="AB47" s="216" t="s">
        <v>317</v>
      </c>
    </row>
    <row r="48" spans="1:28" x14ac:dyDescent="0.15">
      <c r="A48" s="216" t="s">
        <v>34</v>
      </c>
      <c r="B48" s="208" t="s">
        <v>315</v>
      </c>
      <c r="C48" s="208">
        <v>2018</v>
      </c>
      <c r="D48" s="250" t="s">
        <v>414</v>
      </c>
      <c r="E48" s="237" t="s">
        <v>159</v>
      </c>
      <c r="F48" s="237" t="s">
        <v>313</v>
      </c>
      <c r="G48" s="216" t="s">
        <v>36</v>
      </c>
      <c r="H48" s="208" t="s">
        <v>155</v>
      </c>
      <c r="I48" s="216" t="s">
        <v>153</v>
      </c>
      <c r="J48" s="216" t="s">
        <v>38</v>
      </c>
      <c r="K48" s="216" t="s">
        <v>154</v>
      </c>
      <c r="L48" s="208">
        <v>2</v>
      </c>
      <c r="N48" s="208">
        <v>4</v>
      </c>
      <c r="O48" s="208">
        <v>0.5</v>
      </c>
      <c r="P48" s="208">
        <v>0.5</v>
      </c>
      <c r="Q48" s="245">
        <f t="shared" si="0"/>
        <v>0.5</v>
      </c>
      <c r="R48" s="208">
        <v>10.5</v>
      </c>
      <c r="S48" s="208">
        <v>109</v>
      </c>
      <c r="T48" s="217">
        <f t="shared" si="1"/>
        <v>33</v>
      </c>
      <c r="U48" s="208">
        <v>515</v>
      </c>
      <c r="V48" s="217">
        <f t="shared" si="2"/>
        <v>4248.75</v>
      </c>
      <c r="W48" s="208">
        <v>2</v>
      </c>
      <c r="X48" s="216" t="s">
        <v>46</v>
      </c>
      <c r="Y48" s="216" t="s">
        <v>84</v>
      </c>
      <c r="Z48" s="216" t="s">
        <v>50</v>
      </c>
      <c r="AA48" s="216" t="s">
        <v>69</v>
      </c>
      <c r="AB48" s="216" t="s">
        <v>317</v>
      </c>
    </row>
    <row r="49" spans="1:28" x14ac:dyDescent="0.15">
      <c r="A49" s="216" t="s">
        <v>34</v>
      </c>
      <c r="B49" s="208" t="s">
        <v>315</v>
      </c>
      <c r="C49" s="208">
        <v>2018</v>
      </c>
      <c r="D49" s="250" t="s">
        <v>414</v>
      </c>
      <c r="E49" s="237" t="s">
        <v>159</v>
      </c>
      <c r="F49" s="237" t="s">
        <v>313</v>
      </c>
      <c r="G49" s="216" t="s">
        <v>36</v>
      </c>
      <c r="H49" s="208" t="s">
        <v>155</v>
      </c>
      <c r="I49" s="216" t="s">
        <v>153</v>
      </c>
      <c r="J49" s="216" t="s">
        <v>38</v>
      </c>
      <c r="K49" s="216" t="s">
        <v>154</v>
      </c>
      <c r="L49" s="208">
        <v>3</v>
      </c>
      <c r="N49" s="208">
        <v>4</v>
      </c>
      <c r="O49" s="208">
        <v>0.55000000000000004</v>
      </c>
      <c r="P49" s="208">
        <v>0.45</v>
      </c>
      <c r="Q49" s="245">
        <f t="shared" si="0"/>
        <v>0.5</v>
      </c>
      <c r="R49" s="208">
        <v>14.3</v>
      </c>
      <c r="S49" s="208">
        <v>107</v>
      </c>
      <c r="T49" s="217">
        <f t="shared" si="1"/>
        <v>33</v>
      </c>
      <c r="U49" s="208">
        <v>515</v>
      </c>
      <c r="V49" s="217">
        <f t="shared" si="2"/>
        <v>4248.75</v>
      </c>
      <c r="W49" s="208">
        <v>2</v>
      </c>
      <c r="X49" s="216" t="s">
        <v>46</v>
      </c>
      <c r="Y49" s="216" t="s">
        <v>84</v>
      </c>
      <c r="Z49" s="216" t="s">
        <v>50</v>
      </c>
      <c r="AA49" s="216" t="s">
        <v>69</v>
      </c>
      <c r="AB49" s="216" t="s">
        <v>317</v>
      </c>
    </row>
    <row r="50" spans="1:28" x14ac:dyDescent="0.15">
      <c r="A50" s="216" t="s">
        <v>34</v>
      </c>
      <c r="B50" s="208" t="s">
        <v>315</v>
      </c>
      <c r="C50" s="208">
        <v>2018</v>
      </c>
      <c r="D50" s="250" t="s">
        <v>414</v>
      </c>
      <c r="E50" s="237" t="s">
        <v>159</v>
      </c>
      <c r="F50" s="237" t="s">
        <v>313</v>
      </c>
      <c r="G50" s="216" t="s">
        <v>36</v>
      </c>
      <c r="H50" s="208" t="s">
        <v>157</v>
      </c>
      <c r="I50" s="216" t="s">
        <v>153</v>
      </c>
      <c r="J50" s="216" t="s">
        <v>38</v>
      </c>
      <c r="K50" s="216" t="s">
        <v>154</v>
      </c>
      <c r="L50" s="216">
        <v>1</v>
      </c>
      <c r="N50" s="208">
        <v>1</v>
      </c>
      <c r="O50" s="208">
        <v>0.2</v>
      </c>
      <c r="P50" s="208">
        <v>0.2</v>
      </c>
      <c r="Q50" s="245">
        <f t="shared" si="0"/>
        <v>0.2</v>
      </c>
      <c r="R50" s="208">
        <v>13.6</v>
      </c>
      <c r="S50" s="208">
        <v>153</v>
      </c>
      <c r="T50" s="217">
        <f t="shared" si="1"/>
        <v>18</v>
      </c>
      <c r="U50" s="208">
        <v>137</v>
      </c>
      <c r="V50" s="217">
        <f t="shared" si="2"/>
        <v>2466</v>
      </c>
      <c r="W50" s="208">
        <v>3</v>
      </c>
      <c r="X50" s="216" t="s">
        <v>46</v>
      </c>
      <c r="Y50" s="216" t="s">
        <v>84</v>
      </c>
      <c r="Z50" s="216" t="s">
        <v>50</v>
      </c>
      <c r="AA50" s="216" t="s">
        <v>69</v>
      </c>
      <c r="AB50" s="216" t="s">
        <v>317</v>
      </c>
    </row>
    <row r="51" spans="1:28" x14ac:dyDescent="0.15">
      <c r="A51" s="216" t="s">
        <v>34</v>
      </c>
      <c r="B51" s="208" t="s">
        <v>315</v>
      </c>
      <c r="C51" s="208">
        <v>2018</v>
      </c>
      <c r="D51" s="250" t="s">
        <v>414</v>
      </c>
      <c r="E51" s="237" t="s">
        <v>159</v>
      </c>
      <c r="F51" s="237" t="s">
        <v>313</v>
      </c>
      <c r="G51" s="216" t="s">
        <v>36</v>
      </c>
      <c r="H51" s="208" t="s">
        <v>157</v>
      </c>
      <c r="I51" s="216" t="s">
        <v>153</v>
      </c>
      <c r="J51" s="216" t="s">
        <v>38</v>
      </c>
      <c r="K51" s="216" t="s">
        <v>154</v>
      </c>
      <c r="L51" s="208">
        <v>2</v>
      </c>
      <c r="N51" s="208">
        <v>1</v>
      </c>
      <c r="O51" s="208">
        <v>0.5</v>
      </c>
      <c r="P51" s="208">
        <v>0.55000000000000004</v>
      </c>
      <c r="Q51" s="245">
        <f t="shared" si="0"/>
        <v>0.52500000000000002</v>
      </c>
      <c r="R51" s="208">
        <v>14.1</v>
      </c>
      <c r="S51" s="208">
        <v>148</v>
      </c>
      <c r="T51" s="217">
        <f t="shared" si="1"/>
        <v>30</v>
      </c>
      <c r="U51" s="208">
        <v>137</v>
      </c>
      <c r="V51" s="217">
        <f t="shared" si="2"/>
        <v>4110</v>
      </c>
      <c r="W51" s="208">
        <v>3</v>
      </c>
      <c r="X51" s="216" t="s">
        <v>46</v>
      </c>
      <c r="Y51" s="216" t="s">
        <v>84</v>
      </c>
      <c r="Z51" s="216" t="s">
        <v>50</v>
      </c>
      <c r="AA51" s="216" t="s">
        <v>69</v>
      </c>
      <c r="AB51" s="216" t="s">
        <v>317</v>
      </c>
    </row>
    <row r="52" spans="1:28" x14ac:dyDescent="0.15">
      <c r="A52" s="216" t="s">
        <v>34</v>
      </c>
      <c r="B52" s="208" t="s">
        <v>315</v>
      </c>
      <c r="C52" s="208">
        <v>2018</v>
      </c>
      <c r="D52" s="250" t="s">
        <v>414</v>
      </c>
      <c r="E52" s="237" t="s">
        <v>159</v>
      </c>
      <c r="F52" s="237" t="s">
        <v>313</v>
      </c>
      <c r="G52" s="216" t="s">
        <v>36</v>
      </c>
      <c r="H52" s="208" t="s">
        <v>157</v>
      </c>
      <c r="I52" s="216" t="s">
        <v>153</v>
      </c>
      <c r="J52" s="216" t="s">
        <v>38</v>
      </c>
      <c r="K52" s="216" t="s">
        <v>154</v>
      </c>
      <c r="L52" s="208">
        <v>3</v>
      </c>
      <c r="N52" s="208">
        <v>1</v>
      </c>
      <c r="O52" s="208">
        <v>0.5</v>
      </c>
      <c r="P52" s="208">
        <v>0.6</v>
      </c>
      <c r="Q52" s="245">
        <f t="shared" si="0"/>
        <v>0.55000000000000004</v>
      </c>
      <c r="R52" s="208">
        <v>16.8</v>
      </c>
      <c r="S52" s="208">
        <v>152</v>
      </c>
      <c r="T52" s="217">
        <f t="shared" si="1"/>
        <v>18</v>
      </c>
      <c r="U52" s="208">
        <v>137</v>
      </c>
      <c r="V52" s="217">
        <f t="shared" si="2"/>
        <v>2466</v>
      </c>
      <c r="W52" s="208">
        <v>3</v>
      </c>
      <c r="X52" s="216" t="s">
        <v>46</v>
      </c>
      <c r="Y52" s="216" t="s">
        <v>84</v>
      </c>
      <c r="Z52" s="216" t="s">
        <v>50</v>
      </c>
      <c r="AA52" s="216" t="s">
        <v>69</v>
      </c>
      <c r="AB52" s="216" t="s">
        <v>317</v>
      </c>
    </row>
    <row r="53" spans="1:28" x14ac:dyDescent="0.15">
      <c r="A53" s="216" t="s">
        <v>34</v>
      </c>
      <c r="B53" s="208" t="s">
        <v>315</v>
      </c>
      <c r="C53" s="208">
        <v>2018</v>
      </c>
      <c r="D53" s="250" t="s">
        <v>414</v>
      </c>
      <c r="E53" s="237" t="s">
        <v>159</v>
      </c>
      <c r="F53" s="237" t="s">
        <v>313</v>
      </c>
      <c r="G53" s="216" t="s">
        <v>36</v>
      </c>
      <c r="H53" s="208" t="s">
        <v>157</v>
      </c>
      <c r="I53" s="216" t="s">
        <v>153</v>
      </c>
      <c r="J53" s="216" t="s">
        <v>38</v>
      </c>
      <c r="K53" s="216" t="s">
        <v>154</v>
      </c>
      <c r="L53" s="216">
        <v>1</v>
      </c>
      <c r="N53" s="208">
        <v>4</v>
      </c>
      <c r="O53" s="208">
        <v>0.2</v>
      </c>
      <c r="P53" s="208">
        <v>0.2</v>
      </c>
      <c r="Q53" s="245">
        <f t="shared" si="0"/>
        <v>0.2</v>
      </c>
      <c r="R53" s="208">
        <v>15.9</v>
      </c>
      <c r="S53" s="208">
        <v>145</v>
      </c>
      <c r="T53" s="217">
        <f t="shared" si="1"/>
        <v>30</v>
      </c>
      <c r="U53" s="208">
        <v>515</v>
      </c>
      <c r="V53" s="217">
        <f t="shared" si="2"/>
        <v>3862.5</v>
      </c>
      <c r="W53" s="208">
        <v>3</v>
      </c>
      <c r="X53" s="216" t="s">
        <v>46</v>
      </c>
      <c r="Y53" s="216" t="s">
        <v>84</v>
      </c>
      <c r="Z53" s="216" t="s">
        <v>50</v>
      </c>
      <c r="AA53" s="216" t="s">
        <v>69</v>
      </c>
      <c r="AB53" s="216" t="s">
        <v>317</v>
      </c>
    </row>
    <row r="54" spans="1:28" x14ac:dyDescent="0.15">
      <c r="A54" s="216" t="s">
        <v>34</v>
      </c>
      <c r="B54" s="208" t="s">
        <v>315</v>
      </c>
      <c r="C54" s="208">
        <v>2018</v>
      </c>
      <c r="D54" s="250" t="s">
        <v>414</v>
      </c>
      <c r="E54" s="237" t="s">
        <v>159</v>
      </c>
      <c r="F54" s="237" t="s">
        <v>313</v>
      </c>
      <c r="G54" s="216" t="s">
        <v>36</v>
      </c>
      <c r="H54" s="208" t="s">
        <v>157</v>
      </c>
      <c r="I54" s="216" t="s">
        <v>153</v>
      </c>
      <c r="J54" s="216" t="s">
        <v>38</v>
      </c>
      <c r="K54" s="216" t="s">
        <v>154</v>
      </c>
      <c r="L54" s="208">
        <v>2</v>
      </c>
      <c r="N54" s="208">
        <v>4</v>
      </c>
      <c r="O54" s="208">
        <v>0.45</v>
      </c>
      <c r="P54" s="208">
        <v>0.5</v>
      </c>
      <c r="Q54" s="245">
        <f t="shared" si="0"/>
        <v>0.47499999999999998</v>
      </c>
      <c r="R54" s="208">
        <v>16.2</v>
      </c>
      <c r="S54" s="208">
        <v>143</v>
      </c>
      <c r="T54" s="217">
        <f t="shared" si="1"/>
        <v>30</v>
      </c>
      <c r="U54" s="208">
        <v>515</v>
      </c>
      <c r="V54" s="217">
        <f t="shared" si="2"/>
        <v>3862.5</v>
      </c>
      <c r="W54" s="208">
        <v>3</v>
      </c>
      <c r="X54" s="216" t="s">
        <v>46</v>
      </c>
      <c r="Y54" s="216" t="s">
        <v>84</v>
      </c>
      <c r="Z54" s="216" t="s">
        <v>50</v>
      </c>
      <c r="AA54" s="216" t="s">
        <v>69</v>
      </c>
      <c r="AB54" s="216" t="s">
        <v>317</v>
      </c>
    </row>
    <row r="55" spans="1:28" x14ac:dyDescent="0.15">
      <c r="A55" s="216" t="s">
        <v>34</v>
      </c>
      <c r="B55" s="208" t="s">
        <v>315</v>
      </c>
      <c r="C55" s="208">
        <v>2018</v>
      </c>
      <c r="D55" s="250" t="s">
        <v>414</v>
      </c>
      <c r="E55" s="237" t="s">
        <v>159</v>
      </c>
      <c r="F55" s="237" t="s">
        <v>313</v>
      </c>
      <c r="G55" s="216" t="s">
        <v>36</v>
      </c>
      <c r="H55" s="208" t="s">
        <v>157</v>
      </c>
      <c r="I55" s="216" t="s">
        <v>153</v>
      </c>
      <c r="J55" s="216" t="s">
        <v>38</v>
      </c>
      <c r="K55" s="216" t="s">
        <v>154</v>
      </c>
      <c r="L55" s="208">
        <v>3</v>
      </c>
      <c r="N55" s="208">
        <v>4</v>
      </c>
      <c r="O55" s="208">
        <v>0.2</v>
      </c>
      <c r="P55" s="208">
        <v>0.2</v>
      </c>
      <c r="Q55" s="245">
        <f t="shared" si="0"/>
        <v>0.2</v>
      </c>
      <c r="R55" s="208">
        <v>15.4</v>
      </c>
      <c r="S55" s="208">
        <v>146</v>
      </c>
      <c r="T55" s="217">
        <f t="shared" si="1"/>
        <v>30</v>
      </c>
      <c r="U55" s="208">
        <v>515</v>
      </c>
      <c r="V55" s="217">
        <f t="shared" si="2"/>
        <v>3862.5</v>
      </c>
      <c r="W55" s="208">
        <v>3</v>
      </c>
      <c r="X55" s="216" t="s">
        <v>46</v>
      </c>
      <c r="Y55" s="216" t="s">
        <v>84</v>
      </c>
      <c r="Z55" s="216" t="s">
        <v>50</v>
      </c>
      <c r="AA55" s="216" t="s">
        <v>69</v>
      </c>
      <c r="AB55" s="216" t="s">
        <v>317</v>
      </c>
    </row>
    <row r="56" spans="1:28" x14ac:dyDescent="0.15">
      <c r="A56" s="216" t="s">
        <v>34</v>
      </c>
      <c r="B56" s="208" t="s">
        <v>315</v>
      </c>
      <c r="C56" s="208">
        <v>2018</v>
      </c>
      <c r="D56" s="250" t="s">
        <v>414</v>
      </c>
      <c r="E56" s="237" t="s">
        <v>299</v>
      </c>
      <c r="F56" s="237" t="s">
        <v>300</v>
      </c>
      <c r="G56" s="216" t="s">
        <v>36</v>
      </c>
      <c r="H56" s="208" t="s">
        <v>155</v>
      </c>
      <c r="I56" s="216" t="s">
        <v>153</v>
      </c>
      <c r="J56" s="216" t="s">
        <v>38</v>
      </c>
      <c r="K56" s="216" t="s">
        <v>154</v>
      </c>
      <c r="L56" s="216">
        <v>1</v>
      </c>
      <c r="N56" s="208">
        <v>1</v>
      </c>
      <c r="O56" s="208">
        <v>0.2</v>
      </c>
      <c r="P56" s="208">
        <v>0.2</v>
      </c>
      <c r="Q56" s="245">
        <f t="shared" si="0"/>
        <v>0.2</v>
      </c>
      <c r="R56" s="208">
        <v>14.6</v>
      </c>
      <c r="S56" s="208">
        <v>129</v>
      </c>
      <c r="T56" s="217">
        <f t="shared" si="1"/>
        <v>30</v>
      </c>
      <c r="U56" s="208">
        <v>84</v>
      </c>
      <c r="V56" s="217">
        <f t="shared" si="2"/>
        <v>2520</v>
      </c>
      <c r="W56" s="208">
        <v>2</v>
      </c>
      <c r="X56" s="216" t="s">
        <v>39</v>
      </c>
      <c r="Y56" s="216" t="s">
        <v>84</v>
      </c>
      <c r="Z56" s="216" t="s">
        <v>90</v>
      </c>
      <c r="AA56" s="216" t="s">
        <v>69</v>
      </c>
      <c r="AB56" s="216" t="s">
        <v>317</v>
      </c>
    </row>
    <row r="57" spans="1:28" x14ac:dyDescent="0.15">
      <c r="A57" s="216" t="s">
        <v>34</v>
      </c>
      <c r="B57" s="208" t="s">
        <v>315</v>
      </c>
      <c r="C57" s="208">
        <v>2018</v>
      </c>
      <c r="D57" s="250" t="s">
        <v>414</v>
      </c>
      <c r="E57" s="237" t="s">
        <v>299</v>
      </c>
      <c r="F57" s="237" t="s">
        <v>300</v>
      </c>
      <c r="G57" s="216" t="s">
        <v>36</v>
      </c>
      <c r="H57" s="208" t="s">
        <v>155</v>
      </c>
      <c r="I57" s="216" t="s">
        <v>153</v>
      </c>
      <c r="J57" s="216" t="s">
        <v>38</v>
      </c>
      <c r="K57" s="216" t="s">
        <v>154</v>
      </c>
      <c r="L57" s="208">
        <v>2</v>
      </c>
      <c r="N57" s="208">
        <v>1</v>
      </c>
      <c r="O57" s="208">
        <v>0.65</v>
      </c>
      <c r="P57" s="208">
        <v>0.6</v>
      </c>
      <c r="Q57" s="245">
        <f t="shared" si="0"/>
        <v>0.625</v>
      </c>
      <c r="R57" s="208">
        <v>16</v>
      </c>
      <c r="S57" s="208">
        <v>138</v>
      </c>
      <c r="T57" s="217">
        <f t="shared" si="1"/>
        <v>30</v>
      </c>
      <c r="U57" s="208">
        <v>84</v>
      </c>
      <c r="V57" s="217">
        <f t="shared" si="2"/>
        <v>2520</v>
      </c>
      <c r="W57" s="208">
        <v>2</v>
      </c>
      <c r="X57" s="216" t="s">
        <v>39</v>
      </c>
      <c r="Y57" s="216" t="s">
        <v>84</v>
      </c>
      <c r="Z57" s="216" t="s">
        <v>90</v>
      </c>
      <c r="AA57" s="216" t="s">
        <v>69</v>
      </c>
      <c r="AB57" s="216" t="s">
        <v>317</v>
      </c>
    </row>
    <row r="58" spans="1:28" x14ac:dyDescent="0.15">
      <c r="A58" s="216" t="s">
        <v>34</v>
      </c>
      <c r="B58" s="208" t="s">
        <v>315</v>
      </c>
      <c r="C58" s="208">
        <v>2018</v>
      </c>
      <c r="D58" s="250" t="s">
        <v>414</v>
      </c>
      <c r="E58" s="237" t="s">
        <v>299</v>
      </c>
      <c r="F58" s="237" t="s">
        <v>300</v>
      </c>
      <c r="G58" s="216" t="s">
        <v>36</v>
      </c>
      <c r="H58" s="208" t="s">
        <v>155</v>
      </c>
      <c r="I58" s="216" t="s">
        <v>153</v>
      </c>
      <c r="J58" s="216" t="s">
        <v>38</v>
      </c>
      <c r="K58" s="216" t="s">
        <v>154</v>
      </c>
      <c r="L58" s="208">
        <v>3</v>
      </c>
      <c r="N58" s="208">
        <v>1</v>
      </c>
      <c r="O58" s="208">
        <v>0.65</v>
      </c>
      <c r="P58" s="208">
        <v>0.6</v>
      </c>
      <c r="Q58" s="245">
        <f t="shared" si="0"/>
        <v>0.625</v>
      </c>
      <c r="R58" s="208">
        <v>14.3</v>
      </c>
      <c r="S58" s="208">
        <v>133</v>
      </c>
      <c r="T58" s="217">
        <f t="shared" si="1"/>
        <v>30</v>
      </c>
      <c r="U58" s="208">
        <v>84</v>
      </c>
      <c r="V58" s="217">
        <f t="shared" si="2"/>
        <v>2520</v>
      </c>
      <c r="W58" s="208">
        <v>2</v>
      </c>
      <c r="X58" s="216" t="s">
        <v>39</v>
      </c>
      <c r="Y58" s="216" t="s">
        <v>84</v>
      </c>
      <c r="Z58" s="216" t="s">
        <v>90</v>
      </c>
      <c r="AA58" s="216" t="s">
        <v>69</v>
      </c>
      <c r="AB58" s="216" t="s">
        <v>317</v>
      </c>
    </row>
    <row r="59" spans="1:28" x14ac:dyDescent="0.15">
      <c r="A59" s="216" t="s">
        <v>34</v>
      </c>
      <c r="B59" s="208" t="s">
        <v>315</v>
      </c>
      <c r="C59" s="208">
        <v>2018</v>
      </c>
      <c r="D59" s="250" t="s">
        <v>414</v>
      </c>
      <c r="E59" s="237" t="s">
        <v>299</v>
      </c>
      <c r="F59" s="237" t="s">
        <v>300</v>
      </c>
      <c r="G59" s="216" t="s">
        <v>36</v>
      </c>
      <c r="H59" s="208" t="s">
        <v>155</v>
      </c>
      <c r="I59" s="216" t="s">
        <v>153</v>
      </c>
      <c r="J59" s="216" t="s">
        <v>38</v>
      </c>
      <c r="K59" s="216" t="s">
        <v>154</v>
      </c>
      <c r="L59" s="216">
        <v>1</v>
      </c>
      <c r="N59" s="208">
        <v>5</v>
      </c>
      <c r="O59" s="208">
        <v>0.65</v>
      </c>
      <c r="P59" s="208">
        <v>0.75</v>
      </c>
      <c r="Q59" s="245">
        <f t="shared" si="0"/>
        <v>0.7</v>
      </c>
      <c r="R59" s="208">
        <v>14.6</v>
      </c>
      <c r="S59" s="208">
        <v>85</v>
      </c>
      <c r="T59" s="217">
        <f t="shared" si="1"/>
        <v>36</v>
      </c>
      <c r="U59" s="208">
        <v>430</v>
      </c>
      <c r="V59" s="217">
        <f t="shared" si="2"/>
        <v>3096</v>
      </c>
      <c r="W59" s="208">
        <v>2</v>
      </c>
      <c r="X59" s="216" t="s">
        <v>39</v>
      </c>
      <c r="Y59" s="216" t="s">
        <v>84</v>
      </c>
      <c r="Z59" s="216" t="s">
        <v>90</v>
      </c>
      <c r="AA59" s="216" t="s">
        <v>69</v>
      </c>
      <c r="AB59" s="216" t="s">
        <v>317</v>
      </c>
    </row>
    <row r="60" spans="1:28" x14ac:dyDescent="0.15">
      <c r="A60" s="216" t="s">
        <v>34</v>
      </c>
      <c r="B60" s="208" t="s">
        <v>315</v>
      </c>
      <c r="C60" s="208">
        <v>2018</v>
      </c>
      <c r="D60" s="250" t="s">
        <v>414</v>
      </c>
      <c r="E60" s="237" t="s">
        <v>299</v>
      </c>
      <c r="F60" s="237" t="s">
        <v>300</v>
      </c>
      <c r="G60" s="216" t="s">
        <v>36</v>
      </c>
      <c r="H60" s="208" t="s">
        <v>155</v>
      </c>
      <c r="I60" s="216" t="s">
        <v>153</v>
      </c>
      <c r="J60" s="216" t="s">
        <v>38</v>
      </c>
      <c r="K60" s="216" t="s">
        <v>154</v>
      </c>
      <c r="L60" s="208">
        <v>2</v>
      </c>
      <c r="N60" s="208">
        <v>5</v>
      </c>
      <c r="O60" s="208">
        <v>0.65</v>
      </c>
      <c r="P60" s="208">
        <v>0.65</v>
      </c>
      <c r="Q60" s="245">
        <f t="shared" si="0"/>
        <v>0.65</v>
      </c>
      <c r="R60" s="208">
        <v>11</v>
      </c>
      <c r="S60" s="208">
        <v>93</v>
      </c>
      <c r="T60" s="217">
        <f t="shared" si="1"/>
        <v>36</v>
      </c>
      <c r="U60" s="208">
        <v>430</v>
      </c>
      <c r="V60" s="217">
        <f t="shared" si="2"/>
        <v>3096</v>
      </c>
      <c r="W60" s="208">
        <v>2</v>
      </c>
      <c r="X60" s="216" t="s">
        <v>39</v>
      </c>
      <c r="Y60" s="216" t="s">
        <v>84</v>
      </c>
      <c r="Z60" s="216" t="s">
        <v>90</v>
      </c>
      <c r="AA60" s="216" t="s">
        <v>69</v>
      </c>
      <c r="AB60" s="216" t="s">
        <v>317</v>
      </c>
    </row>
    <row r="61" spans="1:28" x14ac:dyDescent="0.15">
      <c r="A61" s="216" t="s">
        <v>34</v>
      </c>
      <c r="B61" s="208" t="s">
        <v>315</v>
      </c>
      <c r="C61" s="208">
        <v>2018</v>
      </c>
      <c r="D61" s="250" t="s">
        <v>414</v>
      </c>
      <c r="E61" s="237" t="s">
        <v>299</v>
      </c>
      <c r="F61" s="237" t="s">
        <v>300</v>
      </c>
      <c r="G61" s="216" t="s">
        <v>36</v>
      </c>
      <c r="H61" s="208" t="s">
        <v>155</v>
      </c>
      <c r="I61" s="216" t="s">
        <v>153</v>
      </c>
      <c r="J61" s="216" t="s">
        <v>38</v>
      </c>
      <c r="K61" s="216" t="s">
        <v>154</v>
      </c>
      <c r="L61" s="208">
        <v>3</v>
      </c>
      <c r="N61" s="208">
        <v>5</v>
      </c>
      <c r="O61" s="208">
        <v>0.7</v>
      </c>
      <c r="P61" s="208">
        <v>0.8</v>
      </c>
      <c r="Q61" s="245">
        <f t="shared" si="0"/>
        <v>0.75</v>
      </c>
      <c r="R61" s="208">
        <v>12.6</v>
      </c>
      <c r="S61" s="208">
        <v>92</v>
      </c>
      <c r="T61" s="217">
        <f t="shared" si="1"/>
        <v>36</v>
      </c>
      <c r="U61" s="208">
        <v>430</v>
      </c>
      <c r="V61" s="217">
        <f t="shared" si="2"/>
        <v>3096</v>
      </c>
      <c r="W61" s="208">
        <v>2</v>
      </c>
      <c r="X61" s="216" t="s">
        <v>39</v>
      </c>
      <c r="Y61" s="216" t="s">
        <v>84</v>
      </c>
      <c r="Z61" s="216" t="s">
        <v>90</v>
      </c>
      <c r="AA61" s="216" t="s">
        <v>69</v>
      </c>
      <c r="AB61" s="216" t="s">
        <v>317</v>
      </c>
    </row>
    <row r="62" spans="1:28" x14ac:dyDescent="0.15">
      <c r="A62" s="216" t="s">
        <v>34</v>
      </c>
      <c r="B62" s="208" t="s">
        <v>315</v>
      </c>
      <c r="C62" s="208">
        <v>2018</v>
      </c>
      <c r="D62" s="250" t="s">
        <v>414</v>
      </c>
      <c r="E62" s="237" t="s">
        <v>299</v>
      </c>
      <c r="F62" s="237" t="s">
        <v>300</v>
      </c>
      <c r="G62" s="216" t="s">
        <v>36</v>
      </c>
      <c r="H62" s="208" t="s">
        <v>157</v>
      </c>
      <c r="I62" s="216" t="s">
        <v>153</v>
      </c>
      <c r="J62" s="216" t="s">
        <v>38</v>
      </c>
      <c r="K62" s="216" t="s">
        <v>154</v>
      </c>
      <c r="L62" s="216">
        <v>1</v>
      </c>
      <c r="N62" s="208">
        <v>1</v>
      </c>
      <c r="O62" s="208">
        <v>0.2</v>
      </c>
      <c r="P62" s="208">
        <v>0.2</v>
      </c>
      <c r="Q62" s="245">
        <f t="shared" si="0"/>
        <v>0.2</v>
      </c>
      <c r="R62" s="208">
        <v>13.8</v>
      </c>
      <c r="S62" s="208">
        <v>162</v>
      </c>
      <c r="T62" s="217">
        <f t="shared" si="1"/>
        <v>18</v>
      </c>
      <c r="U62" s="208">
        <v>171</v>
      </c>
      <c r="V62" s="217">
        <f t="shared" si="2"/>
        <v>3078</v>
      </c>
      <c r="W62" s="208">
        <v>2</v>
      </c>
      <c r="X62" s="216" t="s">
        <v>39</v>
      </c>
      <c r="Y62" s="216" t="s">
        <v>84</v>
      </c>
      <c r="Z62" s="216" t="s">
        <v>90</v>
      </c>
      <c r="AA62" s="216" t="s">
        <v>69</v>
      </c>
      <c r="AB62" s="216" t="s">
        <v>317</v>
      </c>
    </row>
    <row r="63" spans="1:28" x14ac:dyDescent="0.15">
      <c r="A63" s="216" t="s">
        <v>34</v>
      </c>
      <c r="B63" s="208" t="s">
        <v>315</v>
      </c>
      <c r="C63" s="208">
        <v>2018</v>
      </c>
      <c r="D63" s="250" t="s">
        <v>414</v>
      </c>
      <c r="E63" s="237" t="s">
        <v>299</v>
      </c>
      <c r="F63" s="237" t="s">
        <v>300</v>
      </c>
      <c r="G63" s="216" t="s">
        <v>36</v>
      </c>
      <c r="H63" s="208" t="s">
        <v>157</v>
      </c>
      <c r="I63" s="216" t="s">
        <v>153</v>
      </c>
      <c r="J63" s="216" t="s">
        <v>38</v>
      </c>
      <c r="K63" s="216" t="s">
        <v>154</v>
      </c>
      <c r="L63" s="208">
        <v>2</v>
      </c>
      <c r="N63" s="208">
        <v>1</v>
      </c>
      <c r="O63" s="208">
        <v>0.5</v>
      </c>
      <c r="P63" s="208">
        <v>0.5</v>
      </c>
      <c r="Q63" s="245">
        <f t="shared" si="0"/>
        <v>0.5</v>
      </c>
      <c r="R63" s="208">
        <v>14.6</v>
      </c>
      <c r="S63" s="208">
        <v>173</v>
      </c>
      <c r="T63" s="217">
        <f t="shared" si="1"/>
        <v>18</v>
      </c>
      <c r="U63" s="208">
        <v>171</v>
      </c>
      <c r="V63" s="217">
        <f t="shared" si="2"/>
        <v>3078</v>
      </c>
      <c r="W63" s="208">
        <v>2</v>
      </c>
      <c r="X63" s="216" t="s">
        <v>39</v>
      </c>
      <c r="Y63" s="216" t="s">
        <v>84</v>
      </c>
      <c r="Z63" s="216" t="s">
        <v>90</v>
      </c>
      <c r="AA63" s="216" t="s">
        <v>69</v>
      </c>
      <c r="AB63" s="216" t="s">
        <v>317</v>
      </c>
    </row>
    <row r="64" spans="1:28" x14ac:dyDescent="0.15">
      <c r="A64" s="216" t="s">
        <v>34</v>
      </c>
      <c r="B64" s="208" t="s">
        <v>315</v>
      </c>
      <c r="C64" s="208">
        <v>2018</v>
      </c>
      <c r="D64" s="250" t="s">
        <v>414</v>
      </c>
      <c r="E64" s="237" t="s">
        <v>299</v>
      </c>
      <c r="F64" s="237" t="s">
        <v>300</v>
      </c>
      <c r="G64" s="216" t="s">
        <v>36</v>
      </c>
      <c r="H64" s="208" t="s">
        <v>157</v>
      </c>
      <c r="I64" s="216" t="s">
        <v>153</v>
      </c>
      <c r="J64" s="216" t="s">
        <v>38</v>
      </c>
      <c r="K64" s="216" t="s">
        <v>154</v>
      </c>
      <c r="L64" s="208">
        <v>3</v>
      </c>
      <c r="N64" s="208">
        <v>1</v>
      </c>
      <c r="O64" s="208">
        <v>0.45</v>
      </c>
      <c r="P64" s="208">
        <v>0.2</v>
      </c>
      <c r="Q64" s="245">
        <f t="shared" si="0"/>
        <v>0.32500000000000001</v>
      </c>
      <c r="R64" s="208">
        <v>14.9</v>
      </c>
      <c r="S64" s="208">
        <v>151</v>
      </c>
      <c r="T64" s="217">
        <f t="shared" si="1"/>
        <v>30</v>
      </c>
      <c r="U64" s="208">
        <v>171</v>
      </c>
      <c r="V64" s="217">
        <f t="shared" si="2"/>
        <v>5130</v>
      </c>
      <c r="W64" s="208">
        <v>2</v>
      </c>
      <c r="X64" s="216" t="s">
        <v>39</v>
      </c>
      <c r="Y64" s="216" t="s">
        <v>84</v>
      </c>
      <c r="Z64" s="216" t="s">
        <v>90</v>
      </c>
      <c r="AA64" s="216" t="s">
        <v>69</v>
      </c>
      <c r="AB64" s="216" t="s">
        <v>317</v>
      </c>
    </row>
    <row r="65" spans="1:28" x14ac:dyDescent="0.15">
      <c r="A65" s="216" t="s">
        <v>34</v>
      </c>
      <c r="B65" s="208" t="s">
        <v>315</v>
      </c>
      <c r="C65" s="208">
        <v>2018</v>
      </c>
      <c r="D65" s="250" t="s">
        <v>414</v>
      </c>
      <c r="E65" s="237" t="s">
        <v>299</v>
      </c>
      <c r="F65" s="237" t="s">
        <v>300</v>
      </c>
      <c r="G65" s="216" t="s">
        <v>36</v>
      </c>
      <c r="H65" s="208" t="s">
        <v>157</v>
      </c>
      <c r="I65" s="216" t="s">
        <v>153</v>
      </c>
      <c r="J65" s="216" t="s">
        <v>38</v>
      </c>
      <c r="K65" s="216" t="s">
        <v>154</v>
      </c>
      <c r="L65" s="216">
        <v>1</v>
      </c>
      <c r="N65" s="208">
        <v>5</v>
      </c>
      <c r="O65" s="208">
        <v>0.45</v>
      </c>
      <c r="P65" s="208">
        <v>0.2</v>
      </c>
      <c r="Q65" s="245">
        <f t="shared" si="0"/>
        <v>0.32500000000000001</v>
      </c>
      <c r="R65" s="208">
        <v>15.6</v>
      </c>
      <c r="S65" s="208">
        <v>107</v>
      </c>
      <c r="T65" s="217">
        <f t="shared" si="1"/>
        <v>33</v>
      </c>
      <c r="U65" s="208">
        <v>626</v>
      </c>
      <c r="V65" s="217">
        <f t="shared" si="2"/>
        <v>4131.6000000000004</v>
      </c>
      <c r="W65" s="208">
        <v>2</v>
      </c>
      <c r="X65" s="216" t="s">
        <v>39</v>
      </c>
      <c r="Y65" s="216" t="s">
        <v>84</v>
      </c>
      <c r="Z65" s="216" t="s">
        <v>90</v>
      </c>
      <c r="AA65" s="216" t="s">
        <v>69</v>
      </c>
      <c r="AB65" s="216" t="s">
        <v>317</v>
      </c>
    </row>
    <row r="66" spans="1:28" x14ac:dyDescent="0.15">
      <c r="A66" s="216" t="s">
        <v>34</v>
      </c>
      <c r="B66" s="208" t="s">
        <v>315</v>
      </c>
      <c r="C66" s="208">
        <v>2018</v>
      </c>
      <c r="D66" s="250" t="s">
        <v>414</v>
      </c>
      <c r="E66" s="237" t="s">
        <v>299</v>
      </c>
      <c r="F66" s="237" t="s">
        <v>300</v>
      </c>
      <c r="G66" s="216" t="s">
        <v>36</v>
      </c>
      <c r="H66" s="208" t="s">
        <v>157</v>
      </c>
      <c r="I66" s="216" t="s">
        <v>153</v>
      </c>
      <c r="J66" s="216" t="s">
        <v>38</v>
      </c>
      <c r="K66" s="216" t="s">
        <v>154</v>
      </c>
      <c r="L66" s="208">
        <v>2</v>
      </c>
      <c r="N66" s="208">
        <v>5</v>
      </c>
      <c r="O66" s="208">
        <v>0.5</v>
      </c>
      <c r="P66" s="208">
        <v>0.55000000000000004</v>
      </c>
      <c r="Q66" s="245">
        <f t="shared" si="0"/>
        <v>0.52500000000000002</v>
      </c>
      <c r="R66" s="208">
        <v>14.7</v>
      </c>
      <c r="S66" s="208">
        <v>104</v>
      </c>
      <c r="T66" s="217">
        <f t="shared" si="1"/>
        <v>33</v>
      </c>
      <c r="U66" s="208">
        <v>626</v>
      </c>
      <c r="V66" s="217">
        <f t="shared" si="2"/>
        <v>4131.6000000000004</v>
      </c>
      <c r="W66" s="208">
        <v>2</v>
      </c>
      <c r="X66" s="216" t="s">
        <v>39</v>
      </c>
      <c r="Y66" s="216" t="s">
        <v>84</v>
      </c>
      <c r="Z66" s="216" t="s">
        <v>90</v>
      </c>
      <c r="AA66" s="216" t="s">
        <v>69</v>
      </c>
      <c r="AB66" s="216" t="s">
        <v>317</v>
      </c>
    </row>
    <row r="67" spans="1:28" x14ac:dyDescent="0.15">
      <c r="A67" s="216" t="s">
        <v>34</v>
      </c>
      <c r="B67" s="208" t="s">
        <v>315</v>
      </c>
      <c r="C67" s="208">
        <v>2018</v>
      </c>
      <c r="D67" s="250" t="s">
        <v>414</v>
      </c>
      <c r="E67" s="237" t="s">
        <v>299</v>
      </c>
      <c r="F67" s="237" t="s">
        <v>300</v>
      </c>
      <c r="G67" s="216" t="s">
        <v>36</v>
      </c>
      <c r="H67" s="208" t="s">
        <v>157</v>
      </c>
      <c r="I67" s="216" t="s">
        <v>153</v>
      </c>
      <c r="J67" s="216" t="s">
        <v>38</v>
      </c>
      <c r="K67" s="216" t="s">
        <v>154</v>
      </c>
      <c r="L67" s="208">
        <v>3</v>
      </c>
      <c r="N67" s="208">
        <v>5</v>
      </c>
      <c r="O67" s="208">
        <v>0.2</v>
      </c>
      <c r="P67" s="208">
        <v>0.45</v>
      </c>
      <c r="Q67" s="245">
        <f t="shared" si="0"/>
        <v>0.32500000000000001</v>
      </c>
      <c r="R67" s="208">
        <v>15.2</v>
      </c>
      <c r="S67" s="208">
        <v>101</v>
      </c>
      <c r="T67" s="217">
        <f t="shared" si="1"/>
        <v>33</v>
      </c>
      <c r="U67" s="208">
        <v>626</v>
      </c>
      <c r="V67" s="217">
        <f t="shared" si="2"/>
        <v>4131.6000000000004</v>
      </c>
      <c r="W67" s="208">
        <v>2</v>
      </c>
      <c r="X67" s="216" t="s">
        <v>39</v>
      </c>
      <c r="Y67" s="216" t="s">
        <v>84</v>
      </c>
      <c r="Z67" s="216" t="s">
        <v>90</v>
      </c>
      <c r="AA67" s="216" t="s">
        <v>69</v>
      </c>
      <c r="AB67" s="216" t="s">
        <v>317</v>
      </c>
    </row>
    <row r="68" spans="1:28" x14ac:dyDescent="0.15">
      <c r="A68" s="216" t="s">
        <v>34</v>
      </c>
      <c r="B68" s="208" t="s">
        <v>315</v>
      </c>
      <c r="C68" s="208">
        <v>2018</v>
      </c>
      <c r="D68" s="250" t="s">
        <v>414</v>
      </c>
      <c r="E68" s="237" t="s">
        <v>299</v>
      </c>
      <c r="F68" s="237" t="s">
        <v>300</v>
      </c>
      <c r="G68" s="216" t="s">
        <v>36</v>
      </c>
      <c r="H68" s="208" t="s">
        <v>129</v>
      </c>
      <c r="I68" s="216" t="s">
        <v>153</v>
      </c>
      <c r="J68" s="216" t="s">
        <v>58</v>
      </c>
      <c r="K68" s="216" t="s">
        <v>59</v>
      </c>
      <c r="L68" s="216">
        <v>1</v>
      </c>
      <c r="N68" s="208">
        <v>5</v>
      </c>
      <c r="O68" s="208">
        <v>0.2</v>
      </c>
      <c r="P68" s="208">
        <v>0.2</v>
      </c>
      <c r="Q68" s="245">
        <f t="shared" si="0"/>
        <v>0.2</v>
      </c>
      <c r="R68" s="208">
        <v>11.3</v>
      </c>
      <c r="S68" s="208">
        <v>61</v>
      </c>
      <c r="T68" s="217">
        <f t="shared" si="1"/>
        <v>50</v>
      </c>
      <c r="U68" s="208">
        <v>538</v>
      </c>
      <c r="V68" s="217">
        <f t="shared" si="2"/>
        <v>5380</v>
      </c>
      <c r="W68" s="208">
        <v>1</v>
      </c>
      <c r="X68" s="216" t="s">
        <v>39</v>
      </c>
      <c r="Y68" s="216" t="s">
        <v>84</v>
      </c>
      <c r="Z68" s="216" t="s">
        <v>90</v>
      </c>
      <c r="AA68" s="216" t="s">
        <v>69</v>
      </c>
      <c r="AB68" s="216" t="s">
        <v>317</v>
      </c>
    </row>
    <row r="69" spans="1:28" x14ac:dyDescent="0.15">
      <c r="A69" s="216" t="s">
        <v>34</v>
      </c>
      <c r="B69" s="208" t="s">
        <v>315</v>
      </c>
      <c r="C69" s="208">
        <v>2018</v>
      </c>
      <c r="D69" s="250" t="s">
        <v>414</v>
      </c>
      <c r="E69" s="237" t="s">
        <v>299</v>
      </c>
      <c r="F69" s="237" t="s">
        <v>300</v>
      </c>
      <c r="G69" s="216" t="s">
        <v>36</v>
      </c>
      <c r="H69" s="208" t="s">
        <v>129</v>
      </c>
      <c r="I69" s="216" t="s">
        <v>153</v>
      </c>
      <c r="J69" s="216" t="s">
        <v>58</v>
      </c>
      <c r="K69" s="216" t="s">
        <v>59</v>
      </c>
      <c r="L69" s="208">
        <v>2</v>
      </c>
      <c r="N69" s="208">
        <v>5</v>
      </c>
      <c r="O69" s="208">
        <v>0.2</v>
      </c>
      <c r="P69" s="208">
        <v>0.2</v>
      </c>
      <c r="Q69" s="245">
        <f t="shared" si="0"/>
        <v>0.2</v>
      </c>
      <c r="R69" s="208">
        <v>16.5</v>
      </c>
      <c r="S69" s="208">
        <v>75</v>
      </c>
      <c r="T69" s="217">
        <f t="shared" si="1"/>
        <v>42</v>
      </c>
      <c r="U69" s="208">
        <v>538</v>
      </c>
      <c r="V69" s="217">
        <f t="shared" si="2"/>
        <v>4519.2</v>
      </c>
      <c r="W69" s="208">
        <v>1</v>
      </c>
      <c r="X69" s="216" t="s">
        <v>39</v>
      </c>
      <c r="Y69" s="216" t="s">
        <v>84</v>
      </c>
      <c r="Z69" s="216" t="s">
        <v>90</v>
      </c>
      <c r="AA69" s="216" t="s">
        <v>69</v>
      </c>
      <c r="AB69" s="216" t="s">
        <v>317</v>
      </c>
    </row>
    <row r="70" spans="1:28" x14ac:dyDescent="0.15">
      <c r="A70" s="216" t="s">
        <v>34</v>
      </c>
      <c r="B70" s="208" t="s">
        <v>315</v>
      </c>
      <c r="C70" s="208">
        <v>2018</v>
      </c>
      <c r="D70" s="250" t="s">
        <v>414</v>
      </c>
      <c r="E70" s="237" t="s">
        <v>299</v>
      </c>
      <c r="F70" s="237" t="s">
        <v>300</v>
      </c>
      <c r="G70" s="216" t="s">
        <v>36</v>
      </c>
      <c r="H70" s="208" t="s">
        <v>129</v>
      </c>
      <c r="I70" s="216" t="s">
        <v>153</v>
      </c>
      <c r="J70" s="216" t="s">
        <v>58</v>
      </c>
      <c r="K70" s="216" t="s">
        <v>59</v>
      </c>
      <c r="L70" s="208">
        <v>3</v>
      </c>
      <c r="N70" s="208">
        <v>5</v>
      </c>
      <c r="O70" s="208">
        <v>0.2</v>
      </c>
      <c r="P70" s="208">
        <v>0.2</v>
      </c>
      <c r="Q70" s="245">
        <f t="shared" si="0"/>
        <v>0.2</v>
      </c>
      <c r="R70" s="208">
        <v>15.3</v>
      </c>
      <c r="S70" s="208">
        <v>64</v>
      </c>
      <c r="T70" s="217">
        <f t="shared" si="1"/>
        <v>50</v>
      </c>
      <c r="U70" s="208">
        <v>538</v>
      </c>
      <c r="V70" s="217">
        <f t="shared" si="2"/>
        <v>5380</v>
      </c>
      <c r="W70" s="208">
        <v>1</v>
      </c>
      <c r="X70" s="216" t="s">
        <v>39</v>
      </c>
      <c r="Y70" s="216" t="s">
        <v>84</v>
      </c>
      <c r="Z70" s="216" t="s">
        <v>90</v>
      </c>
      <c r="AA70" s="216" t="s">
        <v>69</v>
      </c>
      <c r="AB70" s="216" t="s">
        <v>317</v>
      </c>
    </row>
    <row r="71" spans="1:28" x14ac:dyDescent="0.15">
      <c r="A71" s="216" t="s">
        <v>34</v>
      </c>
      <c r="B71" s="208" t="s">
        <v>315</v>
      </c>
      <c r="C71" s="208">
        <v>2018</v>
      </c>
      <c r="D71" s="250" t="s">
        <v>414</v>
      </c>
      <c r="E71" s="237" t="s">
        <v>301</v>
      </c>
      <c r="F71" s="237" t="s">
        <v>302</v>
      </c>
      <c r="G71" s="216" t="s">
        <v>36</v>
      </c>
      <c r="H71" s="208" t="s">
        <v>155</v>
      </c>
      <c r="I71" s="216" t="s">
        <v>153</v>
      </c>
      <c r="J71" s="216" t="s">
        <v>38</v>
      </c>
      <c r="K71" s="216" t="s">
        <v>154</v>
      </c>
      <c r="L71" s="216">
        <v>1</v>
      </c>
      <c r="N71" s="208">
        <v>1</v>
      </c>
      <c r="O71" s="208">
        <v>0.7</v>
      </c>
      <c r="P71" s="208">
        <v>0.7</v>
      </c>
      <c r="Q71" s="245">
        <f t="shared" si="0"/>
        <v>0.7</v>
      </c>
      <c r="R71" s="208">
        <v>17.899999999999999</v>
      </c>
      <c r="S71" s="208">
        <v>156</v>
      </c>
      <c r="T71" s="217">
        <f t="shared" si="1"/>
        <v>18</v>
      </c>
      <c r="U71" s="208">
        <v>138</v>
      </c>
      <c r="V71" s="217">
        <f t="shared" si="2"/>
        <v>2484</v>
      </c>
      <c r="W71" s="208">
        <v>3</v>
      </c>
      <c r="X71" s="216" t="s">
        <v>46</v>
      </c>
      <c r="Y71" s="216" t="s">
        <v>90</v>
      </c>
      <c r="Z71" s="216" t="s">
        <v>50</v>
      </c>
      <c r="AA71" s="216" t="s">
        <v>84</v>
      </c>
      <c r="AB71" s="216" t="s">
        <v>317</v>
      </c>
    </row>
    <row r="72" spans="1:28" x14ac:dyDescent="0.15">
      <c r="A72" s="216" t="s">
        <v>34</v>
      </c>
      <c r="B72" s="208" t="s">
        <v>315</v>
      </c>
      <c r="C72" s="208">
        <v>2018</v>
      </c>
      <c r="D72" s="250" t="s">
        <v>414</v>
      </c>
      <c r="E72" s="237" t="s">
        <v>301</v>
      </c>
      <c r="F72" s="237" t="s">
        <v>302</v>
      </c>
      <c r="G72" s="216" t="s">
        <v>36</v>
      </c>
      <c r="H72" s="208" t="s">
        <v>155</v>
      </c>
      <c r="I72" s="216" t="s">
        <v>153</v>
      </c>
      <c r="J72" s="216" t="s">
        <v>38</v>
      </c>
      <c r="K72" s="216" t="s">
        <v>154</v>
      </c>
      <c r="L72" s="208">
        <v>2</v>
      </c>
      <c r="N72" s="208">
        <v>1</v>
      </c>
      <c r="O72" s="208">
        <v>0.8</v>
      </c>
      <c r="P72" s="208">
        <v>0.65</v>
      </c>
      <c r="Q72" s="245">
        <f t="shared" si="0"/>
        <v>0.72500000000000009</v>
      </c>
      <c r="R72" s="208">
        <v>14</v>
      </c>
      <c r="S72" s="208">
        <v>146</v>
      </c>
      <c r="T72" s="217">
        <f t="shared" si="1"/>
        <v>30</v>
      </c>
      <c r="U72" s="208">
        <v>138</v>
      </c>
      <c r="V72" s="217">
        <f t="shared" si="2"/>
        <v>4140</v>
      </c>
      <c r="W72" s="208">
        <v>3</v>
      </c>
      <c r="X72" s="216" t="s">
        <v>46</v>
      </c>
      <c r="Y72" s="216" t="s">
        <v>90</v>
      </c>
      <c r="Z72" s="216" t="s">
        <v>50</v>
      </c>
      <c r="AA72" s="216" t="s">
        <v>84</v>
      </c>
      <c r="AB72" s="216" t="s">
        <v>317</v>
      </c>
    </row>
    <row r="73" spans="1:28" x14ac:dyDescent="0.15">
      <c r="A73" s="216" t="s">
        <v>34</v>
      </c>
      <c r="B73" s="208" t="s">
        <v>315</v>
      </c>
      <c r="C73" s="208">
        <v>2018</v>
      </c>
      <c r="D73" s="250" t="s">
        <v>414</v>
      </c>
      <c r="E73" s="237" t="s">
        <v>301</v>
      </c>
      <c r="F73" s="237" t="s">
        <v>302</v>
      </c>
      <c r="G73" s="216" t="s">
        <v>36</v>
      </c>
      <c r="H73" s="208" t="s">
        <v>155</v>
      </c>
      <c r="I73" s="216" t="s">
        <v>153</v>
      </c>
      <c r="J73" s="216" t="s">
        <v>38</v>
      </c>
      <c r="K73" s="216" t="s">
        <v>154</v>
      </c>
      <c r="L73" s="208">
        <v>3</v>
      </c>
      <c r="N73" s="208">
        <v>1</v>
      </c>
      <c r="O73" s="208">
        <v>0.7</v>
      </c>
      <c r="P73" s="208">
        <v>0.55000000000000004</v>
      </c>
      <c r="Q73" s="245">
        <f t="shared" si="0"/>
        <v>0.625</v>
      </c>
      <c r="R73" s="208">
        <v>13.2</v>
      </c>
      <c r="S73" s="208">
        <v>156</v>
      </c>
      <c r="T73" s="217">
        <f t="shared" si="1"/>
        <v>18</v>
      </c>
      <c r="U73" s="208">
        <v>138</v>
      </c>
      <c r="V73" s="217">
        <f t="shared" si="2"/>
        <v>2484</v>
      </c>
      <c r="W73" s="208">
        <v>3</v>
      </c>
      <c r="X73" s="216" t="s">
        <v>46</v>
      </c>
      <c r="Y73" s="216" t="s">
        <v>90</v>
      </c>
      <c r="Z73" s="216" t="s">
        <v>50</v>
      </c>
      <c r="AA73" s="216" t="s">
        <v>84</v>
      </c>
      <c r="AB73" s="216" t="s">
        <v>317</v>
      </c>
    </row>
    <row r="74" spans="1:28" x14ac:dyDescent="0.15">
      <c r="A74" s="216" t="s">
        <v>34</v>
      </c>
      <c r="B74" s="208" t="s">
        <v>315</v>
      </c>
      <c r="C74" s="208">
        <v>2018</v>
      </c>
      <c r="D74" s="250" t="s">
        <v>414</v>
      </c>
      <c r="E74" s="237" t="s">
        <v>301</v>
      </c>
      <c r="F74" s="237" t="s">
        <v>302</v>
      </c>
      <c r="G74" s="216" t="s">
        <v>36</v>
      </c>
      <c r="H74" s="208" t="s">
        <v>155</v>
      </c>
      <c r="I74" s="216" t="s">
        <v>153</v>
      </c>
      <c r="J74" s="216" t="s">
        <v>38</v>
      </c>
      <c r="K74" s="216" t="s">
        <v>154</v>
      </c>
      <c r="L74" s="216">
        <v>1</v>
      </c>
      <c r="N74" s="208">
        <v>4</v>
      </c>
      <c r="O74" s="208">
        <v>0.6</v>
      </c>
      <c r="P74" s="208">
        <v>0.55000000000000004</v>
      </c>
      <c r="Q74" s="245">
        <f t="shared" si="0"/>
        <v>0.57499999999999996</v>
      </c>
      <c r="R74" s="208">
        <v>9.8000000000000007</v>
      </c>
      <c r="S74" s="208">
        <v>90</v>
      </c>
      <c r="T74" s="217">
        <f t="shared" si="1"/>
        <v>36</v>
      </c>
      <c r="U74" s="208">
        <v>321</v>
      </c>
      <c r="V74" s="217">
        <f t="shared" si="2"/>
        <v>2889</v>
      </c>
      <c r="W74" s="208">
        <v>3</v>
      </c>
      <c r="X74" s="216" t="s">
        <v>46</v>
      </c>
      <c r="Y74" s="216" t="s">
        <v>90</v>
      </c>
      <c r="Z74" s="216" t="s">
        <v>50</v>
      </c>
      <c r="AA74" s="216" t="s">
        <v>84</v>
      </c>
      <c r="AB74" s="216" t="s">
        <v>317</v>
      </c>
    </row>
    <row r="75" spans="1:28" x14ac:dyDescent="0.15">
      <c r="A75" s="216" t="s">
        <v>34</v>
      </c>
      <c r="B75" s="208" t="s">
        <v>315</v>
      </c>
      <c r="C75" s="208">
        <v>2018</v>
      </c>
      <c r="D75" s="250" t="s">
        <v>414</v>
      </c>
      <c r="E75" s="237" t="s">
        <v>301</v>
      </c>
      <c r="F75" s="237" t="s">
        <v>302</v>
      </c>
      <c r="G75" s="216" t="s">
        <v>36</v>
      </c>
      <c r="H75" s="208" t="s">
        <v>155</v>
      </c>
      <c r="I75" s="216" t="s">
        <v>153</v>
      </c>
      <c r="J75" s="216" t="s">
        <v>38</v>
      </c>
      <c r="K75" s="216" t="s">
        <v>154</v>
      </c>
      <c r="L75" s="208">
        <v>2</v>
      </c>
      <c r="N75" s="208">
        <v>4</v>
      </c>
      <c r="O75" s="208">
        <v>0.6</v>
      </c>
      <c r="P75" s="208">
        <v>0.55000000000000004</v>
      </c>
      <c r="Q75" s="245">
        <f t="shared" si="0"/>
        <v>0.57499999999999996</v>
      </c>
      <c r="R75" s="208">
        <v>12.5</v>
      </c>
      <c r="S75" s="208">
        <v>90</v>
      </c>
      <c r="T75" s="217">
        <f t="shared" si="1"/>
        <v>36</v>
      </c>
      <c r="U75" s="208">
        <v>321</v>
      </c>
      <c r="V75" s="217">
        <f t="shared" si="2"/>
        <v>2889</v>
      </c>
      <c r="W75" s="208">
        <v>3</v>
      </c>
      <c r="X75" s="216" t="s">
        <v>46</v>
      </c>
      <c r="Y75" s="216" t="s">
        <v>90</v>
      </c>
      <c r="Z75" s="216" t="s">
        <v>50</v>
      </c>
      <c r="AA75" s="216" t="s">
        <v>84</v>
      </c>
      <c r="AB75" s="216" t="s">
        <v>317</v>
      </c>
    </row>
    <row r="76" spans="1:28" x14ac:dyDescent="0.15">
      <c r="A76" s="216" t="s">
        <v>34</v>
      </c>
      <c r="B76" s="208" t="s">
        <v>315</v>
      </c>
      <c r="C76" s="208">
        <v>2018</v>
      </c>
      <c r="D76" s="250" t="s">
        <v>414</v>
      </c>
      <c r="E76" s="237" t="s">
        <v>301</v>
      </c>
      <c r="F76" s="237" t="s">
        <v>302</v>
      </c>
      <c r="G76" s="216" t="s">
        <v>36</v>
      </c>
      <c r="H76" s="208" t="s">
        <v>155</v>
      </c>
      <c r="I76" s="216" t="s">
        <v>153</v>
      </c>
      <c r="J76" s="216" t="s">
        <v>38</v>
      </c>
      <c r="K76" s="216" t="s">
        <v>154</v>
      </c>
      <c r="L76" s="208">
        <v>3</v>
      </c>
      <c r="N76" s="208">
        <v>4</v>
      </c>
      <c r="O76" s="208">
        <v>0.7</v>
      </c>
      <c r="P76" s="208">
        <v>0.55000000000000004</v>
      </c>
      <c r="Q76" s="245">
        <f t="shared" si="0"/>
        <v>0.625</v>
      </c>
      <c r="R76" s="208">
        <v>13.7</v>
      </c>
      <c r="S76" s="208">
        <v>92</v>
      </c>
      <c r="T76" s="217">
        <f t="shared" si="1"/>
        <v>36</v>
      </c>
      <c r="U76" s="208">
        <v>321</v>
      </c>
      <c r="V76" s="217">
        <f t="shared" si="2"/>
        <v>2889</v>
      </c>
      <c r="W76" s="208">
        <v>3</v>
      </c>
      <c r="X76" s="216" t="s">
        <v>46</v>
      </c>
      <c r="Y76" s="216" t="s">
        <v>90</v>
      </c>
      <c r="Z76" s="216" t="s">
        <v>50</v>
      </c>
      <c r="AA76" s="216" t="s">
        <v>84</v>
      </c>
      <c r="AB76" s="216" t="s">
        <v>317</v>
      </c>
    </row>
    <row r="77" spans="1:28" x14ac:dyDescent="0.15">
      <c r="A77" s="216" t="s">
        <v>34</v>
      </c>
      <c r="B77" s="208" t="s">
        <v>315</v>
      </c>
      <c r="C77" s="208">
        <v>2018</v>
      </c>
      <c r="D77" s="250" t="s">
        <v>414</v>
      </c>
      <c r="E77" s="237" t="s">
        <v>301</v>
      </c>
      <c r="F77" s="237" t="s">
        <v>302</v>
      </c>
      <c r="G77" s="216" t="s">
        <v>36</v>
      </c>
      <c r="H77" s="208" t="s">
        <v>157</v>
      </c>
      <c r="I77" s="216" t="s">
        <v>153</v>
      </c>
      <c r="J77" s="216" t="s">
        <v>38</v>
      </c>
      <c r="K77" s="216" t="s">
        <v>154</v>
      </c>
      <c r="L77" s="216">
        <v>1</v>
      </c>
      <c r="N77" s="208">
        <v>1</v>
      </c>
      <c r="O77" s="208">
        <v>0.65</v>
      </c>
      <c r="P77" s="208">
        <v>0.6</v>
      </c>
      <c r="Q77" s="245">
        <f t="shared" si="0"/>
        <v>0.625</v>
      </c>
      <c r="R77" s="208">
        <v>14.2</v>
      </c>
      <c r="S77" s="208">
        <v>133</v>
      </c>
      <c r="T77" s="217">
        <f t="shared" si="1"/>
        <v>30</v>
      </c>
      <c r="U77" s="208">
        <v>108</v>
      </c>
      <c r="V77" s="217">
        <f t="shared" si="2"/>
        <v>3240</v>
      </c>
      <c r="W77" s="208">
        <v>4</v>
      </c>
      <c r="X77" s="216" t="s">
        <v>46</v>
      </c>
      <c r="Y77" s="216" t="s">
        <v>90</v>
      </c>
      <c r="Z77" s="216" t="s">
        <v>50</v>
      </c>
      <c r="AA77" s="216" t="s">
        <v>84</v>
      </c>
      <c r="AB77" s="216" t="s">
        <v>317</v>
      </c>
    </row>
    <row r="78" spans="1:28" x14ac:dyDescent="0.15">
      <c r="A78" s="216" t="s">
        <v>34</v>
      </c>
      <c r="B78" s="208" t="s">
        <v>315</v>
      </c>
      <c r="C78" s="208">
        <v>2018</v>
      </c>
      <c r="D78" s="250" t="s">
        <v>414</v>
      </c>
      <c r="E78" s="237" t="s">
        <v>301</v>
      </c>
      <c r="F78" s="237" t="s">
        <v>302</v>
      </c>
      <c r="G78" s="216" t="s">
        <v>36</v>
      </c>
      <c r="H78" s="208" t="s">
        <v>157</v>
      </c>
      <c r="I78" s="216" t="s">
        <v>153</v>
      </c>
      <c r="J78" s="216" t="s">
        <v>38</v>
      </c>
      <c r="K78" s="216" t="s">
        <v>154</v>
      </c>
      <c r="L78" s="208">
        <v>2</v>
      </c>
      <c r="N78" s="208">
        <v>1</v>
      </c>
      <c r="O78" s="208">
        <v>0.55000000000000004</v>
      </c>
      <c r="P78" s="208">
        <v>0.55000000000000004</v>
      </c>
      <c r="Q78" s="245">
        <f t="shared" si="0"/>
        <v>0.55000000000000004</v>
      </c>
      <c r="R78" s="208">
        <v>15.5</v>
      </c>
      <c r="S78" s="208">
        <v>138</v>
      </c>
      <c r="T78" s="217">
        <f t="shared" si="1"/>
        <v>30</v>
      </c>
      <c r="U78" s="208">
        <v>108</v>
      </c>
      <c r="V78" s="217">
        <f t="shared" si="2"/>
        <v>3240</v>
      </c>
      <c r="W78" s="208">
        <v>4</v>
      </c>
      <c r="X78" s="216" t="s">
        <v>46</v>
      </c>
      <c r="Y78" s="216" t="s">
        <v>90</v>
      </c>
      <c r="Z78" s="216" t="s">
        <v>50</v>
      </c>
      <c r="AA78" s="216" t="s">
        <v>84</v>
      </c>
      <c r="AB78" s="216" t="s">
        <v>317</v>
      </c>
    </row>
    <row r="79" spans="1:28" x14ac:dyDescent="0.15">
      <c r="A79" s="216" t="s">
        <v>34</v>
      </c>
      <c r="B79" s="208" t="s">
        <v>315</v>
      </c>
      <c r="C79" s="208">
        <v>2018</v>
      </c>
      <c r="D79" s="250" t="s">
        <v>414</v>
      </c>
      <c r="E79" s="237" t="s">
        <v>301</v>
      </c>
      <c r="F79" s="237" t="s">
        <v>302</v>
      </c>
      <c r="G79" s="216" t="s">
        <v>36</v>
      </c>
      <c r="H79" s="208" t="s">
        <v>157</v>
      </c>
      <c r="I79" s="216" t="s">
        <v>153</v>
      </c>
      <c r="J79" s="216" t="s">
        <v>38</v>
      </c>
      <c r="K79" s="216" t="s">
        <v>154</v>
      </c>
      <c r="L79" s="208">
        <v>3</v>
      </c>
      <c r="N79" s="208">
        <v>1</v>
      </c>
      <c r="O79" s="208">
        <v>0.2</v>
      </c>
      <c r="P79" s="208">
        <v>0.2</v>
      </c>
      <c r="Q79" s="245">
        <f t="shared" si="0"/>
        <v>0.2</v>
      </c>
      <c r="R79" s="208">
        <v>15.2</v>
      </c>
      <c r="S79" s="208">
        <v>134</v>
      </c>
      <c r="T79" s="217">
        <f t="shared" si="1"/>
        <v>30</v>
      </c>
      <c r="U79" s="208">
        <v>108</v>
      </c>
      <c r="V79" s="217">
        <f t="shared" si="2"/>
        <v>3240</v>
      </c>
      <c r="W79" s="208">
        <v>4</v>
      </c>
      <c r="X79" s="216" t="s">
        <v>46</v>
      </c>
      <c r="Y79" s="216" t="s">
        <v>90</v>
      </c>
      <c r="Z79" s="216" t="s">
        <v>50</v>
      </c>
      <c r="AA79" s="216" t="s">
        <v>84</v>
      </c>
      <c r="AB79" s="216" t="s">
        <v>317</v>
      </c>
    </row>
    <row r="80" spans="1:28" x14ac:dyDescent="0.15">
      <c r="A80" s="216" t="s">
        <v>34</v>
      </c>
      <c r="B80" s="208" t="s">
        <v>315</v>
      </c>
      <c r="C80" s="208">
        <v>2018</v>
      </c>
      <c r="D80" s="250" t="s">
        <v>414</v>
      </c>
      <c r="E80" s="237" t="s">
        <v>301</v>
      </c>
      <c r="F80" s="237" t="s">
        <v>302</v>
      </c>
      <c r="G80" s="216" t="s">
        <v>36</v>
      </c>
      <c r="H80" s="208" t="s">
        <v>157</v>
      </c>
      <c r="I80" s="216" t="s">
        <v>153</v>
      </c>
      <c r="J80" s="216" t="s">
        <v>38</v>
      </c>
      <c r="K80" s="216" t="s">
        <v>154</v>
      </c>
      <c r="L80" s="216">
        <v>1</v>
      </c>
      <c r="N80" s="208">
        <v>4</v>
      </c>
      <c r="O80" s="208">
        <v>0.2</v>
      </c>
      <c r="P80" s="208">
        <v>0.45</v>
      </c>
      <c r="Q80" s="245">
        <f t="shared" si="0"/>
        <v>0.32500000000000001</v>
      </c>
      <c r="R80" s="208">
        <v>16.5</v>
      </c>
      <c r="S80" s="208">
        <v>118</v>
      </c>
      <c r="T80" s="217">
        <f t="shared" si="1"/>
        <v>30</v>
      </c>
      <c r="U80" s="208">
        <v>429</v>
      </c>
      <c r="V80" s="217">
        <f t="shared" si="2"/>
        <v>3217.5</v>
      </c>
      <c r="W80" s="208">
        <v>4</v>
      </c>
      <c r="X80" s="216" t="s">
        <v>46</v>
      </c>
      <c r="Y80" s="216" t="s">
        <v>90</v>
      </c>
      <c r="Z80" s="216" t="s">
        <v>50</v>
      </c>
      <c r="AA80" s="216" t="s">
        <v>84</v>
      </c>
      <c r="AB80" s="216" t="s">
        <v>317</v>
      </c>
    </row>
    <row r="81" spans="1:28" x14ac:dyDescent="0.15">
      <c r="A81" s="216" t="s">
        <v>34</v>
      </c>
      <c r="B81" s="208" t="s">
        <v>315</v>
      </c>
      <c r="C81" s="208">
        <v>2018</v>
      </c>
      <c r="D81" s="250" t="s">
        <v>414</v>
      </c>
      <c r="E81" s="237" t="s">
        <v>301</v>
      </c>
      <c r="F81" s="237" t="s">
        <v>302</v>
      </c>
      <c r="G81" s="216" t="s">
        <v>36</v>
      </c>
      <c r="H81" s="208" t="s">
        <v>157</v>
      </c>
      <c r="I81" s="216" t="s">
        <v>153</v>
      </c>
      <c r="J81" s="216" t="s">
        <v>38</v>
      </c>
      <c r="K81" s="216" t="s">
        <v>154</v>
      </c>
      <c r="L81" s="208">
        <v>2</v>
      </c>
      <c r="N81" s="208">
        <v>4</v>
      </c>
      <c r="O81" s="208">
        <v>0.5</v>
      </c>
      <c r="P81" s="208">
        <v>0.55000000000000004</v>
      </c>
      <c r="Q81" s="245">
        <f t="shared" si="0"/>
        <v>0.52500000000000002</v>
      </c>
      <c r="R81" s="208">
        <v>14.3</v>
      </c>
      <c r="S81" s="208">
        <v>112</v>
      </c>
      <c r="T81" s="217">
        <f t="shared" si="1"/>
        <v>33</v>
      </c>
      <c r="U81" s="208">
        <v>429</v>
      </c>
      <c r="V81" s="217">
        <f t="shared" si="2"/>
        <v>3539.25</v>
      </c>
      <c r="W81" s="208">
        <v>4</v>
      </c>
      <c r="X81" s="216" t="s">
        <v>46</v>
      </c>
      <c r="Y81" s="216" t="s">
        <v>90</v>
      </c>
      <c r="Z81" s="216" t="s">
        <v>50</v>
      </c>
      <c r="AA81" s="216" t="s">
        <v>84</v>
      </c>
      <c r="AB81" s="216" t="s">
        <v>317</v>
      </c>
    </row>
    <row r="82" spans="1:28" x14ac:dyDescent="0.15">
      <c r="A82" s="216" t="s">
        <v>34</v>
      </c>
      <c r="B82" s="208" t="s">
        <v>315</v>
      </c>
      <c r="C82" s="208">
        <v>2018</v>
      </c>
      <c r="D82" s="250" t="s">
        <v>414</v>
      </c>
      <c r="E82" s="237" t="s">
        <v>301</v>
      </c>
      <c r="F82" s="237" t="s">
        <v>302</v>
      </c>
      <c r="G82" s="216" t="s">
        <v>36</v>
      </c>
      <c r="H82" s="208" t="s">
        <v>157</v>
      </c>
      <c r="I82" s="216" t="s">
        <v>153</v>
      </c>
      <c r="J82" s="216" t="s">
        <v>38</v>
      </c>
      <c r="K82" s="216" t="s">
        <v>154</v>
      </c>
      <c r="L82" s="208">
        <v>3</v>
      </c>
      <c r="N82" s="208">
        <v>4</v>
      </c>
      <c r="O82" s="208">
        <v>0.5</v>
      </c>
      <c r="P82" s="208">
        <v>0.5</v>
      </c>
      <c r="Q82" s="245">
        <f t="shared" si="0"/>
        <v>0.5</v>
      </c>
      <c r="R82" s="208">
        <v>13.2</v>
      </c>
      <c r="S82" s="208">
        <v>118</v>
      </c>
      <c r="T82" s="217">
        <f t="shared" si="1"/>
        <v>30</v>
      </c>
      <c r="U82" s="208">
        <v>429</v>
      </c>
      <c r="V82" s="217">
        <f t="shared" si="2"/>
        <v>3217.5</v>
      </c>
      <c r="W82" s="208">
        <v>4</v>
      </c>
      <c r="X82" s="216" t="s">
        <v>46</v>
      </c>
      <c r="Y82" s="216" t="s">
        <v>90</v>
      </c>
      <c r="Z82" s="216" t="s">
        <v>50</v>
      </c>
      <c r="AA82" s="216" t="s">
        <v>84</v>
      </c>
      <c r="AB82" s="216" t="s">
        <v>317</v>
      </c>
    </row>
    <row r="83" spans="1:28" x14ac:dyDescent="0.15">
      <c r="A83" s="216" t="s">
        <v>34</v>
      </c>
      <c r="B83" s="208" t="s">
        <v>315</v>
      </c>
      <c r="C83" s="208">
        <v>2018</v>
      </c>
      <c r="D83" s="250" t="s">
        <v>414</v>
      </c>
      <c r="E83" s="237" t="s">
        <v>303</v>
      </c>
      <c r="F83" s="237" t="s">
        <v>304</v>
      </c>
      <c r="G83" s="216" t="s">
        <v>36</v>
      </c>
      <c r="H83" s="208" t="s">
        <v>155</v>
      </c>
      <c r="I83" s="216" t="s">
        <v>153</v>
      </c>
      <c r="J83" s="216" t="s">
        <v>38</v>
      </c>
      <c r="K83" s="216" t="s">
        <v>154</v>
      </c>
      <c r="L83" s="216">
        <v>1</v>
      </c>
      <c r="N83" s="208">
        <v>1</v>
      </c>
      <c r="O83" s="208">
        <v>0.85</v>
      </c>
      <c r="P83" s="208">
        <v>0.9</v>
      </c>
      <c r="Q83" s="245">
        <f t="shared" ref="Q83:Q112" si="5">IF(OR(O83="",P83=""),"",AVERAGE(O83,P83))</f>
        <v>0.875</v>
      </c>
      <c r="R83" s="208">
        <v>14</v>
      </c>
      <c r="S83" s="208">
        <v>117</v>
      </c>
      <c r="T83" s="217">
        <f t="shared" si="1"/>
        <v>30</v>
      </c>
      <c r="U83" s="208">
        <v>97</v>
      </c>
      <c r="V83" s="217">
        <f t="shared" si="2"/>
        <v>2910</v>
      </c>
      <c r="W83" s="208">
        <v>3</v>
      </c>
      <c r="X83" s="216" t="s">
        <v>46</v>
      </c>
      <c r="Y83" s="208" t="s">
        <v>84</v>
      </c>
      <c r="Z83" s="208" t="s">
        <v>50</v>
      </c>
      <c r="AA83" s="208" t="s">
        <v>78</v>
      </c>
      <c r="AB83" s="216" t="s">
        <v>317</v>
      </c>
    </row>
    <row r="84" spans="1:28" x14ac:dyDescent="0.15">
      <c r="A84" s="216" t="s">
        <v>34</v>
      </c>
      <c r="B84" s="208" t="s">
        <v>315</v>
      </c>
      <c r="C84" s="208">
        <v>2018</v>
      </c>
      <c r="D84" s="250" t="s">
        <v>414</v>
      </c>
      <c r="E84" s="237" t="s">
        <v>303</v>
      </c>
      <c r="F84" s="237" t="s">
        <v>304</v>
      </c>
      <c r="G84" s="216" t="s">
        <v>36</v>
      </c>
      <c r="H84" s="208" t="s">
        <v>155</v>
      </c>
      <c r="I84" s="216" t="s">
        <v>153</v>
      </c>
      <c r="J84" s="216" t="s">
        <v>38</v>
      </c>
      <c r="K84" s="216" t="s">
        <v>154</v>
      </c>
      <c r="L84" s="208">
        <v>2</v>
      </c>
      <c r="N84" s="208">
        <v>1</v>
      </c>
      <c r="O84" s="208">
        <v>0.6</v>
      </c>
      <c r="P84" s="208">
        <v>0.5</v>
      </c>
      <c r="Q84" s="245">
        <f t="shared" si="5"/>
        <v>0.55000000000000004</v>
      </c>
      <c r="R84" s="208">
        <v>14.6</v>
      </c>
      <c r="S84" s="208">
        <v>111</v>
      </c>
      <c r="T84" s="217">
        <f t="shared" si="1"/>
        <v>33</v>
      </c>
      <c r="U84" s="208">
        <v>97</v>
      </c>
      <c r="V84" s="217">
        <f t="shared" si="2"/>
        <v>3201</v>
      </c>
      <c r="W84" s="208">
        <v>3</v>
      </c>
      <c r="X84" s="216" t="s">
        <v>46</v>
      </c>
      <c r="Y84" s="208" t="s">
        <v>84</v>
      </c>
      <c r="Z84" s="208" t="s">
        <v>50</v>
      </c>
      <c r="AA84" s="208" t="s">
        <v>78</v>
      </c>
      <c r="AB84" s="216" t="s">
        <v>317</v>
      </c>
    </row>
    <row r="85" spans="1:28" x14ac:dyDescent="0.15">
      <c r="A85" s="216" t="s">
        <v>34</v>
      </c>
      <c r="B85" s="208" t="s">
        <v>315</v>
      </c>
      <c r="C85" s="208">
        <v>2018</v>
      </c>
      <c r="D85" s="250" t="s">
        <v>414</v>
      </c>
      <c r="E85" s="237" t="s">
        <v>303</v>
      </c>
      <c r="F85" s="237" t="s">
        <v>304</v>
      </c>
      <c r="G85" s="216" t="s">
        <v>36</v>
      </c>
      <c r="H85" s="208" t="s">
        <v>155</v>
      </c>
      <c r="I85" s="216" t="s">
        <v>153</v>
      </c>
      <c r="J85" s="216" t="s">
        <v>38</v>
      </c>
      <c r="K85" s="216" t="s">
        <v>154</v>
      </c>
      <c r="L85" s="208">
        <v>3</v>
      </c>
      <c r="N85" s="208">
        <v>1</v>
      </c>
      <c r="O85" s="208">
        <v>0.65</v>
      </c>
      <c r="P85" s="208">
        <v>0.7</v>
      </c>
      <c r="Q85" s="217">
        <f t="shared" si="5"/>
        <v>0.67500000000000004</v>
      </c>
      <c r="R85" s="208">
        <v>14</v>
      </c>
      <c r="S85" s="208">
        <v>134</v>
      </c>
      <c r="T85" s="217">
        <f t="shared" si="1"/>
        <v>30</v>
      </c>
      <c r="U85" s="208">
        <v>97</v>
      </c>
      <c r="V85" s="217">
        <f t="shared" si="2"/>
        <v>2910</v>
      </c>
      <c r="W85" s="208">
        <v>3</v>
      </c>
      <c r="X85" s="216" t="s">
        <v>46</v>
      </c>
      <c r="Y85" s="208" t="s">
        <v>84</v>
      </c>
      <c r="Z85" s="208" t="s">
        <v>50</v>
      </c>
      <c r="AA85" s="208" t="s">
        <v>78</v>
      </c>
      <c r="AB85" s="216" t="s">
        <v>317</v>
      </c>
    </row>
    <row r="86" spans="1:28" x14ac:dyDescent="0.15">
      <c r="A86" s="216" t="s">
        <v>34</v>
      </c>
      <c r="B86" s="208" t="s">
        <v>315</v>
      </c>
      <c r="C86" s="208">
        <v>2018</v>
      </c>
      <c r="D86" s="250" t="s">
        <v>414</v>
      </c>
      <c r="E86" s="237" t="s">
        <v>303</v>
      </c>
      <c r="F86" s="237" t="s">
        <v>304</v>
      </c>
      <c r="G86" s="216" t="s">
        <v>36</v>
      </c>
      <c r="H86" s="208" t="s">
        <v>155</v>
      </c>
      <c r="I86" s="216" t="s">
        <v>153</v>
      </c>
      <c r="J86" s="216" t="s">
        <v>38</v>
      </c>
      <c r="K86" s="216" t="s">
        <v>154</v>
      </c>
      <c r="L86" s="216">
        <v>1</v>
      </c>
      <c r="N86" s="208">
        <v>8</v>
      </c>
      <c r="O86" s="208">
        <v>0.7</v>
      </c>
      <c r="P86" s="208">
        <v>0.65</v>
      </c>
      <c r="Q86" s="217">
        <f t="shared" si="5"/>
        <v>0.67500000000000004</v>
      </c>
      <c r="R86" s="208">
        <v>10.4</v>
      </c>
      <c r="S86" s="208">
        <v>95</v>
      </c>
      <c r="T86" s="217">
        <f t="shared" si="1"/>
        <v>36</v>
      </c>
      <c r="U86" s="208">
        <v>538</v>
      </c>
      <c r="V86" s="217">
        <f t="shared" si="2"/>
        <v>2421</v>
      </c>
      <c r="W86" s="208">
        <v>3</v>
      </c>
      <c r="X86" s="216" t="s">
        <v>46</v>
      </c>
      <c r="Y86" s="208" t="s">
        <v>84</v>
      </c>
      <c r="Z86" s="208" t="s">
        <v>50</v>
      </c>
      <c r="AA86" s="208" t="s">
        <v>78</v>
      </c>
      <c r="AB86" s="216" t="s">
        <v>317</v>
      </c>
    </row>
    <row r="87" spans="1:28" x14ac:dyDescent="0.15">
      <c r="A87" s="216" t="s">
        <v>34</v>
      </c>
      <c r="B87" s="208" t="s">
        <v>315</v>
      </c>
      <c r="C87" s="208">
        <v>2018</v>
      </c>
      <c r="D87" s="250" t="s">
        <v>414</v>
      </c>
      <c r="E87" s="237" t="s">
        <v>303</v>
      </c>
      <c r="F87" s="237" t="s">
        <v>304</v>
      </c>
      <c r="G87" s="216" t="s">
        <v>36</v>
      </c>
      <c r="H87" s="208" t="s">
        <v>155</v>
      </c>
      <c r="I87" s="216" t="s">
        <v>153</v>
      </c>
      <c r="J87" s="216" t="s">
        <v>38</v>
      </c>
      <c r="K87" s="216" t="s">
        <v>154</v>
      </c>
      <c r="L87" s="208">
        <v>2</v>
      </c>
      <c r="N87" s="208">
        <v>8</v>
      </c>
      <c r="O87" s="208">
        <v>0.6</v>
      </c>
      <c r="P87" s="208">
        <v>0.6</v>
      </c>
      <c r="Q87" s="217">
        <f t="shared" si="5"/>
        <v>0.6</v>
      </c>
      <c r="R87" s="208">
        <v>13.6</v>
      </c>
      <c r="S87" s="208">
        <v>100</v>
      </c>
      <c r="T87" s="217">
        <f t="shared" si="1"/>
        <v>33</v>
      </c>
      <c r="U87" s="208">
        <v>538</v>
      </c>
      <c r="V87" s="217">
        <f t="shared" si="2"/>
        <v>2219.25</v>
      </c>
      <c r="W87" s="208">
        <v>3</v>
      </c>
      <c r="X87" s="216" t="s">
        <v>46</v>
      </c>
      <c r="Y87" s="208" t="s">
        <v>84</v>
      </c>
      <c r="Z87" s="208" t="s">
        <v>50</v>
      </c>
      <c r="AA87" s="208" t="s">
        <v>78</v>
      </c>
      <c r="AB87" s="216" t="s">
        <v>317</v>
      </c>
    </row>
    <row r="88" spans="1:28" x14ac:dyDescent="0.15">
      <c r="A88" s="216" t="s">
        <v>34</v>
      </c>
      <c r="B88" s="208" t="s">
        <v>315</v>
      </c>
      <c r="C88" s="208">
        <v>2018</v>
      </c>
      <c r="D88" s="250" t="s">
        <v>414</v>
      </c>
      <c r="E88" s="237" t="s">
        <v>303</v>
      </c>
      <c r="F88" s="237" t="s">
        <v>304</v>
      </c>
      <c r="G88" s="216" t="s">
        <v>36</v>
      </c>
      <c r="H88" s="208" t="s">
        <v>155</v>
      </c>
      <c r="I88" s="216" t="s">
        <v>153</v>
      </c>
      <c r="J88" s="216" t="s">
        <v>38</v>
      </c>
      <c r="K88" s="216" t="s">
        <v>154</v>
      </c>
      <c r="L88" s="208">
        <v>3</v>
      </c>
      <c r="N88" s="208">
        <v>8</v>
      </c>
      <c r="O88" s="208">
        <v>0.8</v>
      </c>
      <c r="P88" s="208">
        <v>1</v>
      </c>
      <c r="Q88" s="217">
        <f t="shared" si="5"/>
        <v>0.9</v>
      </c>
      <c r="R88" s="208">
        <v>13.5</v>
      </c>
      <c r="S88" s="208">
        <v>101</v>
      </c>
      <c r="T88" s="217">
        <f t="shared" si="1"/>
        <v>33</v>
      </c>
      <c r="U88" s="208">
        <v>538</v>
      </c>
      <c r="V88" s="217">
        <f t="shared" si="2"/>
        <v>2219.25</v>
      </c>
      <c r="W88" s="208">
        <v>3</v>
      </c>
      <c r="X88" s="216" t="s">
        <v>46</v>
      </c>
      <c r="Y88" s="208" t="s">
        <v>84</v>
      </c>
      <c r="Z88" s="208" t="s">
        <v>50</v>
      </c>
      <c r="AA88" s="208" t="s">
        <v>78</v>
      </c>
      <c r="AB88" s="216" t="s">
        <v>317</v>
      </c>
    </row>
    <row r="89" spans="1:28" x14ac:dyDescent="0.15">
      <c r="A89" s="216" t="s">
        <v>34</v>
      </c>
      <c r="B89" s="208" t="s">
        <v>315</v>
      </c>
      <c r="C89" s="208">
        <v>2018</v>
      </c>
      <c r="D89" s="250" t="s">
        <v>414</v>
      </c>
      <c r="E89" s="237" t="s">
        <v>303</v>
      </c>
      <c r="F89" s="237" t="s">
        <v>304</v>
      </c>
      <c r="G89" s="216" t="s">
        <v>36</v>
      </c>
      <c r="H89" s="208" t="s">
        <v>157</v>
      </c>
      <c r="I89" s="216" t="s">
        <v>153</v>
      </c>
      <c r="J89" s="216" t="s">
        <v>38</v>
      </c>
      <c r="K89" s="216" t="s">
        <v>154</v>
      </c>
      <c r="L89" s="216">
        <v>1</v>
      </c>
      <c r="N89" s="208">
        <v>1</v>
      </c>
      <c r="O89" s="208">
        <v>0.2</v>
      </c>
      <c r="P89" s="208">
        <v>0.55000000000000004</v>
      </c>
      <c r="Q89" s="217">
        <f t="shared" si="5"/>
        <v>0.375</v>
      </c>
      <c r="R89" s="208">
        <v>15.9</v>
      </c>
      <c r="S89" s="208">
        <v>153</v>
      </c>
      <c r="T89" s="217">
        <f t="shared" si="1"/>
        <v>18</v>
      </c>
      <c r="U89" s="208">
        <v>107</v>
      </c>
      <c r="V89" s="217">
        <f t="shared" si="2"/>
        <v>1926</v>
      </c>
      <c r="W89" s="208">
        <v>4</v>
      </c>
      <c r="X89" s="216" t="s">
        <v>46</v>
      </c>
      <c r="Y89" s="208" t="s">
        <v>84</v>
      </c>
      <c r="Z89" s="208" t="s">
        <v>50</v>
      </c>
      <c r="AA89" s="208" t="s">
        <v>78</v>
      </c>
      <c r="AB89" s="216" t="s">
        <v>317</v>
      </c>
    </row>
    <row r="90" spans="1:28" x14ac:dyDescent="0.15">
      <c r="A90" s="216" t="s">
        <v>34</v>
      </c>
      <c r="B90" s="208" t="s">
        <v>315</v>
      </c>
      <c r="C90" s="208">
        <v>2018</v>
      </c>
      <c r="D90" s="250" t="s">
        <v>414</v>
      </c>
      <c r="E90" s="237" t="s">
        <v>303</v>
      </c>
      <c r="F90" s="237" t="s">
        <v>304</v>
      </c>
      <c r="G90" s="216" t="s">
        <v>36</v>
      </c>
      <c r="H90" s="208" t="s">
        <v>157</v>
      </c>
      <c r="I90" s="216" t="s">
        <v>153</v>
      </c>
      <c r="J90" s="216" t="s">
        <v>38</v>
      </c>
      <c r="K90" s="216" t="s">
        <v>154</v>
      </c>
      <c r="L90" s="208">
        <v>2</v>
      </c>
      <c r="N90" s="208">
        <v>1</v>
      </c>
      <c r="O90" s="208">
        <v>0.2</v>
      </c>
      <c r="P90" s="208">
        <v>0.6</v>
      </c>
      <c r="Q90" s="217">
        <f t="shared" si="5"/>
        <v>0.4</v>
      </c>
      <c r="R90" s="208">
        <v>15.9</v>
      </c>
      <c r="S90" s="208">
        <v>148</v>
      </c>
      <c r="T90" s="217">
        <f t="shared" si="1"/>
        <v>30</v>
      </c>
      <c r="U90" s="208">
        <v>107</v>
      </c>
      <c r="V90" s="217">
        <f t="shared" si="2"/>
        <v>3210</v>
      </c>
      <c r="W90" s="208">
        <v>4</v>
      </c>
      <c r="X90" s="216" t="s">
        <v>46</v>
      </c>
      <c r="Y90" s="208" t="s">
        <v>84</v>
      </c>
      <c r="Z90" s="208" t="s">
        <v>50</v>
      </c>
      <c r="AA90" s="208" t="s">
        <v>78</v>
      </c>
      <c r="AB90" s="216" t="s">
        <v>317</v>
      </c>
    </row>
    <row r="91" spans="1:28" x14ac:dyDescent="0.15">
      <c r="A91" s="216" t="s">
        <v>34</v>
      </c>
      <c r="B91" s="208" t="s">
        <v>315</v>
      </c>
      <c r="C91" s="208">
        <v>2018</v>
      </c>
      <c r="D91" s="250" t="s">
        <v>414</v>
      </c>
      <c r="E91" s="237" t="s">
        <v>303</v>
      </c>
      <c r="F91" s="237" t="s">
        <v>304</v>
      </c>
      <c r="G91" s="216" t="s">
        <v>36</v>
      </c>
      <c r="H91" s="208" t="s">
        <v>157</v>
      </c>
      <c r="I91" s="216" t="s">
        <v>153</v>
      </c>
      <c r="J91" s="216" t="s">
        <v>38</v>
      </c>
      <c r="K91" s="216" t="s">
        <v>154</v>
      </c>
      <c r="L91" s="208">
        <v>3</v>
      </c>
      <c r="N91" s="208">
        <v>1</v>
      </c>
      <c r="O91" s="208">
        <v>0.65</v>
      </c>
      <c r="P91" s="208">
        <v>0.6</v>
      </c>
      <c r="Q91" s="217">
        <f t="shared" si="5"/>
        <v>0.625</v>
      </c>
      <c r="R91" s="208">
        <v>16.5</v>
      </c>
      <c r="S91" s="208">
        <v>159</v>
      </c>
      <c r="T91" s="217">
        <f t="shared" si="1"/>
        <v>18</v>
      </c>
      <c r="U91" s="208">
        <v>107</v>
      </c>
      <c r="V91" s="217">
        <f t="shared" si="2"/>
        <v>1926</v>
      </c>
      <c r="W91" s="208">
        <v>4</v>
      </c>
      <c r="X91" s="216" t="s">
        <v>46</v>
      </c>
      <c r="Y91" s="208" t="s">
        <v>84</v>
      </c>
      <c r="Z91" s="208" t="s">
        <v>50</v>
      </c>
      <c r="AA91" s="208" t="s">
        <v>78</v>
      </c>
      <c r="AB91" s="216" t="s">
        <v>317</v>
      </c>
    </row>
    <row r="92" spans="1:28" x14ac:dyDescent="0.15">
      <c r="A92" s="216" t="s">
        <v>34</v>
      </c>
      <c r="B92" s="208" t="s">
        <v>315</v>
      </c>
      <c r="C92" s="208">
        <v>2018</v>
      </c>
      <c r="D92" s="250" t="s">
        <v>414</v>
      </c>
      <c r="E92" s="237" t="s">
        <v>303</v>
      </c>
      <c r="F92" s="237" t="s">
        <v>304</v>
      </c>
      <c r="G92" s="216" t="s">
        <v>36</v>
      </c>
      <c r="H92" s="208" t="s">
        <v>157</v>
      </c>
      <c r="I92" s="216" t="s">
        <v>153</v>
      </c>
      <c r="J92" s="216" t="s">
        <v>38</v>
      </c>
      <c r="K92" s="216" t="s">
        <v>154</v>
      </c>
      <c r="L92" s="216">
        <v>1</v>
      </c>
      <c r="N92" s="208">
        <v>5</v>
      </c>
      <c r="O92" s="208">
        <v>0.2</v>
      </c>
      <c r="P92" s="208">
        <v>0.2</v>
      </c>
      <c r="Q92" s="217">
        <f t="shared" si="5"/>
        <v>0.2</v>
      </c>
      <c r="R92" s="208">
        <v>10.3</v>
      </c>
      <c r="S92" s="208">
        <v>46</v>
      </c>
      <c r="T92" s="217">
        <f t="shared" si="1"/>
        <v>50</v>
      </c>
      <c r="U92" s="208">
        <v>486</v>
      </c>
      <c r="V92" s="217">
        <f t="shared" si="2"/>
        <v>4860</v>
      </c>
      <c r="W92" s="208">
        <v>1</v>
      </c>
      <c r="X92" s="216" t="s">
        <v>46</v>
      </c>
      <c r="Y92" s="208" t="s">
        <v>84</v>
      </c>
      <c r="Z92" s="208" t="s">
        <v>50</v>
      </c>
      <c r="AA92" s="208" t="s">
        <v>78</v>
      </c>
      <c r="AB92" s="216" t="s">
        <v>317</v>
      </c>
    </row>
    <row r="93" spans="1:28" x14ac:dyDescent="0.15">
      <c r="A93" s="216" t="s">
        <v>34</v>
      </c>
      <c r="B93" s="208" t="s">
        <v>315</v>
      </c>
      <c r="C93" s="208">
        <v>2018</v>
      </c>
      <c r="D93" s="250" t="s">
        <v>414</v>
      </c>
      <c r="E93" s="237" t="s">
        <v>303</v>
      </c>
      <c r="F93" s="237" t="s">
        <v>304</v>
      </c>
      <c r="G93" s="216" t="s">
        <v>36</v>
      </c>
      <c r="H93" s="208" t="s">
        <v>157</v>
      </c>
      <c r="I93" s="216" t="s">
        <v>153</v>
      </c>
      <c r="J93" s="216" t="s">
        <v>38</v>
      </c>
      <c r="K93" s="216" t="s">
        <v>154</v>
      </c>
      <c r="L93" s="208">
        <v>2</v>
      </c>
      <c r="N93" s="208">
        <v>5</v>
      </c>
      <c r="O93" s="208">
        <v>0.2</v>
      </c>
      <c r="P93" s="208">
        <v>0.2</v>
      </c>
      <c r="Q93" s="217">
        <f t="shared" si="5"/>
        <v>0.2</v>
      </c>
      <c r="R93" s="208">
        <v>16</v>
      </c>
      <c r="S93" s="208">
        <v>73</v>
      </c>
      <c r="T93" s="217">
        <f t="shared" si="1"/>
        <v>42</v>
      </c>
      <c r="U93" s="208">
        <v>486</v>
      </c>
      <c r="V93" s="217">
        <f t="shared" si="2"/>
        <v>4082.4</v>
      </c>
      <c r="W93" s="208">
        <v>1</v>
      </c>
      <c r="X93" s="216" t="s">
        <v>46</v>
      </c>
      <c r="Y93" s="208" t="s">
        <v>84</v>
      </c>
      <c r="Z93" s="208" t="s">
        <v>50</v>
      </c>
      <c r="AA93" s="208" t="s">
        <v>78</v>
      </c>
      <c r="AB93" s="216" t="s">
        <v>317</v>
      </c>
    </row>
    <row r="94" spans="1:28" x14ac:dyDescent="0.15">
      <c r="A94" s="216" t="s">
        <v>34</v>
      </c>
      <c r="B94" s="208" t="s">
        <v>315</v>
      </c>
      <c r="C94" s="208">
        <v>2018</v>
      </c>
      <c r="D94" s="250" t="s">
        <v>414</v>
      </c>
      <c r="E94" s="237" t="s">
        <v>303</v>
      </c>
      <c r="F94" s="237" t="s">
        <v>304</v>
      </c>
      <c r="G94" s="216" t="s">
        <v>36</v>
      </c>
      <c r="H94" s="208" t="s">
        <v>157</v>
      </c>
      <c r="I94" s="216" t="s">
        <v>153</v>
      </c>
      <c r="J94" s="216" t="s">
        <v>38</v>
      </c>
      <c r="K94" s="216" t="s">
        <v>154</v>
      </c>
      <c r="L94" s="208">
        <v>3</v>
      </c>
      <c r="N94" s="208">
        <v>5</v>
      </c>
      <c r="O94" s="208">
        <v>0.2</v>
      </c>
      <c r="P94" s="208">
        <v>0.2</v>
      </c>
      <c r="Q94" s="217">
        <f t="shared" si="5"/>
        <v>0.2</v>
      </c>
      <c r="R94" s="208">
        <v>17.600000000000001</v>
      </c>
      <c r="S94" s="208">
        <v>72</v>
      </c>
      <c r="T94" s="217">
        <f t="shared" si="1"/>
        <v>42</v>
      </c>
      <c r="U94" s="208">
        <v>486</v>
      </c>
      <c r="V94" s="217">
        <f t="shared" si="2"/>
        <v>4082.4</v>
      </c>
      <c r="W94" s="208">
        <v>1</v>
      </c>
      <c r="X94" s="216" t="s">
        <v>46</v>
      </c>
      <c r="Y94" s="208" t="s">
        <v>84</v>
      </c>
      <c r="Z94" s="208" t="s">
        <v>50</v>
      </c>
      <c r="AA94" s="208" t="s">
        <v>78</v>
      </c>
      <c r="AB94" s="216" t="s">
        <v>317</v>
      </c>
    </row>
    <row r="95" spans="1:28" x14ac:dyDescent="0.15">
      <c r="A95" s="216" t="s">
        <v>34</v>
      </c>
      <c r="B95" s="208" t="s">
        <v>315</v>
      </c>
      <c r="C95" s="208">
        <v>2018</v>
      </c>
      <c r="D95" s="250" t="s">
        <v>414</v>
      </c>
      <c r="E95" s="237" t="s">
        <v>305</v>
      </c>
      <c r="F95" s="237" t="s">
        <v>306</v>
      </c>
      <c r="G95" s="216" t="s">
        <v>36</v>
      </c>
      <c r="H95" s="208" t="s">
        <v>155</v>
      </c>
      <c r="I95" s="216" t="s">
        <v>153</v>
      </c>
      <c r="J95" s="216" t="s">
        <v>38</v>
      </c>
      <c r="K95" s="216" t="s">
        <v>154</v>
      </c>
      <c r="L95" s="216">
        <v>1</v>
      </c>
      <c r="N95" s="208">
        <v>1</v>
      </c>
      <c r="O95" s="208">
        <v>0.2</v>
      </c>
      <c r="P95" s="208">
        <v>0.2</v>
      </c>
      <c r="Q95" s="217">
        <f t="shared" si="5"/>
        <v>0.2</v>
      </c>
      <c r="R95" s="208">
        <v>15.7</v>
      </c>
      <c r="S95" s="208">
        <v>127</v>
      </c>
      <c r="T95" s="217">
        <f t="shared" si="1"/>
        <v>30</v>
      </c>
      <c r="U95" s="208">
        <v>99</v>
      </c>
      <c r="V95" s="217">
        <f t="shared" si="2"/>
        <v>2970</v>
      </c>
      <c r="W95" s="208">
        <v>7</v>
      </c>
      <c r="X95" s="216" t="s">
        <v>46</v>
      </c>
      <c r="Y95" s="208" t="s">
        <v>90</v>
      </c>
      <c r="Z95" s="208" t="s">
        <v>84</v>
      </c>
      <c r="AA95" s="208" t="s">
        <v>50</v>
      </c>
      <c r="AB95" s="216" t="s">
        <v>317</v>
      </c>
    </row>
    <row r="96" spans="1:28" x14ac:dyDescent="0.15">
      <c r="A96" s="216" t="s">
        <v>34</v>
      </c>
      <c r="B96" s="208" t="s">
        <v>315</v>
      </c>
      <c r="C96" s="208">
        <v>2018</v>
      </c>
      <c r="D96" s="250" t="s">
        <v>414</v>
      </c>
      <c r="E96" s="237" t="s">
        <v>305</v>
      </c>
      <c r="F96" s="237" t="s">
        <v>306</v>
      </c>
      <c r="G96" s="216" t="s">
        <v>36</v>
      </c>
      <c r="H96" s="208" t="s">
        <v>155</v>
      </c>
      <c r="I96" s="216" t="s">
        <v>153</v>
      </c>
      <c r="J96" s="216" t="s">
        <v>38</v>
      </c>
      <c r="K96" s="216" t="s">
        <v>154</v>
      </c>
      <c r="L96" s="208">
        <v>2</v>
      </c>
      <c r="N96" s="208">
        <v>1</v>
      </c>
      <c r="O96" s="208">
        <v>0.6</v>
      </c>
      <c r="P96" s="208">
        <v>0.6</v>
      </c>
      <c r="Q96" s="217">
        <f t="shared" si="5"/>
        <v>0.6</v>
      </c>
      <c r="R96" s="208">
        <v>14.7</v>
      </c>
      <c r="S96" s="208">
        <v>123</v>
      </c>
      <c r="T96" s="217">
        <f t="shared" si="1"/>
        <v>30</v>
      </c>
      <c r="U96" s="208">
        <v>99</v>
      </c>
      <c r="V96" s="217">
        <f t="shared" si="2"/>
        <v>2970</v>
      </c>
      <c r="W96" s="208">
        <v>7</v>
      </c>
      <c r="X96" s="216" t="s">
        <v>46</v>
      </c>
      <c r="Y96" s="208" t="s">
        <v>90</v>
      </c>
      <c r="Z96" s="208" t="s">
        <v>84</v>
      </c>
      <c r="AA96" s="208" t="s">
        <v>50</v>
      </c>
      <c r="AB96" s="216" t="s">
        <v>317</v>
      </c>
    </row>
    <row r="97" spans="1:28" x14ac:dyDescent="0.15">
      <c r="A97" s="216" t="s">
        <v>34</v>
      </c>
      <c r="B97" s="208" t="s">
        <v>315</v>
      </c>
      <c r="C97" s="208">
        <v>2018</v>
      </c>
      <c r="D97" s="250" t="s">
        <v>414</v>
      </c>
      <c r="E97" s="237" t="s">
        <v>305</v>
      </c>
      <c r="F97" s="237" t="s">
        <v>306</v>
      </c>
      <c r="G97" s="216" t="s">
        <v>36</v>
      </c>
      <c r="H97" s="208" t="s">
        <v>155</v>
      </c>
      <c r="I97" s="216" t="s">
        <v>153</v>
      </c>
      <c r="J97" s="216" t="s">
        <v>38</v>
      </c>
      <c r="K97" s="216" t="s">
        <v>154</v>
      </c>
      <c r="L97" s="208">
        <v>3</v>
      </c>
      <c r="N97" s="208">
        <v>1</v>
      </c>
      <c r="O97" s="208">
        <v>0.9</v>
      </c>
      <c r="P97" s="208">
        <v>0.9</v>
      </c>
      <c r="Q97" s="217">
        <f t="shared" si="5"/>
        <v>0.9</v>
      </c>
      <c r="R97" s="208">
        <v>14.4</v>
      </c>
      <c r="S97" s="208">
        <v>126</v>
      </c>
      <c r="T97" s="217">
        <f t="shared" si="1"/>
        <v>30</v>
      </c>
      <c r="U97" s="208">
        <v>99</v>
      </c>
      <c r="V97" s="217">
        <f t="shared" si="2"/>
        <v>2970</v>
      </c>
      <c r="W97" s="208">
        <v>7</v>
      </c>
      <c r="X97" s="216" t="s">
        <v>46</v>
      </c>
      <c r="Y97" s="208" t="s">
        <v>90</v>
      </c>
      <c r="Z97" s="208" t="s">
        <v>84</v>
      </c>
      <c r="AA97" s="208" t="s">
        <v>50</v>
      </c>
      <c r="AB97" s="216" t="s">
        <v>317</v>
      </c>
    </row>
    <row r="98" spans="1:28" x14ac:dyDescent="0.15">
      <c r="A98" s="216" t="s">
        <v>34</v>
      </c>
      <c r="B98" s="208" t="s">
        <v>315</v>
      </c>
      <c r="C98" s="208">
        <v>2018</v>
      </c>
      <c r="D98" s="250" t="s">
        <v>414</v>
      </c>
      <c r="E98" s="237" t="s">
        <v>305</v>
      </c>
      <c r="F98" s="237" t="s">
        <v>306</v>
      </c>
      <c r="G98" s="216" t="s">
        <v>36</v>
      </c>
      <c r="H98" s="208" t="s">
        <v>155</v>
      </c>
      <c r="I98" s="216" t="s">
        <v>153</v>
      </c>
      <c r="J98" s="216" t="s">
        <v>38</v>
      </c>
      <c r="K98" s="216" t="s">
        <v>154</v>
      </c>
      <c r="L98" s="216">
        <v>1</v>
      </c>
      <c r="N98" s="208">
        <v>6</v>
      </c>
      <c r="O98" s="208">
        <v>0.6</v>
      </c>
      <c r="P98" s="208">
        <v>0.65</v>
      </c>
      <c r="Q98" s="217">
        <f t="shared" si="5"/>
        <v>0.625</v>
      </c>
      <c r="R98" s="208">
        <v>14.7</v>
      </c>
      <c r="S98" s="208">
        <v>101</v>
      </c>
      <c r="T98" s="217">
        <f t="shared" si="1"/>
        <v>33</v>
      </c>
      <c r="U98" s="208">
        <v>429</v>
      </c>
      <c r="V98" s="217">
        <f t="shared" si="2"/>
        <v>2359.5</v>
      </c>
      <c r="W98" s="208">
        <v>7</v>
      </c>
      <c r="X98" s="216" t="s">
        <v>46</v>
      </c>
      <c r="Y98" s="208" t="s">
        <v>90</v>
      </c>
      <c r="Z98" s="208" t="s">
        <v>84</v>
      </c>
      <c r="AA98" s="208" t="s">
        <v>50</v>
      </c>
      <c r="AB98" s="216" t="s">
        <v>317</v>
      </c>
    </row>
    <row r="99" spans="1:28" x14ac:dyDescent="0.15">
      <c r="A99" s="216" t="s">
        <v>34</v>
      </c>
      <c r="B99" s="208" t="s">
        <v>315</v>
      </c>
      <c r="C99" s="208">
        <v>2018</v>
      </c>
      <c r="D99" s="250" t="s">
        <v>414</v>
      </c>
      <c r="E99" s="237" t="s">
        <v>305</v>
      </c>
      <c r="F99" s="237" t="s">
        <v>306</v>
      </c>
      <c r="G99" s="216" t="s">
        <v>36</v>
      </c>
      <c r="H99" s="208" t="s">
        <v>155</v>
      </c>
      <c r="I99" s="216" t="s">
        <v>153</v>
      </c>
      <c r="J99" s="216" t="s">
        <v>38</v>
      </c>
      <c r="K99" s="216" t="s">
        <v>154</v>
      </c>
      <c r="L99" s="208">
        <v>2</v>
      </c>
      <c r="N99" s="208">
        <v>6</v>
      </c>
      <c r="O99" s="208">
        <v>0.75</v>
      </c>
      <c r="P99" s="208">
        <v>0.85</v>
      </c>
      <c r="Q99" s="217">
        <f t="shared" si="5"/>
        <v>0.8</v>
      </c>
      <c r="R99" s="208">
        <v>12.1</v>
      </c>
      <c r="S99" s="208">
        <v>97</v>
      </c>
      <c r="T99" s="217">
        <f t="shared" si="1"/>
        <v>36</v>
      </c>
      <c r="U99" s="208">
        <v>429</v>
      </c>
      <c r="V99" s="217">
        <f t="shared" si="2"/>
        <v>2574</v>
      </c>
      <c r="W99" s="208">
        <v>7</v>
      </c>
      <c r="X99" s="216" t="s">
        <v>46</v>
      </c>
      <c r="Y99" s="208" t="s">
        <v>90</v>
      </c>
      <c r="Z99" s="208" t="s">
        <v>84</v>
      </c>
      <c r="AA99" s="208" t="s">
        <v>50</v>
      </c>
      <c r="AB99" s="216" t="s">
        <v>317</v>
      </c>
    </row>
    <row r="100" spans="1:28" x14ac:dyDescent="0.15">
      <c r="A100" s="216" t="s">
        <v>34</v>
      </c>
      <c r="B100" s="208" t="s">
        <v>315</v>
      </c>
      <c r="C100" s="208">
        <v>2018</v>
      </c>
      <c r="D100" s="250" t="s">
        <v>414</v>
      </c>
      <c r="E100" s="237" t="s">
        <v>305</v>
      </c>
      <c r="F100" s="237" t="s">
        <v>306</v>
      </c>
      <c r="G100" s="216" t="s">
        <v>36</v>
      </c>
      <c r="H100" s="208" t="s">
        <v>155</v>
      </c>
      <c r="I100" s="216" t="s">
        <v>153</v>
      </c>
      <c r="J100" s="216" t="s">
        <v>38</v>
      </c>
      <c r="K100" s="216" t="s">
        <v>154</v>
      </c>
      <c r="L100" s="208">
        <v>3</v>
      </c>
      <c r="N100" s="208">
        <v>6</v>
      </c>
      <c r="O100" s="208">
        <v>0.5</v>
      </c>
      <c r="P100" s="208">
        <v>0.5</v>
      </c>
      <c r="Q100" s="217">
        <f t="shared" si="5"/>
        <v>0.5</v>
      </c>
      <c r="R100" s="208">
        <v>14.5</v>
      </c>
      <c r="S100" s="208">
        <v>97</v>
      </c>
      <c r="T100" s="217">
        <f t="shared" si="1"/>
        <v>36</v>
      </c>
      <c r="U100" s="208">
        <v>429</v>
      </c>
      <c r="V100" s="217">
        <f t="shared" si="2"/>
        <v>2574</v>
      </c>
      <c r="W100" s="208">
        <v>7</v>
      </c>
      <c r="X100" s="216" t="s">
        <v>46</v>
      </c>
      <c r="Y100" s="208" t="s">
        <v>90</v>
      </c>
      <c r="Z100" s="208" t="s">
        <v>84</v>
      </c>
      <c r="AA100" s="208" t="s">
        <v>50</v>
      </c>
      <c r="AB100" s="216" t="s">
        <v>317</v>
      </c>
    </row>
    <row r="101" spans="1:28" x14ac:dyDescent="0.15">
      <c r="A101" s="216" t="s">
        <v>34</v>
      </c>
      <c r="B101" s="208" t="s">
        <v>315</v>
      </c>
      <c r="C101" s="208">
        <v>2018</v>
      </c>
      <c r="D101" s="250" t="s">
        <v>414</v>
      </c>
      <c r="E101" s="237" t="s">
        <v>305</v>
      </c>
      <c r="F101" s="237" t="s">
        <v>306</v>
      </c>
      <c r="G101" s="216" t="s">
        <v>36</v>
      </c>
      <c r="H101" s="208" t="s">
        <v>155</v>
      </c>
      <c r="I101" s="216" t="s">
        <v>156</v>
      </c>
      <c r="J101" s="216" t="s">
        <v>38</v>
      </c>
      <c r="K101" s="216" t="s">
        <v>154</v>
      </c>
      <c r="L101" s="216">
        <v>1</v>
      </c>
      <c r="N101" s="208">
        <v>4</v>
      </c>
      <c r="O101" s="208">
        <v>0.75</v>
      </c>
      <c r="P101" s="208">
        <v>0.85</v>
      </c>
      <c r="Q101" s="217">
        <f t="shared" si="5"/>
        <v>0.8</v>
      </c>
      <c r="R101" s="208">
        <v>13.6</v>
      </c>
      <c r="S101" s="208">
        <v>115</v>
      </c>
      <c r="T101" s="217">
        <f t="shared" si="1"/>
        <v>30</v>
      </c>
      <c r="U101" s="208">
        <v>321</v>
      </c>
      <c r="V101" s="217">
        <f t="shared" si="2"/>
        <v>2407.5</v>
      </c>
      <c r="W101" s="208">
        <v>1</v>
      </c>
      <c r="X101" s="216" t="s">
        <v>46</v>
      </c>
      <c r="Y101" s="208" t="s">
        <v>90</v>
      </c>
      <c r="Z101" s="208" t="s">
        <v>84</v>
      </c>
      <c r="AA101" s="208" t="s">
        <v>50</v>
      </c>
      <c r="AB101" s="216" t="s">
        <v>317</v>
      </c>
    </row>
    <row r="102" spans="1:28" x14ac:dyDescent="0.15">
      <c r="A102" s="216" t="s">
        <v>34</v>
      </c>
      <c r="B102" s="208" t="s">
        <v>315</v>
      </c>
      <c r="C102" s="208">
        <v>2018</v>
      </c>
      <c r="D102" s="250" t="s">
        <v>414</v>
      </c>
      <c r="E102" s="237" t="s">
        <v>305</v>
      </c>
      <c r="F102" s="237" t="s">
        <v>306</v>
      </c>
      <c r="G102" s="216" t="s">
        <v>36</v>
      </c>
      <c r="H102" s="208" t="s">
        <v>155</v>
      </c>
      <c r="I102" s="216" t="s">
        <v>156</v>
      </c>
      <c r="J102" s="216" t="s">
        <v>38</v>
      </c>
      <c r="K102" s="216" t="s">
        <v>154</v>
      </c>
      <c r="L102" s="208">
        <v>2</v>
      </c>
      <c r="N102" s="208">
        <v>4</v>
      </c>
      <c r="O102" s="208">
        <v>0.7</v>
      </c>
      <c r="P102" s="208">
        <v>0.8</v>
      </c>
      <c r="Q102" s="217">
        <f t="shared" si="5"/>
        <v>0.75</v>
      </c>
      <c r="R102" s="208">
        <v>13.8</v>
      </c>
      <c r="S102" s="208">
        <v>108</v>
      </c>
      <c r="T102" s="217">
        <f t="shared" si="1"/>
        <v>33</v>
      </c>
      <c r="U102" s="208">
        <v>321</v>
      </c>
      <c r="V102" s="217">
        <f t="shared" si="2"/>
        <v>2648.25</v>
      </c>
      <c r="W102" s="208">
        <v>1</v>
      </c>
      <c r="X102" s="216" t="s">
        <v>46</v>
      </c>
      <c r="Y102" s="208" t="s">
        <v>90</v>
      </c>
      <c r="Z102" s="208" t="s">
        <v>84</v>
      </c>
      <c r="AA102" s="208" t="s">
        <v>50</v>
      </c>
      <c r="AB102" s="216" t="s">
        <v>317</v>
      </c>
    </row>
    <row r="103" spans="1:28" x14ac:dyDescent="0.15">
      <c r="A103" s="216" t="s">
        <v>34</v>
      </c>
      <c r="B103" s="208" t="s">
        <v>315</v>
      </c>
      <c r="C103" s="208">
        <v>2018</v>
      </c>
      <c r="D103" s="250" t="s">
        <v>414</v>
      </c>
      <c r="E103" s="237" t="s">
        <v>305</v>
      </c>
      <c r="F103" s="237" t="s">
        <v>306</v>
      </c>
      <c r="G103" s="216" t="s">
        <v>36</v>
      </c>
      <c r="H103" s="208" t="s">
        <v>155</v>
      </c>
      <c r="I103" s="216" t="s">
        <v>156</v>
      </c>
      <c r="J103" s="216" t="s">
        <v>38</v>
      </c>
      <c r="K103" s="216" t="s">
        <v>154</v>
      </c>
      <c r="L103" s="208">
        <v>3</v>
      </c>
      <c r="N103" s="208">
        <v>4</v>
      </c>
      <c r="O103" s="208">
        <v>0.7</v>
      </c>
      <c r="P103" s="208">
        <v>0.8</v>
      </c>
      <c r="Q103" s="217">
        <f t="shared" si="5"/>
        <v>0.75</v>
      </c>
      <c r="R103" s="208">
        <v>14.5</v>
      </c>
      <c r="S103" s="208">
        <v>111</v>
      </c>
      <c r="T103" s="217">
        <f t="shared" si="1"/>
        <v>33</v>
      </c>
      <c r="U103" s="208">
        <v>321</v>
      </c>
      <c r="V103" s="217">
        <f t="shared" si="2"/>
        <v>2648.25</v>
      </c>
      <c r="W103" s="208">
        <v>1</v>
      </c>
      <c r="X103" s="216" t="s">
        <v>46</v>
      </c>
      <c r="Y103" s="208" t="s">
        <v>90</v>
      </c>
      <c r="Z103" s="208" t="s">
        <v>84</v>
      </c>
      <c r="AA103" s="208" t="s">
        <v>50</v>
      </c>
      <c r="AB103" s="216" t="s">
        <v>317</v>
      </c>
    </row>
    <row r="104" spans="1:28" x14ac:dyDescent="0.15">
      <c r="A104" s="216" t="s">
        <v>34</v>
      </c>
      <c r="B104" s="208" t="s">
        <v>315</v>
      </c>
      <c r="C104" s="208">
        <v>2018</v>
      </c>
      <c r="D104" s="250" t="s">
        <v>414</v>
      </c>
      <c r="E104" s="237" t="s">
        <v>305</v>
      </c>
      <c r="F104" s="237" t="s">
        <v>306</v>
      </c>
      <c r="G104" s="216" t="s">
        <v>36</v>
      </c>
      <c r="H104" s="208" t="s">
        <v>157</v>
      </c>
      <c r="I104" s="216" t="s">
        <v>153</v>
      </c>
      <c r="J104" s="216" t="s">
        <v>38</v>
      </c>
      <c r="K104" s="216" t="s">
        <v>154</v>
      </c>
      <c r="L104" s="216">
        <v>1</v>
      </c>
      <c r="N104" s="208">
        <v>1</v>
      </c>
      <c r="O104" s="208">
        <v>0.45</v>
      </c>
      <c r="P104" s="208">
        <v>0.6</v>
      </c>
      <c r="Q104" s="217">
        <f t="shared" si="5"/>
        <v>0.52500000000000002</v>
      </c>
      <c r="R104" s="208">
        <v>15.5</v>
      </c>
      <c r="S104" s="208">
        <v>107</v>
      </c>
      <c r="T104" s="217">
        <f t="shared" si="1"/>
        <v>33</v>
      </c>
      <c r="U104" s="208">
        <v>105</v>
      </c>
      <c r="V104" s="217">
        <f t="shared" si="2"/>
        <v>3465</v>
      </c>
      <c r="W104" s="208">
        <v>4</v>
      </c>
      <c r="X104" s="216" t="s">
        <v>46</v>
      </c>
      <c r="Y104" s="208" t="s">
        <v>90</v>
      </c>
      <c r="Z104" s="208" t="s">
        <v>84</v>
      </c>
      <c r="AA104" s="208" t="s">
        <v>50</v>
      </c>
      <c r="AB104" s="216" t="s">
        <v>317</v>
      </c>
    </row>
    <row r="105" spans="1:28" x14ac:dyDescent="0.15">
      <c r="A105" s="216" t="s">
        <v>34</v>
      </c>
      <c r="B105" s="208" t="s">
        <v>315</v>
      </c>
      <c r="C105" s="208">
        <v>2018</v>
      </c>
      <c r="D105" s="250" t="s">
        <v>414</v>
      </c>
      <c r="E105" s="237" t="s">
        <v>305</v>
      </c>
      <c r="F105" s="237" t="s">
        <v>306</v>
      </c>
      <c r="G105" s="216" t="s">
        <v>36</v>
      </c>
      <c r="H105" s="208" t="s">
        <v>157</v>
      </c>
      <c r="I105" s="216" t="s">
        <v>153</v>
      </c>
      <c r="J105" s="216" t="s">
        <v>38</v>
      </c>
      <c r="K105" s="216" t="s">
        <v>154</v>
      </c>
      <c r="L105" s="208">
        <v>2</v>
      </c>
      <c r="N105" s="208">
        <v>1</v>
      </c>
      <c r="O105" s="208">
        <v>0.55000000000000004</v>
      </c>
      <c r="P105" s="208">
        <v>0.5</v>
      </c>
      <c r="Q105" s="217">
        <f t="shared" si="5"/>
        <v>0.52500000000000002</v>
      </c>
      <c r="R105" s="208">
        <v>14.4</v>
      </c>
      <c r="S105" s="208">
        <v>112</v>
      </c>
      <c r="T105" s="217">
        <f t="shared" si="1"/>
        <v>33</v>
      </c>
      <c r="U105" s="208">
        <v>105</v>
      </c>
      <c r="V105" s="217">
        <f t="shared" si="2"/>
        <v>3465</v>
      </c>
      <c r="W105" s="208">
        <v>4</v>
      </c>
      <c r="X105" s="216" t="s">
        <v>46</v>
      </c>
      <c r="Y105" s="208" t="s">
        <v>90</v>
      </c>
      <c r="Z105" s="208" t="s">
        <v>84</v>
      </c>
      <c r="AA105" s="208" t="s">
        <v>50</v>
      </c>
      <c r="AB105" s="216" t="s">
        <v>317</v>
      </c>
    </row>
    <row r="106" spans="1:28" x14ac:dyDescent="0.15">
      <c r="A106" s="216" t="s">
        <v>34</v>
      </c>
      <c r="B106" s="208" t="s">
        <v>315</v>
      </c>
      <c r="C106" s="208">
        <v>2018</v>
      </c>
      <c r="D106" s="250" t="s">
        <v>414</v>
      </c>
      <c r="E106" s="237" t="s">
        <v>305</v>
      </c>
      <c r="F106" s="237" t="s">
        <v>306</v>
      </c>
      <c r="G106" s="216" t="s">
        <v>36</v>
      </c>
      <c r="H106" s="208" t="s">
        <v>157</v>
      </c>
      <c r="I106" s="216" t="s">
        <v>153</v>
      </c>
      <c r="J106" s="216" t="s">
        <v>38</v>
      </c>
      <c r="K106" s="216" t="s">
        <v>154</v>
      </c>
      <c r="L106" s="208">
        <v>3</v>
      </c>
      <c r="N106" s="208">
        <v>1</v>
      </c>
      <c r="O106" s="208">
        <v>0.5</v>
      </c>
      <c r="P106" s="208">
        <v>0.5</v>
      </c>
      <c r="Q106" s="217">
        <f t="shared" si="5"/>
        <v>0.5</v>
      </c>
      <c r="R106" s="208">
        <v>14.1</v>
      </c>
      <c r="S106" s="208">
        <v>104</v>
      </c>
      <c r="T106" s="217">
        <f>IF(H106="","",IF(OR(H106="GREEN",H106="GK"),IF(S106&gt;=$AX$2,VLOOKUP(S106,$AX$2:$AY$9,2,1),""),IF(S106&gt;=$AZ$2,VLOOKUP(S106,$AZ$2:$BA$9,2,1),"")))</f>
        <v>33</v>
      </c>
      <c r="U106" s="208">
        <v>105</v>
      </c>
      <c r="V106" s="217">
        <f t="shared" si="2"/>
        <v>3465</v>
      </c>
      <c r="W106" s="208">
        <v>4</v>
      </c>
      <c r="X106" s="216" t="s">
        <v>46</v>
      </c>
      <c r="Y106" s="208" t="s">
        <v>90</v>
      </c>
      <c r="Z106" s="208" t="s">
        <v>84</v>
      </c>
      <c r="AA106" s="208" t="s">
        <v>50</v>
      </c>
      <c r="AB106" s="216" t="s">
        <v>317</v>
      </c>
    </row>
    <row r="107" spans="1:28" x14ac:dyDescent="0.15">
      <c r="A107" s="216" t="s">
        <v>34</v>
      </c>
      <c r="B107" s="208" t="s">
        <v>315</v>
      </c>
      <c r="C107" s="208">
        <v>2018</v>
      </c>
      <c r="D107" s="250" t="s">
        <v>414</v>
      </c>
      <c r="E107" s="237" t="s">
        <v>305</v>
      </c>
      <c r="F107" s="237" t="s">
        <v>306</v>
      </c>
      <c r="G107" s="216" t="s">
        <v>36</v>
      </c>
      <c r="H107" s="208" t="s">
        <v>157</v>
      </c>
      <c r="I107" s="216" t="s">
        <v>153</v>
      </c>
      <c r="J107" s="216" t="s">
        <v>38</v>
      </c>
      <c r="K107" s="216" t="s">
        <v>154</v>
      </c>
      <c r="L107" s="216">
        <v>1</v>
      </c>
      <c r="N107" s="208">
        <v>4</v>
      </c>
      <c r="O107" s="208">
        <v>0.55000000000000004</v>
      </c>
      <c r="P107" s="208">
        <v>0.2</v>
      </c>
      <c r="Q107" s="217">
        <f t="shared" si="5"/>
        <v>0.375</v>
      </c>
      <c r="R107" s="208">
        <v>14.4</v>
      </c>
      <c r="S107" s="208">
        <v>107</v>
      </c>
      <c r="T107" s="217">
        <f t="shared" si="1"/>
        <v>33</v>
      </c>
      <c r="U107" s="208">
        <v>410</v>
      </c>
      <c r="V107" s="217">
        <f t="shared" si="2"/>
        <v>3382.5</v>
      </c>
      <c r="W107" s="208">
        <v>4</v>
      </c>
      <c r="X107" s="216" t="s">
        <v>46</v>
      </c>
      <c r="Y107" s="208" t="s">
        <v>90</v>
      </c>
      <c r="Z107" s="208" t="s">
        <v>84</v>
      </c>
      <c r="AA107" s="208" t="s">
        <v>50</v>
      </c>
      <c r="AB107" s="216" t="s">
        <v>317</v>
      </c>
    </row>
    <row r="108" spans="1:28" x14ac:dyDescent="0.15">
      <c r="A108" s="216" t="s">
        <v>34</v>
      </c>
      <c r="B108" s="208" t="s">
        <v>315</v>
      </c>
      <c r="C108" s="208">
        <v>2018</v>
      </c>
      <c r="D108" s="250" t="s">
        <v>414</v>
      </c>
      <c r="E108" s="237" t="s">
        <v>305</v>
      </c>
      <c r="F108" s="237" t="s">
        <v>306</v>
      </c>
      <c r="G108" s="216" t="s">
        <v>36</v>
      </c>
      <c r="H108" s="208" t="s">
        <v>157</v>
      </c>
      <c r="I108" s="216" t="s">
        <v>153</v>
      </c>
      <c r="J108" s="216" t="s">
        <v>38</v>
      </c>
      <c r="K108" s="216" t="s">
        <v>154</v>
      </c>
      <c r="L108" s="208">
        <v>2</v>
      </c>
      <c r="N108" s="208">
        <v>4</v>
      </c>
      <c r="O108" s="208">
        <v>0.5</v>
      </c>
      <c r="P108" s="208">
        <v>0.2</v>
      </c>
      <c r="Q108" s="217">
        <f t="shared" si="5"/>
        <v>0.35</v>
      </c>
      <c r="R108" s="208">
        <v>12.5</v>
      </c>
      <c r="S108" s="208">
        <v>110</v>
      </c>
      <c r="T108" s="217">
        <f t="shared" si="1"/>
        <v>33</v>
      </c>
      <c r="U108" s="208">
        <v>410</v>
      </c>
      <c r="V108" s="217">
        <f t="shared" si="2"/>
        <v>3382.5</v>
      </c>
      <c r="W108" s="208">
        <v>4</v>
      </c>
      <c r="X108" s="216" t="s">
        <v>46</v>
      </c>
      <c r="Y108" s="208" t="s">
        <v>90</v>
      </c>
      <c r="Z108" s="208" t="s">
        <v>84</v>
      </c>
      <c r="AA108" s="208" t="s">
        <v>50</v>
      </c>
      <c r="AB108" s="216" t="s">
        <v>317</v>
      </c>
    </row>
    <row r="109" spans="1:28" x14ac:dyDescent="0.15">
      <c r="A109" s="216" t="s">
        <v>34</v>
      </c>
      <c r="B109" s="208" t="s">
        <v>315</v>
      </c>
      <c r="C109" s="208">
        <v>2018</v>
      </c>
      <c r="D109" s="250" t="s">
        <v>414</v>
      </c>
      <c r="E109" s="237" t="s">
        <v>305</v>
      </c>
      <c r="F109" s="237" t="s">
        <v>306</v>
      </c>
      <c r="G109" s="216" t="s">
        <v>36</v>
      </c>
      <c r="H109" s="208" t="s">
        <v>157</v>
      </c>
      <c r="I109" s="216" t="s">
        <v>153</v>
      </c>
      <c r="J109" s="216" t="s">
        <v>38</v>
      </c>
      <c r="K109" s="216" t="s">
        <v>154</v>
      </c>
      <c r="L109" s="208">
        <v>3</v>
      </c>
      <c r="N109" s="208">
        <v>4</v>
      </c>
      <c r="O109" s="208">
        <v>0.45</v>
      </c>
      <c r="P109" s="208">
        <v>0.2</v>
      </c>
      <c r="Q109" s="217">
        <f t="shared" si="5"/>
        <v>0.32500000000000001</v>
      </c>
      <c r="R109" s="208">
        <v>13.6</v>
      </c>
      <c r="S109" s="208">
        <v>108</v>
      </c>
      <c r="T109" s="217">
        <f t="shared" si="1"/>
        <v>33</v>
      </c>
      <c r="U109" s="208">
        <v>410</v>
      </c>
      <c r="V109" s="217">
        <f t="shared" si="2"/>
        <v>3382.5</v>
      </c>
      <c r="W109" s="208">
        <v>4</v>
      </c>
      <c r="X109" s="216" t="s">
        <v>46</v>
      </c>
      <c r="Y109" s="208" t="s">
        <v>90</v>
      </c>
      <c r="Z109" s="208" t="s">
        <v>84</v>
      </c>
      <c r="AA109" s="208" t="s">
        <v>50</v>
      </c>
      <c r="AB109" s="216" t="s">
        <v>317</v>
      </c>
    </row>
    <row r="110" spans="1:28" x14ac:dyDescent="0.15">
      <c r="A110" s="216" t="s">
        <v>34</v>
      </c>
      <c r="B110" s="208" t="s">
        <v>315</v>
      </c>
      <c r="C110" s="208">
        <v>2018</v>
      </c>
      <c r="D110" s="250" t="s">
        <v>414</v>
      </c>
      <c r="E110" s="237" t="s">
        <v>305</v>
      </c>
      <c r="F110" s="237" t="s">
        <v>306</v>
      </c>
      <c r="G110" s="216" t="s">
        <v>36</v>
      </c>
      <c r="H110" s="208" t="s">
        <v>129</v>
      </c>
      <c r="I110" s="216" t="s">
        <v>153</v>
      </c>
      <c r="J110" s="216" t="s">
        <v>58</v>
      </c>
      <c r="K110" s="216" t="s">
        <v>59</v>
      </c>
      <c r="L110" s="216">
        <v>1</v>
      </c>
      <c r="N110" s="208">
        <v>6</v>
      </c>
      <c r="O110" s="208">
        <v>0.45</v>
      </c>
      <c r="P110" s="208">
        <v>0.2</v>
      </c>
      <c r="Q110" s="217">
        <f t="shared" si="5"/>
        <v>0.32500000000000001</v>
      </c>
      <c r="R110" s="208">
        <v>11.9</v>
      </c>
      <c r="S110" s="208">
        <v>57</v>
      </c>
      <c r="T110" s="217">
        <f t="shared" si="1"/>
        <v>50</v>
      </c>
      <c r="U110" s="208">
        <v>429</v>
      </c>
      <c r="V110" s="217">
        <f t="shared" si="2"/>
        <v>3575</v>
      </c>
      <c r="W110" s="208">
        <v>1</v>
      </c>
      <c r="X110" s="216" t="s">
        <v>46</v>
      </c>
      <c r="Y110" s="208" t="s">
        <v>90</v>
      </c>
      <c r="Z110" s="208" t="s">
        <v>84</v>
      </c>
      <c r="AA110" s="208" t="s">
        <v>50</v>
      </c>
      <c r="AB110" s="216" t="s">
        <v>317</v>
      </c>
    </row>
    <row r="111" spans="1:28" x14ac:dyDescent="0.15">
      <c r="A111" s="216" t="s">
        <v>34</v>
      </c>
      <c r="B111" s="208" t="s">
        <v>315</v>
      </c>
      <c r="C111" s="208">
        <v>2018</v>
      </c>
      <c r="D111" s="250" t="s">
        <v>414</v>
      </c>
      <c r="E111" s="237" t="s">
        <v>305</v>
      </c>
      <c r="F111" s="237" t="s">
        <v>306</v>
      </c>
      <c r="G111" s="216" t="s">
        <v>36</v>
      </c>
      <c r="H111" s="208" t="s">
        <v>129</v>
      </c>
      <c r="I111" s="216" t="s">
        <v>153</v>
      </c>
      <c r="J111" s="216" t="s">
        <v>58</v>
      </c>
      <c r="K111" s="216" t="s">
        <v>59</v>
      </c>
      <c r="L111" s="208">
        <v>2</v>
      </c>
      <c r="N111" s="208">
        <v>6</v>
      </c>
      <c r="O111" s="208">
        <v>0.2</v>
      </c>
      <c r="P111" s="208">
        <v>0.2</v>
      </c>
      <c r="Q111" s="217">
        <f t="shared" si="5"/>
        <v>0.2</v>
      </c>
      <c r="R111" s="208">
        <v>14.1</v>
      </c>
      <c r="S111" s="208">
        <v>59</v>
      </c>
      <c r="T111" s="217">
        <f t="shared" si="1"/>
        <v>50</v>
      </c>
      <c r="U111" s="208">
        <v>429</v>
      </c>
      <c r="V111" s="217">
        <f t="shared" si="2"/>
        <v>3575</v>
      </c>
      <c r="W111" s="208">
        <v>1</v>
      </c>
      <c r="X111" s="216" t="s">
        <v>46</v>
      </c>
      <c r="Y111" s="208" t="s">
        <v>90</v>
      </c>
      <c r="Z111" s="208" t="s">
        <v>84</v>
      </c>
      <c r="AA111" s="208" t="s">
        <v>50</v>
      </c>
      <c r="AB111" s="216" t="s">
        <v>317</v>
      </c>
    </row>
    <row r="112" spans="1:28" x14ac:dyDescent="0.15">
      <c r="A112" s="216" t="s">
        <v>34</v>
      </c>
      <c r="B112" s="208" t="s">
        <v>315</v>
      </c>
      <c r="C112" s="208">
        <v>2018</v>
      </c>
      <c r="D112" s="250" t="s">
        <v>414</v>
      </c>
      <c r="E112" s="237" t="s">
        <v>305</v>
      </c>
      <c r="F112" s="237" t="s">
        <v>306</v>
      </c>
      <c r="G112" s="216" t="s">
        <v>36</v>
      </c>
      <c r="H112" s="208" t="s">
        <v>129</v>
      </c>
      <c r="I112" s="216" t="s">
        <v>153</v>
      </c>
      <c r="J112" s="216" t="s">
        <v>58</v>
      </c>
      <c r="K112" s="216" t="s">
        <v>59</v>
      </c>
      <c r="L112" s="208">
        <v>3</v>
      </c>
      <c r="N112" s="208">
        <v>6</v>
      </c>
      <c r="O112" s="208">
        <v>0.2</v>
      </c>
      <c r="P112" s="208">
        <v>0.2</v>
      </c>
      <c r="Q112" s="217">
        <f t="shared" si="5"/>
        <v>0.2</v>
      </c>
      <c r="R112" s="208">
        <v>10.199999999999999</v>
      </c>
      <c r="S112" s="208">
        <v>65</v>
      </c>
      <c r="T112" s="217">
        <f t="shared" si="1"/>
        <v>50</v>
      </c>
      <c r="U112" s="208">
        <v>429</v>
      </c>
      <c r="V112" s="217">
        <f t="shared" si="2"/>
        <v>3575</v>
      </c>
      <c r="W112" s="208">
        <v>1</v>
      </c>
      <c r="X112" s="216" t="s">
        <v>46</v>
      </c>
      <c r="Y112" s="208" t="s">
        <v>90</v>
      </c>
      <c r="Z112" s="208" t="s">
        <v>84</v>
      </c>
      <c r="AA112" s="208" t="s">
        <v>50</v>
      </c>
      <c r="AB112" s="216" t="s">
        <v>317</v>
      </c>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row r="451" spans="11:11" x14ac:dyDescent="0.15">
      <c r="K451" s="216"/>
    </row>
    <row r="452" spans="11:11" x14ac:dyDescent="0.15">
      <c r="K452" s="216"/>
    </row>
    <row r="453" spans="11:11" x14ac:dyDescent="0.15">
      <c r="K453" s="216"/>
    </row>
    <row r="454" spans="11:11" x14ac:dyDescent="0.15">
      <c r="K454" s="216"/>
    </row>
    <row r="455" spans="11:11" x14ac:dyDescent="0.15">
      <c r="K455" s="216"/>
    </row>
    <row r="456" spans="11:11" x14ac:dyDescent="0.15">
      <c r="K456" s="216"/>
    </row>
    <row r="457" spans="11:11" x14ac:dyDescent="0.15">
      <c r="K457" s="216"/>
    </row>
    <row r="458" spans="11:11" x14ac:dyDescent="0.15">
      <c r="K458" s="216"/>
    </row>
    <row r="459" spans="11:11" x14ac:dyDescent="0.15">
      <c r="K459" s="216"/>
    </row>
    <row r="460" spans="11:11" x14ac:dyDescent="0.15">
      <c r="K460" s="216"/>
    </row>
    <row r="461" spans="11:11" x14ac:dyDescent="0.15">
      <c r="K461" s="216"/>
    </row>
    <row r="462" spans="11:11" x14ac:dyDescent="0.15">
      <c r="K462" s="216"/>
    </row>
    <row r="463" spans="11:11" x14ac:dyDescent="0.15">
      <c r="K463" s="216"/>
    </row>
    <row r="464" spans="11:11" x14ac:dyDescent="0.15">
      <c r="K464" s="216"/>
    </row>
    <row r="465" spans="11:11" x14ac:dyDescent="0.15">
      <c r="K465" s="216"/>
    </row>
    <row r="466" spans="11:11" x14ac:dyDescent="0.15">
      <c r="K466" s="216"/>
    </row>
    <row r="467" spans="11:11" x14ac:dyDescent="0.15">
      <c r="K467" s="216"/>
    </row>
    <row r="468" spans="11:11" x14ac:dyDescent="0.15">
      <c r="K468" s="216"/>
    </row>
    <row r="469" spans="11:11" x14ac:dyDescent="0.15">
      <c r="K469" s="216"/>
    </row>
    <row r="470" spans="11:11" x14ac:dyDescent="0.15">
      <c r="K470" s="216"/>
    </row>
    <row r="471" spans="11:11" x14ac:dyDescent="0.15">
      <c r="K471" s="216"/>
    </row>
    <row r="472" spans="11:11" x14ac:dyDescent="0.15">
      <c r="K472" s="216"/>
    </row>
    <row r="473" spans="11:11" x14ac:dyDescent="0.15">
      <c r="K473" s="216"/>
    </row>
    <row r="474" spans="11:11" x14ac:dyDescent="0.15">
      <c r="K474" s="216"/>
    </row>
    <row r="475" spans="11:11" x14ac:dyDescent="0.15">
      <c r="K475" s="216"/>
    </row>
    <row r="476" spans="11:11" x14ac:dyDescent="0.15">
      <c r="K476" s="216"/>
    </row>
    <row r="477" spans="11:11" x14ac:dyDescent="0.15">
      <c r="K477" s="216"/>
    </row>
    <row r="478" spans="11:11" x14ac:dyDescent="0.15">
      <c r="K478" s="216"/>
    </row>
    <row r="479" spans="11:11" x14ac:dyDescent="0.15">
      <c r="K479" s="216"/>
    </row>
    <row r="480" spans="11:11" x14ac:dyDescent="0.15">
      <c r="K480" s="216"/>
    </row>
    <row r="481" spans="11:11" x14ac:dyDescent="0.15">
      <c r="K481" s="216"/>
    </row>
    <row r="482" spans="11:11" x14ac:dyDescent="0.15">
      <c r="K482" s="216"/>
    </row>
    <row r="483" spans="11:11" x14ac:dyDescent="0.15">
      <c r="K483" s="216"/>
    </row>
    <row r="484" spans="11:11" x14ac:dyDescent="0.15">
      <c r="K484" s="216"/>
    </row>
    <row r="485" spans="11:11" x14ac:dyDescent="0.15">
      <c r="K485" s="216"/>
    </row>
    <row r="486" spans="11:11" x14ac:dyDescent="0.15">
      <c r="K486" s="216"/>
    </row>
    <row r="487" spans="11:11" x14ac:dyDescent="0.15">
      <c r="K487" s="216"/>
    </row>
    <row r="488" spans="11:11" x14ac:dyDescent="0.15">
      <c r="K488" s="216"/>
    </row>
    <row r="489" spans="11:11" x14ac:dyDescent="0.15">
      <c r="K489" s="216"/>
    </row>
    <row r="490" spans="11:11" x14ac:dyDescent="0.15">
      <c r="K490" s="216"/>
    </row>
    <row r="491" spans="11:11" x14ac:dyDescent="0.15">
      <c r="K491" s="216"/>
    </row>
    <row r="492" spans="11:11" x14ac:dyDescent="0.15">
      <c r="K492" s="216"/>
    </row>
    <row r="493" spans="11:11" x14ac:dyDescent="0.15">
      <c r="K493" s="216"/>
    </row>
    <row r="494" spans="11:11" x14ac:dyDescent="0.15">
      <c r="K494" s="216"/>
    </row>
    <row r="495" spans="11:11" x14ac:dyDescent="0.15">
      <c r="K495" s="216"/>
    </row>
    <row r="496" spans="11:11" x14ac:dyDescent="0.15">
      <c r="K496" s="216"/>
    </row>
    <row r="497" spans="11:11" x14ac:dyDescent="0.15">
      <c r="K497" s="216"/>
    </row>
    <row r="498" spans="11:11" x14ac:dyDescent="0.15">
      <c r="K498" s="216"/>
    </row>
    <row r="499" spans="11:11" x14ac:dyDescent="0.15">
      <c r="K499" s="216"/>
    </row>
    <row r="500" spans="11:11" x14ac:dyDescent="0.15">
      <c r="K500" s="216"/>
    </row>
    <row r="501" spans="11:11" x14ac:dyDescent="0.15">
      <c r="K501" s="216"/>
    </row>
    <row r="502" spans="11:11" x14ac:dyDescent="0.15">
      <c r="K502" s="216"/>
    </row>
    <row r="503" spans="11:11" x14ac:dyDescent="0.15">
      <c r="K503" s="216"/>
    </row>
    <row r="504" spans="11:11" x14ac:dyDescent="0.15">
      <c r="K504" s="216"/>
    </row>
    <row r="505" spans="11:11" x14ac:dyDescent="0.15">
      <c r="K505" s="216"/>
    </row>
    <row r="506" spans="11:11" x14ac:dyDescent="0.15">
      <c r="K506" s="216"/>
    </row>
    <row r="507" spans="11:11" x14ac:dyDescent="0.15">
      <c r="K507" s="216"/>
    </row>
    <row r="508" spans="11:11" x14ac:dyDescent="0.15">
      <c r="K508" s="216"/>
    </row>
    <row r="509" spans="11:11" x14ac:dyDescent="0.15">
      <c r="K509" s="216"/>
    </row>
    <row r="510" spans="11:11" x14ac:dyDescent="0.15">
      <c r="K510" s="216"/>
    </row>
    <row r="511" spans="11:11" x14ac:dyDescent="0.15">
      <c r="K511" s="216"/>
    </row>
    <row r="512" spans="11:11" x14ac:dyDescent="0.15">
      <c r="K512" s="216"/>
    </row>
    <row r="513" spans="11:11" x14ac:dyDescent="0.15">
      <c r="K513" s="216"/>
    </row>
    <row r="514" spans="11:11" x14ac:dyDescent="0.15">
      <c r="K514" s="216"/>
    </row>
    <row r="515" spans="11:11" x14ac:dyDescent="0.15">
      <c r="K515" s="216"/>
    </row>
    <row r="516" spans="11:11" x14ac:dyDescent="0.15">
      <c r="K516" s="216"/>
    </row>
    <row r="517" spans="11:11" x14ac:dyDescent="0.15">
      <c r="K517" s="216"/>
    </row>
    <row r="518" spans="11:11" x14ac:dyDescent="0.15">
      <c r="K518" s="216"/>
    </row>
    <row r="519" spans="11:11" x14ac:dyDescent="0.15">
      <c r="K519" s="216"/>
    </row>
    <row r="520" spans="11:11" x14ac:dyDescent="0.15">
      <c r="K520" s="216"/>
    </row>
    <row r="521" spans="11:11" x14ac:dyDescent="0.15">
      <c r="K521" s="216"/>
    </row>
    <row r="522" spans="11:11" x14ac:dyDescent="0.15">
      <c r="K522" s="216"/>
    </row>
    <row r="523" spans="11:11" x14ac:dyDescent="0.15">
      <c r="K523" s="216"/>
    </row>
    <row r="524" spans="11:11" x14ac:dyDescent="0.15">
      <c r="K524" s="216"/>
    </row>
    <row r="525" spans="11:11" x14ac:dyDescent="0.15">
      <c r="K525" s="216"/>
    </row>
    <row r="526" spans="11:11" x14ac:dyDescent="0.15">
      <c r="K526" s="216"/>
    </row>
    <row r="527" spans="11:11" x14ac:dyDescent="0.15">
      <c r="K527" s="216"/>
    </row>
    <row r="528" spans="11:11" x14ac:dyDescent="0.15">
      <c r="K528" s="216"/>
    </row>
    <row r="529" spans="11:11" x14ac:dyDescent="0.15">
      <c r="K529" s="216"/>
    </row>
    <row r="530" spans="11:11" x14ac:dyDescent="0.15">
      <c r="K530" s="216"/>
    </row>
    <row r="531" spans="11:11" x14ac:dyDescent="0.15">
      <c r="K531" s="216"/>
    </row>
    <row r="532" spans="11:11" x14ac:dyDescent="0.15">
      <c r="K532" s="216"/>
    </row>
    <row r="533" spans="11:11" x14ac:dyDescent="0.15">
      <c r="K533" s="216"/>
    </row>
    <row r="534" spans="11:11" x14ac:dyDescent="0.15">
      <c r="K534" s="216"/>
    </row>
    <row r="535" spans="11:11" x14ac:dyDescent="0.15">
      <c r="K535" s="216"/>
    </row>
    <row r="536" spans="11:11" x14ac:dyDescent="0.15">
      <c r="K536" s="216"/>
    </row>
    <row r="537" spans="11:11" x14ac:dyDescent="0.15">
      <c r="K537" s="216"/>
    </row>
    <row r="538" spans="11:11" x14ac:dyDescent="0.15">
      <c r="K538" s="216"/>
    </row>
    <row r="539" spans="11:11" x14ac:dyDescent="0.15">
      <c r="K539" s="216"/>
    </row>
    <row r="540" spans="11:11" x14ac:dyDescent="0.15">
      <c r="K540" s="216"/>
    </row>
    <row r="541" spans="11:11" x14ac:dyDescent="0.15">
      <c r="K541" s="216"/>
    </row>
    <row r="542" spans="11:11" x14ac:dyDescent="0.15">
      <c r="K542" s="216"/>
    </row>
    <row r="543" spans="11:11" x14ac:dyDescent="0.15">
      <c r="K543" s="216"/>
    </row>
    <row r="544" spans="11:11" x14ac:dyDescent="0.15">
      <c r="K544" s="216"/>
    </row>
    <row r="545" spans="11:11" x14ac:dyDescent="0.15">
      <c r="K545" s="216"/>
    </row>
    <row r="546" spans="11:11" x14ac:dyDescent="0.15">
      <c r="K546" s="216"/>
    </row>
    <row r="547" spans="11:11" x14ac:dyDescent="0.15">
      <c r="K547" s="216"/>
    </row>
    <row r="548" spans="11:11" x14ac:dyDescent="0.15">
      <c r="K548" s="216"/>
    </row>
    <row r="549" spans="11:11" x14ac:dyDescent="0.15">
      <c r="K549" s="216"/>
    </row>
    <row r="550" spans="11:11" x14ac:dyDescent="0.15">
      <c r="K550" s="216"/>
    </row>
    <row r="551" spans="11:11" x14ac:dyDescent="0.15">
      <c r="K551" s="216"/>
    </row>
    <row r="552" spans="11:11" x14ac:dyDescent="0.15">
      <c r="K552" s="216"/>
    </row>
    <row r="553" spans="11:11" x14ac:dyDescent="0.15">
      <c r="K553" s="216"/>
    </row>
    <row r="554" spans="11:11" x14ac:dyDescent="0.15">
      <c r="K554" s="216"/>
    </row>
    <row r="555" spans="11:11" x14ac:dyDescent="0.15">
      <c r="K555" s="216"/>
    </row>
    <row r="556" spans="11:11" x14ac:dyDescent="0.15">
      <c r="K556" s="216"/>
    </row>
    <row r="557" spans="11:11" x14ac:dyDescent="0.15">
      <c r="K557" s="216"/>
    </row>
    <row r="558" spans="11:11" x14ac:dyDescent="0.15">
      <c r="K558" s="216"/>
    </row>
    <row r="559" spans="11:11" x14ac:dyDescent="0.15">
      <c r="K559" s="216"/>
    </row>
    <row r="560" spans="11:11" x14ac:dyDescent="0.15">
      <c r="K560" s="216"/>
    </row>
    <row r="561" spans="11:11" x14ac:dyDescent="0.15">
      <c r="K561" s="216"/>
    </row>
    <row r="562" spans="11:11" x14ac:dyDescent="0.15">
      <c r="K562" s="216"/>
    </row>
    <row r="563" spans="11:11" x14ac:dyDescent="0.15">
      <c r="K563" s="216"/>
    </row>
    <row r="564" spans="11:11" x14ac:dyDescent="0.15">
      <c r="K564" s="216"/>
    </row>
    <row r="565" spans="11:11" x14ac:dyDescent="0.15">
      <c r="K565" s="216"/>
    </row>
    <row r="566" spans="11:11" x14ac:dyDescent="0.15">
      <c r="K566" s="216"/>
    </row>
    <row r="567" spans="11:11" x14ac:dyDescent="0.15">
      <c r="K567" s="216"/>
    </row>
    <row r="568" spans="11:11" x14ac:dyDescent="0.15">
      <c r="K568" s="216"/>
    </row>
    <row r="569" spans="11:11" x14ac:dyDescent="0.15">
      <c r="K569" s="216"/>
    </row>
    <row r="570" spans="11:11" x14ac:dyDescent="0.15">
      <c r="K570" s="216"/>
    </row>
    <row r="571" spans="11:11" x14ac:dyDescent="0.15">
      <c r="K571" s="216"/>
    </row>
    <row r="572" spans="11:11" x14ac:dyDescent="0.15">
      <c r="K572" s="216"/>
    </row>
    <row r="573" spans="11:11" x14ac:dyDescent="0.15">
      <c r="K573" s="216"/>
    </row>
    <row r="574" spans="11:11" x14ac:dyDescent="0.15">
      <c r="K574" s="216"/>
    </row>
    <row r="575" spans="11:11" x14ac:dyDescent="0.15">
      <c r="K575" s="216"/>
    </row>
    <row r="576" spans="11:11" x14ac:dyDescent="0.15">
      <c r="K576" s="216"/>
    </row>
    <row r="577" spans="11:11" x14ac:dyDescent="0.15">
      <c r="K577" s="216"/>
    </row>
    <row r="578" spans="11:11" x14ac:dyDescent="0.15">
      <c r="K578" s="216"/>
    </row>
    <row r="579" spans="11:11" x14ac:dyDescent="0.15">
      <c r="K579" s="216"/>
    </row>
    <row r="580" spans="11:11" x14ac:dyDescent="0.15">
      <c r="K580" s="216"/>
    </row>
    <row r="581" spans="11:11" x14ac:dyDescent="0.15">
      <c r="K581" s="216"/>
    </row>
    <row r="582" spans="11:11" x14ac:dyDescent="0.15">
      <c r="K582" s="216"/>
    </row>
    <row r="583" spans="11:11" x14ac:dyDescent="0.15">
      <c r="K583" s="216"/>
    </row>
    <row r="584" spans="11:11" x14ac:dyDescent="0.15">
      <c r="K584" s="216"/>
    </row>
    <row r="585" spans="11:11" x14ac:dyDescent="0.15">
      <c r="K585" s="216"/>
    </row>
    <row r="586" spans="11:11" x14ac:dyDescent="0.15">
      <c r="K586" s="216"/>
    </row>
    <row r="587" spans="11:11" x14ac:dyDescent="0.15">
      <c r="K587" s="216"/>
    </row>
    <row r="588" spans="11:11" x14ac:dyDescent="0.15">
      <c r="K588" s="216"/>
    </row>
    <row r="589" spans="11:11" x14ac:dyDescent="0.15">
      <c r="K589" s="216"/>
    </row>
    <row r="590" spans="11:11" x14ac:dyDescent="0.15">
      <c r="K590" s="216"/>
    </row>
    <row r="591" spans="11:11" x14ac:dyDescent="0.15">
      <c r="K591" s="216"/>
    </row>
    <row r="592" spans="11:11" x14ac:dyDescent="0.15">
      <c r="K592" s="216"/>
    </row>
    <row r="593" spans="11:11" x14ac:dyDescent="0.15">
      <c r="K593" s="216"/>
    </row>
    <row r="594" spans="11:11" x14ac:dyDescent="0.15">
      <c r="K594" s="216"/>
    </row>
    <row r="595" spans="11:11" x14ac:dyDescent="0.15">
      <c r="K595" s="216"/>
    </row>
    <row r="596" spans="11:11" x14ac:dyDescent="0.15">
      <c r="K596" s="216"/>
    </row>
    <row r="597" spans="11:11" x14ac:dyDescent="0.15">
      <c r="K597" s="216"/>
    </row>
    <row r="598" spans="11:11" x14ac:dyDescent="0.15">
      <c r="K598" s="216"/>
    </row>
    <row r="599" spans="11:11" x14ac:dyDescent="0.15">
      <c r="K599" s="216"/>
    </row>
    <row r="600" spans="11:11" x14ac:dyDescent="0.15">
      <c r="K600" s="216"/>
    </row>
    <row r="601" spans="11:11" x14ac:dyDescent="0.15">
      <c r="K601" s="216"/>
    </row>
    <row r="602" spans="11:11" x14ac:dyDescent="0.15">
      <c r="K602" s="216"/>
    </row>
    <row r="603" spans="11:11" x14ac:dyDescent="0.15">
      <c r="K603" s="216"/>
    </row>
    <row r="604" spans="11:11" x14ac:dyDescent="0.15">
      <c r="K604" s="216"/>
    </row>
    <row r="605" spans="11:11" x14ac:dyDescent="0.15">
      <c r="K605" s="216"/>
    </row>
    <row r="606" spans="11:11" x14ac:dyDescent="0.15">
      <c r="K606" s="216"/>
    </row>
    <row r="607" spans="11:11" x14ac:dyDescent="0.15">
      <c r="K607" s="216"/>
    </row>
    <row r="608" spans="11:11" x14ac:dyDescent="0.15">
      <c r="K608" s="216"/>
    </row>
    <row r="609" spans="11:11" x14ac:dyDescent="0.15">
      <c r="K609" s="216"/>
    </row>
    <row r="610" spans="11:11" x14ac:dyDescent="0.15">
      <c r="K610" s="216"/>
    </row>
    <row r="611" spans="11:11" x14ac:dyDescent="0.15">
      <c r="K611" s="216"/>
    </row>
    <row r="612" spans="11:11" x14ac:dyDescent="0.15">
      <c r="K612" s="216"/>
    </row>
    <row r="613" spans="11:11" x14ac:dyDescent="0.15">
      <c r="K613" s="216"/>
    </row>
    <row r="614" spans="11:11" x14ac:dyDescent="0.15">
      <c r="K614" s="216"/>
    </row>
    <row r="615" spans="11:11" x14ac:dyDescent="0.15">
      <c r="K615" s="216"/>
    </row>
    <row r="616" spans="11:11" x14ac:dyDescent="0.15">
      <c r="K616" s="216"/>
    </row>
    <row r="617" spans="11:11" x14ac:dyDescent="0.15">
      <c r="K617" s="216"/>
    </row>
    <row r="618" spans="11:11" x14ac:dyDescent="0.15">
      <c r="K618" s="216"/>
    </row>
    <row r="619" spans="11:11" x14ac:dyDescent="0.15">
      <c r="K619" s="216"/>
    </row>
    <row r="620" spans="11:11" x14ac:dyDescent="0.15">
      <c r="K620" s="216"/>
    </row>
    <row r="621" spans="11:11" x14ac:dyDescent="0.15">
      <c r="K621" s="216"/>
    </row>
    <row r="622" spans="11:11" x14ac:dyDescent="0.15">
      <c r="K622" s="216"/>
    </row>
    <row r="623" spans="11:11" x14ac:dyDescent="0.15">
      <c r="K623" s="216"/>
    </row>
    <row r="624" spans="11:11" x14ac:dyDescent="0.15">
      <c r="K624" s="216"/>
    </row>
    <row r="625" spans="11:11" x14ac:dyDescent="0.15">
      <c r="K625" s="216"/>
    </row>
    <row r="626" spans="11:11" x14ac:dyDescent="0.15">
      <c r="K626" s="216"/>
    </row>
    <row r="627" spans="11:11" x14ac:dyDescent="0.15">
      <c r="K627" s="216"/>
    </row>
    <row r="628" spans="11:11" x14ac:dyDescent="0.15">
      <c r="K628" s="216"/>
    </row>
    <row r="629" spans="11:11" x14ac:dyDescent="0.15">
      <c r="K629" s="216"/>
    </row>
    <row r="630" spans="11:11" x14ac:dyDescent="0.15">
      <c r="K630" s="216"/>
    </row>
    <row r="631" spans="11:11" x14ac:dyDescent="0.15">
      <c r="K631" s="216"/>
    </row>
    <row r="632" spans="11:11" x14ac:dyDescent="0.15">
      <c r="K632" s="216"/>
    </row>
    <row r="633" spans="11:11" x14ac:dyDescent="0.15">
      <c r="K633" s="216"/>
    </row>
    <row r="634" spans="11:11" x14ac:dyDescent="0.15">
      <c r="K634" s="216"/>
    </row>
    <row r="635" spans="11:11" x14ac:dyDescent="0.15">
      <c r="K635" s="216"/>
    </row>
    <row r="636" spans="11:11" x14ac:dyDescent="0.15">
      <c r="K636" s="216"/>
    </row>
    <row r="637" spans="11:11" x14ac:dyDescent="0.15">
      <c r="K637" s="216"/>
    </row>
    <row r="638" spans="11:11" x14ac:dyDescent="0.15">
      <c r="K638" s="216"/>
    </row>
    <row r="639" spans="11:11" x14ac:dyDescent="0.15">
      <c r="K639" s="216"/>
    </row>
    <row r="640" spans="11:11" x14ac:dyDescent="0.15">
      <c r="K640" s="216"/>
    </row>
    <row r="641" spans="11:11" x14ac:dyDescent="0.15">
      <c r="K641" s="216"/>
    </row>
    <row r="642" spans="11:11" x14ac:dyDescent="0.15">
      <c r="K642" s="216"/>
    </row>
    <row r="643" spans="11:11" x14ac:dyDescent="0.15">
      <c r="K643" s="216"/>
    </row>
    <row r="644" spans="11:11" x14ac:dyDescent="0.15">
      <c r="K644" s="216"/>
    </row>
    <row r="645" spans="11:11" x14ac:dyDescent="0.15">
      <c r="K645" s="216"/>
    </row>
    <row r="646" spans="11:11" x14ac:dyDescent="0.15">
      <c r="K646" s="216"/>
    </row>
    <row r="647" spans="11:11" x14ac:dyDescent="0.15">
      <c r="K647" s="216"/>
    </row>
    <row r="648" spans="11:11" x14ac:dyDescent="0.15">
      <c r="K648" s="216"/>
    </row>
    <row r="649" spans="11:11" x14ac:dyDescent="0.15">
      <c r="K649" s="216"/>
    </row>
    <row r="650" spans="11:11" x14ac:dyDescent="0.15">
      <c r="K650" s="216"/>
    </row>
    <row r="651" spans="11:11" x14ac:dyDescent="0.15">
      <c r="K651" s="216"/>
    </row>
    <row r="652" spans="11:11" x14ac:dyDescent="0.15">
      <c r="K652" s="216"/>
    </row>
    <row r="653" spans="11:11" x14ac:dyDescent="0.15">
      <c r="K653" s="216"/>
    </row>
    <row r="654" spans="11:11" x14ac:dyDescent="0.15">
      <c r="K654" s="216"/>
    </row>
    <row r="655" spans="11:11" x14ac:dyDescent="0.15">
      <c r="K655" s="216"/>
    </row>
    <row r="656" spans="11:11" x14ac:dyDescent="0.15">
      <c r="K656" s="216"/>
    </row>
    <row r="657" spans="11:11" x14ac:dyDescent="0.15">
      <c r="K657" s="216"/>
    </row>
    <row r="658" spans="11:11" x14ac:dyDescent="0.15">
      <c r="K658" s="216"/>
    </row>
    <row r="659" spans="11:11" x14ac:dyDescent="0.15">
      <c r="K659" s="216"/>
    </row>
    <row r="660" spans="11:11" x14ac:dyDescent="0.15">
      <c r="K660" s="216"/>
    </row>
    <row r="661" spans="11:11" x14ac:dyDescent="0.15">
      <c r="K661" s="216"/>
    </row>
    <row r="662" spans="11:11" x14ac:dyDescent="0.15">
      <c r="K662" s="216"/>
    </row>
    <row r="663" spans="11:11" x14ac:dyDescent="0.15">
      <c r="K663" s="216"/>
    </row>
    <row r="664" spans="11:11" x14ac:dyDescent="0.15">
      <c r="K664" s="216"/>
    </row>
    <row r="665" spans="11:11" x14ac:dyDescent="0.15">
      <c r="K665" s="216"/>
    </row>
    <row r="666" spans="11:11" x14ac:dyDescent="0.15">
      <c r="K666" s="216"/>
    </row>
    <row r="667" spans="11:11" x14ac:dyDescent="0.15">
      <c r="K667" s="216"/>
    </row>
    <row r="668" spans="11:11" x14ac:dyDescent="0.15">
      <c r="K668" s="216"/>
    </row>
    <row r="669" spans="11:11" x14ac:dyDescent="0.15">
      <c r="K669" s="216"/>
    </row>
    <row r="670" spans="11:11" x14ac:dyDescent="0.15">
      <c r="K670" s="216"/>
    </row>
    <row r="671" spans="11:11" x14ac:dyDescent="0.15">
      <c r="K671" s="216"/>
    </row>
    <row r="672" spans="11:11" x14ac:dyDescent="0.15">
      <c r="K672" s="216"/>
    </row>
    <row r="673" spans="11:11" x14ac:dyDescent="0.15">
      <c r="K673" s="216"/>
    </row>
    <row r="674" spans="11:11" x14ac:dyDescent="0.15">
      <c r="K674" s="216"/>
    </row>
    <row r="675" spans="11:11" x14ac:dyDescent="0.15">
      <c r="K675" s="216"/>
    </row>
    <row r="676" spans="11:11" x14ac:dyDescent="0.15">
      <c r="K676" s="216"/>
    </row>
    <row r="677" spans="11:11" x14ac:dyDescent="0.15">
      <c r="K677" s="216"/>
    </row>
    <row r="678" spans="11:11" x14ac:dyDescent="0.15">
      <c r="K678" s="216"/>
    </row>
    <row r="679" spans="11:11" x14ac:dyDescent="0.15">
      <c r="K679" s="216"/>
    </row>
    <row r="680" spans="11:11" x14ac:dyDescent="0.15">
      <c r="K680" s="216"/>
    </row>
    <row r="681" spans="11:11" x14ac:dyDescent="0.15">
      <c r="K681" s="216"/>
    </row>
    <row r="682" spans="11:11" x14ac:dyDescent="0.15">
      <c r="K682" s="216"/>
    </row>
    <row r="683" spans="11:11" x14ac:dyDescent="0.15">
      <c r="K683" s="216"/>
    </row>
    <row r="684" spans="11:11" x14ac:dyDescent="0.15">
      <c r="K684" s="216"/>
    </row>
    <row r="685" spans="11:11" x14ac:dyDescent="0.15">
      <c r="K685" s="216"/>
    </row>
    <row r="686" spans="11:11" x14ac:dyDescent="0.15">
      <c r="K686" s="216"/>
    </row>
    <row r="687" spans="11:11" x14ac:dyDescent="0.15">
      <c r="K687" s="216"/>
    </row>
    <row r="688" spans="11:11" x14ac:dyDescent="0.15">
      <c r="K688" s="216"/>
    </row>
    <row r="689" spans="11:11" x14ac:dyDescent="0.15">
      <c r="K689" s="216"/>
    </row>
    <row r="690" spans="11:11" x14ac:dyDescent="0.15">
      <c r="K690" s="216"/>
    </row>
    <row r="691" spans="11:11" x14ac:dyDescent="0.15">
      <c r="K691" s="216"/>
    </row>
    <row r="692" spans="11:11" x14ac:dyDescent="0.15">
      <c r="K692" s="216"/>
    </row>
    <row r="693" spans="11:11" x14ac:dyDescent="0.15">
      <c r="K693" s="216"/>
    </row>
    <row r="694" spans="11:11" x14ac:dyDescent="0.15">
      <c r="K694" s="216"/>
    </row>
    <row r="695" spans="11:11" x14ac:dyDescent="0.15">
      <c r="K695" s="216"/>
    </row>
    <row r="696" spans="11:11" x14ac:dyDescent="0.15">
      <c r="K696" s="216"/>
    </row>
    <row r="697" spans="11:11" x14ac:dyDescent="0.15">
      <c r="K697" s="216"/>
    </row>
    <row r="698" spans="11:11" x14ac:dyDescent="0.15">
      <c r="K698" s="216"/>
    </row>
    <row r="699" spans="11:11" x14ac:dyDescent="0.15">
      <c r="K699" s="216"/>
    </row>
    <row r="700" spans="11:11" x14ac:dyDescent="0.15">
      <c r="K700" s="216"/>
    </row>
    <row r="701" spans="11:11" x14ac:dyDescent="0.15">
      <c r="K701" s="216"/>
    </row>
    <row r="702" spans="11:11" x14ac:dyDescent="0.15">
      <c r="K702" s="216"/>
    </row>
    <row r="703" spans="11:11" x14ac:dyDescent="0.15">
      <c r="K703" s="216"/>
    </row>
    <row r="704" spans="11:11" x14ac:dyDescent="0.15">
      <c r="K704" s="216"/>
    </row>
    <row r="705" spans="11:11" x14ac:dyDescent="0.15">
      <c r="K705" s="216"/>
    </row>
    <row r="706" spans="11:11" x14ac:dyDescent="0.15">
      <c r="K706" s="216"/>
    </row>
    <row r="707" spans="11:11" x14ac:dyDescent="0.15">
      <c r="K707" s="216"/>
    </row>
    <row r="708" spans="11:11" x14ac:dyDescent="0.15">
      <c r="K708" s="216"/>
    </row>
    <row r="709" spans="11:11" x14ac:dyDescent="0.15">
      <c r="K709" s="216"/>
    </row>
    <row r="710" spans="11:11" x14ac:dyDescent="0.15">
      <c r="K710" s="216"/>
    </row>
    <row r="711" spans="11:11" x14ac:dyDescent="0.15">
      <c r="K711" s="216"/>
    </row>
    <row r="712" spans="11:11" x14ac:dyDescent="0.15">
      <c r="K712" s="216"/>
    </row>
    <row r="713" spans="11:11" x14ac:dyDescent="0.15">
      <c r="K713" s="216"/>
    </row>
    <row r="714" spans="11:11" x14ac:dyDescent="0.15">
      <c r="K714" s="216"/>
    </row>
    <row r="715" spans="11:11" x14ac:dyDescent="0.15">
      <c r="K715" s="216"/>
    </row>
    <row r="716" spans="11:11" x14ac:dyDescent="0.15">
      <c r="K716" s="216"/>
    </row>
    <row r="717" spans="11:11" x14ac:dyDescent="0.15">
      <c r="K717" s="216"/>
    </row>
    <row r="718" spans="11:11" x14ac:dyDescent="0.15">
      <c r="K718" s="216"/>
    </row>
    <row r="719" spans="11:11" x14ac:dyDescent="0.15">
      <c r="K719" s="216"/>
    </row>
    <row r="720" spans="11:11" x14ac:dyDescent="0.15">
      <c r="K720" s="216"/>
    </row>
    <row r="721" spans="11:11" x14ac:dyDescent="0.15">
      <c r="K721" s="216"/>
    </row>
    <row r="722" spans="11:11" x14ac:dyDescent="0.15">
      <c r="K722" s="216"/>
    </row>
    <row r="723" spans="11:11" x14ac:dyDescent="0.15">
      <c r="K723" s="216"/>
    </row>
    <row r="724" spans="11:11" x14ac:dyDescent="0.15">
      <c r="K724" s="216"/>
    </row>
    <row r="725" spans="11:11" x14ac:dyDescent="0.15">
      <c r="K725" s="216"/>
    </row>
    <row r="726" spans="11:11" x14ac:dyDescent="0.15">
      <c r="K726" s="216"/>
    </row>
    <row r="727" spans="11:11" x14ac:dyDescent="0.15">
      <c r="K727" s="216"/>
    </row>
    <row r="728" spans="11:11" x14ac:dyDescent="0.15">
      <c r="K728" s="216"/>
    </row>
    <row r="729" spans="11:11" x14ac:dyDescent="0.15">
      <c r="K729" s="216"/>
    </row>
    <row r="730" spans="11:11" x14ac:dyDescent="0.15">
      <c r="K730" s="216"/>
    </row>
    <row r="731" spans="11:11" x14ac:dyDescent="0.15">
      <c r="K731" s="216"/>
    </row>
    <row r="732" spans="11:11" x14ac:dyDescent="0.15">
      <c r="K732" s="216"/>
    </row>
    <row r="733" spans="11:11" x14ac:dyDescent="0.15">
      <c r="K733" s="216"/>
    </row>
    <row r="734" spans="11:11" x14ac:dyDescent="0.15">
      <c r="K734" s="216"/>
    </row>
    <row r="735" spans="11:11" x14ac:dyDescent="0.15">
      <c r="K735" s="216"/>
    </row>
    <row r="736" spans="11:11" x14ac:dyDescent="0.15">
      <c r="K736" s="216"/>
    </row>
    <row r="737" spans="11:11" x14ac:dyDescent="0.15">
      <c r="K737" s="216"/>
    </row>
    <row r="738" spans="11:11" x14ac:dyDescent="0.15">
      <c r="K738" s="216"/>
    </row>
    <row r="739" spans="11:11" x14ac:dyDescent="0.15">
      <c r="K739" s="216"/>
    </row>
    <row r="740" spans="11:11" x14ac:dyDescent="0.15">
      <c r="K740" s="216"/>
    </row>
    <row r="741" spans="11:11" x14ac:dyDescent="0.15">
      <c r="K741" s="216"/>
    </row>
    <row r="742" spans="11:11" x14ac:dyDescent="0.15">
      <c r="K742" s="216"/>
    </row>
    <row r="743" spans="11:11" x14ac:dyDescent="0.15">
      <c r="K743" s="216"/>
    </row>
    <row r="744" spans="11:11" x14ac:dyDescent="0.15">
      <c r="K744" s="216"/>
    </row>
    <row r="745" spans="11:11" x14ac:dyDescent="0.15">
      <c r="K745" s="216"/>
    </row>
    <row r="746" spans="11:11" x14ac:dyDescent="0.15">
      <c r="K746" s="216"/>
    </row>
    <row r="747" spans="11:11" x14ac:dyDescent="0.15">
      <c r="K747" s="216"/>
    </row>
    <row r="748" spans="11:11" x14ac:dyDescent="0.15">
      <c r="K748" s="216"/>
    </row>
    <row r="749" spans="11:11" x14ac:dyDescent="0.15">
      <c r="K749" s="216"/>
    </row>
    <row r="750" spans="11:11" x14ac:dyDescent="0.15">
      <c r="K750" s="216"/>
    </row>
    <row r="751" spans="11:11" x14ac:dyDescent="0.15">
      <c r="K751" s="216"/>
    </row>
    <row r="752" spans="11:11" x14ac:dyDescent="0.15">
      <c r="K752" s="216"/>
    </row>
    <row r="753" spans="11:11" x14ac:dyDescent="0.15">
      <c r="K753" s="216"/>
    </row>
    <row r="754" spans="11:11" x14ac:dyDescent="0.15">
      <c r="K754" s="216"/>
    </row>
    <row r="755" spans="11:11" x14ac:dyDescent="0.15">
      <c r="K755" s="216"/>
    </row>
  </sheetData>
  <autoFilter ref="A1:BA84"/>
  <phoneticPr fontId="3"/>
  <dataValidations count="12">
    <dataValidation type="list" allowBlank="1" showInputMessage="1" showErrorMessage="1" sqref="K2:K755">
      <formula1>$AR$2:$AR$23</formula1>
    </dataValidation>
    <dataValidation type="list" allowBlank="1" showInputMessage="1" showErrorMessage="1" sqref="A2:A442">
      <formula1>$AE$2:$AE$19</formula1>
    </dataValidation>
    <dataValidation type="list" allowBlank="1" showInputMessage="1" showErrorMessage="1" sqref="Y2:AA443">
      <formula1>$AV$2:$AV$21</formula1>
    </dataValidation>
    <dataValidation type="list" allowBlank="1" showInputMessage="1" showErrorMessage="1" sqref="H2:H443">
      <formula1>$AL$2:$AL$8</formula1>
    </dataValidation>
    <dataValidation type="list" allowBlank="1" showInputMessage="1" showErrorMessage="1" sqref="X2:X443">
      <formula1>$AT$2:$AT$3</formula1>
    </dataValidation>
    <dataValidation type="list" allowBlank="1" showInputMessage="1" showErrorMessage="1" sqref="G2:G443">
      <formula1>$AJ$2:$AJ$4</formula1>
    </dataValidation>
    <dataValidation type="list" allowBlank="1" showInputMessage="1" showErrorMessage="1" sqref="I2:I443">
      <formula1>$AN$5:$AN$6</formula1>
    </dataValidation>
    <dataValidation type="list" allowBlank="1" showInputMessage="1" showErrorMessage="1" sqref="J2:J443">
      <formula1>$AP$2:$AP$24</formula1>
    </dataValidation>
    <dataValidation type="list" allowBlank="1" showInputMessage="1" showErrorMessage="1" sqref="F2:F443">
      <formula1>$AH$2:$AH$11</formula1>
    </dataValidation>
    <dataValidation type="list" allowBlank="1" showInputMessage="1" showErrorMessage="1" sqref="E2:E443">
      <formula1>$AG$2:$AG$11</formula1>
    </dataValidation>
    <dataValidation type="decimal" allowBlank="1" showInputMessage="1" showErrorMessage="1" error="硬度を正しく入力して下さい。" sqref="O2:P49 O59:P443">
      <formula1>0</formula1>
      <formula2>7</formula2>
    </dataValidation>
    <dataValidation operator="equal" allowBlank="1" showInputMessage="1" showErrorMessage="1" sqref="B2:B112"/>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4FDFBF4-188F-4747-9217-58638A2BCA9D}"/>
</file>

<file path=customXml/itemProps2.xml><?xml version="1.0" encoding="utf-8"?>
<ds:datastoreItem xmlns:ds="http://schemas.openxmlformats.org/officeDocument/2006/customXml" ds:itemID="{C86AEAB1-DD94-447F-9395-EF2478A2B771}"/>
</file>

<file path=customXml/itemProps3.xml><?xml version="1.0" encoding="utf-8"?>
<ds:datastoreItem xmlns:ds="http://schemas.openxmlformats.org/officeDocument/2006/customXml" ds:itemID="{1A3316C7-D0D5-4F7C-A475-18BE1B837DF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2018-10-31T01:22:11Z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