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6.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 r:id="rId12"/>
    <externalReference r:id="rId13"/>
    <externalReference r:id="rId14"/>
  </externalReferences>
  <definedNames>
    <definedName name="_xlnm._FilterDatabase" localSheetId="5" hidden="1">fukuoka!$A$1:$BA$146</definedName>
    <definedName name="_xlnm._FilterDatabase" localSheetId="4" hidden="1">hiroshima!$A$1:$BA$1</definedName>
    <definedName name="_xlnm._FilterDatabase" localSheetId="1" hidden="1">miyagi!$A$1:$BA$88</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'tokyo-west(kato)'!$A$1:$BA$70</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4">#REF!</definedName>
    <definedName name="hiroshima" localSheetId="2">#REF!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4">#REF!</definedName>
    <definedName name="ｌｌｌｌｌ" localSheetId="2">#REF!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4">#REF!</definedName>
    <definedName name="miyagi" localSheetId="2">#REF!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4">#REF!</definedName>
    <definedName name="miyagi2" localSheetId="2">#REF!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hiroshima!$E$1:$S$69</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4">#REF!</definedName>
    <definedName name="yaginuma" localSheetId="2">#REF!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V70" i="32" l="1"/>
  <c r="T70" i="32"/>
  <c r="Q70" i="32"/>
  <c r="T69" i="32"/>
  <c r="V69" i="32" s="1"/>
  <c r="Q69" i="32"/>
  <c r="T68" i="32"/>
  <c r="V68" i="32" s="1"/>
  <c r="Q68" i="32"/>
  <c r="V67" i="32"/>
  <c r="T67" i="32"/>
  <c r="Q67" i="32"/>
  <c r="V66" i="32"/>
  <c r="T66" i="32"/>
  <c r="Q66" i="32"/>
  <c r="T65" i="32"/>
  <c r="V65" i="32" s="1"/>
  <c r="Q65" i="32"/>
  <c r="T64" i="32"/>
  <c r="V64" i="32" s="1"/>
  <c r="Q64" i="32"/>
  <c r="V63" i="32"/>
  <c r="T63" i="32"/>
  <c r="Q63" i="32"/>
  <c r="V62" i="32"/>
  <c r="T62" i="32"/>
  <c r="Q62" i="32"/>
  <c r="T61" i="32"/>
  <c r="V61" i="32" s="1"/>
  <c r="Q61" i="32"/>
  <c r="T60" i="32"/>
  <c r="V60" i="32" s="1"/>
  <c r="Q60" i="32"/>
  <c r="V59" i="32"/>
  <c r="T59" i="32"/>
  <c r="Q59" i="32"/>
  <c r="V58" i="32"/>
  <c r="T58" i="32"/>
  <c r="Q58" i="32"/>
  <c r="T57" i="32"/>
  <c r="V57" i="32" s="1"/>
  <c r="Q57" i="32"/>
  <c r="T56" i="32"/>
  <c r="V56" i="32" s="1"/>
  <c r="Q56" i="32"/>
  <c r="V55" i="32"/>
  <c r="T55" i="32"/>
  <c r="Q55" i="32"/>
  <c r="V54" i="32"/>
  <c r="T54" i="32"/>
  <c r="Q54" i="32"/>
  <c r="T53" i="32"/>
  <c r="V53" i="32" s="1"/>
  <c r="Q53" i="32"/>
  <c r="T52" i="32"/>
  <c r="V52" i="32" s="1"/>
  <c r="Q52" i="32"/>
  <c r="V51" i="32"/>
  <c r="T51" i="32"/>
  <c r="Q51" i="32"/>
  <c r="V50" i="32"/>
  <c r="T50" i="32"/>
  <c r="Q50" i="32"/>
  <c r="T49" i="32"/>
  <c r="V49" i="32" s="1"/>
  <c r="Q49" i="32"/>
  <c r="T48" i="32"/>
  <c r="V48" i="32" s="1"/>
  <c r="Q48" i="32"/>
  <c r="V47" i="32"/>
  <c r="T47" i="32"/>
  <c r="Q47" i="32"/>
  <c r="V46" i="32"/>
  <c r="T46" i="32"/>
  <c r="Q46" i="32"/>
  <c r="T45" i="32"/>
  <c r="V45" i="32" s="1"/>
  <c r="Q45" i="32"/>
  <c r="T44" i="32"/>
  <c r="V44" i="32" s="1"/>
  <c r="Q44" i="32"/>
  <c r="V43" i="32"/>
  <c r="T43" i="32"/>
  <c r="Q43" i="32"/>
  <c r="V42" i="32"/>
  <c r="T42" i="32"/>
  <c r="Q42" i="32"/>
  <c r="T41" i="32"/>
  <c r="V41" i="32" s="1"/>
  <c r="Q41" i="32"/>
  <c r="T40" i="32"/>
  <c r="V40" i="32" s="1"/>
  <c r="Q40" i="32"/>
  <c r="V39" i="32"/>
  <c r="T39" i="32"/>
  <c r="Q39" i="32"/>
  <c r="V38" i="32"/>
  <c r="T38" i="32"/>
  <c r="Q38" i="32"/>
  <c r="T37" i="32"/>
  <c r="V37" i="32" s="1"/>
  <c r="Q37" i="32"/>
  <c r="T36" i="32"/>
  <c r="V36" i="32" s="1"/>
  <c r="Q36" i="32"/>
  <c r="V35" i="32"/>
  <c r="T35" i="32"/>
  <c r="Q35" i="32"/>
  <c r="V34" i="32"/>
  <c r="T34" i="32"/>
  <c r="Q34" i="32"/>
  <c r="T33" i="32"/>
  <c r="V33" i="32" s="1"/>
  <c r="Q33" i="32"/>
  <c r="T32" i="32"/>
  <c r="V32" i="32" s="1"/>
  <c r="Q32" i="32"/>
  <c r="V31" i="32"/>
  <c r="T31" i="32"/>
  <c r="Q31" i="32"/>
  <c r="V30" i="32"/>
  <c r="T30" i="32"/>
  <c r="Q30" i="32"/>
  <c r="T29" i="32"/>
  <c r="V29" i="32" s="1"/>
  <c r="Q29" i="32"/>
  <c r="T28" i="32"/>
  <c r="V28" i="32" s="1"/>
  <c r="Q28" i="32"/>
  <c r="V27" i="32"/>
  <c r="T27" i="32"/>
  <c r="Q27" i="32"/>
  <c r="V26" i="32"/>
  <c r="T26" i="32"/>
  <c r="Q26" i="32"/>
  <c r="T25" i="32"/>
  <c r="V25" i="32" s="1"/>
  <c r="Q25" i="32"/>
  <c r="T24" i="32"/>
  <c r="V24" i="32" s="1"/>
  <c r="Q24" i="32"/>
  <c r="V23" i="32"/>
  <c r="T23" i="32"/>
  <c r="Q23" i="32"/>
  <c r="V22" i="32"/>
  <c r="T22" i="32"/>
  <c r="Q22" i="32"/>
  <c r="T21" i="32"/>
  <c r="V21" i="32" s="1"/>
  <c r="Q21" i="32"/>
  <c r="T20" i="32"/>
  <c r="V20" i="32" s="1"/>
  <c r="Q20" i="32"/>
  <c r="V19" i="32"/>
  <c r="T19" i="32"/>
  <c r="Q19" i="32"/>
  <c r="V18" i="32"/>
  <c r="T18" i="32"/>
  <c r="Q18" i="32"/>
  <c r="T17" i="32"/>
  <c r="V17" i="32" s="1"/>
  <c r="Q17" i="32"/>
  <c r="T16" i="32"/>
  <c r="V16" i="32" s="1"/>
  <c r="Q16" i="32"/>
  <c r="V15" i="32"/>
  <c r="T15" i="32"/>
  <c r="Q15" i="32"/>
  <c r="V14" i="32"/>
  <c r="T14" i="32"/>
  <c r="Q14" i="32"/>
  <c r="T13" i="32"/>
  <c r="V13" i="32" s="1"/>
  <c r="Q13" i="32"/>
  <c r="T12" i="32"/>
  <c r="V12" i="32" s="1"/>
  <c r="Q12" i="32"/>
  <c r="V11" i="32"/>
  <c r="T11" i="32"/>
  <c r="Q11" i="32"/>
  <c r="V10" i="32"/>
  <c r="T10" i="32"/>
  <c r="Q10" i="32"/>
  <c r="T9" i="32"/>
  <c r="V9" i="32" s="1"/>
  <c r="Q9" i="32"/>
  <c r="T8" i="32"/>
  <c r="V8" i="32" s="1"/>
  <c r="Q8" i="32"/>
  <c r="V7" i="32"/>
  <c r="T7" i="32"/>
  <c r="Q7" i="32"/>
  <c r="V6" i="32"/>
  <c r="T6" i="32"/>
  <c r="Q6" i="32"/>
  <c r="T5" i="32"/>
  <c r="V5" i="32" s="1"/>
  <c r="Q5" i="32"/>
  <c r="T4" i="32"/>
  <c r="V4" i="32" s="1"/>
  <c r="Q4" i="32"/>
  <c r="V3" i="32"/>
  <c r="T3" i="32"/>
  <c r="Q3" i="32"/>
  <c r="V2" i="32"/>
  <c r="T2" i="32"/>
  <c r="Q2" i="32"/>
  <c r="V91" i="31" l="1"/>
  <c r="T91" i="31"/>
  <c r="Q91" i="31"/>
  <c r="T90" i="31"/>
  <c r="V90" i="31" s="1"/>
  <c r="Q90" i="31"/>
  <c r="V89" i="31"/>
  <c r="T89" i="31"/>
  <c r="Q89" i="31"/>
  <c r="V88" i="31"/>
  <c r="T88" i="31"/>
  <c r="Q88" i="31"/>
  <c r="V87" i="31"/>
  <c r="T87" i="31"/>
  <c r="Q87" i="31"/>
  <c r="T86" i="31"/>
  <c r="V86" i="31" s="1"/>
  <c r="Q86" i="31"/>
  <c r="V85" i="31"/>
  <c r="T85" i="31"/>
  <c r="Q85" i="31"/>
  <c r="V84" i="31"/>
  <c r="T84" i="31"/>
  <c r="Q84" i="31"/>
  <c r="V83" i="31"/>
  <c r="T83" i="31"/>
  <c r="Q83" i="31"/>
  <c r="T82" i="31"/>
  <c r="V82" i="31" s="1"/>
  <c r="Q82" i="31"/>
  <c r="V81" i="31"/>
  <c r="T81" i="31"/>
  <c r="Q81" i="31"/>
  <c r="V80" i="31"/>
  <c r="T80" i="31"/>
  <c r="Q80" i="31"/>
  <c r="V79" i="31"/>
  <c r="T79" i="31"/>
  <c r="Q79" i="31"/>
  <c r="T78" i="31"/>
  <c r="V78" i="31" s="1"/>
  <c r="Q78" i="31"/>
  <c r="V77" i="31"/>
  <c r="T77" i="31"/>
  <c r="Q77" i="31"/>
  <c r="V76" i="31"/>
  <c r="T76" i="31"/>
  <c r="Q76" i="31"/>
  <c r="V75" i="31"/>
  <c r="T75" i="31"/>
  <c r="Q75" i="31"/>
  <c r="T74" i="31"/>
  <c r="V74" i="31" s="1"/>
  <c r="Q74" i="31"/>
  <c r="V73" i="31"/>
  <c r="T73" i="31"/>
  <c r="Q73" i="31"/>
  <c r="T72" i="31"/>
  <c r="V72" i="31" s="1"/>
  <c r="Q72" i="31"/>
  <c r="V71" i="31"/>
  <c r="T71" i="31"/>
  <c r="Q71" i="31"/>
  <c r="T70" i="31"/>
  <c r="V70" i="31" s="1"/>
  <c r="Q70" i="31"/>
  <c r="V69" i="31"/>
  <c r="T69" i="31"/>
  <c r="Q69" i="31"/>
  <c r="T68" i="31"/>
  <c r="V68" i="31" s="1"/>
  <c r="Q68" i="31"/>
  <c r="V67" i="31"/>
  <c r="T67" i="31"/>
  <c r="Q67" i="31"/>
  <c r="T66" i="31"/>
  <c r="V66" i="31" s="1"/>
  <c r="Q66" i="31"/>
  <c r="V65" i="31"/>
  <c r="T65" i="31"/>
  <c r="Q65" i="31"/>
  <c r="T64" i="31"/>
  <c r="V64" i="31" s="1"/>
  <c r="Q64" i="31"/>
  <c r="V63" i="31"/>
  <c r="T63" i="31"/>
  <c r="Q63" i="31"/>
  <c r="T62" i="31"/>
  <c r="V62" i="31" s="1"/>
  <c r="Q62" i="31"/>
  <c r="T40" i="31"/>
  <c r="V40" i="31" s="1"/>
  <c r="Q40" i="31"/>
  <c r="T39" i="31"/>
  <c r="V39" i="31" s="1"/>
  <c r="Q39" i="31"/>
  <c r="V38" i="31"/>
  <c r="T38" i="31"/>
  <c r="Q38" i="31"/>
  <c r="T37" i="31"/>
  <c r="V37" i="31" s="1"/>
  <c r="Q37" i="31"/>
  <c r="T36" i="31"/>
  <c r="V36" i="31" s="1"/>
  <c r="Q36" i="31"/>
  <c r="T35" i="31"/>
  <c r="V35" i="31" s="1"/>
  <c r="Q35" i="31"/>
  <c r="V34" i="31"/>
  <c r="T34" i="31"/>
  <c r="Q34" i="31"/>
  <c r="T33" i="31"/>
  <c r="V33" i="31" s="1"/>
  <c r="Q33" i="31"/>
  <c r="T32" i="31"/>
  <c r="V32" i="31" s="1"/>
  <c r="Q32" i="31"/>
  <c r="T31" i="31"/>
  <c r="V31" i="31" s="1"/>
  <c r="Q31" i="31"/>
  <c r="V30" i="31"/>
  <c r="T30" i="31"/>
  <c r="Q30" i="31"/>
  <c r="T29" i="31"/>
  <c r="V29" i="31" s="1"/>
  <c r="Q29" i="31"/>
  <c r="T28" i="31"/>
  <c r="V28" i="31" s="1"/>
  <c r="Q28" i="31"/>
  <c r="T27" i="31"/>
  <c r="V27" i="31" s="1"/>
  <c r="Q27" i="31"/>
  <c r="V26" i="31"/>
  <c r="T26" i="31"/>
  <c r="Q26" i="31"/>
  <c r="T25" i="31"/>
  <c r="V25" i="31" s="1"/>
  <c r="Q25" i="31"/>
  <c r="T24" i="31"/>
  <c r="V24" i="31" s="1"/>
  <c r="Q24" i="31"/>
  <c r="T23" i="31"/>
  <c r="V23" i="31" s="1"/>
  <c r="Q23" i="31"/>
  <c r="V22" i="31"/>
  <c r="T22" i="31"/>
  <c r="Q22" i="31"/>
  <c r="T21" i="31"/>
  <c r="V21" i="31" s="1"/>
  <c r="Q21" i="31"/>
  <c r="T20" i="31"/>
  <c r="V20" i="31" s="1"/>
  <c r="Q20" i="31"/>
  <c r="T19" i="31"/>
  <c r="V19" i="31" s="1"/>
  <c r="Q19" i="31"/>
  <c r="V18" i="31"/>
  <c r="T18" i="31"/>
  <c r="Q18" i="31"/>
  <c r="T17" i="31"/>
  <c r="V17" i="31" s="1"/>
  <c r="Q17" i="31"/>
  <c r="T16" i="31"/>
  <c r="V16" i="31" s="1"/>
  <c r="Q16" i="31"/>
  <c r="T15" i="31"/>
  <c r="V15" i="31" s="1"/>
  <c r="Q15" i="31"/>
  <c r="V14" i="31"/>
  <c r="T14" i="31"/>
  <c r="Q14" i="31"/>
  <c r="T13" i="31"/>
  <c r="V13" i="31" s="1"/>
  <c r="Q13" i="31"/>
  <c r="T12" i="31"/>
  <c r="V12" i="31" s="1"/>
  <c r="Q12" i="31"/>
  <c r="T11" i="31"/>
  <c r="V11" i="31" s="1"/>
  <c r="Q11" i="31"/>
  <c r="V10" i="31"/>
  <c r="T10" i="31"/>
  <c r="Q10" i="31"/>
  <c r="T9" i="31"/>
  <c r="V9" i="31" s="1"/>
  <c r="Q9" i="31"/>
  <c r="T8" i="31"/>
  <c r="V8" i="31" s="1"/>
  <c r="Q8" i="31"/>
  <c r="T7" i="31"/>
  <c r="V7" i="31" s="1"/>
  <c r="Q7" i="31"/>
  <c r="V6" i="31"/>
  <c r="T6" i="31"/>
  <c r="Q6" i="31"/>
  <c r="T5" i="31"/>
  <c r="V5" i="31" s="1"/>
  <c r="Q5" i="31"/>
  <c r="T4" i="31"/>
  <c r="V4" i="31" s="1"/>
  <c r="Q4" i="31"/>
  <c r="T3" i="31"/>
  <c r="V3" i="31" s="1"/>
  <c r="Q3" i="31"/>
  <c r="V2" i="31"/>
  <c r="T2" i="31"/>
  <c r="Q2" i="31"/>
  <c r="V146" i="30" l="1"/>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V100" i="30"/>
  <c r="T100" i="30"/>
  <c r="Q100" i="30"/>
  <c r="V99" i="30"/>
  <c r="T99" i="30"/>
  <c r="Q99" i="30"/>
  <c r="V98" i="30"/>
  <c r="T98" i="30"/>
  <c r="Q98" i="30"/>
  <c r="V97" i="30"/>
  <c r="T97" i="30"/>
  <c r="Q97" i="30"/>
  <c r="V96" i="30"/>
  <c r="T96" i="30"/>
  <c r="Q96" i="30"/>
  <c r="V95" i="30"/>
  <c r="T95" i="30"/>
  <c r="Q95"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67" i="29" l="1"/>
  <c r="V67" i="29" s="1"/>
  <c r="Q67" i="29"/>
  <c r="T66" i="29"/>
  <c r="V66" i="29" s="1"/>
  <c r="Q66" i="29"/>
  <c r="T65" i="29"/>
  <c r="V65" i="29" s="1"/>
  <c r="Q65" i="29"/>
  <c r="V64" i="29"/>
  <c r="T64" i="29"/>
  <c r="Q64" i="29"/>
  <c r="T63" i="29"/>
  <c r="V63" i="29" s="1"/>
  <c r="Q63" i="29"/>
  <c r="T62" i="29"/>
  <c r="V62" i="29" s="1"/>
  <c r="Q62" i="29"/>
  <c r="T61" i="29"/>
  <c r="V61" i="29" s="1"/>
  <c r="Q61" i="29"/>
  <c r="V60" i="29"/>
  <c r="T60" i="29"/>
  <c r="Q60" i="29"/>
  <c r="T59" i="29"/>
  <c r="V59" i="29" s="1"/>
  <c r="Q59" i="29"/>
  <c r="T58" i="29"/>
  <c r="V58" i="29" s="1"/>
  <c r="Q58" i="29"/>
  <c r="T57" i="29"/>
  <c r="V57" i="29" s="1"/>
  <c r="Q57" i="29"/>
  <c r="V56" i="29"/>
  <c r="T56" i="29"/>
  <c r="Q56" i="29"/>
  <c r="T55" i="29"/>
  <c r="V55" i="29" s="1"/>
  <c r="Q55" i="29"/>
  <c r="T54" i="29"/>
  <c r="V54" i="29" s="1"/>
  <c r="Q54" i="29"/>
  <c r="T53" i="29"/>
  <c r="V53" i="29" s="1"/>
  <c r="Q53" i="29"/>
  <c r="V52" i="29"/>
  <c r="T52" i="29"/>
  <c r="Q52" i="29"/>
  <c r="T51" i="29"/>
  <c r="V51" i="29" s="1"/>
  <c r="Q51" i="29"/>
  <c r="T50" i="29"/>
  <c r="V50" i="29" s="1"/>
  <c r="Q50" i="29"/>
  <c r="T49" i="29"/>
  <c r="V49" i="29" s="1"/>
  <c r="Q49" i="29"/>
  <c r="V48" i="29"/>
  <c r="T48" i="29"/>
  <c r="Q48" i="29"/>
  <c r="T47" i="29"/>
  <c r="V47" i="29" s="1"/>
  <c r="Q47" i="29"/>
  <c r="T46" i="29"/>
  <c r="V46" i="29" s="1"/>
  <c r="Q46" i="29"/>
  <c r="T45" i="29"/>
  <c r="V45" i="29" s="1"/>
  <c r="Q45" i="29"/>
  <c r="V44" i="29"/>
  <c r="T44" i="29"/>
  <c r="Q44" i="29"/>
  <c r="T43" i="29"/>
  <c r="V43" i="29" s="1"/>
  <c r="Q43" i="29"/>
  <c r="T42" i="29"/>
  <c r="V42" i="29" s="1"/>
  <c r="Q42" i="29"/>
  <c r="T41" i="29"/>
  <c r="V41" i="29" s="1"/>
  <c r="Q41" i="29"/>
  <c r="V40" i="29"/>
  <c r="T40" i="29"/>
  <c r="Q40" i="29"/>
  <c r="T39" i="29"/>
  <c r="V39" i="29" s="1"/>
  <c r="Q39" i="29"/>
  <c r="T38" i="29"/>
  <c r="V38" i="29" s="1"/>
  <c r="Q38" i="29"/>
  <c r="T37" i="29"/>
  <c r="V37" i="29" s="1"/>
  <c r="Q37" i="29"/>
  <c r="V36" i="29"/>
  <c r="T36" i="29"/>
  <c r="Q36" i="29"/>
  <c r="T35" i="29"/>
  <c r="V35" i="29" s="1"/>
  <c r="Q35" i="29"/>
  <c r="T34" i="29"/>
  <c r="V34" i="29" s="1"/>
  <c r="Q34" i="29"/>
  <c r="T33" i="29"/>
  <c r="V33" i="29" s="1"/>
  <c r="Q33" i="29"/>
  <c r="V32" i="29"/>
  <c r="T32" i="29"/>
  <c r="Q32" i="29"/>
  <c r="T31" i="29"/>
  <c r="V31" i="29" s="1"/>
  <c r="Q31" i="29"/>
  <c r="T30" i="29"/>
  <c r="V30" i="29" s="1"/>
  <c r="Q30" i="29"/>
  <c r="V29" i="29"/>
  <c r="T29" i="29"/>
  <c r="Q29" i="29"/>
  <c r="V28" i="29"/>
  <c r="T28" i="29"/>
  <c r="Q28" i="29"/>
  <c r="T27" i="29"/>
  <c r="V27" i="29" s="1"/>
  <c r="Q27" i="29"/>
  <c r="T26" i="29"/>
  <c r="V26" i="29" s="1"/>
  <c r="Q26" i="29"/>
  <c r="V25" i="29"/>
  <c r="T25" i="29"/>
  <c r="Q25" i="29"/>
  <c r="V24" i="29"/>
  <c r="T24" i="29"/>
  <c r="Q24" i="29"/>
  <c r="T23" i="29"/>
  <c r="V23" i="29" s="1"/>
  <c r="Q23" i="29"/>
  <c r="T22" i="29"/>
  <c r="V22" i="29" s="1"/>
  <c r="Q22" i="29"/>
  <c r="V21" i="29"/>
  <c r="T21" i="29"/>
  <c r="Q21" i="29"/>
  <c r="V20" i="29"/>
  <c r="T20" i="29"/>
  <c r="Q20" i="29"/>
  <c r="T19" i="29"/>
  <c r="V19" i="29" s="1"/>
  <c r="Q19" i="29"/>
  <c r="T18" i="29"/>
  <c r="V18" i="29" s="1"/>
  <c r="Q18" i="29"/>
  <c r="V17" i="29"/>
  <c r="T17" i="29"/>
  <c r="Q17" i="29"/>
  <c r="V16" i="29"/>
  <c r="T16" i="29"/>
  <c r="Q16" i="29"/>
  <c r="T15" i="29"/>
  <c r="V15" i="29" s="1"/>
  <c r="Q15" i="29"/>
  <c r="T14" i="29"/>
  <c r="V14" i="29" s="1"/>
  <c r="Q14" i="29"/>
  <c r="V13" i="29"/>
  <c r="T13" i="29"/>
  <c r="Q13" i="29"/>
  <c r="V12" i="29"/>
  <c r="T12" i="29"/>
  <c r="Q12" i="29"/>
  <c r="T11" i="29"/>
  <c r="V11" i="29" s="1"/>
  <c r="Q11" i="29"/>
  <c r="T10" i="29"/>
  <c r="V10" i="29" s="1"/>
  <c r="Q10" i="29"/>
  <c r="V9" i="29"/>
  <c r="T9" i="29"/>
  <c r="Q9" i="29"/>
  <c r="V8" i="29"/>
  <c r="T8" i="29"/>
  <c r="Q8" i="29"/>
  <c r="T7" i="29"/>
  <c r="V7" i="29" s="1"/>
  <c r="Q7" i="29"/>
  <c r="T6" i="29"/>
  <c r="V6" i="29" s="1"/>
  <c r="Q6" i="29"/>
  <c r="V5" i="29"/>
  <c r="T5" i="29"/>
  <c r="Q5" i="29"/>
  <c r="V4" i="29"/>
  <c r="T4" i="29"/>
  <c r="Q4" i="29"/>
  <c r="T3" i="29"/>
  <c r="V3" i="29" s="1"/>
  <c r="Q3" i="29"/>
  <c r="T2" i="29"/>
  <c r="V2" i="29" s="1"/>
  <c r="Q2" i="29"/>
  <c r="T85" i="28" l="1"/>
  <c r="V85" i="28" s="1"/>
  <c r="Q85" i="28"/>
  <c r="T84" i="28"/>
  <c r="V84" i="28" s="1"/>
  <c r="Q84" i="28"/>
  <c r="V83" i="28"/>
  <c r="T83" i="28"/>
  <c r="Q83" i="28"/>
  <c r="V82" i="28"/>
  <c r="T82" i="28"/>
  <c r="Q82" i="28"/>
  <c r="T81" i="28"/>
  <c r="V81" i="28" s="1"/>
  <c r="Q81" i="28"/>
  <c r="T80" i="28"/>
  <c r="V80" i="28" s="1"/>
  <c r="Q80" i="28"/>
  <c r="V79" i="28"/>
  <c r="T79" i="28"/>
  <c r="Q79" i="28"/>
  <c r="V78" i="28"/>
  <c r="T78" i="28"/>
  <c r="Q78" i="28"/>
  <c r="T77" i="28"/>
  <c r="V77" i="28" s="1"/>
  <c r="Q77" i="28"/>
  <c r="T76" i="28"/>
  <c r="V76" i="28" s="1"/>
  <c r="Q76" i="28"/>
  <c r="V75" i="28"/>
  <c r="T75" i="28"/>
  <c r="Q75" i="28"/>
  <c r="V74" i="28"/>
  <c r="T74" i="28"/>
  <c r="Q74" i="28"/>
  <c r="T73" i="28"/>
  <c r="V73" i="28" s="1"/>
  <c r="Q73" i="28"/>
  <c r="T72" i="28"/>
  <c r="V72" i="28" s="1"/>
  <c r="Q72" i="28"/>
  <c r="V71" i="28"/>
  <c r="T71" i="28"/>
  <c r="Q71" i="28"/>
  <c r="V70" i="28"/>
  <c r="T70" i="28"/>
  <c r="Q70" i="28"/>
  <c r="T69" i="28"/>
  <c r="V69" i="28" s="1"/>
  <c r="Q69" i="28"/>
  <c r="T68" i="28"/>
  <c r="V68" i="28" s="1"/>
  <c r="Q68" i="28"/>
  <c r="V67" i="28"/>
  <c r="T67" i="28"/>
  <c r="Q67" i="28"/>
  <c r="V66" i="28"/>
  <c r="T66" i="28"/>
  <c r="Q66" i="28"/>
  <c r="T65" i="28"/>
  <c r="V65" i="28" s="1"/>
  <c r="Q65" i="28"/>
  <c r="T64" i="28"/>
  <c r="V64" i="28" s="1"/>
  <c r="Q64" i="28"/>
  <c r="V63" i="28"/>
  <c r="T63" i="28"/>
  <c r="Q63" i="28"/>
  <c r="V62" i="28"/>
  <c r="T62" i="28"/>
  <c r="Q62" i="28"/>
  <c r="T61" i="28"/>
  <c r="V61" i="28" s="1"/>
  <c r="Q61" i="28"/>
  <c r="T60" i="28"/>
  <c r="V60" i="28" s="1"/>
  <c r="Q60" i="28"/>
  <c r="V59" i="28"/>
  <c r="T59" i="28"/>
  <c r="Q59" i="28"/>
  <c r="V58" i="28"/>
  <c r="T58" i="28"/>
  <c r="Q58" i="28"/>
  <c r="T57" i="28"/>
  <c r="V57" i="28" s="1"/>
  <c r="Q57" i="28"/>
  <c r="T56" i="28"/>
  <c r="V56" i="28" s="1"/>
  <c r="Q56" i="28"/>
  <c r="V55" i="28"/>
  <c r="T55" i="28"/>
  <c r="Q55" i="28"/>
  <c r="V54" i="28"/>
  <c r="T54" i="28"/>
  <c r="Q54" i="28"/>
  <c r="T53" i="28"/>
  <c r="V53" i="28" s="1"/>
  <c r="Q53" i="28"/>
  <c r="T52" i="28"/>
  <c r="V52" i="28" s="1"/>
  <c r="Q52" i="28"/>
  <c r="T51" i="28"/>
  <c r="V51" i="28" s="1"/>
  <c r="Q51" i="28"/>
  <c r="V50" i="28"/>
  <c r="T50" i="28"/>
  <c r="Q50" i="28"/>
  <c r="T49" i="28"/>
  <c r="V49" i="28" s="1"/>
  <c r="Q49" i="28"/>
  <c r="T48" i="28"/>
  <c r="V48" i="28" s="1"/>
  <c r="Q48" i="28"/>
  <c r="T47" i="28"/>
  <c r="V47" i="28" s="1"/>
  <c r="Q47" i="28"/>
  <c r="V46" i="28"/>
  <c r="T46" i="28"/>
  <c r="Q46" i="28"/>
  <c r="T45" i="28"/>
  <c r="V45" i="28" s="1"/>
  <c r="Q45" i="28"/>
  <c r="T44" i="28"/>
  <c r="V44" i="28" s="1"/>
  <c r="Q44" i="28"/>
  <c r="V43" i="28"/>
  <c r="T43" i="28"/>
  <c r="Q43" i="28"/>
  <c r="V42" i="28"/>
  <c r="T42" i="28"/>
  <c r="Q42" i="28"/>
  <c r="T41" i="28"/>
  <c r="V41" i="28" s="1"/>
  <c r="Q41" i="28"/>
  <c r="T40" i="28"/>
  <c r="V40" i="28" s="1"/>
  <c r="Q40" i="28"/>
  <c r="V39" i="28"/>
  <c r="T39" i="28"/>
  <c r="Q39" i="28"/>
  <c r="V38" i="28"/>
  <c r="T38" i="28"/>
  <c r="Q38" i="28"/>
  <c r="T37" i="28"/>
  <c r="V37" i="28" s="1"/>
  <c r="Q37" i="28"/>
  <c r="T36" i="28"/>
  <c r="V36" i="28" s="1"/>
  <c r="Q36" i="28"/>
  <c r="V35" i="28"/>
  <c r="T35" i="28"/>
  <c r="Q35" i="28"/>
  <c r="V34" i="28"/>
  <c r="T34" i="28"/>
  <c r="Q34" i="28"/>
  <c r="T33" i="28"/>
  <c r="V33" i="28" s="1"/>
  <c r="Q33" i="28"/>
  <c r="T32" i="28"/>
  <c r="V32" i="28" s="1"/>
  <c r="Q32" i="28"/>
  <c r="V31" i="28"/>
  <c r="T31" i="28"/>
  <c r="Q31" i="28"/>
  <c r="V30" i="28"/>
  <c r="T30" i="28"/>
  <c r="Q30" i="28"/>
  <c r="T29" i="28"/>
  <c r="V29" i="28" s="1"/>
  <c r="Q29" i="28"/>
  <c r="T28" i="28"/>
  <c r="V28" i="28" s="1"/>
  <c r="Q28" i="28"/>
  <c r="V27" i="28"/>
  <c r="T27" i="28"/>
  <c r="Q27" i="28"/>
  <c r="V26" i="28"/>
  <c r="T26" i="28"/>
  <c r="Q26" i="28"/>
  <c r="T25" i="28"/>
  <c r="V25" i="28" s="1"/>
  <c r="Q25" i="28"/>
  <c r="T24" i="28"/>
  <c r="V24" i="28" s="1"/>
  <c r="Q24" i="28"/>
  <c r="V23" i="28"/>
  <c r="T23" i="28"/>
  <c r="Q23" i="28"/>
  <c r="V22" i="28"/>
  <c r="T22" i="28"/>
  <c r="Q22" i="28"/>
  <c r="T21" i="28"/>
  <c r="V21" i="28" s="1"/>
  <c r="Q21" i="28"/>
  <c r="T20" i="28"/>
  <c r="V20" i="28" s="1"/>
  <c r="Q20" i="28"/>
  <c r="V19" i="28"/>
  <c r="T19" i="28"/>
  <c r="Q19" i="28"/>
  <c r="V18" i="28"/>
  <c r="T18" i="28"/>
  <c r="Q18" i="28"/>
  <c r="T17" i="28"/>
  <c r="V17" i="28" s="1"/>
  <c r="Q17" i="28"/>
  <c r="T16" i="28"/>
  <c r="V16" i="28" s="1"/>
  <c r="Q16" i="28"/>
  <c r="V15" i="28"/>
  <c r="T15" i="28"/>
  <c r="Q15" i="28"/>
  <c r="V14" i="28"/>
  <c r="T14" i="28"/>
  <c r="Q14" i="28"/>
  <c r="T13" i="28"/>
  <c r="V13" i="28" s="1"/>
  <c r="Q13" i="28"/>
  <c r="T12" i="28"/>
  <c r="V12" i="28" s="1"/>
  <c r="Q12" i="28"/>
  <c r="V11" i="28"/>
  <c r="T11" i="28"/>
  <c r="Q11" i="28"/>
  <c r="V10" i="28"/>
  <c r="T10" i="28"/>
  <c r="Q10" i="28"/>
  <c r="T9" i="28"/>
  <c r="V9" i="28" s="1"/>
  <c r="Q9" i="28"/>
  <c r="T8" i="28"/>
  <c r="V8" i="28" s="1"/>
  <c r="Q8" i="28"/>
  <c r="V7" i="28"/>
  <c r="T7" i="28"/>
  <c r="Q7" i="28"/>
  <c r="V6" i="28"/>
  <c r="T6" i="28"/>
  <c r="Q6" i="28"/>
  <c r="T5" i="28"/>
  <c r="V5" i="28" s="1"/>
  <c r="Q5" i="28"/>
  <c r="T4" i="28"/>
  <c r="V4" i="28" s="1"/>
  <c r="Q4" i="28"/>
  <c r="V3" i="28"/>
  <c r="T3" i="28"/>
  <c r="Q3" i="28"/>
  <c r="V2" i="28"/>
  <c r="T2" i="28"/>
  <c r="Q2" i="28"/>
  <c r="V46" i="27"/>
  <c r="T46" i="27"/>
  <c r="Q46" i="27"/>
  <c r="V45" i="27"/>
  <c r="T45" i="27"/>
  <c r="Q45" i="27"/>
  <c r="V44" i="27"/>
  <c r="T44" i="27"/>
  <c r="Q44" i="27"/>
  <c r="V43" i="27"/>
  <c r="T43" i="27"/>
  <c r="Q43" i="27"/>
  <c r="V42" i="27"/>
  <c r="T42" i="27"/>
  <c r="Q42" i="27"/>
  <c r="V41" i="27"/>
  <c r="T41" i="27"/>
  <c r="Q41" i="27"/>
  <c r="V40" i="27"/>
  <c r="T40" i="27"/>
  <c r="Q40" i="27"/>
  <c r="V39" i="27"/>
  <c r="T39" i="27"/>
  <c r="Q39" i="27"/>
  <c r="V38" i="27"/>
  <c r="T38" i="27"/>
  <c r="Q38" i="27"/>
  <c r="V37" i="27"/>
  <c r="T37" i="27"/>
  <c r="Q37" i="27"/>
  <c r="V36" i="27"/>
  <c r="T36" i="27"/>
  <c r="Q36" i="27"/>
  <c r="V35" i="27"/>
  <c r="T35" i="27"/>
  <c r="Q35" i="27"/>
  <c r="V34" i="27"/>
  <c r="T34" i="27"/>
  <c r="Q34" i="27"/>
  <c r="V33" i="27"/>
  <c r="T33" i="27"/>
  <c r="Q33" i="27"/>
  <c r="V32" i="27"/>
  <c r="T32" i="27"/>
  <c r="Q32" i="27"/>
  <c r="V31" i="27"/>
  <c r="T31" i="27"/>
  <c r="Q31" i="27"/>
  <c r="V30" i="27"/>
  <c r="T30" i="27"/>
  <c r="Q30" i="27"/>
  <c r="V29" i="27"/>
  <c r="T29" i="27"/>
  <c r="Q29" i="27"/>
  <c r="V28" i="27"/>
  <c r="T28" i="27"/>
  <c r="Q28" i="27"/>
  <c r="V27" i="27"/>
  <c r="T27" i="27"/>
  <c r="Q27" i="27"/>
  <c r="V26" i="27"/>
  <c r="T26" i="27"/>
  <c r="Q26" i="27"/>
  <c r="V25" i="27"/>
  <c r="T25" i="27"/>
  <c r="Q25" i="27"/>
  <c r="V24" i="27"/>
  <c r="T24" i="27"/>
  <c r="Q24" i="27"/>
  <c r="V23" i="27"/>
  <c r="T23" i="27"/>
  <c r="Q23" i="27"/>
  <c r="V22" i="27"/>
  <c r="T22" i="27"/>
  <c r="Q22" i="27"/>
  <c r="V21" i="27"/>
  <c r="T21" i="27"/>
  <c r="Q21" i="27"/>
  <c r="V20" i="27"/>
  <c r="T20" i="27"/>
  <c r="Q20" i="27"/>
  <c r="V19" i="27"/>
  <c r="T19" i="27"/>
  <c r="Q19" i="27"/>
  <c r="V18" i="27"/>
  <c r="T18" i="27"/>
  <c r="Q18" i="27"/>
  <c r="V17" i="27"/>
  <c r="T17" i="27"/>
  <c r="Q17" i="27"/>
  <c r="V16" i="27"/>
  <c r="T16" i="27"/>
  <c r="Q16" i="27"/>
  <c r="V15" i="27"/>
  <c r="T15" i="27"/>
  <c r="Q15" i="27"/>
  <c r="V14" i="27"/>
  <c r="T14" i="27"/>
  <c r="Q14" i="27"/>
  <c r="V13" i="27"/>
  <c r="T13" i="27"/>
  <c r="Q13" i="27"/>
  <c r="V12" i="27"/>
  <c r="T12" i="27"/>
  <c r="Q12" i="27"/>
  <c r="V11" i="27"/>
  <c r="T11" i="27"/>
  <c r="Q11" i="27"/>
  <c r="V10" i="27"/>
  <c r="T10" i="27"/>
  <c r="Q10" i="27"/>
  <c r="V9" i="27"/>
  <c r="T9" i="27"/>
  <c r="Q9" i="27"/>
  <c r="V8" i="27"/>
  <c r="T8" i="27"/>
  <c r="Q8" i="27"/>
  <c r="V7" i="27"/>
  <c r="T7" i="27"/>
  <c r="Q7" i="27"/>
  <c r="V6" i="27"/>
  <c r="T6" i="27"/>
  <c r="Q6" i="27"/>
  <c r="V5" i="27"/>
  <c r="T5" i="27"/>
  <c r="Q5" i="27"/>
  <c r="V4" i="27"/>
  <c r="T4" i="27"/>
  <c r="Q4" i="27"/>
  <c r="V3" i="27"/>
  <c r="T3" i="27"/>
  <c r="Q3" i="27"/>
  <c r="V2" i="27"/>
  <c r="T2" i="27"/>
  <c r="Q2" i="27"/>
  <c r="T79" i="26" l="1"/>
  <c r="V79" i="26" s="1"/>
  <c r="Q79" i="26"/>
  <c r="T78" i="26"/>
  <c r="V78" i="26" s="1"/>
  <c r="Q78" i="26"/>
  <c r="T77" i="26"/>
  <c r="V77" i="26" s="1"/>
  <c r="Q77" i="26"/>
  <c r="T76" i="26"/>
  <c r="V76" i="26" s="1"/>
  <c r="Q76" i="26"/>
  <c r="V75" i="26"/>
  <c r="T75" i="26"/>
  <c r="Q75" i="26"/>
  <c r="V74" i="26"/>
  <c r="T74" i="26"/>
  <c r="Q74" i="26"/>
  <c r="T73" i="26"/>
  <c r="V73" i="26" s="1"/>
  <c r="Q73" i="26"/>
  <c r="T72" i="26"/>
  <c r="V72" i="26" s="1"/>
  <c r="Q72" i="26"/>
  <c r="V71" i="26"/>
  <c r="T71" i="26"/>
  <c r="Q71" i="26"/>
  <c r="V70" i="26"/>
  <c r="T70" i="26"/>
  <c r="Q70" i="26"/>
  <c r="T69" i="26"/>
  <c r="V69" i="26" s="1"/>
  <c r="Q69" i="26"/>
  <c r="T68" i="26"/>
  <c r="V68" i="26" s="1"/>
  <c r="Q68" i="26"/>
  <c r="V67" i="26"/>
  <c r="T67" i="26"/>
  <c r="Q67" i="26"/>
  <c r="V66" i="26"/>
  <c r="T66" i="26"/>
  <c r="Q66" i="26"/>
  <c r="T65" i="26"/>
  <c r="V65" i="26" s="1"/>
  <c r="Q65" i="26"/>
  <c r="T64" i="26"/>
  <c r="V64" i="26" s="1"/>
  <c r="Q64" i="26"/>
  <c r="V63" i="26"/>
  <c r="T63" i="26"/>
  <c r="Q63" i="26"/>
  <c r="V62" i="26"/>
  <c r="T62" i="26"/>
  <c r="Q62" i="26"/>
  <c r="T61" i="26"/>
  <c r="V61" i="26" s="1"/>
  <c r="Q61" i="26"/>
  <c r="T60" i="26"/>
  <c r="V60" i="26" s="1"/>
  <c r="Q60" i="26"/>
  <c r="V59" i="26"/>
  <c r="T59" i="26"/>
  <c r="Q59" i="26"/>
  <c r="V58" i="26"/>
  <c r="T58" i="26"/>
  <c r="Q58" i="26"/>
  <c r="T57" i="26"/>
  <c r="V57" i="26" s="1"/>
  <c r="Q57" i="26"/>
  <c r="T56" i="26"/>
  <c r="V56" i="26" s="1"/>
  <c r="Q56" i="26"/>
  <c r="V55" i="26"/>
  <c r="T55" i="26"/>
  <c r="Q55" i="26"/>
  <c r="V54" i="26"/>
  <c r="T54" i="26"/>
  <c r="Q54" i="26"/>
  <c r="T53" i="26"/>
  <c r="V53" i="26" s="1"/>
  <c r="Q53" i="26"/>
  <c r="T52" i="26"/>
  <c r="V52" i="26" s="1"/>
  <c r="Q52" i="26"/>
  <c r="V51" i="26"/>
  <c r="T51" i="26"/>
  <c r="Q51" i="26"/>
  <c r="V50" i="26"/>
  <c r="T50" i="26"/>
  <c r="Q50" i="26"/>
  <c r="T49" i="26"/>
  <c r="V49" i="26" s="1"/>
  <c r="Q49" i="26"/>
  <c r="T48" i="26"/>
  <c r="V48" i="26" s="1"/>
  <c r="Q48" i="26"/>
  <c r="V47" i="26"/>
  <c r="T47" i="26"/>
  <c r="Q47" i="26"/>
  <c r="V46" i="26"/>
  <c r="T46" i="26"/>
  <c r="Q46" i="26"/>
  <c r="T45" i="26"/>
  <c r="V45" i="26" s="1"/>
  <c r="Q45" i="26"/>
  <c r="T44" i="26"/>
  <c r="V44" i="26" s="1"/>
  <c r="Q44" i="26"/>
  <c r="V43" i="26"/>
  <c r="T43" i="26"/>
  <c r="Q43" i="26"/>
  <c r="V42" i="26"/>
  <c r="T42" i="26"/>
  <c r="Q42" i="26"/>
  <c r="T41" i="26"/>
  <c r="V41" i="26" s="1"/>
  <c r="Q41" i="26"/>
  <c r="T40" i="26"/>
  <c r="V40" i="26" s="1"/>
  <c r="Q40" i="26"/>
  <c r="V39" i="26"/>
  <c r="T39" i="26"/>
  <c r="Q39" i="26"/>
  <c r="V38" i="26"/>
  <c r="T38" i="26"/>
  <c r="Q38" i="26"/>
  <c r="T37" i="26"/>
  <c r="V37" i="26" s="1"/>
  <c r="Q37" i="26"/>
  <c r="T36" i="26"/>
  <c r="V36" i="26" s="1"/>
  <c r="Q36" i="26"/>
  <c r="V35" i="26"/>
  <c r="T35" i="26"/>
  <c r="Q35" i="26"/>
  <c r="V34" i="26"/>
  <c r="T34" i="26"/>
  <c r="Q34" i="26"/>
  <c r="T33" i="26"/>
  <c r="V33" i="26" s="1"/>
  <c r="Q33" i="26"/>
  <c r="T32" i="26"/>
  <c r="V32" i="26" s="1"/>
  <c r="Q32" i="26"/>
  <c r="V31" i="26"/>
  <c r="T31" i="26"/>
  <c r="Q31" i="26"/>
  <c r="V30" i="26"/>
  <c r="T30" i="26"/>
  <c r="Q30" i="26"/>
  <c r="T29" i="26"/>
  <c r="V29" i="26" s="1"/>
  <c r="Q29" i="26"/>
  <c r="T28" i="26"/>
  <c r="V28" i="26" s="1"/>
  <c r="Q28" i="26"/>
  <c r="V27" i="26"/>
  <c r="T27" i="26"/>
  <c r="Q27" i="26"/>
  <c r="V26" i="26"/>
  <c r="T26" i="26"/>
  <c r="Q26" i="26"/>
  <c r="T25" i="26"/>
  <c r="V25" i="26" s="1"/>
  <c r="Q25" i="26"/>
  <c r="T24" i="26"/>
  <c r="V24" i="26" s="1"/>
  <c r="Q24" i="26"/>
  <c r="V23" i="26"/>
  <c r="T23" i="26"/>
  <c r="Q23" i="26"/>
  <c r="V22" i="26"/>
  <c r="T22" i="26"/>
  <c r="Q22" i="26"/>
  <c r="T21" i="26"/>
  <c r="V21" i="26" s="1"/>
  <c r="Q21" i="26"/>
  <c r="T20" i="26"/>
  <c r="V20" i="26" s="1"/>
  <c r="Q20" i="26"/>
  <c r="V19" i="26"/>
  <c r="T19" i="26"/>
  <c r="Q19" i="26"/>
  <c r="V18" i="26"/>
  <c r="T18" i="26"/>
  <c r="Q18" i="26"/>
  <c r="T17" i="26"/>
  <c r="V17" i="26" s="1"/>
  <c r="Q17" i="26"/>
  <c r="T16" i="26"/>
  <c r="V16" i="26" s="1"/>
  <c r="Q16" i="26"/>
  <c r="V15" i="26"/>
  <c r="T15" i="26"/>
  <c r="Q15" i="26"/>
  <c r="V14" i="26"/>
  <c r="T14" i="26"/>
  <c r="Q14" i="26"/>
  <c r="T13" i="26"/>
  <c r="V13" i="26" s="1"/>
  <c r="Q13" i="26"/>
  <c r="T12" i="26"/>
  <c r="V12" i="26" s="1"/>
  <c r="Q12" i="26"/>
  <c r="V11" i="26"/>
  <c r="T11" i="26"/>
  <c r="Q11" i="26"/>
  <c r="T10" i="26"/>
  <c r="V10" i="26" s="1"/>
  <c r="Q10" i="26"/>
  <c r="T9" i="26"/>
  <c r="V9" i="26" s="1"/>
  <c r="Q9" i="26"/>
  <c r="T8" i="26"/>
  <c r="V8" i="26" s="1"/>
  <c r="Q8" i="26"/>
  <c r="V7" i="26"/>
  <c r="T7" i="26"/>
  <c r="Q7" i="26"/>
  <c r="T6" i="26"/>
  <c r="V6" i="26" s="1"/>
  <c r="Q6" i="26"/>
  <c r="T5" i="26"/>
  <c r="V5" i="26" s="1"/>
  <c r="Q5" i="26"/>
  <c r="T4" i="26"/>
  <c r="V4" i="26" s="1"/>
  <c r="Q4" i="26"/>
  <c r="V3" i="26"/>
  <c r="T3" i="26"/>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<sst xmlns="http://schemas.openxmlformats.org/spreadsheetml/2006/main" count="7912" uniqueCount="544">
  <si>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</si>
  <si>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</si>
  <si>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</si>
  <si>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</si>
  <si>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</si>
  <si>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</si>
  <si>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</si>
  <si>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</si>
  <si>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</si>
  <si>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</si>
  <si>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</si>
  <si>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</si>
  <si>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</si>
  <si>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</si>
  <si>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</si>
  <si>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</si>
  <si>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</si>
  <si>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</si>
  <si>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</si>
  <si>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</si>
  <si>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</si>
  <si>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</si>
  <si>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</si>
  <si>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</si>
  <si>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</si>
  <si>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</si>
  <si>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</si>
  <si>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</si>
  <si>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</si>
  <si>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</si>
  <si>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</si>
  <si>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</si>
  <si>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</si>
  <si>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</si>
  <si>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</si>
  <si>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</si>
  <si>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</si>
  <si>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</si>
  <si>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</si>
  <si>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</si>
  <si>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</si>
  <si>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</si>
  <si>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</si>
  <si>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</si>
  <si>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</si>
  <si>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</si>
  <si>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</si>
  <si>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</si>
  <si>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</si>
  <si>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</si>
  <si>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</si>
  <si>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</si>
  <si>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</si>
  <si>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</si>
  <si>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</si>
  <si>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</si>
  <si>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</si>
  <si>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</si>
  <si>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</si>
  <si>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</si>
  <si>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</si>
  <si>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</si>
  <si>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</si>
  <si>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</si>
  <si>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</si>
  <si>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</si>
  <si>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</si>
  <si>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</si>
  <si>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</si>
  <si>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</si>
  <si>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</si>
  <si>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</si>
  <si>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</si>
  <si>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</si>
  <si>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</si>
  <si>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</si>
  <si>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</si>
  <si>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</si>
  <si>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</si>
  <si>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</si>
  <si>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</si>
  <si>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</si>
  <si>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</si>
  <si>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</si>
  <si>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</si>
  <si>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</si>
  <si>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</si>
  <si>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</si>
  <si>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</si>
  <si>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</si>
  <si>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</si>
  <si>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</si>
  <si>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</si>
  <si>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</si>
  <si>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</si>
  <si>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</si>
  <si>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</si>
  <si>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</si>
  <si>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</si>
  <si>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</si>
  <si>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</si>
  <si>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</si>
  <si>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</si>
  <si>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</si>
  <si>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</si>
  <si>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</si>
  <si>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</si>
  <si>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</si>
  <si>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</si>
  <si>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</si>
  <si>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</si>
  <si>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</si>
  <si>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</si>
  <si>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</si>
  <si>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</si>
  <si>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</si>
  <si>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</si>
  <si>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</si>
  <si>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</si>
  <si>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</si>
  <si>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</si>
  <si>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</si>
  <si>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</si>
  <si>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</si>
  <si>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</si>
  <si>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</si>
  <si>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</si>
  <si>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</si>
  <si>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</si>
  <si>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</si>
  <si>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</si>
  <si>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</si>
  <si>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</si>
  <si>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</si>
  <si>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</si>
  <si>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</si>
  <si>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</si>
  <si>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</si>
  <si>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</si>
  <si>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</si>
  <si>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</si>
  <si>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</si>
  <si>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</si>
  <si>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</si>
  <si>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</si>
  <si>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</si>
  <si>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</si>
  <si>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</si>
  <si>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</si>
  <si>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</si>
  <si>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</si>
  <si>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</si>
  <si>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</si>
  <si>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</si>
  <si>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</si>
  <si>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</si>
  <si>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シーズン</t>
    <phoneticPr fontId="4"/>
  </si>
  <si>
    <r>
      <t xml:space="preserve">Green
Other
</t>
    </r>
    <r>
      <rPr>
        <b/>
        <sz val="8"/>
        <rFont val="ＭＳ Ｐゴシック"/>
        <family val="3"/>
        <charset val="128"/>
      </rPr>
      <t>最低重量</t>
    </r>
    <phoneticPr fontId="4"/>
  </si>
  <si>
    <t>Green
Other
SIZE</t>
    <phoneticPr fontId="4"/>
  </si>
  <si>
    <t>GA</t>
  </si>
  <si>
    <t>ラフランス</t>
  </si>
  <si>
    <t>西友</t>
  </si>
  <si>
    <t>検体
番号</t>
    <phoneticPr fontId="4"/>
  </si>
  <si>
    <t>硬度
１</t>
    <phoneticPr fontId="4"/>
  </si>
  <si>
    <r>
      <t xml:space="preserve">Gold
</t>
    </r>
    <r>
      <rPr>
        <b/>
        <sz val="8"/>
        <rFont val="ＭＳ Ｐゴシック"/>
        <family val="3"/>
        <charset val="128"/>
      </rPr>
      <t>最低重量</t>
    </r>
    <phoneticPr fontId="4"/>
  </si>
  <si>
    <t>Gold
SIZE</t>
    <phoneticPr fontId="4"/>
  </si>
  <si>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</si>
  <si>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</si>
  <si>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</si>
  <si>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</si>
  <si>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</si>
  <si>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</si>
  <si>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</si>
  <si>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</si>
  <si>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</si>
  <si>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</si>
  <si>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</si>
  <si>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</si>
  <si>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</si>
  <si>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マックスバリュ</t>
  </si>
  <si>
    <t>北海道</t>
    <rPh sb="0" eb="3">
      <t>ホッカイドウ</t>
    </rPh>
    <phoneticPr fontId="3"/>
  </si>
  <si>
    <t>JP</t>
  </si>
  <si>
    <t>JP</t>
    <phoneticPr fontId="3"/>
  </si>
  <si>
    <t>JPY</t>
  </si>
  <si>
    <t>JPY</t>
    <phoneticPr fontId="3"/>
  </si>
  <si>
    <t>マックスバリュ</t>
    <phoneticPr fontId="3"/>
  </si>
  <si>
    <t>北40条店</t>
    <rPh sb="4" eb="5">
      <t>テン</t>
    </rPh>
    <phoneticPr fontId="3"/>
  </si>
  <si>
    <t>27.11.2018</t>
  </si>
  <si>
    <t>27.11.2018</t>
    <phoneticPr fontId="3"/>
  </si>
  <si>
    <t>26.11.2018</t>
    <phoneticPr fontId="3"/>
  </si>
  <si>
    <t>ﾆｭｰｼﾞｰﾗﾝﾄﾞ</t>
    <phoneticPr fontId="4"/>
  </si>
  <si>
    <t>26.11.2018</t>
    <phoneticPr fontId="3"/>
  </si>
  <si>
    <t>26.11.2018</t>
  </si>
  <si>
    <t>D'lish</t>
    <phoneticPr fontId="4"/>
  </si>
  <si>
    <t>中国</t>
    <phoneticPr fontId="4"/>
  </si>
  <si>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</si>
  <si>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</si>
  <si>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</si>
  <si>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</si>
  <si>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</si>
  <si>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</si>
  <si>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</si>
  <si>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</si>
  <si>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</si>
  <si>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</si>
  <si>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検体
番号</t>
    <phoneticPr fontId="4"/>
  </si>
  <si>
    <t>Currency</t>
    <phoneticPr fontId="4"/>
  </si>
  <si>
    <r>
      <t xml:space="preserve">Green
Other
</t>
    </r>
    <r>
      <rPr>
        <b/>
        <sz val="8"/>
        <rFont val="ＭＳ Ｐゴシック"/>
        <family val="3"/>
        <charset val="128"/>
      </rPr>
      <t>最低重量</t>
    </r>
    <phoneticPr fontId="4"/>
  </si>
  <si>
    <t>30.11.2018</t>
    <phoneticPr fontId="3"/>
  </si>
  <si>
    <t>アオキスーパー</t>
  </si>
  <si>
    <t>日進岩藤店</t>
    <rPh sb="0" eb="2">
      <t>ニッシン</t>
    </rPh>
    <phoneticPr fontId="4"/>
  </si>
  <si>
    <t>アオキスーパー</t>
    <phoneticPr fontId="4"/>
  </si>
  <si>
    <t>日進店</t>
    <rPh sb="0" eb="2">
      <t>ニッシン</t>
    </rPh>
    <rPh sb="2" eb="3">
      <t>ミセ</t>
    </rPh>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</si>
  <si>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</si>
  <si>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</si>
  <si>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</si>
  <si>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</si>
  <si>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</si>
  <si>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</si>
  <si>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</si>
  <si>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OB</t>
    <phoneticPr fontId="4"/>
  </si>
  <si>
    <t>マックスバリュ</t>
    <phoneticPr fontId="4"/>
  </si>
  <si>
    <t>藤が丘店</t>
    <rPh sb="0" eb="1">
      <t>フジ</t>
    </rPh>
    <rPh sb="2" eb="3">
      <t>オカ</t>
    </rPh>
    <rPh sb="3" eb="4">
      <t>ミセ</t>
    </rPh>
    <phoneticPr fontId="4"/>
  </si>
  <si>
    <t>JP</t>
    <phoneticPr fontId="3"/>
  </si>
  <si>
    <t>30.11.2018</t>
    <phoneticPr fontId="3"/>
  </si>
  <si>
    <t>カネトク</t>
    <phoneticPr fontId="4"/>
  </si>
  <si>
    <t>GA</t>
    <phoneticPr fontId="4"/>
  </si>
  <si>
    <t>旬楽膳</t>
    <rPh sb="0" eb="1">
      <t>シュン</t>
    </rPh>
    <rPh sb="1" eb="2">
      <t>ラク</t>
    </rPh>
    <rPh sb="2" eb="3">
      <t>ゼン</t>
    </rPh>
    <phoneticPr fontId="4"/>
  </si>
  <si>
    <t>JP</t>
    <phoneticPr fontId="3"/>
  </si>
  <si>
    <t>30.11.2018</t>
    <phoneticPr fontId="3"/>
  </si>
  <si>
    <t>マックスバリュ</t>
    <phoneticPr fontId="4"/>
  </si>
  <si>
    <t>長久手店</t>
    <phoneticPr fontId="4"/>
  </si>
  <si>
    <t>OB</t>
  </si>
  <si>
    <t>アピタ</t>
    <phoneticPr fontId="4"/>
  </si>
  <si>
    <t>JP</t>
    <phoneticPr fontId="3"/>
  </si>
  <si>
    <t>30.11.2018</t>
    <phoneticPr fontId="3"/>
  </si>
  <si>
    <t>アオキスーパー</t>
    <phoneticPr fontId="4"/>
  </si>
  <si>
    <t>長久手店</t>
    <phoneticPr fontId="4"/>
  </si>
  <si>
    <t>JP</t>
    <phoneticPr fontId="3"/>
  </si>
  <si>
    <t>30.11.2018</t>
    <phoneticPr fontId="3"/>
  </si>
  <si>
    <t>JP</t>
    <phoneticPr fontId="3"/>
  </si>
  <si>
    <t>30.11.2018</t>
    <phoneticPr fontId="3"/>
  </si>
  <si>
    <t>ピアゴ</t>
  </si>
  <si>
    <t>長久手南店</t>
  </si>
  <si>
    <t>JP</t>
    <phoneticPr fontId="3"/>
  </si>
  <si>
    <t>30.11.2018</t>
    <phoneticPr fontId="3"/>
  </si>
  <si>
    <t>カネスエ</t>
  </si>
  <si>
    <t>長久手店</t>
  </si>
  <si>
    <t>いちじく</t>
    <phoneticPr fontId="4"/>
  </si>
  <si>
    <t>ラフランス</t>
    <phoneticPr fontId="4"/>
  </si>
  <si>
    <t>キラキラ</t>
    <phoneticPr fontId="4"/>
  </si>
  <si>
    <t>グリーンアイ</t>
    <phoneticPr fontId="4"/>
  </si>
  <si>
    <t>カネトク</t>
  </si>
  <si>
    <t>アピタ</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</si>
  <si>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</si>
  <si>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</si>
  <si>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</si>
  <si>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</si>
  <si>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</si>
  <si>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</si>
  <si>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</si>
  <si>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</si>
  <si>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</si>
  <si>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</si>
  <si>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</si>
  <si>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</si>
  <si>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</si>
  <si>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</si>
  <si>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</si>
  <si>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</si>
  <si>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30.11.2018</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</si>
  <si>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</si>
  <si>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</si>
  <si>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</si>
  <si>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</si>
  <si>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</si>
  <si>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</si>
  <si>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</si>
  <si>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</si>
  <si>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</si>
  <si>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</si>
  <si>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</si>
  <si>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</si>
  <si>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</si>
  <si>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</si>
  <si>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</si>
  <si>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</si>
  <si>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</si>
  <si>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</si>
  <si>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</si>
  <si>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</si>
  <si>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</si>
  <si>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</si>
  <si>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</si>
  <si>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</si>
  <si>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</si>
  <si>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</si>
  <si>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</si>
  <si>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</si>
  <si>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津久野店</t>
  </si>
  <si>
    <t>佐賀</t>
  </si>
  <si>
    <t>埼玉</t>
  </si>
  <si>
    <t>群馬</t>
  </si>
  <si>
    <t>千葉</t>
  </si>
  <si>
    <t>宮崎</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</si>
  <si>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</si>
  <si>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</si>
  <si>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</si>
  <si>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</si>
  <si>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</si>
  <si>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</si>
  <si>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</si>
  <si>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</si>
  <si>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</si>
  <si>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</si>
  <si>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</si>
  <si>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</si>
  <si>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</si>
  <si>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</si>
  <si>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</si>
  <si>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</si>
  <si>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</si>
  <si>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県名</t>
    <phoneticPr fontId="3"/>
  </si>
  <si>
    <t>シーズン</t>
    <phoneticPr fontId="4"/>
  </si>
  <si>
    <t>チェーン名</t>
    <phoneticPr fontId="3"/>
  </si>
  <si>
    <t>品種</t>
    <phoneticPr fontId="3"/>
  </si>
  <si>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</si>
  <si>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</si>
  <si>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</si>
  <si>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</si>
  <si>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</si>
  <si>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</si>
  <si>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</si>
  <si>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</si>
  <si>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</si>
  <si>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</si>
  <si>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</si>
  <si>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26.11.2018</t>
    <phoneticPr fontId="3"/>
  </si>
  <si>
    <t>福や</t>
  </si>
  <si>
    <t>鉄砲町店</t>
    <rPh sb="3" eb="4">
      <t>テン</t>
    </rPh>
    <phoneticPr fontId="3"/>
  </si>
  <si>
    <t>JPY</t>
    <phoneticPr fontId="3"/>
  </si>
  <si>
    <t>ﾆｭｰｼﾞｰﾗﾝﾄﾞ</t>
    <phoneticPr fontId="4"/>
  </si>
  <si>
    <t>JP</t>
    <phoneticPr fontId="3"/>
  </si>
  <si>
    <t>26.11.2018</t>
    <phoneticPr fontId="3"/>
  </si>
  <si>
    <t>JPY</t>
    <phoneticPr fontId="3"/>
  </si>
  <si>
    <t>ユアーズ</t>
  </si>
  <si>
    <t>十日市店</t>
    <rPh sb="3" eb="4">
      <t>テン</t>
    </rPh>
    <phoneticPr fontId="3"/>
  </si>
  <si>
    <t>スパーク</t>
  </si>
  <si>
    <t>御幸の杜店</t>
    <rPh sb="3" eb="4">
      <t>モリ</t>
    </rPh>
    <rPh sb="4" eb="5">
      <t>テン</t>
    </rPh>
    <phoneticPr fontId="3"/>
  </si>
  <si>
    <t>D'lish</t>
    <phoneticPr fontId="4"/>
  </si>
  <si>
    <t>中国</t>
    <phoneticPr fontId="4"/>
  </si>
  <si>
    <t>山陽マルナカ</t>
  </si>
  <si>
    <t>白島店</t>
    <rPh sb="0" eb="2">
      <t>ハクシマ</t>
    </rPh>
    <rPh sb="2" eb="3">
      <t>テン</t>
    </rPh>
    <phoneticPr fontId="3"/>
  </si>
  <si>
    <t>HW</t>
    <phoneticPr fontId="4"/>
  </si>
  <si>
    <t>CK</t>
    <phoneticPr fontId="4"/>
  </si>
  <si>
    <t>Del Monte</t>
    <phoneticPr fontId="3"/>
  </si>
  <si>
    <t>JP</t>
    <phoneticPr fontId="3"/>
  </si>
  <si>
    <t>26.11.2018</t>
    <phoneticPr fontId="3"/>
  </si>
  <si>
    <t>JPY</t>
    <phoneticPr fontId="3"/>
  </si>
  <si>
    <t>アルク</t>
  </si>
  <si>
    <t>東千田店</t>
    <rPh sb="3" eb="4">
      <t>テン</t>
    </rPh>
    <phoneticPr fontId="3"/>
  </si>
  <si>
    <t>GK</t>
    <phoneticPr fontId="4"/>
  </si>
  <si>
    <t>OB</t>
    <phoneticPr fontId="4"/>
  </si>
  <si>
    <t>フレスタ</t>
  </si>
  <si>
    <t>吉島店</t>
    <rPh sb="0" eb="2">
      <t>ヨシジマ</t>
    </rPh>
    <rPh sb="2" eb="3">
      <t>テン</t>
    </rPh>
    <phoneticPr fontId="3"/>
  </si>
  <si>
    <t>HE</t>
    <phoneticPr fontId="4"/>
  </si>
  <si>
    <t>26.11.2018</t>
    <phoneticPr fontId="3"/>
  </si>
  <si>
    <t>CK</t>
    <phoneticPr fontId="3"/>
  </si>
  <si>
    <t>JPY</t>
    <phoneticPr fontId="3"/>
  </si>
  <si>
    <t>ピュアクック</t>
  </si>
  <si>
    <t>観音店</t>
    <rPh sb="2" eb="3">
      <t>テン</t>
    </rPh>
    <phoneticPr fontId="3"/>
  </si>
  <si>
    <t>宇品店</t>
    <rPh sb="2" eb="3">
      <t>テン</t>
    </rPh>
    <phoneticPr fontId="3"/>
  </si>
  <si>
    <t>26.11.2018</t>
    <phoneticPr fontId="3"/>
  </si>
  <si>
    <t>JPY</t>
    <phoneticPr fontId="3"/>
  </si>
  <si>
    <t>イズミゆめタウン</t>
  </si>
  <si>
    <t>広島店</t>
    <rPh sb="2" eb="3">
      <t>テン</t>
    </rPh>
    <phoneticPr fontId="3"/>
  </si>
  <si>
    <t>フジグラン</t>
  </si>
  <si>
    <t>バナナ</t>
    <phoneticPr fontId="4"/>
  </si>
  <si>
    <t>26.11.2018</t>
    <phoneticPr fontId="3"/>
  </si>
  <si>
    <t>JPY</t>
    <phoneticPr fontId="3"/>
  </si>
  <si>
    <t>パパイヤ</t>
    <phoneticPr fontId="4"/>
  </si>
  <si>
    <t>26.11.2018</t>
    <phoneticPr fontId="3"/>
  </si>
  <si>
    <t>JPY</t>
    <phoneticPr fontId="3"/>
  </si>
  <si>
    <t>びわ</t>
    <phoneticPr fontId="4"/>
  </si>
  <si>
    <t>26.11.2018</t>
    <phoneticPr fontId="3"/>
  </si>
  <si>
    <t>JPY</t>
    <phoneticPr fontId="3"/>
  </si>
  <si>
    <t>メロン</t>
    <phoneticPr fontId="4"/>
  </si>
  <si>
    <t>桃</t>
    <phoneticPr fontId="4"/>
  </si>
  <si>
    <t>26.11.2018</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</si>
  <si>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</si>
  <si>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</si>
  <si>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</si>
  <si>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</si>
  <si>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</si>
  <si>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</si>
  <si>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</si>
  <si>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販売
ユニット
個数</t>
    <phoneticPr fontId="4"/>
  </si>
  <si>
    <t>U/P JPY</t>
    <phoneticPr fontId="4"/>
  </si>
  <si>
    <t>28.11.2018</t>
    <phoneticPr fontId="3"/>
  </si>
  <si>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</si>
  <si>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</si>
  <si>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</si>
  <si>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</si>
  <si>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</si>
  <si>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</si>
  <si>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ﾆｭｰｼﾞｰﾗﾝﾄﾞ</t>
    <phoneticPr fontId="4"/>
  </si>
  <si>
    <t>JP</t>
    <phoneticPr fontId="3"/>
  </si>
  <si>
    <t>28.11.2018</t>
    <phoneticPr fontId="3"/>
  </si>
  <si>
    <t>マルショク</t>
    <phoneticPr fontId="3"/>
  </si>
  <si>
    <t>JPY</t>
    <phoneticPr fontId="4"/>
  </si>
  <si>
    <t>マルショク</t>
  </si>
  <si>
    <t>バナナ</t>
    <phoneticPr fontId="3"/>
  </si>
  <si>
    <t>HW</t>
    <phoneticPr fontId="3"/>
  </si>
  <si>
    <t>CK</t>
    <phoneticPr fontId="3"/>
  </si>
  <si>
    <t>マミーズ</t>
  </si>
  <si>
    <t>美野島</t>
    <rPh sb="0" eb="1">
      <t>ミ</t>
    </rPh>
    <rPh sb="1" eb="2">
      <t>ノ</t>
    </rPh>
    <rPh sb="2" eb="3">
      <t>シマ</t>
    </rPh>
    <phoneticPr fontId="3"/>
  </si>
  <si>
    <t>D'lish</t>
    <phoneticPr fontId="4"/>
  </si>
  <si>
    <t>福岡</t>
    <rPh sb="0" eb="2">
      <t>フクオカ</t>
    </rPh>
    <phoneticPr fontId="4"/>
  </si>
  <si>
    <t>りんご</t>
    <phoneticPr fontId="3"/>
  </si>
  <si>
    <t>JA全農ふくれん</t>
    <rPh sb="2" eb="4">
      <t>ゼンノウ</t>
    </rPh>
    <phoneticPr fontId="3"/>
  </si>
  <si>
    <t>西鉄ストア</t>
    <rPh sb="0" eb="2">
      <t>ニシテツ</t>
    </rPh>
    <phoneticPr fontId="3"/>
  </si>
  <si>
    <t>高宮</t>
    <rPh sb="0" eb="2">
      <t>タカミヤ</t>
    </rPh>
    <phoneticPr fontId="3"/>
  </si>
  <si>
    <t>HW</t>
    <phoneticPr fontId="4"/>
  </si>
  <si>
    <t>CK</t>
    <phoneticPr fontId="4"/>
  </si>
  <si>
    <t>Del Monte</t>
    <phoneticPr fontId="4"/>
  </si>
  <si>
    <t>いちご</t>
    <phoneticPr fontId="3"/>
  </si>
  <si>
    <t>レッドキャベツ</t>
  </si>
  <si>
    <t>博多駅南</t>
    <rPh sb="0" eb="3">
      <t>ハカタエキ</t>
    </rPh>
    <rPh sb="3" eb="4">
      <t>ミナミ</t>
    </rPh>
    <phoneticPr fontId="3"/>
  </si>
  <si>
    <t>GK</t>
    <phoneticPr fontId="4"/>
  </si>
  <si>
    <t>OB</t>
    <phoneticPr fontId="4"/>
  </si>
  <si>
    <t>佐賀</t>
    <rPh sb="0" eb="2">
      <t>サガ</t>
    </rPh>
    <phoneticPr fontId="3"/>
  </si>
  <si>
    <t>28.11.2018</t>
    <phoneticPr fontId="3"/>
  </si>
  <si>
    <t>マルショク</t>
    <phoneticPr fontId="3"/>
  </si>
  <si>
    <t>JPY</t>
    <phoneticPr fontId="4"/>
  </si>
  <si>
    <t>マルキョウ</t>
  </si>
  <si>
    <t>清水</t>
    <rPh sb="0" eb="2">
      <t>シミズ</t>
    </rPh>
    <phoneticPr fontId="3"/>
  </si>
  <si>
    <t>HE</t>
    <phoneticPr fontId="4"/>
  </si>
  <si>
    <t>韓国</t>
    <rPh sb="0" eb="2">
      <t>カンコク</t>
    </rPh>
    <phoneticPr fontId="4"/>
  </si>
  <si>
    <t>JP</t>
    <phoneticPr fontId="3"/>
  </si>
  <si>
    <t>28.11.2018</t>
    <phoneticPr fontId="3"/>
  </si>
  <si>
    <t>HW</t>
    <phoneticPr fontId="4"/>
  </si>
  <si>
    <t>CK</t>
    <phoneticPr fontId="4"/>
  </si>
  <si>
    <t>Del Monte</t>
    <phoneticPr fontId="4"/>
  </si>
  <si>
    <t>いちご</t>
    <phoneticPr fontId="3"/>
  </si>
  <si>
    <t>GK</t>
    <phoneticPr fontId="4"/>
  </si>
  <si>
    <t>OB</t>
    <phoneticPr fontId="4"/>
  </si>
  <si>
    <t>ニューヨークストア</t>
  </si>
  <si>
    <t>住吉</t>
    <rPh sb="0" eb="2">
      <t>スミヨシ</t>
    </rPh>
    <phoneticPr fontId="3"/>
  </si>
  <si>
    <t>栃木</t>
    <rPh sb="0" eb="2">
      <t>トチギ</t>
    </rPh>
    <phoneticPr fontId="4"/>
  </si>
  <si>
    <t>オレンジ</t>
    <phoneticPr fontId="3"/>
  </si>
  <si>
    <t>JP</t>
    <phoneticPr fontId="3"/>
  </si>
  <si>
    <t>28.11.2018</t>
    <phoneticPr fontId="3"/>
  </si>
  <si>
    <t>28.11.2018</t>
    <phoneticPr fontId="3"/>
  </si>
  <si>
    <t>28.11.2018</t>
    <phoneticPr fontId="3"/>
  </si>
  <si>
    <t>山神農園</t>
    <rPh sb="0" eb="4">
      <t>ヤマガミノウエン</t>
    </rPh>
    <phoneticPr fontId="3"/>
  </si>
  <si>
    <t>喜芳園</t>
    <rPh sb="0" eb="1">
      <t>ヨロコ</t>
    </rPh>
    <rPh sb="1" eb="2">
      <t>ヨシモト</t>
    </rPh>
    <rPh sb="2" eb="3">
      <t>¥</t>
    </rPh>
    <phoneticPr fontId="3"/>
  </si>
  <si>
    <t>28.11.2018</t>
    <phoneticPr fontId="3"/>
  </si>
  <si>
    <t>柿</t>
    <rPh sb="0" eb="1">
      <t>カキ</t>
    </rPh>
    <phoneticPr fontId="3"/>
  </si>
  <si>
    <t>JPY</t>
    <phoneticPr fontId="4"/>
  </si>
  <si>
    <t>JP</t>
    <phoneticPr fontId="3"/>
  </si>
  <si>
    <t>28.11.2018</t>
    <phoneticPr fontId="3"/>
  </si>
  <si>
    <t>ＪＡみなみ筑後</t>
    <rPh sb="5" eb="7">
      <t>チクゴ</t>
    </rPh>
    <phoneticPr fontId="4"/>
  </si>
  <si>
    <t>いちじく</t>
    <phoneticPr fontId="4"/>
  </si>
  <si>
    <t>日本生態農業協会</t>
    <rPh sb="0" eb="2">
      <t>ニホンセイタイ</t>
    </rPh>
    <rPh sb="2" eb="4">
      <t>セイタイ</t>
    </rPh>
    <rPh sb="4" eb="6">
      <t>ノウギョウ</t>
    </rPh>
    <rPh sb="6" eb="8">
      <t>キョウカイ</t>
    </rPh>
    <phoneticPr fontId="4"/>
  </si>
  <si>
    <t>ラフランス</t>
    <phoneticPr fontId="3"/>
  </si>
  <si>
    <t>ＪＡ八女</t>
    <rPh sb="2" eb="4">
      <t>ヤメ</t>
    </rPh>
    <phoneticPr fontId="4"/>
  </si>
  <si>
    <t>甘夏</t>
    <rPh sb="0" eb="2">
      <t>アマナツ</t>
    </rPh>
    <phoneticPr fontId="3"/>
  </si>
  <si>
    <t>ボンラパス</t>
  </si>
  <si>
    <t>キラキラ</t>
    <phoneticPr fontId="4"/>
  </si>
  <si>
    <t>プラム</t>
    <phoneticPr fontId="3"/>
  </si>
  <si>
    <t>グリーンアイ</t>
    <phoneticPr fontId="4"/>
  </si>
  <si>
    <t>ぽんかん</t>
    <phoneticPr fontId="3"/>
  </si>
  <si>
    <t>ダイキョーバリュー</t>
  </si>
  <si>
    <t>大橋</t>
    <rPh sb="0" eb="2">
      <t>オオハシ</t>
    </rPh>
    <phoneticPr fontId="3"/>
  </si>
  <si>
    <t>アメリカンチェリー</t>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</si>
  <si>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</si>
  <si>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</si>
  <si>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</si>
  <si>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</si>
  <si>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</si>
  <si>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</si>
  <si>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</si>
  <si>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</si>
  <si>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</si>
  <si>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</si>
  <si>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</si>
  <si>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</si>
  <si>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</si>
  <si>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29.11.2018</t>
    <phoneticPr fontId="3"/>
  </si>
  <si>
    <t>サミット</t>
  </si>
  <si>
    <t>久が原食品館</t>
    <rPh sb="0" eb="1">
      <t>ヒサ</t>
    </rPh>
    <rPh sb="2" eb="3">
      <t>ハラ</t>
    </rPh>
    <rPh sb="3" eb="5">
      <t>ショクヒン</t>
    </rPh>
    <rPh sb="5" eb="6">
      <t>カン</t>
    </rPh>
    <phoneticPr fontId="4"/>
  </si>
  <si>
    <t>JPY</t>
    <phoneticPr fontId="3"/>
  </si>
  <si>
    <t>カドヤ</t>
    <phoneticPr fontId="4"/>
  </si>
  <si>
    <t>大森館</t>
    <rPh sb="2" eb="3">
      <t>カン</t>
    </rPh>
    <phoneticPr fontId="4"/>
  </si>
  <si>
    <t>ﾆｭｰｼﾞｰﾗﾝﾄﾞ</t>
    <phoneticPr fontId="4"/>
  </si>
  <si>
    <t>29.11.2018</t>
  </si>
  <si>
    <t>西友</t>
    <rPh sb="0" eb="2">
      <t>セイユウ</t>
    </rPh>
    <phoneticPr fontId="4"/>
  </si>
  <si>
    <t>大森店</t>
    <rPh sb="0" eb="2">
      <t>オオモリ</t>
    </rPh>
    <rPh sb="2" eb="3">
      <t>テン</t>
    </rPh>
    <phoneticPr fontId="4"/>
  </si>
  <si>
    <t>イオン</t>
    <phoneticPr fontId="4"/>
  </si>
  <si>
    <t>品川シーサイド店</t>
    <rPh sb="0" eb="2">
      <t>シナガワ</t>
    </rPh>
    <rPh sb="7" eb="8">
      <t>テン</t>
    </rPh>
    <phoneticPr fontId="4"/>
  </si>
  <si>
    <t>D'lish</t>
    <phoneticPr fontId="4"/>
  </si>
  <si>
    <t>中国</t>
    <phoneticPr fontId="4"/>
  </si>
  <si>
    <t>ライフ</t>
    <phoneticPr fontId="4"/>
  </si>
  <si>
    <t>大崎ﾆｭｰｼﾃｨ店</t>
    <rPh sb="0" eb="2">
      <t>オオサキ</t>
    </rPh>
    <rPh sb="8" eb="9">
      <t>テン</t>
    </rPh>
    <phoneticPr fontId="4"/>
  </si>
  <si>
    <t>HW</t>
    <phoneticPr fontId="4"/>
  </si>
  <si>
    <t>CK</t>
    <phoneticPr fontId="4"/>
  </si>
  <si>
    <t>Del Monte</t>
    <phoneticPr fontId="3"/>
  </si>
  <si>
    <t>マルエツ</t>
    <phoneticPr fontId="4"/>
  </si>
  <si>
    <t>蒲田店</t>
    <rPh sb="0" eb="2">
      <t>カマタ</t>
    </rPh>
    <rPh sb="2" eb="3">
      <t>テン</t>
    </rPh>
    <phoneticPr fontId="4"/>
  </si>
  <si>
    <t>GK</t>
    <phoneticPr fontId="4"/>
  </si>
  <si>
    <t>OB</t>
    <phoneticPr fontId="4"/>
  </si>
  <si>
    <t>東急ストア</t>
    <rPh sb="0" eb="2">
      <t>トウキュウ</t>
    </rPh>
    <phoneticPr fontId="4"/>
  </si>
  <si>
    <t>HE</t>
    <phoneticPr fontId="4"/>
  </si>
  <si>
    <t>サミット</t>
    <phoneticPr fontId="4"/>
  </si>
  <si>
    <t>品川店</t>
    <rPh sb="0" eb="2">
      <t>シナガワ</t>
    </rPh>
    <rPh sb="2" eb="3">
      <t>テン</t>
    </rPh>
    <phoneticPr fontId="4"/>
  </si>
  <si>
    <t>イトーヨーカドー</t>
    <phoneticPr fontId="4"/>
  </si>
  <si>
    <t>大井町店</t>
    <rPh sb="0" eb="4">
      <t>オオイマチテン</t>
    </rPh>
    <phoneticPr fontId="4"/>
  </si>
  <si>
    <t>サミット</t>
    <phoneticPr fontId="4"/>
  </si>
  <si>
    <t>大森西店</t>
    <phoneticPr fontId="4"/>
  </si>
  <si>
    <t>マルエツ</t>
  </si>
  <si>
    <t>大森西店</t>
  </si>
  <si>
    <t>ラフランス</t>
    <phoneticPr fontId="3"/>
  </si>
  <si>
    <t>カドヤ</t>
  </si>
  <si>
    <t>U/P JPY</t>
    <phoneticPr fontId="4"/>
  </si>
  <si>
    <t>２番人気
果実</t>
    <phoneticPr fontId="3"/>
  </si>
  <si>
    <t>26.11.2018</t>
    <phoneticPr fontId="3"/>
  </si>
  <si>
    <t>鹿骨店</t>
  </si>
  <si>
    <t>松江店</t>
  </si>
  <si>
    <t>オリンピック</t>
  </si>
  <si>
    <t>西一之江店</t>
  </si>
  <si>
    <t>ヤマイチ</t>
  </si>
  <si>
    <t>今井店</t>
  </si>
  <si>
    <t>コモディイイダ</t>
  </si>
  <si>
    <t>西瑞江店</t>
  </si>
  <si>
    <t>いなげや</t>
  </si>
  <si>
    <t>江戸川春江店</t>
  </si>
  <si>
    <t>東武ストア</t>
  </si>
  <si>
    <t>新小岩店</t>
  </si>
  <si>
    <t>サミットストア</t>
  </si>
  <si>
    <t>本一色店</t>
  </si>
  <si>
    <t>ビッグ・エー</t>
  </si>
  <si>
    <t>江戸川本一色店</t>
  </si>
  <si>
    <t>江戸川中央店</t>
  </si>
  <si>
    <t>JPY</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</si>
</sst>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6">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0691854609822"/>
      </top>
      <bottom/>
      <diagonal/>
    </border>
    <border>
      <left style="thin">
        <color theme="0" tint="-0.14993743705557422"/>
      </left>
      <right style="thin">
        <color theme="0" tint="-0.14993743705557422"/>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38">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0" fontId="1" fillId="0" borderId="0" xfId="1" applyFont="1" applyAlignment="1">
      <alignment horizont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0" fillId="0" borderId="7" xfId="1" applyFont="1" applyFill="1" applyBorder="1"/>
    <xf numFmtId="0" fontId="10" fillId="0" borderId="12" xfId="1" applyFont="1" applyBorder="1"/>
    <xf numFmtId="0" fontId="1" fillId="0" borderId="12" xfId="1" applyFont="1" applyFill="1" applyBorder="1"/>
    <xf numFmtId="0" fontId="10" fillId="0" borderId="16" xfId="1" applyFont="1" applyBorder="1"/>
    <xf numFmtId="0" fontId="1" fillId="0" borderId="0" xfId="1" applyFont="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0" fontId="1" fillId="0" borderId="0" xfId="1" applyFont="1" applyBorder="1"/>
    <xf numFmtId="178" fontId="1" fillId="3"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178" fontId="1" fillId="2" borderId="0" xfId="1" applyNumberForma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0" fontId="1" fillId="0" borderId="0" xfId="5" applyFont="1" applyFill="1" applyAlignment="1"/>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0" fontId="1" fillId="0" borderId="0" xfId="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Border="1"/>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5" xfId="1" applyFont="1" applyFill="1" applyBorder="1"/>
    <xf numFmtId="0" fontId="1" fillId="4" borderId="36" xfId="1" applyFill="1" applyBorder="1"/>
    <xf numFmtId="0" fontId="1" fillId="0" borderId="36" xfId="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5"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1" fillId="0" borderId="0" xfId="7">
      <alignment vertical="center"/>
    </xf>
    <xf numFmtId="0" fontId="1" fillId="0" borderId="0" xfId="1" applyFill="1" applyBorder="1"/>
    <xf numFmtId="14" fontId="0" fillId="4" borderId="44" xfId="1" applyNumberFormat="1" applyFont="1" applyFill="1" applyBorder="1"/>
    <xf numFmtId="14" fontId="0" fillId="4" borderId="45" xfId="1" applyNumberFormat="1" applyFont="1" applyFill="1" applyBorder="1"/>
    <xf numFmtId="14" fontId="0" fillId="0" borderId="0" xfId="1" applyNumberFormat="1" applyFont="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nagoya_4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osaka4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hiroshima_4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fukuoka_4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2467;&#12500;&#12540;Zespri%20Shopsurvey_ota_48.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espri%20Shopsurvey_kato_4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 val="Sheet1"/>
      <sheetName val="Sheet2"/>
    </sheetNames>
    <sheetDataSet>
      <sheetData sheetId="0"/>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AB25" sqref="AB25"/>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180</v>
      </c>
      <c r="B2" s="15" t="s">
        <v>182</v>
      </c>
      <c r="C2" s="15">
        <v>2018</v>
      </c>
      <c r="D2" s="50" t="s">
        <v>188</v>
      </c>
      <c r="E2" s="15" t="s">
        <v>141</v>
      </c>
      <c r="F2" s="15" t="s">
        <v>149</v>
      </c>
      <c r="G2" s="15" t="s">
        <v>36</v>
      </c>
      <c r="H2" s="15" t="s">
        <v>155</v>
      </c>
      <c r="I2" s="15" t="s">
        <v>153</v>
      </c>
      <c r="J2" s="15" t="s">
        <v>38</v>
      </c>
      <c r="K2" s="7" t="s">
        <v>154</v>
      </c>
      <c r="L2" s="7">
        <v>1</v>
      </c>
      <c r="N2" s="47">
        <v>1</v>
      </c>
      <c r="O2" s="15">
        <v>0.65</v>
      </c>
      <c r="P2" s="15">
        <v>0.55000000000000004</v>
      </c>
      <c r="Q2" s="51">
        <f t="shared" ref="Q2:Q65" si="0">IF(OR(O2="",P2=""),"",AVERAGE(O2,P2))</f>
        <v>0.60000000000000009</v>
      </c>
      <c r="R2" s="15">
        <v>13.8</v>
      </c>
      <c r="S2" s="15">
        <v>124</v>
      </c>
      <c r="T2" s="38">
        <f t="shared" ref="T2:T59" si="1">IF(H2="","",IF(OR(H2="GREEN",H2="GK"),IF(S2&gt;=$AX$2,VLOOKUP(S2,$AX$2:$AY$12,2,1),""),IF(S2&gt;=$AZ$2,VLOOKUP(S2,$AZ$2:$BA$12,2,1),"")))</f>
        <v>27</v>
      </c>
      <c r="U2" s="15">
        <v>102</v>
      </c>
      <c r="V2" s="38">
        <f t="shared" ref="V2:V65" si="2">IF(OR(N2="",U2="",T2=""),"",U2/N2*T2)</f>
        <v>2754</v>
      </c>
      <c r="W2" s="15">
        <v>2</v>
      </c>
      <c r="X2" s="15" t="s">
        <v>39</v>
      </c>
      <c r="Y2" s="15" t="s">
        <v>84</v>
      </c>
      <c r="Z2" s="15" t="s">
        <v>90</v>
      </c>
      <c r="AA2" s="15" t="s">
        <v>69</v>
      </c>
      <c r="AB2" s="39" t="s">
        <v>184</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180</v>
      </c>
      <c r="B3" s="15" t="s">
        <v>181</v>
      </c>
      <c r="C3" s="15">
        <v>2018</v>
      </c>
      <c r="D3" s="37" t="s">
        <v>187</v>
      </c>
      <c r="E3" s="15" t="s">
        <v>141</v>
      </c>
      <c r="F3" s="7" t="s">
        <v>149</v>
      </c>
      <c r="G3" s="7" t="s">
        <v>36</v>
      </c>
      <c r="H3" s="15" t="s">
        <v>155</v>
      </c>
      <c r="I3" s="7" t="s">
        <v>153</v>
      </c>
      <c r="J3" s="15" t="s">
        <v>38</v>
      </c>
      <c r="K3" s="7" t="s">
        <v>154</v>
      </c>
      <c r="L3" s="7">
        <v>2</v>
      </c>
      <c r="N3" s="7">
        <v>1</v>
      </c>
      <c r="O3" s="34">
        <v>0.7</v>
      </c>
      <c r="P3" s="7">
        <v>0.6</v>
      </c>
      <c r="Q3" s="52">
        <f t="shared" si="0"/>
        <v>0.64999999999999991</v>
      </c>
      <c r="R3" s="7">
        <v>15.6</v>
      </c>
      <c r="S3" s="7">
        <v>128</v>
      </c>
      <c r="T3" s="16">
        <f t="shared" si="1"/>
        <v>27</v>
      </c>
      <c r="U3" s="15">
        <v>102</v>
      </c>
      <c r="V3" s="16">
        <f t="shared" si="2"/>
        <v>2754</v>
      </c>
      <c r="W3" s="15">
        <v>2</v>
      </c>
      <c r="X3" s="15" t="s">
        <v>39</v>
      </c>
      <c r="Y3" s="95" t="s">
        <v>84</v>
      </c>
      <c r="Z3" s="95" t="s">
        <v>90</v>
      </c>
      <c r="AA3" s="95" t="s">
        <v>69</v>
      </c>
      <c r="AB3" s="39" t="s">
        <v>183</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180</v>
      </c>
      <c r="B4" s="15" t="s">
        <v>181</v>
      </c>
      <c r="C4" s="15">
        <v>2018</v>
      </c>
      <c r="D4" s="37" t="s">
        <v>187</v>
      </c>
      <c r="E4" s="15" t="s">
        <v>141</v>
      </c>
      <c r="F4" s="7" t="s">
        <v>149</v>
      </c>
      <c r="G4" s="7" t="s">
        <v>36</v>
      </c>
      <c r="H4" s="15" t="s">
        <v>155</v>
      </c>
      <c r="I4" s="87" t="s">
        <v>153</v>
      </c>
      <c r="J4" s="15" t="s">
        <v>38</v>
      </c>
      <c r="K4" s="7" t="s">
        <v>154</v>
      </c>
      <c r="L4" s="7">
        <v>3</v>
      </c>
      <c r="N4" s="7">
        <v>1</v>
      </c>
      <c r="O4" s="7">
        <v>0.6</v>
      </c>
      <c r="P4" s="7">
        <v>0.7</v>
      </c>
      <c r="Q4" s="52">
        <f t="shared" si="0"/>
        <v>0.64999999999999991</v>
      </c>
      <c r="R4" s="7">
        <v>14.2</v>
      </c>
      <c r="S4" s="7">
        <v>128</v>
      </c>
      <c r="T4" s="16">
        <f t="shared" si="1"/>
        <v>27</v>
      </c>
      <c r="U4" s="15">
        <v>102</v>
      </c>
      <c r="V4" s="16">
        <f t="shared" si="2"/>
        <v>2754</v>
      </c>
      <c r="W4" s="15">
        <v>2</v>
      </c>
      <c r="X4" s="95" t="s">
        <v>39</v>
      </c>
      <c r="Y4" s="95" t="s">
        <v>84</v>
      </c>
      <c r="Z4" s="95" t="s">
        <v>90</v>
      </c>
      <c r="AA4" s="95" t="s">
        <v>69</v>
      </c>
      <c r="AB4" s="39" t="s">
        <v>183</v>
      </c>
      <c r="AE4" s="22" t="s">
        <v>34</v>
      </c>
      <c r="AG4" s="49" t="s">
        <v>185</v>
      </c>
      <c r="AH4" s="49" t="s">
        <v>186</v>
      </c>
      <c r="AJ4" s="27" t="s">
        <v>48</v>
      </c>
      <c r="AL4" s="27" t="s">
        <v>129</v>
      </c>
      <c r="AN4" s="28" t="s">
        <v>49</v>
      </c>
      <c r="AP4" s="23" t="s">
        <v>93</v>
      </c>
      <c r="AR4" s="41" t="s">
        <v>121</v>
      </c>
      <c r="AT4" s="28"/>
      <c r="AV4" s="23" t="s">
        <v>50</v>
      </c>
      <c r="AX4" s="24">
        <v>75</v>
      </c>
      <c r="AY4" s="25">
        <v>42</v>
      </c>
      <c r="AZ4" s="25">
        <v>76</v>
      </c>
      <c r="BA4" s="26">
        <v>39</v>
      </c>
    </row>
    <row r="5" spans="1:53" x14ac:dyDescent="0.15">
      <c r="A5" s="15" t="s">
        <v>180</v>
      </c>
      <c r="B5" s="15" t="s">
        <v>181</v>
      </c>
      <c r="C5" s="15">
        <v>2018</v>
      </c>
      <c r="D5" s="37" t="s">
        <v>187</v>
      </c>
      <c r="E5" s="15" t="s">
        <v>141</v>
      </c>
      <c r="F5" s="15" t="s">
        <v>149</v>
      </c>
      <c r="G5" s="7" t="s">
        <v>36</v>
      </c>
      <c r="H5" s="15" t="s">
        <v>159</v>
      </c>
      <c r="I5" s="87" t="s">
        <v>153</v>
      </c>
      <c r="J5" s="15" t="s">
        <v>38</v>
      </c>
      <c r="K5" s="7" t="s">
        <v>54</v>
      </c>
      <c r="L5" s="7">
        <v>1</v>
      </c>
      <c r="N5" s="7">
        <v>4</v>
      </c>
      <c r="O5" s="7">
        <v>0.5</v>
      </c>
      <c r="P5" s="7">
        <v>0.65</v>
      </c>
      <c r="Q5" s="52">
        <f t="shared" si="0"/>
        <v>0.57499999999999996</v>
      </c>
      <c r="R5" s="7">
        <v>15.2</v>
      </c>
      <c r="S5" s="7">
        <v>86</v>
      </c>
      <c r="T5" s="16">
        <f t="shared" si="1"/>
        <v>36</v>
      </c>
      <c r="U5" s="15">
        <v>534</v>
      </c>
      <c r="V5" s="16">
        <f t="shared" si="2"/>
        <v>4806</v>
      </c>
      <c r="W5" s="15">
        <v>1</v>
      </c>
      <c r="X5" s="95" t="s">
        <v>39</v>
      </c>
      <c r="Y5" s="95" t="s">
        <v>84</v>
      </c>
      <c r="Z5" s="95" t="s">
        <v>90</v>
      </c>
      <c r="AA5" s="95" t="s">
        <v>69</v>
      </c>
      <c r="AB5" s="39" t="s">
        <v>183</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180</v>
      </c>
      <c r="B6" s="15" t="s">
        <v>181</v>
      </c>
      <c r="C6" s="15">
        <v>2018</v>
      </c>
      <c r="D6" s="37" t="s">
        <v>187</v>
      </c>
      <c r="E6" s="15" t="s">
        <v>141</v>
      </c>
      <c r="F6" s="7" t="s">
        <v>149</v>
      </c>
      <c r="G6" s="7" t="s">
        <v>36</v>
      </c>
      <c r="H6" s="95" t="s">
        <v>159</v>
      </c>
      <c r="I6" s="87" t="s">
        <v>153</v>
      </c>
      <c r="J6" s="95" t="s">
        <v>38</v>
      </c>
      <c r="K6" s="87" t="s">
        <v>54</v>
      </c>
      <c r="L6" s="7">
        <v>2</v>
      </c>
      <c r="N6" s="7">
        <v>4</v>
      </c>
      <c r="O6" s="7">
        <v>0.55000000000000004</v>
      </c>
      <c r="P6" s="7">
        <v>0.55000000000000004</v>
      </c>
      <c r="Q6" s="52">
        <f t="shared" si="0"/>
        <v>0.55000000000000004</v>
      </c>
      <c r="R6" s="7">
        <v>17.8</v>
      </c>
      <c r="S6" s="7">
        <v>88</v>
      </c>
      <c r="T6" s="16">
        <f t="shared" si="1"/>
        <v>36</v>
      </c>
      <c r="U6" s="95">
        <v>534</v>
      </c>
      <c r="V6" s="16">
        <f t="shared" si="2"/>
        <v>4806</v>
      </c>
      <c r="W6" s="15">
        <v>1</v>
      </c>
      <c r="X6" s="95" t="s">
        <v>39</v>
      </c>
      <c r="Y6" s="95" t="s">
        <v>84</v>
      </c>
      <c r="Z6" s="95" t="s">
        <v>90</v>
      </c>
      <c r="AA6" s="95" t="s">
        <v>69</v>
      </c>
      <c r="AB6" s="39" t="s">
        <v>183</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180</v>
      </c>
      <c r="B7" s="15" t="s">
        <v>181</v>
      </c>
      <c r="C7" s="15">
        <v>2018</v>
      </c>
      <c r="D7" s="37" t="s">
        <v>187</v>
      </c>
      <c r="E7" s="15" t="s">
        <v>141</v>
      </c>
      <c r="F7" s="7" t="s">
        <v>149</v>
      </c>
      <c r="G7" s="7" t="s">
        <v>36</v>
      </c>
      <c r="H7" s="95" t="s">
        <v>159</v>
      </c>
      <c r="I7" s="87" t="s">
        <v>153</v>
      </c>
      <c r="J7" s="95" t="s">
        <v>38</v>
      </c>
      <c r="K7" s="87" t="s">
        <v>54</v>
      </c>
      <c r="L7" s="7">
        <v>3</v>
      </c>
      <c r="N7" s="7">
        <v>4</v>
      </c>
      <c r="O7" s="7">
        <v>0.6</v>
      </c>
      <c r="P7" s="7">
        <v>0.55000000000000004</v>
      </c>
      <c r="Q7" s="52">
        <f t="shared" si="0"/>
        <v>0.57499999999999996</v>
      </c>
      <c r="R7" s="34">
        <v>16.2</v>
      </c>
      <c r="S7" s="7">
        <v>93</v>
      </c>
      <c r="T7" s="16">
        <f t="shared" si="1"/>
        <v>36</v>
      </c>
      <c r="U7" s="95">
        <v>534</v>
      </c>
      <c r="V7" s="16">
        <f t="shared" si="2"/>
        <v>4806</v>
      </c>
      <c r="W7" s="15">
        <v>1</v>
      </c>
      <c r="X7" s="95" t="s">
        <v>39</v>
      </c>
      <c r="Y7" s="95" t="s">
        <v>84</v>
      </c>
      <c r="Z7" s="95" t="s">
        <v>90</v>
      </c>
      <c r="AA7" s="95" t="s">
        <v>69</v>
      </c>
      <c r="AB7" s="39" t="s">
        <v>183</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180</v>
      </c>
      <c r="B8" s="15" t="s">
        <v>181</v>
      </c>
      <c r="C8" s="15">
        <v>2018</v>
      </c>
      <c r="D8" s="37" t="s">
        <v>187</v>
      </c>
      <c r="E8" s="15" t="s">
        <v>133</v>
      </c>
      <c r="F8" s="7" t="s">
        <v>150</v>
      </c>
      <c r="G8" s="7" t="s">
        <v>36</v>
      </c>
      <c r="H8" s="15" t="s">
        <v>155</v>
      </c>
      <c r="I8" s="87" t="s">
        <v>153</v>
      </c>
      <c r="J8" s="15" t="s">
        <v>38</v>
      </c>
      <c r="K8" s="7" t="s">
        <v>154</v>
      </c>
      <c r="L8" s="7">
        <v>1</v>
      </c>
      <c r="N8" s="87">
        <v>1</v>
      </c>
      <c r="O8" s="7">
        <v>0.5</v>
      </c>
      <c r="P8" s="7">
        <v>0.5</v>
      </c>
      <c r="Q8" s="52">
        <f t="shared" si="0"/>
        <v>0.5</v>
      </c>
      <c r="R8" s="34">
        <v>12.6</v>
      </c>
      <c r="S8" s="7">
        <v>117</v>
      </c>
      <c r="T8" s="16">
        <f t="shared" si="1"/>
        <v>30</v>
      </c>
      <c r="U8" s="15">
        <v>105</v>
      </c>
      <c r="V8" s="16">
        <f t="shared" si="2"/>
        <v>3150</v>
      </c>
      <c r="W8" s="15">
        <v>10</v>
      </c>
      <c r="X8" s="95" t="s">
        <v>46</v>
      </c>
      <c r="Y8" s="95" t="s">
        <v>84</v>
      </c>
      <c r="Z8" s="95" t="s">
        <v>90</v>
      </c>
      <c r="AA8" s="95" t="s">
        <v>50</v>
      </c>
      <c r="AB8" s="39" t="s">
        <v>183</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180</v>
      </c>
      <c r="B9" s="15" t="s">
        <v>181</v>
      </c>
      <c r="C9" s="15">
        <v>2018</v>
      </c>
      <c r="D9" s="37" t="s">
        <v>187</v>
      </c>
      <c r="E9" s="15" t="s">
        <v>133</v>
      </c>
      <c r="F9" s="7" t="s">
        <v>150</v>
      </c>
      <c r="G9" s="7" t="s">
        <v>36</v>
      </c>
      <c r="H9" s="95" t="s">
        <v>155</v>
      </c>
      <c r="I9" s="87" t="s">
        <v>153</v>
      </c>
      <c r="J9" s="95" t="s">
        <v>38</v>
      </c>
      <c r="K9" s="87" t="s">
        <v>154</v>
      </c>
      <c r="L9" s="7">
        <v>2</v>
      </c>
      <c r="N9" s="87">
        <v>1</v>
      </c>
      <c r="O9" s="7">
        <v>0.5</v>
      </c>
      <c r="P9" s="7">
        <v>0.6</v>
      </c>
      <c r="Q9" s="52">
        <f t="shared" si="0"/>
        <v>0.55000000000000004</v>
      </c>
      <c r="R9" s="7">
        <v>13.5</v>
      </c>
      <c r="S9" s="7">
        <v>116</v>
      </c>
      <c r="T9" s="16">
        <f t="shared" si="1"/>
        <v>30</v>
      </c>
      <c r="U9" s="95">
        <v>105</v>
      </c>
      <c r="V9" s="16">
        <f t="shared" si="2"/>
        <v>3150</v>
      </c>
      <c r="W9" s="15">
        <v>10</v>
      </c>
      <c r="X9" s="95" t="s">
        <v>46</v>
      </c>
      <c r="Y9" s="95" t="s">
        <v>84</v>
      </c>
      <c r="Z9" s="95" t="s">
        <v>90</v>
      </c>
      <c r="AA9" s="95" t="s">
        <v>50</v>
      </c>
      <c r="AB9" s="39" t="s">
        <v>183</v>
      </c>
      <c r="AE9" s="22" t="s">
        <v>98</v>
      </c>
      <c r="AG9" s="49" t="s">
        <v>133</v>
      </c>
      <c r="AH9" s="49" t="s">
        <v>150</v>
      </c>
      <c r="AL9" s="34"/>
      <c r="AP9" s="23" t="s">
        <v>95</v>
      </c>
      <c r="AR9" s="30" t="s">
        <v>89</v>
      </c>
      <c r="AV9" s="23" t="s">
        <v>102</v>
      </c>
      <c r="AX9" s="24">
        <v>128</v>
      </c>
      <c r="AY9" s="25">
        <v>27</v>
      </c>
      <c r="AZ9" s="25">
        <v>129</v>
      </c>
      <c r="BA9" s="26">
        <v>25</v>
      </c>
    </row>
    <row r="10" spans="1:53" x14ac:dyDescent="0.15">
      <c r="A10" s="15" t="s">
        <v>180</v>
      </c>
      <c r="B10" s="15" t="s">
        <v>181</v>
      </c>
      <c r="C10" s="15">
        <v>2018</v>
      </c>
      <c r="D10" s="37" t="s">
        <v>187</v>
      </c>
      <c r="E10" s="15" t="s">
        <v>133</v>
      </c>
      <c r="F10" s="7" t="s">
        <v>150</v>
      </c>
      <c r="G10" s="7" t="s">
        <v>36</v>
      </c>
      <c r="H10" s="95" t="s">
        <v>155</v>
      </c>
      <c r="I10" s="87" t="s">
        <v>153</v>
      </c>
      <c r="J10" s="95" t="s">
        <v>38</v>
      </c>
      <c r="K10" s="87" t="s">
        <v>154</v>
      </c>
      <c r="L10" s="7">
        <v>3</v>
      </c>
      <c r="N10" s="87">
        <v>1</v>
      </c>
      <c r="O10" s="7">
        <v>0.6</v>
      </c>
      <c r="P10" s="7">
        <v>0.65</v>
      </c>
      <c r="Q10" s="52">
        <f t="shared" si="0"/>
        <v>0.625</v>
      </c>
      <c r="R10" s="7">
        <v>14.4</v>
      </c>
      <c r="S10" s="7">
        <v>115</v>
      </c>
      <c r="T10" s="16">
        <f t="shared" si="1"/>
        <v>30</v>
      </c>
      <c r="U10" s="95">
        <v>105</v>
      </c>
      <c r="V10" s="16">
        <f t="shared" si="2"/>
        <v>3150</v>
      </c>
      <c r="W10" s="15">
        <v>10</v>
      </c>
      <c r="X10" s="95" t="s">
        <v>46</v>
      </c>
      <c r="Y10" s="95" t="s">
        <v>84</v>
      </c>
      <c r="Z10" s="95" t="s">
        <v>90</v>
      </c>
      <c r="AA10" s="95" t="s">
        <v>50</v>
      </c>
      <c r="AB10" s="39" t="s">
        <v>183</v>
      </c>
      <c r="AE10" s="22" t="s">
        <v>103</v>
      </c>
      <c r="AG10" s="49" t="s">
        <v>142</v>
      </c>
      <c r="AH10" s="49" t="s">
        <v>151</v>
      </c>
      <c r="AP10" s="23" t="s">
        <v>100</v>
      </c>
      <c r="AR10" s="30" t="s">
        <v>123</v>
      </c>
      <c r="AV10" s="23" t="s">
        <v>106</v>
      </c>
      <c r="AX10" s="24">
        <v>138</v>
      </c>
      <c r="AY10" s="25">
        <v>25</v>
      </c>
      <c r="AZ10" s="25">
        <v>138</v>
      </c>
      <c r="BA10" s="26">
        <v>22</v>
      </c>
    </row>
    <row r="11" spans="1:53" x14ac:dyDescent="0.15">
      <c r="A11" s="15" t="s">
        <v>180</v>
      </c>
      <c r="B11" s="15" t="s">
        <v>181</v>
      </c>
      <c r="C11" s="15">
        <v>2018</v>
      </c>
      <c r="D11" s="37" t="s">
        <v>187</v>
      </c>
      <c r="E11" s="15" t="s">
        <v>133</v>
      </c>
      <c r="F11" s="7" t="s">
        <v>150</v>
      </c>
      <c r="G11" s="7" t="s">
        <v>36</v>
      </c>
      <c r="H11" s="95" t="s">
        <v>159</v>
      </c>
      <c r="I11" s="7" t="s">
        <v>153</v>
      </c>
      <c r="J11" s="15" t="s">
        <v>38</v>
      </c>
      <c r="K11" s="7" t="s">
        <v>54</v>
      </c>
      <c r="L11" s="7">
        <v>1</v>
      </c>
      <c r="N11" s="87">
        <v>3</v>
      </c>
      <c r="O11" s="7">
        <v>0.6</v>
      </c>
      <c r="P11" s="7">
        <v>0.6</v>
      </c>
      <c r="Q11" s="52">
        <f t="shared" si="0"/>
        <v>0.6</v>
      </c>
      <c r="R11" s="7">
        <v>16.3</v>
      </c>
      <c r="S11" s="7">
        <v>86</v>
      </c>
      <c r="T11" s="16">
        <f t="shared" si="1"/>
        <v>36</v>
      </c>
      <c r="U11" s="7">
        <v>537</v>
      </c>
      <c r="V11" s="16">
        <f t="shared" si="2"/>
        <v>6444</v>
      </c>
      <c r="W11" s="7">
        <v>1</v>
      </c>
      <c r="X11" s="95" t="s">
        <v>46</v>
      </c>
      <c r="Y11" s="95" t="s">
        <v>84</v>
      </c>
      <c r="Z11" s="95" t="s">
        <v>90</v>
      </c>
      <c r="AA11" s="95" t="s">
        <v>50</v>
      </c>
      <c r="AB11" s="39" t="s">
        <v>183</v>
      </c>
      <c r="AE11" s="22" t="s">
        <v>65</v>
      </c>
      <c r="AG11" s="49" t="s">
        <v>143</v>
      </c>
      <c r="AH11" s="49" t="s">
        <v>152</v>
      </c>
      <c r="AP11" s="23" t="s">
        <v>104</v>
      </c>
      <c r="AR11" s="30" t="s">
        <v>87</v>
      </c>
      <c r="AV11" s="23" t="s">
        <v>69</v>
      </c>
      <c r="AX11" s="24">
        <v>151</v>
      </c>
      <c r="AY11" s="25">
        <v>22</v>
      </c>
      <c r="AZ11" s="25">
        <v>152</v>
      </c>
      <c r="BA11" s="26">
        <v>18</v>
      </c>
    </row>
    <row r="12" spans="1:53" x14ac:dyDescent="0.15">
      <c r="A12" s="15" t="s">
        <v>180</v>
      </c>
      <c r="B12" s="15" t="s">
        <v>181</v>
      </c>
      <c r="C12" s="15">
        <v>2018</v>
      </c>
      <c r="D12" s="37" t="s">
        <v>187</v>
      </c>
      <c r="E12" s="15" t="s">
        <v>133</v>
      </c>
      <c r="F12" s="7" t="s">
        <v>150</v>
      </c>
      <c r="G12" s="7" t="s">
        <v>36</v>
      </c>
      <c r="H12" s="95" t="s">
        <v>159</v>
      </c>
      <c r="I12" s="87" t="s">
        <v>153</v>
      </c>
      <c r="J12" s="95" t="s">
        <v>38</v>
      </c>
      <c r="K12" s="87" t="s">
        <v>54</v>
      </c>
      <c r="L12" s="7">
        <v>2</v>
      </c>
      <c r="N12" s="7">
        <v>3</v>
      </c>
      <c r="O12" s="7">
        <v>0.5</v>
      </c>
      <c r="P12" s="7">
        <v>0.55000000000000004</v>
      </c>
      <c r="Q12" s="52">
        <f t="shared" si="0"/>
        <v>0.52500000000000002</v>
      </c>
      <c r="R12" s="34">
        <v>18.7</v>
      </c>
      <c r="S12" s="7">
        <v>88</v>
      </c>
      <c r="T12" s="16">
        <f t="shared" si="1"/>
        <v>36</v>
      </c>
      <c r="U12" s="87">
        <v>537</v>
      </c>
      <c r="V12" s="16">
        <f t="shared" si="2"/>
        <v>6444</v>
      </c>
      <c r="W12" s="7">
        <v>1</v>
      </c>
      <c r="X12" s="95" t="s">
        <v>46</v>
      </c>
      <c r="Y12" s="95" t="s">
        <v>84</v>
      </c>
      <c r="Z12" s="95" t="s">
        <v>90</v>
      </c>
      <c r="AA12" s="95" t="s">
        <v>50</v>
      </c>
      <c r="AB12" s="39" t="s">
        <v>183</v>
      </c>
      <c r="AE12" s="22" t="s">
        <v>70</v>
      </c>
      <c r="AG12" s="40"/>
      <c r="AH12" s="40"/>
      <c r="AP12" s="23" t="s">
        <v>67</v>
      </c>
      <c r="AR12" s="30" t="s">
        <v>124</v>
      </c>
      <c r="AV12" s="23" t="s">
        <v>72</v>
      </c>
      <c r="AX12" s="31">
        <v>180</v>
      </c>
      <c r="AY12" s="32">
        <v>18</v>
      </c>
      <c r="AZ12" s="32">
        <v>181</v>
      </c>
      <c r="BA12" s="33">
        <v>16</v>
      </c>
    </row>
    <row r="13" spans="1:53" x14ac:dyDescent="0.15">
      <c r="A13" s="15" t="s">
        <v>180</v>
      </c>
      <c r="B13" s="15" t="s">
        <v>181</v>
      </c>
      <c r="C13" s="15">
        <v>2018</v>
      </c>
      <c r="D13" s="37" t="s">
        <v>187</v>
      </c>
      <c r="E13" s="15" t="s">
        <v>133</v>
      </c>
      <c r="F13" s="7" t="s">
        <v>150</v>
      </c>
      <c r="G13" s="7" t="s">
        <v>36</v>
      </c>
      <c r="H13" s="95" t="s">
        <v>159</v>
      </c>
      <c r="I13" s="87" t="s">
        <v>153</v>
      </c>
      <c r="J13" s="95" t="s">
        <v>38</v>
      </c>
      <c r="K13" s="87" t="s">
        <v>54</v>
      </c>
      <c r="L13" s="7">
        <v>3</v>
      </c>
      <c r="N13" s="7">
        <v>3</v>
      </c>
      <c r="O13" s="7">
        <v>0.5</v>
      </c>
      <c r="P13" s="7">
        <v>0.5</v>
      </c>
      <c r="Q13" s="52">
        <f t="shared" si="0"/>
        <v>0.5</v>
      </c>
      <c r="R13" s="7">
        <v>18.100000000000001</v>
      </c>
      <c r="S13" s="7">
        <v>90</v>
      </c>
      <c r="T13" s="16">
        <f t="shared" si="1"/>
        <v>36</v>
      </c>
      <c r="U13" s="87">
        <v>537</v>
      </c>
      <c r="V13" s="16">
        <f t="shared" si="2"/>
        <v>6444</v>
      </c>
      <c r="W13" s="7">
        <v>1</v>
      </c>
      <c r="X13" s="95" t="s">
        <v>46</v>
      </c>
      <c r="Y13" s="95" t="s">
        <v>84</v>
      </c>
      <c r="Z13" s="95" t="s">
        <v>90</v>
      </c>
      <c r="AA13" s="95" t="s">
        <v>50</v>
      </c>
      <c r="AB13" s="39" t="s">
        <v>183</v>
      </c>
      <c r="AE13" s="22" t="s">
        <v>73</v>
      </c>
      <c r="AG13" s="23"/>
      <c r="AH13" s="23"/>
      <c r="AP13" s="23" t="s">
        <v>71</v>
      </c>
      <c r="AR13" s="30" t="s">
        <v>103</v>
      </c>
      <c r="AV13" s="23" t="s">
        <v>75</v>
      </c>
    </row>
    <row r="14" spans="1:53" x14ac:dyDescent="0.15">
      <c r="A14" s="15" t="s">
        <v>180</v>
      </c>
      <c r="B14" s="15" t="s">
        <v>181</v>
      </c>
      <c r="C14" s="15">
        <v>2018</v>
      </c>
      <c r="D14" s="37" t="s">
        <v>187</v>
      </c>
      <c r="E14" s="15" t="s">
        <v>142</v>
      </c>
      <c r="F14" s="7" t="s">
        <v>151</v>
      </c>
      <c r="G14" s="7" t="s">
        <v>36</v>
      </c>
      <c r="H14" s="15" t="s">
        <v>155</v>
      </c>
      <c r="I14" s="7" t="s">
        <v>153</v>
      </c>
      <c r="J14" s="15" t="s">
        <v>38</v>
      </c>
      <c r="K14" s="7" t="s">
        <v>154</v>
      </c>
      <c r="L14" s="7">
        <v>1</v>
      </c>
      <c r="N14" s="7">
        <v>1</v>
      </c>
      <c r="O14" s="7">
        <v>0.55000000000000004</v>
      </c>
      <c r="P14" s="7">
        <v>0.6</v>
      </c>
      <c r="Q14" s="52">
        <f t="shared" si="0"/>
        <v>0.57499999999999996</v>
      </c>
      <c r="R14" s="7">
        <v>13.9</v>
      </c>
      <c r="S14" s="7">
        <v>119</v>
      </c>
      <c r="T14" s="16">
        <f t="shared" si="1"/>
        <v>30</v>
      </c>
      <c r="U14" s="7">
        <v>149</v>
      </c>
      <c r="V14" s="16">
        <f t="shared" si="2"/>
        <v>4470</v>
      </c>
      <c r="W14" s="7">
        <v>5</v>
      </c>
      <c r="X14" s="15" t="s">
        <v>39</v>
      </c>
      <c r="Y14" s="95" t="s">
        <v>50</v>
      </c>
      <c r="Z14" s="95" t="s">
        <v>84</v>
      </c>
      <c r="AA14" s="95" t="s">
        <v>90</v>
      </c>
      <c r="AB14" s="39" t="s">
        <v>183</v>
      </c>
      <c r="AE14" s="22" t="s">
        <v>76</v>
      </c>
      <c r="AG14" s="23"/>
      <c r="AH14" s="23"/>
      <c r="AP14" s="23" t="s">
        <v>74</v>
      </c>
      <c r="AR14" s="30" t="s">
        <v>125</v>
      </c>
      <c r="AV14" s="23" t="s">
        <v>78</v>
      </c>
    </row>
    <row r="15" spans="1:53" x14ac:dyDescent="0.15">
      <c r="A15" s="15" t="s">
        <v>180</v>
      </c>
      <c r="B15" s="15" t="s">
        <v>181</v>
      </c>
      <c r="C15" s="15">
        <v>2018</v>
      </c>
      <c r="D15" s="37" t="s">
        <v>187</v>
      </c>
      <c r="E15" s="15" t="s">
        <v>142</v>
      </c>
      <c r="F15" s="7" t="s">
        <v>151</v>
      </c>
      <c r="G15" s="7" t="s">
        <v>36</v>
      </c>
      <c r="H15" s="95" t="s">
        <v>155</v>
      </c>
      <c r="I15" s="87" t="s">
        <v>153</v>
      </c>
      <c r="J15" s="95" t="s">
        <v>38</v>
      </c>
      <c r="K15" s="87" t="s">
        <v>154</v>
      </c>
      <c r="L15" s="7">
        <v>2</v>
      </c>
      <c r="N15" s="87">
        <v>1</v>
      </c>
      <c r="O15" s="7">
        <v>0.65</v>
      </c>
      <c r="P15" s="7">
        <v>0.8</v>
      </c>
      <c r="Q15" s="52">
        <f t="shared" si="0"/>
        <v>0.72500000000000009</v>
      </c>
      <c r="R15" s="7">
        <v>13.1</v>
      </c>
      <c r="S15" s="7">
        <v>117</v>
      </c>
      <c r="T15" s="16">
        <f t="shared" si="1"/>
        <v>30</v>
      </c>
      <c r="U15" s="87">
        <v>149</v>
      </c>
      <c r="V15" s="16">
        <f t="shared" si="2"/>
        <v>4470</v>
      </c>
      <c r="W15" s="7">
        <v>5</v>
      </c>
      <c r="X15" s="95" t="s">
        <v>39</v>
      </c>
      <c r="Y15" s="95" t="s">
        <v>50</v>
      </c>
      <c r="Z15" s="95" t="s">
        <v>84</v>
      </c>
      <c r="AA15" s="95" t="s">
        <v>90</v>
      </c>
      <c r="AB15" s="39" t="s">
        <v>183</v>
      </c>
      <c r="AE15" s="22" t="s">
        <v>79</v>
      </c>
      <c r="AG15" s="23"/>
      <c r="AH15" s="23"/>
      <c r="AP15" s="23" t="s">
        <v>77</v>
      </c>
      <c r="AR15" s="30" t="s">
        <v>94</v>
      </c>
      <c r="AV15" s="23" t="s">
        <v>107</v>
      </c>
    </row>
    <row r="16" spans="1:53" x14ac:dyDescent="0.15">
      <c r="A16" s="15" t="s">
        <v>180</v>
      </c>
      <c r="B16" s="15" t="s">
        <v>181</v>
      </c>
      <c r="C16" s="15">
        <v>2018</v>
      </c>
      <c r="D16" s="37" t="s">
        <v>187</v>
      </c>
      <c r="E16" s="15" t="s">
        <v>142</v>
      </c>
      <c r="F16" s="7" t="s">
        <v>151</v>
      </c>
      <c r="G16" s="7" t="s">
        <v>36</v>
      </c>
      <c r="H16" s="95" t="s">
        <v>155</v>
      </c>
      <c r="I16" s="87" t="s">
        <v>153</v>
      </c>
      <c r="J16" s="95" t="s">
        <v>38</v>
      </c>
      <c r="K16" s="87" t="s">
        <v>154</v>
      </c>
      <c r="L16" s="7">
        <v>3</v>
      </c>
      <c r="N16" s="87">
        <v>1</v>
      </c>
      <c r="O16" s="7">
        <v>0.55000000000000004</v>
      </c>
      <c r="P16" s="7">
        <v>0.65</v>
      </c>
      <c r="Q16" s="52">
        <f t="shared" si="0"/>
        <v>0.60000000000000009</v>
      </c>
      <c r="R16" s="7">
        <v>12</v>
      </c>
      <c r="S16" s="7">
        <v>123</v>
      </c>
      <c r="T16" s="16">
        <f t="shared" si="1"/>
        <v>27</v>
      </c>
      <c r="U16" s="87">
        <v>149</v>
      </c>
      <c r="V16" s="16">
        <f t="shared" si="2"/>
        <v>4023</v>
      </c>
      <c r="W16" s="7">
        <v>5</v>
      </c>
      <c r="X16" s="95" t="s">
        <v>39</v>
      </c>
      <c r="Y16" s="95" t="s">
        <v>50</v>
      </c>
      <c r="Z16" s="95" t="s">
        <v>84</v>
      </c>
      <c r="AA16" s="95" t="s">
        <v>90</v>
      </c>
      <c r="AB16" s="39" t="s">
        <v>183</v>
      </c>
      <c r="AE16" s="22" t="s">
        <v>82</v>
      </c>
      <c r="AG16" s="28"/>
      <c r="AH16" s="28"/>
      <c r="AP16" s="23" t="s">
        <v>80</v>
      </c>
      <c r="AR16" s="41" t="s">
        <v>63</v>
      </c>
      <c r="AV16" s="23" t="s">
        <v>84</v>
      </c>
    </row>
    <row r="17" spans="1:48" x14ac:dyDescent="0.15">
      <c r="A17" s="15" t="s">
        <v>180</v>
      </c>
      <c r="B17" s="15" t="s">
        <v>181</v>
      </c>
      <c r="C17" s="15">
        <v>2018</v>
      </c>
      <c r="D17" s="37" t="s">
        <v>187</v>
      </c>
      <c r="E17" s="15" t="s">
        <v>142</v>
      </c>
      <c r="F17" s="7" t="s">
        <v>151</v>
      </c>
      <c r="G17" s="7" t="s">
        <v>36</v>
      </c>
      <c r="H17" s="15" t="s">
        <v>159</v>
      </c>
      <c r="I17" s="87" t="s">
        <v>153</v>
      </c>
      <c r="J17" s="95" t="s">
        <v>38</v>
      </c>
      <c r="K17" s="87" t="s">
        <v>54</v>
      </c>
      <c r="L17" s="7">
        <v>1</v>
      </c>
      <c r="N17" s="87">
        <v>1</v>
      </c>
      <c r="O17" s="7">
        <v>0.5</v>
      </c>
      <c r="P17" s="7">
        <v>0.55000000000000004</v>
      </c>
      <c r="Q17" s="52">
        <f t="shared" si="0"/>
        <v>0.52500000000000002</v>
      </c>
      <c r="R17" s="7">
        <v>16.7</v>
      </c>
      <c r="S17" s="7">
        <v>116</v>
      </c>
      <c r="T17" s="16">
        <f t="shared" si="1"/>
        <v>30</v>
      </c>
      <c r="U17" s="7">
        <v>170</v>
      </c>
      <c r="V17" s="16">
        <f t="shared" si="2"/>
        <v>5100</v>
      </c>
      <c r="W17" s="7">
        <v>1</v>
      </c>
      <c r="X17" s="95" t="s">
        <v>39</v>
      </c>
      <c r="Y17" s="95" t="s">
        <v>50</v>
      </c>
      <c r="Z17" s="95" t="s">
        <v>84</v>
      </c>
      <c r="AA17" s="95" t="s">
        <v>90</v>
      </c>
      <c r="AB17" s="39" t="s">
        <v>183</v>
      </c>
      <c r="AE17" s="22" t="s">
        <v>85</v>
      </c>
      <c r="AP17" s="43" t="s">
        <v>110</v>
      </c>
      <c r="AR17" s="41" t="s">
        <v>96</v>
      </c>
      <c r="AV17" s="23" t="s">
        <v>86</v>
      </c>
    </row>
    <row r="18" spans="1:48" x14ac:dyDescent="0.15">
      <c r="A18" s="15" t="s">
        <v>180</v>
      </c>
      <c r="B18" s="15" t="s">
        <v>181</v>
      </c>
      <c r="C18" s="15">
        <v>2018</v>
      </c>
      <c r="D18" s="37" t="s">
        <v>187</v>
      </c>
      <c r="E18" s="15" t="s">
        <v>142</v>
      </c>
      <c r="F18" s="7" t="s">
        <v>151</v>
      </c>
      <c r="G18" s="7" t="s">
        <v>36</v>
      </c>
      <c r="H18" s="95" t="s">
        <v>159</v>
      </c>
      <c r="I18" s="87" t="s">
        <v>153</v>
      </c>
      <c r="J18" s="95" t="s">
        <v>38</v>
      </c>
      <c r="K18" s="87" t="s">
        <v>54</v>
      </c>
      <c r="L18" s="7">
        <v>2</v>
      </c>
      <c r="N18" s="87">
        <v>1</v>
      </c>
      <c r="O18" s="7">
        <v>0.5</v>
      </c>
      <c r="P18" s="7">
        <v>0.6</v>
      </c>
      <c r="Q18" s="52">
        <f t="shared" si="0"/>
        <v>0.55000000000000004</v>
      </c>
      <c r="R18" s="7">
        <v>15.7</v>
      </c>
      <c r="S18" s="7">
        <v>109</v>
      </c>
      <c r="T18" s="16">
        <f t="shared" si="1"/>
        <v>33</v>
      </c>
      <c r="U18" s="87">
        <v>170</v>
      </c>
      <c r="V18" s="16">
        <f t="shared" si="2"/>
        <v>5610</v>
      </c>
      <c r="W18" s="7">
        <v>1</v>
      </c>
      <c r="X18" s="95" t="s">
        <v>39</v>
      </c>
      <c r="Y18" s="95" t="s">
        <v>50</v>
      </c>
      <c r="Z18" s="95" t="s">
        <v>84</v>
      </c>
      <c r="AA18" s="95" t="s">
        <v>90</v>
      </c>
      <c r="AB18" s="39" t="s">
        <v>183</v>
      </c>
      <c r="AE18" s="22" t="s">
        <v>87</v>
      </c>
      <c r="AP18" s="43" t="s">
        <v>111</v>
      </c>
      <c r="AR18" s="41" t="s">
        <v>101</v>
      </c>
      <c r="AV18" s="23" t="s">
        <v>88</v>
      </c>
    </row>
    <row r="19" spans="1:48" x14ac:dyDescent="0.15">
      <c r="A19" s="15" t="s">
        <v>180</v>
      </c>
      <c r="B19" s="15" t="s">
        <v>181</v>
      </c>
      <c r="C19" s="15">
        <v>2018</v>
      </c>
      <c r="D19" s="37" t="s">
        <v>187</v>
      </c>
      <c r="E19" s="15" t="s">
        <v>142</v>
      </c>
      <c r="F19" s="7" t="s">
        <v>151</v>
      </c>
      <c r="G19" s="7" t="s">
        <v>36</v>
      </c>
      <c r="H19" s="95" t="s">
        <v>159</v>
      </c>
      <c r="I19" s="87" t="s">
        <v>153</v>
      </c>
      <c r="J19" s="95" t="s">
        <v>38</v>
      </c>
      <c r="K19" s="87" t="s">
        <v>54</v>
      </c>
      <c r="L19" s="7">
        <v>3</v>
      </c>
      <c r="N19" s="87">
        <v>1</v>
      </c>
      <c r="O19" s="7">
        <v>0.5</v>
      </c>
      <c r="P19" s="7">
        <v>0.55000000000000004</v>
      </c>
      <c r="Q19" s="52">
        <f t="shared" si="0"/>
        <v>0.52500000000000002</v>
      </c>
      <c r="R19" s="7">
        <v>16.7</v>
      </c>
      <c r="S19" s="7">
        <v>108</v>
      </c>
      <c r="T19" s="16">
        <f t="shared" si="1"/>
        <v>33</v>
      </c>
      <c r="U19" s="87">
        <v>170</v>
      </c>
      <c r="V19" s="16">
        <f t="shared" si="2"/>
        <v>5610</v>
      </c>
      <c r="W19" s="7">
        <v>1</v>
      </c>
      <c r="X19" s="95" t="s">
        <v>39</v>
      </c>
      <c r="Y19" s="95" t="s">
        <v>50</v>
      </c>
      <c r="Z19" s="95" t="s">
        <v>84</v>
      </c>
      <c r="AA19" s="95" t="s">
        <v>90</v>
      </c>
      <c r="AB19" s="39" t="s">
        <v>183</v>
      </c>
      <c r="AE19" s="35" t="s">
        <v>89</v>
      </c>
      <c r="AP19" s="43" t="s">
        <v>112</v>
      </c>
      <c r="AR19" s="30" t="s">
        <v>126</v>
      </c>
      <c r="AV19" s="23" t="s">
        <v>90</v>
      </c>
    </row>
    <row r="20" spans="1:48" x14ac:dyDescent="0.15">
      <c r="A20" s="15" t="s">
        <v>180</v>
      </c>
      <c r="B20" s="15" t="s">
        <v>181</v>
      </c>
      <c r="C20" s="15">
        <v>2018</v>
      </c>
      <c r="D20" s="37" t="s">
        <v>187</v>
      </c>
      <c r="E20" s="15" t="s">
        <v>143</v>
      </c>
      <c r="F20" s="7" t="s">
        <v>152</v>
      </c>
      <c r="G20" s="7" t="s">
        <v>36</v>
      </c>
      <c r="H20" s="15" t="s">
        <v>155</v>
      </c>
      <c r="I20" s="87" t="s">
        <v>153</v>
      </c>
      <c r="J20" s="15" t="s">
        <v>38</v>
      </c>
      <c r="K20" s="7" t="s">
        <v>154</v>
      </c>
      <c r="L20" s="7">
        <v>1</v>
      </c>
      <c r="N20" s="87">
        <v>1</v>
      </c>
      <c r="O20" s="7">
        <v>0.5</v>
      </c>
      <c r="P20" s="34">
        <v>0.5</v>
      </c>
      <c r="Q20" s="52">
        <f t="shared" si="0"/>
        <v>0.5</v>
      </c>
      <c r="R20" s="7">
        <v>12.7</v>
      </c>
      <c r="S20" s="7">
        <v>133</v>
      </c>
      <c r="T20" s="16">
        <f t="shared" si="1"/>
        <v>25</v>
      </c>
      <c r="U20" s="7">
        <v>105</v>
      </c>
      <c r="V20" s="16">
        <f t="shared" si="2"/>
        <v>2625</v>
      </c>
      <c r="W20" s="7">
        <v>2</v>
      </c>
      <c r="X20" s="95" t="s">
        <v>39</v>
      </c>
      <c r="Y20" s="95" t="s">
        <v>50</v>
      </c>
      <c r="Z20" s="95" t="s">
        <v>90</v>
      </c>
      <c r="AA20" s="95" t="s">
        <v>84</v>
      </c>
      <c r="AB20" s="39" t="s">
        <v>183</v>
      </c>
      <c r="AE20" s="22"/>
      <c r="AP20" s="43" t="s">
        <v>113</v>
      </c>
      <c r="AR20" s="41" t="s">
        <v>105</v>
      </c>
      <c r="AV20" s="27" t="s">
        <v>135</v>
      </c>
    </row>
    <row r="21" spans="1:48" x14ac:dyDescent="0.15">
      <c r="A21" s="15" t="s">
        <v>180</v>
      </c>
      <c r="B21" s="15" t="s">
        <v>181</v>
      </c>
      <c r="C21" s="15">
        <v>2018</v>
      </c>
      <c r="D21" s="37" t="s">
        <v>187</v>
      </c>
      <c r="E21" s="15" t="s">
        <v>143</v>
      </c>
      <c r="F21" s="7" t="s">
        <v>152</v>
      </c>
      <c r="G21" s="7" t="s">
        <v>36</v>
      </c>
      <c r="H21" s="95" t="s">
        <v>155</v>
      </c>
      <c r="I21" s="87" t="s">
        <v>153</v>
      </c>
      <c r="J21" s="95" t="s">
        <v>38</v>
      </c>
      <c r="K21" s="87" t="s">
        <v>154</v>
      </c>
      <c r="L21" s="7">
        <v>2</v>
      </c>
      <c r="N21" s="87">
        <v>1</v>
      </c>
      <c r="O21" s="7">
        <v>0.7</v>
      </c>
      <c r="P21" s="7">
        <v>0.65</v>
      </c>
      <c r="Q21" s="52">
        <f t="shared" si="0"/>
        <v>0.67500000000000004</v>
      </c>
      <c r="R21" s="7">
        <v>14.9</v>
      </c>
      <c r="S21" s="7">
        <v>124</v>
      </c>
      <c r="T21" s="16">
        <f t="shared" si="1"/>
        <v>27</v>
      </c>
      <c r="U21" s="87">
        <v>105</v>
      </c>
      <c r="V21" s="16">
        <f t="shared" si="2"/>
        <v>2835</v>
      </c>
      <c r="W21" s="7">
        <v>2</v>
      </c>
      <c r="X21" s="95" t="s">
        <v>39</v>
      </c>
      <c r="Y21" s="95" t="s">
        <v>50</v>
      </c>
      <c r="Z21" s="95" t="s">
        <v>90</v>
      </c>
      <c r="AA21" s="95" t="s">
        <v>84</v>
      </c>
      <c r="AB21" s="39" t="s">
        <v>183</v>
      </c>
      <c r="AE21" s="22"/>
      <c r="AP21" s="43" t="s">
        <v>114</v>
      </c>
      <c r="AR21" s="41" t="s">
        <v>68</v>
      </c>
      <c r="AV21" s="27" t="s">
        <v>136</v>
      </c>
    </row>
    <row r="22" spans="1:48" x14ac:dyDescent="0.15">
      <c r="A22" s="15" t="s">
        <v>180</v>
      </c>
      <c r="B22" s="15" t="s">
        <v>181</v>
      </c>
      <c r="C22" s="15">
        <v>2018</v>
      </c>
      <c r="D22" s="37" t="s">
        <v>187</v>
      </c>
      <c r="E22" s="15" t="s">
        <v>143</v>
      </c>
      <c r="F22" s="7" t="s">
        <v>152</v>
      </c>
      <c r="G22" s="7" t="s">
        <v>36</v>
      </c>
      <c r="H22" s="95" t="s">
        <v>155</v>
      </c>
      <c r="I22" s="87" t="s">
        <v>153</v>
      </c>
      <c r="J22" s="95" t="s">
        <v>38</v>
      </c>
      <c r="K22" s="87" t="s">
        <v>154</v>
      </c>
      <c r="L22" s="7">
        <v>3</v>
      </c>
      <c r="N22" s="87">
        <v>1</v>
      </c>
      <c r="O22" s="34">
        <v>0.7</v>
      </c>
      <c r="P22" s="7">
        <v>0.75</v>
      </c>
      <c r="Q22" s="52">
        <f t="shared" si="0"/>
        <v>0.72499999999999998</v>
      </c>
      <c r="R22" s="7">
        <v>13</v>
      </c>
      <c r="S22" s="7">
        <v>134</v>
      </c>
      <c r="T22" s="16">
        <f t="shared" si="1"/>
        <v>25</v>
      </c>
      <c r="U22" s="87">
        <v>105</v>
      </c>
      <c r="V22" s="16">
        <f t="shared" si="2"/>
        <v>2625</v>
      </c>
      <c r="W22" s="7">
        <v>2</v>
      </c>
      <c r="X22" s="95" t="s">
        <v>39</v>
      </c>
      <c r="Y22" s="95" t="s">
        <v>50</v>
      </c>
      <c r="Z22" s="95" t="s">
        <v>90</v>
      </c>
      <c r="AA22" s="95" t="s">
        <v>84</v>
      </c>
      <c r="AB22" s="39" t="s">
        <v>183</v>
      </c>
      <c r="AE22" s="35"/>
      <c r="AP22" s="43" t="s">
        <v>115</v>
      </c>
      <c r="AR22" s="41" t="s">
        <v>83</v>
      </c>
      <c r="AV22" s="27"/>
    </row>
    <row r="23" spans="1:48" x14ac:dyDescent="0.15">
      <c r="A23" s="15" t="s">
        <v>180</v>
      </c>
      <c r="B23" s="15" t="s">
        <v>181</v>
      </c>
      <c r="C23" s="15">
        <v>2018</v>
      </c>
      <c r="D23" s="37" t="s">
        <v>187</v>
      </c>
      <c r="E23" s="7" t="s">
        <v>143</v>
      </c>
      <c r="F23" s="7" t="s">
        <v>152</v>
      </c>
      <c r="G23" s="7" t="s">
        <v>36</v>
      </c>
      <c r="H23" s="15" t="s">
        <v>159</v>
      </c>
      <c r="I23" s="87" t="s">
        <v>153</v>
      </c>
      <c r="J23" s="15" t="s">
        <v>38</v>
      </c>
      <c r="K23" s="7" t="s">
        <v>54</v>
      </c>
      <c r="L23" s="7">
        <v>1</v>
      </c>
      <c r="N23" s="87">
        <v>1</v>
      </c>
      <c r="O23" s="34">
        <v>0.5</v>
      </c>
      <c r="P23" s="7">
        <v>0.55000000000000004</v>
      </c>
      <c r="Q23" s="52">
        <f t="shared" si="0"/>
        <v>0.52500000000000002</v>
      </c>
      <c r="R23" s="7">
        <v>14.8</v>
      </c>
      <c r="S23" s="7">
        <v>112</v>
      </c>
      <c r="T23" s="16">
        <f t="shared" si="1"/>
        <v>33</v>
      </c>
      <c r="U23" s="7">
        <v>149</v>
      </c>
      <c r="V23" s="16">
        <f t="shared" si="2"/>
        <v>4917</v>
      </c>
      <c r="W23" s="7">
        <v>1</v>
      </c>
      <c r="X23" s="95" t="s">
        <v>39</v>
      </c>
      <c r="Y23" s="95" t="s">
        <v>50</v>
      </c>
      <c r="Z23" s="95" t="s">
        <v>90</v>
      </c>
      <c r="AA23" s="95" t="s">
        <v>84</v>
      </c>
      <c r="AB23" s="39" t="s">
        <v>183</v>
      </c>
      <c r="AE23" s="22"/>
      <c r="AP23" s="43" t="s">
        <v>137</v>
      </c>
      <c r="AR23" s="41" t="s">
        <v>61</v>
      </c>
      <c r="AV23" s="27"/>
    </row>
    <row r="24" spans="1:48" x14ac:dyDescent="0.15">
      <c r="A24" s="15" t="s">
        <v>180</v>
      </c>
      <c r="B24" s="15" t="s">
        <v>181</v>
      </c>
      <c r="C24" s="15">
        <v>2018</v>
      </c>
      <c r="D24" s="37" t="s">
        <v>187</v>
      </c>
      <c r="E24" s="7" t="s">
        <v>143</v>
      </c>
      <c r="F24" s="7" t="s">
        <v>152</v>
      </c>
      <c r="G24" s="7" t="s">
        <v>36</v>
      </c>
      <c r="H24" s="95" t="s">
        <v>159</v>
      </c>
      <c r="I24" s="87" t="s">
        <v>153</v>
      </c>
      <c r="J24" s="15" t="s">
        <v>38</v>
      </c>
      <c r="K24" s="7" t="s">
        <v>54</v>
      </c>
      <c r="L24" s="7">
        <v>2</v>
      </c>
      <c r="N24" s="87">
        <v>1</v>
      </c>
      <c r="O24" s="7">
        <v>0.55000000000000004</v>
      </c>
      <c r="P24" s="7">
        <v>0.55000000000000004</v>
      </c>
      <c r="Q24" s="52">
        <f t="shared" si="0"/>
        <v>0.55000000000000004</v>
      </c>
      <c r="R24" s="7">
        <v>19.600000000000001</v>
      </c>
      <c r="S24" s="7">
        <v>109</v>
      </c>
      <c r="T24" s="16">
        <f t="shared" si="1"/>
        <v>33</v>
      </c>
      <c r="U24" s="87">
        <v>149</v>
      </c>
      <c r="V24" s="16">
        <f t="shared" si="2"/>
        <v>4917</v>
      </c>
      <c r="W24" s="7">
        <v>1</v>
      </c>
      <c r="X24" s="95" t="s">
        <v>39</v>
      </c>
      <c r="Y24" s="95" t="s">
        <v>50</v>
      </c>
      <c r="Z24" s="95" t="s">
        <v>90</v>
      </c>
      <c r="AA24" s="95" t="s">
        <v>84</v>
      </c>
      <c r="AB24" s="39" t="s">
        <v>183</v>
      </c>
      <c r="AE24" s="22"/>
      <c r="AP24" s="43" t="s">
        <v>138</v>
      </c>
      <c r="AR24" s="41" t="s">
        <v>91</v>
      </c>
      <c r="AV24" s="27"/>
    </row>
    <row r="25" spans="1:48" x14ac:dyDescent="0.15">
      <c r="A25" s="15" t="s">
        <v>180</v>
      </c>
      <c r="B25" s="15" t="s">
        <v>181</v>
      </c>
      <c r="C25" s="15">
        <v>2018</v>
      </c>
      <c r="D25" s="37" t="s">
        <v>187</v>
      </c>
      <c r="E25" s="7" t="s">
        <v>143</v>
      </c>
      <c r="F25" s="7" t="s">
        <v>152</v>
      </c>
      <c r="G25" s="7" t="s">
        <v>36</v>
      </c>
      <c r="H25" s="95" t="s">
        <v>159</v>
      </c>
      <c r="I25" s="87" t="s">
        <v>153</v>
      </c>
      <c r="J25" s="15" t="s">
        <v>38</v>
      </c>
      <c r="K25" s="7" t="s">
        <v>54</v>
      </c>
      <c r="L25" s="7">
        <v>3</v>
      </c>
      <c r="N25" s="87">
        <v>1</v>
      </c>
      <c r="O25" s="7">
        <v>0.5</v>
      </c>
      <c r="P25" s="7">
        <v>0.55000000000000004</v>
      </c>
      <c r="Q25" s="52">
        <f t="shared" si="0"/>
        <v>0.52500000000000002</v>
      </c>
      <c r="R25" s="7">
        <v>17.8</v>
      </c>
      <c r="S25" s="7">
        <v>109</v>
      </c>
      <c r="T25" s="16">
        <f t="shared" si="1"/>
        <v>33</v>
      </c>
      <c r="U25" s="87">
        <v>149</v>
      </c>
      <c r="V25" s="16">
        <f t="shared" si="2"/>
        <v>4917</v>
      </c>
      <c r="W25" s="7">
        <v>1</v>
      </c>
      <c r="X25" s="95" t="s">
        <v>39</v>
      </c>
      <c r="Y25" s="95" t="s">
        <v>50</v>
      </c>
      <c r="Z25" s="95" t="s">
        <v>90</v>
      </c>
      <c r="AA25" s="95" t="s">
        <v>84</v>
      </c>
      <c r="AB25" s="39" t="s">
        <v>543</v>
      </c>
      <c r="AE25" s="35"/>
      <c r="AP25" s="43" t="s">
        <v>116</v>
      </c>
      <c r="AR25" s="42" t="s">
        <v>92</v>
      </c>
      <c r="AV25" s="27"/>
    </row>
    <row r="26" spans="1:48" x14ac:dyDescent="0.15">
      <c r="A26" s="15" t="s">
        <v>180</v>
      </c>
      <c r="B26" s="15" t="s">
        <v>181</v>
      </c>
      <c r="C26" s="15">
        <v>2018</v>
      </c>
      <c r="D26" s="37" t="s">
        <v>187</v>
      </c>
      <c r="E26" s="7" t="s">
        <v>131</v>
      </c>
      <c r="F26" s="7" t="s">
        <v>144</v>
      </c>
      <c r="G26" s="7" t="s">
        <v>36</v>
      </c>
      <c r="H26" s="15" t="s">
        <v>155</v>
      </c>
      <c r="I26" s="87" t="s">
        <v>153</v>
      </c>
      <c r="J26" s="15" t="s">
        <v>38</v>
      </c>
      <c r="K26" s="7" t="s">
        <v>154</v>
      </c>
      <c r="L26" s="7">
        <v>1</v>
      </c>
      <c r="N26" s="87">
        <v>1</v>
      </c>
      <c r="O26" s="7">
        <v>0.55000000000000004</v>
      </c>
      <c r="P26" s="7">
        <v>0.5</v>
      </c>
      <c r="Q26" s="52">
        <f t="shared" si="0"/>
        <v>0.52500000000000002</v>
      </c>
      <c r="R26" s="7">
        <v>14.8</v>
      </c>
      <c r="S26" s="7">
        <v>130</v>
      </c>
      <c r="T26" s="16">
        <f t="shared" si="1"/>
        <v>25</v>
      </c>
      <c r="U26" s="7">
        <v>59</v>
      </c>
      <c r="V26" s="16">
        <f t="shared" si="2"/>
        <v>1475</v>
      </c>
      <c r="W26" s="7">
        <v>5</v>
      </c>
      <c r="X26" s="95" t="s">
        <v>46</v>
      </c>
      <c r="Y26" s="95" t="s">
        <v>84</v>
      </c>
      <c r="Z26" s="95" t="s">
        <v>90</v>
      </c>
      <c r="AA26" s="95" t="s">
        <v>50</v>
      </c>
      <c r="AB26" s="39" t="s">
        <v>183</v>
      </c>
      <c r="AE26" s="35"/>
      <c r="AP26" s="43" t="s">
        <v>117</v>
      </c>
      <c r="AR26" s="23" t="s">
        <v>166</v>
      </c>
      <c r="AV26" s="28"/>
    </row>
    <row r="27" spans="1:48" x14ac:dyDescent="0.15">
      <c r="A27" s="15" t="s">
        <v>180</v>
      </c>
      <c r="B27" s="15" t="s">
        <v>181</v>
      </c>
      <c r="C27" s="15">
        <v>2018</v>
      </c>
      <c r="D27" s="37" t="s">
        <v>187</v>
      </c>
      <c r="E27" s="7" t="s">
        <v>131</v>
      </c>
      <c r="F27" s="7" t="s">
        <v>144</v>
      </c>
      <c r="G27" s="7" t="s">
        <v>36</v>
      </c>
      <c r="H27" s="95" t="s">
        <v>155</v>
      </c>
      <c r="I27" s="87" t="s">
        <v>153</v>
      </c>
      <c r="J27" s="15" t="s">
        <v>38</v>
      </c>
      <c r="K27" s="7" t="s">
        <v>154</v>
      </c>
      <c r="L27" s="7">
        <v>2</v>
      </c>
      <c r="N27" s="87">
        <v>1</v>
      </c>
      <c r="O27" s="7">
        <v>0.5</v>
      </c>
      <c r="P27" s="7">
        <v>0.55000000000000004</v>
      </c>
      <c r="Q27" s="52">
        <f t="shared" si="0"/>
        <v>0.52500000000000002</v>
      </c>
      <c r="R27" s="7">
        <v>14.3</v>
      </c>
      <c r="S27" s="7">
        <v>125</v>
      </c>
      <c r="T27" s="16">
        <f t="shared" si="1"/>
        <v>27</v>
      </c>
      <c r="U27" s="87">
        <v>59</v>
      </c>
      <c r="V27" s="16">
        <f t="shared" si="2"/>
        <v>1593</v>
      </c>
      <c r="W27" s="7">
        <v>5</v>
      </c>
      <c r="X27" s="15" t="s">
        <v>46</v>
      </c>
      <c r="Y27" s="95" t="s">
        <v>84</v>
      </c>
      <c r="Z27" s="95" t="s">
        <v>90</v>
      </c>
      <c r="AA27" s="95" t="s">
        <v>50</v>
      </c>
      <c r="AB27" s="39" t="s">
        <v>183</v>
      </c>
      <c r="AE27" s="28"/>
      <c r="AP27" s="43" t="s">
        <v>118</v>
      </c>
      <c r="AR27" s="23"/>
    </row>
    <row r="28" spans="1:48" x14ac:dyDescent="0.15">
      <c r="A28" s="15" t="s">
        <v>180</v>
      </c>
      <c r="B28" s="15" t="s">
        <v>181</v>
      </c>
      <c r="C28" s="15">
        <v>2018</v>
      </c>
      <c r="D28" s="37" t="s">
        <v>187</v>
      </c>
      <c r="E28" s="7" t="s">
        <v>131</v>
      </c>
      <c r="F28" s="7" t="s">
        <v>144</v>
      </c>
      <c r="G28" s="7" t="s">
        <v>36</v>
      </c>
      <c r="H28" s="95" t="s">
        <v>155</v>
      </c>
      <c r="I28" s="87" t="s">
        <v>153</v>
      </c>
      <c r="J28" s="15" t="s">
        <v>38</v>
      </c>
      <c r="K28" s="7" t="s">
        <v>154</v>
      </c>
      <c r="L28" s="7">
        <v>3</v>
      </c>
      <c r="N28" s="87">
        <v>1</v>
      </c>
      <c r="O28" s="7">
        <v>0.7</v>
      </c>
      <c r="P28" s="7">
        <v>0.6</v>
      </c>
      <c r="Q28" s="52">
        <f t="shared" si="0"/>
        <v>0.64999999999999991</v>
      </c>
      <c r="R28" s="7">
        <v>12.2</v>
      </c>
      <c r="S28" s="7">
        <v>126</v>
      </c>
      <c r="T28" s="16">
        <f t="shared" si="1"/>
        <v>27</v>
      </c>
      <c r="U28" s="87">
        <v>59</v>
      </c>
      <c r="V28" s="16">
        <f t="shared" si="2"/>
        <v>1593</v>
      </c>
      <c r="W28" s="7">
        <v>5</v>
      </c>
      <c r="X28" s="15" t="s">
        <v>46</v>
      </c>
      <c r="Y28" s="95" t="s">
        <v>84</v>
      </c>
      <c r="Z28" s="95" t="s">
        <v>90</v>
      </c>
      <c r="AA28" s="95" t="s">
        <v>50</v>
      </c>
      <c r="AB28" s="39" t="s">
        <v>183</v>
      </c>
      <c r="AP28" s="27"/>
      <c r="AR28" s="23"/>
    </row>
    <row r="29" spans="1:48" x14ac:dyDescent="0.15">
      <c r="A29" s="15" t="s">
        <v>180</v>
      </c>
      <c r="B29" s="15" t="s">
        <v>181</v>
      </c>
      <c r="C29" s="15">
        <v>2018</v>
      </c>
      <c r="D29" s="37" t="s">
        <v>187</v>
      </c>
      <c r="E29" s="7" t="s">
        <v>139</v>
      </c>
      <c r="F29" s="7" t="s">
        <v>145</v>
      </c>
      <c r="G29" s="7" t="s">
        <v>36</v>
      </c>
      <c r="H29" s="95" t="s">
        <v>155</v>
      </c>
      <c r="I29" s="87" t="s">
        <v>153</v>
      </c>
      <c r="J29" s="15" t="s">
        <v>38</v>
      </c>
      <c r="K29" s="7" t="s">
        <v>154</v>
      </c>
      <c r="L29" s="7">
        <v>1</v>
      </c>
      <c r="N29" s="87">
        <v>1</v>
      </c>
      <c r="O29" s="7">
        <v>0.5</v>
      </c>
      <c r="P29" s="7">
        <v>0.5</v>
      </c>
      <c r="Q29" s="52">
        <f t="shared" si="0"/>
        <v>0.5</v>
      </c>
      <c r="R29" s="7">
        <v>13.9</v>
      </c>
      <c r="S29" s="7">
        <v>123</v>
      </c>
      <c r="T29" s="16">
        <f t="shared" si="1"/>
        <v>27</v>
      </c>
      <c r="U29" s="7">
        <v>100</v>
      </c>
      <c r="V29" s="16">
        <f t="shared" si="2"/>
        <v>2700</v>
      </c>
      <c r="W29" s="7">
        <v>4</v>
      </c>
      <c r="X29" s="15" t="s">
        <v>46</v>
      </c>
      <c r="Y29" s="95" t="s">
        <v>84</v>
      </c>
      <c r="Z29" s="95" t="s">
        <v>50</v>
      </c>
      <c r="AA29" s="95" t="s">
        <v>90</v>
      </c>
      <c r="AB29" s="39" t="s">
        <v>183</v>
      </c>
      <c r="AP29" s="27"/>
      <c r="AR29" s="27"/>
      <c r="AV29" s="28"/>
    </row>
    <row r="30" spans="1:48" x14ac:dyDescent="0.15">
      <c r="A30" s="15" t="s">
        <v>180</v>
      </c>
      <c r="B30" s="15" t="s">
        <v>181</v>
      </c>
      <c r="C30" s="15">
        <v>2018</v>
      </c>
      <c r="D30" s="37" t="s">
        <v>187</v>
      </c>
      <c r="E30" s="7" t="s">
        <v>139</v>
      </c>
      <c r="F30" s="7" t="s">
        <v>145</v>
      </c>
      <c r="G30" s="7" t="s">
        <v>36</v>
      </c>
      <c r="H30" s="95" t="s">
        <v>155</v>
      </c>
      <c r="I30" s="87" t="s">
        <v>153</v>
      </c>
      <c r="J30" s="15" t="s">
        <v>38</v>
      </c>
      <c r="K30" s="7" t="s">
        <v>154</v>
      </c>
      <c r="L30" s="7">
        <v>2</v>
      </c>
      <c r="N30" s="87">
        <v>1</v>
      </c>
      <c r="O30" s="7">
        <v>0.55000000000000004</v>
      </c>
      <c r="P30" s="7">
        <v>0.5</v>
      </c>
      <c r="Q30" s="52">
        <f t="shared" si="0"/>
        <v>0.52500000000000002</v>
      </c>
      <c r="R30" s="7">
        <v>13.1</v>
      </c>
      <c r="S30" s="7">
        <v>118</v>
      </c>
      <c r="T30" s="16">
        <f t="shared" si="1"/>
        <v>30</v>
      </c>
      <c r="U30" s="87">
        <v>100</v>
      </c>
      <c r="V30" s="16">
        <f t="shared" si="2"/>
        <v>3000</v>
      </c>
      <c r="W30" s="7">
        <v>4</v>
      </c>
      <c r="X30" s="15" t="s">
        <v>46</v>
      </c>
      <c r="Y30" s="95" t="s">
        <v>84</v>
      </c>
      <c r="Z30" s="95" t="s">
        <v>50</v>
      </c>
      <c r="AA30" s="95" t="s">
        <v>90</v>
      </c>
      <c r="AB30" s="39" t="s">
        <v>183</v>
      </c>
      <c r="AP30" s="27"/>
      <c r="AR30" s="27"/>
    </row>
    <row r="31" spans="1:48" x14ac:dyDescent="0.15">
      <c r="A31" s="15" t="s">
        <v>180</v>
      </c>
      <c r="B31" s="15" t="s">
        <v>181</v>
      </c>
      <c r="C31" s="15">
        <v>2018</v>
      </c>
      <c r="D31" s="37" t="s">
        <v>187</v>
      </c>
      <c r="E31" s="7" t="s">
        <v>139</v>
      </c>
      <c r="F31" s="7" t="s">
        <v>145</v>
      </c>
      <c r="G31" s="7" t="s">
        <v>36</v>
      </c>
      <c r="H31" s="95" t="s">
        <v>155</v>
      </c>
      <c r="I31" s="87" t="s">
        <v>153</v>
      </c>
      <c r="J31" s="15" t="s">
        <v>38</v>
      </c>
      <c r="K31" s="7" t="s">
        <v>154</v>
      </c>
      <c r="L31" s="7">
        <v>3</v>
      </c>
      <c r="N31" s="87">
        <v>1</v>
      </c>
      <c r="O31" s="7">
        <v>0.5</v>
      </c>
      <c r="P31" s="7">
        <v>0.55000000000000004</v>
      </c>
      <c r="Q31" s="52">
        <f t="shared" si="0"/>
        <v>0.52500000000000002</v>
      </c>
      <c r="R31" s="7">
        <v>15.6</v>
      </c>
      <c r="S31" s="7">
        <v>123</v>
      </c>
      <c r="T31" s="16">
        <f t="shared" si="1"/>
        <v>27</v>
      </c>
      <c r="U31" s="87">
        <v>100</v>
      </c>
      <c r="V31" s="16">
        <f t="shared" si="2"/>
        <v>2700</v>
      </c>
      <c r="W31" s="7">
        <v>4</v>
      </c>
      <c r="X31" s="15" t="s">
        <v>46</v>
      </c>
      <c r="Y31" s="95" t="s">
        <v>84</v>
      </c>
      <c r="Z31" s="95" t="s">
        <v>50</v>
      </c>
      <c r="AA31" s="95" t="s">
        <v>90</v>
      </c>
      <c r="AB31" s="39" t="s">
        <v>183</v>
      </c>
      <c r="AP31" s="27"/>
      <c r="AR31" s="27"/>
    </row>
    <row r="32" spans="1:48" x14ac:dyDescent="0.15">
      <c r="A32" s="15" t="s">
        <v>180</v>
      </c>
      <c r="B32" s="15" t="s">
        <v>181</v>
      </c>
      <c r="C32" s="15">
        <v>2018</v>
      </c>
      <c r="D32" s="37" t="s">
        <v>187</v>
      </c>
      <c r="E32" s="7" t="s">
        <v>139</v>
      </c>
      <c r="F32" s="7" t="s">
        <v>145</v>
      </c>
      <c r="G32" s="7" t="s">
        <v>36</v>
      </c>
      <c r="H32" s="15" t="s">
        <v>159</v>
      </c>
      <c r="I32" s="87" t="s">
        <v>153</v>
      </c>
      <c r="J32" s="15" t="s">
        <v>38</v>
      </c>
      <c r="K32" s="7" t="s">
        <v>54</v>
      </c>
      <c r="L32" s="7">
        <v>1</v>
      </c>
      <c r="N32" s="87">
        <v>1</v>
      </c>
      <c r="O32" s="7">
        <v>0.55000000000000004</v>
      </c>
      <c r="P32" s="7">
        <v>0.55000000000000004</v>
      </c>
      <c r="Q32" s="52">
        <f t="shared" si="0"/>
        <v>0.55000000000000004</v>
      </c>
      <c r="R32" s="7">
        <v>16.2</v>
      </c>
      <c r="S32" s="7">
        <v>117</v>
      </c>
      <c r="T32" s="16">
        <f t="shared" si="1"/>
        <v>30</v>
      </c>
      <c r="U32" s="7">
        <v>100</v>
      </c>
      <c r="V32" s="16">
        <f t="shared" si="2"/>
        <v>3000</v>
      </c>
      <c r="W32" s="7">
        <v>4</v>
      </c>
      <c r="X32" s="15" t="s">
        <v>46</v>
      </c>
      <c r="Y32" s="95" t="s">
        <v>84</v>
      </c>
      <c r="Z32" s="95" t="s">
        <v>50</v>
      </c>
      <c r="AA32" s="95" t="s">
        <v>90</v>
      </c>
      <c r="AB32" s="39" t="s">
        <v>183</v>
      </c>
      <c r="AP32" s="28"/>
      <c r="AR32" s="28"/>
    </row>
    <row r="33" spans="1:44" x14ac:dyDescent="0.15">
      <c r="A33" s="15" t="s">
        <v>180</v>
      </c>
      <c r="B33" s="15" t="s">
        <v>181</v>
      </c>
      <c r="C33" s="15">
        <v>2018</v>
      </c>
      <c r="D33" s="37" t="s">
        <v>187</v>
      </c>
      <c r="E33" s="7" t="s">
        <v>139</v>
      </c>
      <c r="F33" s="7" t="s">
        <v>145</v>
      </c>
      <c r="G33" s="7" t="s">
        <v>36</v>
      </c>
      <c r="H33" s="95" t="s">
        <v>159</v>
      </c>
      <c r="I33" s="87" t="s">
        <v>153</v>
      </c>
      <c r="J33" s="15" t="s">
        <v>38</v>
      </c>
      <c r="K33" s="7" t="s">
        <v>54</v>
      </c>
      <c r="L33" s="7">
        <v>2</v>
      </c>
      <c r="N33" s="87">
        <v>1</v>
      </c>
      <c r="O33" s="7">
        <v>0.7</v>
      </c>
      <c r="P33" s="7">
        <v>0.8</v>
      </c>
      <c r="Q33" s="52">
        <f t="shared" si="0"/>
        <v>0.75</v>
      </c>
      <c r="R33" s="7">
        <v>16.899999999999999</v>
      </c>
      <c r="S33" s="7">
        <v>109</v>
      </c>
      <c r="T33" s="16">
        <f t="shared" si="1"/>
        <v>33</v>
      </c>
      <c r="U33" s="87">
        <v>100</v>
      </c>
      <c r="V33" s="16">
        <f t="shared" si="2"/>
        <v>3300</v>
      </c>
      <c r="W33" s="7">
        <v>4</v>
      </c>
      <c r="X33" s="15" t="s">
        <v>46</v>
      </c>
      <c r="Y33" s="95" t="s">
        <v>84</v>
      </c>
      <c r="Z33" s="95" t="s">
        <v>50</v>
      </c>
      <c r="AA33" s="95" t="s">
        <v>90</v>
      </c>
      <c r="AB33" s="39" t="s">
        <v>183</v>
      </c>
    </row>
    <row r="34" spans="1:44" x14ac:dyDescent="0.15">
      <c r="A34" s="15" t="s">
        <v>180</v>
      </c>
      <c r="B34" s="15" t="s">
        <v>181</v>
      </c>
      <c r="C34" s="15">
        <v>2018</v>
      </c>
      <c r="D34" s="37" t="s">
        <v>187</v>
      </c>
      <c r="E34" s="7" t="s">
        <v>139</v>
      </c>
      <c r="F34" s="7" t="s">
        <v>145</v>
      </c>
      <c r="G34" s="7" t="s">
        <v>36</v>
      </c>
      <c r="H34" s="95" t="s">
        <v>159</v>
      </c>
      <c r="I34" s="87" t="s">
        <v>153</v>
      </c>
      <c r="J34" s="15" t="s">
        <v>38</v>
      </c>
      <c r="K34" s="7" t="s">
        <v>54</v>
      </c>
      <c r="L34" s="7">
        <v>3</v>
      </c>
      <c r="N34" s="87">
        <v>1</v>
      </c>
      <c r="O34" s="7">
        <v>0.6</v>
      </c>
      <c r="P34" s="7">
        <v>0.6</v>
      </c>
      <c r="Q34" s="52">
        <f t="shared" si="0"/>
        <v>0.6</v>
      </c>
      <c r="R34" s="7">
        <v>19.399999999999999</v>
      </c>
      <c r="S34" s="7">
        <v>117</v>
      </c>
      <c r="T34" s="16">
        <f t="shared" si="1"/>
        <v>30</v>
      </c>
      <c r="U34" s="87">
        <v>100</v>
      </c>
      <c r="V34" s="16">
        <f t="shared" si="2"/>
        <v>3000</v>
      </c>
      <c r="W34" s="7">
        <v>4</v>
      </c>
      <c r="X34" s="15" t="s">
        <v>46</v>
      </c>
      <c r="Y34" s="95" t="s">
        <v>84</v>
      </c>
      <c r="Z34" s="95" t="s">
        <v>50</v>
      </c>
      <c r="AA34" s="95" t="s">
        <v>90</v>
      </c>
      <c r="AB34" s="39" t="s">
        <v>183</v>
      </c>
    </row>
    <row r="35" spans="1:44" x14ac:dyDescent="0.15">
      <c r="A35" s="15" t="s">
        <v>180</v>
      </c>
      <c r="B35" s="15" t="s">
        <v>181</v>
      </c>
      <c r="C35" s="15">
        <v>2018</v>
      </c>
      <c r="D35" s="37" t="s">
        <v>187</v>
      </c>
      <c r="E35" s="7" t="s">
        <v>179</v>
      </c>
      <c r="F35" s="7" t="s">
        <v>186</v>
      </c>
      <c r="G35" s="7" t="s">
        <v>36</v>
      </c>
      <c r="H35" s="95" t="s">
        <v>155</v>
      </c>
      <c r="I35" s="87" t="s">
        <v>153</v>
      </c>
      <c r="J35" s="15" t="s">
        <v>38</v>
      </c>
      <c r="K35" s="7" t="s">
        <v>154</v>
      </c>
      <c r="L35" s="7">
        <v>1</v>
      </c>
      <c r="N35" s="87">
        <v>1</v>
      </c>
      <c r="O35" s="7">
        <v>0.65</v>
      </c>
      <c r="P35" s="7">
        <v>0.5</v>
      </c>
      <c r="Q35" s="52">
        <f t="shared" si="0"/>
        <v>0.57499999999999996</v>
      </c>
      <c r="R35" s="7">
        <v>15.1</v>
      </c>
      <c r="S35" s="7">
        <v>145</v>
      </c>
      <c r="T35" s="16">
        <f t="shared" si="1"/>
        <v>22</v>
      </c>
      <c r="U35" s="7">
        <v>81</v>
      </c>
      <c r="V35" s="16">
        <f t="shared" si="2"/>
        <v>1782</v>
      </c>
      <c r="W35" s="7">
        <v>8</v>
      </c>
      <c r="X35" s="15" t="s">
        <v>46</v>
      </c>
      <c r="Y35" s="95" t="s">
        <v>84</v>
      </c>
      <c r="Z35" s="95" t="s">
        <v>50</v>
      </c>
      <c r="AA35" s="95" t="s">
        <v>90</v>
      </c>
      <c r="AB35" s="39" t="s">
        <v>183</v>
      </c>
      <c r="AP35" s="28"/>
      <c r="AR35" s="28"/>
    </row>
    <row r="36" spans="1:44" x14ac:dyDescent="0.15">
      <c r="A36" s="15" t="s">
        <v>180</v>
      </c>
      <c r="B36" s="15" t="s">
        <v>181</v>
      </c>
      <c r="C36" s="15">
        <v>2018</v>
      </c>
      <c r="D36" s="37" t="s">
        <v>187</v>
      </c>
      <c r="E36" s="7" t="s">
        <v>179</v>
      </c>
      <c r="F36" s="7" t="s">
        <v>186</v>
      </c>
      <c r="G36" s="7" t="s">
        <v>36</v>
      </c>
      <c r="H36" s="95" t="s">
        <v>155</v>
      </c>
      <c r="I36" s="87" t="s">
        <v>153</v>
      </c>
      <c r="J36" s="15" t="s">
        <v>38</v>
      </c>
      <c r="K36" s="7" t="s">
        <v>154</v>
      </c>
      <c r="L36" s="7">
        <v>2</v>
      </c>
      <c r="N36" s="87">
        <v>1</v>
      </c>
      <c r="O36" s="7">
        <v>0.55000000000000004</v>
      </c>
      <c r="P36" s="7">
        <v>0.7</v>
      </c>
      <c r="Q36" s="52">
        <f t="shared" si="0"/>
        <v>0.625</v>
      </c>
      <c r="R36" s="7">
        <v>15.7</v>
      </c>
      <c r="S36" s="7">
        <v>149</v>
      </c>
      <c r="T36" s="16">
        <f t="shared" si="1"/>
        <v>22</v>
      </c>
      <c r="U36" s="87">
        <v>81</v>
      </c>
      <c r="V36" s="16">
        <f t="shared" si="2"/>
        <v>1782</v>
      </c>
      <c r="W36" s="7">
        <v>8</v>
      </c>
      <c r="X36" s="15" t="s">
        <v>46</v>
      </c>
      <c r="Y36" s="95" t="s">
        <v>84</v>
      </c>
      <c r="Z36" s="95" t="s">
        <v>50</v>
      </c>
      <c r="AA36" s="95" t="s">
        <v>90</v>
      </c>
      <c r="AB36" s="39" t="s">
        <v>183</v>
      </c>
    </row>
    <row r="37" spans="1:44" x14ac:dyDescent="0.15">
      <c r="A37" s="15" t="s">
        <v>180</v>
      </c>
      <c r="B37" s="15" t="s">
        <v>181</v>
      </c>
      <c r="C37" s="15">
        <v>2018</v>
      </c>
      <c r="D37" s="37" t="s">
        <v>187</v>
      </c>
      <c r="E37" s="7" t="s">
        <v>179</v>
      </c>
      <c r="F37" s="7" t="s">
        <v>186</v>
      </c>
      <c r="G37" s="7" t="s">
        <v>36</v>
      </c>
      <c r="H37" s="95" t="s">
        <v>155</v>
      </c>
      <c r="I37" s="87" t="s">
        <v>153</v>
      </c>
      <c r="J37" s="15" t="s">
        <v>38</v>
      </c>
      <c r="K37" s="7" t="s">
        <v>154</v>
      </c>
      <c r="L37" s="7">
        <v>3</v>
      </c>
      <c r="N37" s="87">
        <v>1</v>
      </c>
      <c r="O37" s="34">
        <v>0.5</v>
      </c>
      <c r="P37" s="34">
        <v>0.5</v>
      </c>
      <c r="Q37" s="52">
        <f t="shared" si="0"/>
        <v>0.5</v>
      </c>
      <c r="R37" s="7">
        <v>12.7</v>
      </c>
      <c r="S37" s="7">
        <v>139</v>
      </c>
      <c r="T37" s="16">
        <f t="shared" si="1"/>
        <v>22</v>
      </c>
      <c r="U37" s="87">
        <v>81</v>
      </c>
      <c r="V37" s="16">
        <f t="shared" si="2"/>
        <v>1782</v>
      </c>
      <c r="W37" s="7">
        <v>8</v>
      </c>
      <c r="X37" s="15" t="s">
        <v>46</v>
      </c>
      <c r="Y37" s="95" t="s">
        <v>84</v>
      </c>
      <c r="Z37" s="95" t="s">
        <v>50</v>
      </c>
      <c r="AA37" s="95" t="s">
        <v>90</v>
      </c>
      <c r="AB37" s="39" t="s">
        <v>183</v>
      </c>
    </row>
    <row r="38" spans="1:44" x14ac:dyDescent="0.15">
      <c r="A38" s="15" t="s">
        <v>180</v>
      </c>
      <c r="B38" s="15" t="s">
        <v>181</v>
      </c>
      <c r="C38" s="15">
        <v>2018</v>
      </c>
      <c r="D38" s="37" t="s">
        <v>187</v>
      </c>
      <c r="E38" s="7" t="s">
        <v>130</v>
      </c>
      <c r="F38" s="7" t="s">
        <v>146</v>
      </c>
      <c r="G38" s="7" t="s">
        <v>36</v>
      </c>
      <c r="H38" s="95" t="s">
        <v>155</v>
      </c>
      <c r="I38" s="7" t="s">
        <v>153</v>
      </c>
      <c r="J38" s="95" t="s">
        <v>38</v>
      </c>
      <c r="K38" s="87" t="s">
        <v>154</v>
      </c>
      <c r="L38" s="7">
        <v>1</v>
      </c>
      <c r="N38" s="87">
        <v>1</v>
      </c>
      <c r="O38" s="34">
        <v>0.8</v>
      </c>
      <c r="P38" s="34">
        <v>0.7</v>
      </c>
      <c r="Q38" s="52">
        <f t="shared" si="0"/>
        <v>0.75</v>
      </c>
      <c r="R38" s="7">
        <v>14.1</v>
      </c>
      <c r="S38" s="7">
        <v>134</v>
      </c>
      <c r="T38" s="16">
        <f t="shared" si="1"/>
        <v>25</v>
      </c>
      <c r="U38" s="7">
        <v>102</v>
      </c>
      <c r="V38" s="16">
        <f t="shared" si="2"/>
        <v>2550</v>
      </c>
      <c r="W38" s="7">
        <v>8</v>
      </c>
      <c r="X38" s="15" t="s">
        <v>46</v>
      </c>
      <c r="Y38" s="95" t="s">
        <v>84</v>
      </c>
      <c r="Z38" s="95" t="s">
        <v>90</v>
      </c>
      <c r="AA38" s="95" t="s">
        <v>69</v>
      </c>
      <c r="AB38" s="39" t="s">
        <v>183</v>
      </c>
    </row>
    <row r="39" spans="1:44" x14ac:dyDescent="0.15">
      <c r="A39" s="15" t="s">
        <v>180</v>
      </c>
      <c r="B39" s="15" t="s">
        <v>181</v>
      </c>
      <c r="C39" s="15">
        <v>2018</v>
      </c>
      <c r="D39" s="37" t="s">
        <v>187</v>
      </c>
      <c r="E39" s="7" t="s">
        <v>130</v>
      </c>
      <c r="F39" s="7" t="s">
        <v>146</v>
      </c>
      <c r="G39" s="7" t="s">
        <v>36</v>
      </c>
      <c r="H39" s="95" t="s">
        <v>155</v>
      </c>
      <c r="I39" s="87" t="s">
        <v>153</v>
      </c>
      <c r="J39" s="95" t="s">
        <v>38</v>
      </c>
      <c r="K39" s="87" t="s">
        <v>154</v>
      </c>
      <c r="L39" s="7">
        <v>2</v>
      </c>
      <c r="N39" s="87">
        <v>1</v>
      </c>
      <c r="O39" s="7">
        <v>0.65</v>
      </c>
      <c r="P39" s="7">
        <v>0.8</v>
      </c>
      <c r="Q39" s="52">
        <f t="shared" si="0"/>
        <v>0.72500000000000009</v>
      </c>
      <c r="R39" s="34">
        <v>14</v>
      </c>
      <c r="S39" s="7">
        <v>130</v>
      </c>
      <c r="T39" s="16">
        <f t="shared" si="1"/>
        <v>25</v>
      </c>
      <c r="U39" s="87">
        <v>102</v>
      </c>
      <c r="V39" s="16">
        <f t="shared" si="2"/>
        <v>2550</v>
      </c>
      <c r="W39" s="7">
        <v>8</v>
      </c>
      <c r="X39" s="15" t="s">
        <v>46</v>
      </c>
      <c r="Y39" s="95" t="s">
        <v>84</v>
      </c>
      <c r="Z39" s="95" t="s">
        <v>90</v>
      </c>
      <c r="AA39" s="95" t="s">
        <v>69</v>
      </c>
      <c r="AB39" s="39" t="s">
        <v>183</v>
      </c>
    </row>
    <row r="40" spans="1:44" x14ac:dyDescent="0.15">
      <c r="A40" s="15" t="s">
        <v>180</v>
      </c>
      <c r="B40" s="15" t="s">
        <v>181</v>
      </c>
      <c r="C40" s="15">
        <v>2018</v>
      </c>
      <c r="D40" s="37" t="s">
        <v>187</v>
      </c>
      <c r="E40" s="7" t="s">
        <v>130</v>
      </c>
      <c r="F40" s="7" t="s">
        <v>146</v>
      </c>
      <c r="G40" s="7" t="s">
        <v>36</v>
      </c>
      <c r="H40" s="95" t="s">
        <v>155</v>
      </c>
      <c r="I40" s="87" t="s">
        <v>153</v>
      </c>
      <c r="J40" s="95" t="s">
        <v>38</v>
      </c>
      <c r="K40" s="87" t="s">
        <v>154</v>
      </c>
      <c r="L40" s="7">
        <v>3</v>
      </c>
      <c r="N40" s="87">
        <v>1</v>
      </c>
      <c r="O40" s="7">
        <v>0.65</v>
      </c>
      <c r="P40" s="7">
        <v>0.75</v>
      </c>
      <c r="Q40" s="52">
        <f t="shared" si="0"/>
        <v>0.7</v>
      </c>
      <c r="R40" s="7">
        <v>13.9</v>
      </c>
      <c r="S40" s="7">
        <v>133</v>
      </c>
      <c r="T40" s="16">
        <f t="shared" si="1"/>
        <v>25</v>
      </c>
      <c r="U40" s="87">
        <v>102</v>
      </c>
      <c r="V40" s="16">
        <f t="shared" si="2"/>
        <v>2550</v>
      </c>
      <c r="W40" s="7">
        <v>8</v>
      </c>
      <c r="X40" s="15" t="s">
        <v>46</v>
      </c>
      <c r="Y40" s="95" t="s">
        <v>84</v>
      </c>
      <c r="Z40" s="95" t="s">
        <v>90</v>
      </c>
      <c r="AA40" s="95" t="s">
        <v>69</v>
      </c>
      <c r="AB40" s="39" t="s">
        <v>183</v>
      </c>
    </row>
    <row r="41" spans="1:44" ht="12.75" customHeight="1" x14ac:dyDescent="0.15">
      <c r="A41" s="15" t="s">
        <v>180</v>
      </c>
      <c r="B41" s="15" t="s">
        <v>181</v>
      </c>
      <c r="C41" s="15">
        <v>2018</v>
      </c>
      <c r="D41" s="37" t="s">
        <v>187</v>
      </c>
      <c r="E41" s="7" t="s">
        <v>130</v>
      </c>
      <c r="F41" s="7" t="s">
        <v>146</v>
      </c>
      <c r="G41" s="7" t="s">
        <v>36</v>
      </c>
      <c r="H41" s="15" t="s">
        <v>159</v>
      </c>
      <c r="I41" s="7" t="s">
        <v>153</v>
      </c>
      <c r="J41" s="15" t="s">
        <v>38</v>
      </c>
      <c r="K41" s="7" t="s">
        <v>54</v>
      </c>
      <c r="L41" s="7">
        <v>1</v>
      </c>
      <c r="N41" s="87">
        <v>4</v>
      </c>
      <c r="O41" s="7">
        <v>0.5</v>
      </c>
      <c r="P41" s="7">
        <v>0.5</v>
      </c>
      <c r="Q41" s="52">
        <f t="shared" si="0"/>
        <v>0.5</v>
      </c>
      <c r="R41" s="7">
        <v>17.2</v>
      </c>
      <c r="S41" s="7">
        <v>88</v>
      </c>
      <c r="T41" s="16">
        <f t="shared" si="1"/>
        <v>36</v>
      </c>
      <c r="U41" s="7">
        <v>534</v>
      </c>
      <c r="V41" s="16">
        <f t="shared" si="2"/>
        <v>4806</v>
      </c>
      <c r="W41" s="7">
        <v>4</v>
      </c>
      <c r="X41" s="15" t="s">
        <v>46</v>
      </c>
      <c r="Y41" s="95" t="s">
        <v>84</v>
      </c>
      <c r="Z41" s="95" t="s">
        <v>90</v>
      </c>
      <c r="AA41" s="95" t="s">
        <v>69</v>
      </c>
      <c r="AB41" s="39" t="s">
        <v>183</v>
      </c>
    </row>
    <row r="42" spans="1:44" x14ac:dyDescent="0.15">
      <c r="A42" s="15" t="s">
        <v>180</v>
      </c>
      <c r="B42" s="15" t="s">
        <v>181</v>
      </c>
      <c r="C42" s="15">
        <v>2018</v>
      </c>
      <c r="D42" s="37" t="s">
        <v>187</v>
      </c>
      <c r="E42" s="7" t="s">
        <v>130</v>
      </c>
      <c r="F42" s="7" t="s">
        <v>146</v>
      </c>
      <c r="G42" s="7" t="s">
        <v>36</v>
      </c>
      <c r="H42" s="95" t="s">
        <v>159</v>
      </c>
      <c r="I42" s="87" t="s">
        <v>153</v>
      </c>
      <c r="J42" s="15" t="s">
        <v>38</v>
      </c>
      <c r="K42" s="7" t="s">
        <v>54</v>
      </c>
      <c r="L42" s="7">
        <v>2</v>
      </c>
      <c r="N42" s="87">
        <v>4</v>
      </c>
      <c r="O42" s="7">
        <v>0.65</v>
      </c>
      <c r="P42" s="7">
        <v>0.75</v>
      </c>
      <c r="Q42" s="52">
        <f t="shared" si="0"/>
        <v>0.7</v>
      </c>
      <c r="R42" s="7">
        <v>16.600000000000001</v>
      </c>
      <c r="S42" s="7">
        <v>87</v>
      </c>
      <c r="T42" s="16">
        <f t="shared" si="1"/>
        <v>36</v>
      </c>
      <c r="U42" s="87">
        <v>534</v>
      </c>
      <c r="V42" s="16">
        <f t="shared" si="2"/>
        <v>4806</v>
      </c>
      <c r="W42" s="7">
        <v>4</v>
      </c>
      <c r="X42" s="15" t="s">
        <v>46</v>
      </c>
      <c r="Y42" s="95" t="s">
        <v>84</v>
      </c>
      <c r="Z42" s="95" t="s">
        <v>90</v>
      </c>
      <c r="AA42" s="95" t="s">
        <v>69</v>
      </c>
      <c r="AB42" s="39" t="s">
        <v>183</v>
      </c>
    </row>
    <row r="43" spans="1:44" x14ac:dyDescent="0.15">
      <c r="A43" s="15" t="s">
        <v>180</v>
      </c>
      <c r="B43" s="15" t="s">
        <v>181</v>
      </c>
      <c r="C43" s="15">
        <v>2018</v>
      </c>
      <c r="D43" s="37" t="s">
        <v>187</v>
      </c>
      <c r="E43" s="7" t="s">
        <v>130</v>
      </c>
      <c r="F43" s="7" t="s">
        <v>146</v>
      </c>
      <c r="G43" s="7" t="s">
        <v>36</v>
      </c>
      <c r="H43" s="95" t="s">
        <v>159</v>
      </c>
      <c r="I43" s="87" t="s">
        <v>153</v>
      </c>
      <c r="J43" s="15" t="s">
        <v>38</v>
      </c>
      <c r="K43" s="7" t="s">
        <v>54</v>
      </c>
      <c r="L43" s="7">
        <v>3</v>
      </c>
      <c r="N43" s="87">
        <v>4</v>
      </c>
      <c r="O43" s="7">
        <v>0.7</v>
      </c>
      <c r="P43" s="7">
        <v>0.55000000000000004</v>
      </c>
      <c r="Q43" s="52">
        <f t="shared" si="0"/>
        <v>0.625</v>
      </c>
      <c r="R43" s="7">
        <v>15.7</v>
      </c>
      <c r="S43" s="7">
        <v>90</v>
      </c>
      <c r="T43" s="16">
        <f t="shared" si="1"/>
        <v>36</v>
      </c>
      <c r="U43" s="87">
        <v>534</v>
      </c>
      <c r="V43" s="16">
        <f t="shared" si="2"/>
        <v>4806</v>
      </c>
      <c r="W43" s="7">
        <v>4</v>
      </c>
      <c r="X43" s="15" t="s">
        <v>46</v>
      </c>
      <c r="Y43" s="95" t="s">
        <v>84</v>
      </c>
      <c r="Z43" s="95" t="s">
        <v>90</v>
      </c>
      <c r="AA43" s="95" t="s">
        <v>69</v>
      </c>
      <c r="AB43" s="39" t="s">
        <v>183</v>
      </c>
    </row>
    <row r="44" spans="1:44" x14ac:dyDescent="0.15">
      <c r="A44" s="15" t="s">
        <v>180</v>
      </c>
      <c r="B44" s="15" t="s">
        <v>181</v>
      </c>
      <c r="C44" s="15">
        <v>2018</v>
      </c>
      <c r="D44" s="37" t="s">
        <v>187</v>
      </c>
      <c r="E44" s="7" t="s">
        <v>132</v>
      </c>
      <c r="F44" s="7" t="s">
        <v>147</v>
      </c>
      <c r="G44" s="7" t="s">
        <v>36</v>
      </c>
      <c r="H44" s="15" t="s">
        <v>155</v>
      </c>
      <c r="I44" s="87" t="s">
        <v>153</v>
      </c>
      <c r="J44" s="15" t="s">
        <v>38</v>
      </c>
      <c r="K44" s="7" t="s">
        <v>154</v>
      </c>
      <c r="L44" s="7">
        <v>1</v>
      </c>
      <c r="N44" s="87">
        <v>1</v>
      </c>
      <c r="O44" s="7">
        <v>0.6</v>
      </c>
      <c r="P44" s="7">
        <v>0.7</v>
      </c>
      <c r="Q44" s="52">
        <f t="shared" si="0"/>
        <v>0.64999999999999991</v>
      </c>
      <c r="R44" s="7">
        <v>14.9</v>
      </c>
      <c r="S44" s="7">
        <v>149</v>
      </c>
      <c r="T44" s="16">
        <f t="shared" si="1"/>
        <v>22</v>
      </c>
      <c r="U44" s="7">
        <v>77</v>
      </c>
      <c r="V44" s="16">
        <f t="shared" si="2"/>
        <v>1694</v>
      </c>
      <c r="W44" s="7">
        <v>9</v>
      </c>
      <c r="X44" s="15" t="s">
        <v>46</v>
      </c>
      <c r="Y44" s="95" t="s">
        <v>50</v>
      </c>
      <c r="Z44" s="95" t="s">
        <v>84</v>
      </c>
      <c r="AA44" s="95" t="s">
        <v>90</v>
      </c>
      <c r="AB44" s="39" t="s">
        <v>183</v>
      </c>
    </row>
    <row r="45" spans="1:44" x14ac:dyDescent="0.15">
      <c r="A45" s="15" t="s">
        <v>180</v>
      </c>
      <c r="B45" s="15" t="s">
        <v>181</v>
      </c>
      <c r="C45" s="15">
        <v>2018</v>
      </c>
      <c r="D45" s="37" t="s">
        <v>187</v>
      </c>
      <c r="E45" s="7" t="s">
        <v>132</v>
      </c>
      <c r="F45" s="7" t="s">
        <v>147</v>
      </c>
      <c r="G45" s="7" t="s">
        <v>36</v>
      </c>
      <c r="H45" s="95" t="s">
        <v>155</v>
      </c>
      <c r="I45" s="87" t="s">
        <v>153</v>
      </c>
      <c r="J45" s="15" t="s">
        <v>38</v>
      </c>
      <c r="K45" s="7" t="s">
        <v>154</v>
      </c>
      <c r="L45" s="7">
        <v>2</v>
      </c>
      <c r="N45" s="87">
        <v>1</v>
      </c>
      <c r="O45" s="7">
        <v>0.6</v>
      </c>
      <c r="P45" s="7">
        <v>0.65</v>
      </c>
      <c r="Q45" s="52">
        <f t="shared" si="0"/>
        <v>0.625</v>
      </c>
      <c r="R45" s="7">
        <v>13.2</v>
      </c>
      <c r="S45" s="7">
        <v>139</v>
      </c>
      <c r="T45" s="16">
        <f t="shared" si="1"/>
        <v>22</v>
      </c>
      <c r="U45" s="87">
        <v>77</v>
      </c>
      <c r="V45" s="16">
        <f t="shared" si="2"/>
        <v>1694</v>
      </c>
      <c r="W45" s="7">
        <v>9</v>
      </c>
      <c r="X45" s="15" t="s">
        <v>46</v>
      </c>
      <c r="Y45" s="95" t="s">
        <v>50</v>
      </c>
      <c r="Z45" s="95" t="s">
        <v>84</v>
      </c>
      <c r="AA45" s="95" t="s">
        <v>90</v>
      </c>
      <c r="AB45" s="39" t="s">
        <v>183</v>
      </c>
    </row>
    <row r="46" spans="1:44" x14ac:dyDescent="0.15">
      <c r="A46" s="15" t="s">
        <v>180</v>
      </c>
      <c r="B46" s="15" t="s">
        <v>181</v>
      </c>
      <c r="C46" s="15">
        <v>2018</v>
      </c>
      <c r="D46" s="37" t="s">
        <v>187</v>
      </c>
      <c r="E46" s="7" t="s">
        <v>132</v>
      </c>
      <c r="F46" s="7" t="s">
        <v>147</v>
      </c>
      <c r="G46" s="7" t="s">
        <v>36</v>
      </c>
      <c r="H46" s="95" t="s">
        <v>155</v>
      </c>
      <c r="I46" s="87" t="s">
        <v>153</v>
      </c>
      <c r="J46" s="15" t="s">
        <v>38</v>
      </c>
      <c r="K46" s="7" t="s">
        <v>154</v>
      </c>
      <c r="L46" s="7">
        <v>3</v>
      </c>
      <c r="N46" s="7">
        <v>1</v>
      </c>
      <c r="O46" s="7">
        <v>0.5</v>
      </c>
      <c r="P46" s="34">
        <v>0.55000000000000004</v>
      </c>
      <c r="Q46" s="52">
        <f t="shared" si="0"/>
        <v>0.52500000000000002</v>
      </c>
      <c r="R46" s="7">
        <v>14.2</v>
      </c>
      <c r="S46" s="7">
        <v>137</v>
      </c>
      <c r="T46" s="16">
        <f t="shared" si="1"/>
        <v>25</v>
      </c>
      <c r="U46" s="87">
        <v>77</v>
      </c>
      <c r="V46" s="16">
        <f t="shared" si="2"/>
        <v>1925</v>
      </c>
      <c r="W46" s="7">
        <v>9</v>
      </c>
      <c r="X46" s="15" t="s">
        <v>46</v>
      </c>
      <c r="Y46" s="95" t="s">
        <v>50</v>
      </c>
      <c r="Z46" s="95" t="s">
        <v>84</v>
      </c>
      <c r="AA46" s="95" t="s">
        <v>90</v>
      </c>
      <c r="AB46" s="39" t="s">
        <v>183</v>
      </c>
    </row>
    <row r="47" spans="1:44" x14ac:dyDescent="0.15">
      <c r="A47" s="15" t="s">
        <v>180</v>
      </c>
      <c r="B47" s="15" t="s">
        <v>181</v>
      </c>
      <c r="C47" s="15">
        <v>2018</v>
      </c>
      <c r="D47" s="37" t="s">
        <v>187</v>
      </c>
      <c r="E47" s="7" t="s">
        <v>132</v>
      </c>
      <c r="F47" s="7" t="s">
        <v>147</v>
      </c>
      <c r="G47" s="7" t="s">
        <v>36</v>
      </c>
      <c r="H47" s="15" t="s">
        <v>159</v>
      </c>
      <c r="I47" s="87" t="s">
        <v>153</v>
      </c>
      <c r="J47" s="15" t="s">
        <v>38</v>
      </c>
      <c r="K47" s="7" t="s">
        <v>54</v>
      </c>
      <c r="L47" s="7">
        <v>1</v>
      </c>
      <c r="N47" s="7">
        <v>1</v>
      </c>
      <c r="O47" s="7">
        <v>0.65</v>
      </c>
      <c r="P47" s="7">
        <v>0.5</v>
      </c>
      <c r="Q47" s="52">
        <f t="shared" si="0"/>
        <v>0.57499999999999996</v>
      </c>
      <c r="R47" s="7">
        <v>16.5</v>
      </c>
      <c r="S47" s="7">
        <v>105</v>
      </c>
      <c r="T47" s="16">
        <f t="shared" si="1"/>
        <v>33</v>
      </c>
      <c r="U47" s="7">
        <v>170</v>
      </c>
      <c r="V47" s="16">
        <f t="shared" si="2"/>
        <v>5610</v>
      </c>
      <c r="W47" s="7">
        <v>3</v>
      </c>
      <c r="X47" s="15" t="s">
        <v>46</v>
      </c>
      <c r="Y47" s="95" t="s">
        <v>50</v>
      </c>
      <c r="Z47" s="95" t="s">
        <v>84</v>
      </c>
      <c r="AA47" s="95" t="s">
        <v>90</v>
      </c>
      <c r="AB47" s="39" t="s">
        <v>183</v>
      </c>
    </row>
    <row r="48" spans="1:44" x14ac:dyDescent="0.15">
      <c r="A48" s="15" t="s">
        <v>180</v>
      </c>
      <c r="B48" s="15" t="s">
        <v>181</v>
      </c>
      <c r="C48" s="15">
        <v>2018</v>
      </c>
      <c r="D48" s="37" t="s">
        <v>187</v>
      </c>
      <c r="E48" s="7" t="s">
        <v>132</v>
      </c>
      <c r="F48" s="7" t="s">
        <v>147</v>
      </c>
      <c r="G48" s="7" t="s">
        <v>36</v>
      </c>
      <c r="H48" s="95" t="s">
        <v>159</v>
      </c>
      <c r="I48" s="87" t="s">
        <v>153</v>
      </c>
      <c r="J48" s="95" t="s">
        <v>38</v>
      </c>
      <c r="K48" s="87" t="s">
        <v>54</v>
      </c>
      <c r="L48" s="7">
        <v>2</v>
      </c>
      <c r="N48" s="7">
        <v>1</v>
      </c>
      <c r="O48" s="7">
        <v>0.75</v>
      </c>
      <c r="P48" s="7">
        <v>0.85</v>
      </c>
      <c r="Q48" s="52">
        <f t="shared" si="0"/>
        <v>0.8</v>
      </c>
      <c r="R48" s="7">
        <v>16.2</v>
      </c>
      <c r="S48" s="7">
        <v>107</v>
      </c>
      <c r="T48" s="16">
        <f t="shared" si="1"/>
        <v>33</v>
      </c>
      <c r="U48" s="87">
        <v>170</v>
      </c>
      <c r="V48" s="16">
        <f t="shared" si="2"/>
        <v>5610</v>
      </c>
      <c r="W48" s="7">
        <v>3</v>
      </c>
      <c r="X48" s="15" t="s">
        <v>46</v>
      </c>
      <c r="Y48" s="95" t="s">
        <v>50</v>
      </c>
      <c r="Z48" s="95" t="s">
        <v>84</v>
      </c>
      <c r="AA48" s="95" t="s">
        <v>90</v>
      </c>
      <c r="AB48" s="39" t="s">
        <v>183</v>
      </c>
    </row>
    <row r="49" spans="1:29" x14ac:dyDescent="0.15">
      <c r="A49" s="15" t="s">
        <v>180</v>
      </c>
      <c r="B49" s="15" t="s">
        <v>181</v>
      </c>
      <c r="C49" s="15">
        <v>2018</v>
      </c>
      <c r="D49" s="37" t="s">
        <v>187</v>
      </c>
      <c r="E49" s="7" t="s">
        <v>132</v>
      </c>
      <c r="F49" s="7" t="s">
        <v>147</v>
      </c>
      <c r="G49" s="7" t="s">
        <v>36</v>
      </c>
      <c r="H49" s="95" t="s">
        <v>159</v>
      </c>
      <c r="I49" s="87" t="s">
        <v>153</v>
      </c>
      <c r="J49" s="95" t="s">
        <v>38</v>
      </c>
      <c r="K49" s="87" t="s">
        <v>54</v>
      </c>
      <c r="L49" s="7">
        <v>3</v>
      </c>
      <c r="N49" s="7">
        <v>1</v>
      </c>
      <c r="O49" s="7">
        <v>0.75</v>
      </c>
      <c r="P49" s="34">
        <v>0.7</v>
      </c>
      <c r="Q49" s="52">
        <f t="shared" si="0"/>
        <v>0.72499999999999998</v>
      </c>
      <c r="R49" s="7">
        <v>17.100000000000001</v>
      </c>
      <c r="S49" s="7">
        <v>114</v>
      </c>
      <c r="T49" s="16">
        <f t="shared" si="1"/>
        <v>30</v>
      </c>
      <c r="U49" s="87">
        <v>170</v>
      </c>
      <c r="V49" s="16">
        <f t="shared" si="2"/>
        <v>5100</v>
      </c>
      <c r="W49" s="7">
        <v>3</v>
      </c>
      <c r="X49" s="15" t="s">
        <v>46</v>
      </c>
      <c r="Y49" s="95" t="s">
        <v>50</v>
      </c>
      <c r="Z49" s="95" t="s">
        <v>84</v>
      </c>
      <c r="AA49" s="95" t="s">
        <v>90</v>
      </c>
      <c r="AB49" s="39" t="s">
        <v>183</v>
      </c>
    </row>
    <row r="50" spans="1:29" x14ac:dyDescent="0.15">
      <c r="A50" s="15" t="s">
        <v>180</v>
      </c>
      <c r="B50" s="15" t="s">
        <v>181</v>
      </c>
      <c r="C50" s="15">
        <v>2018</v>
      </c>
      <c r="D50" s="37" t="s">
        <v>187</v>
      </c>
      <c r="E50" s="7" t="s">
        <v>140</v>
      </c>
      <c r="F50" s="7" t="s">
        <v>148</v>
      </c>
      <c r="G50" s="7" t="s">
        <v>36</v>
      </c>
      <c r="H50" s="15" t="s">
        <v>155</v>
      </c>
      <c r="I50" s="87" t="s">
        <v>153</v>
      </c>
      <c r="J50" s="15" t="s">
        <v>38</v>
      </c>
      <c r="K50" s="7" t="s">
        <v>154</v>
      </c>
      <c r="L50" s="7">
        <v>1</v>
      </c>
      <c r="N50" s="7">
        <v>1</v>
      </c>
      <c r="O50" s="7">
        <v>0.5</v>
      </c>
      <c r="P50" s="7">
        <v>0.5</v>
      </c>
      <c r="Q50" s="52">
        <f t="shared" si="0"/>
        <v>0.5</v>
      </c>
      <c r="R50" s="7">
        <v>14.1</v>
      </c>
      <c r="S50" s="7">
        <v>130</v>
      </c>
      <c r="T50" s="16">
        <f t="shared" si="1"/>
        <v>25</v>
      </c>
      <c r="U50" s="87">
        <v>95</v>
      </c>
      <c r="V50" s="16">
        <f t="shared" si="2"/>
        <v>2375</v>
      </c>
      <c r="W50" s="7">
        <v>2</v>
      </c>
      <c r="X50" s="95" t="s">
        <v>46</v>
      </c>
      <c r="Y50" s="95" t="s">
        <v>84</v>
      </c>
      <c r="Z50" s="95" t="s">
        <v>50</v>
      </c>
      <c r="AA50" s="95" t="s">
        <v>90</v>
      </c>
      <c r="AB50" s="39" t="s">
        <v>183</v>
      </c>
    </row>
    <row r="51" spans="1:29" x14ac:dyDescent="0.15">
      <c r="A51" s="15" t="s">
        <v>180</v>
      </c>
      <c r="B51" s="15" t="s">
        <v>181</v>
      </c>
      <c r="C51" s="15">
        <v>2018</v>
      </c>
      <c r="D51" s="37" t="s">
        <v>187</v>
      </c>
      <c r="E51" s="7" t="s">
        <v>140</v>
      </c>
      <c r="F51" s="7" t="s">
        <v>148</v>
      </c>
      <c r="G51" s="7" t="s">
        <v>36</v>
      </c>
      <c r="H51" s="95" t="s">
        <v>155</v>
      </c>
      <c r="I51" s="87" t="s">
        <v>153</v>
      </c>
      <c r="J51" s="15" t="s">
        <v>38</v>
      </c>
      <c r="K51" s="7" t="s">
        <v>154</v>
      </c>
      <c r="L51" s="7">
        <v>2</v>
      </c>
      <c r="N51" s="7">
        <v>1</v>
      </c>
      <c r="O51" s="7">
        <v>0.65</v>
      </c>
      <c r="P51" s="7">
        <v>0.6</v>
      </c>
      <c r="Q51" s="52">
        <f t="shared" si="0"/>
        <v>0.625</v>
      </c>
      <c r="R51" s="7">
        <v>15.3</v>
      </c>
      <c r="S51" s="7">
        <v>137</v>
      </c>
      <c r="T51" s="16">
        <f t="shared" si="1"/>
        <v>25</v>
      </c>
      <c r="U51" s="87">
        <v>95</v>
      </c>
      <c r="V51" s="16">
        <f t="shared" si="2"/>
        <v>2375</v>
      </c>
      <c r="W51" s="7">
        <v>2</v>
      </c>
      <c r="X51" s="95" t="s">
        <v>46</v>
      </c>
      <c r="Y51" s="95" t="s">
        <v>84</v>
      </c>
      <c r="Z51" s="95" t="s">
        <v>50</v>
      </c>
      <c r="AA51" s="95" t="s">
        <v>90</v>
      </c>
      <c r="AB51" s="39" t="s">
        <v>183</v>
      </c>
    </row>
    <row r="52" spans="1:29" x14ac:dyDescent="0.15">
      <c r="A52" s="15" t="s">
        <v>180</v>
      </c>
      <c r="B52" s="15" t="s">
        <v>181</v>
      </c>
      <c r="C52" s="15">
        <v>2018</v>
      </c>
      <c r="D52" s="37" t="s">
        <v>187</v>
      </c>
      <c r="E52" s="7" t="s">
        <v>140</v>
      </c>
      <c r="F52" s="7" t="s">
        <v>148</v>
      </c>
      <c r="G52" s="7" t="s">
        <v>36</v>
      </c>
      <c r="H52" s="95" t="s">
        <v>155</v>
      </c>
      <c r="I52" s="87" t="s">
        <v>153</v>
      </c>
      <c r="J52" s="15" t="s">
        <v>38</v>
      </c>
      <c r="K52" s="7" t="s">
        <v>154</v>
      </c>
      <c r="L52" s="7">
        <v>3</v>
      </c>
      <c r="N52" s="7">
        <v>1</v>
      </c>
      <c r="O52" s="7">
        <v>0.5</v>
      </c>
      <c r="P52" s="7">
        <v>0.5</v>
      </c>
      <c r="Q52" s="52">
        <f t="shared" si="0"/>
        <v>0.5</v>
      </c>
      <c r="R52" s="7">
        <v>14</v>
      </c>
      <c r="S52" s="7">
        <v>126</v>
      </c>
      <c r="T52" s="16">
        <f t="shared" si="1"/>
        <v>27</v>
      </c>
      <c r="U52" s="87">
        <v>95</v>
      </c>
      <c r="V52" s="16">
        <f t="shared" si="2"/>
        <v>2565</v>
      </c>
      <c r="W52" s="7">
        <v>2</v>
      </c>
      <c r="X52" s="95" t="s">
        <v>46</v>
      </c>
      <c r="Y52" s="95" t="s">
        <v>84</v>
      </c>
      <c r="Z52" s="95" t="s">
        <v>50</v>
      </c>
      <c r="AA52" s="95" t="s">
        <v>90</v>
      </c>
      <c r="AB52" s="39" t="s">
        <v>183</v>
      </c>
    </row>
    <row r="53" spans="1:29" x14ac:dyDescent="0.15">
      <c r="A53" s="15" t="s">
        <v>180</v>
      </c>
      <c r="B53" s="15" t="s">
        <v>181</v>
      </c>
      <c r="C53" s="15">
        <v>2018</v>
      </c>
      <c r="D53" s="37" t="s">
        <v>187</v>
      </c>
      <c r="E53" s="7" t="s">
        <v>140</v>
      </c>
      <c r="F53" s="7" t="s">
        <v>148</v>
      </c>
      <c r="G53" s="7" t="s">
        <v>36</v>
      </c>
      <c r="H53" s="15" t="s">
        <v>159</v>
      </c>
      <c r="I53" s="87" t="s">
        <v>153</v>
      </c>
      <c r="J53" s="15" t="s">
        <v>38</v>
      </c>
      <c r="K53" s="7" t="s">
        <v>54</v>
      </c>
      <c r="L53" s="7">
        <v>1</v>
      </c>
      <c r="N53" s="7">
        <v>1</v>
      </c>
      <c r="O53" s="7">
        <v>0.6</v>
      </c>
      <c r="P53" s="7">
        <v>0.75</v>
      </c>
      <c r="Q53" s="52">
        <f t="shared" si="0"/>
        <v>0.67500000000000004</v>
      </c>
      <c r="R53" s="7">
        <v>16.399999999999999</v>
      </c>
      <c r="S53" s="7">
        <v>102</v>
      </c>
      <c r="T53" s="16">
        <f t="shared" si="1"/>
        <v>33</v>
      </c>
      <c r="U53" s="7">
        <v>170</v>
      </c>
      <c r="V53" s="16">
        <f t="shared" si="2"/>
        <v>5610</v>
      </c>
      <c r="W53" s="7">
        <v>1</v>
      </c>
      <c r="X53" s="95" t="s">
        <v>46</v>
      </c>
      <c r="Y53" s="95" t="s">
        <v>84</v>
      </c>
      <c r="Z53" s="95" t="s">
        <v>50</v>
      </c>
      <c r="AA53" s="95" t="s">
        <v>90</v>
      </c>
      <c r="AB53" s="39" t="s">
        <v>183</v>
      </c>
      <c r="AC53" s="36"/>
    </row>
    <row r="54" spans="1:29" x14ac:dyDescent="0.15">
      <c r="A54" s="15" t="s">
        <v>180</v>
      </c>
      <c r="B54" s="15" t="s">
        <v>181</v>
      </c>
      <c r="C54" s="15">
        <v>2018</v>
      </c>
      <c r="D54" s="37" t="s">
        <v>187</v>
      </c>
      <c r="E54" s="7" t="s">
        <v>140</v>
      </c>
      <c r="F54" s="7" t="s">
        <v>148</v>
      </c>
      <c r="G54" s="7" t="s">
        <v>36</v>
      </c>
      <c r="H54" s="95" t="s">
        <v>159</v>
      </c>
      <c r="I54" s="87" t="s">
        <v>153</v>
      </c>
      <c r="J54" s="95" t="s">
        <v>38</v>
      </c>
      <c r="K54" s="7" t="s">
        <v>54</v>
      </c>
      <c r="L54" s="7">
        <v>2</v>
      </c>
      <c r="N54" s="7">
        <v>1</v>
      </c>
      <c r="O54" s="7">
        <v>0.75</v>
      </c>
      <c r="P54" s="7">
        <v>0.75</v>
      </c>
      <c r="Q54" s="52">
        <f t="shared" si="0"/>
        <v>0.75</v>
      </c>
      <c r="R54" s="7">
        <v>17.899999999999999</v>
      </c>
      <c r="S54" s="7">
        <v>96</v>
      </c>
      <c r="T54" s="16">
        <f t="shared" si="1"/>
        <v>36</v>
      </c>
      <c r="U54" s="87">
        <v>170</v>
      </c>
      <c r="V54" s="16">
        <f t="shared" si="2"/>
        <v>6120</v>
      </c>
      <c r="W54" s="7">
        <v>1</v>
      </c>
      <c r="X54" s="95" t="s">
        <v>46</v>
      </c>
      <c r="Y54" s="95" t="s">
        <v>84</v>
      </c>
      <c r="Z54" s="95" t="s">
        <v>50</v>
      </c>
      <c r="AA54" s="95" t="s">
        <v>90</v>
      </c>
      <c r="AB54" s="39" t="s">
        <v>183</v>
      </c>
      <c r="AC54" s="36"/>
    </row>
    <row r="55" spans="1:29" x14ac:dyDescent="0.15">
      <c r="A55" s="15" t="s">
        <v>180</v>
      </c>
      <c r="B55" s="15" t="s">
        <v>181</v>
      </c>
      <c r="C55" s="15">
        <v>2018</v>
      </c>
      <c r="D55" s="37" t="s">
        <v>187</v>
      </c>
      <c r="E55" s="7" t="s">
        <v>140</v>
      </c>
      <c r="F55" s="7" t="s">
        <v>148</v>
      </c>
      <c r="G55" s="7" t="s">
        <v>36</v>
      </c>
      <c r="H55" s="95" t="s">
        <v>159</v>
      </c>
      <c r="I55" s="87" t="s">
        <v>153</v>
      </c>
      <c r="J55" s="95" t="s">
        <v>38</v>
      </c>
      <c r="K55" s="7" t="s">
        <v>54</v>
      </c>
      <c r="L55" s="7">
        <v>3</v>
      </c>
      <c r="N55" s="87">
        <v>1</v>
      </c>
      <c r="O55" s="7">
        <v>0.6</v>
      </c>
      <c r="P55" s="7">
        <v>0.7</v>
      </c>
      <c r="Q55" s="52">
        <f t="shared" si="0"/>
        <v>0.64999999999999991</v>
      </c>
      <c r="R55" s="7">
        <v>17.100000000000001</v>
      </c>
      <c r="S55" s="7">
        <v>104</v>
      </c>
      <c r="T55" s="16">
        <f t="shared" si="1"/>
        <v>33</v>
      </c>
      <c r="U55" s="87">
        <v>170</v>
      </c>
      <c r="V55" s="16">
        <f t="shared" si="2"/>
        <v>5610</v>
      </c>
      <c r="W55" s="7">
        <v>1</v>
      </c>
      <c r="X55" s="95" t="s">
        <v>46</v>
      </c>
      <c r="Y55" s="95" t="s">
        <v>84</v>
      </c>
      <c r="Z55" s="95" t="s">
        <v>50</v>
      </c>
      <c r="AA55" s="95" t="s">
        <v>90</v>
      </c>
      <c r="AB55" s="39" t="s">
        <v>183</v>
      </c>
      <c r="AC55" s="36"/>
    </row>
    <row r="56" spans="1:29" x14ac:dyDescent="0.15">
      <c r="A56" s="15"/>
      <c r="B56" s="15"/>
      <c r="C56" s="15"/>
      <c r="D56" s="37"/>
      <c r="H56" s="15"/>
      <c r="I56" s="87"/>
      <c r="J56" s="15"/>
      <c r="N56" s="87"/>
      <c r="Q56" s="52" t="str">
        <f t="shared" si="0"/>
        <v/>
      </c>
      <c r="T56" s="16" t="str">
        <f t="shared" si="1"/>
        <v/>
      </c>
      <c r="U56" s="87"/>
      <c r="V56" s="16" t="str">
        <f t="shared" si="2"/>
        <v/>
      </c>
      <c r="X56" s="15"/>
      <c r="Y56" s="95"/>
      <c r="Z56" s="95"/>
      <c r="AA56" s="95"/>
      <c r="AB56" s="39"/>
    </row>
    <row r="57" spans="1:29" x14ac:dyDescent="0.15">
      <c r="A57" s="15"/>
      <c r="B57" s="15"/>
      <c r="C57" s="15"/>
      <c r="D57" s="37"/>
      <c r="H57" s="95"/>
      <c r="I57" s="87"/>
      <c r="J57" s="15"/>
      <c r="K57" s="87"/>
      <c r="N57" s="87"/>
      <c r="Q57" s="52" t="str">
        <f t="shared" si="0"/>
        <v/>
      </c>
      <c r="T57" s="16" t="str">
        <f t="shared" si="1"/>
        <v/>
      </c>
      <c r="U57" s="87"/>
      <c r="V57" s="16" t="str">
        <f t="shared" si="2"/>
        <v/>
      </c>
      <c r="X57" s="15"/>
      <c r="Y57" s="95"/>
      <c r="Z57" s="95"/>
      <c r="AA57" s="95"/>
      <c r="AB57" s="39"/>
    </row>
    <row r="58" spans="1:29" x14ac:dyDescent="0.15">
      <c r="A58" s="15"/>
      <c r="B58" s="15"/>
      <c r="C58" s="15"/>
      <c r="D58" s="37"/>
      <c r="H58" s="95"/>
      <c r="I58" s="87"/>
      <c r="J58" s="15"/>
      <c r="K58" s="87"/>
      <c r="N58" s="87"/>
      <c r="Q58" s="52" t="str">
        <f t="shared" si="0"/>
        <v/>
      </c>
      <c r="T58" s="16" t="str">
        <f t="shared" si="1"/>
        <v/>
      </c>
      <c r="U58" s="87"/>
      <c r="V58" s="16" t="str">
        <f t="shared" si="2"/>
        <v/>
      </c>
      <c r="X58" s="15"/>
      <c r="Y58" s="95"/>
      <c r="Z58" s="95"/>
      <c r="AA58" s="95"/>
      <c r="AB58" s="39"/>
    </row>
    <row r="59" spans="1:29" x14ac:dyDescent="0.15">
      <c r="A59" s="15"/>
      <c r="B59" s="15"/>
      <c r="C59" s="15"/>
      <c r="D59" s="37"/>
      <c r="H59" s="15"/>
      <c r="I59" s="87"/>
      <c r="J59" s="15"/>
      <c r="N59" s="87"/>
      <c r="Q59" s="52" t="str">
        <f t="shared" si="0"/>
        <v/>
      </c>
      <c r="T59" s="16" t="str">
        <f t="shared" si="1"/>
        <v/>
      </c>
      <c r="V59" s="16" t="str">
        <f t="shared" si="2"/>
        <v/>
      </c>
      <c r="X59" s="15"/>
      <c r="Y59" s="95"/>
      <c r="Z59" s="95"/>
      <c r="AA59" s="95"/>
      <c r="AB59" s="39"/>
    </row>
    <row r="60" spans="1:29" x14ac:dyDescent="0.15">
      <c r="A60" s="15"/>
      <c r="B60" s="15"/>
      <c r="C60" s="15"/>
      <c r="D60" s="37"/>
      <c r="H60" s="95"/>
      <c r="I60" s="87"/>
      <c r="J60" s="15"/>
      <c r="Q60" s="52" t="str">
        <f t="shared" si="0"/>
        <v/>
      </c>
      <c r="T60" s="16" t="str">
        <f>IF(H60="","",IF(OR(H60="GREEN",H60="GK"),IF(S60&gt;=$AX$2,VLOOKUP(S60,$AX$2:$AY$12,2,1),""),IF(S60&gt;=$AZ$2,VLOOKUP(S60,$AZ$2:$BA$12,2,1),"")))</f>
        <v/>
      </c>
      <c r="U60" s="87"/>
      <c r="V60" s="16" t="str">
        <f t="shared" si="2"/>
        <v/>
      </c>
      <c r="X60" s="95"/>
      <c r="Y60" s="95"/>
      <c r="Z60" s="95"/>
      <c r="AA60" s="95"/>
      <c r="AB60" s="39"/>
    </row>
    <row r="61" spans="1:29" x14ac:dyDescent="0.15">
      <c r="A61" s="15"/>
      <c r="B61" s="15"/>
      <c r="C61" s="15"/>
      <c r="D61" s="37"/>
      <c r="H61" s="95"/>
      <c r="I61" s="87"/>
      <c r="J61" s="15"/>
      <c r="Q61" s="52" t="str">
        <f t="shared" si="0"/>
        <v/>
      </c>
      <c r="T61" s="16" t="str">
        <f>IF(H61="","",IF(OR(H61="GREEN",H61="GK"),IF(S61&gt;=$AX$2,VLOOKUP(S61,$AX$2:$AY$12,2,1),""),IF(S61&gt;=$AZ$2,VLOOKUP(S61,$AZ$2:$BA$12,2,1),"")))</f>
        <v/>
      </c>
      <c r="U61" s="87"/>
      <c r="V61" s="16" t="str">
        <f t="shared" si="2"/>
        <v/>
      </c>
      <c r="X61" s="95"/>
      <c r="Y61" s="95"/>
      <c r="Z61" s="95"/>
      <c r="AA61" s="95"/>
      <c r="AB61" s="39"/>
    </row>
    <row r="62" spans="1:29" x14ac:dyDescent="0.15">
      <c r="A62" s="15"/>
      <c r="B62" s="15"/>
      <c r="C62" s="15"/>
      <c r="D62" s="37"/>
      <c r="H62" s="15"/>
      <c r="I62" s="87"/>
      <c r="J62" s="15"/>
      <c r="Q62" s="52" t="str">
        <f t="shared" si="0"/>
        <v/>
      </c>
      <c r="T62" s="16" t="str">
        <f t="shared" ref="T62:T120" si="3">IF(H62="","",IF(OR(H62="GREEN",H62="GK"),IF(S62&gt;=$AX$2,VLOOKUP(S62,$AX$2:$AY$12,2,1),""),IF(S62&gt;=$AZ$2,VLOOKUP(S62,$AZ$2:$BA$12,2,1),"")))</f>
        <v/>
      </c>
      <c r="V62" s="16" t="str">
        <f t="shared" si="2"/>
        <v/>
      </c>
      <c r="X62" s="95"/>
      <c r="Y62" s="95"/>
      <c r="Z62" s="95"/>
      <c r="AA62" s="95"/>
      <c r="AB62" s="39"/>
    </row>
    <row r="63" spans="1:29" x14ac:dyDescent="0.15">
      <c r="A63" s="15"/>
      <c r="B63" s="15"/>
      <c r="C63" s="15"/>
      <c r="D63" s="37"/>
      <c r="H63" s="95"/>
      <c r="I63" s="87"/>
      <c r="J63" s="15"/>
      <c r="Q63" s="52" t="str">
        <f t="shared" si="0"/>
        <v/>
      </c>
      <c r="T63" s="16" t="str">
        <f t="shared" si="3"/>
        <v/>
      </c>
      <c r="U63" s="87"/>
      <c r="V63" s="16" t="str">
        <f t="shared" si="2"/>
        <v/>
      </c>
      <c r="X63" s="95"/>
      <c r="Y63" s="95"/>
      <c r="Z63" s="95"/>
      <c r="AA63" s="95"/>
      <c r="AB63" s="39"/>
    </row>
    <row r="64" spans="1:29" x14ac:dyDescent="0.15">
      <c r="A64" s="15"/>
      <c r="B64" s="15"/>
      <c r="C64" s="15"/>
      <c r="D64" s="37"/>
      <c r="H64" s="95"/>
      <c r="I64" s="87"/>
      <c r="J64" s="15"/>
      <c r="Q64" s="52" t="str">
        <f t="shared" si="0"/>
        <v/>
      </c>
      <c r="T64" s="16" t="str">
        <f t="shared" si="3"/>
        <v/>
      </c>
      <c r="U64" s="87"/>
      <c r="V64" s="16" t="str">
        <f t="shared" si="2"/>
        <v/>
      </c>
      <c r="X64" s="95"/>
      <c r="Y64" s="95"/>
      <c r="Z64" s="95"/>
      <c r="AA64" s="95"/>
      <c r="AB64" s="39"/>
    </row>
    <row r="65" spans="1:28" x14ac:dyDescent="0.15">
      <c r="A65" s="15"/>
      <c r="B65" s="15"/>
      <c r="C65" s="15"/>
      <c r="D65" s="37"/>
      <c r="H65" s="15"/>
      <c r="I65" s="87"/>
      <c r="J65" s="15"/>
      <c r="Q65" s="52" t="str">
        <f t="shared" si="0"/>
        <v/>
      </c>
      <c r="T65" s="16" t="str">
        <f t="shared" si="3"/>
        <v/>
      </c>
      <c r="V65" s="16" t="str">
        <f t="shared" si="2"/>
        <v/>
      </c>
      <c r="X65" s="95"/>
      <c r="Y65" s="95"/>
      <c r="Z65" s="95"/>
      <c r="AA65" s="95"/>
      <c r="AB65" s="39"/>
    </row>
    <row r="66" spans="1:28" x14ac:dyDescent="0.15">
      <c r="A66" s="15"/>
      <c r="B66" s="15"/>
      <c r="C66" s="15"/>
      <c r="D66" s="37"/>
      <c r="H66" s="95"/>
      <c r="I66" s="87"/>
      <c r="J66" s="15"/>
      <c r="Q66" s="52" t="str">
        <f t="shared" ref="Q66:Q77" si="4">IF(OR(O66="",P66=""),"",AVERAGE(O66,P66))</f>
        <v/>
      </c>
      <c r="T66" s="16" t="str">
        <f t="shared" si="3"/>
        <v/>
      </c>
      <c r="U66" s="87"/>
      <c r="V66" s="16" t="str">
        <f t="shared" ref="V66:V70" si="5">IF(OR(N66="",U66="",T66=""),"",U66/N66*T66)</f>
        <v/>
      </c>
      <c r="X66" s="95"/>
      <c r="Y66" s="95"/>
      <c r="Z66" s="95"/>
      <c r="AA66" s="95"/>
      <c r="AB66" s="39"/>
    </row>
    <row r="67" spans="1:28" x14ac:dyDescent="0.15">
      <c r="A67" s="15"/>
      <c r="B67" s="15"/>
      <c r="C67" s="15"/>
      <c r="D67" s="37"/>
      <c r="H67" s="95"/>
      <c r="I67" s="87"/>
      <c r="J67" s="15"/>
      <c r="Q67" s="52" t="str">
        <f t="shared" si="4"/>
        <v/>
      </c>
      <c r="T67" s="16" t="str">
        <f t="shared" si="3"/>
        <v/>
      </c>
      <c r="U67" s="87"/>
      <c r="V67" s="16" t="str">
        <f t="shared" si="5"/>
        <v/>
      </c>
      <c r="X67" s="95"/>
      <c r="Y67" s="95"/>
      <c r="Z67" s="95"/>
      <c r="AA67" s="95"/>
      <c r="AB67" s="39"/>
    </row>
    <row r="68" spans="1:28" x14ac:dyDescent="0.15">
      <c r="A68" s="15"/>
      <c r="B68" s="15"/>
      <c r="C68" s="15"/>
      <c r="D68" s="37"/>
      <c r="H68" s="15"/>
      <c r="I68" s="87"/>
      <c r="J68" s="15"/>
      <c r="Q68" s="52" t="str">
        <f t="shared" si="4"/>
        <v/>
      </c>
      <c r="T68" s="16" t="str">
        <f t="shared" si="3"/>
        <v/>
      </c>
      <c r="V68" s="16" t="str">
        <f t="shared" si="5"/>
        <v/>
      </c>
      <c r="X68" s="95"/>
      <c r="Y68" s="95"/>
      <c r="Z68" s="95"/>
      <c r="AA68" s="95"/>
      <c r="AB68" s="39"/>
    </row>
    <row r="69" spans="1:28" x14ac:dyDescent="0.15">
      <c r="A69" s="15"/>
      <c r="B69" s="15"/>
      <c r="C69" s="15"/>
      <c r="D69" s="37"/>
      <c r="H69" s="95"/>
      <c r="I69" s="87"/>
      <c r="J69" s="15"/>
      <c r="N69" s="87"/>
      <c r="Q69" s="52" t="str">
        <f t="shared" si="4"/>
        <v/>
      </c>
      <c r="T69" s="16" t="str">
        <f t="shared" si="3"/>
        <v/>
      </c>
      <c r="U69" s="87"/>
      <c r="V69" s="16" t="str">
        <f t="shared" si="5"/>
        <v/>
      </c>
      <c r="X69" s="95"/>
      <c r="Y69" s="95"/>
      <c r="Z69" s="95"/>
      <c r="AA69" s="95"/>
      <c r="AB69" s="39"/>
    </row>
    <row r="70" spans="1:28" x14ac:dyDescent="0.15">
      <c r="A70" s="15"/>
      <c r="B70" s="15"/>
      <c r="C70" s="15"/>
      <c r="D70" s="37"/>
      <c r="H70" s="95"/>
      <c r="I70" s="87"/>
      <c r="J70" s="15"/>
      <c r="N70" s="87"/>
      <c r="Q70" s="52" t="str">
        <f t="shared" si="4"/>
        <v/>
      </c>
      <c r="T70" s="16" t="str">
        <f t="shared" si="3"/>
        <v/>
      </c>
      <c r="U70" s="87"/>
      <c r="V70" s="16" t="str">
        <f t="shared" si="5"/>
        <v/>
      </c>
      <c r="X70" s="95"/>
      <c r="Y70" s="95"/>
      <c r="Z70" s="95"/>
      <c r="AA70" s="95"/>
      <c r="AB70" s="39"/>
    </row>
    <row r="71" spans="1:28" x14ac:dyDescent="0.15">
      <c r="A71" s="15"/>
      <c r="B71" s="15"/>
      <c r="C71" s="15"/>
      <c r="D71" s="37"/>
      <c r="H71" s="15"/>
      <c r="I71" s="87"/>
      <c r="J71" s="15"/>
      <c r="N71" s="87"/>
      <c r="Q71" s="52" t="str">
        <f t="shared" si="4"/>
        <v/>
      </c>
      <c r="T71" s="16" t="str">
        <f t="shared" si="3"/>
        <v/>
      </c>
      <c r="V71" s="16" t="str">
        <f>IF(OR(N71="",U71="",T71=""),"",U71/N71*T71)</f>
        <v/>
      </c>
      <c r="X71" s="15"/>
      <c r="Y71" s="15"/>
      <c r="Z71" s="15"/>
      <c r="AA71" s="15"/>
      <c r="AB71" s="39"/>
    </row>
    <row r="72" spans="1:28" x14ac:dyDescent="0.15">
      <c r="A72" s="15"/>
      <c r="B72" s="15"/>
      <c r="C72" s="15"/>
      <c r="D72" s="37"/>
      <c r="H72" s="95"/>
      <c r="I72" s="87"/>
      <c r="J72" s="95"/>
      <c r="K72" s="87"/>
      <c r="N72" s="87"/>
      <c r="Q72" s="52" t="str">
        <f t="shared" si="4"/>
        <v/>
      </c>
      <c r="T72" s="16" t="str">
        <f t="shared" si="3"/>
        <v/>
      </c>
      <c r="U72" s="87"/>
      <c r="V72" s="16" t="str">
        <f t="shared" ref="V72:V74" si="6">IF(OR(N72="",U72="",T72=""),"",U72/N72*T72)</f>
        <v/>
      </c>
      <c r="X72" s="15"/>
      <c r="Y72" s="95"/>
      <c r="Z72" s="95"/>
      <c r="AA72" s="95"/>
      <c r="AB72" s="39"/>
    </row>
    <row r="73" spans="1:28" x14ac:dyDescent="0.15">
      <c r="A73" s="15"/>
      <c r="B73" s="15"/>
      <c r="C73" s="15"/>
      <c r="D73" s="37"/>
      <c r="H73" s="95"/>
      <c r="I73" s="87"/>
      <c r="J73" s="95"/>
      <c r="K73" s="87"/>
      <c r="N73" s="87"/>
      <c r="Q73" s="52" t="str">
        <f t="shared" si="4"/>
        <v/>
      </c>
      <c r="T73" s="16" t="str">
        <f t="shared" si="3"/>
        <v/>
      </c>
      <c r="U73" s="87"/>
      <c r="V73" s="16" t="str">
        <f>IF(OR(N73="",U73="",T73=""),"",U73/N73*T73)</f>
        <v/>
      </c>
      <c r="X73" s="15"/>
      <c r="Y73" s="95"/>
      <c r="Z73" s="95"/>
      <c r="AA73" s="95"/>
      <c r="AB73" s="39"/>
    </row>
    <row r="74" spans="1:28" x14ac:dyDescent="0.15">
      <c r="A74" s="15"/>
      <c r="B74" s="15"/>
      <c r="C74" s="15"/>
      <c r="D74" s="37"/>
      <c r="H74" s="15"/>
      <c r="I74" s="87"/>
      <c r="J74" s="15"/>
      <c r="N74" s="87"/>
      <c r="Q74" s="52" t="str">
        <f t="shared" si="4"/>
        <v/>
      </c>
      <c r="T74" s="16" t="str">
        <f t="shared" si="3"/>
        <v/>
      </c>
      <c r="V74" s="16" t="str">
        <f t="shared" si="6"/>
        <v/>
      </c>
      <c r="X74" s="15"/>
      <c r="Y74" s="95"/>
      <c r="Z74" s="95"/>
      <c r="AA74" s="95"/>
      <c r="AB74" s="39"/>
    </row>
    <row r="75" spans="1:28" x14ac:dyDescent="0.15">
      <c r="A75" s="15"/>
      <c r="B75" s="15"/>
      <c r="C75" s="15"/>
      <c r="D75" s="37"/>
      <c r="H75" s="95"/>
      <c r="I75" s="87"/>
      <c r="J75" s="15"/>
      <c r="N75" s="87"/>
      <c r="Q75" s="52" t="str">
        <f t="shared" si="4"/>
        <v/>
      </c>
      <c r="T75" s="16" t="str">
        <f t="shared" si="3"/>
        <v/>
      </c>
      <c r="U75" s="87"/>
      <c r="V75" s="16" t="str">
        <f>IF(OR(N75="",U75="",T75=""),"",U75/N75*T75)</f>
        <v/>
      </c>
      <c r="X75" s="15"/>
      <c r="Y75" s="95"/>
      <c r="Z75" s="95"/>
      <c r="AA75" s="95"/>
      <c r="AB75" s="39"/>
    </row>
    <row r="76" spans="1:28" x14ac:dyDescent="0.15">
      <c r="A76" s="15"/>
      <c r="B76" s="15"/>
      <c r="C76" s="15"/>
      <c r="D76" s="37"/>
      <c r="H76" s="95"/>
      <c r="I76" s="87"/>
      <c r="J76" s="15"/>
      <c r="N76" s="87"/>
      <c r="Q76" s="52" t="str">
        <f t="shared" si="4"/>
        <v/>
      </c>
      <c r="T76" s="16" t="str">
        <f t="shared" si="3"/>
        <v/>
      </c>
      <c r="U76" s="87"/>
      <c r="V76" s="16" t="str">
        <f>IF(OR(N76="",U76="",T76=""),"",U76/N76*T76)</f>
        <v/>
      </c>
      <c r="X76" s="15"/>
      <c r="Y76" s="95"/>
      <c r="Z76" s="95"/>
      <c r="AA76" s="9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9"/>
  <sheetViews>
    <sheetView zoomScale="80" zoomScaleNormal="80" workbookViewId="0">
      <selection activeCell="AB2" sqref="AB2:AB79"/>
    </sheetView>
  </sheetViews>
  <sheetFormatPr defaultColWidth="9" defaultRowHeight="13.5" x14ac:dyDescent="0.15"/>
  <cols>
    <col min="1" max="3" width="9" style="100"/>
    <col min="4" max="4" width="11" style="100" bestFit="1" customWidth="1"/>
    <col min="5" max="5" width="10.875" style="100" bestFit="1" customWidth="1"/>
    <col min="6" max="16" width="9" style="100"/>
    <col min="17" max="17" width="9" style="57"/>
    <col min="18" max="18" width="9" style="100"/>
    <col min="19" max="19" width="11.625" style="100" bestFit="1" customWidth="1"/>
    <col min="20" max="20" width="9" style="57"/>
    <col min="21" max="21" width="9" style="100"/>
    <col min="22" max="22" width="9" style="58"/>
    <col min="23" max="32" width="9" style="100"/>
    <col min="33" max="33" width="14.375" style="100" bestFit="1" customWidth="1"/>
    <col min="34" max="34" width="11.375" style="100" bestFit="1" customWidth="1"/>
    <col min="35" max="16384" width="9" style="100"/>
  </cols>
  <sheetData>
    <row r="1" spans="1:53" ht="45" x14ac:dyDescent="0.15">
      <c r="A1" s="102" t="s">
        <v>0</v>
      </c>
      <c r="B1" s="84" t="s">
        <v>1</v>
      </c>
      <c r="C1" s="84" t="s">
        <v>156</v>
      </c>
      <c r="D1" s="85" t="s">
        <v>3</v>
      </c>
      <c r="E1" s="103" t="s">
        <v>4</v>
      </c>
      <c r="F1" s="103" t="s">
        <v>5</v>
      </c>
      <c r="G1" s="103" t="s">
        <v>6</v>
      </c>
      <c r="H1" s="103" t="s">
        <v>7</v>
      </c>
      <c r="I1" s="103" t="s">
        <v>8</v>
      </c>
      <c r="J1" s="103" t="s">
        <v>9</v>
      </c>
      <c r="K1" s="103" t="s">
        <v>10</v>
      </c>
      <c r="L1" s="85" t="s">
        <v>162</v>
      </c>
      <c r="M1" s="85" t="s">
        <v>12</v>
      </c>
      <c r="N1" s="85" t="s">
        <v>13</v>
      </c>
      <c r="O1" s="85" t="s">
        <v>163</v>
      </c>
      <c r="P1" s="85" t="s">
        <v>15</v>
      </c>
      <c r="Q1" s="53" t="s">
        <v>16</v>
      </c>
      <c r="R1" s="85" t="s">
        <v>17</v>
      </c>
      <c r="S1" s="85" t="s">
        <v>18</v>
      </c>
      <c r="T1" s="53" t="s">
        <v>19</v>
      </c>
      <c r="U1" s="86" t="s">
        <v>108</v>
      </c>
      <c r="V1" s="54" t="s">
        <v>20</v>
      </c>
      <c r="W1" s="85" t="s">
        <v>21</v>
      </c>
      <c r="X1" s="103" t="s">
        <v>22</v>
      </c>
      <c r="Y1" s="103" t="s">
        <v>23</v>
      </c>
      <c r="Z1" s="103" t="s">
        <v>24</v>
      </c>
      <c r="AA1" s="103" t="s">
        <v>25</v>
      </c>
      <c r="AB1" s="104" t="s">
        <v>26</v>
      </c>
      <c r="AE1" s="88" t="s">
        <v>0</v>
      </c>
      <c r="AF1" s="89"/>
      <c r="AG1" s="88" t="s">
        <v>4</v>
      </c>
      <c r="AH1" s="88" t="s">
        <v>5</v>
      </c>
      <c r="AI1" s="89"/>
      <c r="AJ1" s="88" t="s">
        <v>6</v>
      </c>
      <c r="AK1" s="89"/>
      <c r="AL1" s="90" t="s">
        <v>7</v>
      </c>
      <c r="AM1" s="89"/>
      <c r="AN1" s="90" t="s">
        <v>8</v>
      </c>
      <c r="AO1" s="89"/>
      <c r="AP1" s="90" t="s">
        <v>27</v>
      </c>
      <c r="AQ1" s="89"/>
      <c r="AR1" s="90" t="s">
        <v>10</v>
      </c>
      <c r="AS1" s="89"/>
      <c r="AT1" s="91" t="s">
        <v>28</v>
      </c>
      <c r="AU1" s="89"/>
      <c r="AV1" s="90" t="s">
        <v>29</v>
      </c>
      <c r="AX1" s="92" t="s">
        <v>157</v>
      </c>
      <c r="AY1" s="93" t="s">
        <v>158</v>
      </c>
      <c r="AZ1" s="93" t="s">
        <v>164</v>
      </c>
      <c r="BA1" s="94" t="s">
        <v>165</v>
      </c>
    </row>
    <row r="2" spans="1:53" s="55" customFormat="1" x14ac:dyDescent="0.15">
      <c r="A2" s="55" t="s">
        <v>41</v>
      </c>
      <c r="B2" s="100" t="s">
        <v>181</v>
      </c>
      <c r="C2" s="83">
        <v>2018</v>
      </c>
      <c r="D2" s="56" t="s">
        <v>189</v>
      </c>
      <c r="E2" s="100" t="s">
        <v>133</v>
      </c>
      <c r="F2" s="100" t="s">
        <v>172</v>
      </c>
      <c r="G2" s="55" t="s">
        <v>42</v>
      </c>
      <c r="H2" s="55" t="s">
        <v>155</v>
      </c>
      <c r="I2" s="55" t="s">
        <v>153</v>
      </c>
      <c r="J2" s="55" t="s">
        <v>38</v>
      </c>
      <c r="K2" s="55" t="s">
        <v>154</v>
      </c>
      <c r="L2" s="100">
        <v>1</v>
      </c>
      <c r="M2" s="100"/>
      <c r="N2" s="55">
        <v>1</v>
      </c>
      <c r="O2" s="100">
        <v>1</v>
      </c>
      <c r="P2" s="100">
        <v>1.1000000000000001</v>
      </c>
      <c r="Q2" s="108">
        <f t="shared" ref="Q2:Q19" si="0">IF(OR(O2="",P2=""),"",AVERAGE(O2,P2))</f>
        <v>1.05</v>
      </c>
      <c r="R2" s="100">
        <v>16.2</v>
      </c>
      <c r="S2" s="55">
        <v>135</v>
      </c>
      <c r="T2" s="57">
        <f t="shared" ref="T2:T7" si="1">IF(H2="","",IF(OR(H2="GREEN",H2="GK"),IF(S2&gt;=$AX$2,VLOOKUP(S2,$AX$2:$AY$10,2,1),""),IF(S2&gt;=$AZ$2,VLOOKUP(S2,$AZ$2:$BA$10,2,1),"")))</f>
        <v>25</v>
      </c>
      <c r="U2" s="100">
        <v>84</v>
      </c>
      <c r="V2" s="58">
        <f t="shared" ref="V2:V19" si="2">IF(OR(N2="",U2="",T2=""),"",U2/N2*T2)</f>
        <v>2100</v>
      </c>
      <c r="W2" s="100">
        <v>2</v>
      </c>
      <c r="X2" s="55" t="s">
        <v>46</v>
      </c>
      <c r="Y2" s="55" t="s">
        <v>84</v>
      </c>
      <c r="Z2" s="55" t="s">
        <v>90</v>
      </c>
      <c r="AA2" s="55" t="s">
        <v>69</v>
      </c>
      <c r="AB2" s="55" t="s">
        <v>183</v>
      </c>
      <c r="AE2" s="96" t="s">
        <v>35</v>
      </c>
      <c r="AG2" s="59" t="s">
        <v>133</v>
      </c>
      <c r="AH2" s="60" t="s">
        <v>172</v>
      </c>
      <c r="AJ2" s="105" t="s">
        <v>36</v>
      </c>
      <c r="AL2" s="105" t="s">
        <v>127</v>
      </c>
      <c r="AN2" s="105" t="s">
        <v>37</v>
      </c>
      <c r="AP2" s="105" t="s">
        <v>38</v>
      </c>
      <c r="AR2" s="105" t="s">
        <v>190</v>
      </c>
      <c r="AT2" s="105" t="s">
        <v>39</v>
      </c>
      <c r="AV2" s="105" t="s">
        <v>40</v>
      </c>
      <c r="AX2" s="61">
        <v>1</v>
      </c>
      <c r="AY2" s="62">
        <v>50</v>
      </c>
      <c r="AZ2" s="62">
        <v>1</v>
      </c>
      <c r="BA2" s="63">
        <v>50</v>
      </c>
    </row>
    <row r="3" spans="1:53" x14ac:dyDescent="0.15">
      <c r="A3" s="55" t="s">
        <v>41</v>
      </c>
      <c r="B3" s="100" t="s">
        <v>181</v>
      </c>
      <c r="C3" s="83">
        <v>2018</v>
      </c>
      <c r="D3" s="56" t="s">
        <v>191</v>
      </c>
      <c r="E3" s="100" t="s">
        <v>133</v>
      </c>
      <c r="F3" s="100" t="s">
        <v>172</v>
      </c>
      <c r="G3" s="55" t="s">
        <v>42</v>
      </c>
      <c r="H3" s="55" t="s">
        <v>155</v>
      </c>
      <c r="I3" s="55" t="s">
        <v>153</v>
      </c>
      <c r="J3" s="55" t="s">
        <v>38</v>
      </c>
      <c r="K3" s="55" t="s">
        <v>154</v>
      </c>
      <c r="L3" s="100">
        <v>2</v>
      </c>
      <c r="N3" s="55">
        <v>1</v>
      </c>
      <c r="O3" s="100">
        <v>0.7</v>
      </c>
      <c r="P3" s="100">
        <v>0.85</v>
      </c>
      <c r="Q3" s="108">
        <f t="shared" si="0"/>
        <v>0.77499999999999991</v>
      </c>
      <c r="R3" s="100">
        <v>14.2</v>
      </c>
      <c r="S3" s="55">
        <v>134</v>
      </c>
      <c r="T3" s="57">
        <f t="shared" si="1"/>
        <v>25</v>
      </c>
      <c r="U3" s="100">
        <v>84</v>
      </c>
      <c r="V3" s="58">
        <f t="shared" si="2"/>
        <v>2100</v>
      </c>
      <c r="W3" s="100">
        <v>2</v>
      </c>
      <c r="X3" s="55" t="s">
        <v>46</v>
      </c>
      <c r="Y3" s="55" t="s">
        <v>84</v>
      </c>
      <c r="Z3" s="55" t="s">
        <v>90</v>
      </c>
      <c r="AA3" s="55" t="s">
        <v>69</v>
      </c>
      <c r="AB3" s="55" t="s">
        <v>183</v>
      </c>
      <c r="AE3" s="97" t="s">
        <v>41</v>
      </c>
      <c r="AG3" s="64" t="s">
        <v>167</v>
      </c>
      <c r="AH3" s="64" t="s">
        <v>172</v>
      </c>
      <c r="AJ3" s="65" t="s">
        <v>42</v>
      </c>
      <c r="AL3" s="65" t="s">
        <v>128</v>
      </c>
      <c r="AN3" s="65" t="s">
        <v>43</v>
      </c>
      <c r="AP3" s="65" t="s">
        <v>44</v>
      </c>
      <c r="AR3" s="98" t="s">
        <v>45</v>
      </c>
      <c r="AT3" s="65" t="s">
        <v>46</v>
      </c>
      <c r="AV3" s="65" t="s">
        <v>47</v>
      </c>
      <c r="AX3" s="66">
        <v>72</v>
      </c>
      <c r="AY3" s="67">
        <v>46</v>
      </c>
      <c r="AZ3" s="67">
        <v>71</v>
      </c>
      <c r="BA3" s="68">
        <v>42</v>
      </c>
    </row>
    <row r="4" spans="1:53" x14ac:dyDescent="0.15">
      <c r="A4" s="55" t="s">
        <v>41</v>
      </c>
      <c r="B4" s="100" t="s">
        <v>181</v>
      </c>
      <c r="C4" s="83">
        <v>2018</v>
      </c>
      <c r="D4" s="56" t="s">
        <v>192</v>
      </c>
      <c r="E4" s="100" t="s">
        <v>133</v>
      </c>
      <c r="F4" s="100" t="s">
        <v>172</v>
      </c>
      <c r="G4" s="55" t="s">
        <v>42</v>
      </c>
      <c r="H4" s="55" t="s">
        <v>155</v>
      </c>
      <c r="I4" s="55" t="s">
        <v>153</v>
      </c>
      <c r="J4" s="55" t="s">
        <v>38</v>
      </c>
      <c r="K4" s="55" t="s">
        <v>154</v>
      </c>
      <c r="L4" s="100">
        <v>3</v>
      </c>
      <c r="N4" s="55">
        <v>1</v>
      </c>
      <c r="O4" s="100">
        <v>0.95</v>
      </c>
      <c r="P4" s="100">
        <v>0.9</v>
      </c>
      <c r="Q4" s="108">
        <f t="shared" si="0"/>
        <v>0.92500000000000004</v>
      </c>
      <c r="R4" s="100">
        <v>13.5</v>
      </c>
      <c r="S4" s="55">
        <v>137</v>
      </c>
      <c r="T4" s="57">
        <f t="shared" si="1"/>
        <v>25</v>
      </c>
      <c r="U4" s="100">
        <v>84</v>
      </c>
      <c r="V4" s="58">
        <f t="shared" si="2"/>
        <v>2100</v>
      </c>
      <c r="W4" s="100">
        <v>2</v>
      </c>
      <c r="X4" s="55" t="s">
        <v>46</v>
      </c>
      <c r="Y4" s="55" t="s">
        <v>84</v>
      </c>
      <c r="Z4" s="55" t="s">
        <v>90</v>
      </c>
      <c r="AA4" s="55" t="s">
        <v>69</v>
      </c>
      <c r="AB4" s="55" t="s">
        <v>183</v>
      </c>
      <c r="AE4" s="97" t="s">
        <v>34</v>
      </c>
      <c r="AG4" s="64" t="s">
        <v>167</v>
      </c>
      <c r="AH4" s="64" t="s">
        <v>173</v>
      </c>
      <c r="AJ4" s="69" t="s">
        <v>48</v>
      </c>
      <c r="AL4" s="69" t="s">
        <v>129</v>
      </c>
      <c r="AN4" s="106" t="s">
        <v>49</v>
      </c>
      <c r="AP4" s="65" t="s">
        <v>193</v>
      </c>
      <c r="AR4" s="98" t="s">
        <v>194</v>
      </c>
      <c r="AT4" s="106"/>
      <c r="AV4" s="65" t="s">
        <v>50</v>
      </c>
      <c r="AX4" s="66">
        <v>75</v>
      </c>
      <c r="AY4" s="67">
        <v>42</v>
      </c>
      <c r="AZ4" s="67">
        <v>76</v>
      </c>
      <c r="BA4" s="68">
        <v>39</v>
      </c>
    </row>
    <row r="5" spans="1:53" s="55" customFormat="1" ht="13.5" customHeight="1" x14ac:dyDescent="0.15">
      <c r="A5" s="55" t="s">
        <v>41</v>
      </c>
      <c r="B5" s="100" t="s">
        <v>181</v>
      </c>
      <c r="C5" s="83">
        <v>2018</v>
      </c>
      <c r="D5" s="56" t="s">
        <v>192</v>
      </c>
      <c r="E5" s="100" t="s">
        <v>133</v>
      </c>
      <c r="F5" s="100" t="s">
        <v>172</v>
      </c>
      <c r="G5" s="55" t="s">
        <v>42</v>
      </c>
      <c r="H5" s="55" t="s">
        <v>159</v>
      </c>
      <c r="I5" s="55" t="s">
        <v>153</v>
      </c>
      <c r="J5" s="55" t="s">
        <v>38</v>
      </c>
      <c r="K5" s="55" t="s">
        <v>154</v>
      </c>
      <c r="L5" s="100">
        <v>1</v>
      </c>
      <c r="N5" s="55">
        <v>8</v>
      </c>
      <c r="O5" s="55">
        <v>0.4</v>
      </c>
      <c r="P5" s="55">
        <v>0.35</v>
      </c>
      <c r="Q5" s="57">
        <f t="shared" si="0"/>
        <v>0.375</v>
      </c>
      <c r="R5" s="55">
        <v>14.8</v>
      </c>
      <c r="S5" s="100">
        <v>154</v>
      </c>
      <c r="T5" s="77">
        <f t="shared" si="1"/>
        <v>22</v>
      </c>
      <c r="U5" s="55">
        <v>149</v>
      </c>
      <c r="V5" s="78">
        <f t="shared" si="2"/>
        <v>409.75</v>
      </c>
      <c r="W5" s="55">
        <v>2</v>
      </c>
      <c r="X5" s="55" t="s">
        <v>46</v>
      </c>
      <c r="Y5" s="55" t="s">
        <v>84</v>
      </c>
      <c r="Z5" s="55" t="s">
        <v>90</v>
      </c>
      <c r="AA5" s="55" t="s">
        <v>69</v>
      </c>
      <c r="AB5" s="55" t="s">
        <v>183</v>
      </c>
      <c r="AC5" s="100"/>
      <c r="AD5" s="100"/>
      <c r="AE5" s="70" t="s">
        <v>195</v>
      </c>
      <c r="AG5" s="64" t="s">
        <v>168</v>
      </c>
      <c r="AH5" s="64" t="s">
        <v>172</v>
      </c>
      <c r="AJ5" s="71"/>
      <c r="AL5" s="72" t="s">
        <v>196</v>
      </c>
      <c r="AN5" s="72" t="s">
        <v>197</v>
      </c>
      <c r="AP5" s="98" t="s">
        <v>198</v>
      </c>
      <c r="AR5" s="98" t="s">
        <v>54</v>
      </c>
      <c r="AV5" s="98" t="s">
        <v>55</v>
      </c>
      <c r="AX5" s="73">
        <v>84</v>
      </c>
      <c r="AY5" s="74">
        <v>39</v>
      </c>
      <c r="AZ5" s="74">
        <v>84</v>
      </c>
      <c r="BA5" s="75">
        <v>36</v>
      </c>
    </row>
    <row r="6" spans="1:53" x14ac:dyDescent="0.15">
      <c r="A6" s="55" t="s">
        <v>41</v>
      </c>
      <c r="B6" s="100" t="s">
        <v>181</v>
      </c>
      <c r="C6" s="83">
        <v>2018</v>
      </c>
      <c r="D6" s="56" t="s">
        <v>192</v>
      </c>
      <c r="E6" s="100" t="s">
        <v>133</v>
      </c>
      <c r="F6" s="100" t="s">
        <v>172</v>
      </c>
      <c r="G6" s="55" t="s">
        <v>42</v>
      </c>
      <c r="H6" s="55" t="s">
        <v>159</v>
      </c>
      <c r="I6" s="55" t="s">
        <v>153</v>
      </c>
      <c r="J6" s="55" t="s">
        <v>38</v>
      </c>
      <c r="K6" s="55" t="s">
        <v>154</v>
      </c>
      <c r="L6" s="100">
        <v>2</v>
      </c>
      <c r="N6" s="55">
        <v>8</v>
      </c>
      <c r="O6" s="55">
        <v>0.5</v>
      </c>
      <c r="P6" s="55">
        <v>0.45</v>
      </c>
      <c r="Q6" s="57">
        <f t="shared" si="0"/>
        <v>0.47499999999999998</v>
      </c>
      <c r="R6" s="55">
        <v>15</v>
      </c>
      <c r="S6" s="100">
        <v>149</v>
      </c>
      <c r="T6" s="77">
        <f t="shared" si="1"/>
        <v>22</v>
      </c>
      <c r="U6" s="55">
        <v>149</v>
      </c>
      <c r="V6" s="78">
        <f t="shared" si="2"/>
        <v>409.75</v>
      </c>
      <c r="W6" s="55">
        <v>2</v>
      </c>
      <c r="X6" s="55" t="s">
        <v>46</v>
      </c>
      <c r="Y6" s="55" t="s">
        <v>84</v>
      </c>
      <c r="Z6" s="55" t="s">
        <v>90</v>
      </c>
      <c r="AA6" s="55" t="s">
        <v>69</v>
      </c>
      <c r="AB6" s="55" t="s">
        <v>183</v>
      </c>
      <c r="AE6" s="97" t="s">
        <v>56</v>
      </c>
      <c r="AG6" s="64" t="s">
        <v>168</v>
      </c>
      <c r="AH6" s="64" t="s">
        <v>174</v>
      </c>
      <c r="AL6" s="72" t="s">
        <v>199</v>
      </c>
      <c r="AN6" s="72" t="s">
        <v>200</v>
      </c>
      <c r="AP6" s="65" t="s">
        <v>53</v>
      </c>
      <c r="AR6" s="98" t="s">
        <v>59</v>
      </c>
      <c r="AV6" s="65" t="s">
        <v>60</v>
      </c>
      <c r="AX6" s="66">
        <v>97</v>
      </c>
      <c r="AY6" s="67">
        <v>36</v>
      </c>
      <c r="AZ6" s="67">
        <v>99</v>
      </c>
      <c r="BA6" s="68">
        <v>33</v>
      </c>
    </row>
    <row r="7" spans="1:53" x14ac:dyDescent="0.15">
      <c r="A7" s="55" t="s">
        <v>41</v>
      </c>
      <c r="B7" s="100" t="s">
        <v>181</v>
      </c>
      <c r="C7" s="83">
        <v>2018</v>
      </c>
      <c r="D7" s="56" t="s">
        <v>192</v>
      </c>
      <c r="E7" s="100" t="s">
        <v>133</v>
      </c>
      <c r="F7" s="100" t="s">
        <v>172</v>
      </c>
      <c r="G7" s="55" t="s">
        <v>42</v>
      </c>
      <c r="H7" s="55" t="s">
        <v>159</v>
      </c>
      <c r="I7" s="55" t="s">
        <v>153</v>
      </c>
      <c r="J7" s="55" t="s">
        <v>38</v>
      </c>
      <c r="K7" s="55" t="s">
        <v>154</v>
      </c>
      <c r="L7" s="100">
        <v>3</v>
      </c>
      <c r="N7" s="55">
        <v>8</v>
      </c>
      <c r="O7" s="55">
        <v>0.45</v>
      </c>
      <c r="P7" s="55">
        <v>0.5</v>
      </c>
      <c r="Q7" s="57">
        <f t="shared" si="0"/>
        <v>0.47499999999999998</v>
      </c>
      <c r="R7" s="55">
        <v>15.4</v>
      </c>
      <c r="S7" s="100">
        <v>148</v>
      </c>
      <c r="T7" s="77">
        <f t="shared" si="1"/>
        <v>22</v>
      </c>
      <c r="U7" s="55">
        <v>149</v>
      </c>
      <c r="V7" s="78">
        <f t="shared" si="2"/>
        <v>409.75</v>
      </c>
      <c r="W7" s="100">
        <v>2</v>
      </c>
      <c r="X7" s="55" t="s">
        <v>46</v>
      </c>
      <c r="Y7" s="55" t="s">
        <v>84</v>
      </c>
      <c r="Z7" s="55" t="s">
        <v>90</v>
      </c>
      <c r="AA7" s="55" t="s">
        <v>69</v>
      </c>
      <c r="AB7" s="55" t="s">
        <v>183</v>
      </c>
      <c r="AE7" s="97" t="s">
        <v>61</v>
      </c>
      <c r="AG7" s="64" t="s">
        <v>169</v>
      </c>
      <c r="AH7" s="64" t="s">
        <v>174</v>
      </c>
      <c r="AL7" s="76" t="s">
        <v>201</v>
      </c>
      <c r="AP7" s="65" t="s">
        <v>58</v>
      </c>
      <c r="AR7" s="98" t="s">
        <v>122</v>
      </c>
      <c r="AV7" s="65" t="s">
        <v>64</v>
      </c>
      <c r="AX7" s="66">
        <v>109</v>
      </c>
      <c r="AY7" s="67">
        <v>33</v>
      </c>
      <c r="AZ7" s="67">
        <v>113</v>
      </c>
      <c r="BA7" s="68">
        <v>30</v>
      </c>
    </row>
    <row r="8" spans="1:53" x14ac:dyDescent="0.15">
      <c r="A8" s="55" t="s">
        <v>41</v>
      </c>
      <c r="B8" s="100" t="s">
        <v>181</v>
      </c>
      <c r="C8" s="83">
        <v>2018</v>
      </c>
      <c r="D8" s="56" t="s">
        <v>192</v>
      </c>
      <c r="E8" s="100" t="s">
        <v>167</v>
      </c>
      <c r="F8" s="100" t="s">
        <v>172</v>
      </c>
      <c r="G8" s="55" t="s">
        <v>42</v>
      </c>
      <c r="H8" s="55" t="s">
        <v>155</v>
      </c>
      <c r="I8" s="55" t="s">
        <v>153</v>
      </c>
      <c r="J8" s="55" t="s">
        <v>38</v>
      </c>
      <c r="K8" s="55" t="s">
        <v>154</v>
      </c>
      <c r="L8" s="100">
        <v>1</v>
      </c>
      <c r="M8" s="55"/>
      <c r="N8" s="55">
        <v>1</v>
      </c>
      <c r="O8" s="55">
        <v>0.75</v>
      </c>
      <c r="P8" s="55">
        <v>0.95</v>
      </c>
      <c r="Q8" s="57">
        <f t="shared" si="0"/>
        <v>0.85</v>
      </c>
      <c r="R8" s="100">
        <v>16.5</v>
      </c>
      <c r="S8" s="100">
        <v>126</v>
      </c>
      <c r="T8" s="77">
        <f>IF(H8="","",IF(OR(H8="GREEN",H8="GK"),IF(S8&gt;=$AX$2,VLOOKUP(S8,$AX$2:$AY$12,2,1),""),IF(S8&gt;=$AZ$2,VLOOKUP(S8,$AZ$2:$BA$12,2,1),"")))</f>
        <v>27</v>
      </c>
      <c r="U8" s="55">
        <v>105</v>
      </c>
      <c r="V8" s="78">
        <f t="shared" si="2"/>
        <v>2835</v>
      </c>
      <c r="W8" s="55">
        <v>3</v>
      </c>
      <c r="X8" s="55" t="s">
        <v>39</v>
      </c>
      <c r="Y8" s="55" t="s">
        <v>84</v>
      </c>
      <c r="Z8" s="55" t="s">
        <v>90</v>
      </c>
      <c r="AA8" s="55" t="s">
        <v>50</v>
      </c>
      <c r="AB8" s="55" t="s">
        <v>183</v>
      </c>
      <c r="AC8" s="55"/>
      <c r="AD8" s="55"/>
      <c r="AE8" s="97" t="s">
        <v>59</v>
      </c>
      <c r="AG8" s="64" t="s">
        <v>170</v>
      </c>
      <c r="AH8" s="64" t="s">
        <v>175</v>
      </c>
      <c r="AL8" s="76" t="s">
        <v>202</v>
      </c>
      <c r="AP8" s="65" t="s">
        <v>62</v>
      </c>
      <c r="AR8" s="98" t="s">
        <v>81</v>
      </c>
      <c r="AV8" s="65" t="s">
        <v>97</v>
      </c>
      <c r="AX8" s="66">
        <v>119</v>
      </c>
      <c r="AY8" s="67">
        <v>30</v>
      </c>
      <c r="AZ8" s="67">
        <v>121</v>
      </c>
      <c r="BA8" s="68">
        <v>27</v>
      </c>
    </row>
    <row r="9" spans="1:53" x14ac:dyDescent="0.15">
      <c r="A9" s="55" t="s">
        <v>41</v>
      </c>
      <c r="B9" s="100" t="s">
        <v>181</v>
      </c>
      <c r="C9" s="83">
        <v>2018</v>
      </c>
      <c r="D9" s="56" t="s">
        <v>192</v>
      </c>
      <c r="E9" s="100" t="s">
        <v>167</v>
      </c>
      <c r="F9" s="100" t="s">
        <v>172</v>
      </c>
      <c r="G9" s="55" t="s">
        <v>42</v>
      </c>
      <c r="H9" s="55" t="s">
        <v>155</v>
      </c>
      <c r="I9" s="55" t="s">
        <v>153</v>
      </c>
      <c r="J9" s="55" t="s">
        <v>38</v>
      </c>
      <c r="K9" s="55" t="s">
        <v>154</v>
      </c>
      <c r="L9" s="100">
        <v>2</v>
      </c>
      <c r="N9" s="55">
        <v>1</v>
      </c>
      <c r="O9" s="55">
        <v>0.65</v>
      </c>
      <c r="P9" s="55">
        <v>0.95</v>
      </c>
      <c r="Q9" s="57">
        <f t="shared" si="0"/>
        <v>0.8</v>
      </c>
      <c r="R9" s="100">
        <v>12.9</v>
      </c>
      <c r="S9" s="100">
        <v>128</v>
      </c>
      <c r="T9" s="77">
        <f>IF(H9="","",IF(OR(H9="GREEN",H9="GK"),IF(S9&gt;=$AX$2,VLOOKUP(S9,$AX$2:$AY$12,2,1),""),IF(S9&gt;=$AZ$2,VLOOKUP(S9,$AZ$2:$BA$12,2,1),"")))</f>
        <v>27</v>
      </c>
      <c r="U9" s="55">
        <v>105</v>
      </c>
      <c r="V9" s="58">
        <f t="shared" si="2"/>
        <v>2835</v>
      </c>
      <c r="W9" s="100">
        <v>3</v>
      </c>
      <c r="X9" s="55" t="s">
        <v>39</v>
      </c>
      <c r="Y9" s="55" t="s">
        <v>84</v>
      </c>
      <c r="Z9" s="55" t="s">
        <v>90</v>
      </c>
      <c r="AA9" s="55" t="s">
        <v>50</v>
      </c>
      <c r="AB9" s="55" t="s">
        <v>183</v>
      </c>
      <c r="AE9" s="97" t="s">
        <v>98</v>
      </c>
      <c r="AG9" s="64" t="s">
        <v>170</v>
      </c>
      <c r="AH9" s="64" t="s">
        <v>176</v>
      </c>
      <c r="AL9" s="72"/>
      <c r="AP9" s="65" t="s">
        <v>95</v>
      </c>
      <c r="AR9" s="98" t="s">
        <v>89</v>
      </c>
      <c r="AV9" s="65" t="s">
        <v>102</v>
      </c>
      <c r="AX9" s="66">
        <v>128</v>
      </c>
      <c r="AY9" s="67">
        <v>27</v>
      </c>
      <c r="AZ9" s="67">
        <v>129</v>
      </c>
      <c r="BA9" s="68">
        <v>25</v>
      </c>
    </row>
    <row r="10" spans="1:53" x14ac:dyDescent="0.15">
      <c r="A10" s="55" t="s">
        <v>41</v>
      </c>
      <c r="B10" s="100" t="s">
        <v>181</v>
      </c>
      <c r="C10" s="83">
        <v>2018</v>
      </c>
      <c r="D10" s="56" t="s">
        <v>192</v>
      </c>
      <c r="E10" s="100" t="s">
        <v>167</v>
      </c>
      <c r="F10" s="100" t="s">
        <v>172</v>
      </c>
      <c r="G10" s="55" t="s">
        <v>42</v>
      </c>
      <c r="H10" s="55" t="s">
        <v>155</v>
      </c>
      <c r="I10" s="55" t="s">
        <v>153</v>
      </c>
      <c r="J10" s="55" t="s">
        <v>38</v>
      </c>
      <c r="K10" s="55" t="s">
        <v>154</v>
      </c>
      <c r="L10" s="100">
        <v>3</v>
      </c>
      <c r="N10" s="55">
        <v>1</v>
      </c>
      <c r="O10" s="55">
        <v>0.5</v>
      </c>
      <c r="P10" s="55">
        <v>1</v>
      </c>
      <c r="Q10" s="57">
        <f t="shared" si="0"/>
        <v>0.75</v>
      </c>
      <c r="R10" s="100">
        <v>13.7</v>
      </c>
      <c r="S10" s="100">
        <v>127</v>
      </c>
      <c r="T10" s="77">
        <f>IF(H10="","",IF(OR(H10="GREEN",H10="GK"),IF(S10&gt;=$AX$2,VLOOKUP(S10,$AX$2:$AY$12,2,1),""),IF(S10&gt;=$AZ$2,VLOOKUP(S10,$AZ$2:$BA$12,2,1),"")))</f>
        <v>27</v>
      </c>
      <c r="U10" s="55">
        <v>105</v>
      </c>
      <c r="V10" s="58">
        <f t="shared" si="2"/>
        <v>2835</v>
      </c>
      <c r="W10" s="100">
        <v>3</v>
      </c>
      <c r="X10" s="55" t="s">
        <v>39</v>
      </c>
      <c r="Y10" s="55" t="s">
        <v>84</v>
      </c>
      <c r="Z10" s="55" t="s">
        <v>90</v>
      </c>
      <c r="AA10" s="55" t="s">
        <v>50</v>
      </c>
      <c r="AB10" s="55" t="s">
        <v>183</v>
      </c>
      <c r="AE10" s="97" t="s">
        <v>103</v>
      </c>
      <c r="AG10" s="64" t="s">
        <v>171</v>
      </c>
      <c r="AH10" s="64" t="s">
        <v>177</v>
      </c>
      <c r="AL10" s="76"/>
      <c r="AP10" s="65" t="s">
        <v>100</v>
      </c>
      <c r="AR10" s="98" t="s">
        <v>123</v>
      </c>
      <c r="AV10" s="65" t="s">
        <v>106</v>
      </c>
      <c r="AX10" s="66">
        <v>138</v>
      </c>
      <c r="AY10" s="67">
        <v>25</v>
      </c>
      <c r="AZ10" s="67">
        <v>138</v>
      </c>
      <c r="BA10" s="68">
        <v>22</v>
      </c>
    </row>
    <row r="11" spans="1:53" x14ac:dyDescent="0.15">
      <c r="A11" s="55" t="s">
        <v>41</v>
      </c>
      <c r="B11" s="100" t="s">
        <v>181</v>
      </c>
      <c r="C11" s="83">
        <v>2018</v>
      </c>
      <c r="D11" s="56" t="s">
        <v>192</v>
      </c>
      <c r="E11" s="100" t="s">
        <v>167</v>
      </c>
      <c r="F11" s="100" t="s">
        <v>172</v>
      </c>
      <c r="G11" s="55" t="s">
        <v>42</v>
      </c>
      <c r="H11" s="55" t="s">
        <v>155</v>
      </c>
      <c r="I11" s="55" t="s">
        <v>153</v>
      </c>
      <c r="J11" s="55" t="s">
        <v>38</v>
      </c>
      <c r="K11" s="55" t="s">
        <v>154</v>
      </c>
      <c r="L11" s="100">
        <v>1</v>
      </c>
      <c r="M11" s="55"/>
      <c r="N11" s="55">
        <v>3</v>
      </c>
      <c r="O11" s="55">
        <v>0.85</v>
      </c>
      <c r="P11" s="55">
        <v>0.5</v>
      </c>
      <c r="Q11" s="57">
        <f t="shared" si="0"/>
        <v>0.67500000000000004</v>
      </c>
      <c r="R11" s="100">
        <v>14.4</v>
      </c>
      <c r="S11" s="100">
        <v>126</v>
      </c>
      <c r="T11" s="77">
        <f>IF(H11="","",IF(OR(H11="GREEN",H11="GK"),IF(S11&gt;=$AX$2,VLOOKUP(S11,$AX$2:$AY$10,2,1),""),IF(S11&gt;=$AZ$2,VLOOKUP(S11,$AZ$2:$BA$10,2,1),"")))</f>
        <v>27</v>
      </c>
      <c r="U11" s="55">
        <v>429</v>
      </c>
      <c r="V11" s="78">
        <f t="shared" si="2"/>
        <v>3861</v>
      </c>
      <c r="W11" s="55">
        <v>1</v>
      </c>
      <c r="X11" s="55" t="s">
        <v>39</v>
      </c>
      <c r="Y11" s="55" t="s">
        <v>84</v>
      </c>
      <c r="Z11" s="55" t="s">
        <v>90</v>
      </c>
      <c r="AA11" s="55" t="s">
        <v>50</v>
      </c>
      <c r="AB11" s="55" t="s">
        <v>183</v>
      </c>
      <c r="AE11" s="97" t="s">
        <v>65</v>
      </c>
      <c r="AG11" s="64" t="s">
        <v>161</v>
      </c>
      <c r="AH11" s="64" t="s">
        <v>178</v>
      </c>
      <c r="AL11" s="76"/>
      <c r="AP11" s="65" t="s">
        <v>104</v>
      </c>
      <c r="AR11" s="98" t="s">
        <v>87</v>
      </c>
      <c r="AV11" s="65" t="s">
        <v>69</v>
      </c>
      <c r="AX11" s="66">
        <v>151</v>
      </c>
      <c r="AY11" s="67">
        <v>22</v>
      </c>
      <c r="AZ11" s="67">
        <v>152</v>
      </c>
      <c r="BA11" s="68">
        <v>18</v>
      </c>
    </row>
    <row r="12" spans="1:53" x14ac:dyDescent="0.15">
      <c r="A12" s="55" t="s">
        <v>41</v>
      </c>
      <c r="B12" s="100" t="s">
        <v>181</v>
      </c>
      <c r="C12" s="83">
        <v>2018</v>
      </c>
      <c r="D12" s="56" t="s">
        <v>192</v>
      </c>
      <c r="E12" s="100" t="s">
        <v>167</v>
      </c>
      <c r="F12" s="100" t="s">
        <v>172</v>
      </c>
      <c r="G12" s="55" t="s">
        <v>42</v>
      </c>
      <c r="H12" s="55" t="s">
        <v>155</v>
      </c>
      <c r="I12" s="55" t="s">
        <v>153</v>
      </c>
      <c r="J12" s="55" t="s">
        <v>38</v>
      </c>
      <c r="K12" s="55" t="s">
        <v>154</v>
      </c>
      <c r="L12" s="100">
        <v>2</v>
      </c>
      <c r="N12" s="55">
        <v>3</v>
      </c>
      <c r="O12" s="55">
        <v>0.95</v>
      </c>
      <c r="P12" s="55">
        <v>0.6</v>
      </c>
      <c r="Q12" s="57">
        <f t="shared" si="0"/>
        <v>0.77499999999999991</v>
      </c>
      <c r="R12" s="100">
        <v>14.9</v>
      </c>
      <c r="S12" s="100">
        <v>128</v>
      </c>
      <c r="T12" s="77">
        <f>IF(H12="","",IF(OR(H12="GREEN",H12="GK"),IF(S12&gt;=$AX$2,VLOOKUP(S12,$AX$2:$AY$10,2,1),""),IF(S12&gt;=$AZ$2,VLOOKUP(S12,$AZ$2:$BA$10,2,1),"")))</f>
        <v>27</v>
      </c>
      <c r="U12" s="55">
        <v>429</v>
      </c>
      <c r="V12" s="58">
        <f t="shared" si="2"/>
        <v>3861</v>
      </c>
      <c r="W12" s="100">
        <v>1</v>
      </c>
      <c r="X12" s="55" t="s">
        <v>39</v>
      </c>
      <c r="Y12" s="55" t="s">
        <v>84</v>
      </c>
      <c r="Z12" s="55" t="s">
        <v>90</v>
      </c>
      <c r="AA12" s="55" t="s">
        <v>50</v>
      </c>
      <c r="AB12" s="55" t="s">
        <v>183</v>
      </c>
      <c r="AE12" s="97" t="s">
        <v>70</v>
      </c>
      <c r="AG12" s="70"/>
      <c r="AH12" s="70"/>
      <c r="AL12" s="76"/>
      <c r="AP12" s="65" t="s">
        <v>67</v>
      </c>
      <c r="AR12" s="98" t="s">
        <v>124</v>
      </c>
      <c r="AV12" s="65" t="s">
        <v>72</v>
      </c>
      <c r="AX12" s="79">
        <v>180</v>
      </c>
      <c r="AY12" s="80">
        <v>18</v>
      </c>
      <c r="AZ12" s="80">
        <v>181</v>
      </c>
      <c r="BA12" s="81">
        <v>16</v>
      </c>
    </row>
    <row r="13" spans="1:53" x14ac:dyDescent="0.15">
      <c r="A13" s="55" t="s">
        <v>41</v>
      </c>
      <c r="B13" s="100" t="s">
        <v>181</v>
      </c>
      <c r="C13" s="83">
        <v>2018</v>
      </c>
      <c r="D13" s="56" t="s">
        <v>192</v>
      </c>
      <c r="E13" s="100" t="s">
        <v>167</v>
      </c>
      <c r="F13" s="100" t="s">
        <v>172</v>
      </c>
      <c r="G13" s="55" t="s">
        <v>42</v>
      </c>
      <c r="H13" s="55" t="s">
        <v>155</v>
      </c>
      <c r="I13" s="55" t="s">
        <v>153</v>
      </c>
      <c r="J13" s="55" t="s">
        <v>38</v>
      </c>
      <c r="K13" s="55" t="s">
        <v>154</v>
      </c>
      <c r="L13" s="100">
        <v>3</v>
      </c>
      <c r="N13" s="55">
        <v>3</v>
      </c>
      <c r="O13" s="55">
        <v>0.65</v>
      </c>
      <c r="P13" s="55">
        <v>0.55000000000000004</v>
      </c>
      <c r="Q13" s="57">
        <f t="shared" si="0"/>
        <v>0.60000000000000009</v>
      </c>
      <c r="R13" s="100">
        <v>15.1</v>
      </c>
      <c r="S13" s="100">
        <v>127</v>
      </c>
      <c r="T13" s="77">
        <f>IF(H13="","",IF(OR(H13="GREEN",H13="GK"),IF(S13&gt;=$AX$2,VLOOKUP(S13,$AX$2:$AY$10,2,1),""),IF(S13&gt;=$AZ$2,VLOOKUP(S13,$AZ$2:$BA$10,2,1),"")))</f>
        <v>27</v>
      </c>
      <c r="U13" s="55">
        <v>429</v>
      </c>
      <c r="V13" s="58">
        <f t="shared" si="2"/>
        <v>3861</v>
      </c>
      <c r="W13" s="100">
        <v>1</v>
      </c>
      <c r="X13" s="55" t="s">
        <v>39</v>
      </c>
      <c r="Y13" s="55" t="s">
        <v>84</v>
      </c>
      <c r="Z13" s="55" t="s">
        <v>90</v>
      </c>
      <c r="AA13" s="55" t="s">
        <v>50</v>
      </c>
      <c r="AB13" s="55" t="s">
        <v>183</v>
      </c>
      <c r="AE13" s="97" t="s">
        <v>73</v>
      </c>
      <c r="AG13" s="98"/>
      <c r="AH13" s="98"/>
      <c r="AP13" s="65" t="s">
        <v>71</v>
      </c>
      <c r="AR13" s="98" t="s">
        <v>103</v>
      </c>
      <c r="AV13" s="65" t="s">
        <v>75</v>
      </c>
    </row>
    <row r="14" spans="1:53" x14ac:dyDescent="0.15">
      <c r="A14" s="55" t="s">
        <v>41</v>
      </c>
      <c r="B14" s="100" t="s">
        <v>181</v>
      </c>
      <c r="C14" s="83">
        <v>2018</v>
      </c>
      <c r="D14" s="56" t="s">
        <v>192</v>
      </c>
      <c r="E14" s="100" t="s">
        <v>167</v>
      </c>
      <c r="F14" s="100" t="s">
        <v>172</v>
      </c>
      <c r="G14" s="55" t="s">
        <v>42</v>
      </c>
      <c r="H14" s="55" t="s">
        <v>155</v>
      </c>
      <c r="I14" s="55" t="s">
        <v>153</v>
      </c>
      <c r="J14" s="55" t="s">
        <v>38</v>
      </c>
      <c r="K14" s="55" t="s">
        <v>154</v>
      </c>
      <c r="L14" s="100">
        <v>1</v>
      </c>
      <c r="N14" s="55">
        <v>6</v>
      </c>
      <c r="O14" s="55">
        <v>0.7</v>
      </c>
      <c r="P14" s="55">
        <v>0.25</v>
      </c>
      <c r="Q14" s="57">
        <f t="shared" si="0"/>
        <v>0.47499999999999998</v>
      </c>
      <c r="R14" s="100">
        <v>15.8</v>
      </c>
      <c r="S14" s="100">
        <v>105</v>
      </c>
      <c r="T14" s="77">
        <f t="shared" ref="T14:T19" si="3">IF(H14="","",IF(OR(H14="GREEN",H14="GK"),IF(S14&gt;=$AX$2,VLOOKUP(S14,$AX$2:$AY$10,2,1),""),IF(S14&gt;=$AZ$2,VLOOKUP(S14,$AZ$2:$BA$10,2,1),"")))</f>
        <v>33</v>
      </c>
      <c r="U14" s="55">
        <v>540</v>
      </c>
      <c r="V14" s="58">
        <f t="shared" si="2"/>
        <v>2970</v>
      </c>
      <c r="W14" s="100">
        <v>1</v>
      </c>
      <c r="X14" s="55" t="s">
        <v>39</v>
      </c>
      <c r="Y14" s="55" t="s">
        <v>84</v>
      </c>
      <c r="Z14" s="55" t="s">
        <v>90</v>
      </c>
      <c r="AA14" s="55" t="s">
        <v>50</v>
      </c>
      <c r="AB14" s="55" t="s">
        <v>183</v>
      </c>
      <c r="AE14" s="97" t="s">
        <v>76</v>
      </c>
      <c r="AG14" s="98"/>
      <c r="AH14" s="98"/>
      <c r="AP14" s="65" t="s">
        <v>74</v>
      </c>
      <c r="AR14" s="98" t="s">
        <v>125</v>
      </c>
      <c r="AV14" s="65" t="s">
        <v>78</v>
      </c>
    </row>
    <row r="15" spans="1:53" x14ac:dyDescent="0.15">
      <c r="A15" s="55" t="s">
        <v>41</v>
      </c>
      <c r="B15" s="100" t="s">
        <v>181</v>
      </c>
      <c r="C15" s="83">
        <v>2018</v>
      </c>
      <c r="D15" s="56" t="s">
        <v>192</v>
      </c>
      <c r="E15" s="100" t="s">
        <v>167</v>
      </c>
      <c r="F15" s="100" t="s">
        <v>172</v>
      </c>
      <c r="G15" s="55" t="s">
        <v>42</v>
      </c>
      <c r="H15" s="55" t="s">
        <v>155</v>
      </c>
      <c r="I15" s="55" t="s">
        <v>153</v>
      </c>
      <c r="J15" s="55" t="s">
        <v>38</v>
      </c>
      <c r="K15" s="55" t="s">
        <v>154</v>
      </c>
      <c r="L15" s="100">
        <v>2</v>
      </c>
      <c r="M15" s="55"/>
      <c r="N15" s="55">
        <v>6</v>
      </c>
      <c r="O15" s="55">
        <v>0.65</v>
      </c>
      <c r="P15" s="55">
        <v>0.25</v>
      </c>
      <c r="Q15" s="57">
        <f t="shared" si="0"/>
        <v>0.45</v>
      </c>
      <c r="R15" s="100">
        <v>14.8</v>
      </c>
      <c r="S15" s="100">
        <v>100</v>
      </c>
      <c r="T15" s="77">
        <f t="shared" si="3"/>
        <v>33</v>
      </c>
      <c r="U15" s="55">
        <v>540</v>
      </c>
      <c r="V15" s="78">
        <f t="shared" si="2"/>
        <v>2970</v>
      </c>
      <c r="W15" s="55">
        <v>1</v>
      </c>
      <c r="X15" s="55" t="s">
        <v>39</v>
      </c>
      <c r="Y15" s="55" t="s">
        <v>84</v>
      </c>
      <c r="Z15" s="55" t="s">
        <v>90</v>
      </c>
      <c r="AA15" s="55" t="s">
        <v>50</v>
      </c>
      <c r="AB15" s="55" t="s">
        <v>183</v>
      </c>
      <c r="AE15" s="97" t="s">
        <v>79</v>
      </c>
      <c r="AG15" s="98"/>
      <c r="AH15" s="98"/>
      <c r="AP15" s="65" t="s">
        <v>77</v>
      </c>
      <c r="AR15" s="98" t="s">
        <v>94</v>
      </c>
      <c r="AV15" s="65" t="s">
        <v>107</v>
      </c>
    </row>
    <row r="16" spans="1:53" x14ac:dyDescent="0.15">
      <c r="A16" s="55" t="s">
        <v>41</v>
      </c>
      <c r="B16" s="100" t="s">
        <v>181</v>
      </c>
      <c r="C16" s="83">
        <v>2018</v>
      </c>
      <c r="D16" s="56" t="s">
        <v>192</v>
      </c>
      <c r="E16" s="100" t="s">
        <v>167</v>
      </c>
      <c r="F16" s="100" t="s">
        <v>172</v>
      </c>
      <c r="G16" s="55" t="s">
        <v>42</v>
      </c>
      <c r="H16" s="55" t="s">
        <v>155</v>
      </c>
      <c r="I16" s="55" t="s">
        <v>153</v>
      </c>
      <c r="J16" s="55" t="s">
        <v>38</v>
      </c>
      <c r="K16" s="55" t="s">
        <v>154</v>
      </c>
      <c r="L16" s="100">
        <v>3</v>
      </c>
      <c r="N16" s="55">
        <v>6</v>
      </c>
      <c r="O16" s="55">
        <v>0.4</v>
      </c>
      <c r="P16" s="55">
        <v>0.25</v>
      </c>
      <c r="Q16" s="57">
        <f t="shared" si="0"/>
        <v>0.32500000000000001</v>
      </c>
      <c r="R16" s="100">
        <v>16</v>
      </c>
      <c r="S16" s="100">
        <v>101</v>
      </c>
      <c r="T16" s="77">
        <f t="shared" si="3"/>
        <v>33</v>
      </c>
      <c r="U16" s="55">
        <v>540</v>
      </c>
      <c r="V16" s="58">
        <f t="shared" si="2"/>
        <v>2970</v>
      </c>
      <c r="W16" s="100">
        <v>1</v>
      </c>
      <c r="X16" s="55" t="s">
        <v>39</v>
      </c>
      <c r="Y16" s="55" t="s">
        <v>84</v>
      </c>
      <c r="Z16" s="55" t="s">
        <v>90</v>
      </c>
      <c r="AA16" s="55" t="s">
        <v>50</v>
      </c>
      <c r="AB16" s="55" t="s">
        <v>183</v>
      </c>
      <c r="AE16" s="97" t="s">
        <v>82</v>
      </c>
      <c r="AG16" s="71"/>
      <c r="AH16" s="71"/>
      <c r="AP16" s="65" t="s">
        <v>80</v>
      </c>
      <c r="AR16" s="98" t="s">
        <v>63</v>
      </c>
      <c r="AV16" s="65" t="s">
        <v>84</v>
      </c>
    </row>
    <row r="17" spans="1:49" x14ac:dyDescent="0.15">
      <c r="A17" s="55" t="s">
        <v>41</v>
      </c>
      <c r="B17" s="100" t="s">
        <v>181</v>
      </c>
      <c r="C17" s="83">
        <v>2018</v>
      </c>
      <c r="D17" s="56" t="s">
        <v>192</v>
      </c>
      <c r="E17" s="100" t="s">
        <v>167</v>
      </c>
      <c r="F17" s="100" t="s">
        <v>172</v>
      </c>
      <c r="G17" s="55" t="s">
        <v>42</v>
      </c>
      <c r="H17" s="55" t="s">
        <v>155</v>
      </c>
      <c r="I17" s="55" t="s">
        <v>153</v>
      </c>
      <c r="J17" s="55" t="s">
        <v>38</v>
      </c>
      <c r="K17" s="55" t="s">
        <v>154</v>
      </c>
      <c r="L17" s="100">
        <v>1</v>
      </c>
      <c r="N17" s="55">
        <v>7</v>
      </c>
      <c r="O17" s="55">
        <v>0.25</v>
      </c>
      <c r="P17" s="55">
        <v>0.3</v>
      </c>
      <c r="Q17" s="57">
        <f t="shared" si="0"/>
        <v>0.27500000000000002</v>
      </c>
      <c r="R17" s="100">
        <v>13.8</v>
      </c>
      <c r="S17" s="100">
        <v>100</v>
      </c>
      <c r="T17" s="77">
        <f t="shared" si="3"/>
        <v>33</v>
      </c>
      <c r="U17" s="55">
        <v>561</v>
      </c>
      <c r="V17" s="58">
        <f t="shared" si="2"/>
        <v>2644.7142857142858</v>
      </c>
      <c r="W17" s="100">
        <v>1</v>
      </c>
      <c r="X17" s="55" t="s">
        <v>46</v>
      </c>
      <c r="Y17" s="55" t="s">
        <v>84</v>
      </c>
      <c r="Z17" s="55" t="s">
        <v>90</v>
      </c>
      <c r="AA17" s="55" t="s">
        <v>50</v>
      </c>
      <c r="AB17" s="55" t="s">
        <v>183</v>
      </c>
      <c r="AE17" s="97" t="s">
        <v>85</v>
      </c>
      <c r="AP17" s="101" t="s">
        <v>110</v>
      </c>
      <c r="AR17" s="98" t="s">
        <v>96</v>
      </c>
      <c r="AV17" s="65" t="s">
        <v>86</v>
      </c>
    </row>
    <row r="18" spans="1:49" x14ac:dyDescent="0.15">
      <c r="A18" s="55" t="s">
        <v>41</v>
      </c>
      <c r="B18" s="100" t="s">
        <v>181</v>
      </c>
      <c r="C18" s="83">
        <v>2018</v>
      </c>
      <c r="D18" s="56" t="s">
        <v>192</v>
      </c>
      <c r="E18" s="100" t="s">
        <v>167</v>
      </c>
      <c r="F18" s="100" t="s">
        <v>172</v>
      </c>
      <c r="G18" s="55" t="s">
        <v>42</v>
      </c>
      <c r="H18" s="55" t="s">
        <v>155</v>
      </c>
      <c r="I18" s="55" t="s">
        <v>153</v>
      </c>
      <c r="J18" s="55" t="s">
        <v>38</v>
      </c>
      <c r="K18" s="55" t="s">
        <v>154</v>
      </c>
      <c r="L18" s="100">
        <v>2</v>
      </c>
      <c r="M18" s="55"/>
      <c r="N18" s="55">
        <v>7</v>
      </c>
      <c r="O18" s="55">
        <v>0.25</v>
      </c>
      <c r="P18" s="55">
        <v>0.35</v>
      </c>
      <c r="Q18" s="57">
        <f t="shared" si="0"/>
        <v>0.3</v>
      </c>
      <c r="R18" s="100">
        <v>14.7</v>
      </c>
      <c r="S18" s="100">
        <v>101</v>
      </c>
      <c r="T18" s="77">
        <f t="shared" si="3"/>
        <v>33</v>
      </c>
      <c r="U18" s="55">
        <v>561</v>
      </c>
      <c r="V18" s="78">
        <f t="shared" si="2"/>
        <v>2644.7142857142858</v>
      </c>
      <c r="W18" s="55">
        <v>1</v>
      </c>
      <c r="X18" s="55" t="s">
        <v>46</v>
      </c>
      <c r="Y18" s="55" t="s">
        <v>84</v>
      </c>
      <c r="Z18" s="55" t="s">
        <v>90</v>
      </c>
      <c r="AA18" s="55" t="s">
        <v>50</v>
      </c>
      <c r="AB18" s="55" t="s">
        <v>183</v>
      </c>
      <c r="AE18" s="97" t="s">
        <v>87</v>
      </c>
      <c r="AP18" s="101" t="s">
        <v>111</v>
      </c>
      <c r="AR18" s="98" t="s">
        <v>101</v>
      </c>
      <c r="AV18" s="65" t="s">
        <v>88</v>
      </c>
    </row>
    <row r="19" spans="1:49" x14ac:dyDescent="0.15">
      <c r="A19" s="55" t="s">
        <v>41</v>
      </c>
      <c r="B19" s="100" t="s">
        <v>181</v>
      </c>
      <c r="C19" s="83">
        <v>2018</v>
      </c>
      <c r="D19" s="56" t="s">
        <v>192</v>
      </c>
      <c r="E19" s="100" t="s">
        <v>167</v>
      </c>
      <c r="F19" s="100" t="s">
        <v>172</v>
      </c>
      <c r="G19" s="55" t="s">
        <v>42</v>
      </c>
      <c r="H19" s="55" t="s">
        <v>155</v>
      </c>
      <c r="I19" s="55" t="s">
        <v>153</v>
      </c>
      <c r="J19" s="55" t="s">
        <v>38</v>
      </c>
      <c r="K19" s="55" t="s">
        <v>154</v>
      </c>
      <c r="L19" s="100">
        <v>3</v>
      </c>
      <c r="N19" s="55">
        <v>7</v>
      </c>
      <c r="O19" s="55">
        <v>0.25</v>
      </c>
      <c r="P19" s="55">
        <v>0.25</v>
      </c>
      <c r="Q19" s="57">
        <f t="shared" si="0"/>
        <v>0.25</v>
      </c>
      <c r="R19" s="100">
        <v>15</v>
      </c>
      <c r="S19" s="100">
        <v>97</v>
      </c>
      <c r="T19" s="77">
        <f t="shared" si="3"/>
        <v>36</v>
      </c>
      <c r="U19" s="55">
        <v>561</v>
      </c>
      <c r="V19" s="58">
        <f t="shared" si="2"/>
        <v>2885.1428571428569</v>
      </c>
      <c r="W19" s="100">
        <v>1</v>
      </c>
      <c r="X19" s="55" t="s">
        <v>46</v>
      </c>
      <c r="Y19" s="55" t="s">
        <v>84</v>
      </c>
      <c r="Z19" s="55" t="s">
        <v>90</v>
      </c>
      <c r="AA19" s="55" t="s">
        <v>50</v>
      </c>
      <c r="AB19" s="55" t="s">
        <v>183</v>
      </c>
      <c r="AE19" s="99" t="s">
        <v>89</v>
      </c>
      <c r="AP19" s="101" t="s">
        <v>112</v>
      </c>
      <c r="AR19" s="98" t="s">
        <v>126</v>
      </c>
      <c r="AV19" s="65" t="s">
        <v>90</v>
      </c>
    </row>
    <row r="20" spans="1:49" x14ac:dyDescent="0.15">
      <c r="A20" s="55" t="s">
        <v>41</v>
      </c>
      <c r="B20" s="100" t="s">
        <v>181</v>
      </c>
      <c r="C20" s="83">
        <v>2018</v>
      </c>
      <c r="D20" s="56" t="s">
        <v>192</v>
      </c>
      <c r="E20" s="100" t="s">
        <v>167</v>
      </c>
      <c r="F20" s="100" t="s">
        <v>173</v>
      </c>
      <c r="G20" s="55" t="s">
        <v>42</v>
      </c>
      <c r="H20" s="55" t="s">
        <v>155</v>
      </c>
      <c r="I20" s="55" t="s">
        <v>153</v>
      </c>
      <c r="J20" s="55" t="s">
        <v>38</v>
      </c>
      <c r="K20" s="55" t="s">
        <v>154</v>
      </c>
      <c r="L20" s="100">
        <v>1</v>
      </c>
      <c r="M20" s="55"/>
      <c r="N20" s="55">
        <v>1</v>
      </c>
      <c r="O20" s="55">
        <v>0.65</v>
      </c>
      <c r="P20" s="55">
        <v>0.75</v>
      </c>
      <c r="Q20" s="82">
        <f>IF(OR(O20="",P20=""),"",AVERAGE(O20,P20))</f>
        <v>0.7</v>
      </c>
      <c r="R20" s="55">
        <v>13.4</v>
      </c>
      <c r="S20" s="55">
        <v>129</v>
      </c>
      <c r="T20" s="77">
        <f>IF(H20="","",IF(OR(H20="GREEN",H20="GK"),IF(S20&gt;=$AX$2,VLOOKUP(S20,$AX$2:$AY$10,2,1),""),IF(S20&gt;=$AZ$2,VLOOKUP(S20,$AZ$2:$BA$10,2,1),"")))</f>
        <v>25</v>
      </c>
      <c r="U20" s="55">
        <v>105</v>
      </c>
      <c r="V20" s="78">
        <f>IF(OR(N20="",U20="",T20=""),"",U20/N20*T20)</f>
        <v>2625</v>
      </c>
      <c r="W20" s="55">
        <v>2</v>
      </c>
      <c r="X20" s="55" t="s">
        <v>39</v>
      </c>
      <c r="Y20" s="55" t="s">
        <v>84</v>
      </c>
      <c r="Z20" s="55" t="s">
        <v>90</v>
      </c>
      <c r="AA20" s="55" t="s">
        <v>69</v>
      </c>
      <c r="AB20" s="55" t="s">
        <v>183</v>
      </c>
      <c r="AE20" s="99"/>
      <c r="AP20" s="101" t="s">
        <v>113</v>
      </c>
      <c r="AR20" s="98" t="s">
        <v>105</v>
      </c>
      <c r="AV20" s="69" t="s">
        <v>203</v>
      </c>
    </row>
    <row r="21" spans="1:49" x14ac:dyDescent="0.15">
      <c r="A21" s="55" t="s">
        <v>41</v>
      </c>
      <c r="B21" s="100" t="s">
        <v>181</v>
      </c>
      <c r="C21" s="83">
        <v>2018</v>
      </c>
      <c r="D21" s="56" t="s">
        <v>192</v>
      </c>
      <c r="E21" s="100" t="s">
        <v>167</v>
      </c>
      <c r="F21" s="100" t="s">
        <v>173</v>
      </c>
      <c r="G21" s="55" t="s">
        <v>42</v>
      </c>
      <c r="H21" s="55" t="s">
        <v>155</v>
      </c>
      <c r="I21" s="55" t="s">
        <v>153</v>
      </c>
      <c r="J21" s="55" t="s">
        <v>38</v>
      </c>
      <c r="K21" s="55" t="s">
        <v>154</v>
      </c>
      <c r="L21" s="100">
        <v>2</v>
      </c>
      <c r="N21" s="55">
        <v>1</v>
      </c>
      <c r="O21" s="100">
        <v>0.8</v>
      </c>
      <c r="P21" s="100">
        <v>0.8</v>
      </c>
      <c r="Q21" s="57">
        <f>IF(OR(O21="",P21=""),"",AVERAGE(O21,P21))</f>
        <v>0.8</v>
      </c>
      <c r="R21" s="100">
        <v>15.1</v>
      </c>
      <c r="S21" s="100">
        <v>130</v>
      </c>
      <c r="T21" s="77">
        <f>IF(H21="","",IF(OR(H21="GREEN",H21="GK"),IF(S21&gt;=$AX$2,VLOOKUP(S21,$AX$2:$AY$10,2,1),""),IF(S21&gt;=$AZ$2,VLOOKUP(S21,$AZ$2:$BA$10,2,1),"")))</f>
        <v>25</v>
      </c>
      <c r="U21" s="55">
        <v>105</v>
      </c>
      <c r="V21" s="58">
        <f>IF(OR(N21="",U21="",T21=""),"",U21/N21*T21)</f>
        <v>2625</v>
      </c>
      <c r="W21" s="100">
        <v>2</v>
      </c>
      <c r="X21" s="55" t="s">
        <v>39</v>
      </c>
      <c r="Y21" s="55" t="s">
        <v>84</v>
      </c>
      <c r="Z21" s="55" t="s">
        <v>90</v>
      </c>
      <c r="AA21" s="55" t="s">
        <v>69</v>
      </c>
      <c r="AB21" s="55" t="s">
        <v>183</v>
      </c>
      <c r="AE21" s="106"/>
      <c r="AP21" s="101" t="s">
        <v>114</v>
      </c>
      <c r="AR21" s="98" t="s">
        <v>68</v>
      </c>
      <c r="AV21" s="69" t="s">
        <v>204</v>
      </c>
    </row>
    <row r="22" spans="1:49" x14ac:dyDescent="0.15">
      <c r="A22" s="55" t="s">
        <v>41</v>
      </c>
      <c r="B22" s="100" t="s">
        <v>181</v>
      </c>
      <c r="C22" s="83">
        <v>2018</v>
      </c>
      <c r="D22" s="56" t="s">
        <v>192</v>
      </c>
      <c r="E22" s="100" t="s">
        <v>167</v>
      </c>
      <c r="F22" s="100" t="s">
        <v>173</v>
      </c>
      <c r="G22" s="55" t="s">
        <v>42</v>
      </c>
      <c r="H22" s="55" t="s">
        <v>155</v>
      </c>
      <c r="I22" s="55" t="s">
        <v>153</v>
      </c>
      <c r="J22" s="55" t="s">
        <v>38</v>
      </c>
      <c r="K22" s="55" t="s">
        <v>154</v>
      </c>
      <c r="L22" s="100">
        <v>3</v>
      </c>
      <c r="N22" s="55">
        <v>1</v>
      </c>
      <c r="O22" s="100">
        <v>0.95</v>
      </c>
      <c r="P22" s="100">
        <v>0.85</v>
      </c>
      <c r="Q22" s="57">
        <f>IF(OR(O22="",P22=""),"",AVERAGE(O22,P22))</f>
        <v>0.89999999999999991</v>
      </c>
      <c r="R22" s="100">
        <v>14</v>
      </c>
      <c r="S22" s="100">
        <v>131</v>
      </c>
      <c r="T22" s="77">
        <f>IF(H22="","",IF(OR(H22="GREEN",H22="GK"),IF(S22&gt;=$AX$2,VLOOKUP(S22,$AX$2:$AY$10,2,1),""),IF(S22&gt;=$AZ$2,VLOOKUP(S22,$AZ$2:$BA$10,2,1),"")))</f>
        <v>25</v>
      </c>
      <c r="U22" s="55">
        <v>105</v>
      </c>
      <c r="V22" s="58">
        <f>IF(OR(N22="",U22="",T22=""),"",U22/N22*T22)</f>
        <v>2625</v>
      </c>
      <c r="W22" s="100">
        <v>2</v>
      </c>
      <c r="X22" s="55" t="s">
        <v>39</v>
      </c>
      <c r="Y22" s="55" t="s">
        <v>84</v>
      </c>
      <c r="Z22" s="55" t="s">
        <v>90</v>
      </c>
      <c r="AA22" s="55" t="s">
        <v>69</v>
      </c>
      <c r="AB22" s="55" t="s">
        <v>183</v>
      </c>
      <c r="AP22" s="101" t="s">
        <v>115</v>
      </c>
      <c r="AR22" s="98" t="s">
        <v>83</v>
      </c>
      <c r="AV22" s="69"/>
    </row>
    <row r="23" spans="1:49" x14ac:dyDescent="0.15">
      <c r="A23" s="55" t="s">
        <v>41</v>
      </c>
      <c r="B23" s="100" t="s">
        <v>181</v>
      </c>
      <c r="C23" s="83">
        <v>2018</v>
      </c>
      <c r="D23" s="56" t="s">
        <v>192</v>
      </c>
      <c r="E23" s="100" t="s">
        <v>167</v>
      </c>
      <c r="F23" s="100" t="s">
        <v>173</v>
      </c>
      <c r="G23" s="55" t="s">
        <v>42</v>
      </c>
      <c r="H23" s="55" t="s">
        <v>155</v>
      </c>
      <c r="I23" s="55" t="s">
        <v>153</v>
      </c>
      <c r="J23" s="55" t="s">
        <v>38</v>
      </c>
      <c r="K23" s="55" t="s">
        <v>154</v>
      </c>
      <c r="L23" s="100">
        <v>1</v>
      </c>
      <c r="M23" s="55"/>
      <c r="N23" s="55">
        <v>4</v>
      </c>
      <c r="O23" s="55">
        <v>1.2</v>
      </c>
      <c r="P23" s="55">
        <v>1.1000000000000001</v>
      </c>
      <c r="Q23" s="82">
        <f t="shared" ref="Q23:Q64" si="4">IF(OR(O23="",P23=""),"",AVERAGE(O23,P23))</f>
        <v>1.1499999999999999</v>
      </c>
      <c r="R23" s="55">
        <v>12.9</v>
      </c>
      <c r="S23" s="55">
        <v>105</v>
      </c>
      <c r="T23" s="77">
        <f t="shared" ref="T23:T79" si="5">IF(H23="","",IF(OR(H23="GREEN",H23="GK"),IF(S23&gt;=$AX$2,VLOOKUP(S23,$AX$2:$AY$10,2,1),""),IF(S23&gt;=$AZ$2,VLOOKUP(S23,$AZ$2:$BA$10,2,1),"")))</f>
        <v>33</v>
      </c>
      <c r="U23" s="55">
        <v>320</v>
      </c>
      <c r="V23" s="78">
        <f t="shared" ref="V23:V79" si="6">IF(OR(N23="",U23="",T23=""),"",U23/N23*T23)</f>
        <v>2640</v>
      </c>
      <c r="W23" s="55">
        <v>1</v>
      </c>
      <c r="X23" s="55" t="s">
        <v>39</v>
      </c>
      <c r="Y23" s="55" t="s">
        <v>84</v>
      </c>
      <c r="Z23" s="55" t="s">
        <v>90</v>
      </c>
      <c r="AA23" s="55" t="s">
        <v>69</v>
      </c>
      <c r="AB23" s="55" t="s">
        <v>183</v>
      </c>
      <c r="AP23" s="101" t="s">
        <v>117</v>
      </c>
      <c r="AR23" s="106" t="s">
        <v>166</v>
      </c>
      <c r="AV23" s="106"/>
    </row>
    <row r="24" spans="1:49" x14ac:dyDescent="0.15">
      <c r="A24" s="55" t="s">
        <v>41</v>
      </c>
      <c r="B24" s="100" t="s">
        <v>181</v>
      </c>
      <c r="C24" s="83">
        <v>2018</v>
      </c>
      <c r="D24" s="56" t="s">
        <v>192</v>
      </c>
      <c r="E24" s="100" t="s">
        <v>167</v>
      </c>
      <c r="F24" s="100" t="s">
        <v>173</v>
      </c>
      <c r="G24" s="55" t="s">
        <v>42</v>
      </c>
      <c r="H24" s="55" t="s">
        <v>155</v>
      </c>
      <c r="I24" s="55" t="s">
        <v>153</v>
      </c>
      <c r="J24" s="55" t="s">
        <v>38</v>
      </c>
      <c r="K24" s="55" t="s">
        <v>154</v>
      </c>
      <c r="L24" s="100">
        <v>2</v>
      </c>
      <c r="N24" s="55">
        <v>4</v>
      </c>
      <c r="O24" s="100">
        <v>0.95</v>
      </c>
      <c r="P24" s="100">
        <v>1</v>
      </c>
      <c r="Q24" s="57">
        <f t="shared" si="4"/>
        <v>0.97499999999999998</v>
      </c>
      <c r="R24" s="100">
        <v>13</v>
      </c>
      <c r="S24" s="100">
        <v>100</v>
      </c>
      <c r="T24" s="77">
        <f t="shared" si="5"/>
        <v>33</v>
      </c>
      <c r="U24" s="55">
        <v>320</v>
      </c>
      <c r="V24" s="58">
        <f t="shared" si="6"/>
        <v>2640</v>
      </c>
      <c r="W24" s="100">
        <v>1</v>
      </c>
      <c r="X24" s="55" t="s">
        <v>39</v>
      </c>
      <c r="Y24" s="55" t="s">
        <v>84</v>
      </c>
      <c r="Z24" s="55" t="s">
        <v>90</v>
      </c>
      <c r="AA24" s="55" t="s">
        <v>69</v>
      </c>
      <c r="AB24" s="55" t="s">
        <v>183</v>
      </c>
      <c r="AP24" s="101" t="s">
        <v>118</v>
      </c>
    </row>
    <row r="25" spans="1:49" x14ac:dyDescent="0.15">
      <c r="A25" s="55" t="s">
        <v>41</v>
      </c>
      <c r="B25" s="100" t="s">
        <v>181</v>
      </c>
      <c r="C25" s="83">
        <v>2018</v>
      </c>
      <c r="D25" s="56" t="s">
        <v>192</v>
      </c>
      <c r="E25" s="100" t="s">
        <v>167</v>
      </c>
      <c r="F25" s="100" t="s">
        <v>173</v>
      </c>
      <c r="G25" s="55" t="s">
        <v>42</v>
      </c>
      <c r="H25" s="55" t="s">
        <v>155</v>
      </c>
      <c r="I25" s="55" t="s">
        <v>153</v>
      </c>
      <c r="J25" s="55" t="s">
        <v>38</v>
      </c>
      <c r="K25" s="55" t="s">
        <v>154</v>
      </c>
      <c r="L25" s="100">
        <v>3</v>
      </c>
      <c r="N25" s="55">
        <v>4</v>
      </c>
      <c r="O25" s="100">
        <v>0.8</v>
      </c>
      <c r="P25" s="100">
        <v>0.9</v>
      </c>
      <c r="Q25" s="57">
        <f t="shared" si="4"/>
        <v>0.85000000000000009</v>
      </c>
      <c r="R25" s="100">
        <v>13.3</v>
      </c>
      <c r="S25" s="100">
        <v>103</v>
      </c>
      <c r="T25" s="77">
        <f t="shared" si="5"/>
        <v>33</v>
      </c>
      <c r="U25" s="55">
        <v>320</v>
      </c>
      <c r="V25" s="58">
        <f t="shared" si="6"/>
        <v>2640</v>
      </c>
      <c r="W25" s="100">
        <v>1</v>
      </c>
      <c r="X25" s="55" t="s">
        <v>39</v>
      </c>
      <c r="Y25" s="55" t="s">
        <v>84</v>
      </c>
      <c r="Z25" s="55" t="s">
        <v>90</v>
      </c>
      <c r="AA25" s="55" t="s">
        <v>69</v>
      </c>
      <c r="AB25" s="55" t="s">
        <v>183</v>
      </c>
    </row>
    <row r="26" spans="1:49" x14ac:dyDescent="0.15">
      <c r="A26" s="55" t="s">
        <v>41</v>
      </c>
      <c r="B26" s="100" t="s">
        <v>181</v>
      </c>
      <c r="C26" s="83">
        <v>2018</v>
      </c>
      <c r="D26" s="56" t="s">
        <v>192</v>
      </c>
      <c r="E26" s="100" t="s">
        <v>168</v>
      </c>
      <c r="F26" s="100" t="s">
        <v>172</v>
      </c>
      <c r="G26" s="55" t="s">
        <v>42</v>
      </c>
      <c r="H26" s="55" t="s">
        <v>155</v>
      </c>
      <c r="I26" s="55" t="s">
        <v>153</v>
      </c>
      <c r="J26" s="55" t="s">
        <v>38</v>
      </c>
      <c r="K26" s="55" t="s">
        <v>154</v>
      </c>
      <c r="L26" s="100">
        <v>1</v>
      </c>
      <c r="N26" s="55">
        <v>1</v>
      </c>
      <c r="O26" s="55">
        <v>0.65</v>
      </c>
      <c r="P26" s="55">
        <v>0.8</v>
      </c>
      <c r="Q26" s="82">
        <f t="shared" si="4"/>
        <v>0.72500000000000009</v>
      </c>
      <c r="R26" s="100">
        <v>14</v>
      </c>
      <c r="S26" s="55">
        <v>123</v>
      </c>
      <c r="T26" s="57">
        <f t="shared" si="5"/>
        <v>27</v>
      </c>
      <c r="U26" s="100">
        <v>108</v>
      </c>
      <c r="V26" s="58">
        <f t="shared" si="6"/>
        <v>2916</v>
      </c>
      <c r="W26" s="100">
        <v>2</v>
      </c>
      <c r="X26" s="55" t="s">
        <v>46</v>
      </c>
      <c r="Y26" s="55" t="s">
        <v>84</v>
      </c>
      <c r="Z26" s="55" t="s">
        <v>90</v>
      </c>
      <c r="AA26" s="55" t="s">
        <v>50</v>
      </c>
      <c r="AB26" s="55" t="s">
        <v>183</v>
      </c>
    </row>
    <row r="27" spans="1:49" x14ac:dyDescent="0.15">
      <c r="A27" s="55" t="s">
        <v>41</v>
      </c>
      <c r="B27" s="100" t="s">
        <v>181</v>
      </c>
      <c r="C27" s="83">
        <v>2018</v>
      </c>
      <c r="D27" s="56" t="s">
        <v>192</v>
      </c>
      <c r="E27" s="100" t="s">
        <v>168</v>
      </c>
      <c r="F27" s="100" t="s">
        <v>172</v>
      </c>
      <c r="G27" s="55" t="s">
        <v>42</v>
      </c>
      <c r="H27" s="55" t="s">
        <v>155</v>
      </c>
      <c r="I27" s="55" t="s">
        <v>153</v>
      </c>
      <c r="J27" s="55" t="s">
        <v>38</v>
      </c>
      <c r="K27" s="55" t="s">
        <v>154</v>
      </c>
      <c r="L27" s="100">
        <v>2</v>
      </c>
      <c r="N27" s="55">
        <v>1</v>
      </c>
      <c r="O27" s="55">
        <v>0.5</v>
      </c>
      <c r="P27" s="55">
        <v>0.75</v>
      </c>
      <c r="Q27" s="82">
        <f t="shared" si="4"/>
        <v>0.625</v>
      </c>
      <c r="R27" s="100">
        <v>15.5</v>
      </c>
      <c r="S27" s="55">
        <v>124</v>
      </c>
      <c r="T27" s="57">
        <f t="shared" si="5"/>
        <v>27</v>
      </c>
      <c r="U27" s="100">
        <v>108</v>
      </c>
      <c r="V27" s="58">
        <f t="shared" si="6"/>
        <v>2916</v>
      </c>
      <c r="W27" s="100">
        <v>2</v>
      </c>
      <c r="X27" s="55" t="s">
        <v>46</v>
      </c>
      <c r="Y27" s="55" t="s">
        <v>84</v>
      </c>
      <c r="Z27" s="55" t="s">
        <v>90</v>
      </c>
      <c r="AA27" s="55" t="s">
        <v>50</v>
      </c>
      <c r="AB27" s="55" t="s">
        <v>183</v>
      </c>
      <c r="AE27" s="107"/>
      <c r="AF27" s="107"/>
      <c r="AG27" s="107"/>
      <c r="AH27" s="107"/>
      <c r="AI27" s="107"/>
      <c r="AJ27" s="107"/>
      <c r="AK27" s="107"/>
      <c r="AL27" s="107"/>
      <c r="AM27" s="107"/>
      <c r="AN27" s="107"/>
      <c r="AO27" s="107"/>
      <c r="AP27" s="107"/>
      <c r="AQ27" s="107"/>
      <c r="AR27" s="107"/>
      <c r="AS27" s="107"/>
      <c r="AT27" s="107"/>
      <c r="AU27" s="107"/>
      <c r="AV27" s="107"/>
      <c r="AW27" s="107"/>
    </row>
    <row r="28" spans="1:49" x14ac:dyDescent="0.15">
      <c r="A28" s="55" t="s">
        <v>41</v>
      </c>
      <c r="B28" s="100" t="s">
        <v>181</v>
      </c>
      <c r="C28" s="83">
        <v>2018</v>
      </c>
      <c r="D28" s="56" t="s">
        <v>192</v>
      </c>
      <c r="E28" s="100" t="s">
        <v>168</v>
      </c>
      <c r="F28" s="100" t="s">
        <v>172</v>
      </c>
      <c r="G28" s="55" t="s">
        <v>42</v>
      </c>
      <c r="H28" s="55" t="s">
        <v>155</v>
      </c>
      <c r="I28" s="55" t="s">
        <v>153</v>
      </c>
      <c r="J28" s="55" t="s">
        <v>38</v>
      </c>
      <c r="K28" s="55" t="s">
        <v>154</v>
      </c>
      <c r="L28" s="100">
        <v>3</v>
      </c>
      <c r="N28" s="55">
        <v>1</v>
      </c>
      <c r="O28" s="55">
        <v>0.9</v>
      </c>
      <c r="P28" s="55">
        <v>0.7</v>
      </c>
      <c r="Q28" s="82">
        <f t="shared" si="4"/>
        <v>0.8</v>
      </c>
      <c r="R28" s="100">
        <v>15.1</v>
      </c>
      <c r="S28" s="55">
        <v>125</v>
      </c>
      <c r="T28" s="57">
        <f t="shared" si="5"/>
        <v>27</v>
      </c>
      <c r="U28" s="100">
        <v>108</v>
      </c>
      <c r="V28" s="58">
        <f t="shared" si="6"/>
        <v>2916</v>
      </c>
      <c r="W28" s="100">
        <v>2</v>
      </c>
      <c r="X28" s="55" t="s">
        <v>46</v>
      </c>
      <c r="Y28" s="55" t="s">
        <v>84</v>
      </c>
      <c r="Z28" s="55" t="s">
        <v>90</v>
      </c>
      <c r="AA28" s="55" t="s">
        <v>50</v>
      </c>
      <c r="AB28" s="55" t="s">
        <v>183</v>
      </c>
      <c r="AE28" s="107"/>
      <c r="AF28" s="107"/>
      <c r="AG28" s="107"/>
      <c r="AH28" s="107"/>
      <c r="AI28" s="107"/>
      <c r="AJ28" s="107"/>
      <c r="AK28" s="107"/>
      <c r="AL28" s="107"/>
      <c r="AM28" s="107"/>
      <c r="AN28" s="107"/>
      <c r="AO28" s="107"/>
      <c r="AP28" s="107"/>
      <c r="AQ28" s="107"/>
      <c r="AR28" s="107"/>
      <c r="AS28" s="107"/>
      <c r="AT28" s="107"/>
      <c r="AU28" s="107"/>
      <c r="AV28" s="107"/>
      <c r="AW28" s="107"/>
    </row>
    <row r="29" spans="1:49" x14ac:dyDescent="0.15">
      <c r="A29" s="55" t="s">
        <v>41</v>
      </c>
      <c r="B29" s="100" t="s">
        <v>181</v>
      </c>
      <c r="C29" s="83">
        <v>2018</v>
      </c>
      <c r="D29" s="56" t="s">
        <v>192</v>
      </c>
      <c r="E29" s="100" t="s">
        <v>168</v>
      </c>
      <c r="F29" s="100" t="s">
        <v>172</v>
      </c>
      <c r="G29" s="55" t="s">
        <v>42</v>
      </c>
      <c r="H29" s="55" t="s">
        <v>159</v>
      </c>
      <c r="I29" s="55" t="s">
        <v>153</v>
      </c>
      <c r="J29" s="55" t="s">
        <v>38</v>
      </c>
      <c r="K29" s="55" t="s">
        <v>154</v>
      </c>
      <c r="L29" s="100">
        <v>1</v>
      </c>
      <c r="N29" s="55">
        <v>4</v>
      </c>
      <c r="O29" s="55">
        <v>0.45</v>
      </c>
      <c r="P29" s="55">
        <v>0.65</v>
      </c>
      <c r="Q29" s="57">
        <f t="shared" si="4"/>
        <v>0.55000000000000004</v>
      </c>
      <c r="R29" s="100">
        <v>15.5</v>
      </c>
      <c r="S29" s="55">
        <v>127</v>
      </c>
      <c r="T29" s="57">
        <f t="shared" si="5"/>
        <v>27</v>
      </c>
      <c r="U29" s="100">
        <v>645</v>
      </c>
      <c r="V29" s="58">
        <f t="shared" si="6"/>
        <v>4353.75</v>
      </c>
      <c r="W29" s="100">
        <v>1</v>
      </c>
      <c r="X29" s="55" t="s">
        <v>46</v>
      </c>
      <c r="Y29" s="55" t="s">
        <v>84</v>
      </c>
      <c r="Z29" s="55" t="s">
        <v>90</v>
      </c>
      <c r="AA29" s="55" t="s">
        <v>50</v>
      </c>
      <c r="AB29" s="55" t="s">
        <v>183</v>
      </c>
    </row>
    <row r="30" spans="1:49" x14ac:dyDescent="0.15">
      <c r="A30" s="55" t="s">
        <v>41</v>
      </c>
      <c r="B30" s="100" t="s">
        <v>181</v>
      </c>
      <c r="C30" s="83">
        <v>2018</v>
      </c>
      <c r="D30" s="56" t="s">
        <v>192</v>
      </c>
      <c r="E30" s="100" t="s">
        <v>168</v>
      </c>
      <c r="F30" s="100" t="s">
        <v>172</v>
      </c>
      <c r="G30" s="55" t="s">
        <v>42</v>
      </c>
      <c r="H30" s="55" t="s">
        <v>159</v>
      </c>
      <c r="I30" s="55" t="s">
        <v>153</v>
      </c>
      <c r="J30" s="55" t="s">
        <v>38</v>
      </c>
      <c r="K30" s="55" t="s">
        <v>154</v>
      </c>
      <c r="L30" s="100">
        <v>2</v>
      </c>
      <c r="N30" s="55">
        <v>4</v>
      </c>
      <c r="O30" s="55">
        <v>0.65</v>
      </c>
      <c r="P30" s="55">
        <v>0.6</v>
      </c>
      <c r="Q30" s="57">
        <f t="shared" si="4"/>
        <v>0.625</v>
      </c>
      <c r="R30" s="100">
        <v>16.8</v>
      </c>
      <c r="S30" s="55">
        <v>125</v>
      </c>
      <c r="T30" s="57">
        <f t="shared" si="5"/>
        <v>27</v>
      </c>
      <c r="U30" s="100">
        <v>645</v>
      </c>
      <c r="V30" s="58">
        <f t="shared" si="6"/>
        <v>4353.75</v>
      </c>
      <c r="W30" s="100">
        <v>1</v>
      </c>
      <c r="X30" s="55" t="s">
        <v>46</v>
      </c>
      <c r="Y30" s="55" t="s">
        <v>84</v>
      </c>
      <c r="Z30" s="55" t="s">
        <v>90</v>
      </c>
      <c r="AA30" s="55" t="s">
        <v>50</v>
      </c>
      <c r="AB30" s="55" t="s">
        <v>183</v>
      </c>
    </row>
    <row r="31" spans="1:49" x14ac:dyDescent="0.15">
      <c r="A31" s="55" t="s">
        <v>41</v>
      </c>
      <c r="B31" s="100" t="s">
        <v>181</v>
      </c>
      <c r="C31" s="83">
        <v>2018</v>
      </c>
      <c r="D31" s="56" t="s">
        <v>192</v>
      </c>
      <c r="E31" s="100" t="s">
        <v>168</v>
      </c>
      <c r="F31" s="100" t="s">
        <v>172</v>
      </c>
      <c r="G31" s="55" t="s">
        <v>42</v>
      </c>
      <c r="H31" s="55" t="s">
        <v>159</v>
      </c>
      <c r="I31" s="55" t="s">
        <v>153</v>
      </c>
      <c r="J31" s="55" t="s">
        <v>38</v>
      </c>
      <c r="K31" s="55" t="s">
        <v>154</v>
      </c>
      <c r="L31" s="100">
        <v>3</v>
      </c>
      <c r="N31" s="55">
        <v>4</v>
      </c>
      <c r="O31" s="55">
        <v>0.5</v>
      </c>
      <c r="P31" s="55">
        <v>0.55000000000000004</v>
      </c>
      <c r="Q31" s="57">
        <f t="shared" si="4"/>
        <v>0.52500000000000002</v>
      </c>
      <c r="R31" s="100">
        <v>16</v>
      </c>
      <c r="S31" s="55">
        <v>128</v>
      </c>
      <c r="T31" s="57">
        <f t="shared" si="5"/>
        <v>27</v>
      </c>
      <c r="U31" s="55">
        <v>645</v>
      </c>
      <c r="V31" s="58">
        <f t="shared" si="6"/>
        <v>4353.75</v>
      </c>
      <c r="W31" s="100">
        <v>1</v>
      </c>
      <c r="X31" s="55" t="s">
        <v>46</v>
      </c>
      <c r="Y31" s="55" t="s">
        <v>84</v>
      </c>
      <c r="Z31" s="55" t="s">
        <v>90</v>
      </c>
      <c r="AA31" s="55" t="s">
        <v>50</v>
      </c>
      <c r="AB31" s="55" t="s">
        <v>183</v>
      </c>
    </row>
    <row r="32" spans="1:49" x14ac:dyDescent="0.15">
      <c r="A32" s="55" t="s">
        <v>41</v>
      </c>
      <c r="B32" s="100" t="s">
        <v>181</v>
      </c>
      <c r="C32" s="83">
        <v>2018</v>
      </c>
      <c r="D32" s="56" t="s">
        <v>192</v>
      </c>
      <c r="E32" s="100" t="s">
        <v>168</v>
      </c>
      <c r="F32" s="100" t="s">
        <v>172</v>
      </c>
      <c r="G32" s="55" t="s">
        <v>42</v>
      </c>
      <c r="H32" s="55" t="s">
        <v>155</v>
      </c>
      <c r="I32" s="55" t="s">
        <v>153</v>
      </c>
      <c r="J32" s="55" t="s">
        <v>38</v>
      </c>
      <c r="K32" s="55" t="s">
        <v>154</v>
      </c>
      <c r="L32" s="100">
        <v>1</v>
      </c>
      <c r="N32" s="100">
        <v>5</v>
      </c>
      <c r="O32" s="55">
        <v>0.75</v>
      </c>
      <c r="P32" s="55">
        <v>0.9</v>
      </c>
      <c r="Q32" s="57">
        <f t="shared" si="4"/>
        <v>0.82499999999999996</v>
      </c>
      <c r="R32" s="100">
        <v>14.8</v>
      </c>
      <c r="S32" s="100">
        <v>118</v>
      </c>
      <c r="T32" s="57">
        <f t="shared" si="5"/>
        <v>30</v>
      </c>
      <c r="U32" s="100">
        <v>537</v>
      </c>
      <c r="V32" s="58">
        <f t="shared" si="6"/>
        <v>3222</v>
      </c>
      <c r="W32" s="100">
        <v>1</v>
      </c>
      <c r="X32" s="55" t="s">
        <v>46</v>
      </c>
      <c r="Y32" s="55" t="s">
        <v>84</v>
      </c>
      <c r="Z32" s="55" t="s">
        <v>90</v>
      </c>
      <c r="AA32" s="55" t="s">
        <v>50</v>
      </c>
      <c r="AB32" s="55" t="s">
        <v>183</v>
      </c>
    </row>
    <row r="33" spans="1:30" x14ac:dyDescent="0.15">
      <c r="A33" s="55" t="s">
        <v>41</v>
      </c>
      <c r="B33" s="100" t="s">
        <v>181</v>
      </c>
      <c r="C33" s="83">
        <v>2018</v>
      </c>
      <c r="D33" s="56" t="s">
        <v>192</v>
      </c>
      <c r="E33" s="100" t="s">
        <v>168</v>
      </c>
      <c r="F33" s="100" t="s">
        <v>172</v>
      </c>
      <c r="G33" s="55" t="s">
        <v>42</v>
      </c>
      <c r="H33" s="55" t="s">
        <v>155</v>
      </c>
      <c r="I33" s="55" t="s">
        <v>153</v>
      </c>
      <c r="J33" s="55" t="s">
        <v>38</v>
      </c>
      <c r="K33" s="55" t="s">
        <v>154</v>
      </c>
      <c r="L33" s="100">
        <v>2</v>
      </c>
      <c r="N33" s="100">
        <v>5</v>
      </c>
      <c r="O33" s="55">
        <v>0.8</v>
      </c>
      <c r="P33" s="55">
        <v>0.75</v>
      </c>
      <c r="Q33" s="57">
        <f t="shared" si="4"/>
        <v>0.77500000000000002</v>
      </c>
      <c r="R33" s="55">
        <v>13.2</v>
      </c>
      <c r="S33" s="100">
        <v>119</v>
      </c>
      <c r="T33" s="57">
        <f t="shared" si="5"/>
        <v>30</v>
      </c>
      <c r="U33" s="100">
        <v>537</v>
      </c>
      <c r="V33" s="58">
        <f t="shared" si="6"/>
        <v>3222</v>
      </c>
      <c r="W33" s="100">
        <v>1</v>
      </c>
      <c r="X33" s="55" t="s">
        <v>46</v>
      </c>
      <c r="Y33" s="55" t="s">
        <v>84</v>
      </c>
      <c r="Z33" s="55" t="s">
        <v>90</v>
      </c>
      <c r="AA33" s="55" t="s">
        <v>50</v>
      </c>
      <c r="AB33" s="55" t="s">
        <v>183</v>
      </c>
    </row>
    <row r="34" spans="1:30" x14ac:dyDescent="0.15">
      <c r="A34" s="55" t="s">
        <v>41</v>
      </c>
      <c r="B34" s="100" t="s">
        <v>181</v>
      </c>
      <c r="C34" s="83">
        <v>2018</v>
      </c>
      <c r="D34" s="56" t="s">
        <v>192</v>
      </c>
      <c r="E34" s="100" t="s">
        <v>168</v>
      </c>
      <c r="F34" s="100" t="s">
        <v>172</v>
      </c>
      <c r="G34" s="55" t="s">
        <v>42</v>
      </c>
      <c r="H34" s="55" t="s">
        <v>155</v>
      </c>
      <c r="I34" s="55" t="s">
        <v>153</v>
      </c>
      <c r="J34" s="55" t="s">
        <v>38</v>
      </c>
      <c r="K34" s="55" t="s">
        <v>154</v>
      </c>
      <c r="L34" s="100">
        <v>3</v>
      </c>
      <c r="N34" s="100">
        <v>5</v>
      </c>
      <c r="O34" s="55">
        <v>0.7</v>
      </c>
      <c r="P34" s="55">
        <v>0.5</v>
      </c>
      <c r="Q34" s="57">
        <f t="shared" si="4"/>
        <v>0.6</v>
      </c>
      <c r="R34" s="55">
        <v>13</v>
      </c>
      <c r="S34" s="100">
        <v>115</v>
      </c>
      <c r="T34" s="57">
        <f t="shared" si="5"/>
        <v>30</v>
      </c>
      <c r="U34" s="100">
        <v>537</v>
      </c>
      <c r="V34" s="58">
        <f t="shared" si="6"/>
        <v>3222</v>
      </c>
      <c r="W34" s="100">
        <v>1</v>
      </c>
      <c r="X34" s="55" t="s">
        <v>46</v>
      </c>
      <c r="Y34" s="55" t="s">
        <v>84</v>
      </c>
      <c r="Z34" s="55" t="s">
        <v>90</v>
      </c>
      <c r="AA34" s="55" t="s">
        <v>50</v>
      </c>
      <c r="AB34" s="55" t="s">
        <v>183</v>
      </c>
    </row>
    <row r="35" spans="1:30" x14ac:dyDescent="0.15">
      <c r="A35" s="55" t="s">
        <v>41</v>
      </c>
      <c r="B35" s="100" t="s">
        <v>181</v>
      </c>
      <c r="C35" s="83">
        <v>2018</v>
      </c>
      <c r="D35" s="56" t="s">
        <v>192</v>
      </c>
      <c r="E35" s="100" t="s">
        <v>168</v>
      </c>
      <c r="F35" s="100" t="s">
        <v>174</v>
      </c>
      <c r="G35" s="55" t="s">
        <v>42</v>
      </c>
      <c r="H35" s="55" t="s">
        <v>155</v>
      </c>
      <c r="I35" s="55" t="s">
        <v>153</v>
      </c>
      <c r="J35" s="55" t="s">
        <v>38</v>
      </c>
      <c r="K35" s="55" t="s">
        <v>154</v>
      </c>
      <c r="L35" s="100">
        <v>1</v>
      </c>
      <c r="N35" s="55">
        <v>1</v>
      </c>
      <c r="O35" s="55">
        <v>1</v>
      </c>
      <c r="P35" s="55">
        <v>0.95</v>
      </c>
      <c r="Q35" s="57">
        <f t="shared" si="4"/>
        <v>0.97499999999999998</v>
      </c>
      <c r="R35" s="55">
        <v>13.5</v>
      </c>
      <c r="S35" s="100">
        <v>124</v>
      </c>
      <c r="T35" s="57">
        <f t="shared" si="5"/>
        <v>27</v>
      </c>
      <c r="U35" s="100">
        <v>108</v>
      </c>
      <c r="V35" s="58">
        <f t="shared" si="6"/>
        <v>2916</v>
      </c>
      <c r="W35" s="100">
        <v>2</v>
      </c>
      <c r="X35" s="55" t="s">
        <v>46</v>
      </c>
      <c r="Y35" s="55" t="s">
        <v>84</v>
      </c>
      <c r="Z35" s="55" t="s">
        <v>90</v>
      </c>
      <c r="AA35" s="55" t="s">
        <v>50</v>
      </c>
      <c r="AB35" s="55" t="s">
        <v>183</v>
      </c>
    </row>
    <row r="36" spans="1:30" x14ac:dyDescent="0.15">
      <c r="A36" s="55" t="s">
        <v>41</v>
      </c>
      <c r="B36" s="100" t="s">
        <v>181</v>
      </c>
      <c r="C36" s="83">
        <v>2018</v>
      </c>
      <c r="D36" s="56" t="s">
        <v>192</v>
      </c>
      <c r="E36" s="100" t="s">
        <v>168</v>
      </c>
      <c r="F36" s="100" t="s">
        <v>174</v>
      </c>
      <c r="G36" s="55" t="s">
        <v>42</v>
      </c>
      <c r="H36" s="55" t="s">
        <v>155</v>
      </c>
      <c r="I36" s="55" t="s">
        <v>153</v>
      </c>
      <c r="J36" s="55" t="s">
        <v>38</v>
      </c>
      <c r="K36" s="55" t="s">
        <v>154</v>
      </c>
      <c r="L36" s="100">
        <v>2</v>
      </c>
      <c r="N36" s="55">
        <v>1</v>
      </c>
      <c r="O36" s="55">
        <v>0.95</v>
      </c>
      <c r="P36" s="55">
        <v>1.1000000000000001</v>
      </c>
      <c r="Q36" s="57">
        <f t="shared" si="4"/>
        <v>1.0249999999999999</v>
      </c>
      <c r="R36" s="55">
        <v>15</v>
      </c>
      <c r="S36" s="100">
        <v>122</v>
      </c>
      <c r="T36" s="57">
        <f t="shared" si="5"/>
        <v>27</v>
      </c>
      <c r="U36" s="100">
        <v>108</v>
      </c>
      <c r="V36" s="58">
        <f t="shared" si="6"/>
        <v>2916</v>
      </c>
      <c r="W36" s="100">
        <v>2</v>
      </c>
      <c r="X36" s="55" t="s">
        <v>46</v>
      </c>
      <c r="Y36" s="55" t="s">
        <v>84</v>
      </c>
      <c r="Z36" s="55" t="s">
        <v>90</v>
      </c>
      <c r="AA36" s="55" t="s">
        <v>50</v>
      </c>
      <c r="AB36" s="55" t="s">
        <v>183</v>
      </c>
    </row>
    <row r="37" spans="1:30" x14ac:dyDescent="0.15">
      <c r="A37" s="55" t="s">
        <v>41</v>
      </c>
      <c r="B37" s="100" t="s">
        <v>181</v>
      </c>
      <c r="C37" s="83">
        <v>2018</v>
      </c>
      <c r="D37" s="56" t="s">
        <v>192</v>
      </c>
      <c r="E37" s="100" t="s">
        <v>168</v>
      </c>
      <c r="F37" s="100" t="s">
        <v>174</v>
      </c>
      <c r="G37" s="55" t="s">
        <v>42</v>
      </c>
      <c r="H37" s="55" t="s">
        <v>155</v>
      </c>
      <c r="I37" s="55" t="s">
        <v>153</v>
      </c>
      <c r="J37" s="55" t="s">
        <v>38</v>
      </c>
      <c r="K37" s="55" t="s">
        <v>154</v>
      </c>
      <c r="L37" s="100">
        <v>3</v>
      </c>
      <c r="N37" s="55">
        <v>1</v>
      </c>
      <c r="O37" s="55">
        <v>1.05</v>
      </c>
      <c r="P37" s="55">
        <v>1.2</v>
      </c>
      <c r="Q37" s="57">
        <f t="shared" si="4"/>
        <v>1.125</v>
      </c>
      <c r="R37" s="55">
        <v>14.1</v>
      </c>
      <c r="S37" s="100">
        <v>122</v>
      </c>
      <c r="T37" s="57">
        <f t="shared" si="5"/>
        <v>27</v>
      </c>
      <c r="U37" s="55">
        <v>108</v>
      </c>
      <c r="V37" s="58">
        <f t="shared" si="6"/>
        <v>2916</v>
      </c>
      <c r="W37" s="100">
        <v>2</v>
      </c>
      <c r="X37" s="55" t="s">
        <v>46</v>
      </c>
      <c r="Y37" s="55" t="s">
        <v>84</v>
      </c>
      <c r="Z37" s="55" t="s">
        <v>90</v>
      </c>
      <c r="AA37" s="55" t="s">
        <v>50</v>
      </c>
      <c r="AB37" s="55" t="s">
        <v>183</v>
      </c>
    </row>
    <row r="38" spans="1:30" x14ac:dyDescent="0.15">
      <c r="A38" s="55" t="s">
        <v>41</v>
      </c>
      <c r="B38" s="100" t="s">
        <v>181</v>
      </c>
      <c r="C38" s="83">
        <v>2018</v>
      </c>
      <c r="D38" s="56" t="s">
        <v>192</v>
      </c>
      <c r="E38" s="100" t="s">
        <v>168</v>
      </c>
      <c r="F38" s="100" t="s">
        <v>174</v>
      </c>
      <c r="G38" s="55" t="s">
        <v>42</v>
      </c>
      <c r="H38" s="55" t="s">
        <v>155</v>
      </c>
      <c r="I38" s="55" t="s">
        <v>153</v>
      </c>
      <c r="J38" s="55" t="s">
        <v>38</v>
      </c>
      <c r="K38" s="55" t="s">
        <v>154</v>
      </c>
      <c r="L38" s="100">
        <v>1</v>
      </c>
      <c r="N38" s="55">
        <v>5</v>
      </c>
      <c r="O38" s="100">
        <v>0.6</v>
      </c>
      <c r="P38" s="100">
        <v>0.65</v>
      </c>
      <c r="Q38" s="57">
        <f t="shared" si="4"/>
        <v>0.625</v>
      </c>
      <c r="R38" s="55">
        <v>13.2</v>
      </c>
      <c r="S38" s="55">
        <v>118</v>
      </c>
      <c r="T38" s="57">
        <f t="shared" si="5"/>
        <v>30</v>
      </c>
      <c r="U38" s="100">
        <v>429</v>
      </c>
      <c r="V38" s="58">
        <f t="shared" si="6"/>
        <v>2574</v>
      </c>
      <c r="W38" s="100">
        <v>1</v>
      </c>
      <c r="X38" s="55" t="s">
        <v>46</v>
      </c>
      <c r="Y38" s="55" t="s">
        <v>84</v>
      </c>
      <c r="Z38" s="55" t="s">
        <v>90</v>
      </c>
      <c r="AA38" s="55" t="s">
        <v>50</v>
      </c>
      <c r="AB38" s="55" t="s">
        <v>183</v>
      </c>
    </row>
    <row r="39" spans="1:30" x14ac:dyDescent="0.15">
      <c r="A39" s="55" t="s">
        <v>41</v>
      </c>
      <c r="B39" s="100" t="s">
        <v>181</v>
      </c>
      <c r="C39" s="83">
        <v>2018</v>
      </c>
      <c r="D39" s="56" t="s">
        <v>192</v>
      </c>
      <c r="E39" s="100" t="s">
        <v>168</v>
      </c>
      <c r="F39" s="100" t="s">
        <v>174</v>
      </c>
      <c r="G39" s="55" t="s">
        <v>42</v>
      </c>
      <c r="H39" s="55" t="s">
        <v>155</v>
      </c>
      <c r="I39" s="55" t="s">
        <v>153</v>
      </c>
      <c r="J39" s="55" t="s">
        <v>38</v>
      </c>
      <c r="K39" s="55" t="s">
        <v>154</v>
      </c>
      <c r="L39" s="100">
        <v>2</v>
      </c>
      <c r="N39" s="55">
        <v>5</v>
      </c>
      <c r="O39" s="100">
        <v>0.65</v>
      </c>
      <c r="P39" s="100">
        <v>0.75</v>
      </c>
      <c r="Q39" s="57">
        <f t="shared" si="4"/>
        <v>0.7</v>
      </c>
      <c r="R39" s="55">
        <v>14.1</v>
      </c>
      <c r="S39" s="55">
        <v>120</v>
      </c>
      <c r="T39" s="57">
        <f t="shared" si="5"/>
        <v>30</v>
      </c>
      <c r="U39" s="100">
        <v>429</v>
      </c>
      <c r="V39" s="58">
        <f t="shared" si="6"/>
        <v>2574</v>
      </c>
      <c r="W39" s="100">
        <v>1</v>
      </c>
      <c r="X39" s="55" t="s">
        <v>46</v>
      </c>
      <c r="Y39" s="55" t="s">
        <v>84</v>
      </c>
      <c r="Z39" s="55" t="s">
        <v>90</v>
      </c>
      <c r="AA39" s="55" t="s">
        <v>50</v>
      </c>
      <c r="AB39" s="55" t="s">
        <v>183</v>
      </c>
    </row>
    <row r="40" spans="1:30" x14ac:dyDescent="0.15">
      <c r="A40" s="55" t="s">
        <v>41</v>
      </c>
      <c r="B40" s="100" t="s">
        <v>181</v>
      </c>
      <c r="C40" s="83">
        <v>2018</v>
      </c>
      <c r="D40" s="56" t="s">
        <v>192</v>
      </c>
      <c r="E40" s="100" t="s">
        <v>168</v>
      </c>
      <c r="F40" s="100" t="s">
        <v>174</v>
      </c>
      <c r="G40" s="55" t="s">
        <v>42</v>
      </c>
      <c r="H40" s="55" t="s">
        <v>155</v>
      </c>
      <c r="I40" s="55" t="s">
        <v>153</v>
      </c>
      <c r="J40" s="55" t="s">
        <v>38</v>
      </c>
      <c r="K40" s="55" t="s">
        <v>154</v>
      </c>
      <c r="L40" s="100">
        <v>3</v>
      </c>
      <c r="N40" s="55">
        <v>5</v>
      </c>
      <c r="O40" s="100">
        <v>0.7</v>
      </c>
      <c r="P40" s="100">
        <v>0.6</v>
      </c>
      <c r="Q40" s="57">
        <f t="shared" si="4"/>
        <v>0.64999999999999991</v>
      </c>
      <c r="R40" s="55">
        <v>14.7</v>
      </c>
      <c r="S40" s="55">
        <v>120</v>
      </c>
      <c r="T40" s="57">
        <f t="shared" si="5"/>
        <v>30</v>
      </c>
      <c r="U40" s="55">
        <v>429</v>
      </c>
      <c r="V40" s="58">
        <f t="shared" si="6"/>
        <v>2574</v>
      </c>
      <c r="W40" s="100">
        <v>1</v>
      </c>
      <c r="X40" s="55" t="s">
        <v>46</v>
      </c>
      <c r="Y40" s="55" t="s">
        <v>84</v>
      </c>
      <c r="Z40" s="55" t="s">
        <v>90</v>
      </c>
      <c r="AA40" s="55" t="s">
        <v>50</v>
      </c>
      <c r="AB40" s="55" t="s">
        <v>183</v>
      </c>
    </row>
    <row r="41" spans="1:30" x14ac:dyDescent="0.15">
      <c r="A41" s="55" t="s">
        <v>41</v>
      </c>
      <c r="B41" s="100" t="s">
        <v>181</v>
      </c>
      <c r="C41" s="83">
        <v>2018</v>
      </c>
      <c r="D41" s="56" t="s">
        <v>192</v>
      </c>
      <c r="E41" s="100" t="s">
        <v>168</v>
      </c>
      <c r="F41" s="100" t="s">
        <v>174</v>
      </c>
      <c r="G41" s="55" t="s">
        <v>42</v>
      </c>
      <c r="H41" s="55" t="s">
        <v>155</v>
      </c>
      <c r="I41" s="55" t="s">
        <v>153</v>
      </c>
      <c r="J41" s="55" t="s">
        <v>38</v>
      </c>
      <c r="K41" s="55" t="s">
        <v>154</v>
      </c>
      <c r="L41" s="100">
        <v>1</v>
      </c>
      <c r="N41" s="55">
        <v>8</v>
      </c>
      <c r="O41" s="100">
        <v>0.25</v>
      </c>
      <c r="P41" s="100">
        <v>0.35</v>
      </c>
      <c r="Q41" s="57">
        <f t="shared" si="4"/>
        <v>0.3</v>
      </c>
      <c r="R41" s="55">
        <v>12.8</v>
      </c>
      <c r="S41" s="100">
        <v>118</v>
      </c>
      <c r="T41" s="57">
        <f t="shared" si="5"/>
        <v>30</v>
      </c>
      <c r="U41" s="100">
        <v>1058</v>
      </c>
      <c r="V41" s="58">
        <f t="shared" si="6"/>
        <v>3967.5</v>
      </c>
      <c r="W41" s="100">
        <v>1</v>
      </c>
      <c r="X41" s="55" t="s">
        <v>46</v>
      </c>
      <c r="Y41" s="55" t="s">
        <v>84</v>
      </c>
      <c r="Z41" s="55" t="s">
        <v>90</v>
      </c>
      <c r="AA41" s="55" t="s">
        <v>50</v>
      </c>
      <c r="AB41" s="55" t="s">
        <v>183</v>
      </c>
      <c r="AC41" s="55"/>
      <c r="AD41" s="55"/>
    </row>
    <row r="42" spans="1:30" x14ac:dyDescent="0.15">
      <c r="A42" s="55" t="s">
        <v>41</v>
      </c>
      <c r="B42" s="100" t="s">
        <v>181</v>
      </c>
      <c r="C42" s="83">
        <v>2018</v>
      </c>
      <c r="D42" s="56" t="s">
        <v>192</v>
      </c>
      <c r="E42" s="100" t="s">
        <v>168</v>
      </c>
      <c r="F42" s="100" t="s">
        <v>174</v>
      </c>
      <c r="G42" s="55" t="s">
        <v>42</v>
      </c>
      <c r="H42" s="55" t="s">
        <v>155</v>
      </c>
      <c r="I42" s="55" t="s">
        <v>153</v>
      </c>
      <c r="J42" s="55" t="s">
        <v>38</v>
      </c>
      <c r="K42" s="55" t="s">
        <v>154</v>
      </c>
      <c r="L42" s="100">
        <v>2</v>
      </c>
      <c r="N42" s="55">
        <v>8</v>
      </c>
      <c r="O42" s="100">
        <v>0.35</v>
      </c>
      <c r="P42" s="100">
        <v>0.35</v>
      </c>
      <c r="Q42" s="57">
        <f t="shared" si="4"/>
        <v>0.35</v>
      </c>
      <c r="R42" s="100">
        <v>14.7</v>
      </c>
      <c r="S42" s="100">
        <v>117</v>
      </c>
      <c r="T42" s="57">
        <f t="shared" si="5"/>
        <v>30</v>
      </c>
      <c r="U42" s="100">
        <v>1058</v>
      </c>
      <c r="V42" s="58">
        <f t="shared" si="6"/>
        <v>3967.5</v>
      </c>
      <c r="W42" s="100">
        <v>1</v>
      </c>
      <c r="X42" s="55" t="s">
        <v>46</v>
      </c>
      <c r="Y42" s="55" t="s">
        <v>84</v>
      </c>
      <c r="Z42" s="55" t="s">
        <v>90</v>
      </c>
      <c r="AA42" s="55" t="s">
        <v>50</v>
      </c>
      <c r="AB42" s="55" t="s">
        <v>183</v>
      </c>
      <c r="AC42" s="55"/>
      <c r="AD42" s="55"/>
    </row>
    <row r="43" spans="1:30" x14ac:dyDescent="0.15">
      <c r="A43" s="55" t="s">
        <v>41</v>
      </c>
      <c r="B43" s="100" t="s">
        <v>181</v>
      </c>
      <c r="C43" s="83">
        <v>2018</v>
      </c>
      <c r="D43" s="56" t="s">
        <v>192</v>
      </c>
      <c r="E43" s="100" t="s">
        <v>168</v>
      </c>
      <c r="F43" s="100" t="s">
        <v>174</v>
      </c>
      <c r="G43" s="55" t="s">
        <v>42</v>
      </c>
      <c r="H43" s="55" t="s">
        <v>155</v>
      </c>
      <c r="I43" s="55" t="s">
        <v>153</v>
      </c>
      <c r="J43" s="55" t="s">
        <v>38</v>
      </c>
      <c r="K43" s="55" t="s">
        <v>154</v>
      </c>
      <c r="L43" s="100">
        <v>3</v>
      </c>
      <c r="N43" s="55">
        <v>8</v>
      </c>
      <c r="O43" s="100">
        <v>0.35</v>
      </c>
      <c r="P43" s="100">
        <v>0.45</v>
      </c>
      <c r="Q43" s="57">
        <f t="shared" si="4"/>
        <v>0.4</v>
      </c>
      <c r="R43" s="100">
        <v>15.7</v>
      </c>
      <c r="S43" s="100">
        <v>120</v>
      </c>
      <c r="T43" s="57">
        <f t="shared" si="5"/>
        <v>30</v>
      </c>
      <c r="U43" s="55">
        <v>1058</v>
      </c>
      <c r="V43" s="58">
        <f t="shared" si="6"/>
        <v>3967.5</v>
      </c>
      <c r="W43" s="100">
        <v>1</v>
      </c>
      <c r="X43" s="55" t="s">
        <v>46</v>
      </c>
      <c r="Y43" s="55" t="s">
        <v>84</v>
      </c>
      <c r="Z43" s="55" t="s">
        <v>90</v>
      </c>
      <c r="AA43" s="55" t="s">
        <v>50</v>
      </c>
      <c r="AB43" s="55" t="s">
        <v>183</v>
      </c>
      <c r="AC43" s="55"/>
      <c r="AD43" s="55"/>
    </row>
    <row r="44" spans="1:30" x14ac:dyDescent="0.15">
      <c r="A44" s="55" t="s">
        <v>41</v>
      </c>
      <c r="B44" s="100" t="s">
        <v>181</v>
      </c>
      <c r="C44" s="83">
        <v>2018</v>
      </c>
      <c r="D44" s="56" t="s">
        <v>192</v>
      </c>
      <c r="E44" s="100" t="s">
        <v>168</v>
      </c>
      <c r="F44" s="100" t="s">
        <v>174</v>
      </c>
      <c r="G44" s="55" t="s">
        <v>42</v>
      </c>
      <c r="H44" s="55" t="s">
        <v>159</v>
      </c>
      <c r="I44" s="55" t="s">
        <v>153</v>
      </c>
      <c r="J44" s="55" t="s">
        <v>38</v>
      </c>
      <c r="K44" s="55" t="s">
        <v>154</v>
      </c>
      <c r="L44" s="100">
        <v>1</v>
      </c>
      <c r="N44" s="55">
        <v>4</v>
      </c>
      <c r="O44" s="100">
        <v>0.5</v>
      </c>
      <c r="P44" s="100">
        <v>0.4</v>
      </c>
      <c r="Q44" s="57">
        <f t="shared" si="4"/>
        <v>0.45</v>
      </c>
      <c r="R44" s="100">
        <v>14.8</v>
      </c>
      <c r="S44" s="100">
        <v>126</v>
      </c>
      <c r="T44" s="57">
        <f t="shared" si="5"/>
        <v>27</v>
      </c>
      <c r="U44" s="100">
        <v>537</v>
      </c>
      <c r="V44" s="58">
        <f t="shared" si="6"/>
        <v>3624.75</v>
      </c>
      <c r="W44" s="100">
        <v>1</v>
      </c>
      <c r="X44" s="55" t="s">
        <v>46</v>
      </c>
      <c r="Y44" s="55" t="s">
        <v>84</v>
      </c>
      <c r="Z44" s="55" t="s">
        <v>90</v>
      </c>
      <c r="AA44" s="55" t="s">
        <v>50</v>
      </c>
      <c r="AB44" s="55" t="s">
        <v>183</v>
      </c>
      <c r="AC44" s="55"/>
      <c r="AD44" s="55"/>
    </row>
    <row r="45" spans="1:30" x14ac:dyDescent="0.15">
      <c r="A45" s="55" t="s">
        <v>41</v>
      </c>
      <c r="B45" s="100" t="s">
        <v>181</v>
      </c>
      <c r="C45" s="83">
        <v>2018</v>
      </c>
      <c r="D45" s="56" t="s">
        <v>192</v>
      </c>
      <c r="E45" s="100" t="s">
        <v>168</v>
      </c>
      <c r="F45" s="100" t="s">
        <v>174</v>
      </c>
      <c r="G45" s="55" t="s">
        <v>42</v>
      </c>
      <c r="H45" s="55" t="s">
        <v>159</v>
      </c>
      <c r="I45" s="55" t="s">
        <v>153</v>
      </c>
      <c r="J45" s="55" t="s">
        <v>38</v>
      </c>
      <c r="K45" s="55" t="s">
        <v>154</v>
      </c>
      <c r="L45" s="100">
        <v>2</v>
      </c>
      <c r="N45" s="55">
        <v>4</v>
      </c>
      <c r="O45" s="100">
        <v>0.45</v>
      </c>
      <c r="P45" s="100">
        <v>0.35</v>
      </c>
      <c r="Q45" s="57">
        <f t="shared" si="4"/>
        <v>0.4</v>
      </c>
      <c r="R45" s="100">
        <v>16.100000000000001</v>
      </c>
      <c r="S45" s="100">
        <v>125</v>
      </c>
      <c r="T45" s="57">
        <f t="shared" si="5"/>
        <v>27</v>
      </c>
      <c r="U45" s="100">
        <v>537</v>
      </c>
      <c r="V45" s="58">
        <f t="shared" si="6"/>
        <v>3624.75</v>
      </c>
      <c r="W45" s="100">
        <v>1</v>
      </c>
      <c r="X45" s="55" t="s">
        <v>46</v>
      </c>
      <c r="Y45" s="55" t="s">
        <v>84</v>
      </c>
      <c r="Z45" s="55" t="s">
        <v>90</v>
      </c>
      <c r="AA45" s="55" t="s">
        <v>50</v>
      </c>
      <c r="AB45" s="55" t="s">
        <v>183</v>
      </c>
      <c r="AC45" s="55"/>
      <c r="AD45" s="55"/>
    </row>
    <row r="46" spans="1:30" x14ac:dyDescent="0.15">
      <c r="A46" s="55" t="s">
        <v>41</v>
      </c>
      <c r="B46" s="100" t="s">
        <v>181</v>
      </c>
      <c r="C46" s="83">
        <v>2018</v>
      </c>
      <c r="D46" s="56" t="s">
        <v>192</v>
      </c>
      <c r="E46" s="100" t="s">
        <v>168</v>
      </c>
      <c r="F46" s="100" t="s">
        <v>174</v>
      </c>
      <c r="G46" s="55" t="s">
        <v>42</v>
      </c>
      <c r="H46" s="55" t="s">
        <v>159</v>
      </c>
      <c r="I46" s="55" t="s">
        <v>153</v>
      </c>
      <c r="J46" s="55" t="s">
        <v>38</v>
      </c>
      <c r="K46" s="55" t="s">
        <v>154</v>
      </c>
      <c r="L46" s="100">
        <v>3</v>
      </c>
      <c r="N46" s="55">
        <v>4</v>
      </c>
      <c r="O46" s="100">
        <v>0.65</v>
      </c>
      <c r="P46" s="100">
        <v>0.45</v>
      </c>
      <c r="Q46" s="57">
        <f t="shared" si="4"/>
        <v>0.55000000000000004</v>
      </c>
      <c r="R46" s="100">
        <v>14.2</v>
      </c>
      <c r="S46" s="100">
        <v>123</v>
      </c>
      <c r="T46" s="57">
        <f t="shared" si="5"/>
        <v>27</v>
      </c>
      <c r="U46" s="55">
        <v>537</v>
      </c>
      <c r="V46" s="58">
        <f t="shared" si="6"/>
        <v>3624.75</v>
      </c>
      <c r="W46" s="100">
        <v>1</v>
      </c>
      <c r="X46" s="55" t="s">
        <v>46</v>
      </c>
      <c r="Y46" s="55" t="s">
        <v>84</v>
      </c>
      <c r="Z46" s="55" t="s">
        <v>90</v>
      </c>
      <c r="AA46" s="55" t="s">
        <v>50</v>
      </c>
      <c r="AB46" s="55" t="s">
        <v>183</v>
      </c>
      <c r="AC46" s="55"/>
      <c r="AD46" s="55"/>
    </row>
    <row r="47" spans="1:30" x14ac:dyDescent="0.15">
      <c r="A47" s="55" t="s">
        <v>41</v>
      </c>
      <c r="B47" s="100" t="s">
        <v>181</v>
      </c>
      <c r="C47" s="83">
        <v>2018</v>
      </c>
      <c r="D47" s="56" t="s">
        <v>192</v>
      </c>
      <c r="E47" s="55" t="s">
        <v>170</v>
      </c>
      <c r="F47" s="100" t="s">
        <v>175</v>
      </c>
      <c r="G47" s="55" t="s">
        <v>42</v>
      </c>
      <c r="H47" s="55" t="s">
        <v>155</v>
      </c>
      <c r="I47" s="55" t="s">
        <v>153</v>
      </c>
      <c r="J47" s="55" t="s">
        <v>38</v>
      </c>
      <c r="K47" s="55" t="s">
        <v>154</v>
      </c>
      <c r="L47" s="100">
        <v>1</v>
      </c>
      <c r="N47" s="100">
        <v>1</v>
      </c>
      <c r="O47" s="55">
        <v>0.25</v>
      </c>
      <c r="P47" s="55">
        <v>0.3</v>
      </c>
      <c r="Q47" s="57">
        <f t="shared" si="4"/>
        <v>0.27500000000000002</v>
      </c>
      <c r="R47" s="55">
        <v>14.7</v>
      </c>
      <c r="S47" s="55">
        <v>125</v>
      </c>
      <c r="T47" s="57">
        <f t="shared" si="5"/>
        <v>27</v>
      </c>
      <c r="U47" s="100">
        <v>105</v>
      </c>
      <c r="V47" s="58">
        <f t="shared" si="6"/>
        <v>2835</v>
      </c>
      <c r="W47" s="100">
        <v>2</v>
      </c>
      <c r="X47" s="55" t="s">
        <v>46</v>
      </c>
      <c r="Y47" s="55" t="s">
        <v>90</v>
      </c>
      <c r="Z47" s="55" t="s">
        <v>84</v>
      </c>
      <c r="AA47" s="55" t="s">
        <v>50</v>
      </c>
      <c r="AB47" s="55" t="s">
        <v>183</v>
      </c>
      <c r="AC47" s="55"/>
      <c r="AD47" s="55"/>
    </row>
    <row r="48" spans="1:30" x14ac:dyDescent="0.15">
      <c r="A48" s="55" t="s">
        <v>41</v>
      </c>
      <c r="B48" s="100" t="s">
        <v>181</v>
      </c>
      <c r="C48" s="83">
        <v>2018</v>
      </c>
      <c r="D48" s="56" t="s">
        <v>192</v>
      </c>
      <c r="E48" s="55" t="s">
        <v>170</v>
      </c>
      <c r="F48" s="100" t="s">
        <v>175</v>
      </c>
      <c r="G48" s="55" t="s">
        <v>42</v>
      </c>
      <c r="H48" s="55" t="s">
        <v>155</v>
      </c>
      <c r="I48" s="55" t="s">
        <v>153</v>
      </c>
      <c r="J48" s="55" t="s">
        <v>38</v>
      </c>
      <c r="K48" s="55" t="s">
        <v>154</v>
      </c>
      <c r="L48" s="100">
        <v>2</v>
      </c>
      <c r="N48" s="100">
        <v>1</v>
      </c>
      <c r="O48" s="55">
        <v>0.3</v>
      </c>
      <c r="P48" s="55">
        <v>0.3</v>
      </c>
      <c r="Q48" s="57">
        <f t="shared" si="4"/>
        <v>0.3</v>
      </c>
      <c r="R48" s="100">
        <v>14.8</v>
      </c>
      <c r="S48" s="100">
        <v>122</v>
      </c>
      <c r="T48" s="57">
        <f t="shared" si="5"/>
        <v>27</v>
      </c>
      <c r="U48" s="100">
        <v>105</v>
      </c>
      <c r="V48" s="58">
        <f t="shared" si="6"/>
        <v>2835</v>
      </c>
      <c r="W48" s="100">
        <v>2</v>
      </c>
      <c r="X48" s="55" t="s">
        <v>46</v>
      </c>
      <c r="Y48" s="55" t="s">
        <v>90</v>
      </c>
      <c r="Z48" s="55" t="s">
        <v>84</v>
      </c>
      <c r="AA48" s="55" t="s">
        <v>50</v>
      </c>
      <c r="AB48" s="55" t="s">
        <v>183</v>
      </c>
    </row>
    <row r="49" spans="1:28" x14ac:dyDescent="0.15">
      <c r="A49" s="55" t="s">
        <v>41</v>
      </c>
      <c r="B49" s="100" t="s">
        <v>181</v>
      </c>
      <c r="C49" s="83">
        <v>2018</v>
      </c>
      <c r="D49" s="56" t="s">
        <v>192</v>
      </c>
      <c r="E49" s="55" t="s">
        <v>170</v>
      </c>
      <c r="F49" s="100" t="s">
        <v>175</v>
      </c>
      <c r="G49" s="55" t="s">
        <v>42</v>
      </c>
      <c r="H49" s="55" t="s">
        <v>155</v>
      </c>
      <c r="I49" s="55" t="s">
        <v>153</v>
      </c>
      <c r="J49" s="55" t="s">
        <v>38</v>
      </c>
      <c r="K49" s="55" t="s">
        <v>154</v>
      </c>
      <c r="L49" s="100">
        <v>3</v>
      </c>
      <c r="N49" s="100">
        <v>1</v>
      </c>
      <c r="O49" s="55">
        <v>0.35</v>
      </c>
      <c r="P49" s="55">
        <v>0.3</v>
      </c>
      <c r="Q49" s="57">
        <f t="shared" si="4"/>
        <v>0.32499999999999996</v>
      </c>
      <c r="R49" s="100">
        <v>14.1</v>
      </c>
      <c r="S49" s="100">
        <v>122</v>
      </c>
      <c r="T49" s="57">
        <f t="shared" si="5"/>
        <v>27</v>
      </c>
      <c r="U49" s="100">
        <v>105</v>
      </c>
      <c r="V49" s="58">
        <f t="shared" si="6"/>
        <v>2835</v>
      </c>
      <c r="W49" s="100">
        <v>2</v>
      </c>
      <c r="X49" s="55" t="s">
        <v>46</v>
      </c>
      <c r="Y49" s="55" t="s">
        <v>90</v>
      </c>
      <c r="Z49" s="55" t="s">
        <v>84</v>
      </c>
      <c r="AA49" s="55" t="s">
        <v>50</v>
      </c>
      <c r="AB49" s="55" t="s">
        <v>183</v>
      </c>
    </row>
    <row r="50" spans="1:28" x14ac:dyDescent="0.15">
      <c r="A50" s="55" t="s">
        <v>41</v>
      </c>
      <c r="B50" s="100" t="s">
        <v>181</v>
      </c>
      <c r="C50" s="83">
        <v>2018</v>
      </c>
      <c r="D50" s="56" t="s">
        <v>192</v>
      </c>
      <c r="E50" s="55" t="s">
        <v>170</v>
      </c>
      <c r="F50" s="100" t="s">
        <v>175</v>
      </c>
      <c r="G50" s="55" t="s">
        <v>42</v>
      </c>
      <c r="H50" s="55" t="s">
        <v>155</v>
      </c>
      <c r="I50" s="55" t="s">
        <v>153</v>
      </c>
      <c r="J50" s="55" t="s">
        <v>38</v>
      </c>
      <c r="K50" s="55" t="s">
        <v>154</v>
      </c>
      <c r="L50" s="100">
        <v>1</v>
      </c>
      <c r="N50" s="100">
        <v>3</v>
      </c>
      <c r="O50" s="55">
        <v>0.7</v>
      </c>
      <c r="P50" s="55">
        <v>6</v>
      </c>
      <c r="Q50" s="57">
        <f t="shared" si="4"/>
        <v>3.35</v>
      </c>
      <c r="R50" s="100">
        <v>14.2</v>
      </c>
      <c r="S50" s="100">
        <v>126</v>
      </c>
      <c r="T50" s="57">
        <f t="shared" si="5"/>
        <v>27</v>
      </c>
      <c r="U50" s="100">
        <v>419</v>
      </c>
      <c r="V50" s="58">
        <f t="shared" si="6"/>
        <v>3770.9999999999995</v>
      </c>
      <c r="W50" s="100">
        <v>1</v>
      </c>
      <c r="X50" s="55" t="s">
        <v>46</v>
      </c>
      <c r="Y50" s="55" t="s">
        <v>90</v>
      </c>
      <c r="Z50" s="55" t="s">
        <v>84</v>
      </c>
      <c r="AA50" s="55" t="s">
        <v>50</v>
      </c>
      <c r="AB50" s="55" t="s">
        <v>183</v>
      </c>
    </row>
    <row r="51" spans="1:28" x14ac:dyDescent="0.15">
      <c r="A51" s="55" t="s">
        <v>41</v>
      </c>
      <c r="B51" s="100" t="s">
        <v>181</v>
      </c>
      <c r="C51" s="83">
        <v>2018</v>
      </c>
      <c r="D51" s="56" t="s">
        <v>192</v>
      </c>
      <c r="E51" s="55" t="s">
        <v>170</v>
      </c>
      <c r="F51" s="100" t="s">
        <v>175</v>
      </c>
      <c r="G51" s="55" t="s">
        <v>42</v>
      </c>
      <c r="H51" s="55" t="s">
        <v>155</v>
      </c>
      <c r="I51" s="55" t="s">
        <v>153</v>
      </c>
      <c r="J51" s="55" t="s">
        <v>38</v>
      </c>
      <c r="K51" s="55" t="s">
        <v>154</v>
      </c>
      <c r="L51" s="100">
        <v>2</v>
      </c>
      <c r="N51" s="100">
        <v>3</v>
      </c>
      <c r="O51" s="55">
        <v>0.6</v>
      </c>
      <c r="P51" s="55">
        <v>0.7</v>
      </c>
      <c r="Q51" s="57">
        <f t="shared" si="4"/>
        <v>0.64999999999999991</v>
      </c>
      <c r="R51" s="55">
        <v>14.2</v>
      </c>
      <c r="S51" s="55">
        <v>125</v>
      </c>
      <c r="T51" s="57">
        <f t="shared" si="5"/>
        <v>27</v>
      </c>
      <c r="U51" s="100">
        <v>419</v>
      </c>
      <c r="V51" s="58">
        <f t="shared" si="6"/>
        <v>3770.9999999999995</v>
      </c>
      <c r="W51" s="100">
        <v>1</v>
      </c>
      <c r="X51" s="55" t="s">
        <v>46</v>
      </c>
      <c r="Y51" s="55" t="s">
        <v>90</v>
      </c>
      <c r="Z51" s="55" t="s">
        <v>84</v>
      </c>
      <c r="AA51" s="55" t="s">
        <v>50</v>
      </c>
      <c r="AB51" s="55" t="s">
        <v>183</v>
      </c>
    </row>
    <row r="52" spans="1:28" x14ac:dyDescent="0.15">
      <c r="A52" s="55" t="s">
        <v>41</v>
      </c>
      <c r="B52" s="100" t="s">
        <v>181</v>
      </c>
      <c r="C52" s="83">
        <v>2018</v>
      </c>
      <c r="D52" s="56" t="s">
        <v>192</v>
      </c>
      <c r="E52" s="55" t="s">
        <v>170</v>
      </c>
      <c r="F52" s="100" t="s">
        <v>175</v>
      </c>
      <c r="G52" s="55" t="s">
        <v>42</v>
      </c>
      <c r="H52" s="55" t="s">
        <v>155</v>
      </c>
      <c r="I52" s="55" t="s">
        <v>153</v>
      </c>
      <c r="J52" s="55" t="s">
        <v>38</v>
      </c>
      <c r="K52" s="55" t="s">
        <v>154</v>
      </c>
      <c r="L52" s="100">
        <v>3</v>
      </c>
      <c r="N52" s="100">
        <v>3</v>
      </c>
      <c r="O52" s="55">
        <v>0.9</v>
      </c>
      <c r="P52" s="55">
        <v>0.8</v>
      </c>
      <c r="Q52" s="57">
        <f t="shared" si="4"/>
        <v>0.85000000000000009</v>
      </c>
      <c r="R52" s="55">
        <v>13.7</v>
      </c>
      <c r="S52" s="55">
        <v>125</v>
      </c>
      <c r="T52" s="57">
        <f t="shared" si="5"/>
        <v>27</v>
      </c>
      <c r="U52" s="100">
        <v>419</v>
      </c>
      <c r="V52" s="58">
        <f t="shared" si="6"/>
        <v>3770.9999999999995</v>
      </c>
      <c r="W52" s="100">
        <v>1</v>
      </c>
      <c r="X52" s="55" t="s">
        <v>46</v>
      </c>
      <c r="Y52" s="55" t="s">
        <v>90</v>
      </c>
      <c r="Z52" s="55" t="s">
        <v>84</v>
      </c>
      <c r="AA52" s="55" t="s">
        <v>50</v>
      </c>
      <c r="AB52" s="55" t="s">
        <v>183</v>
      </c>
    </row>
    <row r="53" spans="1:28" x14ac:dyDescent="0.15">
      <c r="A53" s="55" t="s">
        <v>41</v>
      </c>
      <c r="B53" s="100" t="s">
        <v>181</v>
      </c>
      <c r="C53" s="83">
        <v>2018</v>
      </c>
      <c r="D53" s="56" t="s">
        <v>192</v>
      </c>
      <c r="E53" s="55" t="s">
        <v>170</v>
      </c>
      <c r="F53" s="100" t="s">
        <v>176</v>
      </c>
      <c r="G53" s="55" t="s">
        <v>42</v>
      </c>
      <c r="H53" s="55" t="s">
        <v>155</v>
      </c>
      <c r="I53" s="55" t="s">
        <v>153</v>
      </c>
      <c r="J53" s="55" t="s">
        <v>38</v>
      </c>
      <c r="K53" s="55" t="s">
        <v>154</v>
      </c>
      <c r="L53" s="100">
        <v>1</v>
      </c>
      <c r="N53" s="100">
        <v>5</v>
      </c>
      <c r="O53" s="55">
        <v>0.25</v>
      </c>
      <c r="P53" s="55">
        <v>0.2</v>
      </c>
      <c r="Q53" s="57">
        <f t="shared" si="4"/>
        <v>0.22500000000000001</v>
      </c>
      <c r="R53" s="55">
        <v>14.1</v>
      </c>
      <c r="S53" s="55">
        <v>118</v>
      </c>
      <c r="T53" s="57">
        <f t="shared" si="5"/>
        <v>30</v>
      </c>
      <c r="U53" s="100">
        <v>419</v>
      </c>
      <c r="V53" s="58">
        <f t="shared" si="6"/>
        <v>2514</v>
      </c>
      <c r="W53" s="100">
        <v>2</v>
      </c>
      <c r="X53" s="55" t="s">
        <v>46</v>
      </c>
      <c r="Y53" s="55" t="s">
        <v>84</v>
      </c>
      <c r="Z53" s="55" t="s">
        <v>69</v>
      </c>
      <c r="AA53" s="55" t="s">
        <v>90</v>
      </c>
      <c r="AB53" s="55" t="s">
        <v>183</v>
      </c>
    </row>
    <row r="54" spans="1:28" x14ac:dyDescent="0.15">
      <c r="A54" s="55" t="s">
        <v>41</v>
      </c>
      <c r="B54" s="100" t="s">
        <v>181</v>
      </c>
      <c r="C54" s="83">
        <v>2018</v>
      </c>
      <c r="D54" s="56" t="s">
        <v>192</v>
      </c>
      <c r="E54" s="55" t="s">
        <v>170</v>
      </c>
      <c r="F54" s="100" t="s">
        <v>176</v>
      </c>
      <c r="G54" s="55" t="s">
        <v>42</v>
      </c>
      <c r="H54" s="55" t="s">
        <v>155</v>
      </c>
      <c r="I54" s="55" t="s">
        <v>153</v>
      </c>
      <c r="J54" s="55" t="s">
        <v>38</v>
      </c>
      <c r="K54" s="55" t="s">
        <v>154</v>
      </c>
      <c r="L54" s="100">
        <v>2</v>
      </c>
      <c r="N54" s="100">
        <v>5</v>
      </c>
      <c r="O54" s="55">
        <v>0.6</v>
      </c>
      <c r="P54" s="55">
        <v>0.3</v>
      </c>
      <c r="Q54" s="57">
        <f t="shared" si="4"/>
        <v>0.44999999999999996</v>
      </c>
      <c r="R54" s="100">
        <v>12.6</v>
      </c>
      <c r="S54" s="100">
        <v>120</v>
      </c>
      <c r="T54" s="57">
        <f t="shared" si="5"/>
        <v>30</v>
      </c>
      <c r="U54" s="100">
        <v>419</v>
      </c>
      <c r="V54" s="58">
        <f t="shared" si="6"/>
        <v>2514</v>
      </c>
      <c r="W54" s="100">
        <v>2</v>
      </c>
      <c r="X54" s="55" t="s">
        <v>46</v>
      </c>
      <c r="Y54" s="55" t="s">
        <v>84</v>
      </c>
      <c r="Z54" s="55" t="s">
        <v>69</v>
      </c>
      <c r="AA54" s="55" t="s">
        <v>90</v>
      </c>
      <c r="AB54" s="55" t="s">
        <v>183</v>
      </c>
    </row>
    <row r="55" spans="1:28" x14ac:dyDescent="0.15">
      <c r="A55" s="55" t="s">
        <v>41</v>
      </c>
      <c r="B55" s="100" t="s">
        <v>181</v>
      </c>
      <c r="C55" s="83">
        <v>2018</v>
      </c>
      <c r="D55" s="56" t="s">
        <v>192</v>
      </c>
      <c r="E55" s="55" t="s">
        <v>170</v>
      </c>
      <c r="F55" s="100" t="s">
        <v>176</v>
      </c>
      <c r="G55" s="55" t="s">
        <v>42</v>
      </c>
      <c r="H55" s="55" t="s">
        <v>155</v>
      </c>
      <c r="I55" s="55" t="s">
        <v>153</v>
      </c>
      <c r="J55" s="55" t="s">
        <v>38</v>
      </c>
      <c r="K55" s="55" t="s">
        <v>154</v>
      </c>
      <c r="L55" s="100">
        <v>3</v>
      </c>
      <c r="N55" s="100">
        <v>5</v>
      </c>
      <c r="O55" s="55">
        <v>0.45</v>
      </c>
      <c r="P55" s="55">
        <v>0.3</v>
      </c>
      <c r="Q55" s="57">
        <f t="shared" si="4"/>
        <v>0.375</v>
      </c>
      <c r="R55" s="100">
        <v>13.5</v>
      </c>
      <c r="S55" s="100">
        <v>121</v>
      </c>
      <c r="T55" s="57">
        <f t="shared" si="5"/>
        <v>27</v>
      </c>
      <c r="U55" s="100">
        <v>419</v>
      </c>
      <c r="V55" s="58">
        <f t="shared" si="6"/>
        <v>2262.6</v>
      </c>
      <c r="W55" s="100">
        <v>2</v>
      </c>
      <c r="X55" s="55" t="s">
        <v>46</v>
      </c>
      <c r="Y55" s="55" t="s">
        <v>84</v>
      </c>
      <c r="Z55" s="55" t="s">
        <v>69</v>
      </c>
      <c r="AA55" s="55" t="s">
        <v>90</v>
      </c>
      <c r="AB55" s="55" t="s">
        <v>183</v>
      </c>
    </row>
    <row r="56" spans="1:28" x14ac:dyDescent="0.15">
      <c r="A56" s="55" t="s">
        <v>41</v>
      </c>
      <c r="B56" s="100" t="s">
        <v>181</v>
      </c>
      <c r="C56" s="83">
        <v>2018</v>
      </c>
      <c r="D56" s="56" t="s">
        <v>192</v>
      </c>
      <c r="E56" s="55" t="s">
        <v>170</v>
      </c>
      <c r="F56" s="100" t="s">
        <v>176</v>
      </c>
      <c r="G56" s="55" t="s">
        <v>42</v>
      </c>
      <c r="H56" s="55" t="s">
        <v>155</v>
      </c>
      <c r="I56" s="55" t="s">
        <v>153</v>
      </c>
      <c r="J56" s="55" t="s">
        <v>38</v>
      </c>
      <c r="K56" s="55" t="s">
        <v>154</v>
      </c>
      <c r="L56" s="100">
        <v>1</v>
      </c>
      <c r="N56" s="100">
        <v>1</v>
      </c>
      <c r="O56" s="55">
        <v>0.5</v>
      </c>
      <c r="P56" s="55">
        <v>0.45</v>
      </c>
      <c r="Q56" s="57">
        <f t="shared" si="4"/>
        <v>0.47499999999999998</v>
      </c>
      <c r="R56" s="100">
        <v>13.3</v>
      </c>
      <c r="S56" s="100">
        <v>126</v>
      </c>
      <c r="T56" s="57">
        <f t="shared" si="5"/>
        <v>27</v>
      </c>
      <c r="U56" s="100">
        <v>84</v>
      </c>
      <c r="V56" s="58">
        <f t="shared" si="6"/>
        <v>2268</v>
      </c>
      <c r="W56" s="100">
        <v>1</v>
      </c>
      <c r="X56" s="55" t="s">
        <v>46</v>
      </c>
      <c r="Y56" s="55" t="s">
        <v>84</v>
      </c>
      <c r="Z56" s="55" t="s">
        <v>69</v>
      </c>
      <c r="AA56" s="55" t="s">
        <v>90</v>
      </c>
      <c r="AB56" s="55" t="s">
        <v>183</v>
      </c>
    </row>
    <row r="57" spans="1:28" x14ac:dyDescent="0.15">
      <c r="A57" s="55" t="s">
        <v>41</v>
      </c>
      <c r="B57" s="100" t="s">
        <v>181</v>
      </c>
      <c r="C57" s="83">
        <v>2018</v>
      </c>
      <c r="D57" s="56" t="s">
        <v>192</v>
      </c>
      <c r="E57" s="55" t="s">
        <v>170</v>
      </c>
      <c r="F57" s="100" t="s">
        <v>176</v>
      </c>
      <c r="G57" s="55" t="s">
        <v>42</v>
      </c>
      <c r="H57" s="55" t="s">
        <v>155</v>
      </c>
      <c r="I57" s="55" t="s">
        <v>153</v>
      </c>
      <c r="J57" s="55" t="s">
        <v>38</v>
      </c>
      <c r="K57" s="55" t="s">
        <v>154</v>
      </c>
      <c r="L57" s="100">
        <v>2</v>
      </c>
      <c r="N57" s="100">
        <v>1</v>
      </c>
      <c r="O57" s="55">
        <v>0.55000000000000004</v>
      </c>
      <c r="P57" s="55">
        <v>0.4</v>
      </c>
      <c r="Q57" s="57">
        <f t="shared" si="4"/>
        <v>0.47500000000000003</v>
      </c>
      <c r="R57" s="100">
        <v>12.9</v>
      </c>
      <c r="S57" s="100">
        <v>124</v>
      </c>
      <c r="T57" s="57">
        <f t="shared" si="5"/>
        <v>27</v>
      </c>
      <c r="U57" s="100">
        <v>84</v>
      </c>
      <c r="V57" s="58">
        <f t="shared" si="6"/>
        <v>2268</v>
      </c>
      <c r="W57" s="100">
        <v>1</v>
      </c>
      <c r="X57" s="55" t="s">
        <v>46</v>
      </c>
      <c r="Y57" s="55" t="s">
        <v>84</v>
      </c>
      <c r="Z57" s="55" t="s">
        <v>69</v>
      </c>
      <c r="AA57" s="55" t="s">
        <v>90</v>
      </c>
      <c r="AB57" s="55" t="s">
        <v>183</v>
      </c>
    </row>
    <row r="58" spans="1:28" x14ac:dyDescent="0.15">
      <c r="A58" s="55" t="s">
        <v>41</v>
      </c>
      <c r="B58" s="100" t="s">
        <v>181</v>
      </c>
      <c r="C58" s="83">
        <v>2018</v>
      </c>
      <c r="D58" s="56" t="s">
        <v>192</v>
      </c>
      <c r="E58" s="55" t="s">
        <v>170</v>
      </c>
      <c r="F58" s="100" t="s">
        <v>176</v>
      </c>
      <c r="G58" s="55" t="s">
        <v>42</v>
      </c>
      <c r="H58" s="55" t="s">
        <v>155</v>
      </c>
      <c r="I58" s="55" t="s">
        <v>153</v>
      </c>
      <c r="J58" s="55" t="s">
        <v>38</v>
      </c>
      <c r="K58" s="55" t="s">
        <v>154</v>
      </c>
      <c r="L58" s="100">
        <v>3</v>
      </c>
      <c r="N58" s="100">
        <v>1</v>
      </c>
      <c r="O58" s="55">
        <v>0.6</v>
      </c>
      <c r="P58" s="55">
        <v>0.45</v>
      </c>
      <c r="Q58" s="82">
        <f t="shared" si="4"/>
        <v>0.52500000000000002</v>
      </c>
      <c r="R58" s="55">
        <v>13.1</v>
      </c>
      <c r="S58" s="55">
        <v>123</v>
      </c>
      <c r="T58" s="57">
        <f t="shared" si="5"/>
        <v>27</v>
      </c>
      <c r="U58" s="100">
        <v>84</v>
      </c>
      <c r="V58" s="58">
        <f t="shared" si="6"/>
        <v>2268</v>
      </c>
      <c r="W58" s="100">
        <v>1</v>
      </c>
      <c r="X58" s="55" t="s">
        <v>46</v>
      </c>
      <c r="Y58" s="55" t="s">
        <v>84</v>
      </c>
      <c r="Z58" s="55" t="s">
        <v>69</v>
      </c>
      <c r="AA58" s="55" t="s">
        <v>90</v>
      </c>
      <c r="AB58" s="55" t="s">
        <v>183</v>
      </c>
    </row>
    <row r="59" spans="1:28" x14ac:dyDescent="0.15">
      <c r="A59" s="55" t="s">
        <v>41</v>
      </c>
      <c r="B59" s="100" t="s">
        <v>181</v>
      </c>
      <c r="C59" s="83">
        <v>2018</v>
      </c>
      <c r="D59" s="56" t="s">
        <v>192</v>
      </c>
      <c r="E59" s="100" t="s">
        <v>171</v>
      </c>
      <c r="F59" s="100" t="s">
        <v>177</v>
      </c>
      <c r="G59" s="55" t="s">
        <v>42</v>
      </c>
      <c r="H59" s="55" t="s">
        <v>159</v>
      </c>
      <c r="I59" s="55" t="s">
        <v>153</v>
      </c>
      <c r="J59" s="55" t="s">
        <v>38</v>
      </c>
      <c r="K59" s="55" t="s">
        <v>166</v>
      </c>
      <c r="L59" s="100">
        <v>1</v>
      </c>
      <c r="N59" s="100">
        <v>1</v>
      </c>
      <c r="O59" s="55">
        <v>0.25</v>
      </c>
      <c r="P59" s="55">
        <v>0.25</v>
      </c>
      <c r="Q59" s="57">
        <f t="shared" si="4"/>
        <v>0.25</v>
      </c>
      <c r="R59" s="100">
        <v>15.1</v>
      </c>
      <c r="S59" s="55">
        <v>100</v>
      </c>
      <c r="T59" s="57">
        <f t="shared" si="5"/>
        <v>33</v>
      </c>
      <c r="U59" s="100">
        <v>138</v>
      </c>
      <c r="V59" s="58">
        <f t="shared" si="6"/>
        <v>4554</v>
      </c>
      <c r="W59" s="100">
        <v>1</v>
      </c>
      <c r="X59" s="55" t="s">
        <v>46</v>
      </c>
      <c r="Y59" s="55" t="s">
        <v>84</v>
      </c>
      <c r="Z59" s="55" t="s">
        <v>90</v>
      </c>
      <c r="AA59" s="55" t="s">
        <v>160</v>
      </c>
      <c r="AB59" s="55" t="s">
        <v>183</v>
      </c>
    </row>
    <row r="60" spans="1:28" x14ac:dyDescent="0.15">
      <c r="A60" s="55" t="s">
        <v>41</v>
      </c>
      <c r="B60" s="100" t="s">
        <v>181</v>
      </c>
      <c r="C60" s="83">
        <v>2018</v>
      </c>
      <c r="D60" s="56" t="s">
        <v>192</v>
      </c>
      <c r="E60" s="100" t="s">
        <v>171</v>
      </c>
      <c r="F60" s="100" t="s">
        <v>177</v>
      </c>
      <c r="G60" s="55" t="s">
        <v>42</v>
      </c>
      <c r="H60" s="55" t="s">
        <v>159</v>
      </c>
      <c r="I60" s="55" t="s">
        <v>153</v>
      </c>
      <c r="J60" s="55" t="s">
        <v>38</v>
      </c>
      <c r="K60" s="55" t="s">
        <v>166</v>
      </c>
      <c r="L60" s="100">
        <v>2</v>
      </c>
      <c r="N60" s="100">
        <v>1</v>
      </c>
      <c r="O60" s="55">
        <v>0.25</v>
      </c>
      <c r="P60" s="55">
        <v>0.25</v>
      </c>
      <c r="Q60" s="57">
        <f t="shared" si="4"/>
        <v>0.25</v>
      </c>
      <c r="R60" s="100">
        <v>14.1</v>
      </c>
      <c r="S60" s="55">
        <v>95</v>
      </c>
      <c r="T60" s="57">
        <f t="shared" si="5"/>
        <v>36</v>
      </c>
      <c r="U60" s="100">
        <v>138</v>
      </c>
      <c r="V60" s="58">
        <f t="shared" si="6"/>
        <v>4968</v>
      </c>
      <c r="W60" s="100">
        <v>1</v>
      </c>
      <c r="X60" s="55" t="s">
        <v>46</v>
      </c>
      <c r="Y60" s="55" t="s">
        <v>84</v>
      </c>
      <c r="Z60" s="55" t="s">
        <v>90</v>
      </c>
      <c r="AA60" s="55" t="s">
        <v>160</v>
      </c>
      <c r="AB60" s="55" t="s">
        <v>183</v>
      </c>
    </row>
    <row r="61" spans="1:28" x14ac:dyDescent="0.15">
      <c r="A61" s="55" t="s">
        <v>41</v>
      </c>
      <c r="B61" s="100" t="s">
        <v>181</v>
      </c>
      <c r="C61" s="83">
        <v>2018</v>
      </c>
      <c r="D61" s="56" t="s">
        <v>192</v>
      </c>
      <c r="E61" s="100" t="s">
        <v>171</v>
      </c>
      <c r="F61" s="100" t="s">
        <v>177</v>
      </c>
      <c r="G61" s="55" t="s">
        <v>42</v>
      </c>
      <c r="H61" s="55" t="s">
        <v>159</v>
      </c>
      <c r="I61" s="55" t="s">
        <v>153</v>
      </c>
      <c r="J61" s="55" t="s">
        <v>38</v>
      </c>
      <c r="K61" s="55" t="s">
        <v>166</v>
      </c>
      <c r="L61" s="100">
        <v>3</v>
      </c>
      <c r="N61" s="100">
        <v>1</v>
      </c>
      <c r="O61" s="55">
        <v>0.25</v>
      </c>
      <c r="P61" s="55">
        <v>0.25</v>
      </c>
      <c r="Q61" s="82">
        <f t="shared" si="4"/>
        <v>0.25</v>
      </c>
      <c r="R61" s="55">
        <v>13.8</v>
      </c>
      <c r="S61" s="55">
        <v>97</v>
      </c>
      <c r="T61" s="57">
        <f t="shared" si="5"/>
        <v>36</v>
      </c>
      <c r="U61" s="100">
        <v>138</v>
      </c>
      <c r="V61" s="58">
        <f t="shared" si="6"/>
        <v>4968</v>
      </c>
      <c r="W61" s="100">
        <v>1</v>
      </c>
      <c r="X61" s="55" t="s">
        <v>46</v>
      </c>
      <c r="Y61" s="55" t="s">
        <v>84</v>
      </c>
      <c r="Z61" s="55" t="s">
        <v>90</v>
      </c>
      <c r="AA61" s="55" t="s">
        <v>160</v>
      </c>
      <c r="AB61" s="55" t="s">
        <v>183</v>
      </c>
    </row>
    <row r="62" spans="1:28" x14ac:dyDescent="0.15">
      <c r="A62" s="55" t="s">
        <v>41</v>
      </c>
      <c r="B62" s="100" t="s">
        <v>181</v>
      </c>
      <c r="C62" s="83">
        <v>2018</v>
      </c>
      <c r="D62" s="56" t="s">
        <v>192</v>
      </c>
      <c r="E62" s="100" t="s">
        <v>171</v>
      </c>
      <c r="F62" s="100" t="s">
        <v>177</v>
      </c>
      <c r="G62" s="55" t="s">
        <v>42</v>
      </c>
      <c r="H62" s="55" t="s">
        <v>155</v>
      </c>
      <c r="I62" s="55" t="s">
        <v>153</v>
      </c>
      <c r="J62" s="55" t="s">
        <v>38</v>
      </c>
      <c r="K62" s="55" t="s">
        <v>154</v>
      </c>
      <c r="L62" s="100">
        <v>1</v>
      </c>
      <c r="N62" s="100">
        <v>1</v>
      </c>
      <c r="O62" s="100">
        <v>0.85</v>
      </c>
      <c r="P62" s="100">
        <v>0.8</v>
      </c>
      <c r="Q62" s="82">
        <f t="shared" si="4"/>
        <v>0.82499999999999996</v>
      </c>
      <c r="R62" s="55">
        <v>14.7</v>
      </c>
      <c r="S62" s="55">
        <v>125</v>
      </c>
      <c r="T62" s="57">
        <f t="shared" si="5"/>
        <v>27</v>
      </c>
      <c r="U62" s="100">
        <v>85</v>
      </c>
      <c r="V62" s="58">
        <f t="shared" si="6"/>
        <v>2295</v>
      </c>
      <c r="W62" s="100">
        <v>2</v>
      </c>
      <c r="X62" s="55" t="s">
        <v>46</v>
      </c>
      <c r="Y62" s="55" t="s">
        <v>84</v>
      </c>
      <c r="Z62" s="55" t="s">
        <v>90</v>
      </c>
      <c r="AA62" s="55" t="s">
        <v>160</v>
      </c>
      <c r="AB62" s="55" t="s">
        <v>183</v>
      </c>
    </row>
    <row r="63" spans="1:28" x14ac:dyDescent="0.15">
      <c r="A63" s="55" t="s">
        <v>41</v>
      </c>
      <c r="B63" s="100" t="s">
        <v>181</v>
      </c>
      <c r="C63" s="83">
        <v>2018</v>
      </c>
      <c r="D63" s="56" t="s">
        <v>192</v>
      </c>
      <c r="E63" s="100" t="s">
        <v>171</v>
      </c>
      <c r="F63" s="100" t="s">
        <v>177</v>
      </c>
      <c r="G63" s="55" t="s">
        <v>42</v>
      </c>
      <c r="H63" s="55" t="s">
        <v>155</v>
      </c>
      <c r="I63" s="55" t="s">
        <v>153</v>
      </c>
      <c r="J63" s="55" t="s">
        <v>38</v>
      </c>
      <c r="K63" s="55" t="s">
        <v>154</v>
      </c>
      <c r="L63" s="100">
        <v>2</v>
      </c>
      <c r="N63" s="100">
        <v>1</v>
      </c>
      <c r="O63" s="100">
        <v>0.65</v>
      </c>
      <c r="P63" s="100">
        <v>0.7</v>
      </c>
      <c r="Q63" s="82">
        <f t="shared" si="4"/>
        <v>0.67500000000000004</v>
      </c>
      <c r="R63" s="55">
        <v>13.4</v>
      </c>
      <c r="S63" s="55">
        <v>122</v>
      </c>
      <c r="T63" s="57">
        <f t="shared" si="5"/>
        <v>27</v>
      </c>
      <c r="U63" s="100">
        <v>85</v>
      </c>
      <c r="V63" s="58">
        <f t="shared" si="6"/>
        <v>2295</v>
      </c>
      <c r="W63" s="100">
        <v>2</v>
      </c>
      <c r="X63" s="55" t="s">
        <v>46</v>
      </c>
      <c r="Y63" s="55" t="s">
        <v>84</v>
      </c>
      <c r="Z63" s="55" t="s">
        <v>90</v>
      </c>
      <c r="AA63" s="55" t="s">
        <v>160</v>
      </c>
      <c r="AB63" s="55" t="s">
        <v>183</v>
      </c>
    </row>
    <row r="64" spans="1:28" x14ac:dyDescent="0.15">
      <c r="A64" s="55" t="s">
        <v>41</v>
      </c>
      <c r="B64" s="100" t="s">
        <v>181</v>
      </c>
      <c r="C64" s="83">
        <v>2018</v>
      </c>
      <c r="D64" s="56" t="s">
        <v>192</v>
      </c>
      <c r="E64" s="100" t="s">
        <v>171</v>
      </c>
      <c r="F64" s="100" t="s">
        <v>177</v>
      </c>
      <c r="G64" s="55" t="s">
        <v>42</v>
      </c>
      <c r="H64" s="55" t="s">
        <v>155</v>
      </c>
      <c r="I64" s="55" t="s">
        <v>153</v>
      </c>
      <c r="J64" s="55" t="s">
        <v>38</v>
      </c>
      <c r="K64" s="55" t="s">
        <v>154</v>
      </c>
      <c r="L64" s="100">
        <v>3</v>
      </c>
      <c r="N64" s="100">
        <v>1</v>
      </c>
      <c r="O64" s="55">
        <v>0.7</v>
      </c>
      <c r="P64" s="55">
        <v>0.6</v>
      </c>
      <c r="Q64" s="82">
        <f t="shared" si="4"/>
        <v>0.64999999999999991</v>
      </c>
      <c r="R64" s="55">
        <v>13.8</v>
      </c>
      <c r="S64" s="55">
        <v>124</v>
      </c>
      <c r="T64" s="57">
        <f t="shared" si="5"/>
        <v>27</v>
      </c>
      <c r="U64" s="100">
        <v>85</v>
      </c>
      <c r="V64" s="58">
        <f t="shared" si="6"/>
        <v>2295</v>
      </c>
      <c r="W64" s="100">
        <v>2</v>
      </c>
      <c r="X64" s="55" t="s">
        <v>46</v>
      </c>
      <c r="Y64" s="55" t="s">
        <v>84</v>
      </c>
      <c r="Z64" s="55" t="s">
        <v>90</v>
      </c>
      <c r="AA64" s="55" t="s">
        <v>160</v>
      </c>
      <c r="AB64" s="55" t="s">
        <v>183</v>
      </c>
    </row>
    <row r="65" spans="1:28" x14ac:dyDescent="0.15">
      <c r="A65" s="55" t="s">
        <v>41</v>
      </c>
      <c r="B65" s="100" t="s">
        <v>181</v>
      </c>
      <c r="C65" s="83">
        <v>2018</v>
      </c>
      <c r="D65" s="56" t="s">
        <v>192</v>
      </c>
      <c r="E65" s="100" t="s">
        <v>171</v>
      </c>
      <c r="F65" s="100" t="s">
        <v>177</v>
      </c>
      <c r="G65" s="55" t="s">
        <v>42</v>
      </c>
      <c r="H65" s="55" t="s">
        <v>155</v>
      </c>
      <c r="I65" s="55" t="s">
        <v>153</v>
      </c>
      <c r="J65" s="55" t="s">
        <v>38</v>
      </c>
      <c r="K65" s="55" t="s">
        <v>154</v>
      </c>
      <c r="L65" s="100">
        <v>1</v>
      </c>
      <c r="N65" s="100">
        <v>4</v>
      </c>
      <c r="O65" s="55">
        <v>0.35</v>
      </c>
      <c r="P65" s="55">
        <v>0.4</v>
      </c>
      <c r="Q65" s="82">
        <f>IF(OR(O65="",P65=""),"",AVERAGE(O65,P65))</f>
        <v>0.375</v>
      </c>
      <c r="R65" s="100">
        <v>15.1</v>
      </c>
      <c r="S65" s="55">
        <v>123</v>
      </c>
      <c r="T65" s="57">
        <f t="shared" si="5"/>
        <v>27</v>
      </c>
      <c r="U65" s="100">
        <v>321</v>
      </c>
      <c r="V65" s="58">
        <f t="shared" si="6"/>
        <v>2166.75</v>
      </c>
      <c r="W65" s="100">
        <v>2</v>
      </c>
      <c r="X65" s="55" t="s">
        <v>46</v>
      </c>
      <c r="Y65" s="55" t="s">
        <v>84</v>
      </c>
      <c r="Z65" s="55" t="s">
        <v>90</v>
      </c>
      <c r="AA65" s="55" t="s">
        <v>160</v>
      </c>
      <c r="AB65" s="55" t="s">
        <v>183</v>
      </c>
    </row>
    <row r="66" spans="1:28" x14ac:dyDescent="0.15">
      <c r="A66" s="55" t="s">
        <v>41</v>
      </c>
      <c r="B66" s="100" t="s">
        <v>181</v>
      </c>
      <c r="C66" s="83">
        <v>2018</v>
      </c>
      <c r="D66" s="56" t="s">
        <v>192</v>
      </c>
      <c r="E66" s="100" t="s">
        <v>171</v>
      </c>
      <c r="F66" s="100" t="s">
        <v>177</v>
      </c>
      <c r="G66" s="55" t="s">
        <v>42</v>
      </c>
      <c r="H66" s="55" t="s">
        <v>155</v>
      </c>
      <c r="I66" s="55" t="s">
        <v>153</v>
      </c>
      <c r="J66" s="55" t="s">
        <v>38</v>
      </c>
      <c r="K66" s="55" t="s">
        <v>154</v>
      </c>
      <c r="L66" s="100">
        <v>2</v>
      </c>
      <c r="N66" s="100">
        <v>4</v>
      </c>
      <c r="O66" s="55">
        <v>0.45</v>
      </c>
      <c r="P66" s="55">
        <v>0.45</v>
      </c>
      <c r="Q66" s="82">
        <f>IF(OR(O66="",P66=""),"",AVERAGE(O66,P66))</f>
        <v>0.45</v>
      </c>
      <c r="R66" s="100">
        <v>14.4</v>
      </c>
      <c r="S66" s="55">
        <v>121</v>
      </c>
      <c r="T66" s="57">
        <f t="shared" si="5"/>
        <v>27</v>
      </c>
      <c r="U66" s="100">
        <v>321</v>
      </c>
      <c r="V66" s="58">
        <f t="shared" si="6"/>
        <v>2166.75</v>
      </c>
      <c r="W66" s="100">
        <v>2</v>
      </c>
      <c r="X66" s="55" t="s">
        <v>46</v>
      </c>
      <c r="Y66" s="55" t="s">
        <v>84</v>
      </c>
      <c r="Z66" s="55" t="s">
        <v>90</v>
      </c>
      <c r="AA66" s="55" t="s">
        <v>160</v>
      </c>
      <c r="AB66" s="55" t="s">
        <v>183</v>
      </c>
    </row>
    <row r="67" spans="1:28" x14ac:dyDescent="0.15">
      <c r="A67" s="55" t="s">
        <v>41</v>
      </c>
      <c r="B67" s="100" t="s">
        <v>181</v>
      </c>
      <c r="C67" s="83">
        <v>2018</v>
      </c>
      <c r="D67" s="56" t="s">
        <v>192</v>
      </c>
      <c r="E67" s="100" t="s">
        <v>171</v>
      </c>
      <c r="F67" s="100" t="s">
        <v>177</v>
      </c>
      <c r="G67" s="55" t="s">
        <v>42</v>
      </c>
      <c r="H67" s="55" t="s">
        <v>155</v>
      </c>
      <c r="I67" s="55" t="s">
        <v>153</v>
      </c>
      <c r="J67" s="55" t="s">
        <v>38</v>
      </c>
      <c r="K67" s="55" t="s">
        <v>154</v>
      </c>
      <c r="L67" s="100">
        <v>3</v>
      </c>
      <c r="N67" s="100">
        <v>4</v>
      </c>
      <c r="O67" s="55">
        <v>0.5</v>
      </c>
      <c r="P67" s="55">
        <v>0.5</v>
      </c>
      <c r="Q67" s="82">
        <f>IF(OR(O67="",P67=""),"",AVERAGE(O67,P67))</f>
        <v>0.5</v>
      </c>
      <c r="R67" s="100">
        <v>14</v>
      </c>
      <c r="S67" s="55">
        <v>122</v>
      </c>
      <c r="T67" s="57">
        <f t="shared" si="5"/>
        <v>27</v>
      </c>
      <c r="U67" s="100">
        <v>321</v>
      </c>
      <c r="V67" s="58">
        <f t="shared" si="6"/>
        <v>2166.75</v>
      </c>
      <c r="W67" s="100">
        <v>2</v>
      </c>
      <c r="X67" s="55" t="s">
        <v>46</v>
      </c>
      <c r="Y67" s="55" t="s">
        <v>84</v>
      </c>
      <c r="Z67" s="55" t="s">
        <v>90</v>
      </c>
      <c r="AA67" s="55" t="s">
        <v>160</v>
      </c>
      <c r="AB67" s="55" t="s">
        <v>183</v>
      </c>
    </row>
    <row r="68" spans="1:28" x14ac:dyDescent="0.15">
      <c r="A68" s="55" t="s">
        <v>41</v>
      </c>
      <c r="B68" s="100" t="s">
        <v>181</v>
      </c>
      <c r="C68" s="83">
        <v>2018</v>
      </c>
      <c r="D68" s="56" t="s">
        <v>192</v>
      </c>
      <c r="E68" s="100" t="s">
        <v>161</v>
      </c>
      <c r="F68" s="100" t="s">
        <v>178</v>
      </c>
      <c r="G68" s="55" t="s">
        <v>42</v>
      </c>
      <c r="H68" s="55" t="s">
        <v>155</v>
      </c>
      <c r="I68" s="55" t="s">
        <v>153</v>
      </c>
      <c r="J68" s="55" t="s">
        <v>38</v>
      </c>
      <c r="K68" s="55" t="s">
        <v>154</v>
      </c>
      <c r="L68" s="100">
        <v>1</v>
      </c>
      <c r="N68" s="100">
        <v>1</v>
      </c>
      <c r="O68" s="55">
        <v>0.65</v>
      </c>
      <c r="P68" s="55">
        <v>0.7</v>
      </c>
      <c r="Q68" s="57">
        <f t="shared" ref="Q68:Q79" si="7">IF(OR(O68="",P68=""),"",AVERAGE(O68,P68))</f>
        <v>0.67500000000000004</v>
      </c>
      <c r="R68" s="100">
        <v>12.6</v>
      </c>
      <c r="S68" s="55">
        <v>127</v>
      </c>
      <c r="T68" s="57">
        <f t="shared" si="5"/>
        <v>27</v>
      </c>
      <c r="U68" s="100">
        <v>104</v>
      </c>
      <c r="V68" s="58">
        <f t="shared" si="6"/>
        <v>2808</v>
      </c>
      <c r="W68" s="100">
        <v>1</v>
      </c>
      <c r="X68" s="55" t="s">
        <v>39</v>
      </c>
      <c r="Y68" s="55" t="s">
        <v>84</v>
      </c>
      <c r="Z68" s="55" t="s">
        <v>90</v>
      </c>
      <c r="AA68" s="55" t="s">
        <v>40</v>
      </c>
      <c r="AB68" s="55" t="s">
        <v>183</v>
      </c>
    </row>
    <row r="69" spans="1:28" x14ac:dyDescent="0.15">
      <c r="A69" s="55" t="s">
        <v>41</v>
      </c>
      <c r="B69" s="100" t="s">
        <v>181</v>
      </c>
      <c r="C69" s="83">
        <v>2018</v>
      </c>
      <c r="D69" s="56" t="s">
        <v>192</v>
      </c>
      <c r="E69" s="100" t="s">
        <v>161</v>
      </c>
      <c r="F69" s="100" t="s">
        <v>178</v>
      </c>
      <c r="G69" s="55" t="s">
        <v>42</v>
      </c>
      <c r="H69" s="55" t="s">
        <v>155</v>
      </c>
      <c r="I69" s="55" t="s">
        <v>153</v>
      </c>
      <c r="J69" s="55" t="s">
        <v>38</v>
      </c>
      <c r="K69" s="55" t="s">
        <v>154</v>
      </c>
      <c r="L69" s="100">
        <v>2</v>
      </c>
      <c r="N69" s="100">
        <v>1</v>
      </c>
      <c r="O69" s="55">
        <v>0.55000000000000004</v>
      </c>
      <c r="P69" s="55">
        <v>0.6</v>
      </c>
      <c r="Q69" s="57">
        <f t="shared" si="7"/>
        <v>0.57499999999999996</v>
      </c>
      <c r="R69" s="55">
        <v>13</v>
      </c>
      <c r="S69" s="55">
        <v>125</v>
      </c>
      <c r="T69" s="57">
        <f t="shared" si="5"/>
        <v>27</v>
      </c>
      <c r="U69" s="100">
        <v>104</v>
      </c>
      <c r="V69" s="58">
        <f t="shared" si="6"/>
        <v>2808</v>
      </c>
      <c r="W69" s="100">
        <v>1</v>
      </c>
      <c r="X69" s="55" t="s">
        <v>39</v>
      </c>
      <c r="Y69" s="55" t="s">
        <v>84</v>
      </c>
      <c r="Z69" s="55" t="s">
        <v>90</v>
      </c>
      <c r="AA69" s="55" t="s">
        <v>40</v>
      </c>
      <c r="AB69" s="55" t="s">
        <v>183</v>
      </c>
    </row>
    <row r="70" spans="1:28" x14ac:dyDescent="0.15">
      <c r="A70" s="55" t="s">
        <v>41</v>
      </c>
      <c r="B70" s="100" t="s">
        <v>181</v>
      </c>
      <c r="C70" s="83">
        <v>2018</v>
      </c>
      <c r="D70" s="56" t="s">
        <v>192</v>
      </c>
      <c r="E70" s="100" t="s">
        <v>161</v>
      </c>
      <c r="F70" s="100" t="s">
        <v>178</v>
      </c>
      <c r="G70" s="55" t="s">
        <v>42</v>
      </c>
      <c r="H70" s="55" t="s">
        <v>155</v>
      </c>
      <c r="I70" s="55" t="s">
        <v>153</v>
      </c>
      <c r="J70" s="55" t="s">
        <v>38</v>
      </c>
      <c r="K70" s="55" t="s">
        <v>154</v>
      </c>
      <c r="L70" s="100">
        <v>3</v>
      </c>
      <c r="N70" s="100">
        <v>1</v>
      </c>
      <c r="O70" s="55">
        <v>0.65</v>
      </c>
      <c r="P70" s="55">
        <v>0.75</v>
      </c>
      <c r="Q70" s="57">
        <f t="shared" si="7"/>
        <v>0.7</v>
      </c>
      <c r="R70" s="55">
        <v>13.4</v>
      </c>
      <c r="S70" s="55">
        <v>130</v>
      </c>
      <c r="T70" s="57">
        <f t="shared" si="5"/>
        <v>25</v>
      </c>
      <c r="U70" s="100">
        <v>104</v>
      </c>
      <c r="V70" s="58">
        <f t="shared" si="6"/>
        <v>2600</v>
      </c>
      <c r="W70" s="100">
        <v>1</v>
      </c>
      <c r="X70" s="55" t="s">
        <v>39</v>
      </c>
      <c r="Y70" s="55" t="s">
        <v>84</v>
      </c>
      <c r="Z70" s="55" t="s">
        <v>90</v>
      </c>
      <c r="AA70" s="55" t="s">
        <v>40</v>
      </c>
      <c r="AB70" s="55" t="s">
        <v>183</v>
      </c>
    </row>
    <row r="71" spans="1:28" x14ac:dyDescent="0.15">
      <c r="A71" s="55" t="s">
        <v>41</v>
      </c>
      <c r="B71" s="100" t="s">
        <v>181</v>
      </c>
      <c r="C71" s="83">
        <v>2018</v>
      </c>
      <c r="D71" s="56" t="s">
        <v>192</v>
      </c>
      <c r="E71" s="100" t="s">
        <v>161</v>
      </c>
      <c r="F71" s="100" t="s">
        <v>178</v>
      </c>
      <c r="G71" s="55" t="s">
        <v>42</v>
      </c>
      <c r="H71" s="55" t="s">
        <v>155</v>
      </c>
      <c r="I71" s="55" t="s">
        <v>153</v>
      </c>
      <c r="J71" s="55" t="s">
        <v>38</v>
      </c>
      <c r="K71" s="55" t="s">
        <v>154</v>
      </c>
      <c r="L71" s="100">
        <v>1</v>
      </c>
      <c r="N71" s="100">
        <v>4</v>
      </c>
      <c r="O71" s="55">
        <v>0.85</v>
      </c>
      <c r="P71" s="55">
        <v>0.95</v>
      </c>
      <c r="Q71" s="57">
        <f t="shared" si="7"/>
        <v>0.89999999999999991</v>
      </c>
      <c r="R71" s="100">
        <v>15.1</v>
      </c>
      <c r="S71" s="100">
        <v>127</v>
      </c>
      <c r="T71" s="57">
        <f t="shared" si="5"/>
        <v>27</v>
      </c>
      <c r="U71" s="100">
        <v>428</v>
      </c>
      <c r="V71" s="58">
        <f t="shared" si="6"/>
        <v>2889</v>
      </c>
      <c r="W71" s="100">
        <v>1</v>
      </c>
      <c r="X71" s="55" t="s">
        <v>39</v>
      </c>
      <c r="Y71" s="55" t="s">
        <v>84</v>
      </c>
      <c r="Z71" s="55" t="s">
        <v>90</v>
      </c>
      <c r="AA71" s="55" t="s">
        <v>40</v>
      </c>
      <c r="AB71" s="55" t="s">
        <v>183</v>
      </c>
    </row>
    <row r="72" spans="1:28" x14ac:dyDescent="0.15">
      <c r="A72" s="55" t="s">
        <v>41</v>
      </c>
      <c r="B72" s="100" t="s">
        <v>181</v>
      </c>
      <c r="C72" s="83">
        <v>2018</v>
      </c>
      <c r="D72" s="56" t="s">
        <v>192</v>
      </c>
      <c r="E72" s="100" t="s">
        <v>161</v>
      </c>
      <c r="F72" s="100" t="s">
        <v>178</v>
      </c>
      <c r="G72" s="55" t="s">
        <v>42</v>
      </c>
      <c r="H72" s="55" t="s">
        <v>155</v>
      </c>
      <c r="I72" s="55" t="s">
        <v>153</v>
      </c>
      <c r="J72" s="55" t="s">
        <v>38</v>
      </c>
      <c r="K72" s="55" t="s">
        <v>154</v>
      </c>
      <c r="L72" s="100">
        <v>2</v>
      </c>
      <c r="N72" s="100">
        <v>4</v>
      </c>
      <c r="O72" s="55">
        <v>0.9</v>
      </c>
      <c r="P72" s="55">
        <v>1.1000000000000001</v>
      </c>
      <c r="Q72" s="57">
        <f t="shared" si="7"/>
        <v>1</v>
      </c>
      <c r="R72" s="100">
        <v>14.1</v>
      </c>
      <c r="S72" s="100">
        <v>125</v>
      </c>
      <c r="T72" s="57">
        <f t="shared" si="5"/>
        <v>27</v>
      </c>
      <c r="U72" s="100">
        <v>428</v>
      </c>
      <c r="V72" s="58">
        <f t="shared" si="6"/>
        <v>2889</v>
      </c>
      <c r="W72" s="100">
        <v>1</v>
      </c>
      <c r="X72" s="55" t="s">
        <v>39</v>
      </c>
      <c r="Y72" s="55" t="s">
        <v>84</v>
      </c>
      <c r="Z72" s="55" t="s">
        <v>90</v>
      </c>
      <c r="AA72" s="55" t="s">
        <v>40</v>
      </c>
      <c r="AB72" s="55" t="s">
        <v>183</v>
      </c>
    </row>
    <row r="73" spans="1:28" x14ac:dyDescent="0.15">
      <c r="A73" s="55" t="s">
        <v>41</v>
      </c>
      <c r="B73" s="100" t="s">
        <v>181</v>
      </c>
      <c r="C73" s="83">
        <v>2018</v>
      </c>
      <c r="D73" s="56" t="s">
        <v>192</v>
      </c>
      <c r="E73" s="100" t="s">
        <v>161</v>
      </c>
      <c r="F73" s="100" t="s">
        <v>178</v>
      </c>
      <c r="G73" s="55" t="s">
        <v>42</v>
      </c>
      <c r="H73" s="55" t="s">
        <v>155</v>
      </c>
      <c r="I73" s="55" t="s">
        <v>153</v>
      </c>
      <c r="J73" s="55" t="s">
        <v>38</v>
      </c>
      <c r="K73" s="55" t="s">
        <v>154</v>
      </c>
      <c r="L73" s="100">
        <v>3</v>
      </c>
      <c r="N73" s="100">
        <v>4</v>
      </c>
      <c r="O73" s="55">
        <v>1</v>
      </c>
      <c r="P73" s="55">
        <v>1.05</v>
      </c>
      <c r="Q73" s="57">
        <f t="shared" si="7"/>
        <v>1.0249999999999999</v>
      </c>
      <c r="R73" s="100">
        <v>14.4</v>
      </c>
      <c r="S73" s="100">
        <v>124</v>
      </c>
      <c r="T73" s="57">
        <f t="shared" si="5"/>
        <v>27</v>
      </c>
      <c r="U73" s="100">
        <v>428</v>
      </c>
      <c r="V73" s="58">
        <f t="shared" si="6"/>
        <v>2889</v>
      </c>
      <c r="W73" s="100">
        <v>1</v>
      </c>
      <c r="X73" s="55" t="s">
        <v>39</v>
      </c>
      <c r="Y73" s="55" t="s">
        <v>84</v>
      </c>
      <c r="Z73" s="55" t="s">
        <v>90</v>
      </c>
      <c r="AA73" s="55" t="s">
        <v>40</v>
      </c>
      <c r="AB73" s="55" t="s">
        <v>183</v>
      </c>
    </row>
    <row r="74" spans="1:28" x14ac:dyDescent="0.15">
      <c r="A74" s="55" t="s">
        <v>41</v>
      </c>
      <c r="B74" s="100" t="s">
        <v>181</v>
      </c>
      <c r="C74" s="83">
        <v>2018</v>
      </c>
      <c r="D74" s="56" t="s">
        <v>192</v>
      </c>
      <c r="E74" s="100" t="s">
        <v>169</v>
      </c>
      <c r="F74" s="100" t="s">
        <v>174</v>
      </c>
      <c r="G74" s="55" t="s">
        <v>42</v>
      </c>
      <c r="H74" s="55" t="s">
        <v>155</v>
      </c>
      <c r="I74" s="55" t="s">
        <v>153</v>
      </c>
      <c r="J74" s="55" t="s">
        <v>38</v>
      </c>
      <c r="K74" s="55" t="s">
        <v>154</v>
      </c>
      <c r="L74" s="100">
        <v>1</v>
      </c>
      <c r="N74" s="100">
        <v>1</v>
      </c>
      <c r="O74" s="55">
        <v>0.65</v>
      </c>
      <c r="P74" s="55">
        <v>0.65</v>
      </c>
      <c r="Q74" s="57">
        <f t="shared" si="7"/>
        <v>0.65</v>
      </c>
      <c r="R74" s="100">
        <v>12.9</v>
      </c>
      <c r="S74" s="100">
        <v>118</v>
      </c>
      <c r="T74" s="57">
        <f t="shared" si="5"/>
        <v>30</v>
      </c>
      <c r="U74" s="100">
        <v>104</v>
      </c>
      <c r="V74" s="58">
        <f t="shared" si="6"/>
        <v>3120</v>
      </c>
      <c r="W74" s="100">
        <v>4</v>
      </c>
      <c r="X74" s="55" t="s">
        <v>46</v>
      </c>
      <c r="Y74" s="55" t="s">
        <v>84</v>
      </c>
      <c r="Z74" s="55" t="s">
        <v>90</v>
      </c>
      <c r="AA74" s="55" t="s">
        <v>50</v>
      </c>
      <c r="AB74" s="55" t="s">
        <v>183</v>
      </c>
    </row>
    <row r="75" spans="1:28" x14ac:dyDescent="0.15">
      <c r="A75" s="55" t="s">
        <v>41</v>
      </c>
      <c r="B75" s="100" t="s">
        <v>181</v>
      </c>
      <c r="C75" s="83">
        <v>2018</v>
      </c>
      <c r="D75" s="56" t="s">
        <v>192</v>
      </c>
      <c r="E75" s="100" t="s">
        <v>169</v>
      </c>
      <c r="F75" s="100" t="s">
        <v>174</v>
      </c>
      <c r="G75" s="55" t="s">
        <v>42</v>
      </c>
      <c r="H75" s="55" t="s">
        <v>155</v>
      </c>
      <c r="I75" s="55" t="s">
        <v>153</v>
      </c>
      <c r="J75" s="55" t="s">
        <v>38</v>
      </c>
      <c r="K75" s="55" t="s">
        <v>154</v>
      </c>
      <c r="L75" s="100">
        <v>2</v>
      </c>
      <c r="N75" s="100">
        <v>1</v>
      </c>
      <c r="O75" s="55">
        <v>0.5</v>
      </c>
      <c r="P75" s="55">
        <v>0.65</v>
      </c>
      <c r="Q75" s="57">
        <f t="shared" si="7"/>
        <v>0.57499999999999996</v>
      </c>
      <c r="R75" s="100">
        <v>13.2</v>
      </c>
      <c r="S75" s="100">
        <v>120</v>
      </c>
      <c r="T75" s="57">
        <f t="shared" si="5"/>
        <v>30</v>
      </c>
      <c r="U75" s="100">
        <v>104</v>
      </c>
      <c r="V75" s="58">
        <f t="shared" si="6"/>
        <v>3120</v>
      </c>
      <c r="W75" s="100">
        <v>4</v>
      </c>
      <c r="X75" s="55" t="s">
        <v>46</v>
      </c>
      <c r="Y75" s="55" t="s">
        <v>84</v>
      </c>
      <c r="Z75" s="55" t="s">
        <v>90</v>
      </c>
      <c r="AA75" s="55" t="s">
        <v>50</v>
      </c>
      <c r="AB75" s="55" t="s">
        <v>183</v>
      </c>
    </row>
    <row r="76" spans="1:28" x14ac:dyDescent="0.15">
      <c r="A76" s="55" t="s">
        <v>41</v>
      </c>
      <c r="B76" s="100" t="s">
        <v>181</v>
      </c>
      <c r="C76" s="83">
        <v>2018</v>
      </c>
      <c r="D76" s="56" t="s">
        <v>192</v>
      </c>
      <c r="E76" s="100" t="s">
        <v>169</v>
      </c>
      <c r="F76" s="100" t="s">
        <v>174</v>
      </c>
      <c r="G76" s="55" t="s">
        <v>42</v>
      </c>
      <c r="H76" s="55" t="s">
        <v>155</v>
      </c>
      <c r="I76" s="55" t="s">
        <v>153</v>
      </c>
      <c r="J76" s="55" t="s">
        <v>38</v>
      </c>
      <c r="K76" s="55" t="s">
        <v>154</v>
      </c>
      <c r="L76" s="100">
        <v>3</v>
      </c>
      <c r="N76" s="100">
        <v>1</v>
      </c>
      <c r="O76" s="55">
        <v>0.7</v>
      </c>
      <c r="P76" s="55">
        <v>0.85</v>
      </c>
      <c r="Q76" s="57">
        <f t="shared" si="7"/>
        <v>0.77499999999999991</v>
      </c>
      <c r="R76" s="100">
        <v>14.4</v>
      </c>
      <c r="S76" s="100">
        <v>117</v>
      </c>
      <c r="T76" s="57">
        <f t="shared" si="5"/>
        <v>30</v>
      </c>
      <c r="U76" s="100">
        <v>104</v>
      </c>
      <c r="V76" s="58">
        <f t="shared" si="6"/>
        <v>3120</v>
      </c>
      <c r="W76" s="100">
        <v>4</v>
      </c>
      <c r="X76" s="55" t="s">
        <v>46</v>
      </c>
      <c r="Y76" s="55" t="s">
        <v>84</v>
      </c>
      <c r="Z76" s="55" t="s">
        <v>90</v>
      </c>
      <c r="AA76" s="55" t="s">
        <v>50</v>
      </c>
      <c r="AB76" s="55" t="s">
        <v>183</v>
      </c>
    </row>
    <row r="77" spans="1:28" x14ac:dyDescent="0.15">
      <c r="A77" s="55" t="s">
        <v>41</v>
      </c>
      <c r="B77" s="100" t="s">
        <v>181</v>
      </c>
      <c r="C77" s="83">
        <v>2018</v>
      </c>
      <c r="D77" s="56" t="s">
        <v>192</v>
      </c>
      <c r="E77" s="100" t="s">
        <v>169</v>
      </c>
      <c r="F77" s="100" t="s">
        <v>174</v>
      </c>
      <c r="G77" s="55" t="s">
        <v>42</v>
      </c>
      <c r="H77" s="55" t="s">
        <v>128</v>
      </c>
      <c r="I77" s="55" t="s">
        <v>153</v>
      </c>
      <c r="J77" s="55" t="s">
        <v>80</v>
      </c>
      <c r="K77" s="55" t="s">
        <v>94</v>
      </c>
      <c r="L77" s="100">
        <v>1</v>
      </c>
      <c r="N77" s="100">
        <v>1</v>
      </c>
      <c r="O77" s="55">
        <v>1</v>
      </c>
      <c r="P77" s="55">
        <v>1.2</v>
      </c>
      <c r="Q77" s="57">
        <f t="shared" si="7"/>
        <v>1.1000000000000001</v>
      </c>
      <c r="R77" s="100">
        <v>14.7</v>
      </c>
      <c r="S77" s="55">
        <v>115</v>
      </c>
      <c r="T77" s="57">
        <f t="shared" si="5"/>
        <v>30</v>
      </c>
      <c r="U77" s="100">
        <v>104</v>
      </c>
      <c r="V77" s="58">
        <f t="shared" si="6"/>
        <v>3120</v>
      </c>
      <c r="W77" s="100">
        <v>2</v>
      </c>
      <c r="X77" s="55" t="s">
        <v>46</v>
      </c>
      <c r="Y77" s="55" t="s">
        <v>84</v>
      </c>
      <c r="Z77" s="55" t="s">
        <v>90</v>
      </c>
      <c r="AA77" s="55" t="s">
        <v>50</v>
      </c>
      <c r="AB77" s="55" t="s">
        <v>183</v>
      </c>
    </row>
    <row r="78" spans="1:28" x14ac:dyDescent="0.15">
      <c r="A78" s="55" t="s">
        <v>41</v>
      </c>
      <c r="B78" s="100" t="s">
        <v>181</v>
      </c>
      <c r="C78" s="83">
        <v>2018</v>
      </c>
      <c r="D78" s="56" t="s">
        <v>192</v>
      </c>
      <c r="E78" s="100" t="s">
        <v>169</v>
      </c>
      <c r="F78" s="100" t="s">
        <v>174</v>
      </c>
      <c r="G78" s="55" t="s">
        <v>42</v>
      </c>
      <c r="H78" s="55" t="s">
        <v>128</v>
      </c>
      <c r="I78" s="55" t="s">
        <v>153</v>
      </c>
      <c r="J78" s="55" t="s">
        <v>80</v>
      </c>
      <c r="K78" s="55" t="s">
        <v>94</v>
      </c>
      <c r="L78" s="100">
        <v>2</v>
      </c>
      <c r="N78" s="100">
        <v>1</v>
      </c>
      <c r="O78" s="55">
        <v>1.2</v>
      </c>
      <c r="P78" s="55">
        <v>1.05</v>
      </c>
      <c r="Q78" s="57">
        <f t="shared" si="7"/>
        <v>1.125</v>
      </c>
      <c r="R78" s="100">
        <v>14.8</v>
      </c>
      <c r="S78" s="55">
        <v>117</v>
      </c>
      <c r="T78" s="57">
        <f t="shared" si="5"/>
        <v>30</v>
      </c>
      <c r="U78" s="100">
        <v>104</v>
      </c>
      <c r="V78" s="58">
        <f t="shared" si="6"/>
        <v>3120</v>
      </c>
      <c r="W78" s="100">
        <v>2</v>
      </c>
      <c r="X78" s="55" t="s">
        <v>46</v>
      </c>
      <c r="Y78" s="55" t="s">
        <v>84</v>
      </c>
      <c r="Z78" s="55" t="s">
        <v>90</v>
      </c>
      <c r="AA78" s="55" t="s">
        <v>50</v>
      </c>
      <c r="AB78" s="55" t="s">
        <v>183</v>
      </c>
    </row>
    <row r="79" spans="1:28" x14ac:dyDescent="0.15">
      <c r="A79" s="55" t="s">
        <v>41</v>
      </c>
      <c r="B79" s="100" t="s">
        <v>181</v>
      </c>
      <c r="C79" s="83">
        <v>2018</v>
      </c>
      <c r="D79" s="56" t="s">
        <v>192</v>
      </c>
      <c r="E79" s="100" t="s">
        <v>169</v>
      </c>
      <c r="F79" s="100" t="s">
        <v>174</v>
      </c>
      <c r="G79" s="55" t="s">
        <v>42</v>
      </c>
      <c r="H79" s="55" t="s">
        <v>128</v>
      </c>
      <c r="I79" s="55" t="s">
        <v>153</v>
      </c>
      <c r="J79" s="55" t="s">
        <v>80</v>
      </c>
      <c r="K79" s="55" t="s">
        <v>94</v>
      </c>
      <c r="L79" s="100">
        <v>3</v>
      </c>
      <c r="N79" s="100">
        <v>1</v>
      </c>
      <c r="O79" s="55">
        <v>1.05</v>
      </c>
      <c r="P79" s="55">
        <v>1</v>
      </c>
      <c r="Q79" s="57">
        <f t="shared" si="7"/>
        <v>1.0249999999999999</v>
      </c>
      <c r="R79" s="100">
        <v>14.4</v>
      </c>
      <c r="S79" s="55">
        <v>113</v>
      </c>
      <c r="T79" s="57">
        <f t="shared" si="5"/>
        <v>30</v>
      </c>
      <c r="U79" s="100">
        <v>104</v>
      </c>
      <c r="V79" s="58">
        <f t="shared" si="6"/>
        <v>3120</v>
      </c>
      <c r="W79" s="100">
        <v>2</v>
      </c>
      <c r="X79" s="55" t="s">
        <v>46</v>
      </c>
      <c r="Y79" s="55" t="s">
        <v>84</v>
      </c>
      <c r="Z79" s="55" t="s">
        <v>90</v>
      </c>
      <c r="AA79" s="55" t="s">
        <v>50</v>
      </c>
      <c r="AB79" s="55" t="s">
        <v>183</v>
      </c>
    </row>
  </sheetData>
  <autoFilter ref="A1:BA88"/>
  <dataConsolidate/>
  <phoneticPr fontId="3"/>
  <dataValidations count="13">
    <dataValidation operator="equal" allowBlank="1" showInputMessage="1" showErrorMessage="1" sqref="B2:B79"/>
    <dataValidation type="list" allowBlank="1" showInputMessage="1" showErrorMessage="1" sqref="K2:K79">
      <formula1>$AR$2:$AR$23</formula1>
    </dataValidation>
    <dataValidation type="decimal" allowBlank="1" showInputMessage="1" showErrorMessage="1" error="硬度を正しく入力して下さい。" sqref="O89:P271 O2:P79">
      <formula1>0</formula1>
      <formula2>7</formula2>
    </dataValidation>
    <dataValidation type="list" allowBlank="1" showInputMessage="1" showErrorMessage="1" sqref="Y89:AA1048576 Y1:AA79">
      <formula1>$AV$2:$AV$21</formula1>
    </dataValidation>
    <dataValidation type="list" allowBlank="1" showInputMessage="1" showErrorMessage="1" sqref="F89:F1048576 F1:F79">
      <formula1>$AH$2:$AH$11</formula1>
    </dataValidation>
    <dataValidation type="list" allowBlank="1" showInputMessage="1" showErrorMessage="1" sqref="E89:E1048576 E1:E79">
      <formula1>$AG$2:$AG$11</formula1>
    </dataValidation>
    <dataValidation type="list" allowBlank="1" showInputMessage="1" showErrorMessage="1" sqref="J89:J271 J2:J79">
      <formula1>$AP$2:$AP$19</formula1>
    </dataValidation>
    <dataValidation type="list" allowBlank="1" showInputMessage="1" showErrorMessage="1" sqref="A89:A271 A2:A79">
      <formula1>$AE$2:$AE$16</formula1>
    </dataValidation>
    <dataValidation type="list" allowBlank="1" showInputMessage="1" showErrorMessage="1" sqref="X89:X271 X2:X79">
      <formula1>$AT$2:$AT$3</formula1>
    </dataValidation>
    <dataValidation type="list" allowBlank="1" showInputMessage="1" showErrorMessage="1" sqref="I89:I271 I2:I79">
      <formula1>$AN$5:$AN$6</formula1>
    </dataValidation>
    <dataValidation type="list" allowBlank="1" showInputMessage="1" showErrorMessage="1" sqref="G89:G271 G2:G79">
      <formula1>$AJ$2:$AJ$4</formula1>
    </dataValidation>
    <dataValidation type="list" allowBlank="1" showInputMessage="1" showErrorMessage="1" sqref="H89:H271 H2:H79">
      <formula1>$AL$2:$AL$8</formula1>
    </dataValidation>
    <dataValidation type="list" allowBlank="1" showInputMessage="1" showErrorMessage="1" sqref="K89:K271">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H49" sqref="H49"/>
    </sheetView>
  </sheetViews>
  <sheetFormatPr defaultRowHeight="13.5" x14ac:dyDescent="0.15"/>
  <cols>
    <col min="1" max="1" width="9" style="87"/>
    <col min="2" max="2" width="9" style="95"/>
    <col min="3" max="3" width="9" style="87"/>
    <col min="4" max="4" width="10.5" style="87" bestFit="1" customWidth="1"/>
    <col min="5" max="13" width="9" style="87"/>
    <col min="14" max="14" width="9.5" style="87" bestFit="1" customWidth="1"/>
    <col min="15" max="16" width="9" style="87"/>
    <col min="17" max="17" width="9" style="16"/>
    <col min="18" max="19" width="9" style="87"/>
    <col min="20" max="20" width="9" style="16"/>
    <col min="21" max="21" width="9" style="87"/>
    <col min="22" max="22" width="9" style="16"/>
    <col min="23" max="27" width="9" style="87"/>
    <col min="28" max="28" width="9" style="95"/>
    <col min="29" max="32" width="9" style="87"/>
    <col min="33" max="33" width="15.875" style="87" bestFit="1" customWidth="1"/>
    <col min="34" max="34" width="11.375" style="87" bestFit="1" customWidth="1"/>
    <col min="35" max="259" width="9" style="87"/>
    <col min="260" max="260" width="10.5" style="87" bestFit="1" customWidth="1"/>
    <col min="261" max="269" width="9" style="87"/>
    <col min="270" max="270" width="9.5" style="87" bestFit="1" customWidth="1"/>
    <col min="271" max="288" width="9" style="87"/>
    <col min="289" max="289" width="15.875" style="87" bestFit="1" customWidth="1"/>
    <col min="290" max="290" width="11.375" style="87" bestFit="1" customWidth="1"/>
    <col min="291" max="515" width="9" style="87"/>
    <col min="516" max="516" width="10.5" style="87" bestFit="1" customWidth="1"/>
    <col min="517" max="525" width="9" style="87"/>
    <col min="526" max="526" width="9.5" style="87" bestFit="1" customWidth="1"/>
    <col min="527" max="544" width="9" style="87"/>
    <col min="545" max="545" width="15.875" style="87" bestFit="1" customWidth="1"/>
    <col min="546" max="546" width="11.375" style="87" bestFit="1" customWidth="1"/>
    <col min="547" max="771" width="9" style="87"/>
    <col min="772" max="772" width="10.5" style="87" bestFit="1" customWidth="1"/>
    <col min="773" max="781" width="9" style="87"/>
    <col min="782" max="782" width="9.5" style="87" bestFit="1" customWidth="1"/>
    <col min="783" max="800" width="9" style="87"/>
    <col min="801" max="801" width="15.875" style="87" bestFit="1" customWidth="1"/>
    <col min="802" max="802" width="11.375" style="87" bestFit="1" customWidth="1"/>
    <col min="803" max="1027" width="9" style="87"/>
    <col min="1028" max="1028" width="10.5" style="87" bestFit="1" customWidth="1"/>
    <col min="1029" max="1037" width="9" style="87"/>
    <col min="1038" max="1038" width="9.5" style="87" bestFit="1" customWidth="1"/>
    <col min="1039" max="1056" width="9" style="87"/>
    <col min="1057" max="1057" width="15.875" style="87" bestFit="1" customWidth="1"/>
    <col min="1058" max="1058" width="11.375" style="87" bestFit="1" customWidth="1"/>
    <col min="1059" max="1283" width="9" style="87"/>
    <col min="1284" max="1284" width="10.5" style="87" bestFit="1" customWidth="1"/>
    <col min="1285" max="1293" width="9" style="87"/>
    <col min="1294" max="1294" width="9.5" style="87" bestFit="1" customWidth="1"/>
    <col min="1295" max="1312" width="9" style="87"/>
    <col min="1313" max="1313" width="15.875" style="87" bestFit="1" customWidth="1"/>
    <col min="1314" max="1314" width="11.375" style="87" bestFit="1" customWidth="1"/>
    <col min="1315" max="1539" width="9" style="87"/>
    <col min="1540" max="1540" width="10.5" style="87" bestFit="1" customWidth="1"/>
    <col min="1541" max="1549" width="9" style="87"/>
    <col min="1550" max="1550" width="9.5" style="87" bestFit="1" customWidth="1"/>
    <col min="1551" max="1568" width="9" style="87"/>
    <col min="1569" max="1569" width="15.875" style="87" bestFit="1" customWidth="1"/>
    <col min="1570" max="1570" width="11.375" style="87" bestFit="1" customWidth="1"/>
    <col min="1571" max="1795" width="9" style="87"/>
    <col min="1796" max="1796" width="10.5" style="87" bestFit="1" customWidth="1"/>
    <col min="1797" max="1805" width="9" style="87"/>
    <col min="1806" max="1806" width="9.5" style="87" bestFit="1" customWidth="1"/>
    <col min="1807" max="1824" width="9" style="87"/>
    <col min="1825" max="1825" width="15.875" style="87" bestFit="1" customWidth="1"/>
    <col min="1826" max="1826" width="11.375" style="87" bestFit="1" customWidth="1"/>
    <col min="1827" max="2051" width="9" style="87"/>
    <col min="2052" max="2052" width="10.5" style="87" bestFit="1" customWidth="1"/>
    <col min="2053" max="2061" width="9" style="87"/>
    <col min="2062" max="2062" width="9.5" style="87" bestFit="1" customWidth="1"/>
    <col min="2063" max="2080" width="9" style="87"/>
    <col min="2081" max="2081" width="15.875" style="87" bestFit="1" customWidth="1"/>
    <col min="2082" max="2082" width="11.375" style="87" bestFit="1" customWidth="1"/>
    <col min="2083" max="2307" width="9" style="87"/>
    <col min="2308" max="2308" width="10.5" style="87" bestFit="1" customWidth="1"/>
    <col min="2309" max="2317" width="9" style="87"/>
    <col min="2318" max="2318" width="9.5" style="87" bestFit="1" customWidth="1"/>
    <col min="2319" max="2336" width="9" style="87"/>
    <col min="2337" max="2337" width="15.875" style="87" bestFit="1" customWidth="1"/>
    <col min="2338" max="2338" width="11.375" style="87" bestFit="1" customWidth="1"/>
    <col min="2339" max="2563" width="9" style="87"/>
    <col min="2564" max="2564" width="10.5" style="87" bestFit="1" customWidth="1"/>
    <col min="2565" max="2573" width="9" style="87"/>
    <col min="2574" max="2574" width="9.5" style="87" bestFit="1" customWidth="1"/>
    <col min="2575" max="2592" width="9" style="87"/>
    <col min="2593" max="2593" width="15.875" style="87" bestFit="1" customWidth="1"/>
    <col min="2594" max="2594" width="11.375" style="87" bestFit="1" customWidth="1"/>
    <col min="2595" max="2819" width="9" style="87"/>
    <col min="2820" max="2820" width="10.5" style="87" bestFit="1" customWidth="1"/>
    <col min="2821" max="2829" width="9" style="87"/>
    <col min="2830" max="2830" width="9.5" style="87" bestFit="1" customWidth="1"/>
    <col min="2831" max="2848" width="9" style="87"/>
    <col min="2849" max="2849" width="15.875" style="87" bestFit="1" customWidth="1"/>
    <col min="2850" max="2850" width="11.375" style="87" bestFit="1" customWidth="1"/>
    <col min="2851" max="3075" width="9" style="87"/>
    <col min="3076" max="3076" width="10.5" style="87" bestFit="1" customWidth="1"/>
    <col min="3077" max="3085" width="9" style="87"/>
    <col min="3086" max="3086" width="9.5" style="87" bestFit="1" customWidth="1"/>
    <col min="3087" max="3104" width="9" style="87"/>
    <col min="3105" max="3105" width="15.875" style="87" bestFit="1" customWidth="1"/>
    <col min="3106" max="3106" width="11.375" style="87" bestFit="1" customWidth="1"/>
    <col min="3107" max="3331" width="9" style="87"/>
    <col min="3332" max="3332" width="10.5" style="87" bestFit="1" customWidth="1"/>
    <col min="3333" max="3341" width="9" style="87"/>
    <col min="3342" max="3342" width="9.5" style="87" bestFit="1" customWidth="1"/>
    <col min="3343" max="3360" width="9" style="87"/>
    <col min="3361" max="3361" width="15.875" style="87" bestFit="1" customWidth="1"/>
    <col min="3362" max="3362" width="11.375" style="87" bestFit="1" customWidth="1"/>
    <col min="3363" max="3587" width="9" style="87"/>
    <col min="3588" max="3588" width="10.5" style="87" bestFit="1" customWidth="1"/>
    <col min="3589" max="3597" width="9" style="87"/>
    <col min="3598" max="3598" width="9.5" style="87" bestFit="1" customWidth="1"/>
    <col min="3599" max="3616" width="9" style="87"/>
    <col min="3617" max="3617" width="15.875" style="87" bestFit="1" customWidth="1"/>
    <col min="3618" max="3618" width="11.375" style="87" bestFit="1" customWidth="1"/>
    <col min="3619" max="3843" width="9" style="87"/>
    <col min="3844" max="3844" width="10.5" style="87" bestFit="1" customWidth="1"/>
    <col min="3845" max="3853" width="9" style="87"/>
    <col min="3854" max="3854" width="9.5" style="87" bestFit="1" customWidth="1"/>
    <col min="3855" max="3872" width="9" style="87"/>
    <col min="3873" max="3873" width="15.875" style="87" bestFit="1" customWidth="1"/>
    <col min="3874" max="3874" width="11.375" style="87" bestFit="1" customWidth="1"/>
    <col min="3875" max="4099" width="9" style="87"/>
    <col min="4100" max="4100" width="10.5" style="87" bestFit="1" customWidth="1"/>
    <col min="4101" max="4109" width="9" style="87"/>
    <col min="4110" max="4110" width="9.5" style="87" bestFit="1" customWidth="1"/>
    <col min="4111" max="4128" width="9" style="87"/>
    <col min="4129" max="4129" width="15.875" style="87" bestFit="1" customWidth="1"/>
    <col min="4130" max="4130" width="11.375" style="87" bestFit="1" customWidth="1"/>
    <col min="4131" max="4355" width="9" style="87"/>
    <col min="4356" max="4356" width="10.5" style="87" bestFit="1" customWidth="1"/>
    <col min="4357" max="4365" width="9" style="87"/>
    <col min="4366" max="4366" width="9.5" style="87" bestFit="1" customWidth="1"/>
    <col min="4367" max="4384" width="9" style="87"/>
    <col min="4385" max="4385" width="15.875" style="87" bestFit="1" customWidth="1"/>
    <col min="4386" max="4386" width="11.375" style="87" bestFit="1" customWidth="1"/>
    <col min="4387" max="4611" width="9" style="87"/>
    <col min="4612" max="4612" width="10.5" style="87" bestFit="1" customWidth="1"/>
    <col min="4613" max="4621" width="9" style="87"/>
    <col min="4622" max="4622" width="9.5" style="87" bestFit="1" customWidth="1"/>
    <col min="4623" max="4640" width="9" style="87"/>
    <col min="4641" max="4641" width="15.875" style="87" bestFit="1" customWidth="1"/>
    <col min="4642" max="4642" width="11.375" style="87" bestFit="1" customWidth="1"/>
    <col min="4643" max="4867" width="9" style="87"/>
    <col min="4868" max="4868" width="10.5" style="87" bestFit="1" customWidth="1"/>
    <col min="4869" max="4877" width="9" style="87"/>
    <col min="4878" max="4878" width="9.5" style="87" bestFit="1" customWidth="1"/>
    <col min="4879" max="4896" width="9" style="87"/>
    <col min="4897" max="4897" width="15.875" style="87" bestFit="1" customWidth="1"/>
    <col min="4898" max="4898" width="11.375" style="87" bestFit="1" customWidth="1"/>
    <col min="4899" max="5123" width="9" style="87"/>
    <col min="5124" max="5124" width="10.5" style="87" bestFit="1" customWidth="1"/>
    <col min="5125" max="5133" width="9" style="87"/>
    <col min="5134" max="5134" width="9.5" style="87" bestFit="1" customWidth="1"/>
    <col min="5135" max="5152" width="9" style="87"/>
    <col min="5153" max="5153" width="15.875" style="87" bestFit="1" customWidth="1"/>
    <col min="5154" max="5154" width="11.375" style="87" bestFit="1" customWidth="1"/>
    <col min="5155" max="5379" width="9" style="87"/>
    <col min="5380" max="5380" width="10.5" style="87" bestFit="1" customWidth="1"/>
    <col min="5381" max="5389" width="9" style="87"/>
    <col min="5390" max="5390" width="9.5" style="87" bestFit="1" customWidth="1"/>
    <col min="5391" max="5408" width="9" style="87"/>
    <col min="5409" max="5409" width="15.875" style="87" bestFit="1" customWidth="1"/>
    <col min="5410" max="5410" width="11.375" style="87" bestFit="1" customWidth="1"/>
    <col min="5411" max="5635" width="9" style="87"/>
    <col min="5636" max="5636" width="10.5" style="87" bestFit="1" customWidth="1"/>
    <col min="5637" max="5645" width="9" style="87"/>
    <col min="5646" max="5646" width="9.5" style="87" bestFit="1" customWidth="1"/>
    <col min="5647" max="5664" width="9" style="87"/>
    <col min="5665" max="5665" width="15.875" style="87" bestFit="1" customWidth="1"/>
    <col min="5666" max="5666" width="11.375" style="87" bestFit="1" customWidth="1"/>
    <col min="5667" max="5891" width="9" style="87"/>
    <col min="5892" max="5892" width="10.5" style="87" bestFit="1" customWidth="1"/>
    <col min="5893" max="5901" width="9" style="87"/>
    <col min="5902" max="5902" width="9.5" style="87" bestFit="1" customWidth="1"/>
    <col min="5903" max="5920" width="9" style="87"/>
    <col min="5921" max="5921" width="15.875" style="87" bestFit="1" customWidth="1"/>
    <col min="5922" max="5922" width="11.375" style="87" bestFit="1" customWidth="1"/>
    <col min="5923" max="6147" width="9" style="87"/>
    <col min="6148" max="6148" width="10.5" style="87" bestFit="1" customWidth="1"/>
    <col min="6149" max="6157" width="9" style="87"/>
    <col min="6158" max="6158" width="9.5" style="87" bestFit="1" customWidth="1"/>
    <col min="6159" max="6176" width="9" style="87"/>
    <col min="6177" max="6177" width="15.875" style="87" bestFit="1" customWidth="1"/>
    <col min="6178" max="6178" width="11.375" style="87" bestFit="1" customWidth="1"/>
    <col min="6179" max="6403" width="9" style="87"/>
    <col min="6404" max="6404" width="10.5" style="87" bestFit="1" customWidth="1"/>
    <col min="6405" max="6413" width="9" style="87"/>
    <col min="6414" max="6414" width="9.5" style="87" bestFit="1" customWidth="1"/>
    <col min="6415" max="6432" width="9" style="87"/>
    <col min="6433" max="6433" width="15.875" style="87" bestFit="1" customWidth="1"/>
    <col min="6434" max="6434" width="11.375" style="87" bestFit="1" customWidth="1"/>
    <col min="6435" max="6659" width="9" style="87"/>
    <col min="6660" max="6660" width="10.5" style="87" bestFit="1" customWidth="1"/>
    <col min="6661" max="6669" width="9" style="87"/>
    <col min="6670" max="6670" width="9.5" style="87" bestFit="1" customWidth="1"/>
    <col min="6671" max="6688" width="9" style="87"/>
    <col min="6689" max="6689" width="15.875" style="87" bestFit="1" customWidth="1"/>
    <col min="6690" max="6690" width="11.375" style="87" bestFit="1" customWidth="1"/>
    <col min="6691" max="6915" width="9" style="87"/>
    <col min="6916" max="6916" width="10.5" style="87" bestFit="1" customWidth="1"/>
    <col min="6917" max="6925" width="9" style="87"/>
    <col min="6926" max="6926" width="9.5" style="87" bestFit="1" customWidth="1"/>
    <col min="6927" max="6944" width="9" style="87"/>
    <col min="6945" max="6945" width="15.875" style="87" bestFit="1" customWidth="1"/>
    <col min="6946" max="6946" width="11.375" style="87" bestFit="1" customWidth="1"/>
    <col min="6947" max="7171" width="9" style="87"/>
    <col min="7172" max="7172" width="10.5" style="87" bestFit="1" customWidth="1"/>
    <col min="7173" max="7181" width="9" style="87"/>
    <col min="7182" max="7182" width="9.5" style="87" bestFit="1" customWidth="1"/>
    <col min="7183" max="7200" width="9" style="87"/>
    <col min="7201" max="7201" width="15.875" style="87" bestFit="1" customWidth="1"/>
    <col min="7202" max="7202" width="11.375" style="87" bestFit="1" customWidth="1"/>
    <col min="7203" max="7427" width="9" style="87"/>
    <col min="7428" max="7428" width="10.5" style="87" bestFit="1" customWidth="1"/>
    <col min="7429" max="7437" width="9" style="87"/>
    <col min="7438" max="7438" width="9.5" style="87" bestFit="1" customWidth="1"/>
    <col min="7439" max="7456" width="9" style="87"/>
    <col min="7457" max="7457" width="15.875" style="87" bestFit="1" customWidth="1"/>
    <col min="7458" max="7458" width="11.375" style="87" bestFit="1" customWidth="1"/>
    <col min="7459" max="7683" width="9" style="87"/>
    <col min="7684" max="7684" width="10.5" style="87" bestFit="1" customWidth="1"/>
    <col min="7685" max="7693" width="9" style="87"/>
    <col min="7694" max="7694" width="9.5" style="87" bestFit="1" customWidth="1"/>
    <col min="7695" max="7712" width="9" style="87"/>
    <col min="7713" max="7713" width="15.875" style="87" bestFit="1" customWidth="1"/>
    <col min="7714" max="7714" width="11.375" style="87" bestFit="1" customWidth="1"/>
    <col min="7715" max="7939" width="9" style="87"/>
    <col min="7940" max="7940" width="10.5" style="87" bestFit="1" customWidth="1"/>
    <col min="7941" max="7949" width="9" style="87"/>
    <col min="7950" max="7950" width="9.5" style="87" bestFit="1" customWidth="1"/>
    <col min="7951" max="7968" width="9" style="87"/>
    <col min="7969" max="7969" width="15.875" style="87" bestFit="1" customWidth="1"/>
    <col min="7970" max="7970" width="11.375" style="87" bestFit="1" customWidth="1"/>
    <col min="7971" max="8195" width="9" style="87"/>
    <col min="8196" max="8196" width="10.5" style="87" bestFit="1" customWidth="1"/>
    <col min="8197" max="8205" width="9" style="87"/>
    <col min="8206" max="8206" width="9.5" style="87" bestFit="1" customWidth="1"/>
    <col min="8207" max="8224" width="9" style="87"/>
    <col min="8225" max="8225" width="15.875" style="87" bestFit="1" customWidth="1"/>
    <col min="8226" max="8226" width="11.375" style="87" bestFit="1" customWidth="1"/>
    <col min="8227" max="8451" width="9" style="87"/>
    <col min="8452" max="8452" width="10.5" style="87" bestFit="1" customWidth="1"/>
    <col min="8453" max="8461" width="9" style="87"/>
    <col min="8462" max="8462" width="9.5" style="87" bestFit="1" customWidth="1"/>
    <col min="8463" max="8480" width="9" style="87"/>
    <col min="8481" max="8481" width="15.875" style="87" bestFit="1" customWidth="1"/>
    <col min="8482" max="8482" width="11.375" style="87" bestFit="1" customWidth="1"/>
    <col min="8483" max="8707" width="9" style="87"/>
    <col min="8708" max="8708" width="10.5" style="87" bestFit="1" customWidth="1"/>
    <col min="8709" max="8717" width="9" style="87"/>
    <col min="8718" max="8718" width="9.5" style="87" bestFit="1" customWidth="1"/>
    <col min="8719" max="8736" width="9" style="87"/>
    <col min="8737" max="8737" width="15.875" style="87" bestFit="1" customWidth="1"/>
    <col min="8738" max="8738" width="11.375" style="87" bestFit="1" customWidth="1"/>
    <col min="8739" max="8963" width="9" style="87"/>
    <col min="8964" max="8964" width="10.5" style="87" bestFit="1" customWidth="1"/>
    <col min="8965" max="8973" width="9" style="87"/>
    <col min="8974" max="8974" width="9.5" style="87" bestFit="1" customWidth="1"/>
    <col min="8975" max="8992" width="9" style="87"/>
    <col min="8993" max="8993" width="15.875" style="87" bestFit="1" customWidth="1"/>
    <col min="8994" max="8994" width="11.375" style="87" bestFit="1" customWidth="1"/>
    <col min="8995" max="9219" width="9" style="87"/>
    <col min="9220" max="9220" width="10.5" style="87" bestFit="1" customWidth="1"/>
    <col min="9221" max="9229" width="9" style="87"/>
    <col min="9230" max="9230" width="9.5" style="87" bestFit="1" customWidth="1"/>
    <col min="9231" max="9248" width="9" style="87"/>
    <col min="9249" max="9249" width="15.875" style="87" bestFit="1" customWidth="1"/>
    <col min="9250" max="9250" width="11.375" style="87" bestFit="1" customWidth="1"/>
    <col min="9251" max="9475" width="9" style="87"/>
    <col min="9476" max="9476" width="10.5" style="87" bestFit="1" customWidth="1"/>
    <col min="9477" max="9485" width="9" style="87"/>
    <col min="9486" max="9486" width="9.5" style="87" bestFit="1" customWidth="1"/>
    <col min="9487" max="9504" width="9" style="87"/>
    <col min="9505" max="9505" width="15.875" style="87" bestFit="1" customWidth="1"/>
    <col min="9506" max="9506" width="11.375" style="87" bestFit="1" customWidth="1"/>
    <col min="9507" max="9731" width="9" style="87"/>
    <col min="9732" max="9732" width="10.5" style="87" bestFit="1" customWidth="1"/>
    <col min="9733" max="9741" width="9" style="87"/>
    <col min="9742" max="9742" width="9.5" style="87" bestFit="1" customWidth="1"/>
    <col min="9743" max="9760" width="9" style="87"/>
    <col min="9761" max="9761" width="15.875" style="87" bestFit="1" customWidth="1"/>
    <col min="9762" max="9762" width="11.375" style="87" bestFit="1" customWidth="1"/>
    <col min="9763" max="9987" width="9" style="87"/>
    <col min="9988" max="9988" width="10.5" style="87" bestFit="1" customWidth="1"/>
    <col min="9989" max="9997" width="9" style="87"/>
    <col min="9998" max="9998" width="9.5" style="87" bestFit="1" customWidth="1"/>
    <col min="9999" max="10016" width="9" style="87"/>
    <col min="10017" max="10017" width="15.875" style="87" bestFit="1" customWidth="1"/>
    <col min="10018" max="10018" width="11.375" style="87" bestFit="1" customWidth="1"/>
    <col min="10019" max="10243" width="9" style="87"/>
    <col min="10244" max="10244" width="10.5" style="87" bestFit="1" customWidth="1"/>
    <col min="10245" max="10253" width="9" style="87"/>
    <col min="10254" max="10254" width="9.5" style="87" bestFit="1" customWidth="1"/>
    <col min="10255" max="10272" width="9" style="87"/>
    <col min="10273" max="10273" width="15.875" style="87" bestFit="1" customWidth="1"/>
    <col min="10274" max="10274" width="11.375" style="87" bestFit="1" customWidth="1"/>
    <col min="10275" max="10499" width="9" style="87"/>
    <col min="10500" max="10500" width="10.5" style="87" bestFit="1" customWidth="1"/>
    <col min="10501" max="10509" width="9" style="87"/>
    <col min="10510" max="10510" width="9.5" style="87" bestFit="1" customWidth="1"/>
    <col min="10511" max="10528" width="9" style="87"/>
    <col min="10529" max="10529" width="15.875" style="87" bestFit="1" customWidth="1"/>
    <col min="10530" max="10530" width="11.375" style="87" bestFit="1" customWidth="1"/>
    <col min="10531" max="10755" width="9" style="87"/>
    <col min="10756" max="10756" width="10.5" style="87" bestFit="1" customWidth="1"/>
    <col min="10757" max="10765" width="9" style="87"/>
    <col min="10766" max="10766" width="9.5" style="87" bestFit="1" customWidth="1"/>
    <col min="10767" max="10784" width="9" style="87"/>
    <col min="10785" max="10785" width="15.875" style="87" bestFit="1" customWidth="1"/>
    <col min="10786" max="10786" width="11.375" style="87" bestFit="1" customWidth="1"/>
    <col min="10787" max="11011" width="9" style="87"/>
    <col min="11012" max="11012" width="10.5" style="87" bestFit="1" customWidth="1"/>
    <col min="11013" max="11021" width="9" style="87"/>
    <col min="11022" max="11022" width="9.5" style="87" bestFit="1" customWidth="1"/>
    <col min="11023" max="11040" width="9" style="87"/>
    <col min="11041" max="11041" width="15.875" style="87" bestFit="1" customWidth="1"/>
    <col min="11042" max="11042" width="11.375" style="87" bestFit="1" customWidth="1"/>
    <col min="11043" max="11267" width="9" style="87"/>
    <col min="11268" max="11268" width="10.5" style="87" bestFit="1" customWidth="1"/>
    <col min="11269" max="11277" width="9" style="87"/>
    <col min="11278" max="11278" width="9.5" style="87" bestFit="1" customWidth="1"/>
    <col min="11279" max="11296" width="9" style="87"/>
    <col min="11297" max="11297" width="15.875" style="87" bestFit="1" customWidth="1"/>
    <col min="11298" max="11298" width="11.375" style="87" bestFit="1" customWidth="1"/>
    <col min="11299" max="11523" width="9" style="87"/>
    <col min="11524" max="11524" width="10.5" style="87" bestFit="1" customWidth="1"/>
    <col min="11525" max="11533" width="9" style="87"/>
    <col min="11534" max="11534" width="9.5" style="87" bestFit="1" customWidth="1"/>
    <col min="11535" max="11552" width="9" style="87"/>
    <col min="11553" max="11553" width="15.875" style="87" bestFit="1" customWidth="1"/>
    <col min="11554" max="11554" width="11.375" style="87" bestFit="1" customWidth="1"/>
    <col min="11555" max="11779" width="9" style="87"/>
    <col min="11780" max="11780" width="10.5" style="87" bestFit="1" customWidth="1"/>
    <col min="11781" max="11789" width="9" style="87"/>
    <col min="11790" max="11790" width="9.5" style="87" bestFit="1" customWidth="1"/>
    <col min="11791" max="11808" width="9" style="87"/>
    <col min="11809" max="11809" width="15.875" style="87" bestFit="1" customWidth="1"/>
    <col min="11810" max="11810" width="11.375" style="87" bestFit="1" customWidth="1"/>
    <col min="11811" max="12035" width="9" style="87"/>
    <col min="12036" max="12036" width="10.5" style="87" bestFit="1" customWidth="1"/>
    <col min="12037" max="12045" width="9" style="87"/>
    <col min="12046" max="12046" width="9.5" style="87" bestFit="1" customWidth="1"/>
    <col min="12047" max="12064" width="9" style="87"/>
    <col min="12065" max="12065" width="15.875" style="87" bestFit="1" customWidth="1"/>
    <col min="12066" max="12066" width="11.375" style="87" bestFit="1" customWidth="1"/>
    <col min="12067" max="12291" width="9" style="87"/>
    <col min="12292" max="12292" width="10.5" style="87" bestFit="1" customWidth="1"/>
    <col min="12293" max="12301" width="9" style="87"/>
    <col min="12302" max="12302" width="9.5" style="87" bestFit="1" customWidth="1"/>
    <col min="12303" max="12320" width="9" style="87"/>
    <col min="12321" max="12321" width="15.875" style="87" bestFit="1" customWidth="1"/>
    <col min="12322" max="12322" width="11.375" style="87" bestFit="1" customWidth="1"/>
    <col min="12323" max="12547" width="9" style="87"/>
    <col min="12548" max="12548" width="10.5" style="87" bestFit="1" customWidth="1"/>
    <col min="12549" max="12557" width="9" style="87"/>
    <col min="12558" max="12558" width="9.5" style="87" bestFit="1" customWidth="1"/>
    <col min="12559" max="12576" width="9" style="87"/>
    <col min="12577" max="12577" width="15.875" style="87" bestFit="1" customWidth="1"/>
    <col min="12578" max="12578" width="11.375" style="87" bestFit="1" customWidth="1"/>
    <col min="12579" max="12803" width="9" style="87"/>
    <col min="12804" max="12804" width="10.5" style="87" bestFit="1" customWidth="1"/>
    <col min="12805" max="12813" width="9" style="87"/>
    <col min="12814" max="12814" width="9.5" style="87" bestFit="1" customWidth="1"/>
    <col min="12815" max="12832" width="9" style="87"/>
    <col min="12833" max="12833" width="15.875" style="87" bestFit="1" customWidth="1"/>
    <col min="12834" max="12834" width="11.375" style="87" bestFit="1" customWidth="1"/>
    <col min="12835" max="13059" width="9" style="87"/>
    <col min="13060" max="13060" width="10.5" style="87" bestFit="1" customWidth="1"/>
    <col min="13061" max="13069" width="9" style="87"/>
    <col min="13070" max="13070" width="9.5" style="87" bestFit="1" customWidth="1"/>
    <col min="13071" max="13088" width="9" style="87"/>
    <col min="13089" max="13089" width="15.875" style="87" bestFit="1" customWidth="1"/>
    <col min="13090" max="13090" width="11.375" style="87" bestFit="1" customWidth="1"/>
    <col min="13091" max="13315" width="9" style="87"/>
    <col min="13316" max="13316" width="10.5" style="87" bestFit="1" customWidth="1"/>
    <col min="13317" max="13325" width="9" style="87"/>
    <col min="13326" max="13326" width="9.5" style="87" bestFit="1" customWidth="1"/>
    <col min="13327" max="13344" width="9" style="87"/>
    <col min="13345" max="13345" width="15.875" style="87" bestFit="1" customWidth="1"/>
    <col min="13346" max="13346" width="11.375" style="87" bestFit="1" customWidth="1"/>
    <col min="13347" max="13571" width="9" style="87"/>
    <col min="13572" max="13572" width="10.5" style="87" bestFit="1" customWidth="1"/>
    <col min="13573" max="13581" width="9" style="87"/>
    <col min="13582" max="13582" width="9.5" style="87" bestFit="1" customWidth="1"/>
    <col min="13583" max="13600" width="9" style="87"/>
    <col min="13601" max="13601" width="15.875" style="87" bestFit="1" customWidth="1"/>
    <col min="13602" max="13602" width="11.375" style="87" bestFit="1" customWidth="1"/>
    <col min="13603" max="13827" width="9" style="87"/>
    <col min="13828" max="13828" width="10.5" style="87" bestFit="1" customWidth="1"/>
    <col min="13829" max="13837" width="9" style="87"/>
    <col min="13838" max="13838" width="9.5" style="87" bestFit="1" customWidth="1"/>
    <col min="13839" max="13856" width="9" style="87"/>
    <col min="13857" max="13857" width="15.875" style="87" bestFit="1" customWidth="1"/>
    <col min="13858" max="13858" width="11.375" style="87" bestFit="1" customWidth="1"/>
    <col min="13859" max="14083" width="9" style="87"/>
    <col min="14084" max="14084" width="10.5" style="87" bestFit="1" customWidth="1"/>
    <col min="14085" max="14093" width="9" style="87"/>
    <col min="14094" max="14094" width="9.5" style="87" bestFit="1" customWidth="1"/>
    <col min="14095" max="14112" width="9" style="87"/>
    <col min="14113" max="14113" width="15.875" style="87" bestFit="1" customWidth="1"/>
    <col min="14114" max="14114" width="11.375" style="87" bestFit="1" customWidth="1"/>
    <col min="14115" max="14339" width="9" style="87"/>
    <col min="14340" max="14340" width="10.5" style="87" bestFit="1" customWidth="1"/>
    <col min="14341" max="14349" width="9" style="87"/>
    <col min="14350" max="14350" width="9.5" style="87" bestFit="1" customWidth="1"/>
    <col min="14351" max="14368" width="9" style="87"/>
    <col min="14369" max="14369" width="15.875" style="87" bestFit="1" customWidth="1"/>
    <col min="14370" max="14370" width="11.375" style="87" bestFit="1" customWidth="1"/>
    <col min="14371" max="14595" width="9" style="87"/>
    <col min="14596" max="14596" width="10.5" style="87" bestFit="1" customWidth="1"/>
    <col min="14597" max="14605" width="9" style="87"/>
    <col min="14606" max="14606" width="9.5" style="87" bestFit="1" customWidth="1"/>
    <col min="14607" max="14624" width="9" style="87"/>
    <col min="14625" max="14625" width="15.875" style="87" bestFit="1" customWidth="1"/>
    <col min="14626" max="14626" width="11.375" style="87" bestFit="1" customWidth="1"/>
    <col min="14627" max="14851" width="9" style="87"/>
    <col min="14852" max="14852" width="10.5" style="87" bestFit="1" customWidth="1"/>
    <col min="14853" max="14861" width="9" style="87"/>
    <col min="14862" max="14862" width="9.5" style="87" bestFit="1" customWidth="1"/>
    <col min="14863" max="14880" width="9" style="87"/>
    <col min="14881" max="14881" width="15.875" style="87" bestFit="1" customWidth="1"/>
    <col min="14882" max="14882" width="11.375" style="87" bestFit="1" customWidth="1"/>
    <col min="14883" max="15107" width="9" style="87"/>
    <col min="15108" max="15108" width="10.5" style="87" bestFit="1" customWidth="1"/>
    <col min="15109" max="15117" width="9" style="87"/>
    <col min="15118" max="15118" width="9.5" style="87" bestFit="1" customWidth="1"/>
    <col min="15119" max="15136" width="9" style="87"/>
    <col min="15137" max="15137" width="15.875" style="87" bestFit="1" customWidth="1"/>
    <col min="15138" max="15138" width="11.375" style="87" bestFit="1" customWidth="1"/>
    <col min="15139" max="15363" width="9" style="87"/>
    <col min="15364" max="15364" width="10.5" style="87" bestFit="1" customWidth="1"/>
    <col min="15365" max="15373" width="9" style="87"/>
    <col min="15374" max="15374" width="9.5" style="87" bestFit="1" customWidth="1"/>
    <col min="15375" max="15392" width="9" style="87"/>
    <col min="15393" max="15393" width="15.875" style="87" bestFit="1" customWidth="1"/>
    <col min="15394" max="15394" width="11.375" style="87" bestFit="1" customWidth="1"/>
    <col min="15395" max="15619" width="9" style="87"/>
    <col min="15620" max="15620" width="10.5" style="87" bestFit="1" customWidth="1"/>
    <col min="15621" max="15629" width="9" style="87"/>
    <col min="15630" max="15630" width="9.5" style="87" bestFit="1" customWidth="1"/>
    <col min="15631" max="15648" width="9" style="87"/>
    <col min="15649" max="15649" width="15.875" style="87" bestFit="1" customWidth="1"/>
    <col min="15650" max="15650" width="11.375" style="87" bestFit="1" customWidth="1"/>
    <col min="15651" max="15875" width="9" style="87"/>
    <col min="15876" max="15876" width="10.5" style="87" bestFit="1" customWidth="1"/>
    <col min="15877" max="15885" width="9" style="87"/>
    <col min="15886" max="15886" width="9.5" style="87" bestFit="1" customWidth="1"/>
    <col min="15887" max="15904" width="9" style="87"/>
    <col min="15905" max="15905" width="15.875" style="87" bestFit="1" customWidth="1"/>
    <col min="15906" max="15906" width="11.375" style="87" bestFit="1" customWidth="1"/>
    <col min="15907" max="16131" width="9" style="87"/>
    <col min="16132" max="16132" width="10.5" style="87" bestFit="1" customWidth="1"/>
    <col min="16133" max="16141" width="9" style="87"/>
    <col min="16142" max="16142" width="9.5" style="87" bestFit="1" customWidth="1"/>
    <col min="16143" max="16160" width="9" style="87"/>
    <col min="16161" max="16161" width="15.875" style="87" bestFit="1" customWidth="1"/>
    <col min="16162" max="16162" width="11.375" style="87" bestFit="1" customWidth="1"/>
    <col min="16163" max="16384" width="9" style="87"/>
  </cols>
  <sheetData>
    <row r="1" spans="1:53" ht="45" x14ac:dyDescent="0.15">
      <c r="A1" s="109" t="s">
        <v>0</v>
      </c>
      <c r="B1" s="84" t="s">
        <v>1</v>
      </c>
      <c r="C1" s="84" t="s">
        <v>156</v>
      </c>
      <c r="D1" s="85" t="s">
        <v>3</v>
      </c>
      <c r="E1" s="110" t="s">
        <v>4</v>
      </c>
      <c r="F1" s="110" t="s">
        <v>5</v>
      </c>
      <c r="G1" s="110" t="s">
        <v>6</v>
      </c>
      <c r="H1" s="110" t="s">
        <v>7</v>
      </c>
      <c r="I1" s="110" t="s">
        <v>8</v>
      </c>
      <c r="J1" s="110" t="s">
        <v>9</v>
      </c>
      <c r="K1" s="110" t="s">
        <v>10</v>
      </c>
      <c r="L1" s="85" t="s">
        <v>205</v>
      </c>
      <c r="M1" s="85" t="s">
        <v>12</v>
      </c>
      <c r="N1" s="85" t="s">
        <v>13</v>
      </c>
      <c r="O1" s="85" t="s">
        <v>163</v>
      </c>
      <c r="P1" s="85" t="s">
        <v>15</v>
      </c>
      <c r="Q1" s="3" t="s">
        <v>16</v>
      </c>
      <c r="R1" s="85" t="s">
        <v>17</v>
      </c>
      <c r="S1" s="85" t="s">
        <v>18</v>
      </c>
      <c r="T1" s="3" t="s">
        <v>19</v>
      </c>
      <c r="U1" s="86" t="s">
        <v>108</v>
      </c>
      <c r="V1" s="5" t="s">
        <v>20</v>
      </c>
      <c r="W1" s="85" t="s">
        <v>21</v>
      </c>
      <c r="X1" s="110" t="s">
        <v>22</v>
      </c>
      <c r="Y1" s="110" t="s">
        <v>23</v>
      </c>
      <c r="Z1" s="110" t="s">
        <v>24</v>
      </c>
      <c r="AA1" s="111" t="s">
        <v>25</v>
      </c>
      <c r="AB1" s="6" t="s">
        <v>206</v>
      </c>
      <c r="AE1" s="88" t="s">
        <v>0</v>
      </c>
      <c r="AF1" s="89"/>
      <c r="AG1" s="88" t="s">
        <v>4</v>
      </c>
      <c r="AH1" s="88" t="s">
        <v>5</v>
      </c>
      <c r="AI1" s="89"/>
      <c r="AJ1" s="88" t="s">
        <v>6</v>
      </c>
      <c r="AK1" s="89"/>
      <c r="AL1" s="90" t="s">
        <v>7</v>
      </c>
      <c r="AM1" s="89"/>
      <c r="AN1" s="90" t="s">
        <v>8</v>
      </c>
      <c r="AO1" s="89"/>
      <c r="AP1" s="90" t="s">
        <v>27</v>
      </c>
      <c r="AQ1" s="89"/>
      <c r="AR1" s="90" t="s">
        <v>10</v>
      </c>
      <c r="AS1" s="89"/>
      <c r="AT1" s="91" t="s">
        <v>28</v>
      </c>
      <c r="AU1" s="89"/>
      <c r="AV1" s="90" t="s">
        <v>29</v>
      </c>
      <c r="AX1" s="92" t="s">
        <v>207</v>
      </c>
      <c r="AY1" s="93" t="s">
        <v>158</v>
      </c>
      <c r="AZ1" s="93" t="s">
        <v>164</v>
      </c>
      <c r="BA1" s="94" t="s">
        <v>165</v>
      </c>
    </row>
    <row r="2" spans="1:53" s="95" customFormat="1" x14ac:dyDescent="0.15">
      <c r="A2" s="55" t="s">
        <v>56</v>
      </c>
      <c r="B2" s="55" t="s">
        <v>182</v>
      </c>
      <c r="C2" s="95">
        <v>2018</v>
      </c>
      <c r="D2" s="112" t="s">
        <v>208</v>
      </c>
      <c r="E2" s="95" t="s">
        <v>209</v>
      </c>
      <c r="F2" s="95" t="s">
        <v>210</v>
      </c>
      <c r="G2" s="55" t="s">
        <v>42</v>
      </c>
      <c r="H2" s="95" t="s">
        <v>155</v>
      </c>
      <c r="I2" s="55" t="s">
        <v>153</v>
      </c>
      <c r="J2" s="95" t="s">
        <v>38</v>
      </c>
      <c r="K2" s="95" t="s">
        <v>154</v>
      </c>
      <c r="L2" s="95">
        <v>1</v>
      </c>
      <c r="N2" s="87">
        <v>1</v>
      </c>
      <c r="O2" s="95">
        <v>0.95</v>
      </c>
      <c r="P2" s="87">
        <v>1</v>
      </c>
      <c r="Q2" s="113">
        <f t="shared" ref="Q2:Q46" si="0">IF(OR(O2="",P2=""),"",AVERAGE(O2,P2))</f>
        <v>0.97499999999999998</v>
      </c>
      <c r="R2" s="95">
        <v>15.2</v>
      </c>
      <c r="S2" s="95">
        <v>146</v>
      </c>
      <c r="T2" s="16">
        <f t="shared" ref="T2:T46" si="1">IF(H2="","",IF(OR(H2="GREEN",H2="GK"),IF(S2&gt;=$AX$2,VLOOKUP(S2,$AX$2:$AY$10,2,1),""),IF(S2&gt;=$AZ$2,VLOOKUP(S2,$AZ$2:$BA$10,2,1),"")))</f>
        <v>22</v>
      </c>
      <c r="U2" s="95">
        <v>108</v>
      </c>
      <c r="V2" s="16">
        <f t="shared" ref="V2:V46" si="2">IF(OR(N2="",U2="",T2=""),"",U2/N2*T2)</f>
        <v>2376</v>
      </c>
      <c r="W2" s="95">
        <v>2</v>
      </c>
      <c r="X2" s="55" t="s">
        <v>46</v>
      </c>
      <c r="Y2" s="55" t="s">
        <v>84</v>
      </c>
      <c r="Z2" s="95" t="s">
        <v>90</v>
      </c>
      <c r="AA2" s="55" t="s">
        <v>50</v>
      </c>
      <c r="AB2" s="95" t="s">
        <v>183</v>
      </c>
      <c r="AE2" s="96" t="s">
        <v>35</v>
      </c>
      <c r="AG2" s="98" t="s">
        <v>211</v>
      </c>
      <c r="AH2" s="114" t="s">
        <v>210</v>
      </c>
      <c r="AJ2" s="18" t="s">
        <v>36</v>
      </c>
      <c r="AL2" s="18" t="s">
        <v>127</v>
      </c>
      <c r="AN2" s="18" t="s">
        <v>37</v>
      </c>
      <c r="AP2" s="18" t="s">
        <v>38</v>
      </c>
      <c r="AR2" s="18" t="s">
        <v>120</v>
      </c>
      <c r="AT2" s="18" t="s">
        <v>39</v>
      </c>
      <c r="AV2" s="18" t="s">
        <v>40</v>
      </c>
      <c r="AX2" s="19">
        <v>1</v>
      </c>
      <c r="AY2" s="20">
        <v>50</v>
      </c>
      <c r="AZ2" s="20">
        <v>1</v>
      </c>
      <c r="BA2" s="21">
        <v>50</v>
      </c>
    </row>
    <row r="3" spans="1:53" x14ac:dyDescent="0.15">
      <c r="A3" s="55" t="s">
        <v>56</v>
      </c>
      <c r="B3" s="55" t="s">
        <v>182</v>
      </c>
      <c r="C3" s="95">
        <v>2018</v>
      </c>
      <c r="D3" s="112" t="s">
        <v>208</v>
      </c>
      <c r="E3" s="95" t="s">
        <v>209</v>
      </c>
      <c r="F3" s="95" t="s">
        <v>210</v>
      </c>
      <c r="G3" s="55" t="s">
        <v>42</v>
      </c>
      <c r="H3" s="95" t="s">
        <v>155</v>
      </c>
      <c r="I3" s="55" t="s">
        <v>153</v>
      </c>
      <c r="J3" s="95" t="s">
        <v>38</v>
      </c>
      <c r="K3" s="95" t="s">
        <v>154</v>
      </c>
      <c r="L3" s="87">
        <v>2</v>
      </c>
      <c r="N3" s="87">
        <v>1</v>
      </c>
      <c r="O3" s="87">
        <v>0.8</v>
      </c>
      <c r="P3" s="87">
        <v>0.9</v>
      </c>
      <c r="Q3" s="113">
        <f t="shared" si="0"/>
        <v>0.85000000000000009</v>
      </c>
      <c r="R3" s="87">
        <v>14.6</v>
      </c>
      <c r="S3" s="87">
        <v>144</v>
      </c>
      <c r="T3" s="16">
        <f t="shared" si="1"/>
        <v>22</v>
      </c>
      <c r="U3" s="87">
        <v>108</v>
      </c>
      <c r="V3" s="16">
        <f t="shared" si="2"/>
        <v>2376</v>
      </c>
      <c r="W3" s="87">
        <v>2</v>
      </c>
      <c r="X3" s="55" t="s">
        <v>46</v>
      </c>
      <c r="Y3" s="55" t="s">
        <v>84</v>
      </c>
      <c r="Z3" s="95" t="s">
        <v>90</v>
      </c>
      <c r="AA3" s="55" t="s">
        <v>50</v>
      </c>
      <c r="AB3" s="95" t="s">
        <v>183</v>
      </c>
      <c r="AE3" s="97" t="s">
        <v>41</v>
      </c>
      <c r="AG3" s="98" t="s">
        <v>211</v>
      </c>
      <c r="AH3" s="114" t="s">
        <v>212</v>
      </c>
      <c r="AJ3" s="23" t="s">
        <v>42</v>
      </c>
      <c r="AL3" s="23" t="s">
        <v>128</v>
      </c>
      <c r="AN3" s="23" t="s">
        <v>43</v>
      </c>
      <c r="AP3" s="23" t="s">
        <v>44</v>
      </c>
      <c r="AR3" s="41" t="s">
        <v>45</v>
      </c>
      <c r="AT3" s="23" t="s">
        <v>46</v>
      </c>
      <c r="AV3" s="23" t="s">
        <v>47</v>
      </c>
      <c r="AX3" s="24">
        <v>72</v>
      </c>
      <c r="AY3" s="25">
        <v>46</v>
      </c>
      <c r="AZ3" s="25">
        <v>71</v>
      </c>
      <c r="BA3" s="26">
        <v>42</v>
      </c>
    </row>
    <row r="4" spans="1:53" x14ac:dyDescent="0.15">
      <c r="A4" s="55" t="s">
        <v>56</v>
      </c>
      <c r="B4" s="55" t="s">
        <v>182</v>
      </c>
      <c r="C4" s="95">
        <v>2018</v>
      </c>
      <c r="D4" s="112" t="s">
        <v>208</v>
      </c>
      <c r="E4" s="95" t="s">
        <v>209</v>
      </c>
      <c r="F4" s="95" t="s">
        <v>210</v>
      </c>
      <c r="G4" s="55" t="s">
        <v>42</v>
      </c>
      <c r="H4" s="95" t="s">
        <v>155</v>
      </c>
      <c r="I4" s="55" t="s">
        <v>153</v>
      </c>
      <c r="J4" s="95" t="s">
        <v>38</v>
      </c>
      <c r="K4" s="95" t="s">
        <v>154</v>
      </c>
      <c r="L4" s="87">
        <v>3</v>
      </c>
      <c r="N4" s="87">
        <v>1</v>
      </c>
      <c r="O4" s="87">
        <v>1.25</v>
      </c>
      <c r="P4" s="87">
        <v>1.3</v>
      </c>
      <c r="Q4" s="113">
        <f t="shared" si="0"/>
        <v>1.2749999999999999</v>
      </c>
      <c r="R4" s="87">
        <v>14.8</v>
      </c>
      <c r="S4" s="87">
        <v>139</v>
      </c>
      <c r="T4" s="16">
        <f t="shared" si="1"/>
        <v>22</v>
      </c>
      <c r="U4" s="87">
        <v>108</v>
      </c>
      <c r="V4" s="16">
        <f t="shared" si="2"/>
        <v>2376</v>
      </c>
      <c r="W4" s="87">
        <v>2</v>
      </c>
      <c r="X4" s="55" t="s">
        <v>46</v>
      </c>
      <c r="Y4" s="55" t="s">
        <v>84</v>
      </c>
      <c r="Z4" s="95" t="s">
        <v>90</v>
      </c>
      <c r="AA4" s="55" t="s">
        <v>50</v>
      </c>
      <c r="AB4" s="95" t="s">
        <v>183</v>
      </c>
      <c r="AE4" s="97" t="s">
        <v>34</v>
      </c>
      <c r="AG4" s="98" t="s">
        <v>213</v>
      </c>
      <c r="AH4" s="114" t="s">
        <v>214</v>
      </c>
      <c r="AJ4" s="27" t="s">
        <v>48</v>
      </c>
      <c r="AL4" s="27" t="s">
        <v>215</v>
      </c>
      <c r="AN4" s="28" t="s">
        <v>49</v>
      </c>
      <c r="AP4" s="23" t="s">
        <v>93</v>
      </c>
      <c r="AR4" s="41" t="s">
        <v>121</v>
      </c>
      <c r="AT4" s="28"/>
      <c r="AV4" s="23" t="s">
        <v>50</v>
      </c>
      <c r="AX4" s="24">
        <v>75</v>
      </c>
      <c r="AY4" s="25">
        <v>42</v>
      </c>
      <c r="AZ4" s="25">
        <v>76</v>
      </c>
      <c r="BA4" s="26">
        <v>39</v>
      </c>
    </row>
    <row r="5" spans="1:53" x14ac:dyDescent="0.15">
      <c r="A5" s="55" t="s">
        <v>56</v>
      </c>
      <c r="B5" s="55" t="s">
        <v>182</v>
      </c>
      <c r="C5" s="95">
        <v>2018</v>
      </c>
      <c r="D5" s="112" t="s">
        <v>208</v>
      </c>
      <c r="E5" s="95" t="s">
        <v>209</v>
      </c>
      <c r="F5" s="95" t="s">
        <v>210</v>
      </c>
      <c r="G5" s="55" t="s">
        <v>42</v>
      </c>
      <c r="H5" s="95" t="s">
        <v>159</v>
      </c>
      <c r="I5" s="55" t="s">
        <v>153</v>
      </c>
      <c r="J5" s="95" t="s">
        <v>38</v>
      </c>
      <c r="K5" s="95" t="s">
        <v>154</v>
      </c>
      <c r="L5" s="95">
        <v>1</v>
      </c>
      <c r="M5" s="95"/>
      <c r="N5" s="87">
        <v>4</v>
      </c>
      <c r="O5" s="95">
        <v>0.55000000000000004</v>
      </c>
      <c r="P5" s="87">
        <v>0.5</v>
      </c>
      <c r="Q5" s="113">
        <f t="shared" si="0"/>
        <v>0.52500000000000002</v>
      </c>
      <c r="R5" s="95">
        <v>16.7</v>
      </c>
      <c r="S5" s="95">
        <v>100</v>
      </c>
      <c r="T5" s="16">
        <f t="shared" si="1"/>
        <v>33</v>
      </c>
      <c r="U5" s="95">
        <v>538</v>
      </c>
      <c r="V5" s="16">
        <f t="shared" si="2"/>
        <v>4438.5</v>
      </c>
      <c r="W5" s="95">
        <v>1</v>
      </c>
      <c r="X5" s="55" t="s">
        <v>46</v>
      </c>
      <c r="Y5" s="55" t="s">
        <v>84</v>
      </c>
      <c r="Z5" s="95" t="s">
        <v>90</v>
      </c>
      <c r="AA5" s="55" t="s">
        <v>50</v>
      </c>
      <c r="AB5" s="95" t="s">
        <v>183</v>
      </c>
      <c r="AE5" s="97" t="s">
        <v>51</v>
      </c>
      <c r="AG5" s="98" t="s">
        <v>216</v>
      </c>
      <c r="AH5" s="114" t="s">
        <v>217</v>
      </c>
      <c r="AJ5" s="28"/>
      <c r="AL5" s="29" t="s">
        <v>196</v>
      </c>
      <c r="AN5" s="29" t="s">
        <v>197</v>
      </c>
      <c r="AP5" s="23" t="s">
        <v>218</v>
      </c>
      <c r="AR5" s="41" t="s">
        <v>54</v>
      </c>
      <c r="AV5" s="23" t="s">
        <v>55</v>
      </c>
      <c r="AX5" s="24">
        <v>84</v>
      </c>
      <c r="AY5" s="25">
        <v>39</v>
      </c>
      <c r="AZ5" s="25">
        <v>84</v>
      </c>
      <c r="BA5" s="26">
        <v>36</v>
      </c>
    </row>
    <row r="6" spans="1:53" x14ac:dyDescent="0.15">
      <c r="A6" s="55" t="s">
        <v>56</v>
      </c>
      <c r="B6" s="55" t="s">
        <v>182</v>
      </c>
      <c r="C6" s="95">
        <v>2018</v>
      </c>
      <c r="D6" s="112" t="s">
        <v>208</v>
      </c>
      <c r="E6" s="95" t="s">
        <v>209</v>
      </c>
      <c r="F6" s="95" t="s">
        <v>210</v>
      </c>
      <c r="G6" s="55" t="s">
        <v>42</v>
      </c>
      <c r="H6" s="95" t="s">
        <v>159</v>
      </c>
      <c r="I6" s="55" t="s">
        <v>153</v>
      </c>
      <c r="J6" s="95" t="s">
        <v>38</v>
      </c>
      <c r="K6" s="95" t="s">
        <v>154</v>
      </c>
      <c r="L6" s="87">
        <v>2</v>
      </c>
      <c r="N6" s="87">
        <v>4</v>
      </c>
      <c r="O6" s="87">
        <v>0.55000000000000004</v>
      </c>
      <c r="P6" s="87">
        <v>0.55000000000000004</v>
      </c>
      <c r="Q6" s="113">
        <f t="shared" si="0"/>
        <v>0.55000000000000004</v>
      </c>
      <c r="R6" s="87">
        <v>16.7</v>
      </c>
      <c r="S6" s="87">
        <v>102</v>
      </c>
      <c r="T6" s="16">
        <f t="shared" si="1"/>
        <v>33</v>
      </c>
      <c r="U6" s="87">
        <v>538</v>
      </c>
      <c r="V6" s="16">
        <f t="shared" si="2"/>
        <v>4438.5</v>
      </c>
      <c r="W6" s="87">
        <v>1</v>
      </c>
      <c r="X6" s="55" t="s">
        <v>46</v>
      </c>
      <c r="Y6" s="55" t="s">
        <v>84</v>
      </c>
      <c r="Z6" s="95" t="s">
        <v>90</v>
      </c>
      <c r="AA6" s="55" t="s">
        <v>50</v>
      </c>
      <c r="AB6" s="95" t="s">
        <v>183</v>
      </c>
      <c r="AE6" s="97" t="s">
        <v>56</v>
      </c>
      <c r="AG6" s="98" t="s">
        <v>219</v>
      </c>
      <c r="AH6" s="114" t="s">
        <v>217</v>
      </c>
      <c r="AL6" s="29" t="s">
        <v>99</v>
      </c>
      <c r="AN6" s="29" t="s">
        <v>220</v>
      </c>
      <c r="AP6" s="23" t="s">
        <v>53</v>
      </c>
      <c r="AR6" s="41" t="s">
        <v>59</v>
      </c>
      <c r="AV6" s="23" t="s">
        <v>60</v>
      </c>
      <c r="AX6" s="24">
        <v>97</v>
      </c>
      <c r="AY6" s="25">
        <v>36</v>
      </c>
      <c r="AZ6" s="25">
        <v>99</v>
      </c>
      <c r="BA6" s="26">
        <v>33</v>
      </c>
    </row>
    <row r="7" spans="1:53" x14ac:dyDescent="0.15">
      <c r="A7" s="55" t="s">
        <v>56</v>
      </c>
      <c r="B7" s="55" t="s">
        <v>182</v>
      </c>
      <c r="C7" s="95">
        <v>2018</v>
      </c>
      <c r="D7" s="112" t="s">
        <v>208</v>
      </c>
      <c r="E7" s="95" t="s">
        <v>209</v>
      </c>
      <c r="F7" s="95" t="s">
        <v>210</v>
      </c>
      <c r="G7" s="55" t="s">
        <v>42</v>
      </c>
      <c r="H7" s="95" t="s">
        <v>159</v>
      </c>
      <c r="I7" s="55" t="s">
        <v>153</v>
      </c>
      <c r="J7" s="95" t="s">
        <v>38</v>
      </c>
      <c r="K7" s="95" t="s">
        <v>154</v>
      </c>
      <c r="L7" s="87">
        <v>3</v>
      </c>
      <c r="N7" s="87">
        <v>4</v>
      </c>
      <c r="O7" s="87">
        <v>0.65</v>
      </c>
      <c r="P7" s="87">
        <v>0.65</v>
      </c>
      <c r="Q7" s="113">
        <f t="shared" si="0"/>
        <v>0.65</v>
      </c>
      <c r="R7" s="87">
        <v>16.899999999999999</v>
      </c>
      <c r="S7" s="87">
        <v>104</v>
      </c>
      <c r="T7" s="16">
        <f t="shared" si="1"/>
        <v>33</v>
      </c>
      <c r="U7" s="87">
        <v>538</v>
      </c>
      <c r="V7" s="16">
        <f t="shared" si="2"/>
        <v>4438.5</v>
      </c>
      <c r="W7" s="87">
        <v>1</v>
      </c>
      <c r="X7" s="55" t="s">
        <v>46</v>
      </c>
      <c r="Y7" s="55" t="s">
        <v>84</v>
      </c>
      <c r="Z7" s="95" t="s">
        <v>90</v>
      </c>
      <c r="AA7" s="55" t="s">
        <v>50</v>
      </c>
      <c r="AB7" s="95" t="s">
        <v>183</v>
      </c>
      <c r="AE7" s="97" t="s">
        <v>61</v>
      </c>
      <c r="AG7" s="98" t="s">
        <v>221</v>
      </c>
      <c r="AH7" s="114" t="s">
        <v>222</v>
      </c>
      <c r="AL7" s="115" t="s">
        <v>109</v>
      </c>
      <c r="AP7" s="23" t="s">
        <v>58</v>
      </c>
      <c r="AR7" s="98" t="s">
        <v>122</v>
      </c>
      <c r="AV7" s="23" t="s">
        <v>64</v>
      </c>
      <c r="AX7" s="24">
        <v>109</v>
      </c>
      <c r="AY7" s="25">
        <v>33</v>
      </c>
      <c r="AZ7" s="25">
        <v>113</v>
      </c>
      <c r="BA7" s="26">
        <v>30</v>
      </c>
    </row>
    <row r="8" spans="1:53" x14ac:dyDescent="0.15">
      <c r="A8" s="55" t="s">
        <v>56</v>
      </c>
      <c r="B8" s="55" t="s">
        <v>223</v>
      </c>
      <c r="C8" s="95">
        <v>2018</v>
      </c>
      <c r="D8" s="112" t="s">
        <v>224</v>
      </c>
      <c r="E8" s="95" t="s">
        <v>209</v>
      </c>
      <c r="F8" s="95" t="s">
        <v>212</v>
      </c>
      <c r="G8" s="55" t="s">
        <v>42</v>
      </c>
      <c r="H8" s="95" t="s">
        <v>155</v>
      </c>
      <c r="I8" s="55" t="s">
        <v>153</v>
      </c>
      <c r="J8" s="95" t="s">
        <v>38</v>
      </c>
      <c r="K8" s="95" t="s">
        <v>154</v>
      </c>
      <c r="L8" s="87">
        <v>1</v>
      </c>
      <c r="N8" s="87">
        <v>1</v>
      </c>
      <c r="O8" s="87">
        <v>0.75</v>
      </c>
      <c r="P8" s="87">
        <v>0.7</v>
      </c>
      <c r="Q8" s="113">
        <f t="shared" si="0"/>
        <v>0.72499999999999998</v>
      </c>
      <c r="R8" s="87">
        <v>14</v>
      </c>
      <c r="S8" s="87">
        <v>134</v>
      </c>
      <c r="T8" s="16">
        <f t="shared" si="1"/>
        <v>25</v>
      </c>
      <c r="U8" s="87">
        <v>106</v>
      </c>
      <c r="V8" s="16">
        <f t="shared" si="2"/>
        <v>2650</v>
      </c>
      <c r="W8" s="87">
        <v>4</v>
      </c>
      <c r="X8" s="55" t="s">
        <v>46</v>
      </c>
      <c r="Y8" s="55" t="s">
        <v>84</v>
      </c>
      <c r="Z8" s="95" t="s">
        <v>90</v>
      </c>
      <c r="AA8" s="55" t="s">
        <v>50</v>
      </c>
      <c r="AB8" s="95" t="s">
        <v>183</v>
      </c>
      <c r="AE8" s="97" t="s">
        <v>59</v>
      </c>
      <c r="AG8" s="98" t="s">
        <v>225</v>
      </c>
      <c r="AH8" s="114" t="s">
        <v>222</v>
      </c>
      <c r="AL8" s="115" t="s">
        <v>226</v>
      </c>
      <c r="AP8" s="23" t="s">
        <v>62</v>
      </c>
      <c r="AR8" s="41" t="s">
        <v>81</v>
      </c>
      <c r="AV8" s="23" t="s">
        <v>97</v>
      </c>
      <c r="AX8" s="24">
        <v>119</v>
      </c>
      <c r="AY8" s="25">
        <v>30</v>
      </c>
      <c r="AZ8" s="25">
        <v>121</v>
      </c>
      <c r="BA8" s="26">
        <v>27</v>
      </c>
    </row>
    <row r="9" spans="1:53" x14ac:dyDescent="0.15">
      <c r="A9" s="55" t="s">
        <v>56</v>
      </c>
      <c r="B9" s="55" t="s">
        <v>223</v>
      </c>
      <c r="C9" s="95">
        <v>2018</v>
      </c>
      <c r="D9" s="112" t="s">
        <v>224</v>
      </c>
      <c r="E9" s="95" t="s">
        <v>209</v>
      </c>
      <c r="F9" s="95" t="s">
        <v>212</v>
      </c>
      <c r="G9" s="55" t="s">
        <v>42</v>
      </c>
      <c r="H9" s="95" t="s">
        <v>155</v>
      </c>
      <c r="I9" s="55" t="s">
        <v>153</v>
      </c>
      <c r="J9" s="95" t="s">
        <v>38</v>
      </c>
      <c r="K9" s="95" t="s">
        <v>154</v>
      </c>
      <c r="L9" s="87">
        <v>2</v>
      </c>
      <c r="N9" s="87">
        <v>1</v>
      </c>
      <c r="O9" s="87">
        <v>1.1499999999999999</v>
      </c>
      <c r="P9" s="87">
        <v>1.25</v>
      </c>
      <c r="Q9" s="113">
        <f t="shared" si="0"/>
        <v>1.2</v>
      </c>
      <c r="R9" s="87">
        <v>15.2</v>
      </c>
      <c r="S9" s="87">
        <v>129</v>
      </c>
      <c r="T9" s="16">
        <f t="shared" si="1"/>
        <v>25</v>
      </c>
      <c r="U9" s="87">
        <v>106</v>
      </c>
      <c r="V9" s="16">
        <f t="shared" si="2"/>
        <v>2650</v>
      </c>
      <c r="W9" s="87">
        <v>4</v>
      </c>
      <c r="X9" s="55" t="s">
        <v>46</v>
      </c>
      <c r="Y9" s="55" t="s">
        <v>84</v>
      </c>
      <c r="Z9" s="95" t="s">
        <v>90</v>
      </c>
      <c r="AA9" s="55" t="s">
        <v>50</v>
      </c>
      <c r="AB9" s="95" t="s">
        <v>183</v>
      </c>
      <c r="AE9" s="97" t="s">
        <v>98</v>
      </c>
      <c r="AG9" s="98" t="s">
        <v>227</v>
      </c>
      <c r="AH9" s="98" t="s">
        <v>212</v>
      </c>
      <c r="AL9" s="29"/>
      <c r="AP9" s="23" t="s">
        <v>95</v>
      </c>
      <c r="AR9" s="98" t="s">
        <v>89</v>
      </c>
      <c r="AV9" s="23" t="s">
        <v>102</v>
      </c>
      <c r="AX9" s="24">
        <v>128</v>
      </c>
      <c r="AY9" s="25">
        <v>27</v>
      </c>
      <c r="AZ9" s="25">
        <v>129</v>
      </c>
      <c r="BA9" s="26">
        <v>25</v>
      </c>
    </row>
    <row r="10" spans="1:53" x14ac:dyDescent="0.15">
      <c r="A10" s="55" t="s">
        <v>56</v>
      </c>
      <c r="B10" s="55" t="s">
        <v>228</v>
      </c>
      <c r="C10" s="95">
        <v>2018</v>
      </c>
      <c r="D10" s="112" t="s">
        <v>229</v>
      </c>
      <c r="E10" s="95" t="s">
        <v>209</v>
      </c>
      <c r="F10" s="95" t="s">
        <v>212</v>
      </c>
      <c r="G10" s="55" t="s">
        <v>42</v>
      </c>
      <c r="H10" s="95" t="s">
        <v>155</v>
      </c>
      <c r="I10" s="55" t="s">
        <v>153</v>
      </c>
      <c r="J10" s="95" t="s">
        <v>38</v>
      </c>
      <c r="K10" s="95" t="s">
        <v>154</v>
      </c>
      <c r="L10" s="87">
        <v>3</v>
      </c>
      <c r="N10" s="87">
        <v>1</v>
      </c>
      <c r="O10" s="87">
        <v>0.9</v>
      </c>
      <c r="P10" s="87">
        <v>0.95</v>
      </c>
      <c r="Q10" s="113">
        <f t="shared" si="0"/>
        <v>0.92500000000000004</v>
      </c>
      <c r="R10" s="100">
        <v>14.8</v>
      </c>
      <c r="S10" s="87">
        <v>136</v>
      </c>
      <c r="T10" s="16">
        <f t="shared" si="1"/>
        <v>25</v>
      </c>
      <c r="U10" s="87">
        <v>106</v>
      </c>
      <c r="V10" s="16">
        <f t="shared" si="2"/>
        <v>2650</v>
      </c>
      <c r="W10" s="87">
        <v>4</v>
      </c>
      <c r="X10" s="55" t="s">
        <v>46</v>
      </c>
      <c r="Y10" s="55" t="s">
        <v>84</v>
      </c>
      <c r="Z10" s="95" t="s">
        <v>90</v>
      </c>
      <c r="AA10" s="55" t="s">
        <v>50</v>
      </c>
      <c r="AB10" s="95" t="s">
        <v>183</v>
      </c>
      <c r="AE10" s="97" t="s">
        <v>103</v>
      </c>
      <c r="AG10" s="98" t="s">
        <v>230</v>
      </c>
      <c r="AH10" s="114" t="s">
        <v>231</v>
      </c>
      <c r="AL10" s="115"/>
      <c r="AP10" s="23" t="s">
        <v>100</v>
      </c>
      <c r="AR10" s="98" t="s">
        <v>123</v>
      </c>
      <c r="AV10" s="23" t="s">
        <v>106</v>
      </c>
      <c r="AX10" s="24">
        <v>138</v>
      </c>
      <c r="AY10" s="25">
        <v>25</v>
      </c>
      <c r="AZ10" s="25">
        <v>138</v>
      </c>
      <c r="BA10" s="26">
        <v>22</v>
      </c>
    </row>
    <row r="11" spans="1:53" x14ac:dyDescent="0.15">
      <c r="A11" s="55" t="s">
        <v>56</v>
      </c>
      <c r="B11" s="55" t="s">
        <v>228</v>
      </c>
      <c r="C11" s="95">
        <v>2018</v>
      </c>
      <c r="D11" s="112" t="s">
        <v>229</v>
      </c>
      <c r="E11" s="95" t="s">
        <v>209</v>
      </c>
      <c r="F11" s="95" t="s">
        <v>212</v>
      </c>
      <c r="G11" s="55" t="s">
        <v>42</v>
      </c>
      <c r="H11" s="95" t="s">
        <v>155</v>
      </c>
      <c r="I11" s="55" t="s">
        <v>232</v>
      </c>
      <c r="J11" s="95" t="s">
        <v>38</v>
      </c>
      <c r="K11" s="95" t="s">
        <v>154</v>
      </c>
      <c r="L11" s="87">
        <v>1</v>
      </c>
      <c r="N11" s="87">
        <v>4</v>
      </c>
      <c r="O11" s="87">
        <v>0.5</v>
      </c>
      <c r="P11" s="87">
        <v>0.5</v>
      </c>
      <c r="Q11" s="113">
        <f t="shared" si="0"/>
        <v>0.5</v>
      </c>
      <c r="R11" s="87">
        <v>13.7</v>
      </c>
      <c r="S11" s="87">
        <v>93</v>
      </c>
      <c r="T11" s="16">
        <f t="shared" si="1"/>
        <v>36</v>
      </c>
      <c r="U11" s="87">
        <v>430</v>
      </c>
      <c r="V11" s="16">
        <f t="shared" si="2"/>
        <v>3870</v>
      </c>
      <c r="W11" s="87">
        <v>2</v>
      </c>
      <c r="X11" s="55" t="s">
        <v>46</v>
      </c>
      <c r="Y11" s="55" t="s">
        <v>84</v>
      </c>
      <c r="Z11" s="95" t="s">
        <v>90</v>
      </c>
      <c r="AA11" s="55" t="s">
        <v>50</v>
      </c>
      <c r="AB11" s="95" t="s">
        <v>183</v>
      </c>
      <c r="AE11" s="97" t="s">
        <v>65</v>
      </c>
      <c r="AG11" s="98" t="s">
        <v>233</v>
      </c>
      <c r="AH11" s="114" t="s">
        <v>231</v>
      </c>
      <c r="AJ11" s="115"/>
      <c r="AP11" s="23" t="s">
        <v>104</v>
      </c>
      <c r="AR11" s="98" t="s">
        <v>87</v>
      </c>
      <c r="AV11" s="23" t="s">
        <v>69</v>
      </c>
    </row>
    <row r="12" spans="1:53" x14ac:dyDescent="0.15">
      <c r="A12" s="55" t="s">
        <v>56</v>
      </c>
      <c r="B12" s="55" t="s">
        <v>234</v>
      </c>
      <c r="C12" s="95">
        <v>2018</v>
      </c>
      <c r="D12" s="112" t="s">
        <v>235</v>
      </c>
      <c r="E12" s="95" t="s">
        <v>209</v>
      </c>
      <c r="F12" s="95" t="s">
        <v>212</v>
      </c>
      <c r="G12" s="55" t="s">
        <v>42</v>
      </c>
      <c r="H12" s="95" t="s">
        <v>155</v>
      </c>
      <c r="I12" s="55" t="s">
        <v>232</v>
      </c>
      <c r="J12" s="95" t="s">
        <v>38</v>
      </c>
      <c r="K12" s="95" t="s">
        <v>154</v>
      </c>
      <c r="L12" s="87">
        <v>2</v>
      </c>
      <c r="N12" s="87">
        <v>4</v>
      </c>
      <c r="O12" s="87">
        <v>0.6</v>
      </c>
      <c r="P12" s="87">
        <v>0.55000000000000004</v>
      </c>
      <c r="Q12" s="113">
        <f t="shared" si="0"/>
        <v>0.57499999999999996</v>
      </c>
      <c r="R12" s="87">
        <v>14</v>
      </c>
      <c r="S12" s="87">
        <v>94</v>
      </c>
      <c r="T12" s="16">
        <f t="shared" si="1"/>
        <v>36</v>
      </c>
      <c r="U12" s="87">
        <v>430</v>
      </c>
      <c r="V12" s="16">
        <f t="shared" si="2"/>
        <v>3870</v>
      </c>
      <c r="W12" s="87">
        <v>2</v>
      </c>
      <c r="X12" s="55" t="s">
        <v>46</v>
      </c>
      <c r="Y12" s="55" t="s">
        <v>84</v>
      </c>
      <c r="Z12" s="95" t="s">
        <v>90</v>
      </c>
      <c r="AA12" s="55" t="s">
        <v>50</v>
      </c>
      <c r="AB12" s="95" t="s">
        <v>183</v>
      </c>
      <c r="AE12" s="97" t="s">
        <v>70</v>
      </c>
      <c r="AG12" s="98" t="s">
        <v>236</v>
      </c>
      <c r="AH12" s="114" t="s">
        <v>237</v>
      </c>
      <c r="AJ12" s="115"/>
      <c r="AP12" s="23" t="s">
        <v>67</v>
      </c>
      <c r="AR12" s="98" t="s">
        <v>124</v>
      </c>
      <c r="AV12" s="23" t="s">
        <v>72</v>
      </c>
    </row>
    <row r="13" spans="1:53" x14ac:dyDescent="0.15">
      <c r="A13" s="55" t="s">
        <v>56</v>
      </c>
      <c r="B13" s="55" t="s">
        <v>238</v>
      </c>
      <c r="C13" s="95">
        <v>2018</v>
      </c>
      <c r="D13" s="112" t="s">
        <v>239</v>
      </c>
      <c r="E13" s="95" t="s">
        <v>209</v>
      </c>
      <c r="F13" s="95" t="s">
        <v>212</v>
      </c>
      <c r="G13" s="55" t="s">
        <v>42</v>
      </c>
      <c r="H13" s="95" t="s">
        <v>155</v>
      </c>
      <c r="I13" s="55" t="s">
        <v>232</v>
      </c>
      <c r="J13" s="95" t="s">
        <v>38</v>
      </c>
      <c r="K13" s="95" t="s">
        <v>154</v>
      </c>
      <c r="L13" s="87">
        <v>3</v>
      </c>
      <c r="N13" s="87">
        <v>4</v>
      </c>
      <c r="O13" s="87">
        <v>0.6</v>
      </c>
      <c r="P13" s="87">
        <v>0.6</v>
      </c>
      <c r="Q13" s="113">
        <f t="shared" si="0"/>
        <v>0.6</v>
      </c>
      <c r="R13" s="100">
        <v>15.1</v>
      </c>
      <c r="S13" s="87">
        <v>98</v>
      </c>
      <c r="T13" s="16">
        <f t="shared" si="1"/>
        <v>36</v>
      </c>
      <c r="U13" s="87">
        <v>430</v>
      </c>
      <c r="V13" s="16">
        <f t="shared" si="2"/>
        <v>3870</v>
      </c>
      <c r="W13" s="87">
        <v>2</v>
      </c>
      <c r="X13" s="55" t="s">
        <v>46</v>
      </c>
      <c r="Y13" s="55" t="s">
        <v>84</v>
      </c>
      <c r="Z13" s="95" t="s">
        <v>90</v>
      </c>
      <c r="AA13" s="55" t="s">
        <v>50</v>
      </c>
      <c r="AB13" s="95" t="s">
        <v>183</v>
      </c>
      <c r="AE13" s="97" t="s">
        <v>73</v>
      </c>
      <c r="AP13" s="23" t="s">
        <v>71</v>
      </c>
      <c r="AR13" s="98" t="s">
        <v>103</v>
      </c>
      <c r="AV13" s="23" t="s">
        <v>75</v>
      </c>
    </row>
    <row r="14" spans="1:53" x14ac:dyDescent="0.15">
      <c r="A14" s="55" t="s">
        <v>56</v>
      </c>
      <c r="B14" s="55" t="s">
        <v>240</v>
      </c>
      <c r="C14" s="95">
        <v>2018</v>
      </c>
      <c r="D14" s="112" t="s">
        <v>241</v>
      </c>
      <c r="E14" s="95" t="s">
        <v>242</v>
      </c>
      <c r="F14" s="95" t="s">
        <v>243</v>
      </c>
      <c r="G14" s="55" t="s">
        <v>42</v>
      </c>
      <c r="H14" s="95" t="s">
        <v>155</v>
      </c>
      <c r="I14" s="55" t="s">
        <v>153</v>
      </c>
      <c r="J14" s="95" t="s">
        <v>38</v>
      </c>
      <c r="K14" s="95" t="s">
        <v>154</v>
      </c>
      <c r="L14" s="87">
        <v>1</v>
      </c>
      <c r="N14" s="87">
        <v>1</v>
      </c>
      <c r="O14" s="87">
        <v>0.8</v>
      </c>
      <c r="P14" s="87">
        <v>0.8</v>
      </c>
      <c r="Q14" s="113">
        <f t="shared" si="0"/>
        <v>0.8</v>
      </c>
      <c r="R14" s="87">
        <v>12.6</v>
      </c>
      <c r="S14" s="87">
        <v>132</v>
      </c>
      <c r="T14" s="16">
        <f t="shared" si="1"/>
        <v>25</v>
      </c>
      <c r="U14" s="87">
        <v>105</v>
      </c>
      <c r="V14" s="16">
        <f t="shared" si="2"/>
        <v>2625</v>
      </c>
      <c r="W14" s="87">
        <v>2</v>
      </c>
      <c r="X14" s="55" t="s">
        <v>46</v>
      </c>
      <c r="Y14" s="55" t="s">
        <v>84</v>
      </c>
      <c r="Z14" s="95" t="s">
        <v>90</v>
      </c>
      <c r="AA14" s="55" t="s">
        <v>55</v>
      </c>
      <c r="AB14" s="95" t="s">
        <v>183</v>
      </c>
      <c r="AE14" s="97" t="s">
        <v>76</v>
      </c>
      <c r="AP14" s="23" t="s">
        <v>74</v>
      </c>
      <c r="AR14" s="98" t="s">
        <v>125</v>
      </c>
      <c r="AV14" s="23" t="s">
        <v>78</v>
      </c>
    </row>
    <row r="15" spans="1:53" x14ac:dyDescent="0.15">
      <c r="A15" s="55" t="s">
        <v>56</v>
      </c>
      <c r="B15" s="55" t="s">
        <v>240</v>
      </c>
      <c r="C15" s="95">
        <v>2018</v>
      </c>
      <c r="D15" s="112" t="s">
        <v>241</v>
      </c>
      <c r="E15" s="95" t="s">
        <v>242</v>
      </c>
      <c r="F15" s="95" t="s">
        <v>243</v>
      </c>
      <c r="G15" s="55" t="s">
        <v>42</v>
      </c>
      <c r="H15" s="95" t="s">
        <v>155</v>
      </c>
      <c r="I15" s="55" t="s">
        <v>153</v>
      </c>
      <c r="J15" s="95" t="s">
        <v>38</v>
      </c>
      <c r="K15" s="95" t="s">
        <v>154</v>
      </c>
      <c r="L15" s="87">
        <v>2</v>
      </c>
      <c r="N15" s="87">
        <v>1</v>
      </c>
      <c r="O15" s="87">
        <v>0.7</v>
      </c>
      <c r="P15" s="87">
        <v>0.7</v>
      </c>
      <c r="Q15" s="113">
        <f t="shared" si="0"/>
        <v>0.7</v>
      </c>
      <c r="R15" s="87">
        <v>12.1</v>
      </c>
      <c r="S15" s="87">
        <v>129</v>
      </c>
      <c r="T15" s="16">
        <f t="shared" si="1"/>
        <v>25</v>
      </c>
      <c r="U15" s="87">
        <v>105</v>
      </c>
      <c r="V15" s="16">
        <f t="shared" si="2"/>
        <v>2625</v>
      </c>
      <c r="W15" s="87">
        <v>2</v>
      </c>
      <c r="X15" s="55" t="s">
        <v>46</v>
      </c>
      <c r="Y15" s="55" t="s">
        <v>84</v>
      </c>
      <c r="Z15" s="95" t="s">
        <v>90</v>
      </c>
      <c r="AA15" s="55" t="s">
        <v>55</v>
      </c>
      <c r="AB15" s="95" t="s">
        <v>183</v>
      </c>
      <c r="AE15" s="97" t="s">
        <v>79</v>
      </c>
      <c r="AP15" s="23" t="s">
        <v>77</v>
      </c>
      <c r="AR15" s="98" t="s">
        <v>94</v>
      </c>
      <c r="AV15" s="23" t="s">
        <v>107</v>
      </c>
    </row>
    <row r="16" spans="1:53" x14ac:dyDescent="0.15">
      <c r="A16" s="55" t="s">
        <v>56</v>
      </c>
      <c r="B16" s="55" t="s">
        <v>244</v>
      </c>
      <c r="C16" s="95">
        <v>2018</v>
      </c>
      <c r="D16" s="112" t="s">
        <v>245</v>
      </c>
      <c r="E16" s="95" t="s">
        <v>242</v>
      </c>
      <c r="F16" s="95" t="s">
        <v>243</v>
      </c>
      <c r="G16" s="55" t="s">
        <v>42</v>
      </c>
      <c r="H16" s="95" t="s">
        <v>155</v>
      </c>
      <c r="I16" s="55" t="s">
        <v>153</v>
      </c>
      <c r="J16" s="95" t="s">
        <v>38</v>
      </c>
      <c r="K16" s="95" t="s">
        <v>154</v>
      </c>
      <c r="L16" s="87">
        <v>3</v>
      </c>
      <c r="N16" s="87">
        <v>1</v>
      </c>
      <c r="O16" s="87">
        <v>0.7</v>
      </c>
      <c r="P16" s="87">
        <v>0.65</v>
      </c>
      <c r="Q16" s="113">
        <f t="shared" si="0"/>
        <v>0.67500000000000004</v>
      </c>
      <c r="R16" s="100">
        <v>14</v>
      </c>
      <c r="S16" s="87">
        <v>127</v>
      </c>
      <c r="T16" s="16">
        <f t="shared" si="1"/>
        <v>27</v>
      </c>
      <c r="U16" s="87">
        <v>105</v>
      </c>
      <c r="V16" s="16">
        <f t="shared" si="2"/>
        <v>2835</v>
      </c>
      <c r="W16" s="87">
        <v>2</v>
      </c>
      <c r="X16" s="55" t="s">
        <v>46</v>
      </c>
      <c r="Y16" s="55" t="s">
        <v>84</v>
      </c>
      <c r="Z16" s="95" t="s">
        <v>90</v>
      </c>
      <c r="AA16" s="55" t="s">
        <v>55</v>
      </c>
      <c r="AB16" s="95" t="s">
        <v>183</v>
      </c>
      <c r="AE16" s="97" t="s">
        <v>82</v>
      </c>
      <c r="AP16" s="23" t="s">
        <v>80</v>
      </c>
      <c r="AR16" s="41" t="s">
        <v>63</v>
      </c>
      <c r="AV16" s="23" t="s">
        <v>84</v>
      </c>
    </row>
    <row r="17" spans="1:48" x14ac:dyDescent="0.15">
      <c r="A17" s="55" t="s">
        <v>56</v>
      </c>
      <c r="B17" s="55" t="s">
        <v>244</v>
      </c>
      <c r="C17" s="95">
        <v>2018</v>
      </c>
      <c r="D17" s="112" t="s">
        <v>245</v>
      </c>
      <c r="E17" s="95" t="s">
        <v>242</v>
      </c>
      <c r="F17" s="95" t="s">
        <v>243</v>
      </c>
      <c r="G17" s="55" t="s">
        <v>42</v>
      </c>
      <c r="H17" s="95" t="s">
        <v>159</v>
      </c>
      <c r="I17" s="55" t="s">
        <v>153</v>
      </c>
      <c r="J17" s="95" t="s">
        <v>38</v>
      </c>
      <c r="K17" s="95" t="s">
        <v>154</v>
      </c>
      <c r="L17" s="87">
        <v>1</v>
      </c>
      <c r="N17" s="87">
        <v>1</v>
      </c>
      <c r="O17" s="87">
        <v>0.6</v>
      </c>
      <c r="P17" s="87">
        <v>0.55000000000000004</v>
      </c>
      <c r="Q17" s="113">
        <f t="shared" si="0"/>
        <v>0.57499999999999996</v>
      </c>
      <c r="R17" s="87">
        <v>12</v>
      </c>
      <c r="S17" s="87">
        <v>138</v>
      </c>
      <c r="T17" s="16">
        <f t="shared" si="1"/>
        <v>22</v>
      </c>
      <c r="U17" s="87">
        <v>138</v>
      </c>
      <c r="V17" s="16">
        <f t="shared" si="2"/>
        <v>3036</v>
      </c>
      <c r="W17" s="87">
        <v>2</v>
      </c>
      <c r="X17" s="55" t="s">
        <v>46</v>
      </c>
      <c r="Y17" s="55" t="s">
        <v>84</v>
      </c>
      <c r="Z17" s="95" t="s">
        <v>90</v>
      </c>
      <c r="AA17" s="55" t="s">
        <v>55</v>
      </c>
      <c r="AB17" s="95" t="s">
        <v>183</v>
      </c>
      <c r="AE17" s="97" t="s">
        <v>85</v>
      </c>
      <c r="AP17" s="101" t="s">
        <v>110</v>
      </c>
      <c r="AR17" s="41" t="s">
        <v>96</v>
      </c>
      <c r="AV17" s="23" t="s">
        <v>86</v>
      </c>
    </row>
    <row r="18" spans="1:48" x14ac:dyDescent="0.15">
      <c r="A18" s="55" t="s">
        <v>56</v>
      </c>
      <c r="B18" s="55" t="s">
        <v>244</v>
      </c>
      <c r="C18" s="95">
        <v>2018</v>
      </c>
      <c r="D18" s="112" t="s">
        <v>245</v>
      </c>
      <c r="E18" s="95" t="s">
        <v>242</v>
      </c>
      <c r="F18" s="95" t="s">
        <v>243</v>
      </c>
      <c r="G18" s="55" t="s">
        <v>42</v>
      </c>
      <c r="H18" s="95" t="s">
        <v>159</v>
      </c>
      <c r="I18" s="55" t="s">
        <v>153</v>
      </c>
      <c r="J18" s="95" t="s">
        <v>38</v>
      </c>
      <c r="K18" s="95" t="s">
        <v>154</v>
      </c>
      <c r="L18" s="87">
        <v>2</v>
      </c>
      <c r="N18" s="87">
        <v>1</v>
      </c>
      <c r="O18" s="87">
        <v>0.6</v>
      </c>
      <c r="P18" s="87">
        <v>0.6</v>
      </c>
      <c r="Q18" s="113">
        <f t="shared" si="0"/>
        <v>0.6</v>
      </c>
      <c r="R18" s="87">
        <v>14.3</v>
      </c>
      <c r="S18" s="87">
        <v>145</v>
      </c>
      <c r="T18" s="16">
        <f t="shared" si="1"/>
        <v>22</v>
      </c>
      <c r="U18" s="87">
        <v>138</v>
      </c>
      <c r="V18" s="16">
        <f t="shared" si="2"/>
        <v>3036</v>
      </c>
      <c r="W18" s="87">
        <v>2</v>
      </c>
      <c r="X18" s="55" t="s">
        <v>46</v>
      </c>
      <c r="Y18" s="55" t="s">
        <v>84</v>
      </c>
      <c r="Z18" s="95" t="s">
        <v>90</v>
      </c>
      <c r="AA18" s="55" t="s">
        <v>55</v>
      </c>
      <c r="AB18" s="95" t="s">
        <v>183</v>
      </c>
      <c r="AE18" s="97" t="s">
        <v>87</v>
      </c>
      <c r="AP18" s="101" t="s">
        <v>111</v>
      </c>
      <c r="AR18" s="41" t="s">
        <v>101</v>
      </c>
      <c r="AV18" s="23" t="s">
        <v>88</v>
      </c>
    </row>
    <row r="19" spans="1:48" x14ac:dyDescent="0.15">
      <c r="A19" s="55" t="s">
        <v>56</v>
      </c>
      <c r="B19" s="55" t="s">
        <v>234</v>
      </c>
      <c r="C19" s="95">
        <v>2018</v>
      </c>
      <c r="D19" s="112" t="s">
        <v>235</v>
      </c>
      <c r="E19" s="95" t="s">
        <v>242</v>
      </c>
      <c r="F19" s="95" t="s">
        <v>243</v>
      </c>
      <c r="G19" s="55" t="s">
        <v>42</v>
      </c>
      <c r="H19" s="95" t="s">
        <v>159</v>
      </c>
      <c r="I19" s="55" t="s">
        <v>153</v>
      </c>
      <c r="J19" s="95" t="s">
        <v>38</v>
      </c>
      <c r="K19" s="95" t="s">
        <v>154</v>
      </c>
      <c r="L19" s="87">
        <v>3</v>
      </c>
      <c r="N19" s="87">
        <v>1</v>
      </c>
      <c r="O19" s="87">
        <v>0.55000000000000004</v>
      </c>
      <c r="P19" s="87">
        <v>0.55000000000000004</v>
      </c>
      <c r="Q19" s="113">
        <f t="shared" si="0"/>
        <v>0.55000000000000004</v>
      </c>
      <c r="R19" s="100">
        <v>15</v>
      </c>
      <c r="S19" s="87">
        <v>139</v>
      </c>
      <c r="T19" s="16">
        <f t="shared" si="1"/>
        <v>22</v>
      </c>
      <c r="U19" s="87">
        <v>138</v>
      </c>
      <c r="V19" s="16">
        <f t="shared" si="2"/>
        <v>3036</v>
      </c>
      <c r="W19" s="87">
        <v>2</v>
      </c>
      <c r="X19" s="55" t="s">
        <v>46</v>
      </c>
      <c r="Y19" s="55" t="s">
        <v>84</v>
      </c>
      <c r="Z19" s="95" t="s">
        <v>90</v>
      </c>
      <c r="AA19" s="55" t="s">
        <v>55</v>
      </c>
      <c r="AB19" s="95" t="s">
        <v>183</v>
      </c>
      <c r="AE19" s="99" t="s">
        <v>89</v>
      </c>
      <c r="AP19" s="101" t="s">
        <v>112</v>
      </c>
      <c r="AR19" s="98" t="s">
        <v>126</v>
      </c>
      <c r="AV19" s="23" t="s">
        <v>90</v>
      </c>
    </row>
    <row r="20" spans="1:48" x14ac:dyDescent="0.15">
      <c r="A20" s="55" t="s">
        <v>56</v>
      </c>
      <c r="B20" s="55" t="s">
        <v>234</v>
      </c>
      <c r="C20" s="95">
        <v>2018</v>
      </c>
      <c r="D20" s="112" t="s">
        <v>235</v>
      </c>
      <c r="E20" s="95" t="s">
        <v>246</v>
      </c>
      <c r="F20" s="95" t="s">
        <v>247</v>
      </c>
      <c r="G20" s="55" t="s">
        <v>42</v>
      </c>
      <c r="H20" s="95" t="s">
        <v>155</v>
      </c>
      <c r="I20" s="55" t="s">
        <v>153</v>
      </c>
      <c r="J20" s="95" t="s">
        <v>38</v>
      </c>
      <c r="K20" s="95" t="s">
        <v>154</v>
      </c>
      <c r="L20" s="87">
        <v>1</v>
      </c>
      <c r="N20" s="87">
        <v>4</v>
      </c>
      <c r="O20" s="87">
        <v>1.25</v>
      </c>
      <c r="P20" s="87">
        <v>1.35</v>
      </c>
      <c r="Q20" s="113">
        <f t="shared" si="0"/>
        <v>1.3</v>
      </c>
      <c r="R20" s="87">
        <v>14.6</v>
      </c>
      <c r="S20" s="87">
        <v>100</v>
      </c>
      <c r="T20" s="16">
        <f t="shared" si="1"/>
        <v>33</v>
      </c>
      <c r="U20" s="87">
        <v>377</v>
      </c>
      <c r="V20" s="16">
        <f t="shared" si="2"/>
        <v>3110.25</v>
      </c>
      <c r="W20" s="87">
        <v>2</v>
      </c>
      <c r="X20" s="55" t="s">
        <v>46</v>
      </c>
      <c r="Y20" s="55" t="s">
        <v>84</v>
      </c>
      <c r="Z20" s="95" t="s">
        <v>90</v>
      </c>
      <c r="AA20" s="55" t="s">
        <v>78</v>
      </c>
      <c r="AB20" s="95" t="s">
        <v>183</v>
      </c>
      <c r="AP20" s="101" t="s">
        <v>113</v>
      </c>
      <c r="AR20" s="41" t="s">
        <v>105</v>
      </c>
      <c r="AV20" s="27" t="s">
        <v>248</v>
      </c>
    </row>
    <row r="21" spans="1:48" x14ac:dyDescent="0.15">
      <c r="A21" s="55" t="s">
        <v>56</v>
      </c>
      <c r="B21" s="55" t="s">
        <v>234</v>
      </c>
      <c r="C21" s="95">
        <v>2018</v>
      </c>
      <c r="D21" s="112" t="s">
        <v>235</v>
      </c>
      <c r="E21" s="95" t="s">
        <v>246</v>
      </c>
      <c r="F21" s="95" t="s">
        <v>247</v>
      </c>
      <c r="G21" s="55" t="s">
        <v>42</v>
      </c>
      <c r="H21" s="95" t="s">
        <v>155</v>
      </c>
      <c r="I21" s="55" t="s">
        <v>153</v>
      </c>
      <c r="J21" s="95" t="s">
        <v>38</v>
      </c>
      <c r="K21" s="95" t="s">
        <v>154</v>
      </c>
      <c r="L21" s="87">
        <v>2</v>
      </c>
      <c r="N21" s="87">
        <v>4</v>
      </c>
      <c r="O21" s="87">
        <v>0.85</v>
      </c>
      <c r="P21" s="87">
        <v>0.95</v>
      </c>
      <c r="Q21" s="113">
        <f t="shared" si="0"/>
        <v>0.89999999999999991</v>
      </c>
      <c r="R21" s="87">
        <v>14.7</v>
      </c>
      <c r="S21" s="87">
        <v>99</v>
      </c>
      <c r="T21" s="16">
        <f t="shared" si="1"/>
        <v>33</v>
      </c>
      <c r="U21" s="87">
        <v>377</v>
      </c>
      <c r="V21" s="16">
        <f t="shared" si="2"/>
        <v>3110.25</v>
      </c>
      <c r="W21" s="87">
        <v>2</v>
      </c>
      <c r="X21" s="55" t="s">
        <v>46</v>
      </c>
      <c r="Y21" s="55" t="s">
        <v>84</v>
      </c>
      <c r="Z21" s="95" t="s">
        <v>90</v>
      </c>
      <c r="AA21" s="55" t="s">
        <v>78</v>
      </c>
      <c r="AB21" s="95" t="s">
        <v>183</v>
      </c>
      <c r="AP21" s="101" t="s">
        <v>114</v>
      </c>
      <c r="AR21" s="41" t="s">
        <v>68</v>
      </c>
      <c r="AV21" s="28" t="s">
        <v>249</v>
      </c>
    </row>
    <row r="22" spans="1:48" x14ac:dyDescent="0.15">
      <c r="A22" s="55" t="s">
        <v>56</v>
      </c>
      <c r="B22" s="55" t="s">
        <v>234</v>
      </c>
      <c r="C22" s="95">
        <v>2018</v>
      </c>
      <c r="D22" s="112" t="s">
        <v>235</v>
      </c>
      <c r="E22" s="95" t="s">
        <v>246</v>
      </c>
      <c r="F22" s="95" t="s">
        <v>247</v>
      </c>
      <c r="G22" s="55" t="s">
        <v>42</v>
      </c>
      <c r="H22" s="95" t="s">
        <v>155</v>
      </c>
      <c r="I22" s="55" t="s">
        <v>153</v>
      </c>
      <c r="J22" s="95" t="s">
        <v>38</v>
      </c>
      <c r="K22" s="95" t="s">
        <v>154</v>
      </c>
      <c r="L22" s="87">
        <v>3</v>
      </c>
      <c r="N22" s="87">
        <v>4</v>
      </c>
      <c r="O22" s="87">
        <v>0.65</v>
      </c>
      <c r="P22" s="87">
        <v>0.7</v>
      </c>
      <c r="Q22" s="113">
        <f t="shared" si="0"/>
        <v>0.67500000000000004</v>
      </c>
      <c r="R22" s="100">
        <v>15.1</v>
      </c>
      <c r="S22" s="87">
        <v>93</v>
      </c>
      <c r="T22" s="16">
        <f t="shared" si="1"/>
        <v>36</v>
      </c>
      <c r="U22" s="87">
        <v>377</v>
      </c>
      <c r="V22" s="16">
        <f t="shared" si="2"/>
        <v>3393</v>
      </c>
      <c r="W22" s="87">
        <v>2</v>
      </c>
      <c r="X22" s="55" t="s">
        <v>46</v>
      </c>
      <c r="Y22" s="55" t="s">
        <v>84</v>
      </c>
      <c r="Z22" s="95" t="s">
        <v>90</v>
      </c>
      <c r="AA22" s="55" t="s">
        <v>78</v>
      </c>
      <c r="AB22" s="95" t="s">
        <v>183</v>
      </c>
      <c r="AP22" s="101" t="s">
        <v>115</v>
      </c>
      <c r="AR22" s="41" t="s">
        <v>83</v>
      </c>
    </row>
    <row r="23" spans="1:48" x14ac:dyDescent="0.15">
      <c r="A23" s="55" t="s">
        <v>56</v>
      </c>
      <c r="B23" s="55" t="s">
        <v>234</v>
      </c>
      <c r="C23" s="95">
        <v>2018</v>
      </c>
      <c r="D23" s="112" t="s">
        <v>235</v>
      </c>
      <c r="E23" s="95" t="s">
        <v>179</v>
      </c>
      <c r="F23" s="95" t="s">
        <v>222</v>
      </c>
      <c r="G23" s="55" t="s">
        <v>42</v>
      </c>
      <c r="H23" s="95" t="s">
        <v>128</v>
      </c>
      <c r="I23" s="55" t="s">
        <v>153</v>
      </c>
      <c r="J23" s="95" t="s">
        <v>80</v>
      </c>
      <c r="K23" s="95" t="s">
        <v>63</v>
      </c>
      <c r="L23" s="87">
        <v>1</v>
      </c>
      <c r="N23" s="87">
        <v>5</v>
      </c>
      <c r="O23" s="87">
        <v>1</v>
      </c>
      <c r="P23" s="87">
        <v>1.05</v>
      </c>
      <c r="Q23" s="113">
        <f t="shared" si="0"/>
        <v>1.0249999999999999</v>
      </c>
      <c r="R23" s="87">
        <v>13.2</v>
      </c>
      <c r="S23" s="87">
        <v>78</v>
      </c>
      <c r="T23" s="16">
        <f t="shared" si="1"/>
        <v>39</v>
      </c>
      <c r="U23" s="87">
        <v>429</v>
      </c>
      <c r="V23" s="16">
        <f t="shared" si="2"/>
        <v>3346.2</v>
      </c>
      <c r="W23" s="87">
        <v>2</v>
      </c>
      <c r="X23" s="55" t="s">
        <v>46</v>
      </c>
      <c r="Y23" s="55" t="s">
        <v>84</v>
      </c>
      <c r="Z23" s="95" t="s">
        <v>90</v>
      </c>
      <c r="AA23" s="55" t="s">
        <v>50</v>
      </c>
      <c r="AB23" s="95" t="s">
        <v>183</v>
      </c>
      <c r="AP23" s="101" t="s">
        <v>250</v>
      </c>
      <c r="AR23" s="41" t="s">
        <v>61</v>
      </c>
    </row>
    <row r="24" spans="1:48" x14ac:dyDescent="0.15">
      <c r="A24" s="55" t="s">
        <v>56</v>
      </c>
      <c r="B24" s="55" t="s">
        <v>234</v>
      </c>
      <c r="C24" s="95">
        <v>2018</v>
      </c>
      <c r="D24" s="112" t="s">
        <v>235</v>
      </c>
      <c r="E24" s="95" t="s">
        <v>179</v>
      </c>
      <c r="F24" s="95" t="s">
        <v>222</v>
      </c>
      <c r="G24" s="55" t="s">
        <v>42</v>
      </c>
      <c r="H24" s="95" t="s">
        <v>128</v>
      </c>
      <c r="I24" s="55" t="s">
        <v>153</v>
      </c>
      <c r="J24" s="95" t="s">
        <v>80</v>
      </c>
      <c r="K24" s="95" t="s">
        <v>63</v>
      </c>
      <c r="L24" s="87">
        <v>2</v>
      </c>
      <c r="N24" s="87">
        <v>5</v>
      </c>
      <c r="O24" s="87">
        <v>0.85</v>
      </c>
      <c r="P24" s="87">
        <v>0.8</v>
      </c>
      <c r="Q24" s="113">
        <f t="shared" si="0"/>
        <v>0.82499999999999996</v>
      </c>
      <c r="R24" s="87">
        <v>13.7</v>
      </c>
      <c r="S24" s="87">
        <v>85</v>
      </c>
      <c r="T24" s="16">
        <f t="shared" si="1"/>
        <v>36</v>
      </c>
      <c r="U24" s="87">
        <v>429</v>
      </c>
      <c r="V24" s="16">
        <f t="shared" si="2"/>
        <v>3088.7999999999997</v>
      </c>
      <c r="W24" s="87">
        <v>2</v>
      </c>
      <c r="X24" s="55" t="s">
        <v>46</v>
      </c>
      <c r="Y24" s="55" t="s">
        <v>84</v>
      </c>
      <c r="Z24" s="95" t="s">
        <v>90</v>
      </c>
      <c r="AA24" s="55" t="s">
        <v>50</v>
      </c>
      <c r="AB24" s="95" t="s">
        <v>183</v>
      </c>
      <c r="AP24" s="101" t="s">
        <v>251</v>
      </c>
      <c r="AR24" s="41" t="s">
        <v>91</v>
      </c>
    </row>
    <row r="25" spans="1:48" x14ac:dyDescent="0.15">
      <c r="A25" s="55" t="s">
        <v>56</v>
      </c>
      <c r="B25" s="55" t="s">
        <v>234</v>
      </c>
      <c r="C25" s="95">
        <v>2018</v>
      </c>
      <c r="D25" s="112" t="s">
        <v>235</v>
      </c>
      <c r="E25" s="95" t="s">
        <v>179</v>
      </c>
      <c r="F25" s="95" t="s">
        <v>222</v>
      </c>
      <c r="G25" s="55" t="s">
        <v>42</v>
      </c>
      <c r="H25" s="95" t="s">
        <v>128</v>
      </c>
      <c r="I25" s="55" t="s">
        <v>153</v>
      </c>
      <c r="J25" s="95" t="s">
        <v>80</v>
      </c>
      <c r="K25" s="95" t="s">
        <v>63</v>
      </c>
      <c r="L25" s="87">
        <v>3</v>
      </c>
      <c r="N25" s="87">
        <v>5</v>
      </c>
      <c r="O25" s="87">
        <v>1</v>
      </c>
      <c r="P25" s="87">
        <v>0.9</v>
      </c>
      <c r="Q25" s="113">
        <f t="shared" si="0"/>
        <v>0.95</v>
      </c>
      <c r="R25" s="87">
        <v>14.7</v>
      </c>
      <c r="S25" s="87">
        <v>86</v>
      </c>
      <c r="T25" s="16">
        <f t="shared" si="1"/>
        <v>36</v>
      </c>
      <c r="U25" s="87">
        <v>429</v>
      </c>
      <c r="V25" s="16">
        <f t="shared" si="2"/>
        <v>3088.7999999999997</v>
      </c>
      <c r="W25" s="87">
        <v>2</v>
      </c>
      <c r="X25" s="55" t="s">
        <v>46</v>
      </c>
      <c r="Y25" s="55" t="s">
        <v>84</v>
      </c>
      <c r="Z25" s="95" t="s">
        <v>90</v>
      </c>
      <c r="AA25" s="55" t="s">
        <v>50</v>
      </c>
      <c r="AB25" s="95" t="s">
        <v>183</v>
      </c>
      <c r="AP25" s="101" t="s">
        <v>116</v>
      </c>
      <c r="AR25" s="42" t="s">
        <v>92</v>
      </c>
    </row>
    <row r="26" spans="1:48" x14ac:dyDescent="0.15">
      <c r="A26" s="55" t="s">
        <v>56</v>
      </c>
      <c r="B26" s="55" t="s">
        <v>234</v>
      </c>
      <c r="C26" s="95">
        <v>2018</v>
      </c>
      <c r="D26" s="112" t="s">
        <v>235</v>
      </c>
      <c r="E26" s="95" t="s">
        <v>252</v>
      </c>
      <c r="F26" s="95" t="s">
        <v>222</v>
      </c>
      <c r="G26" s="55" t="s">
        <v>42</v>
      </c>
      <c r="H26" s="95" t="s">
        <v>155</v>
      </c>
      <c r="I26" s="55" t="s">
        <v>153</v>
      </c>
      <c r="J26" s="95" t="s">
        <v>38</v>
      </c>
      <c r="K26" s="95" t="s">
        <v>154</v>
      </c>
      <c r="L26" s="87">
        <v>1</v>
      </c>
      <c r="N26" s="87">
        <v>1</v>
      </c>
      <c r="O26" s="87">
        <v>0.85</v>
      </c>
      <c r="P26" s="87">
        <v>0.9</v>
      </c>
      <c r="Q26" s="16">
        <f t="shared" si="0"/>
        <v>0.875</v>
      </c>
      <c r="R26" s="87">
        <v>15.1</v>
      </c>
      <c r="S26" s="87">
        <v>128</v>
      </c>
      <c r="T26" s="16">
        <f t="shared" si="1"/>
        <v>27</v>
      </c>
      <c r="U26" s="87">
        <v>138</v>
      </c>
      <c r="V26" s="16">
        <f t="shared" si="2"/>
        <v>3726</v>
      </c>
      <c r="W26" s="87">
        <v>1</v>
      </c>
      <c r="X26" s="55" t="s">
        <v>39</v>
      </c>
      <c r="Y26" s="55" t="s">
        <v>84</v>
      </c>
      <c r="Z26" s="95" t="s">
        <v>90</v>
      </c>
      <c r="AA26" s="55" t="s">
        <v>40</v>
      </c>
      <c r="AB26" s="95" t="s">
        <v>183</v>
      </c>
      <c r="AP26" s="101" t="s">
        <v>117</v>
      </c>
      <c r="AR26" s="87" t="s">
        <v>166</v>
      </c>
    </row>
    <row r="27" spans="1:48" x14ac:dyDescent="0.15">
      <c r="A27" s="55" t="s">
        <v>56</v>
      </c>
      <c r="B27" s="55" t="s">
        <v>234</v>
      </c>
      <c r="C27" s="95">
        <v>2018</v>
      </c>
      <c r="D27" s="112" t="s">
        <v>235</v>
      </c>
      <c r="E27" s="95" t="s">
        <v>252</v>
      </c>
      <c r="F27" s="95" t="s">
        <v>222</v>
      </c>
      <c r="G27" s="55" t="s">
        <v>42</v>
      </c>
      <c r="H27" s="95" t="s">
        <v>155</v>
      </c>
      <c r="I27" s="55" t="s">
        <v>153</v>
      </c>
      <c r="J27" s="95" t="s">
        <v>38</v>
      </c>
      <c r="K27" s="95" t="s">
        <v>154</v>
      </c>
      <c r="L27" s="87">
        <v>2</v>
      </c>
      <c r="N27" s="87">
        <v>1</v>
      </c>
      <c r="O27" s="87">
        <v>0.7</v>
      </c>
      <c r="P27" s="87">
        <v>0.65</v>
      </c>
      <c r="Q27" s="16">
        <f t="shared" si="0"/>
        <v>0.67500000000000004</v>
      </c>
      <c r="R27" s="87">
        <v>14.8</v>
      </c>
      <c r="S27" s="87">
        <v>136</v>
      </c>
      <c r="T27" s="16">
        <f t="shared" si="1"/>
        <v>25</v>
      </c>
      <c r="U27" s="87">
        <v>138</v>
      </c>
      <c r="V27" s="16">
        <f t="shared" si="2"/>
        <v>3450</v>
      </c>
      <c r="W27" s="87">
        <v>1</v>
      </c>
      <c r="X27" s="55" t="s">
        <v>39</v>
      </c>
      <c r="Y27" s="55" t="s">
        <v>84</v>
      </c>
      <c r="Z27" s="95" t="s">
        <v>90</v>
      </c>
      <c r="AA27" s="55" t="s">
        <v>40</v>
      </c>
      <c r="AB27" s="95" t="s">
        <v>183</v>
      </c>
      <c r="AP27" s="101" t="s">
        <v>118</v>
      </c>
    </row>
    <row r="28" spans="1:48" x14ac:dyDescent="0.15">
      <c r="A28" s="55" t="s">
        <v>56</v>
      </c>
      <c r="B28" s="55" t="s">
        <v>234</v>
      </c>
      <c r="C28" s="95">
        <v>2018</v>
      </c>
      <c r="D28" s="112" t="s">
        <v>235</v>
      </c>
      <c r="E28" s="95" t="s">
        <v>252</v>
      </c>
      <c r="F28" s="95" t="s">
        <v>222</v>
      </c>
      <c r="G28" s="55" t="s">
        <v>42</v>
      </c>
      <c r="H28" s="95" t="s">
        <v>155</v>
      </c>
      <c r="I28" s="55" t="s">
        <v>153</v>
      </c>
      <c r="J28" s="95" t="s">
        <v>38</v>
      </c>
      <c r="K28" s="95" t="s">
        <v>154</v>
      </c>
      <c r="L28" s="87">
        <v>3</v>
      </c>
      <c r="N28" s="87">
        <v>1</v>
      </c>
      <c r="O28" s="87">
        <v>0.6</v>
      </c>
      <c r="P28" s="87">
        <v>0.6</v>
      </c>
      <c r="Q28" s="16">
        <f t="shared" si="0"/>
        <v>0.6</v>
      </c>
      <c r="R28" s="87">
        <v>15.4</v>
      </c>
      <c r="S28" s="87">
        <v>129</v>
      </c>
      <c r="T28" s="16">
        <f t="shared" si="1"/>
        <v>25</v>
      </c>
      <c r="U28" s="87">
        <v>138</v>
      </c>
      <c r="V28" s="16">
        <f t="shared" si="2"/>
        <v>3450</v>
      </c>
      <c r="W28" s="87">
        <v>1</v>
      </c>
      <c r="X28" s="55" t="s">
        <v>39</v>
      </c>
      <c r="Y28" s="55" t="s">
        <v>84</v>
      </c>
      <c r="Z28" s="95" t="s">
        <v>90</v>
      </c>
      <c r="AA28" s="55" t="s">
        <v>40</v>
      </c>
      <c r="AB28" s="95" t="s">
        <v>183</v>
      </c>
    </row>
    <row r="29" spans="1:48" x14ac:dyDescent="0.15">
      <c r="A29" s="55" t="s">
        <v>56</v>
      </c>
      <c r="B29" s="55" t="s">
        <v>234</v>
      </c>
      <c r="C29" s="95">
        <v>2018</v>
      </c>
      <c r="D29" s="112" t="s">
        <v>235</v>
      </c>
      <c r="E29" s="95" t="s">
        <v>252</v>
      </c>
      <c r="F29" s="95" t="s">
        <v>222</v>
      </c>
      <c r="G29" s="55" t="s">
        <v>42</v>
      </c>
      <c r="H29" s="95" t="s">
        <v>159</v>
      </c>
      <c r="I29" s="55" t="s">
        <v>153</v>
      </c>
      <c r="J29" s="95" t="s">
        <v>38</v>
      </c>
      <c r="K29" s="95" t="s">
        <v>154</v>
      </c>
      <c r="L29" s="87">
        <v>1</v>
      </c>
      <c r="N29" s="87">
        <v>1</v>
      </c>
      <c r="O29" s="87">
        <v>0.85</v>
      </c>
      <c r="P29" s="87">
        <v>0.65</v>
      </c>
      <c r="Q29" s="16">
        <f t="shared" si="0"/>
        <v>0.75</v>
      </c>
      <c r="R29" s="87">
        <v>15.8</v>
      </c>
      <c r="S29" s="87">
        <v>140</v>
      </c>
      <c r="T29" s="16">
        <f t="shared" si="1"/>
        <v>22</v>
      </c>
      <c r="U29" s="87">
        <v>177</v>
      </c>
      <c r="V29" s="16">
        <f t="shared" si="2"/>
        <v>3894</v>
      </c>
      <c r="W29" s="87">
        <v>1</v>
      </c>
      <c r="X29" s="55" t="s">
        <v>39</v>
      </c>
      <c r="Y29" s="55" t="s">
        <v>84</v>
      </c>
      <c r="Z29" s="95" t="s">
        <v>90</v>
      </c>
      <c r="AA29" s="55" t="s">
        <v>40</v>
      </c>
      <c r="AB29" s="95" t="s">
        <v>183</v>
      </c>
    </row>
    <row r="30" spans="1:48" x14ac:dyDescent="0.15">
      <c r="A30" s="55" t="s">
        <v>56</v>
      </c>
      <c r="B30" s="55" t="s">
        <v>234</v>
      </c>
      <c r="C30" s="95">
        <v>2018</v>
      </c>
      <c r="D30" s="112" t="s">
        <v>235</v>
      </c>
      <c r="E30" s="95" t="s">
        <v>252</v>
      </c>
      <c r="F30" s="95" t="s">
        <v>222</v>
      </c>
      <c r="G30" s="55" t="s">
        <v>42</v>
      </c>
      <c r="H30" s="95" t="s">
        <v>159</v>
      </c>
      <c r="I30" s="55" t="s">
        <v>153</v>
      </c>
      <c r="J30" s="95" t="s">
        <v>38</v>
      </c>
      <c r="K30" s="95" t="s">
        <v>154</v>
      </c>
      <c r="L30" s="87">
        <v>2</v>
      </c>
      <c r="N30" s="87">
        <v>1</v>
      </c>
      <c r="O30" s="87">
        <v>0.6</v>
      </c>
      <c r="P30" s="87">
        <v>0.6</v>
      </c>
      <c r="Q30" s="16">
        <f t="shared" si="0"/>
        <v>0.6</v>
      </c>
      <c r="R30" s="87">
        <v>14.7</v>
      </c>
      <c r="S30" s="87">
        <v>129</v>
      </c>
      <c r="T30" s="16">
        <f t="shared" si="1"/>
        <v>25</v>
      </c>
      <c r="U30" s="87">
        <v>177</v>
      </c>
      <c r="V30" s="16">
        <f t="shared" si="2"/>
        <v>4425</v>
      </c>
      <c r="W30" s="87">
        <v>1</v>
      </c>
      <c r="X30" s="55" t="s">
        <v>39</v>
      </c>
      <c r="Y30" s="55" t="s">
        <v>84</v>
      </c>
      <c r="Z30" s="95" t="s">
        <v>90</v>
      </c>
      <c r="AA30" s="55" t="s">
        <v>40</v>
      </c>
      <c r="AB30" s="95" t="s">
        <v>183</v>
      </c>
    </row>
    <row r="31" spans="1:48" x14ac:dyDescent="0.15">
      <c r="A31" s="55" t="s">
        <v>56</v>
      </c>
      <c r="B31" s="55" t="s">
        <v>234</v>
      </c>
      <c r="C31" s="95">
        <v>2018</v>
      </c>
      <c r="D31" s="112" t="s">
        <v>235</v>
      </c>
      <c r="E31" s="95" t="s">
        <v>252</v>
      </c>
      <c r="F31" s="95" t="s">
        <v>222</v>
      </c>
      <c r="G31" s="55" t="s">
        <v>42</v>
      </c>
      <c r="H31" s="95" t="s">
        <v>159</v>
      </c>
      <c r="I31" s="55" t="s">
        <v>153</v>
      </c>
      <c r="J31" s="95" t="s">
        <v>38</v>
      </c>
      <c r="K31" s="95" t="s">
        <v>154</v>
      </c>
      <c r="L31" s="87">
        <v>3</v>
      </c>
      <c r="N31" s="87">
        <v>1</v>
      </c>
      <c r="O31" s="87">
        <v>0.6</v>
      </c>
      <c r="P31" s="87">
        <v>0.7</v>
      </c>
      <c r="Q31" s="16">
        <f t="shared" si="0"/>
        <v>0.64999999999999991</v>
      </c>
      <c r="R31" s="87">
        <v>15.8</v>
      </c>
      <c r="S31" s="87">
        <v>139</v>
      </c>
      <c r="T31" s="16">
        <f t="shared" si="1"/>
        <v>22</v>
      </c>
      <c r="U31" s="87">
        <v>177</v>
      </c>
      <c r="V31" s="16">
        <f t="shared" si="2"/>
        <v>3894</v>
      </c>
      <c r="W31" s="87">
        <v>1</v>
      </c>
      <c r="X31" s="55" t="s">
        <v>39</v>
      </c>
      <c r="Y31" s="55" t="s">
        <v>84</v>
      </c>
      <c r="Z31" s="95" t="s">
        <v>90</v>
      </c>
      <c r="AA31" s="55" t="s">
        <v>40</v>
      </c>
      <c r="AB31" s="95" t="s">
        <v>183</v>
      </c>
    </row>
    <row r="32" spans="1:48" x14ac:dyDescent="0.15">
      <c r="A32" s="55" t="s">
        <v>56</v>
      </c>
      <c r="B32" s="55" t="s">
        <v>234</v>
      </c>
      <c r="C32" s="95">
        <v>2018</v>
      </c>
      <c r="D32" s="112" t="s">
        <v>235</v>
      </c>
      <c r="E32" s="95" t="s">
        <v>227</v>
      </c>
      <c r="F32" s="95" t="s">
        <v>247</v>
      </c>
      <c r="G32" s="55" t="s">
        <v>42</v>
      </c>
      <c r="H32" s="95" t="s">
        <v>155</v>
      </c>
      <c r="I32" s="55" t="s">
        <v>232</v>
      </c>
      <c r="J32" s="95" t="s">
        <v>38</v>
      </c>
      <c r="K32" s="95" t="s">
        <v>154</v>
      </c>
      <c r="L32" s="87">
        <v>1</v>
      </c>
      <c r="N32" s="87">
        <v>4</v>
      </c>
      <c r="O32" s="87">
        <v>0.7</v>
      </c>
      <c r="P32" s="87">
        <v>0.7</v>
      </c>
      <c r="Q32" s="16">
        <f t="shared" si="0"/>
        <v>0.7</v>
      </c>
      <c r="R32" s="87">
        <v>14.9</v>
      </c>
      <c r="S32" s="87">
        <v>99</v>
      </c>
      <c r="T32" s="16">
        <f t="shared" si="1"/>
        <v>33</v>
      </c>
      <c r="U32" s="87">
        <v>539</v>
      </c>
      <c r="V32" s="16">
        <f t="shared" si="2"/>
        <v>4446.75</v>
      </c>
      <c r="W32" s="87">
        <v>4</v>
      </c>
      <c r="X32" s="55" t="s">
        <v>39</v>
      </c>
      <c r="Y32" s="55" t="s">
        <v>84</v>
      </c>
      <c r="Z32" s="95" t="s">
        <v>90</v>
      </c>
      <c r="AA32" s="55" t="s">
        <v>50</v>
      </c>
      <c r="AB32" s="95" t="s">
        <v>183</v>
      </c>
    </row>
    <row r="33" spans="1:28" x14ac:dyDescent="0.15">
      <c r="A33" s="55" t="s">
        <v>56</v>
      </c>
      <c r="B33" s="55" t="s">
        <v>234</v>
      </c>
      <c r="C33" s="95">
        <v>2018</v>
      </c>
      <c r="D33" s="112" t="s">
        <v>235</v>
      </c>
      <c r="E33" s="95" t="s">
        <v>227</v>
      </c>
      <c r="F33" s="95" t="s">
        <v>247</v>
      </c>
      <c r="G33" s="55" t="s">
        <v>42</v>
      </c>
      <c r="H33" s="95" t="s">
        <v>155</v>
      </c>
      <c r="I33" s="55" t="s">
        <v>232</v>
      </c>
      <c r="J33" s="95" t="s">
        <v>38</v>
      </c>
      <c r="K33" s="95" t="s">
        <v>154</v>
      </c>
      <c r="L33" s="87">
        <v>2</v>
      </c>
      <c r="N33" s="87">
        <v>4</v>
      </c>
      <c r="O33" s="87">
        <v>0.8</v>
      </c>
      <c r="P33" s="87">
        <v>0.75</v>
      </c>
      <c r="Q33" s="16">
        <f t="shared" si="0"/>
        <v>0.77500000000000002</v>
      </c>
      <c r="R33" s="87">
        <v>13.7</v>
      </c>
      <c r="S33" s="87">
        <v>101</v>
      </c>
      <c r="T33" s="16">
        <f t="shared" si="1"/>
        <v>33</v>
      </c>
      <c r="U33" s="87">
        <v>539</v>
      </c>
      <c r="V33" s="16">
        <f t="shared" si="2"/>
        <v>4446.75</v>
      </c>
      <c r="W33" s="87">
        <v>4</v>
      </c>
      <c r="X33" s="55" t="s">
        <v>39</v>
      </c>
      <c r="Y33" s="55" t="s">
        <v>84</v>
      </c>
      <c r="Z33" s="95" t="s">
        <v>90</v>
      </c>
      <c r="AA33" s="55" t="s">
        <v>50</v>
      </c>
      <c r="AB33" s="95" t="s">
        <v>183</v>
      </c>
    </row>
    <row r="34" spans="1:28" x14ac:dyDescent="0.15">
      <c r="A34" s="55" t="s">
        <v>56</v>
      </c>
      <c r="B34" s="55" t="s">
        <v>234</v>
      </c>
      <c r="C34" s="95">
        <v>2018</v>
      </c>
      <c r="D34" s="112" t="s">
        <v>235</v>
      </c>
      <c r="E34" s="95" t="s">
        <v>227</v>
      </c>
      <c r="F34" s="95" t="s">
        <v>247</v>
      </c>
      <c r="G34" s="55" t="s">
        <v>42</v>
      </c>
      <c r="H34" s="95" t="s">
        <v>155</v>
      </c>
      <c r="I34" s="55" t="s">
        <v>232</v>
      </c>
      <c r="J34" s="95" t="s">
        <v>38</v>
      </c>
      <c r="K34" s="95" t="s">
        <v>154</v>
      </c>
      <c r="L34" s="87">
        <v>3</v>
      </c>
      <c r="N34" s="87">
        <v>4</v>
      </c>
      <c r="O34" s="87">
        <v>0.85</v>
      </c>
      <c r="P34" s="87">
        <v>0.8</v>
      </c>
      <c r="Q34" s="16">
        <f t="shared" si="0"/>
        <v>0.82499999999999996</v>
      </c>
      <c r="R34" s="87">
        <v>13.6</v>
      </c>
      <c r="S34" s="87">
        <v>95</v>
      </c>
      <c r="T34" s="16">
        <f t="shared" si="1"/>
        <v>36</v>
      </c>
      <c r="U34" s="87">
        <v>539</v>
      </c>
      <c r="V34" s="16">
        <f t="shared" si="2"/>
        <v>4851</v>
      </c>
      <c r="W34" s="87">
        <v>4</v>
      </c>
      <c r="X34" s="55" t="s">
        <v>39</v>
      </c>
      <c r="Y34" s="55" t="s">
        <v>84</v>
      </c>
      <c r="Z34" s="95" t="s">
        <v>90</v>
      </c>
      <c r="AA34" s="55" t="s">
        <v>50</v>
      </c>
      <c r="AB34" s="95" t="s">
        <v>183</v>
      </c>
    </row>
    <row r="35" spans="1:28" x14ac:dyDescent="0.15">
      <c r="A35" s="55" t="s">
        <v>56</v>
      </c>
      <c r="B35" s="55" t="s">
        <v>234</v>
      </c>
      <c r="C35" s="95">
        <v>2018</v>
      </c>
      <c r="D35" s="112" t="s">
        <v>235</v>
      </c>
      <c r="E35" s="95" t="s">
        <v>179</v>
      </c>
      <c r="F35" s="95" t="s">
        <v>247</v>
      </c>
      <c r="G35" s="55" t="s">
        <v>42</v>
      </c>
      <c r="H35" s="95" t="s">
        <v>155</v>
      </c>
      <c r="I35" s="55" t="s">
        <v>153</v>
      </c>
      <c r="J35" s="95" t="s">
        <v>38</v>
      </c>
      <c r="K35" s="95" t="s">
        <v>154</v>
      </c>
      <c r="L35" s="87">
        <v>1</v>
      </c>
      <c r="N35" s="87">
        <v>1</v>
      </c>
      <c r="O35" s="87">
        <v>0.6</v>
      </c>
      <c r="P35" s="87">
        <v>0.7</v>
      </c>
      <c r="Q35" s="16">
        <f t="shared" si="0"/>
        <v>0.64999999999999991</v>
      </c>
      <c r="R35" s="87">
        <v>13.7</v>
      </c>
      <c r="S35" s="87">
        <v>126</v>
      </c>
      <c r="T35" s="16">
        <f t="shared" si="1"/>
        <v>27</v>
      </c>
      <c r="U35" s="87">
        <v>105</v>
      </c>
      <c r="V35" s="16">
        <f t="shared" si="2"/>
        <v>2835</v>
      </c>
      <c r="W35" s="87">
        <v>4</v>
      </c>
      <c r="X35" s="55" t="s">
        <v>46</v>
      </c>
      <c r="Y35" s="55" t="s">
        <v>84</v>
      </c>
      <c r="Z35" s="95" t="s">
        <v>90</v>
      </c>
      <c r="AA35" s="55" t="s">
        <v>50</v>
      </c>
      <c r="AB35" s="95" t="s">
        <v>183</v>
      </c>
    </row>
    <row r="36" spans="1:28" x14ac:dyDescent="0.15">
      <c r="A36" s="55" t="s">
        <v>56</v>
      </c>
      <c r="B36" s="55" t="s">
        <v>234</v>
      </c>
      <c r="C36" s="95">
        <v>2018</v>
      </c>
      <c r="D36" s="112" t="s">
        <v>235</v>
      </c>
      <c r="E36" s="95" t="s">
        <v>179</v>
      </c>
      <c r="F36" s="95" t="s">
        <v>247</v>
      </c>
      <c r="G36" s="55" t="s">
        <v>42</v>
      </c>
      <c r="H36" s="95" t="s">
        <v>155</v>
      </c>
      <c r="I36" s="55" t="s">
        <v>153</v>
      </c>
      <c r="J36" s="95" t="s">
        <v>38</v>
      </c>
      <c r="K36" s="95" t="s">
        <v>154</v>
      </c>
      <c r="L36" s="87">
        <v>2</v>
      </c>
      <c r="N36" s="87">
        <v>1</v>
      </c>
      <c r="O36" s="87">
        <v>0.75</v>
      </c>
      <c r="P36" s="87">
        <v>0.8</v>
      </c>
      <c r="Q36" s="16">
        <f t="shared" si="0"/>
        <v>0.77500000000000002</v>
      </c>
      <c r="R36" s="87">
        <v>14</v>
      </c>
      <c r="S36" s="87">
        <v>129</v>
      </c>
      <c r="T36" s="16">
        <f t="shared" si="1"/>
        <v>25</v>
      </c>
      <c r="U36" s="87">
        <v>105</v>
      </c>
      <c r="V36" s="16">
        <f t="shared" si="2"/>
        <v>2625</v>
      </c>
      <c r="W36" s="87">
        <v>4</v>
      </c>
      <c r="X36" s="55" t="s">
        <v>46</v>
      </c>
      <c r="Y36" s="55" t="s">
        <v>84</v>
      </c>
      <c r="Z36" s="95" t="s">
        <v>90</v>
      </c>
      <c r="AA36" s="55" t="s">
        <v>50</v>
      </c>
      <c r="AB36" s="95" t="s">
        <v>183</v>
      </c>
    </row>
    <row r="37" spans="1:28" x14ac:dyDescent="0.15">
      <c r="A37" s="55" t="s">
        <v>56</v>
      </c>
      <c r="B37" s="55" t="s">
        <v>234</v>
      </c>
      <c r="C37" s="95">
        <v>2018</v>
      </c>
      <c r="D37" s="112" t="s">
        <v>235</v>
      </c>
      <c r="E37" s="95" t="s">
        <v>179</v>
      </c>
      <c r="F37" s="95" t="s">
        <v>247</v>
      </c>
      <c r="G37" s="55" t="s">
        <v>42</v>
      </c>
      <c r="H37" s="95" t="s">
        <v>155</v>
      </c>
      <c r="I37" s="55" t="s">
        <v>153</v>
      </c>
      <c r="J37" s="95" t="s">
        <v>38</v>
      </c>
      <c r="K37" s="95" t="s">
        <v>154</v>
      </c>
      <c r="L37" s="87">
        <v>3</v>
      </c>
      <c r="N37" s="87">
        <v>1</v>
      </c>
      <c r="O37" s="87">
        <v>0.6</v>
      </c>
      <c r="P37" s="87">
        <v>0.6</v>
      </c>
      <c r="Q37" s="16">
        <f t="shared" si="0"/>
        <v>0.6</v>
      </c>
      <c r="R37" s="87">
        <v>14</v>
      </c>
      <c r="S37" s="87">
        <v>124</v>
      </c>
      <c r="T37" s="16">
        <f t="shared" si="1"/>
        <v>27</v>
      </c>
      <c r="U37" s="87">
        <v>105</v>
      </c>
      <c r="V37" s="16">
        <f t="shared" si="2"/>
        <v>2835</v>
      </c>
      <c r="W37" s="87">
        <v>4</v>
      </c>
      <c r="X37" s="55" t="s">
        <v>46</v>
      </c>
      <c r="Y37" s="55" t="s">
        <v>84</v>
      </c>
      <c r="Z37" s="95" t="s">
        <v>90</v>
      </c>
      <c r="AA37" s="55" t="s">
        <v>50</v>
      </c>
      <c r="AB37" s="95" t="s">
        <v>183</v>
      </c>
    </row>
    <row r="38" spans="1:28" x14ac:dyDescent="0.15">
      <c r="A38" s="55" t="s">
        <v>56</v>
      </c>
      <c r="B38" s="55" t="s">
        <v>234</v>
      </c>
      <c r="C38" s="95">
        <v>2018</v>
      </c>
      <c r="D38" s="112" t="s">
        <v>235</v>
      </c>
      <c r="E38" s="95" t="s">
        <v>209</v>
      </c>
      <c r="F38" s="95" t="s">
        <v>247</v>
      </c>
      <c r="G38" s="55" t="s">
        <v>42</v>
      </c>
      <c r="H38" s="95" t="s">
        <v>159</v>
      </c>
      <c r="I38" s="55" t="s">
        <v>153</v>
      </c>
      <c r="J38" s="95" t="s">
        <v>38</v>
      </c>
      <c r="K38" s="95" t="s">
        <v>154</v>
      </c>
      <c r="L38" s="87">
        <v>1</v>
      </c>
      <c r="N38" s="87">
        <v>1</v>
      </c>
      <c r="O38" s="87">
        <v>0.5</v>
      </c>
      <c r="P38" s="87">
        <v>0.5</v>
      </c>
      <c r="Q38" s="16">
        <f t="shared" si="0"/>
        <v>0.5</v>
      </c>
      <c r="R38" s="87">
        <v>14.3</v>
      </c>
      <c r="S38" s="87">
        <v>138</v>
      </c>
      <c r="T38" s="16">
        <f t="shared" si="1"/>
        <v>22</v>
      </c>
      <c r="U38" s="87">
        <v>117</v>
      </c>
      <c r="V38" s="16">
        <f t="shared" si="2"/>
        <v>2574</v>
      </c>
      <c r="W38" s="87">
        <v>4</v>
      </c>
      <c r="X38" s="55" t="s">
        <v>46</v>
      </c>
      <c r="Y38" s="55" t="s">
        <v>84</v>
      </c>
      <c r="Z38" s="87" t="s">
        <v>90</v>
      </c>
      <c r="AA38" s="55" t="s">
        <v>69</v>
      </c>
      <c r="AB38" s="95" t="s">
        <v>183</v>
      </c>
    </row>
    <row r="39" spans="1:28" x14ac:dyDescent="0.15">
      <c r="A39" s="55" t="s">
        <v>56</v>
      </c>
      <c r="B39" s="55" t="s">
        <v>234</v>
      </c>
      <c r="C39" s="95">
        <v>2018</v>
      </c>
      <c r="D39" s="112" t="s">
        <v>235</v>
      </c>
      <c r="E39" s="95" t="s">
        <v>209</v>
      </c>
      <c r="F39" s="95" t="s">
        <v>247</v>
      </c>
      <c r="G39" s="55" t="s">
        <v>42</v>
      </c>
      <c r="H39" s="95" t="s">
        <v>159</v>
      </c>
      <c r="I39" s="55" t="s">
        <v>153</v>
      </c>
      <c r="J39" s="95" t="s">
        <v>38</v>
      </c>
      <c r="K39" s="95" t="s">
        <v>154</v>
      </c>
      <c r="L39" s="87">
        <v>2</v>
      </c>
      <c r="N39" s="87">
        <v>1</v>
      </c>
      <c r="O39" s="87">
        <v>0.7</v>
      </c>
      <c r="P39" s="87">
        <v>0.8</v>
      </c>
      <c r="Q39" s="16">
        <f t="shared" si="0"/>
        <v>0.75</v>
      </c>
      <c r="R39" s="87">
        <v>13.4</v>
      </c>
      <c r="S39" s="87">
        <v>137</v>
      </c>
      <c r="T39" s="16">
        <f t="shared" si="1"/>
        <v>25</v>
      </c>
      <c r="U39" s="87">
        <v>117</v>
      </c>
      <c r="V39" s="16">
        <f t="shared" si="2"/>
        <v>2925</v>
      </c>
      <c r="W39" s="87">
        <v>4</v>
      </c>
      <c r="X39" s="55" t="s">
        <v>46</v>
      </c>
      <c r="Y39" s="55" t="s">
        <v>84</v>
      </c>
      <c r="Z39" s="87" t="s">
        <v>90</v>
      </c>
      <c r="AA39" s="55" t="s">
        <v>69</v>
      </c>
      <c r="AB39" s="95" t="s">
        <v>183</v>
      </c>
    </row>
    <row r="40" spans="1:28" x14ac:dyDescent="0.15">
      <c r="A40" s="55" t="s">
        <v>56</v>
      </c>
      <c r="B40" s="55" t="s">
        <v>234</v>
      </c>
      <c r="C40" s="95">
        <v>2018</v>
      </c>
      <c r="D40" s="112" t="s">
        <v>235</v>
      </c>
      <c r="E40" s="95" t="s">
        <v>209</v>
      </c>
      <c r="F40" s="95" t="s">
        <v>247</v>
      </c>
      <c r="G40" s="55" t="s">
        <v>42</v>
      </c>
      <c r="H40" s="95" t="s">
        <v>159</v>
      </c>
      <c r="I40" s="55" t="s">
        <v>153</v>
      </c>
      <c r="J40" s="95" t="s">
        <v>38</v>
      </c>
      <c r="K40" s="95" t="s">
        <v>154</v>
      </c>
      <c r="L40" s="87">
        <v>3</v>
      </c>
      <c r="N40" s="87">
        <v>1</v>
      </c>
      <c r="O40" s="87">
        <v>0.75</v>
      </c>
      <c r="P40" s="87">
        <v>0.75</v>
      </c>
      <c r="Q40" s="16">
        <f t="shared" si="0"/>
        <v>0.75</v>
      </c>
      <c r="R40" s="87">
        <v>14.1</v>
      </c>
      <c r="S40" s="87">
        <v>139</v>
      </c>
      <c r="T40" s="16">
        <f t="shared" si="1"/>
        <v>22</v>
      </c>
      <c r="U40" s="87">
        <v>117</v>
      </c>
      <c r="V40" s="16">
        <f t="shared" si="2"/>
        <v>2574</v>
      </c>
      <c r="W40" s="87">
        <v>4</v>
      </c>
      <c r="X40" s="55" t="s">
        <v>46</v>
      </c>
      <c r="Y40" s="55" t="s">
        <v>84</v>
      </c>
      <c r="Z40" s="87" t="s">
        <v>90</v>
      </c>
      <c r="AA40" s="55" t="s">
        <v>69</v>
      </c>
      <c r="AB40" s="95" t="s">
        <v>183</v>
      </c>
    </row>
    <row r="41" spans="1:28" x14ac:dyDescent="0.15">
      <c r="A41" s="55" t="s">
        <v>56</v>
      </c>
      <c r="B41" s="55" t="s">
        <v>234</v>
      </c>
      <c r="C41" s="95">
        <v>2018</v>
      </c>
      <c r="D41" s="112" t="s">
        <v>235</v>
      </c>
      <c r="E41" s="95" t="s">
        <v>253</v>
      </c>
      <c r="F41" s="95" t="s">
        <v>247</v>
      </c>
      <c r="G41" s="55" t="s">
        <v>42</v>
      </c>
      <c r="H41" s="95" t="s">
        <v>155</v>
      </c>
      <c r="I41" s="55" t="s">
        <v>153</v>
      </c>
      <c r="J41" s="95" t="s">
        <v>38</v>
      </c>
      <c r="K41" s="95" t="s">
        <v>154</v>
      </c>
      <c r="L41" s="87">
        <v>1</v>
      </c>
      <c r="N41" s="87">
        <v>5</v>
      </c>
      <c r="O41" s="87">
        <v>0.55000000000000004</v>
      </c>
      <c r="P41" s="87">
        <v>0.55000000000000004</v>
      </c>
      <c r="Q41" s="16">
        <f t="shared" si="0"/>
        <v>0.55000000000000004</v>
      </c>
      <c r="R41" s="87">
        <v>13.5</v>
      </c>
      <c r="S41" s="87">
        <v>99</v>
      </c>
      <c r="T41" s="16">
        <f t="shared" si="1"/>
        <v>33</v>
      </c>
      <c r="U41" s="87">
        <v>430</v>
      </c>
      <c r="V41" s="16">
        <f t="shared" si="2"/>
        <v>2838</v>
      </c>
      <c r="W41" s="87">
        <v>6</v>
      </c>
      <c r="X41" s="55" t="s">
        <v>46</v>
      </c>
      <c r="Y41" s="55" t="s">
        <v>84</v>
      </c>
      <c r="Z41" s="87" t="s">
        <v>90</v>
      </c>
      <c r="AA41" s="55" t="s">
        <v>78</v>
      </c>
      <c r="AB41" s="95" t="s">
        <v>183</v>
      </c>
    </row>
    <row r="42" spans="1:28" x14ac:dyDescent="0.15">
      <c r="A42" s="55" t="s">
        <v>56</v>
      </c>
      <c r="B42" s="55" t="s">
        <v>234</v>
      </c>
      <c r="C42" s="95">
        <v>2018</v>
      </c>
      <c r="D42" s="112" t="s">
        <v>235</v>
      </c>
      <c r="E42" s="95" t="s">
        <v>253</v>
      </c>
      <c r="F42" s="95" t="s">
        <v>247</v>
      </c>
      <c r="G42" s="55" t="s">
        <v>42</v>
      </c>
      <c r="H42" s="95" t="s">
        <v>155</v>
      </c>
      <c r="I42" s="55" t="s">
        <v>153</v>
      </c>
      <c r="J42" s="95" t="s">
        <v>38</v>
      </c>
      <c r="K42" s="95" t="s">
        <v>154</v>
      </c>
      <c r="L42" s="87">
        <v>2</v>
      </c>
      <c r="N42" s="87">
        <v>5</v>
      </c>
      <c r="O42" s="87">
        <v>0.9</v>
      </c>
      <c r="P42" s="87">
        <v>1</v>
      </c>
      <c r="Q42" s="16">
        <f t="shared" si="0"/>
        <v>0.95</v>
      </c>
      <c r="R42" s="87">
        <v>12.5</v>
      </c>
      <c r="S42" s="87">
        <v>93</v>
      </c>
      <c r="T42" s="16">
        <f t="shared" si="1"/>
        <v>36</v>
      </c>
      <c r="U42" s="87">
        <v>430</v>
      </c>
      <c r="V42" s="16">
        <f t="shared" si="2"/>
        <v>3096</v>
      </c>
      <c r="W42" s="87">
        <v>6</v>
      </c>
      <c r="X42" s="55" t="s">
        <v>46</v>
      </c>
      <c r="Y42" s="55" t="s">
        <v>84</v>
      </c>
      <c r="Z42" s="87" t="s">
        <v>90</v>
      </c>
      <c r="AA42" s="55" t="s">
        <v>78</v>
      </c>
      <c r="AB42" s="95" t="s">
        <v>183</v>
      </c>
    </row>
    <row r="43" spans="1:28" x14ac:dyDescent="0.15">
      <c r="A43" s="55" t="s">
        <v>56</v>
      </c>
      <c r="B43" s="55" t="s">
        <v>234</v>
      </c>
      <c r="C43" s="95">
        <v>2018</v>
      </c>
      <c r="D43" s="112" t="s">
        <v>235</v>
      </c>
      <c r="E43" s="95" t="s">
        <v>253</v>
      </c>
      <c r="F43" s="95" t="s">
        <v>247</v>
      </c>
      <c r="G43" s="55" t="s">
        <v>42</v>
      </c>
      <c r="H43" s="95" t="s">
        <v>155</v>
      </c>
      <c r="I43" s="55" t="s">
        <v>153</v>
      </c>
      <c r="J43" s="95" t="s">
        <v>38</v>
      </c>
      <c r="K43" s="95" t="s">
        <v>154</v>
      </c>
      <c r="L43" s="87">
        <v>3</v>
      </c>
      <c r="N43" s="87">
        <v>5</v>
      </c>
      <c r="O43" s="87">
        <v>0.7</v>
      </c>
      <c r="P43" s="87">
        <v>0.7</v>
      </c>
      <c r="Q43" s="16">
        <f t="shared" si="0"/>
        <v>0.7</v>
      </c>
      <c r="R43" s="87">
        <v>12</v>
      </c>
      <c r="S43" s="87">
        <v>94</v>
      </c>
      <c r="T43" s="16">
        <f t="shared" si="1"/>
        <v>36</v>
      </c>
      <c r="U43" s="87">
        <v>430</v>
      </c>
      <c r="V43" s="16">
        <f t="shared" si="2"/>
        <v>3096</v>
      </c>
      <c r="W43" s="87">
        <v>6</v>
      </c>
      <c r="X43" s="55" t="s">
        <v>46</v>
      </c>
      <c r="Y43" s="55" t="s">
        <v>84</v>
      </c>
      <c r="Z43" s="87" t="s">
        <v>90</v>
      </c>
      <c r="AA43" s="55" t="s">
        <v>78</v>
      </c>
      <c r="AB43" s="95" t="s">
        <v>183</v>
      </c>
    </row>
    <row r="44" spans="1:28" x14ac:dyDescent="0.15">
      <c r="A44" s="55" t="s">
        <v>56</v>
      </c>
      <c r="B44" s="55" t="s">
        <v>234</v>
      </c>
      <c r="C44" s="95">
        <v>2018</v>
      </c>
      <c r="D44" s="112" t="s">
        <v>235</v>
      </c>
      <c r="E44" s="95" t="s">
        <v>253</v>
      </c>
      <c r="F44" s="95" t="s">
        <v>247</v>
      </c>
      <c r="G44" s="55" t="s">
        <v>42</v>
      </c>
      <c r="H44" s="95" t="s">
        <v>159</v>
      </c>
      <c r="I44" s="55" t="s">
        <v>153</v>
      </c>
      <c r="J44" s="95" t="s">
        <v>38</v>
      </c>
      <c r="K44" s="95" t="s">
        <v>154</v>
      </c>
      <c r="L44" s="87">
        <v>1</v>
      </c>
      <c r="N44" s="87">
        <v>5</v>
      </c>
      <c r="O44" s="87">
        <v>0.8</v>
      </c>
      <c r="P44" s="87">
        <v>0.9</v>
      </c>
      <c r="Q44" s="16">
        <f t="shared" si="0"/>
        <v>0.85000000000000009</v>
      </c>
      <c r="R44" s="87">
        <v>16.399999999999999</v>
      </c>
      <c r="S44" s="87">
        <v>124</v>
      </c>
      <c r="T44" s="16">
        <f t="shared" si="1"/>
        <v>27</v>
      </c>
      <c r="U44" s="87">
        <v>646</v>
      </c>
      <c r="V44" s="16">
        <f t="shared" si="2"/>
        <v>3488.3999999999996</v>
      </c>
      <c r="W44" s="87">
        <v>6</v>
      </c>
      <c r="X44" s="55" t="s">
        <v>46</v>
      </c>
      <c r="Y44" s="55" t="s">
        <v>84</v>
      </c>
      <c r="Z44" s="87" t="s">
        <v>90</v>
      </c>
      <c r="AA44" s="55" t="s">
        <v>78</v>
      </c>
      <c r="AB44" s="95" t="s">
        <v>183</v>
      </c>
    </row>
    <row r="45" spans="1:28" x14ac:dyDescent="0.15">
      <c r="A45" s="55" t="s">
        <v>56</v>
      </c>
      <c r="B45" s="55" t="s">
        <v>234</v>
      </c>
      <c r="C45" s="95">
        <v>2018</v>
      </c>
      <c r="D45" s="112" t="s">
        <v>235</v>
      </c>
      <c r="E45" s="95" t="s">
        <v>253</v>
      </c>
      <c r="F45" s="95" t="s">
        <v>247</v>
      </c>
      <c r="G45" s="55" t="s">
        <v>42</v>
      </c>
      <c r="H45" s="95" t="s">
        <v>159</v>
      </c>
      <c r="I45" s="55" t="s">
        <v>153</v>
      </c>
      <c r="J45" s="95" t="s">
        <v>38</v>
      </c>
      <c r="K45" s="95" t="s">
        <v>154</v>
      </c>
      <c r="L45" s="87">
        <v>2</v>
      </c>
      <c r="N45" s="87">
        <v>5</v>
      </c>
      <c r="O45" s="87">
        <v>0.75</v>
      </c>
      <c r="P45" s="87">
        <v>0.8</v>
      </c>
      <c r="Q45" s="16">
        <f t="shared" si="0"/>
        <v>0.77500000000000002</v>
      </c>
      <c r="R45" s="87">
        <v>16.100000000000001</v>
      </c>
      <c r="S45" s="87">
        <v>116</v>
      </c>
      <c r="T45" s="16">
        <f t="shared" si="1"/>
        <v>30</v>
      </c>
      <c r="U45" s="87">
        <v>646</v>
      </c>
      <c r="V45" s="16">
        <f t="shared" si="2"/>
        <v>3875.9999999999995</v>
      </c>
      <c r="W45" s="87">
        <v>6</v>
      </c>
      <c r="X45" s="55" t="s">
        <v>46</v>
      </c>
      <c r="Y45" s="55" t="s">
        <v>84</v>
      </c>
      <c r="Z45" s="87" t="s">
        <v>90</v>
      </c>
      <c r="AA45" s="55" t="s">
        <v>78</v>
      </c>
      <c r="AB45" s="95" t="s">
        <v>183</v>
      </c>
    </row>
    <row r="46" spans="1:28" x14ac:dyDescent="0.15">
      <c r="A46" s="55" t="s">
        <v>56</v>
      </c>
      <c r="B46" s="55" t="s">
        <v>234</v>
      </c>
      <c r="C46" s="95">
        <v>2018</v>
      </c>
      <c r="D46" s="112" t="s">
        <v>235</v>
      </c>
      <c r="E46" s="95" t="s">
        <v>253</v>
      </c>
      <c r="F46" s="95" t="s">
        <v>247</v>
      </c>
      <c r="G46" s="55" t="s">
        <v>42</v>
      </c>
      <c r="H46" s="95" t="s">
        <v>159</v>
      </c>
      <c r="I46" s="55" t="s">
        <v>153</v>
      </c>
      <c r="J46" s="95" t="s">
        <v>38</v>
      </c>
      <c r="K46" s="95" t="s">
        <v>154</v>
      </c>
      <c r="L46" s="87">
        <v>3</v>
      </c>
      <c r="N46" s="87">
        <v>5</v>
      </c>
      <c r="O46" s="87">
        <v>0.75</v>
      </c>
      <c r="P46" s="87">
        <v>0.7</v>
      </c>
      <c r="Q46" s="16">
        <f t="shared" si="0"/>
        <v>0.72499999999999998</v>
      </c>
      <c r="R46" s="87">
        <v>16</v>
      </c>
      <c r="S46" s="87">
        <v>123</v>
      </c>
      <c r="T46" s="16">
        <f t="shared" si="1"/>
        <v>27</v>
      </c>
      <c r="U46" s="87">
        <v>646</v>
      </c>
      <c r="V46" s="16">
        <f t="shared" si="2"/>
        <v>3488.3999999999996</v>
      </c>
      <c r="W46" s="87">
        <v>6</v>
      </c>
      <c r="X46" s="55" t="s">
        <v>46</v>
      </c>
      <c r="Y46" s="55" t="s">
        <v>84</v>
      </c>
      <c r="Z46" s="87" t="s">
        <v>90</v>
      </c>
      <c r="AA46" s="55" t="s">
        <v>78</v>
      </c>
      <c r="AB46" s="95" t="s">
        <v>183</v>
      </c>
    </row>
    <row r="47" spans="1:28" x14ac:dyDescent="0.15">
      <c r="A47" s="55"/>
      <c r="B47" s="55"/>
      <c r="C47" s="95"/>
      <c r="D47" s="112"/>
      <c r="E47" s="95"/>
      <c r="F47" s="95"/>
      <c r="G47" s="55"/>
      <c r="H47" s="95"/>
      <c r="I47" s="55"/>
      <c r="J47" s="95"/>
      <c r="K47" s="95"/>
      <c r="X47" s="55"/>
      <c r="Y47" s="55"/>
      <c r="AA47" s="55"/>
    </row>
    <row r="48" spans="1:28" x14ac:dyDescent="0.15">
      <c r="A48" s="55"/>
      <c r="B48" s="55"/>
      <c r="C48" s="95"/>
      <c r="D48" s="112"/>
      <c r="E48" s="95"/>
      <c r="F48" s="95"/>
      <c r="G48" s="55"/>
      <c r="H48" s="95"/>
      <c r="I48" s="55"/>
      <c r="J48" s="95"/>
      <c r="K48" s="95"/>
      <c r="X48" s="55"/>
      <c r="Y48" s="55"/>
      <c r="AA48" s="55"/>
    </row>
    <row r="49" spans="1:27" x14ac:dyDescent="0.15">
      <c r="A49" s="55"/>
      <c r="B49" s="55"/>
      <c r="C49" s="95"/>
      <c r="D49" s="112"/>
      <c r="E49" s="95"/>
      <c r="F49" s="95"/>
      <c r="G49" s="55"/>
      <c r="H49" s="95"/>
      <c r="I49" s="55"/>
      <c r="J49" s="95"/>
      <c r="K49" s="95"/>
      <c r="X49" s="55"/>
      <c r="Y49" s="55"/>
      <c r="AA49" s="55"/>
    </row>
    <row r="50" spans="1:27" x14ac:dyDescent="0.15">
      <c r="A50" s="55"/>
      <c r="B50" s="55"/>
      <c r="C50" s="95"/>
      <c r="D50" s="112"/>
      <c r="E50" s="95"/>
      <c r="F50" s="95"/>
      <c r="G50" s="55"/>
      <c r="H50" s="95"/>
      <c r="I50" s="55"/>
      <c r="J50" s="95"/>
      <c r="K50" s="95"/>
      <c r="X50" s="55"/>
      <c r="Y50" s="55"/>
      <c r="AA50" s="55"/>
    </row>
    <row r="51" spans="1:27" x14ac:dyDescent="0.15">
      <c r="A51" s="55"/>
      <c r="B51" s="55"/>
      <c r="C51" s="95"/>
      <c r="D51" s="112"/>
      <c r="E51" s="95"/>
      <c r="F51" s="95"/>
      <c r="G51" s="55"/>
      <c r="H51" s="95"/>
      <c r="I51" s="55"/>
      <c r="J51" s="95"/>
      <c r="K51" s="95"/>
      <c r="X51" s="55"/>
      <c r="Y51" s="55"/>
      <c r="AA51" s="55"/>
    </row>
    <row r="52" spans="1:27" x14ac:dyDescent="0.15">
      <c r="A52" s="55"/>
      <c r="B52" s="55"/>
      <c r="C52" s="95"/>
      <c r="D52" s="112"/>
      <c r="E52" s="95"/>
      <c r="F52" s="95"/>
      <c r="G52" s="55"/>
      <c r="H52" s="95"/>
      <c r="I52" s="55"/>
      <c r="J52" s="95"/>
      <c r="K52" s="95"/>
      <c r="X52" s="55"/>
      <c r="Y52" s="55"/>
      <c r="AA52" s="55"/>
    </row>
    <row r="53" spans="1:27" x14ac:dyDescent="0.15">
      <c r="A53" s="55"/>
      <c r="B53" s="55"/>
      <c r="C53" s="95"/>
      <c r="D53" s="112"/>
      <c r="E53" s="95"/>
      <c r="F53" s="95"/>
      <c r="G53" s="55"/>
      <c r="H53" s="95"/>
      <c r="I53" s="55"/>
      <c r="J53" s="95"/>
      <c r="K53" s="95"/>
      <c r="X53" s="55"/>
      <c r="Y53" s="55"/>
      <c r="AA53" s="55"/>
    </row>
    <row r="54" spans="1:27" x14ac:dyDescent="0.15">
      <c r="A54" s="55"/>
      <c r="B54" s="55"/>
      <c r="C54" s="95"/>
      <c r="D54" s="112"/>
      <c r="E54" s="95"/>
      <c r="F54" s="95"/>
      <c r="G54" s="55"/>
      <c r="H54" s="95"/>
      <c r="I54" s="55"/>
      <c r="J54" s="95"/>
      <c r="K54" s="95"/>
      <c r="X54" s="55"/>
      <c r="Y54" s="55"/>
      <c r="AA54" s="55"/>
    </row>
    <row r="55" spans="1:27" x14ac:dyDescent="0.15">
      <c r="A55" s="55"/>
      <c r="B55" s="55"/>
      <c r="C55" s="95"/>
      <c r="D55" s="112"/>
      <c r="E55" s="95"/>
      <c r="F55" s="95"/>
      <c r="G55" s="55"/>
      <c r="H55" s="95"/>
      <c r="I55" s="55"/>
      <c r="J55" s="95"/>
      <c r="K55" s="95"/>
      <c r="X55" s="55"/>
      <c r="Y55" s="55"/>
      <c r="AA55" s="55"/>
    </row>
    <row r="56" spans="1:27" x14ac:dyDescent="0.15">
      <c r="A56" s="55"/>
      <c r="B56" s="55"/>
      <c r="C56" s="95"/>
      <c r="D56" s="112"/>
      <c r="E56" s="95"/>
      <c r="F56" s="95"/>
      <c r="G56" s="55"/>
      <c r="H56" s="95"/>
      <c r="I56" s="55"/>
      <c r="J56" s="95"/>
      <c r="K56" s="95"/>
      <c r="X56" s="55"/>
      <c r="Y56" s="55"/>
      <c r="AA56" s="55"/>
    </row>
    <row r="57" spans="1:27" x14ac:dyDescent="0.15">
      <c r="A57" s="55"/>
      <c r="B57" s="55"/>
      <c r="C57" s="95"/>
      <c r="D57" s="112"/>
      <c r="E57" s="95"/>
      <c r="F57" s="95"/>
      <c r="G57" s="55"/>
      <c r="H57" s="95"/>
      <c r="I57" s="55"/>
      <c r="J57" s="95"/>
      <c r="K57" s="95"/>
      <c r="X57" s="55"/>
      <c r="Y57" s="55"/>
      <c r="AA57" s="55"/>
    </row>
    <row r="58" spans="1:27" x14ac:dyDescent="0.15">
      <c r="A58" s="55"/>
      <c r="B58" s="55"/>
      <c r="C58" s="95"/>
      <c r="D58" s="112"/>
      <c r="E58" s="95"/>
      <c r="F58" s="95"/>
      <c r="G58" s="55"/>
      <c r="H58" s="95"/>
      <c r="I58" s="55"/>
      <c r="J58" s="95"/>
      <c r="K58" s="95"/>
      <c r="X58" s="55"/>
      <c r="Y58" s="55"/>
      <c r="AA58" s="55"/>
    </row>
    <row r="59" spans="1:27" x14ac:dyDescent="0.15">
      <c r="A59" s="55"/>
      <c r="B59" s="55"/>
      <c r="C59" s="95"/>
      <c r="D59" s="112"/>
      <c r="E59" s="95"/>
      <c r="F59" s="95"/>
      <c r="G59" s="55"/>
      <c r="H59" s="95"/>
      <c r="I59" s="55"/>
      <c r="J59" s="95"/>
      <c r="K59" s="95"/>
      <c r="X59" s="55"/>
      <c r="Y59" s="55"/>
      <c r="AA59" s="55"/>
    </row>
    <row r="60" spans="1:27" x14ac:dyDescent="0.15">
      <c r="A60" s="55"/>
      <c r="B60" s="55"/>
      <c r="C60" s="95"/>
      <c r="D60" s="112"/>
      <c r="E60" s="95"/>
      <c r="F60" s="95"/>
      <c r="G60" s="55"/>
      <c r="H60" s="95"/>
      <c r="I60" s="55"/>
      <c r="J60" s="95"/>
      <c r="K60" s="95"/>
      <c r="X60" s="55"/>
      <c r="Y60" s="55"/>
      <c r="AA60" s="55"/>
    </row>
    <row r="61" spans="1:27" x14ac:dyDescent="0.15">
      <c r="A61" s="55"/>
      <c r="B61" s="55"/>
      <c r="C61" s="95"/>
      <c r="D61" s="112"/>
      <c r="E61" s="95"/>
      <c r="F61" s="95"/>
      <c r="G61" s="55"/>
      <c r="H61" s="95"/>
      <c r="I61" s="55"/>
      <c r="J61" s="95"/>
      <c r="K61" s="95"/>
      <c r="X61" s="55"/>
      <c r="Y61" s="55"/>
      <c r="AA61" s="55"/>
    </row>
    <row r="62" spans="1:27" x14ac:dyDescent="0.15">
      <c r="A62" s="55"/>
      <c r="B62" s="55"/>
      <c r="C62" s="95"/>
      <c r="D62" s="112"/>
      <c r="E62" s="95"/>
      <c r="F62" s="95"/>
      <c r="G62" s="55"/>
      <c r="H62" s="95"/>
      <c r="I62" s="55"/>
      <c r="J62" s="95"/>
      <c r="K62" s="95"/>
      <c r="X62" s="55"/>
      <c r="Y62" s="55"/>
      <c r="AA62" s="55"/>
    </row>
    <row r="63" spans="1:27" x14ac:dyDescent="0.15">
      <c r="A63" s="55"/>
      <c r="B63" s="55"/>
      <c r="C63" s="95"/>
      <c r="D63" s="112"/>
      <c r="E63" s="95"/>
      <c r="F63" s="95"/>
      <c r="G63" s="55"/>
      <c r="H63" s="95"/>
      <c r="I63" s="55"/>
      <c r="J63" s="95"/>
      <c r="K63" s="95"/>
      <c r="X63" s="55"/>
      <c r="Y63" s="55"/>
      <c r="AA63" s="55"/>
    </row>
    <row r="64" spans="1:27" x14ac:dyDescent="0.15">
      <c r="A64" s="55"/>
      <c r="B64" s="55"/>
      <c r="C64" s="95"/>
      <c r="D64" s="112"/>
      <c r="E64" s="95"/>
      <c r="F64" s="95"/>
      <c r="G64" s="55"/>
      <c r="H64" s="95"/>
      <c r="I64" s="55"/>
      <c r="J64" s="95"/>
      <c r="K64" s="95"/>
      <c r="X64" s="55"/>
      <c r="Y64" s="55"/>
      <c r="AA64" s="55"/>
    </row>
    <row r="65" spans="1:27" x14ac:dyDescent="0.15">
      <c r="A65" s="55"/>
      <c r="B65" s="55"/>
      <c r="C65" s="95"/>
      <c r="D65" s="112"/>
      <c r="E65" s="95"/>
      <c r="F65" s="95"/>
      <c r="G65" s="55"/>
      <c r="H65" s="95"/>
      <c r="I65" s="55"/>
      <c r="J65" s="95"/>
      <c r="K65" s="95"/>
      <c r="X65" s="55"/>
      <c r="Y65" s="55"/>
      <c r="AA65" s="55"/>
    </row>
    <row r="66" spans="1:27" x14ac:dyDescent="0.15">
      <c r="A66" s="55"/>
      <c r="B66" s="55"/>
      <c r="C66" s="95"/>
      <c r="D66" s="112"/>
      <c r="E66" s="95"/>
      <c r="F66" s="95"/>
      <c r="G66" s="55"/>
      <c r="H66" s="95"/>
      <c r="I66" s="55"/>
      <c r="J66" s="95"/>
      <c r="K66" s="95"/>
      <c r="X66" s="55"/>
      <c r="Y66" s="55"/>
      <c r="AA66" s="55"/>
    </row>
    <row r="67" spans="1:27" x14ac:dyDescent="0.15">
      <c r="A67" s="55"/>
      <c r="B67" s="55"/>
      <c r="C67" s="95"/>
      <c r="D67" s="112"/>
      <c r="E67" s="95"/>
      <c r="F67" s="95"/>
      <c r="G67" s="55"/>
      <c r="H67" s="95"/>
      <c r="I67" s="55"/>
      <c r="J67" s="95"/>
      <c r="K67" s="95"/>
      <c r="X67" s="55"/>
      <c r="Y67" s="55"/>
      <c r="AA67" s="55"/>
    </row>
    <row r="68" spans="1:27" x14ac:dyDescent="0.15">
      <c r="A68" s="55"/>
      <c r="B68" s="55"/>
      <c r="C68" s="95"/>
      <c r="D68" s="112"/>
      <c r="E68" s="95"/>
      <c r="F68" s="95"/>
      <c r="G68" s="55"/>
      <c r="H68" s="95"/>
      <c r="I68" s="55"/>
      <c r="J68" s="95"/>
      <c r="K68" s="95"/>
      <c r="X68" s="55"/>
      <c r="Y68" s="55"/>
      <c r="AA68" s="55"/>
    </row>
    <row r="69" spans="1:27" x14ac:dyDescent="0.15">
      <c r="A69" s="55"/>
      <c r="B69" s="55"/>
      <c r="C69" s="95"/>
      <c r="D69" s="112"/>
      <c r="E69" s="95"/>
      <c r="F69" s="95"/>
      <c r="G69" s="55"/>
      <c r="H69" s="95"/>
      <c r="I69" s="55"/>
      <c r="J69" s="95"/>
      <c r="K69" s="95"/>
      <c r="X69" s="55"/>
      <c r="Y69" s="55"/>
      <c r="AA69" s="55"/>
    </row>
    <row r="70" spans="1:27" x14ac:dyDescent="0.15">
      <c r="A70" s="55"/>
      <c r="B70" s="55"/>
      <c r="C70" s="95"/>
      <c r="D70" s="112"/>
      <c r="E70" s="95"/>
      <c r="F70" s="95"/>
      <c r="G70" s="55"/>
      <c r="H70" s="95"/>
      <c r="I70" s="55"/>
      <c r="J70" s="95"/>
      <c r="K70" s="95"/>
      <c r="X70" s="55"/>
      <c r="Y70" s="55"/>
      <c r="AA70" s="55"/>
    </row>
    <row r="71" spans="1:27" x14ac:dyDescent="0.15">
      <c r="A71" s="55"/>
      <c r="B71" s="55"/>
      <c r="C71" s="95"/>
      <c r="D71" s="112"/>
      <c r="E71" s="95"/>
      <c r="F71" s="95"/>
      <c r="G71" s="55"/>
      <c r="H71" s="95"/>
      <c r="I71" s="55"/>
      <c r="J71" s="95"/>
      <c r="K71" s="95"/>
      <c r="X71" s="55"/>
      <c r="Y71" s="55"/>
      <c r="AA71" s="55"/>
    </row>
    <row r="72" spans="1:27" x14ac:dyDescent="0.15">
      <c r="A72" s="55"/>
      <c r="B72" s="55"/>
      <c r="C72" s="95"/>
      <c r="D72" s="112"/>
      <c r="E72" s="95"/>
      <c r="F72" s="95"/>
      <c r="G72" s="55"/>
      <c r="H72" s="95"/>
      <c r="I72" s="55"/>
      <c r="J72" s="95"/>
      <c r="K72" s="95"/>
      <c r="X72" s="55"/>
      <c r="Y72" s="55"/>
      <c r="AA72" s="55"/>
    </row>
    <row r="73" spans="1:27" x14ac:dyDescent="0.15">
      <c r="A73" s="55"/>
      <c r="B73" s="55"/>
      <c r="C73" s="95"/>
      <c r="D73" s="112"/>
      <c r="E73" s="95"/>
      <c r="F73" s="95"/>
      <c r="G73" s="55"/>
      <c r="H73" s="95"/>
      <c r="I73" s="55"/>
      <c r="J73" s="95"/>
      <c r="K73" s="95"/>
      <c r="X73" s="55"/>
      <c r="Y73" s="55"/>
      <c r="AA73" s="55"/>
    </row>
    <row r="74" spans="1:27" x14ac:dyDescent="0.15">
      <c r="A74" s="55"/>
      <c r="B74" s="55"/>
      <c r="C74" s="95"/>
      <c r="D74" s="112"/>
      <c r="E74" s="95"/>
      <c r="F74" s="95"/>
      <c r="G74" s="55"/>
      <c r="H74" s="95"/>
      <c r="I74" s="55"/>
      <c r="J74" s="95"/>
      <c r="K74" s="95"/>
      <c r="X74" s="55"/>
      <c r="Y74" s="55"/>
      <c r="AA74" s="55"/>
    </row>
    <row r="75" spans="1:27" x14ac:dyDescent="0.15">
      <c r="A75" s="55"/>
      <c r="B75" s="55"/>
      <c r="C75" s="95"/>
      <c r="D75" s="112"/>
      <c r="E75" s="95"/>
      <c r="F75" s="95"/>
      <c r="G75" s="55"/>
      <c r="H75" s="95"/>
      <c r="I75" s="55"/>
      <c r="J75" s="95"/>
      <c r="K75" s="95"/>
      <c r="X75" s="55"/>
      <c r="Y75" s="55"/>
      <c r="AA75" s="55"/>
    </row>
    <row r="76" spans="1:27" x14ac:dyDescent="0.15">
      <c r="A76" s="55"/>
      <c r="B76" s="55"/>
      <c r="C76" s="95"/>
      <c r="D76" s="112"/>
      <c r="E76" s="95"/>
      <c r="F76" s="95"/>
      <c r="G76" s="55"/>
      <c r="H76" s="95"/>
      <c r="I76" s="55"/>
      <c r="J76" s="95"/>
      <c r="K76" s="95"/>
      <c r="X76" s="55"/>
      <c r="Y76" s="55"/>
      <c r="AA76" s="55"/>
    </row>
    <row r="77" spans="1:27" x14ac:dyDescent="0.15">
      <c r="A77" s="55"/>
      <c r="B77" s="55"/>
      <c r="C77" s="95"/>
      <c r="D77" s="112"/>
      <c r="E77" s="95"/>
      <c r="F77" s="95"/>
      <c r="G77" s="55"/>
      <c r="H77" s="95"/>
      <c r="I77" s="55"/>
      <c r="J77" s="95"/>
      <c r="K77" s="95"/>
      <c r="X77" s="55"/>
      <c r="Y77" s="55"/>
      <c r="AA77" s="55"/>
    </row>
    <row r="78" spans="1:27" x14ac:dyDescent="0.15">
      <c r="A78" s="55"/>
      <c r="B78" s="55"/>
      <c r="C78" s="95"/>
      <c r="D78" s="112"/>
      <c r="E78" s="95"/>
      <c r="F78" s="95"/>
      <c r="G78" s="55"/>
      <c r="H78" s="95"/>
      <c r="I78" s="55"/>
      <c r="J78" s="95"/>
      <c r="K78" s="95"/>
      <c r="X78" s="55"/>
      <c r="Y78" s="55"/>
      <c r="AA78" s="55"/>
    </row>
    <row r="79" spans="1:27" x14ac:dyDescent="0.15">
      <c r="A79" s="55"/>
      <c r="B79" s="55"/>
      <c r="C79" s="95"/>
      <c r="D79" s="112"/>
      <c r="E79" s="95"/>
      <c r="F79" s="95"/>
      <c r="G79" s="55"/>
      <c r="H79" s="95"/>
      <c r="I79" s="55"/>
      <c r="J79" s="95"/>
      <c r="K79" s="95"/>
      <c r="X79" s="55"/>
      <c r="Y79" s="55"/>
      <c r="AA79" s="55"/>
    </row>
    <row r="80" spans="1:27" x14ac:dyDescent="0.15">
      <c r="A80" s="55"/>
      <c r="B80" s="55"/>
      <c r="C80" s="95"/>
      <c r="D80" s="112"/>
      <c r="E80" s="95"/>
      <c r="F80" s="95"/>
      <c r="G80" s="55"/>
      <c r="H80" s="95"/>
      <c r="I80" s="55"/>
      <c r="J80" s="95"/>
      <c r="K80" s="95"/>
      <c r="X80" s="55"/>
      <c r="Y80" s="55"/>
      <c r="AA80" s="55"/>
    </row>
    <row r="81" spans="1:27" x14ac:dyDescent="0.15">
      <c r="A81" s="55"/>
      <c r="B81" s="55"/>
      <c r="C81" s="95"/>
      <c r="D81" s="112"/>
      <c r="E81" s="95"/>
      <c r="F81" s="95"/>
      <c r="G81" s="55"/>
      <c r="H81" s="95"/>
      <c r="I81" s="55"/>
      <c r="J81" s="95"/>
      <c r="K81" s="95"/>
      <c r="X81" s="55"/>
      <c r="Y81" s="55"/>
      <c r="AA81" s="55"/>
    </row>
    <row r="82" spans="1:27" x14ac:dyDescent="0.15">
      <c r="A82" s="55"/>
      <c r="B82" s="55"/>
      <c r="C82" s="95"/>
      <c r="D82" s="112"/>
      <c r="E82" s="95"/>
      <c r="F82" s="95"/>
      <c r="G82" s="55"/>
      <c r="H82" s="95"/>
      <c r="I82" s="55"/>
      <c r="J82" s="95"/>
      <c r="K82" s="95"/>
      <c r="X82" s="55"/>
      <c r="Y82" s="55"/>
      <c r="AA82" s="55"/>
    </row>
    <row r="83" spans="1:27" x14ac:dyDescent="0.15">
      <c r="E83" s="95"/>
      <c r="F83" s="95"/>
      <c r="G83" s="55"/>
      <c r="H83" s="95"/>
      <c r="I83" s="55"/>
      <c r="J83" s="95"/>
      <c r="K83" s="95"/>
      <c r="X83" s="55"/>
      <c r="Y83" s="55"/>
      <c r="AA83" s="55"/>
    </row>
    <row r="84" spans="1:27" x14ac:dyDescent="0.15">
      <c r="E84" s="95"/>
      <c r="F84" s="95"/>
      <c r="G84" s="55"/>
      <c r="H84" s="95"/>
      <c r="I84" s="55"/>
      <c r="J84" s="95"/>
      <c r="K84" s="95"/>
      <c r="X84" s="55"/>
      <c r="Y84" s="55"/>
      <c r="AA84" s="55"/>
    </row>
    <row r="85" spans="1:27" x14ac:dyDescent="0.15">
      <c r="E85" s="95"/>
      <c r="F85" s="95"/>
      <c r="G85" s="55"/>
      <c r="H85" s="95"/>
      <c r="I85" s="55"/>
      <c r="J85" s="95"/>
      <c r="K85" s="95"/>
      <c r="X85" s="55"/>
      <c r="Y85" s="55"/>
      <c r="AA85" s="55"/>
    </row>
    <row r="86" spans="1:27" x14ac:dyDescent="0.15">
      <c r="J86" s="95"/>
      <c r="K86" s="95"/>
    </row>
    <row r="87" spans="1:27" x14ac:dyDescent="0.15">
      <c r="J87" s="95"/>
      <c r="K87" s="95"/>
    </row>
    <row r="88" spans="1:27" x14ac:dyDescent="0.15">
      <c r="J88" s="95"/>
      <c r="K88" s="95"/>
    </row>
    <row r="89" spans="1:27" x14ac:dyDescent="0.15">
      <c r="J89" s="95"/>
      <c r="K89" s="95"/>
    </row>
    <row r="90" spans="1:27" x14ac:dyDescent="0.15">
      <c r="J90" s="95"/>
      <c r="K90" s="95"/>
    </row>
    <row r="91" spans="1:27" x14ac:dyDescent="0.15">
      <c r="J91" s="95"/>
      <c r="K91" s="95"/>
    </row>
    <row r="92" spans="1:27" x14ac:dyDescent="0.15">
      <c r="J92" s="95"/>
      <c r="K92" s="95"/>
    </row>
    <row r="93" spans="1:27" x14ac:dyDescent="0.15">
      <c r="J93" s="95"/>
      <c r="K93" s="95"/>
    </row>
    <row r="94" spans="1:27" x14ac:dyDescent="0.15">
      <c r="J94" s="95"/>
      <c r="K94" s="95"/>
    </row>
    <row r="95" spans="1:27" x14ac:dyDescent="0.15">
      <c r="J95" s="95"/>
      <c r="K95" s="95"/>
    </row>
    <row r="96" spans="1:27" x14ac:dyDescent="0.15">
      <c r="J96" s="95"/>
      <c r="K96" s="95"/>
    </row>
    <row r="97" spans="10:11" x14ac:dyDescent="0.15">
      <c r="J97" s="95"/>
      <c r="K97" s="95"/>
    </row>
    <row r="98" spans="10:11" x14ac:dyDescent="0.15">
      <c r="J98" s="95"/>
      <c r="K98" s="95"/>
    </row>
    <row r="99" spans="10:11" x14ac:dyDescent="0.15">
      <c r="J99" s="95"/>
      <c r="K99" s="95"/>
    </row>
    <row r="100" spans="10:11" x14ac:dyDescent="0.15">
      <c r="J100" s="95"/>
      <c r="K100" s="95"/>
    </row>
    <row r="101" spans="10:11" x14ac:dyDescent="0.15">
      <c r="K101" s="95"/>
    </row>
    <row r="102" spans="10:11" x14ac:dyDescent="0.15">
      <c r="K102" s="95"/>
    </row>
    <row r="103" spans="10:11" x14ac:dyDescent="0.15">
      <c r="K103" s="95"/>
    </row>
    <row r="104" spans="10:11" x14ac:dyDescent="0.15">
      <c r="K104" s="95"/>
    </row>
    <row r="105" spans="10:11" x14ac:dyDescent="0.15">
      <c r="K105" s="95"/>
    </row>
    <row r="106" spans="10:11" x14ac:dyDescent="0.15">
      <c r="K106" s="95"/>
    </row>
    <row r="107" spans="10:11" x14ac:dyDescent="0.15">
      <c r="K107" s="95"/>
    </row>
    <row r="108" spans="10:11" x14ac:dyDescent="0.15">
      <c r="K108" s="95"/>
    </row>
    <row r="109" spans="10:11" x14ac:dyDescent="0.15">
      <c r="K109" s="95"/>
    </row>
    <row r="110" spans="10:11" x14ac:dyDescent="0.15">
      <c r="K110" s="95"/>
    </row>
    <row r="111" spans="10:11" x14ac:dyDescent="0.15">
      <c r="K111" s="95"/>
    </row>
    <row r="112" spans="10:11" x14ac:dyDescent="0.15">
      <c r="K112" s="95"/>
    </row>
    <row r="113" spans="11:11" x14ac:dyDescent="0.15">
      <c r="K113" s="95"/>
    </row>
    <row r="114" spans="11:11" x14ac:dyDescent="0.15">
      <c r="K114" s="95"/>
    </row>
    <row r="115" spans="11:11" x14ac:dyDescent="0.15">
      <c r="K115" s="95"/>
    </row>
    <row r="116" spans="11:11" x14ac:dyDescent="0.15">
      <c r="K116" s="95"/>
    </row>
    <row r="117" spans="11:11" x14ac:dyDescent="0.15">
      <c r="K117" s="95"/>
    </row>
    <row r="118" spans="11:11" x14ac:dyDescent="0.15">
      <c r="K118" s="95"/>
    </row>
    <row r="119" spans="11:11" x14ac:dyDescent="0.15">
      <c r="K119" s="95"/>
    </row>
    <row r="120" spans="11:11" x14ac:dyDescent="0.15">
      <c r="K120" s="95"/>
    </row>
    <row r="121" spans="11:11" x14ac:dyDescent="0.15">
      <c r="K121" s="95"/>
    </row>
    <row r="122" spans="11:11" x14ac:dyDescent="0.15">
      <c r="K122" s="95"/>
    </row>
    <row r="123" spans="11:11" x14ac:dyDescent="0.15">
      <c r="K123" s="95"/>
    </row>
    <row r="124" spans="11:11" x14ac:dyDescent="0.15">
      <c r="K124" s="95"/>
    </row>
    <row r="125" spans="11:11" x14ac:dyDescent="0.15">
      <c r="K125" s="95"/>
    </row>
    <row r="126" spans="11:11" x14ac:dyDescent="0.15">
      <c r="K126" s="95"/>
    </row>
    <row r="127" spans="11:11" x14ac:dyDescent="0.15">
      <c r="K127" s="95"/>
    </row>
    <row r="128" spans="11:11" x14ac:dyDescent="0.15">
      <c r="K128" s="95"/>
    </row>
    <row r="129" spans="11:11" x14ac:dyDescent="0.15">
      <c r="K129" s="95"/>
    </row>
    <row r="130" spans="11:11" x14ac:dyDescent="0.15">
      <c r="K130" s="95"/>
    </row>
    <row r="131" spans="11:11" x14ac:dyDescent="0.15">
      <c r="K131" s="95"/>
    </row>
    <row r="132" spans="11:11" x14ac:dyDescent="0.15">
      <c r="K132" s="95"/>
    </row>
    <row r="133" spans="11:11" x14ac:dyDescent="0.15">
      <c r="K133" s="95"/>
    </row>
    <row r="134" spans="11:11" x14ac:dyDescent="0.15">
      <c r="K134" s="95"/>
    </row>
    <row r="135" spans="11:11" x14ac:dyDescent="0.15">
      <c r="K135" s="95"/>
    </row>
    <row r="136" spans="11:11" x14ac:dyDescent="0.15">
      <c r="K136" s="95"/>
    </row>
    <row r="137" spans="11:11" x14ac:dyDescent="0.15">
      <c r="K137" s="95"/>
    </row>
    <row r="138" spans="11:11" x14ac:dyDescent="0.15">
      <c r="K138" s="95"/>
    </row>
    <row r="139" spans="11:11" x14ac:dyDescent="0.15">
      <c r="K139" s="95"/>
    </row>
    <row r="140" spans="11:11" x14ac:dyDescent="0.15">
      <c r="K140" s="95"/>
    </row>
    <row r="141" spans="11:11" x14ac:dyDescent="0.15">
      <c r="K141" s="95"/>
    </row>
    <row r="142" spans="11:11" x14ac:dyDescent="0.15">
      <c r="K142" s="95"/>
    </row>
    <row r="143" spans="11:11" x14ac:dyDescent="0.15">
      <c r="K143" s="95"/>
    </row>
    <row r="144" spans="11:11" x14ac:dyDescent="0.15">
      <c r="K144" s="95"/>
    </row>
    <row r="145" spans="11:11" x14ac:dyDescent="0.15">
      <c r="K145" s="95"/>
    </row>
    <row r="146" spans="11:11" x14ac:dyDescent="0.15">
      <c r="K146" s="95"/>
    </row>
    <row r="147" spans="11:11" x14ac:dyDescent="0.15">
      <c r="K147" s="95"/>
    </row>
    <row r="148" spans="11:11" x14ac:dyDescent="0.15">
      <c r="K148" s="95"/>
    </row>
    <row r="149" spans="11:11" x14ac:dyDescent="0.15">
      <c r="K149" s="95"/>
    </row>
    <row r="150" spans="11:11" x14ac:dyDescent="0.15">
      <c r="K150" s="95"/>
    </row>
    <row r="151" spans="11:11" x14ac:dyDescent="0.15">
      <c r="K151" s="95"/>
    </row>
    <row r="152" spans="11:11" x14ac:dyDescent="0.15">
      <c r="K152" s="95"/>
    </row>
    <row r="153" spans="11:11" x14ac:dyDescent="0.15">
      <c r="K153" s="95"/>
    </row>
    <row r="154" spans="11:11" x14ac:dyDescent="0.15">
      <c r="K154" s="95"/>
    </row>
    <row r="155" spans="11:11" x14ac:dyDescent="0.15">
      <c r="K155" s="95"/>
    </row>
    <row r="156" spans="11:11" x14ac:dyDescent="0.15">
      <c r="K156" s="95"/>
    </row>
    <row r="157" spans="11:11" x14ac:dyDescent="0.15">
      <c r="K157" s="95"/>
    </row>
    <row r="158" spans="11:11" x14ac:dyDescent="0.15">
      <c r="K158" s="95"/>
    </row>
    <row r="159" spans="11:11" x14ac:dyDescent="0.15">
      <c r="K159" s="95"/>
    </row>
    <row r="160" spans="11:11" x14ac:dyDescent="0.15">
      <c r="K160" s="95"/>
    </row>
    <row r="161" spans="11:11" x14ac:dyDescent="0.15">
      <c r="K161" s="95"/>
    </row>
    <row r="162" spans="11:11" x14ac:dyDescent="0.15">
      <c r="K162" s="95"/>
    </row>
    <row r="163" spans="11:11" x14ac:dyDescent="0.15">
      <c r="K163" s="95"/>
    </row>
    <row r="164" spans="11:11" x14ac:dyDescent="0.15">
      <c r="K164" s="95"/>
    </row>
    <row r="165" spans="11:11" x14ac:dyDescent="0.15">
      <c r="K165" s="95"/>
    </row>
    <row r="166" spans="11:11" x14ac:dyDescent="0.15">
      <c r="K166" s="95"/>
    </row>
    <row r="167" spans="11:11" x14ac:dyDescent="0.15">
      <c r="K167" s="95"/>
    </row>
    <row r="168" spans="11:11" x14ac:dyDescent="0.15">
      <c r="K168" s="95"/>
    </row>
    <row r="169" spans="11:11" x14ac:dyDescent="0.15">
      <c r="K169" s="95"/>
    </row>
    <row r="170" spans="11:11" x14ac:dyDescent="0.15">
      <c r="K170" s="95"/>
    </row>
    <row r="171" spans="11:11" x14ac:dyDescent="0.15">
      <c r="K171" s="95"/>
    </row>
    <row r="172" spans="11:11" x14ac:dyDescent="0.15">
      <c r="K172" s="95"/>
    </row>
    <row r="173" spans="11:11" x14ac:dyDescent="0.15">
      <c r="K173" s="95"/>
    </row>
    <row r="174" spans="11:11" x14ac:dyDescent="0.15">
      <c r="K174" s="95"/>
    </row>
    <row r="175" spans="11:11" x14ac:dyDescent="0.15">
      <c r="K175" s="95"/>
    </row>
    <row r="176" spans="11:11" x14ac:dyDescent="0.15">
      <c r="K176" s="95"/>
    </row>
    <row r="177" spans="11:11" x14ac:dyDescent="0.15">
      <c r="K177" s="95"/>
    </row>
    <row r="178" spans="11:11" x14ac:dyDescent="0.15">
      <c r="K178" s="95"/>
    </row>
    <row r="179" spans="11:11" x14ac:dyDescent="0.15">
      <c r="K179" s="95"/>
    </row>
    <row r="180" spans="11:11" x14ac:dyDescent="0.15">
      <c r="K180" s="95"/>
    </row>
    <row r="181" spans="11:11" x14ac:dyDescent="0.15">
      <c r="K181" s="95"/>
    </row>
    <row r="182" spans="11:11" x14ac:dyDescent="0.15">
      <c r="K182" s="95"/>
    </row>
    <row r="183" spans="11:11" x14ac:dyDescent="0.15">
      <c r="K183" s="95"/>
    </row>
    <row r="184" spans="11:11" x14ac:dyDescent="0.15">
      <c r="K184" s="95"/>
    </row>
    <row r="185" spans="11:11" x14ac:dyDescent="0.15">
      <c r="K185" s="95"/>
    </row>
    <row r="186" spans="11:11" x14ac:dyDescent="0.15">
      <c r="K186" s="95"/>
    </row>
    <row r="187" spans="11:11" x14ac:dyDescent="0.15">
      <c r="K187" s="95"/>
    </row>
    <row r="188" spans="11:11" x14ac:dyDescent="0.15">
      <c r="K188" s="95"/>
    </row>
    <row r="189" spans="11:11" x14ac:dyDescent="0.15">
      <c r="K189" s="95"/>
    </row>
    <row r="190" spans="11:11" x14ac:dyDescent="0.15">
      <c r="K190" s="95"/>
    </row>
    <row r="191" spans="11:11" x14ac:dyDescent="0.15">
      <c r="K191" s="95"/>
    </row>
    <row r="192" spans="11:11" x14ac:dyDescent="0.15">
      <c r="K192" s="95"/>
    </row>
    <row r="193" spans="11:11" x14ac:dyDescent="0.15">
      <c r="K193" s="95"/>
    </row>
    <row r="194" spans="11:11" x14ac:dyDescent="0.15">
      <c r="K194" s="95"/>
    </row>
    <row r="195" spans="11:11" x14ac:dyDescent="0.15">
      <c r="K195" s="95"/>
    </row>
    <row r="196" spans="11:11" x14ac:dyDescent="0.15">
      <c r="K196" s="95"/>
    </row>
    <row r="197" spans="11:11" x14ac:dyDescent="0.15">
      <c r="K197" s="95"/>
    </row>
    <row r="198" spans="11:11" x14ac:dyDescent="0.15">
      <c r="K198" s="95"/>
    </row>
    <row r="199" spans="11:11" x14ac:dyDescent="0.15">
      <c r="K199" s="95"/>
    </row>
    <row r="200" spans="11:11" x14ac:dyDescent="0.15">
      <c r="K200" s="95"/>
    </row>
    <row r="201" spans="11:11" x14ac:dyDescent="0.15">
      <c r="K201" s="95"/>
    </row>
    <row r="202" spans="11:11" x14ac:dyDescent="0.15">
      <c r="K202" s="95"/>
    </row>
    <row r="203" spans="11:11" x14ac:dyDescent="0.15">
      <c r="K203" s="95"/>
    </row>
    <row r="204" spans="11:11" x14ac:dyDescent="0.15">
      <c r="K204" s="95"/>
    </row>
    <row r="205" spans="11:11" x14ac:dyDescent="0.15">
      <c r="K205" s="95"/>
    </row>
    <row r="206" spans="11:11" x14ac:dyDescent="0.15">
      <c r="K206" s="95"/>
    </row>
    <row r="207" spans="11:11" x14ac:dyDescent="0.15">
      <c r="K207" s="95"/>
    </row>
    <row r="208" spans="11:11" x14ac:dyDescent="0.15">
      <c r="K208" s="95"/>
    </row>
    <row r="209" spans="11:11" x14ac:dyDescent="0.15">
      <c r="K209" s="95"/>
    </row>
    <row r="210" spans="11:11" x14ac:dyDescent="0.15">
      <c r="K210" s="95"/>
    </row>
    <row r="211" spans="11:11" x14ac:dyDescent="0.15">
      <c r="K211" s="95"/>
    </row>
    <row r="212" spans="11:11" x14ac:dyDescent="0.15">
      <c r="K212" s="95"/>
    </row>
    <row r="213" spans="11:11" x14ac:dyDescent="0.15">
      <c r="K213" s="95"/>
    </row>
    <row r="214" spans="11:11" x14ac:dyDescent="0.15">
      <c r="K214" s="95"/>
    </row>
    <row r="215" spans="11:11" x14ac:dyDescent="0.15">
      <c r="K215" s="95"/>
    </row>
    <row r="216" spans="11:11" x14ac:dyDescent="0.15">
      <c r="K216" s="95"/>
    </row>
    <row r="217" spans="11:11" x14ac:dyDescent="0.15">
      <c r="K217" s="95"/>
    </row>
    <row r="218" spans="11:11" x14ac:dyDescent="0.15">
      <c r="K218" s="95"/>
    </row>
    <row r="219" spans="11:11" x14ac:dyDescent="0.15">
      <c r="K219" s="95"/>
    </row>
    <row r="220" spans="11:11" x14ac:dyDescent="0.15">
      <c r="K220" s="95"/>
    </row>
    <row r="221" spans="11:11" x14ac:dyDescent="0.15">
      <c r="K221" s="95"/>
    </row>
    <row r="222" spans="11:11" x14ac:dyDescent="0.15">
      <c r="K222" s="95"/>
    </row>
    <row r="223" spans="11:11" x14ac:dyDescent="0.15">
      <c r="K223" s="95"/>
    </row>
    <row r="224" spans="11:11" x14ac:dyDescent="0.15">
      <c r="K224" s="95"/>
    </row>
    <row r="225" spans="11:11" x14ac:dyDescent="0.15">
      <c r="K225" s="95"/>
    </row>
    <row r="226" spans="11:11" x14ac:dyDescent="0.15">
      <c r="K226" s="95"/>
    </row>
    <row r="227" spans="11:11" x14ac:dyDescent="0.15">
      <c r="K227" s="95"/>
    </row>
    <row r="228" spans="11:11" x14ac:dyDescent="0.15">
      <c r="K228" s="95"/>
    </row>
    <row r="229" spans="11:11" x14ac:dyDescent="0.15">
      <c r="K229" s="95"/>
    </row>
    <row r="230" spans="11:11" x14ac:dyDescent="0.15">
      <c r="K230" s="95"/>
    </row>
    <row r="231" spans="11:11" x14ac:dyDescent="0.15">
      <c r="K231" s="95"/>
    </row>
    <row r="232" spans="11:11" x14ac:dyDescent="0.15">
      <c r="K232" s="95"/>
    </row>
    <row r="233" spans="11:11" x14ac:dyDescent="0.15">
      <c r="K233" s="95"/>
    </row>
    <row r="234" spans="11:11" x14ac:dyDescent="0.15">
      <c r="K234" s="95"/>
    </row>
    <row r="235" spans="11:11" x14ac:dyDescent="0.15">
      <c r="K235" s="95"/>
    </row>
    <row r="236" spans="11:11" x14ac:dyDescent="0.15">
      <c r="K236" s="95"/>
    </row>
    <row r="237" spans="11:11" x14ac:dyDescent="0.15">
      <c r="K237" s="95"/>
    </row>
    <row r="238" spans="11:11" x14ac:dyDescent="0.15">
      <c r="K238" s="95"/>
    </row>
    <row r="239" spans="11:11" x14ac:dyDescent="0.15">
      <c r="K239" s="95"/>
    </row>
    <row r="240" spans="11:11" x14ac:dyDescent="0.15">
      <c r="K240" s="95"/>
    </row>
    <row r="241" spans="11:11" x14ac:dyDescent="0.15">
      <c r="K241" s="95"/>
    </row>
    <row r="242" spans="11:11" x14ac:dyDescent="0.15">
      <c r="K242" s="95"/>
    </row>
    <row r="243" spans="11:11" x14ac:dyDescent="0.15">
      <c r="K243" s="95"/>
    </row>
    <row r="244" spans="11:11" x14ac:dyDescent="0.15">
      <c r="K244" s="95"/>
    </row>
    <row r="245" spans="11:11" x14ac:dyDescent="0.15">
      <c r="K245" s="95"/>
    </row>
    <row r="246" spans="11:11" x14ac:dyDescent="0.15">
      <c r="K246" s="95"/>
    </row>
    <row r="247" spans="11:11" x14ac:dyDescent="0.15">
      <c r="K247" s="95"/>
    </row>
    <row r="248" spans="11:11" x14ac:dyDescent="0.15">
      <c r="K248" s="95"/>
    </row>
    <row r="249" spans="11:11" x14ac:dyDescent="0.15">
      <c r="K249" s="95"/>
    </row>
    <row r="250" spans="11:11" x14ac:dyDescent="0.15">
      <c r="K250" s="95"/>
    </row>
    <row r="251" spans="11:11" x14ac:dyDescent="0.15">
      <c r="K251" s="95"/>
    </row>
    <row r="252" spans="11:11" x14ac:dyDescent="0.15">
      <c r="K252" s="95"/>
    </row>
    <row r="253" spans="11:11" x14ac:dyDescent="0.15">
      <c r="K253" s="95"/>
    </row>
    <row r="254" spans="11:11" x14ac:dyDescent="0.15">
      <c r="K254" s="95"/>
    </row>
    <row r="255" spans="11:11" x14ac:dyDescent="0.15">
      <c r="K255" s="95"/>
    </row>
    <row r="256" spans="11:11" x14ac:dyDescent="0.15">
      <c r="K256" s="95"/>
    </row>
    <row r="257" spans="11:11" x14ac:dyDescent="0.15">
      <c r="K257" s="95"/>
    </row>
    <row r="258" spans="11:11" x14ac:dyDescent="0.15">
      <c r="K258" s="95"/>
    </row>
    <row r="259" spans="11:11" x14ac:dyDescent="0.15">
      <c r="K259" s="95"/>
    </row>
    <row r="260" spans="11:11" x14ac:dyDescent="0.15">
      <c r="K260" s="95"/>
    </row>
    <row r="261" spans="11:11" x14ac:dyDescent="0.15">
      <c r="K261" s="95"/>
    </row>
    <row r="262" spans="11:11" x14ac:dyDescent="0.15">
      <c r="K262" s="95"/>
    </row>
    <row r="263" spans="11:11" x14ac:dyDescent="0.15">
      <c r="K263" s="95"/>
    </row>
    <row r="264" spans="11:11" x14ac:dyDescent="0.15">
      <c r="K264" s="95"/>
    </row>
    <row r="265" spans="11:11" x14ac:dyDescent="0.15">
      <c r="K265" s="95"/>
    </row>
    <row r="266" spans="11:11" x14ac:dyDescent="0.15">
      <c r="K266" s="95"/>
    </row>
    <row r="267" spans="11:11" x14ac:dyDescent="0.15">
      <c r="K267" s="95"/>
    </row>
    <row r="268" spans="11:11" x14ac:dyDescent="0.15">
      <c r="K268" s="95"/>
    </row>
    <row r="269" spans="11:11" x14ac:dyDescent="0.15">
      <c r="K269" s="95"/>
    </row>
    <row r="270" spans="11:11" x14ac:dyDescent="0.15">
      <c r="K270" s="95"/>
    </row>
    <row r="271" spans="11:11" x14ac:dyDescent="0.15">
      <c r="K271" s="95"/>
    </row>
    <row r="272" spans="11:11" x14ac:dyDescent="0.15">
      <c r="K272" s="95"/>
    </row>
    <row r="273" spans="11:11" x14ac:dyDescent="0.15">
      <c r="K273" s="95"/>
    </row>
    <row r="274" spans="11:11" x14ac:dyDescent="0.15">
      <c r="K274" s="95"/>
    </row>
    <row r="275" spans="11:11" x14ac:dyDescent="0.15">
      <c r="K275" s="95"/>
    </row>
    <row r="276" spans="11:11" x14ac:dyDescent="0.15">
      <c r="K276" s="95"/>
    </row>
    <row r="277" spans="11:11" x14ac:dyDescent="0.15">
      <c r="K277" s="95"/>
    </row>
    <row r="278" spans="11:11" x14ac:dyDescent="0.15">
      <c r="K278" s="95"/>
    </row>
    <row r="279" spans="11:11" x14ac:dyDescent="0.15">
      <c r="K279" s="95"/>
    </row>
    <row r="280" spans="11:11" x14ac:dyDescent="0.15">
      <c r="K280" s="95"/>
    </row>
    <row r="281" spans="11:11" x14ac:dyDescent="0.15">
      <c r="K281" s="95"/>
    </row>
    <row r="282" spans="11:11" x14ac:dyDescent="0.15">
      <c r="K282" s="95"/>
    </row>
    <row r="283" spans="11:11" x14ac:dyDescent="0.15">
      <c r="K283" s="95"/>
    </row>
    <row r="284" spans="11:11" x14ac:dyDescent="0.15">
      <c r="K284" s="95"/>
    </row>
    <row r="285" spans="11:11" x14ac:dyDescent="0.15">
      <c r="K285" s="95"/>
    </row>
    <row r="286" spans="11:11" x14ac:dyDescent="0.15">
      <c r="K286" s="95"/>
    </row>
    <row r="287" spans="11:11" x14ac:dyDescent="0.15">
      <c r="K287" s="95"/>
    </row>
    <row r="288" spans="11:11" x14ac:dyDescent="0.15">
      <c r="K288" s="95"/>
    </row>
    <row r="289" spans="11:11" x14ac:dyDescent="0.15">
      <c r="K289" s="95"/>
    </row>
    <row r="290" spans="11:11" x14ac:dyDescent="0.15">
      <c r="K290" s="95"/>
    </row>
    <row r="291" spans="11:11" x14ac:dyDescent="0.15">
      <c r="K291" s="95"/>
    </row>
    <row r="292" spans="11:11" x14ac:dyDescent="0.15">
      <c r="K292" s="95"/>
    </row>
    <row r="293" spans="11:11" x14ac:dyDescent="0.15">
      <c r="K293" s="95"/>
    </row>
    <row r="294" spans="11:11" x14ac:dyDescent="0.15">
      <c r="K294" s="95"/>
    </row>
    <row r="295" spans="11:11" x14ac:dyDescent="0.15">
      <c r="K295" s="95"/>
    </row>
    <row r="296" spans="11:11" x14ac:dyDescent="0.15">
      <c r="K296" s="95"/>
    </row>
    <row r="297" spans="11:11" x14ac:dyDescent="0.15">
      <c r="K297" s="95"/>
    </row>
    <row r="298" spans="11:11" x14ac:dyDescent="0.15">
      <c r="K298" s="95"/>
    </row>
    <row r="299" spans="11:11" x14ac:dyDescent="0.15">
      <c r="K299" s="95"/>
    </row>
    <row r="300" spans="11:11" x14ac:dyDescent="0.15">
      <c r="K300" s="95"/>
    </row>
    <row r="301" spans="11:11" x14ac:dyDescent="0.15">
      <c r="K301" s="95"/>
    </row>
    <row r="302" spans="11:11" x14ac:dyDescent="0.15">
      <c r="K302" s="95"/>
    </row>
    <row r="303" spans="11:11" x14ac:dyDescent="0.15">
      <c r="K303" s="95"/>
    </row>
    <row r="304" spans="11:11" x14ac:dyDescent="0.15">
      <c r="K304" s="95"/>
    </row>
    <row r="305" spans="11:11" x14ac:dyDescent="0.15">
      <c r="K305" s="95"/>
    </row>
    <row r="306" spans="11:11" x14ac:dyDescent="0.15">
      <c r="K306" s="95"/>
    </row>
    <row r="307" spans="11:11" x14ac:dyDescent="0.15">
      <c r="K307" s="95"/>
    </row>
    <row r="308" spans="11:11" x14ac:dyDescent="0.15">
      <c r="K308" s="95"/>
    </row>
    <row r="309" spans="11:11" x14ac:dyDescent="0.15">
      <c r="K309" s="95"/>
    </row>
    <row r="310" spans="11:11" x14ac:dyDescent="0.15">
      <c r="K310" s="95"/>
    </row>
    <row r="311" spans="11:11" x14ac:dyDescent="0.15">
      <c r="K311" s="95"/>
    </row>
    <row r="312" spans="11:11" x14ac:dyDescent="0.15">
      <c r="K312" s="95"/>
    </row>
    <row r="313" spans="11:11" x14ac:dyDescent="0.15">
      <c r="K313" s="95"/>
    </row>
    <row r="314" spans="11:11" x14ac:dyDescent="0.15">
      <c r="K314" s="95"/>
    </row>
    <row r="315" spans="11:11" x14ac:dyDescent="0.15">
      <c r="K315" s="95"/>
    </row>
    <row r="316" spans="11:11" x14ac:dyDescent="0.15">
      <c r="K316" s="95"/>
    </row>
    <row r="317" spans="11:11" x14ac:dyDescent="0.15">
      <c r="K317" s="95"/>
    </row>
    <row r="318" spans="11:11" x14ac:dyDescent="0.15">
      <c r="K318" s="95"/>
    </row>
    <row r="319" spans="11:11" x14ac:dyDescent="0.15">
      <c r="K319" s="95"/>
    </row>
    <row r="320" spans="11:11" x14ac:dyDescent="0.15">
      <c r="K320" s="95"/>
    </row>
    <row r="321" spans="11:11" x14ac:dyDescent="0.15">
      <c r="K321" s="95"/>
    </row>
    <row r="322" spans="11:11" x14ac:dyDescent="0.15">
      <c r="K322" s="95"/>
    </row>
    <row r="323" spans="11:11" x14ac:dyDescent="0.15">
      <c r="K323" s="95"/>
    </row>
    <row r="324" spans="11:11" x14ac:dyDescent="0.15">
      <c r="K324" s="95"/>
    </row>
    <row r="325" spans="11:11" x14ac:dyDescent="0.15">
      <c r="K325" s="95"/>
    </row>
    <row r="326" spans="11:11" x14ac:dyDescent="0.15">
      <c r="K326" s="95"/>
    </row>
    <row r="327" spans="11:11" x14ac:dyDescent="0.15">
      <c r="K327" s="95"/>
    </row>
    <row r="328" spans="11:11" x14ac:dyDescent="0.15">
      <c r="K328" s="95"/>
    </row>
    <row r="329" spans="11:11" x14ac:dyDescent="0.15">
      <c r="K329" s="95"/>
    </row>
    <row r="330" spans="11:11" x14ac:dyDescent="0.15">
      <c r="K330" s="95"/>
    </row>
    <row r="331" spans="11:11" x14ac:dyDescent="0.15">
      <c r="K331" s="95"/>
    </row>
    <row r="332" spans="11:11" x14ac:dyDescent="0.15">
      <c r="K332" s="95"/>
    </row>
    <row r="333" spans="11:11" x14ac:dyDescent="0.15">
      <c r="K333" s="95"/>
    </row>
    <row r="334" spans="11:11" x14ac:dyDescent="0.15">
      <c r="K334" s="95"/>
    </row>
    <row r="335" spans="11:11" x14ac:dyDescent="0.15">
      <c r="K335" s="95"/>
    </row>
    <row r="336" spans="11:11" x14ac:dyDescent="0.15">
      <c r="K336" s="95"/>
    </row>
    <row r="337" spans="11:11" x14ac:dyDescent="0.15">
      <c r="K337" s="95"/>
    </row>
    <row r="338" spans="11:11" x14ac:dyDescent="0.15">
      <c r="K338" s="95"/>
    </row>
    <row r="339" spans="11:11" x14ac:dyDescent="0.15">
      <c r="K339" s="95"/>
    </row>
    <row r="340" spans="11:11" x14ac:dyDescent="0.15">
      <c r="K340" s="95"/>
    </row>
    <row r="341" spans="11:11" x14ac:dyDescent="0.15">
      <c r="K341" s="95"/>
    </row>
    <row r="342" spans="11:11" x14ac:dyDescent="0.15">
      <c r="K342" s="95"/>
    </row>
    <row r="343" spans="11:11" x14ac:dyDescent="0.15">
      <c r="K343" s="95"/>
    </row>
    <row r="344" spans="11:11" x14ac:dyDescent="0.15">
      <c r="K344" s="95"/>
    </row>
    <row r="345" spans="11:11" x14ac:dyDescent="0.15">
      <c r="K345" s="95"/>
    </row>
    <row r="346" spans="11:11" x14ac:dyDescent="0.15">
      <c r="K346" s="95"/>
    </row>
    <row r="347" spans="11:11" x14ac:dyDescent="0.15">
      <c r="K347" s="95"/>
    </row>
    <row r="348" spans="11:11" x14ac:dyDescent="0.15">
      <c r="K348" s="95"/>
    </row>
    <row r="349" spans="11:11" x14ac:dyDescent="0.15">
      <c r="K349" s="95"/>
    </row>
    <row r="350" spans="11:11" x14ac:dyDescent="0.15">
      <c r="K350" s="95"/>
    </row>
    <row r="351" spans="11:11" x14ac:dyDescent="0.15">
      <c r="K351" s="95"/>
    </row>
    <row r="352" spans="11:11" x14ac:dyDescent="0.15">
      <c r="K352" s="95"/>
    </row>
    <row r="353" spans="11:11" x14ac:dyDescent="0.15">
      <c r="K353" s="95"/>
    </row>
    <row r="354" spans="11:11" x14ac:dyDescent="0.15">
      <c r="K354" s="95"/>
    </row>
    <row r="355" spans="11:11" x14ac:dyDescent="0.15">
      <c r="K355" s="95"/>
    </row>
    <row r="356" spans="11:11" x14ac:dyDescent="0.15">
      <c r="K356" s="95"/>
    </row>
    <row r="357" spans="11:11" x14ac:dyDescent="0.15">
      <c r="K357" s="95"/>
    </row>
    <row r="358" spans="11:11" x14ac:dyDescent="0.15">
      <c r="K358" s="95"/>
    </row>
    <row r="359" spans="11:11" x14ac:dyDescent="0.15">
      <c r="K359" s="95"/>
    </row>
    <row r="360" spans="11:11" x14ac:dyDescent="0.15">
      <c r="K360" s="95"/>
    </row>
    <row r="361" spans="11:11" x14ac:dyDescent="0.15">
      <c r="K361" s="95"/>
    </row>
    <row r="362" spans="11:11" x14ac:dyDescent="0.15">
      <c r="K362" s="95"/>
    </row>
    <row r="363" spans="11:11" x14ac:dyDescent="0.15">
      <c r="K363" s="95"/>
    </row>
    <row r="364" spans="11:11" x14ac:dyDescent="0.15">
      <c r="K364" s="95"/>
    </row>
    <row r="365" spans="11:11" x14ac:dyDescent="0.15">
      <c r="K365" s="95"/>
    </row>
    <row r="366" spans="11:11" x14ac:dyDescent="0.15">
      <c r="K366" s="95"/>
    </row>
    <row r="367" spans="11:11" x14ac:dyDescent="0.15">
      <c r="K367" s="95"/>
    </row>
    <row r="368" spans="11:11" x14ac:dyDescent="0.15">
      <c r="K368" s="95"/>
    </row>
    <row r="369" spans="11:11" x14ac:dyDescent="0.15">
      <c r="K369" s="95"/>
    </row>
    <row r="370" spans="11:11" x14ac:dyDescent="0.15">
      <c r="K370" s="95"/>
    </row>
    <row r="371" spans="11:11" x14ac:dyDescent="0.15">
      <c r="K371" s="95"/>
    </row>
    <row r="372" spans="11:11" x14ac:dyDescent="0.15">
      <c r="K372" s="95"/>
    </row>
    <row r="373" spans="11:11" x14ac:dyDescent="0.15">
      <c r="K373" s="95"/>
    </row>
    <row r="374" spans="11:11" x14ac:dyDescent="0.15">
      <c r="K374" s="95"/>
    </row>
    <row r="375" spans="11:11" x14ac:dyDescent="0.15">
      <c r="K375" s="95"/>
    </row>
    <row r="376" spans="11:11" x14ac:dyDescent="0.15">
      <c r="K376" s="95"/>
    </row>
    <row r="377" spans="11:11" x14ac:dyDescent="0.15">
      <c r="K377" s="95"/>
    </row>
    <row r="378" spans="11:11" x14ac:dyDescent="0.15">
      <c r="K378" s="95"/>
    </row>
    <row r="379" spans="11:11" x14ac:dyDescent="0.15">
      <c r="K379" s="95"/>
    </row>
    <row r="380" spans="11:11" x14ac:dyDescent="0.15">
      <c r="K380" s="95"/>
    </row>
    <row r="381" spans="11:11" x14ac:dyDescent="0.15">
      <c r="K381" s="95"/>
    </row>
    <row r="382" spans="11:11" x14ac:dyDescent="0.15">
      <c r="K382" s="95"/>
    </row>
    <row r="383" spans="11:11" x14ac:dyDescent="0.15">
      <c r="K383" s="95"/>
    </row>
    <row r="384" spans="11:11" x14ac:dyDescent="0.15">
      <c r="K384" s="95"/>
    </row>
    <row r="385" spans="11:11" x14ac:dyDescent="0.15">
      <c r="K385" s="95"/>
    </row>
    <row r="386" spans="11:11" x14ac:dyDescent="0.15">
      <c r="K386" s="95"/>
    </row>
    <row r="387" spans="11:11" x14ac:dyDescent="0.15">
      <c r="K387" s="95"/>
    </row>
    <row r="388" spans="11:11" x14ac:dyDescent="0.15">
      <c r="K388" s="95"/>
    </row>
    <row r="389" spans="11:11" x14ac:dyDescent="0.15">
      <c r="K389" s="95"/>
    </row>
    <row r="390" spans="11:11" x14ac:dyDescent="0.15">
      <c r="K390" s="95"/>
    </row>
    <row r="391" spans="11:11" x14ac:dyDescent="0.15">
      <c r="K391" s="95"/>
    </row>
    <row r="392" spans="11:11" x14ac:dyDescent="0.15">
      <c r="K392" s="95"/>
    </row>
    <row r="393" spans="11:11" x14ac:dyDescent="0.15">
      <c r="K393" s="95"/>
    </row>
    <row r="394" spans="11:11" x14ac:dyDescent="0.15">
      <c r="K394" s="95"/>
    </row>
    <row r="395" spans="11:11" x14ac:dyDescent="0.15">
      <c r="K395" s="95"/>
    </row>
    <row r="396" spans="11:11" x14ac:dyDescent="0.15">
      <c r="K396" s="95"/>
    </row>
    <row r="397" spans="11:11" x14ac:dyDescent="0.15">
      <c r="K397" s="95"/>
    </row>
    <row r="398" spans="11:11" x14ac:dyDescent="0.15">
      <c r="K398" s="95"/>
    </row>
    <row r="399" spans="11:11" x14ac:dyDescent="0.15">
      <c r="K399" s="95"/>
    </row>
    <row r="400" spans="11:11" x14ac:dyDescent="0.15">
      <c r="K400" s="95"/>
    </row>
    <row r="401" spans="11:11" x14ac:dyDescent="0.15">
      <c r="K401" s="95"/>
    </row>
    <row r="402" spans="11:11" x14ac:dyDescent="0.15">
      <c r="K402" s="95"/>
    </row>
    <row r="403" spans="11:11" x14ac:dyDescent="0.15">
      <c r="K403" s="95"/>
    </row>
    <row r="404" spans="11:11" x14ac:dyDescent="0.15">
      <c r="K404" s="95"/>
    </row>
    <row r="405" spans="11:11" x14ac:dyDescent="0.15">
      <c r="K405" s="95"/>
    </row>
    <row r="406" spans="11:11" x14ac:dyDescent="0.15">
      <c r="K406" s="95"/>
    </row>
    <row r="407" spans="11:11" x14ac:dyDescent="0.15">
      <c r="K407" s="95"/>
    </row>
    <row r="408" spans="11:11" x14ac:dyDescent="0.15">
      <c r="K408" s="95"/>
    </row>
    <row r="409" spans="11:11" x14ac:dyDescent="0.15">
      <c r="K409" s="95"/>
    </row>
    <row r="410" spans="11:11" x14ac:dyDescent="0.15">
      <c r="K410" s="95"/>
    </row>
    <row r="411" spans="11:11" x14ac:dyDescent="0.15">
      <c r="K411" s="95"/>
    </row>
    <row r="412" spans="11:11" x14ac:dyDescent="0.15">
      <c r="K412" s="95"/>
    </row>
    <row r="413" spans="11:11" x14ac:dyDescent="0.15">
      <c r="K413" s="95"/>
    </row>
    <row r="414" spans="11:11" x14ac:dyDescent="0.15">
      <c r="K414" s="95"/>
    </row>
    <row r="415" spans="11:11" x14ac:dyDescent="0.15">
      <c r="K415" s="95"/>
    </row>
    <row r="416" spans="11:11" x14ac:dyDescent="0.15">
      <c r="K416" s="95"/>
    </row>
    <row r="417" spans="11:11" x14ac:dyDescent="0.15">
      <c r="K417" s="95"/>
    </row>
    <row r="418" spans="11:11" x14ac:dyDescent="0.15">
      <c r="K418" s="95"/>
    </row>
    <row r="419" spans="11:11" x14ac:dyDescent="0.15">
      <c r="K419" s="95"/>
    </row>
    <row r="420" spans="11:11" x14ac:dyDescent="0.15">
      <c r="K420" s="95"/>
    </row>
    <row r="421" spans="11:11" x14ac:dyDescent="0.15">
      <c r="K421" s="95"/>
    </row>
    <row r="422" spans="11:11" x14ac:dyDescent="0.15">
      <c r="K422" s="95"/>
    </row>
    <row r="423" spans="11:11" x14ac:dyDescent="0.15">
      <c r="K423" s="95"/>
    </row>
    <row r="424" spans="11:11" x14ac:dyDescent="0.15">
      <c r="K424" s="95"/>
    </row>
    <row r="425" spans="11:11" x14ac:dyDescent="0.15">
      <c r="K425" s="95"/>
    </row>
    <row r="426" spans="11:11" x14ac:dyDescent="0.15">
      <c r="K426" s="95"/>
    </row>
    <row r="427" spans="11:11" x14ac:dyDescent="0.15">
      <c r="K427" s="95"/>
    </row>
    <row r="428" spans="11:11" x14ac:dyDescent="0.15">
      <c r="K428" s="95"/>
    </row>
    <row r="429" spans="11:11" x14ac:dyDescent="0.15">
      <c r="K429" s="95"/>
    </row>
    <row r="430" spans="11:11" x14ac:dyDescent="0.15">
      <c r="K430" s="95"/>
    </row>
    <row r="431" spans="11:11" x14ac:dyDescent="0.15">
      <c r="K431" s="95"/>
    </row>
    <row r="432" spans="11:11" x14ac:dyDescent="0.15">
      <c r="K432" s="95"/>
    </row>
    <row r="433" spans="11:11" x14ac:dyDescent="0.15">
      <c r="K433" s="95"/>
    </row>
    <row r="434" spans="11:11" x14ac:dyDescent="0.15">
      <c r="K434" s="95"/>
    </row>
    <row r="435" spans="11:11" x14ac:dyDescent="0.15">
      <c r="K435" s="95"/>
    </row>
    <row r="436" spans="11:11" x14ac:dyDescent="0.15">
      <c r="K436" s="95"/>
    </row>
    <row r="437" spans="11:11" x14ac:dyDescent="0.15">
      <c r="K437" s="95"/>
    </row>
    <row r="438" spans="11:11" x14ac:dyDescent="0.15">
      <c r="K438" s="95"/>
    </row>
    <row r="439" spans="11:11" x14ac:dyDescent="0.15">
      <c r="K439" s="95"/>
    </row>
    <row r="440" spans="11:11" x14ac:dyDescent="0.15">
      <c r="K440" s="95"/>
    </row>
    <row r="441" spans="11:11" x14ac:dyDescent="0.15">
      <c r="K441" s="95"/>
    </row>
    <row r="442" spans="11:11" x14ac:dyDescent="0.15">
      <c r="K442" s="95"/>
    </row>
    <row r="443" spans="11:11" x14ac:dyDescent="0.15">
      <c r="K443" s="95"/>
    </row>
    <row r="444" spans="11:11" x14ac:dyDescent="0.15">
      <c r="K444" s="95"/>
    </row>
    <row r="445" spans="11:11" x14ac:dyDescent="0.15">
      <c r="K445" s="95"/>
    </row>
    <row r="446" spans="11:11" x14ac:dyDescent="0.15">
      <c r="K446" s="95"/>
    </row>
    <row r="447" spans="11:11" x14ac:dyDescent="0.15">
      <c r="K447" s="95"/>
    </row>
    <row r="448" spans="11:11" x14ac:dyDescent="0.15">
      <c r="K448" s="95"/>
    </row>
    <row r="449" spans="11:11" x14ac:dyDescent="0.15">
      <c r="K449" s="95"/>
    </row>
    <row r="450" spans="11:11" x14ac:dyDescent="0.15">
      <c r="K450" s="95"/>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2"/>
  <sheetViews>
    <sheetView zoomScale="70" zoomScaleNormal="70" workbookViewId="0">
      <selection activeCell="AB2" sqref="AB2:AB52"/>
    </sheetView>
  </sheetViews>
  <sheetFormatPr defaultColWidth="9" defaultRowHeight="13.5" x14ac:dyDescent="0.15"/>
  <cols>
    <col min="1" max="3" width="9" style="125"/>
    <col min="4" max="4" width="10.5" style="125" customWidth="1"/>
    <col min="5" max="16" width="9" style="125"/>
    <col min="17" max="17" width="9" style="160"/>
    <col min="18" max="18" width="9" style="125"/>
    <col min="19" max="19" width="9.5" style="125" customWidth="1"/>
    <col min="20" max="20" width="9" style="160"/>
    <col min="21" max="21" width="9" style="125"/>
    <col min="22" max="22" width="9" style="160"/>
    <col min="23" max="23" width="10.5" style="125" customWidth="1"/>
    <col min="24" max="32" width="9" style="125"/>
    <col min="33" max="33" width="19.625" style="125" customWidth="1"/>
    <col min="34" max="34" width="9.375" style="125" customWidth="1"/>
    <col min="35" max="259" width="9" style="125"/>
    <col min="260" max="260" width="10.5" style="125" customWidth="1"/>
    <col min="261" max="274" width="9" style="125"/>
    <col min="275" max="275" width="9.5" style="125" customWidth="1"/>
    <col min="276" max="278" width="9" style="125"/>
    <col min="279" max="279" width="10.5" style="125" customWidth="1"/>
    <col min="280" max="515" width="9" style="125"/>
    <col min="516" max="516" width="10.5" style="125" customWidth="1"/>
    <col min="517" max="530" width="9" style="125"/>
    <col min="531" max="531" width="9.5" style="125" customWidth="1"/>
    <col min="532" max="534" width="9" style="125"/>
    <col min="535" max="535" width="10.5" style="125" customWidth="1"/>
    <col min="536" max="771" width="9" style="125"/>
    <col min="772" max="772" width="10.5" style="125" customWidth="1"/>
    <col min="773" max="786" width="9" style="125"/>
    <col min="787" max="787" width="9.5" style="125" customWidth="1"/>
    <col min="788" max="790" width="9" style="125"/>
    <col min="791" max="791" width="10.5" style="125" customWidth="1"/>
    <col min="792" max="1027" width="9" style="125"/>
    <col min="1028" max="1028" width="10.5" style="125" customWidth="1"/>
    <col min="1029" max="1042" width="9" style="125"/>
    <col min="1043" max="1043" width="9.5" style="125" customWidth="1"/>
    <col min="1044" max="1046" width="9" style="125"/>
    <col min="1047" max="1047" width="10.5" style="125" customWidth="1"/>
    <col min="1048" max="1283" width="9" style="125"/>
    <col min="1284" max="1284" width="10.5" style="125" customWidth="1"/>
    <col min="1285" max="1298" width="9" style="125"/>
    <col min="1299" max="1299" width="9.5" style="125" customWidth="1"/>
    <col min="1300" max="1302" width="9" style="125"/>
    <col min="1303" max="1303" width="10.5" style="125" customWidth="1"/>
    <col min="1304" max="1539" width="9" style="125"/>
    <col min="1540" max="1540" width="10.5" style="125" customWidth="1"/>
    <col min="1541" max="1554" width="9" style="125"/>
    <col min="1555" max="1555" width="9.5" style="125" customWidth="1"/>
    <col min="1556" max="1558" width="9" style="125"/>
    <col min="1559" max="1559" width="10.5" style="125" customWidth="1"/>
    <col min="1560" max="1795" width="9" style="125"/>
    <col min="1796" max="1796" width="10.5" style="125" customWidth="1"/>
    <col min="1797" max="1810" width="9" style="125"/>
    <col min="1811" max="1811" width="9.5" style="125" customWidth="1"/>
    <col min="1812" max="1814" width="9" style="125"/>
    <col min="1815" max="1815" width="10.5" style="125" customWidth="1"/>
    <col min="1816" max="2051" width="9" style="125"/>
    <col min="2052" max="2052" width="10.5" style="125" customWidth="1"/>
    <col min="2053" max="2066" width="9" style="125"/>
    <col min="2067" max="2067" width="9.5" style="125" customWidth="1"/>
    <col min="2068" max="2070" width="9" style="125"/>
    <col min="2071" max="2071" width="10.5" style="125" customWidth="1"/>
    <col min="2072" max="2307" width="9" style="125"/>
    <col min="2308" max="2308" width="10.5" style="125" customWidth="1"/>
    <col min="2309" max="2322" width="9" style="125"/>
    <col min="2323" max="2323" width="9.5" style="125" customWidth="1"/>
    <col min="2324" max="2326" width="9" style="125"/>
    <col min="2327" max="2327" width="10.5" style="125" customWidth="1"/>
    <col min="2328" max="2563" width="9" style="125"/>
    <col min="2564" max="2564" width="10.5" style="125" customWidth="1"/>
    <col min="2565" max="2578" width="9" style="125"/>
    <col min="2579" max="2579" width="9.5" style="125" customWidth="1"/>
    <col min="2580" max="2582" width="9" style="125"/>
    <col min="2583" max="2583" width="10.5" style="125" customWidth="1"/>
    <col min="2584" max="2819" width="9" style="125"/>
    <col min="2820" max="2820" width="10.5" style="125" customWidth="1"/>
    <col min="2821" max="2834" width="9" style="125"/>
    <col min="2835" max="2835" width="9.5" style="125" customWidth="1"/>
    <col min="2836" max="2838" width="9" style="125"/>
    <col min="2839" max="2839" width="10.5" style="125" customWidth="1"/>
    <col min="2840" max="3075" width="9" style="125"/>
    <col min="3076" max="3076" width="10.5" style="125" customWidth="1"/>
    <col min="3077" max="3090" width="9" style="125"/>
    <col min="3091" max="3091" width="9.5" style="125" customWidth="1"/>
    <col min="3092" max="3094" width="9" style="125"/>
    <col min="3095" max="3095" width="10.5" style="125" customWidth="1"/>
    <col min="3096" max="3331" width="9" style="125"/>
    <col min="3332" max="3332" width="10.5" style="125" customWidth="1"/>
    <col min="3333" max="3346" width="9" style="125"/>
    <col min="3347" max="3347" width="9.5" style="125" customWidth="1"/>
    <col min="3348" max="3350" width="9" style="125"/>
    <col min="3351" max="3351" width="10.5" style="125" customWidth="1"/>
    <col min="3352" max="3587" width="9" style="125"/>
    <col min="3588" max="3588" width="10.5" style="125" customWidth="1"/>
    <col min="3589" max="3602" width="9" style="125"/>
    <col min="3603" max="3603" width="9.5" style="125" customWidth="1"/>
    <col min="3604" max="3606" width="9" style="125"/>
    <col min="3607" max="3607" width="10.5" style="125" customWidth="1"/>
    <col min="3608" max="3843" width="9" style="125"/>
    <col min="3844" max="3844" width="10.5" style="125" customWidth="1"/>
    <col min="3845" max="3858" width="9" style="125"/>
    <col min="3859" max="3859" width="9.5" style="125" customWidth="1"/>
    <col min="3860" max="3862" width="9" style="125"/>
    <col min="3863" max="3863" width="10.5" style="125" customWidth="1"/>
    <col min="3864" max="4099" width="9" style="125"/>
    <col min="4100" max="4100" width="10.5" style="125" customWidth="1"/>
    <col min="4101" max="4114" width="9" style="125"/>
    <col min="4115" max="4115" width="9.5" style="125" customWidth="1"/>
    <col min="4116" max="4118" width="9" style="125"/>
    <col min="4119" max="4119" width="10.5" style="125" customWidth="1"/>
    <col min="4120" max="4355" width="9" style="125"/>
    <col min="4356" max="4356" width="10.5" style="125" customWidth="1"/>
    <col min="4357" max="4370" width="9" style="125"/>
    <col min="4371" max="4371" width="9.5" style="125" customWidth="1"/>
    <col min="4372" max="4374" width="9" style="125"/>
    <col min="4375" max="4375" width="10.5" style="125" customWidth="1"/>
    <col min="4376" max="4611" width="9" style="125"/>
    <col min="4612" max="4612" width="10.5" style="125" customWidth="1"/>
    <col min="4613" max="4626" width="9" style="125"/>
    <col min="4627" max="4627" width="9.5" style="125" customWidth="1"/>
    <col min="4628" max="4630" width="9" style="125"/>
    <col min="4631" max="4631" width="10.5" style="125" customWidth="1"/>
    <col min="4632" max="4867" width="9" style="125"/>
    <col min="4868" max="4868" width="10.5" style="125" customWidth="1"/>
    <col min="4869" max="4882" width="9" style="125"/>
    <col min="4883" max="4883" width="9.5" style="125" customWidth="1"/>
    <col min="4884" max="4886" width="9" style="125"/>
    <col min="4887" max="4887" width="10.5" style="125" customWidth="1"/>
    <col min="4888" max="5123" width="9" style="125"/>
    <col min="5124" max="5124" width="10.5" style="125" customWidth="1"/>
    <col min="5125" max="5138" width="9" style="125"/>
    <col min="5139" max="5139" width="9.5" style="125" customWidth="1"/>
    <col min="5140" max="5142" width="9" style="125"/>
    <col min="5143" max="5143" width="10.5" style="125" customWidth="1"/>
    <col min="5144" max="5379" width="9" style="125"/>
    <col min="5380" max="5380" width="10.5" style="125" customWidth="1"/>
    <col min="5381" max="5394" width="9" style="125"/>
    <col min="5395" max="5395" width="9.5" style="125" customWidth="1"/>
    <col min="5396" max="5398" width="9" style="125"/>
    <col min="5399" max="5399" width="10.5" style="125" customWidth="1"/>
    <col min="5400" max="5635" width="9" style="125"/>
    <col min="5636" max="5636" width="10.5" style="125" customWidth="1"/>
    <col min="5637" max="5650" width="9" style="125"/>
    <col min="5651" max="5651" width="9.5" style="125" customWidth="1"/>
    <col min="5652" max="5654" width="9" style="125"/>
    <col min="5655" max="5655" width="10.5" style="125" customWidth="1"/>
    <col min="5656" max="5891" width="9" style="125"/>
    <col min="5892" max="5892" width="10.5" style="125" customWidth="1"/>
    <col min="5893" max="5906" width="9" style="125"/>
    <col min="5907" max="5907" width="9.5" style="125" customWidth="1"/>
    <col min="5908" max="5910" width="9" style="125"/>
    <col min="5911" max="5911" width="10.5" style="125" customWidth="1"/>
    <col min="5912" max="6147" width="9" style="125"/>
    <col min="6148" max="6148" width="10.5" style="125" customWidth="1"/>
    <col min="6149" max="6162" width="9" style="125"/>
    <col min="6163" max="6163" width="9.5" style="125" customWidth="1"/>
    <col min="6164" max="6166" width="9" style="125"/>
    <col min="6167" max="6167" width="10.5" style="125" customWidth="1"/>
    <col min="6168" max="6403" width="9" style="125"/>
    <col min="6404" max="6404" width="10.5" style="125" customWidth="1"/>
    <col min="6405" max="6418" width="9" style="125"/>
    <col min="6419" max="6419" width="9.5" style="125" customWidth="1"/>
    <col min="6420" max="6422" width="9" style="125"/>
    <col min="6423" max="6423" width="10.5" style="125" customWidth="1"/>
    <col min="6424" max="6659" width="9" style="125"/>
    <col min="6660" max="6660" width="10.5" style="125" customWidth="1"/>
    <col min="6661" max="6674" width="9" style="125"/>
    <col min="6675" max="6675" width="9.5" style="125" customWidth="1"/>
    <col min="6676" max="6678" width="9" style="125"/>
    <col min="6679" max="6679" width="10.5" style="125" customWidth="1"/>
    <col min="6680" max="6915" width="9" style="125"/>
    <col min="6916" max="6916" width="10.5" style="125" customWidth="1"/>
    <col min="6917" max="6930" width="9" style="125"/>
    <col min="6931" max="6931" width="9.5" style="125" customWidth="1"/>
    <col min="6932" max="6934" width="9" style="125"/>
    <col min="6935" max="6935" width="10.5" style="125" customWidth="1"/>
    <col min="6936" max="7171" width="9" style="125"/>
    <col min="7172" max="7172" width="10.5" style="125" customWidth="1"/>
    <col min="7173" max="7186" width="9" style="125"/>
    <col min="7187" max="7187" width="9.5" style="125" customWidth="1"/>
    <col min="7188" max="7190" width="9" style="125"/>
    <col min="7191" max="7191" width="10.5" style="125" customWidth="1"/>
    <col min="7192" max="7427" width="9" style="125"/>
    <col min="7428" max="7428" width="10.5" style="125" customWidth="1"/>
    <col min="7429" max="7442" width="9" style="125"/>
    <col min="7443" max="7443" width="9.5" style="125" customWidth="1"/>
    <col min="7444" max="7446" width="9" style="125"/>
    <col min="7447" max="7447" width="10.5" style="125" customWidth="1"/>
    <col min="7448" max="7683" width="9" style="125"/>
    <col min="7684" max="7684" width="10.5" style="125" customWidth="1"/>
    <col min="7685" max="7698" width="9" style="125"/>
    <col min="7699" max="7699" width="9.5" style="125" customWidth="1"/>
    <col min="7700" max="7702" width="9" style="125"/>
    <col min="7703" max="7703" width="10.5" style="125" customWidth="1"/>
    <col min="7704" max="7939" width="9" style="125"/>
    <col min="7940" max="7940" width="10.5" style="125" customWidth="1"/>
    <col min="7941" max="7954" width="9" style="125"/>
    <col min="7955" max="7955" width="9.5" style="125" customWidth="1"/>
    <col min="7956" max="7958" width="9" style="125"/>
    <col min="7959" max="7959" width="10.5" style="125" customWidth="1"/>
    <col min="7960" max="8195" width="9" style="125"/>
    <col min="8196" max="8196" width="10.5" style="125" customWidth="1"/>
    <col min="8197" max="8210" width="9" style="125"/>
    <col min="8211" max="8211" width="9.5" style="125" customWidth="1"/>
    <col min="8212" max="8214" width="9" style="125"/>
    <col min="8215" max="8215" width="10.5" style="125" customWidth="1"/>
    <col min="8216" max="8451" width="9" style="125"/>
    <col min="8452" max="8452" width="10.5" style="125" customWidth="1"/>
    <col min="8453" max="8466" width="9" style="125"/>
    <col min="8467" max="8467" width="9.5" style="125" customWidth="1"/>
    <col min="8468" max="8470" width="9" style="125"/>
    <col min="8471" max="8471" width="10.5" style="125" customWidth="1"/>
    <col min="8472" max="8707" width="9" style="125"/>
    <col min="8708" max="8708" width="10.5" style="125" customWidth="1"/>
    <col min="8709" max="8722" width="9" style="125"/>
    <col min="8723" max="8723" width="9.5" style="125" customWidth="1"/>
    <col min="8724" max="8726" width="9" style="125"/>
    <col min="8727" max="8727" width="10.5" style="125" customWidth="1"/>
    <col min="8728" max="8963" width="9" style="125"/>
    <col min="8964" max="8964" width="10.5" style="125" customWidth="1"/>
    <col min="8965" max="8978" width="9" style="125"/>
    <col min="8979" max="8979" width="9.5" style="125" customWidth="1"/>
    <col min="8980" max="8982" width="9" style="125"/>
    <col min="8983" max="8983" width="10.5" style="125" customWidth="1"/>
    <col min="8984" max="9219" width="9" style="125"/>
    <col min="9220" max="9220" width="10.5" style="125" customWidth="1"/>
    <col min="9221" max="9234" width="9" style="125"/>
    <col min="9235" max="9235" width="9.5" style="125" customWidth="1"/>
    <col min="9236" max="9238" width="9" style="125"/>
    <col min="9239" max="9239" width="10.5" style="125" customWidth="1"/>
    <col min="9240" max="9475" width="9" style="125"/>
    <col min="9476" max="9476" width="10.5" style="125" customWidth="1"/>
    <col min="9477" max="9490" width="9" style="125"/>
    <col min="9491" max="9491" width="9.5" style="125" customWidth="1"/>
    <col min="9492" max="9494" width="9" style="125"/>
    <col min="9495" max="9495" width="10.5" style="125" customWidth="1"/>
    <col min="9496" max="9731" width="9" style="125"/>
    <col min="9732" max="9732" width="10.5" style="125" customWidth="1"/>
    <col min="9733" max="9746" width="9" style="125"/>
    <col min="9747" max="9747" width="9.5" style="125" customWidth="1"/>
    <col min="9748" max="9750" width="9" style="125"/>
    <col min="9751" max="9751" width="10.5" style="125" customWidth="1"/>
    <col min="9752" max="9987" width="9" style="125"/>
    <col min="9988" max="9988" width="10.5" style="125" customWidth="1"/>
    <col min="9989" max="10002" width="9" style="125"/>
    <col min="10003" max="10003" width="9.5" style="125" customWidth="1"/>
    <col min="10004" max="10006" width="9" style="125"/>
    <col min="10007" max="10007" width="10.5" style="125" customWidth="1"/>
    <col min="10008" max="10243" width="9" style="125"/>
    <col min="10244" max="10244" width="10.5" style="125" customWidth="1"/>
    <col min="10245" max="10258" width="9" style="125"/>
    <col min="10259" max="10259" width="9.5" style="125" customWidth="1"/>
    <col min="10260" max="10262" width="9" style="125"/>
    <col min="10263" max="10263" width="10.5" style="125" customWidth="1"/>
    <col min="10264" max="10499" width="9" style="125"/>
    <col min="10500" max="10500" width="10.5" style="125" customWidth="1"/>
    <col min="10501" max="10514" width="9" style="125"/>
    <col min="10515" max="10515" width="9.5" style="125" customWidth="1"/>
    <col min="10516" max="10518" width="9" style="125"/>
    <col min="10519" max="10519" width="10.5" style="125" customWidth="1"/>
    <col min="10520" max="10755" width="9" style="125"/>
    <col min="10756" max="10756" width="10.5" style="125" customWidth="1"/>
    <col min="10757" max="10770" width="9" style="125"/>
    <col min="10771" max="10771" width="9.5" style="125" customWidth="1"/>
    <col min="10772" max="10774" width="9" style="125"/>
    <col min="10775" max="10775" width="10.5" style="125" customWidth="1"/>
    <col min="10776" max="11011" width="9" style="125"/>
    <col min="11012" max="11012" width="10.5" style="125" customWidth="1"/>
    <col min="11013" max="11026" width="9" style="125"/>
    <col min="11027" max="11027" width="9.5" style="125" customWidth="1"/>
    <col min="11028" max="11030" width="9" style="125"/>
    <col min="11031" max="11031" width="10.5" style="125" customWidth="1"/>
    <col min="11032" max="11267" width="9" style="125"/>
    <col min="11268" max="11268" width="10.5" style="125" customWidth="1"/>
    <col min="11269" max="11282" width="9" style="125"/>
    <col min="11283" max="11283" width="9.5" style="125" customWidth="1"/>
    <col min="11284" max="11286" width="9" style="125"/>
    <col min="11287" max="11287" width="10.5" style="125" customWidth="1"/>
    <col min="11288" max="11523" width="9" style="125"/>
    <col min="11524" max="11524" width="10.5" style="125" customWidth="1"/>
    <col min="11525" max="11538" width="9" style="125"/>
    <col min="11539" max="11539" width="9.5" style="125" customWidth="1"/>
    <col min="11540" max="11542" width="9" style="125"/>
    <col min="11543" max="11543" width="10.5" style="125" customWidth="1"/>
    <col min="11544" max="11779" width="9" style="125"/>
    <col min="11780" max="11780" width="10.5" style="125" customWidth="1"/>
    <col min="11781" max="11794" width="9" style="125"/>
    <col min="11795" max="11795" width="9.5" style="125" customWidth="1"/>
    <col min="11796" max="11798" width="9" style="125"/>
    <col min="11799" max="11799" width="10.5" style="125" customWidth="1"/>
    <col min="11800" max="12035" width="9" style="125"/>
    <col min="12036" max="12036" width="10.5" style="125" customWidth="1"/>
    <col min="12037" max="12050" width="9" style="125"/>
    <col min="12051" max="12051" width="9.5" style="125" customWidth="1"/>
    <col min="12052" max="12054" width="9" style="125"/>
    <col min="12055" max="12055" width="10.5" style="125" customWidth="1"/>
    <col min="12056" max="12291" width="9" style="125"/>
    <col min="12292" max="12292" width="10.5" style="125" customWidth="1"/>
    <col min="12293" max="12306" width="9" style="125"/>
    <col min="12307" max="12307" width="9.5" style="125" customWidth="1"/>
    <col min="12308" max="12310" width="9" style="125"/>
    <col min="12311" max="12311" width="10.5" style="125" customWidth="1"/>
    <col min="12312" max="12547" width="9" style="125"/>
    <col min="12548" max="12548" width="10.5" style="125" customWidth="1"/>
    <col min="12549" max="12562" width="9" style="125"/>
    <col min="12563" max="12563" width="9.5" style="125" customWidth="1"/>
    <col min="12564" max="12566" width="9" style="125"/>
    <col min="12567" max="12567" width="10.5" style="125" customWidth="1"/>
    <col min="12568" max="12803" width="9" style="125"/>
    <col min="12804" max="12804" width="10.5" style="125" customWidth="1"/>
    <col min="12805" max="12818" width="9" style="125"/>
    <col min="12819" max="12819" width="9.5" style="125" customWidth="1"/>
    <col min="12820" max="12822" width="9" style="125"/>
    <col min="12823" max="12823" width="10.5" style="125" customWidth="1"/>
    <col min="12824" max="13059" width="9" style="125"/>
    <col min="13060" max="13060" width="10.5" style="125" customWidth="1"/>
    <col min="13061" max="13074" width="9" style="125"/>
    <col min="13075" max="13075" width="9.5" style="125" customWidth="1"/>
    <col min="13076" max="13078" width="9" style="125"/>
    <col min="13079" max="13079" width="10.5" style="125" customWidth="1"/>
    <col min="13080" max="13315" width="9" style="125"/>
    <col min="13316" max="13316" width="10.5" style="125" customWidth="1"/>
    <col min="13317" max="13330" width="9" style="125"/>
    <col min="13331" max="13331" width="9.5" style="125" customWidth="1"/>
    <col min="13332" max="13334" width="9" style="125"/>
    <col min="13335" max="13335" width="10.5" style="125" customWidth="1"/>
    <col min="13336" max="13571" width="9" style="125"/>
    <col min="13572" max="13572" width="10.5" style="125" customWidth="1"/>
    <col min="13573" max="13586" width="9" style="125"/>
    <col min="13587" max="13587" width="9.5" style="125" customWidth="1"/>
    <col min="13588" max="13590" width="9" style="125"/>
    <col min="13591" max="13591" width="10.5" style="125" customWidth="1"/>
    <col min="13592" max="13827" width="9" style="125"/>
    <col min="13828" max="13828" width="10.5" style="125" customWidth="1"/>
    <col min="13829" max="13842" width="9" style="125"/>
    <col min="13843" max="13843" width="9.5" style="125" customWidth="1"/>
    <col min="13844" max="13846" width="9" style="125"/>
    <col min="13847" max="13847" width="10.5" style="125" customWidth="1"/>
    <col min="13848" max="14083" width="9" style="125"/>
    <col min="14084" max="14084" width="10.5" style="125" customWidth="1"/>
    <col min="14085" max="14098" width="9" style="125"/>
    <col min="14099" max="14099" width="9.5" style="125" customWidth="1"/>
    <col min="14100" max="14102" width="9" style="125"/>
    <col min="14103" max="14103" width="10.5" style="125" customWidth="1"/>
    <col min="14104" max="14339" width="9" style="125"/>
    <col min="14340" max="14340" width="10.5" style="125" customWidth="1"/>
    <col min="14341" max="14354" width="9" style="125"/>
    <col min="14355" max="14355" width="9.5" style="125" customWidth="1"/>
    <col min="14356" max="14358" width="9" style="125"/>
    <col min="14359" max="14359" width="10.5" style="125" customWidth="1"/>
    <col min="14360" max="14595" width="9" style="125"/>
    <col min="14596" max="14596" width="10.5" style="125" customWidth="1"/>
    <col min="14597" max="14610" width="9" style="125"/>
    <col min="14611" max="14611" width="9.5" style="125" customWidth="1"/>
    <col min="14612" max="14614" width="9" style="125"/>
    <col min="14615" max="14615" width="10.5" style="125" customWidth="1"/>
    <col min="14616" max="14851" width="9" style="125"/>
    <col min="14852" max="14852" width="10.5" style="125" customWidth="1"/>
    <col min="14853" max="14866" width="9" style="125"/>
    <col min="14867" max="14867" width="9.5" style="125" customWidth="1"/>
    <col min="14868" max="14870" width="9" style="125"/>
    <col min="14871" max="14871" width="10.5" style="125" customWidth="1"/>
    <col min="14872" max="15107" width="9" style="125"/>
    <col min="15108" max="15108" width="10.5" style="125" customWidth="1"/>
    <col min="15109" max="15122" width="9" style="125"/>
    <col min="15123" max="15123" width="9.5" style="125" customWidth="1"/>
    <col min="15124" max="15126" width="9" style="125"/>
    <col min="15127" max="15127" width="10.5" style="125" customWidth="1"/>
    <col min="15128" max="15363" width="9" style="125"/>
    <col min="15364" max="15364" width="10.5" style="125" customWidth="1"/>
    <col min="15365" max="15378" width="9" style="125"/>
    <col min="15379" max="15379" width="9.5" style="125" customWidth="1"/>
    <col min="15380" max="15382" width="9" style="125"/>
    <col min="15383" max="15383" width="10.5" style="125" customWidth="1"/>
    <col min="15384" max="15619" width="9" style="125"/>
    <col min="15620" max="15620" width="10.5" style="125" customWidth="1"/>
    <col min="15621" max="15634" width="9" style="125"/>
    <col min="15635" max="15635" width="9.5" style="125" customWidth="1"/>
    <col min="15636" max="15638" width="9" style="125"/>
    <col min="15639" max="15639" width="10.5" style="125" customWidth="1"/>
    <col min="15640" max="15875" width="9" style="125"/>
    <col min="15876" max="15876" width="10.5" style="125" customWidth="1"/>
    <col min="15877" max="15890" width="9" style="125"/>
    <col min="15891" max="15891" width="9.5" style="125" customWidth="1"/>
    <col min="15892" max="15894" width="9" style="125"/>
    <col min="15895" max="15895" width="10.5" style="125" customWidth="1"/>
    <col min="15896" max="16131" width="9" style="125"/>
    <col min="16132" max="16132" width="10.5" style="125" customWidth="1"/>
    <col min="16133" max="16146" width="9" style="125"/>
    <col min="16147" max="16147" width="9.5" style="125" customWidth="1"/>
    <col min="16148" max="16150" width="9" style="125"/>
    <col min="16151" max="16151" width="10.5" style="125" customWidth="1"/>
    <col min="16152" max="16384" width="9" style="125"/>
  </cols>
  <sheetData>
    <row r="1" spans="1:53" ht="45" x14ac:dyDescent="0.15">
      <c r="A1" s="116" t="s">
        <v>0</v>
      </c>
      <c r="B1" s="117" t="s">
        <v>254</v>
      </c>
      <c r="C1" s="117" t="s">
        <v>255</v>
      </c>
      <c r="D1" s="118" t="s">
        <v>3</v>
      </c>
      <c r="E1" s="119" t="s">
        <v>4</v>
      </c>
      <c r="F1" s="119" t="s">
        <v>5</v>
      </c>
      <c r="G1" s="119" t="s">
        <v>6</v>
      </c>
      <c r="H1" s="119" t="s">
        <v>7</v>
      </c>
      <c r="I1" s="119" t="s">
        <v>8</v>
      </c>
      <c r="J1" s="119" t="s">
        <v>9</v>
      </c>
      <c r="K1" s="119" t="s">
        <v>10</v>
      </c>
      <c r="L1" s="118" t="s">
        <v>256</v>
      </c>
      <c r="M1" s="118" t="s">
        <v>257</v>
      </c>
      <c r="N1" s="118" t="s">
        <v>13</v>
      </c>
      <c r="O1" s="118" t="s">
        <v>258</v>
      </c>
      <c r="P1" s="118" t="s">
        <v>259</v>
      </c>
      <c r="Q1" s="120" t="s">
        <v>260</v>
      </c>
      <c r="R1" s="118" t="s">
        <v>261</v>
      </c>
      <c r="S1" s="118" t="s">
        <v>262</v>
      </c>
      <c r="T1" s="120" t="s">
        <v>19</v>
      </c>
      <c r="U1" s="121" t="s">
        <v>108</v>
      </c>
      <c r="V1" s="122" t="s">
        <v>20</v>
      </c>
      <c r="W1" s="118" t="s">
        <v>263</v>
      </c>
      <c r="X1" s="119" t="s">
        <v>22</v>
      </c>
      <c r="Y1" s="119" t="s">
        <v>23</v>
      </c>
      <c r="Z1" s="119" t="s">
        <v>24</v>
      </c>
      <c r="AA1" s="123" t="s">
        <v>25</v>
      </c>
      <c r="AB1" s="124" t="s">
        <v>264</v>
      </c>
      <c r="AE1" s="126" t="s">
        <v>0</v>
      </c>
      <c r="AF1" s="127"/>
      <c r="AG1" s="126" t="s">
        <v>4</v>
      </c>
      <c r="AH1" s="126" t="s">
        <v>5</v>
      </c>
      <c r="AI1" s="127"/>
      <c r="AJ1" s="126" t="s">
        <v>6</v>
      </c>
      <c r="AK1" s="127"/>
      <c r="AL1" s="128" t="s">
        <v>7</v>
      </c>
      <c r="AM1" s="127"/>
      <c r="AN1" s="128" t="s">
        <v>8</v>
      </c>
      <c r="AO1" s="127"/>
      <c r="AP1" s="128" t="s">
        <v>27</v>
      </c>
      <c r="AQ1" s="127"/>
      <c r="AR1" s="128" t="s">
        <v>10</v>
      </c>
      <c r="AS1" s="127"/>
      <c r="AT1" s="129" t="s">
        <v>265</v>
      </c>
      <c r="AU1" s="127"/>
      <c r="AV1" s="128" t="s">
        <v>29</v>
      </c>
      <c r="AX1" s="130" t="s">
        <v>266</v>
      </c>
      <c r="AY1" s="131" t="s">
        <v>267</v>
      </c>
      <c r="AZ1" s="131" t="s">
        <v>268</v>
      </c>
      <c r="BA1" s="132" t="s">
        <v>269</v>
      </c>
    </row>
    <row r="2" spans="1:53" s="133" customFormat="1" x14ac:dyDescent="0.15">
      <c r="A2" s="133" t="s">
        <v>51</v>
      </c>
      <c r="B2" s="133" t="s">
        <v>181</v>
      </c>
      <c r="C2" s="133">
        <v>2018</v>
      </c>
      <c r="D2" s="134" t="s">
        <v>270</v>
      </c>
      <c r="E2" s="133" t="s">
        <v>271</v>
      </c>
      <c r="F2" s="133" t="s">
        <v>272</v>
      </c>
      <c r="G2" s="133" t="s">
        <v>42</v>
      </c>
      <c r="H2" s="133" t="s">
        <v>155</v>
      </c>
      <c r="I2" s="133" t="s">
        <v>153</v>
      </c>
      <c r="J2" s="133" t="s">
        <v>38</v>
      </c>
      <c r="K2" s="133" t="s">
        <v>154</v>
      </c>
      <c r="L2" s="133">
        <v>1</v>
      </c>
      <c r="N2" s="133">
        <v>1</v>
      </c>
      <c r="O2" s="133">
        <v>0.75</v>
      </c>
      <c r="P2" s="133">
        <v>0.9</v>
      </c>
      <c r="Q2" s="135">
        <f t="shared" ref="Q2:Q65" si="0">IF(OR(O2="",P2=""),"",AVERAGE(O2,P2))</f>
        <v>0.82499999999999996</v>
      </c>
      <c r="R2" s="133">
        <v>15.3</v>
      </c>
      <c r="S2" s="133">
        <v>126</v>
      </c>
      <c r="T2" s="136">
        <f t="shared" ref="T2:T65" si="1">IF(H2="","",IF(OR(H2="GREEN",H2="GK"),IF(S2&gt;=$AX$2,VLOOKUP(S2,$AX$2:$AY$12,2,1),""),IF(S2&gt;=$AZ$2,VLOOKUP(S2,$AZ$2:$BA$12,2,1),"")))</f>
        <v>27</v>
      </c>
      <c r="U2" s="133">
        <v>98</v>
      </c>
      <c r="V2" s="137">
        <f t="shared" ref="V2:V65" si="2">IF(OR(N2="",U2="",T2=""),"",U2/N2*T2)</f>
        <v>2646</v>
      </c>
      <c r="W2" s="133">
        <v>3</v>
      </c>
      <c r="X2" s="133" t="s">
        <v>39</v>
      </c>
      <c r="Y2" s="133" t="s">
        <v>69</v>
      </c>
      <c r="Z2" s="133" t="s">
        <v>84</v>
      </c>
      <c r="AA2" s="133" t="s">
        <v>90</v>
      </c>
      <c r="AB2" s="133" t="s">
        <v>183</v>
      </c>
      <c r="AE2" s="138" t="s">
        <v>35</v>
      </c>
      <c r="AG2" s="139" t="s">
        <v>161</v>
      </c>
      <c r="AH2" s="139" t="s">
        <v>273</v>
      </c>
      <c r="AJ2" s="139" t="s">
        <v>36</v>
      </c>
      <c r="AL2" s="139" t="s">
        <v>274</v>
      </c>
      <c r="AN2" s="139" t="s">
        <v>37</v>
      </c>
      <c r="AP2" s="139" t="s">
        <v>38</v>
      </c>
      <c r="AR2" s="139" t="s">
        <v>154</v>
      </c>
      <c r="AT2" s="139" t="s">
        <v>39</v>
      </c>
      <c r="AV2" s="139" t="s">
        <v>40</v>
      </c>
      <c r="AX2" s="140">
        <v>1</v>
      </c>
      <c r="AY2" s="141">
        <v>50</v>
      </c>
      <c r="AZ2" s="141">
        <v>1</v>
      </c>
      <c r="BA2" s="142">
        <v>50</v>
      </c>
    </row>
    <row r="3" spans="1:53" s="143" customFormat="1" x14ac:dyDescent="0.15">
      <c r="A3" s="133" t="s">
        <v>51</v>
      </c>
      <c r="B3" s="133" t="s">
        <v>181</v>
      </c>
      <c r="C3" s="133">
        <v>2018</v>
      </c>
      <c r="D3" s="134" t="s">
        <v>270</v>
      </c>
      <c r="E3" s="133" t="s">
        <v>271</v>
      </c>
      <c r="F3" s="133" t="s">
        <v>272</v>
      </c>
      <c r="G3" s="133" t="s">
        <v>42</v>
      </c>
      <c r="H3" s="133" t="s">
        <v>155</v>
      </c>
      <c r="I3" s="133" t="s">
        <v>153</v>
      </c>
      <c r="J3" s="133" t="s">
        <v>38</v>
      </c>
      <c r="K3" s="133" t="s">
        <v>154</v>
      </c>
      <c r="L3" s="133">
        <v>2</v>
      </c>
      <c r="M3" s="133"/>
      <c r="N3" s="133">
        <v>1</v>
      </c>
      <c r="O3" s="133">
        <v>0.8</v>
      </c>
      <c r="P3" s="133">
        <v>0.85</v>
      </c>
      <c r="Q3" s="135">
        <f t="shared" si="0"/>
        <v>0.82499999999999996</v>
      </c>
      <c r="R3" s="133">
        <v>15.8</v>
      </c>
      <c r="S3" s="133">
        <v>130</v>
      </c>
      <c r="T3" s="136">
        <f t="shared" si="1"/>
        <v>25</v>
      </c>
      <c r="U3" s="133">
        <v>98</v>
      </c>
      <c r="V3" s="137">
        <f t="shared" si="2"/>
        <v>2450</v>
      </c>
      <c r="W3" s="133">
        <v>3</v>
      </c>
      <c r="X3" s="133" t="s">
        <v>39</v>
      </c>
      <c r="Y3" s="133" t="s">
        <v>69</v>
      </c>
      <c r="Z3" s="133" t="s">
        <v>84</v>
      </c>
      <c r="AA3" s="133" t="s">
        <v>90</v>
      </c>
      <c r="AB3" s="133" t="s">
        <v>183</v>
      </c>
      <c r="AE3" s="144" t="s">
        <v>41</v>
      </c>
      <c r="AG3" s="139" t="s">
        <v>275</v>
      </c>
      <c r="AH3" s="139" t="s">
        <v>276</v>
      </c>
      <c r="AJ3" s="145" t="s">
        <v>42</v>
      </c>
      <c r="AL3" s="145" t="s">
        <v>277</v>
      </c>
      <c r="AN3" s="145" t="s">
        <v>43</v>
      </c>
      <c r="AP3" s="145" t="s">
        <v>44</v>
      </c>
      <c r="AR3" s="146" t="s">
        <v>45</v>
      </c>
      <c r="AT3" s="145" t="s">
        <v>46</v>
      </c>
      <c r="AV3" s="145" t="s">
        <v>47</v>
      </c>
      <c r="AX3" s="147">
        <v>72</v>
      </c>
      <c r="AY3" s="148">
        <v>46</v>
      </c>
      <c r="AZ3" s="148">
        <v>71</v>
      </c>
      <c r="BA3" s="149">
        <v>42</v>
      </c>
    </row>
    <row r="4" spans="1:53" s="143" customFormat="1" x14ac:dyDescent="0.15">
      <c r="A4" s="133" t="s">
        <v>51</v>
      </c>
      <c r="B4" s="133" t="s">
        <v>181</v>
      </c>
      <c r="C4" s="133">
        <v>2018</v>
      </c>
      <c r="D4" s="134" t="s">
        <v>270</v>
      </c>
      <c r="E4" s="133" t="s">
        <v>271</v>
      </c>
      <c r="F4" s="133" t="s">
        <v>272</v>
      </c>
      <c r="G4" s="133" t="s">
        <v>42</v>
      </c>
      <c r="H4" s="133" t="s">
        <v>155</v>
      </c>
      <c r="I4" s="133" t="s">
        <v>153</v>
      </c>
      <c r="J4" s="133" t="s">
        <v>38</v>
      </c>
      <c r="K4" s="133" t="s">
        <v>154</v>
      </c>
      <c r="L4" s="133">
        <v>3</v>
      </c>
      <c r="M4" s="133"/>
      <c r="N4" s="133">
        <v>1</v>
      </c>
      <c r="O4" s="133">
        <v>0.85</v>
      </c>
      <c r="P4" s="133">
        <v>0.75</v>
      </c>
      <c r="Q4" s="135">
        <f t="shared" si="0"/>
        <v>0.8</v>
      </c>
      <c r="R4" s="133">
        <v>16.2</v>
      </c>
      <c r="S4" s="133">
        <v>136</v>
      </c>
      <c r="T4" s="136">
        <f t="shared" si="1"/>
        <v>25</v>
      </c>
      <c r="U4" s="133">
        <v>98</v>
      </c>
      <c r="V4" s="137">
        <f t="shared" si="2"/>
        <v>2450</v>
      </c>
      <c r="W4" s="133">
        <v>3</v>
      </c>
      <c r="X4" s="133" t="s">
        <v>39</v>
      </c>
      <c r="Y4" s="133" t="s">
        <v>69</v>
      </c>
      <c r="Z4" s="133" t="s">
        <v>84</v>
      </c>
      <c r="AA4" s="133" t="s">
        <v>90</v>
      </c>
      <c r="AB4" s="133" t="s">
        <v>183</v>
      </c>
      <c r="AE4" s="144" t="s">
        <v>34</v>
      </c>
      <c r="AG4" s="139" t="s">
        <v>278</v>
      </c>
      <c r="AH4" s="139" t="s">
        <v>279</v>
      </c>
      <c r="AJ4" s="150" t="s">
        <v>48</v>
      </c>
      <c r="AL4" s="150" t="s">
        <v>280</v>
      </c>
      <c r="AN4" s="151" t="s">
        <v>281</v>
      </c>
      <c r="AP4" s="145" t="s">
        <v>282</v>
      </c>
      <c r="AR4" s="146" t="s">
        <v>283</v>
      </c>
      <c r="AT4" s="151"/>
      <c r="AV4" s="145" t="s">
        <v>50</v>
      </c>
      <c r="AX4" s="147">
        <v>75</v>
      </c>
      <c r="AY4" s="148">
        <v>42</v>
      </c>
      <c r="AZ4" s="148">
        <v>76</v>
      </c>
      <c r="BA4" s="149">
        <v>39</v>
      </c>
    </row>
    <row r="5" spans="1:53" s="143" customFormat="1" x14ac:dyDescent="0.15">
      <c r="A5" s="133" t="s">
        <v>51</v>
      </c>
      <c r="B5" s="133" t="s">
        <v>181</v>
      </c>
      <c r="C5" s="133">
        <v>2018</v>
      </c>
      <c r="D5" s="134" t="s">
        <v>270</v>
      </c>
      <c r="E5" s="133" t="s">
        <v>271</v>
      </c>
      <c r="F5" s="133" t="s">
        <v>272</v>
      </c>
      <c r="G5" s="133" t="s">
        <v>42</v>
      </c>
      <c r="H5" s="133" t="s">
        <v>277</v>
      </c>
      <c r="I5" s="133" t="s">
        <v>153</v>
      </c>
      <c r="J5" s="133" t="s">
        <v>58</v>
      </c>
      <c r="K5" s="133" t="s">
        <v>59</v>
      </c>
      <c r="L5" s="133">
        <v>1</v>
      </c>
      <c r="M5" s="133"/>
      <c r="N5" s="133">
        <v>1</v>
      </c>
      <c r="O5" s="133">
        <v>0.8</v>
      </c>
      <c r="P5" s="133">
        <v>0.7</v>
      </c>
      <c r="Q5" s="135">
        <f t="shared" si="0"/>
        <v>0.75</v>
      </c>
      <c r="R5" s="133">
        <v>14.2</v>
      </c>
      <c r="S5" s="133">
        <v>128</v>
      </c>
      <c r="T5" s="136">
        <f t="shared" si="1"/>
        <v>27</v>
      </c>
      <c r="U5" s="133">
        <v>158</v>
      </c>
      <c r="V5" s="137">
        <f t="shared" si="2"/>
        <v>4266</v>
      </c>
      <c r="W5" s="133">
        <v>3</v>
      </c>
      <c r="X5" s="133" t="s">
        <v>39</v>
      </c>
      <c r="Y5" s="133" t="s">
        <v>69</v>
      </c>
      <c r="Z5" s="133" t="s">
        <v>84</v>
      </c>
      <c r="AA5" s="133" t="s">
        <v>90</v>
      </c>
      <c r="AB5" s="133" t="s">
        <v>183</v>
      </c>
      <c r="AE5" s="144" t="s">
        <v>51</v>
      </c>
      <c r="AG5" s="139" t="s">
        <v>284</v>
      </c>
      <c r="AH5" s="139" t="s">
        <v>272</v>
      </c>
      <c r="AJ5" s="151"/>
      <c r="AL5" s="152" t="s">
        <v>155</v>
      </c>
      <c r="AN5" s="152" t="s">
        <v>153</v>
      </c>
      <c r="AP5" s="145" t="s">
        <v>285</v>
      </c>
      <c r="AR5" s="146" t="s">
        <v>54</v>
      </c>
      <c r="AV5" s="145" t="s">
        <v>55</v>
      </c>
      <c r="AX5" s="147">
        <v>84</v>
      </c>
      <c r="AY5" s="148">
        <v>39</v>
      </c>
      <c r="AZ5" s="148">
        <v>84</v>
      </c>
      <c r="BA5" s="149">
        <v>36</v>
      </c>
    </row>
    <row r="6" spans="1:53" s="143" customFormat="1" x14ac:dyDescent="0.15">
      <c r="A6" s="133" t="s">
        <v>51</v>
      </c>
      <c r="B6" s="133" t="s">
        <v>181</v>
      </c>
      <c r="C6" s="133">
        <v>2018</v>
      </c>
      <c r="D6" s="134" t="s">
        <v>270</v>
      </c>
      <c r="E6" s="133" t="s">
        <v>271</v>
      </c>
      <c r="F6" s="133" t="s">
        <v>272</v>
      </c>
      <c r="G6" s="133" t="s">
        <v>42</v>
      </c>
      <c r="H6" s="133" t="s">
        <v>277</v>
      </c>
      <c r="I6" s="133" t="s">
        <v>153</v>
      </c>
      <c r="J6" s="133" t="s">
        <v>58</v>
      </c>
      <c r="K6" s="133" t="s">
        <v>59</v>
      </c>
      <c r="L6" s="133">
        <v>2</v>
      </c>
      <c r="M6" s="133"/>
      <c r="N6" s="133">
        <v>1</v>
      </c>
      <c r="O6" s="133">
        <v>0.75</v>
      </c>
      <c r="P6" s="133">
        <v>0.8</v>
      </c>
      <c r="Q6" s="135">
        <f t="shared" si="0"/>
        <v>0.77500000000000002</v>
      </c>
      <c r="R6" s="133">
        <v>14.6</v>
      </c>
      <c r="S6" s="133">
        <v>132</v>
      </c>
      <c r="T6" s="136">
        <f t="shared" si="1"/>
        <v>25</v>
      </c>
      <c r="U6" s="133">
        <v>158</v>
      </c>
      <c r="V6" s="137">
        <f t="shared" si="2"/>
        <v>3950</v>
      </c>
      <c r="W6" s="133">
        <v>3</v>
      </c>
      <c r="X6" s="133" t="s">
        <v>39</v>
      </c>
      <c r="Y6" s="133" t="s">
        <v>69</v>
      </c>
      <c r="Z6" s="133" t="s">
        <v>84</v>
      </c>
      <c r="AA6" s="133" t="s">
        <v>90</v>
      </c>
      <c r="AB6" s="133" t="s">
        <v>183</v>
      </c>
      <c r="AE6" s="144" t="s">
        <v>56</v>
      </c>
      <c r="AG6" s="139" t="s">
        <v>286</v>
      </c>
      <c r="AH6" s="139" t="s">
        <v>287</v>
      </c>
      <c r="AL6" s="152" t="s">
        <v>288</v>
      </c>
      <c r="AN6" s="152" t="s">
        <v>232</v>
      </c>
      <c r="AP6" s="145" t="s">
        <v>53</v>
      </c>
      <c r="AR6" s="146" t="s">
        <v>59</v>
      </c>
      <c r="AV6" s="145" t="s">
        <v>60</v>
      </c>
      <c r="AX6" s="147">
        <v>97</v>
      </c>
      <c r="AY6" s="148">
        <v>36</v>
      </c>
      <c r="AZ6" s="148">
        <v>99</v>
      </c>
      <c r="BA6" s="149">
        <v>33</v>
      </c>
    </row>
    <row r="7" spans="1:53" s="143" customFormat="1" x14ac:dyDescent="0.15">
      <c r="A7" s="133" t="s">
        <v>51</v>
      </c>
      <c r="B7" s="133" t="s">
        <v>181</v>
      </c>
      <c r="C7" s="133">
        <v>2018</v>
      </c>
      <c r="D7" s="134" t="s">
        <v>270</v>
      </c>
      <c r="E7" s="133" t="s">
        <v>271</v>
      </c>
      <c r="F7" s="133" t="s">
        <v>272</v>
      </c>
      <c r="G7" s="133" t="s">
        <v>42</v>
      </c>
      <c r="H7" s="133" t="s">
        <v>277</v>
      </c>
      <c r="I7" s="133" t="s">
        <v>153</v>
      </c>
      <c r="J7" s="133" t="s">
        <v>58</v>
      </c>
      <c r="K7" s="133" t="s">
        <v>59</v>
      </c>
      <c r="L7" s="133">
        <v>3</v>
      </c>
      <c r="M7" s="133"/>
      <c r="N7" s="133">
        <v>1</v>
      </c>
      <c r="O7" s="133">
        <v>0.8</v>
      </c>
      <c r="P7" s="133">
        <v>0.65</v>
      </c>
      <c r="Q7" s="135">
        <f t="shared" si="0"/>
        <v>0.72500000000000009</v>
      </c>
      <c r="R7" s="133">
        <v>15.1</v>
      </c>
      <c r="S7" s="133">
        <v>132</v>
      </c>
      <c r="T7" s="136">
        <f t="shared" si="1"/>
        <v>25</v>
      </c>
      <c r="U7" s="133">
        <v>158</v>
      </c>
      <c r="V7" s="137">
        <f t="shared" si="2"/>
        <v>3950</v>
      </c>
      <c r="W7" s="133">
        <v>3</v>
      </c>
      <c r="X7" s="133" t="s">
        <v>39</v>
      </c>
      <c r="Y7" s="133" t="s">
        <v>69</v>
      </c>
      <c r="Z7" s="133" t="s">
        <v>84</v>
      </c>
      <c r="AA7" s="133" t="s">
        <v>90</v>
      </c>
      <c r="AB7" s="133" t="s">
        <v>183</v>
      </c>
      <c r="AE7" s="144" t="s">
        <v>61</v>
      </c>
      <c r="AG7" s="139" t="s">
        <v>289</v>
      </c>
      <c r="AH7" s="139" t="s">
        <v>273</v>
      </c>
      <c r="AL7" s="143" t="s">
        <v>290</v>
      </c>
      <c r="AP7" s="145" t="s">
        <v>58</v>
      </c>
      <c r="AR7" s="146" t="s">
        <v>291</v>
      </c>
      <c r="AV7" s="145" t="s">
        <v>64</v>
      </c>
      <c r="AX7" s="147">
        <v>109</v>
      </c>
      <c r="AY7" s="148">
        <v>33</v>
      </c>
      <c r="AZ7" s="148">
        <v>113</v>
      </c>
      <c r="BA7" s="149">
        <v>30</v>
      </c>
    </row>
    <row r="8" spans="1:53" s="143" customFormat="1" x14ac:dyDescent="0.15">
      <c r="A8" s="133" t="s">
        <v>51</v>
      </c>
      <c r="B8" s="133" t="s">
        <v>181</v>
      </c>
      <c r="C8" s="133">
        <v>2018</v>
      </c>
      <c r="D8" s="134" t="s">
        <v>270</v>
      </c>
      <c r="E8" s="133" t="s">
        <v>275</v>
      </c>
      <c r="F8" s="133" t="s">
        <v>276</v>
      </c>
      <c r="G8" s="133" t="s">
        <v>36</v>
      </c>
      <c r="H8" s="133" t="s">
        <v>155</v>
      </c>
      <c r="I8" s="133" t="s">
        <v>153</v>
      </c>
      <c r="J8" s="133" t="s">
        <v>38</v>
      </c>
      <c r="K8" s="133" t="s">
        <v>154</v>
      </c>
      <c r="L8" s="133">
        <v>1</v>
      </c>
      <c r="M8" s="133"/>
      <c r="N8" s="133">
        <v>1</v>
      </c>
      <c r="O8" s="133">
        <v>1</v>
      </c>
      <c r="P8" s="133">
        <v>1</v>
      </c>
      <c r="Q8" s="135">
        <f t="shared" si="0"/>
        <v>1</v>
      </c>
      <c r="R8" s="133">
        <v>13.6</v>
      </c>
      <c r="S8" s="133">
        <v>146</v>
      </c>
      <c r="T8" s="136">
        <f t="shared" si="1"/>
        <v>22</v>
      </c>
      <c r="U8" s="133">
        <v>100</v>
      </c>
      <c r="V8" s="137">
        <f t="shared" si="2"/>
        <v>2200</v>
      </c>
      <c r="W8" s="133">
        <v>3</v>
      </c>
      <c r="X8" s="133" t="s">
        <v>46</v>
      </c>
      <c r="Y8" s="133" t="s">
        <v>84</v>
      </c>
      <c r="Z8" s="133" t="s">
        <v>90</v>
      </c>
      <c r="AA8" s="133" t="s">
        <v>69</v>
      </c>
      <c r="AB8" s="133" t="s">
        <v>183</v>
      </c>
      <c r="AE8" s="144" t="s">
        <v>59</v>
      </c>
      <c r="AG8" s="139" t="s">
        <v>292</v>
      </c>
      <c r="AH8" s="139" t="s">
        <v>293</v>
      </c>
      <c r="AL8" s="143" t="s">
        <v>159</v>
      </c>
      <c r="AP8" s="145" t="s">
        <v>62</v>
      </c>
      <c r="AR8" s="146" t="s">
        <v>81</v>
      </c>
      <c r="AV8" s="145" t="s">
        <v>97</v>
      </c>
      <c r="AX8" s="147">
        <v>119</v>
      </c>
      <c r="AY8" s="148">
        <v>30</v>
      </c>
      <c r="AZ8" s="148">
        <v>121</v>
      </c>
      <c r="BA8" s="149">
        <v>27</v>
      </c>
    </row>
    <row r="9" spans="1:53" s="143" customFormat="1" x14ac:dyDescent="0.15">
      <c r="A9" s="133" t="s">
        <v>51</v>
      </c>
      <c r="B9" s="133" t="s">
        <v>181</v>
      </c>
      <c r="C9" s="133">
        <v>2018</v>
      </c>
      <c r="D9" s="134" t="s">
        <v>270</v>
      </c>
      <c r="E9" s="133" t="s">
        <v>275</v>
      </c>
      <c r="F9" s="133" t="s">
        <v>276</v>
      </c>
      <c r="G9" s="133" t="s">
        <v>36</v>
      </c>
      <c r="H9" s="133" t="s">
        <v>155</v>
      </c>
      <c r="I9" s="133" t="s">
        <v>153</v>
      </c>
      <c r="J9" s="133" t="s">
        <v>38</v>
      </c>
      <c r="K9" s="133" t="s">
        <v>154</v>
      </c>
      <c r="L9" s="133">
        <v>2</v>
      </c>
      <c r="M9" s="133"/>
      <c r="N9" s="133">
        <v>1</v>
      </c>
      <c r="O9" s="133">
        <v>0.95</v>
      </c>
      <c r="P9" s="133">
        <v>1</v>
      </c>
      <c r="Q9" s="135">
        <f t="shared" si="0"/>
        <v>0.97499999999999998</v>
      </c>
      <c r="R9" s="133">
        <v>14</v>
      </c>
      <c r="S9" s="133">
        <v>148</v>
      </c>
      <c r="T9" s="136">
        <f t="shared" si="1"/>
        <v>22</v>
      </c>
      <c r="U9" s="133">
        <v>100</v>
      </c>
      <c r="V9" s="137">
        <f t="shared" si="2"/>
        <v>2200</v>
      </c>
      <c r="W9" s="133">
        <v>3</v>
      </c>
      <c r="X9" s="133" t="s">
        <v>46</v>
      </c>
      <c r="Y9" s="133" t="s">
        <v>84</v>
      </c>
      <c r="Z9" s="133" t="s">
        <v>90</v>
      </c>
      <c r="AA9" s="133" t="s">
        <v>69</v>
      </c>
      <c r="AB9" s="133" t="s">
        <v>183</v>
      </c>
      <c r="AE9" s="144" t="s">
        <v>294</v>
      </c>
      <c r="AG9" s="139" t="s">
        <v>295</v>
      </c>
      <c r="AH9" s="139" t="s">
        <v>272</v>
      </c>
      <c r="AL9" s="152"/>
      <c r="AP9" s="145" t="s">
        <v>95</v>
      </c>
      <c r="AR9" s="146" t="s">
        <v>296</v>
      </c>
      <c r="AV9" s="145" t="s">
        <v>102</v>
      </c>
      <c r="AX9" s="147">
        <v>128</v>
      </c>
      <c r="AY9" s="148">
        <v>27</v>
      </c>
      <c r="AZ9" s="148">
        <v>129</v>
      </c>
      <c r="BA9" s="149">
        <v>25</v>
      </c>
    </row>
    <row r="10" spans="1:53" s="143" customFormat="1" x14ac:dyDescent="0.15">
      <c r="A10" s="133" t="s">
        <v>51</v>
      </c>
      <c r="B10" s="133" t="s">
        <v>181</v>
      </c>
      <c r="C10" s="133">
        <v>2018</v>
      </c>
      <c r="D10" s="134" t="s">
        <v>270</v>
      </c>
      <c r="E10" s="133" t="s">
        <v>275</v>
      </c>
      <c r="F10" s="133" t="s">
        <v>276</v>
      </c>
      <c r="G10" s="133" t="s">
        <v>36</v>
      </c>
      <c r="H10" s="133" t="s">
        <v>155</v>
      </c>
      <c r="I10" s="133" t="s">
        <v>153</v>
      </c>
      <c r="J10" s="133" t="s">
        <v>38</v>
      </c>
      <c r="K10" s="133" t="s">
        <v>154</v>
      </c>
      <c r="L10" s="133">
        <v>3</v>
      </c>
      <c r="M10" s="133"/>
      <c r="N10" s="133">
        <v>1</v>
      </c>
      <c r="O10" s="133">
        <v>1.05</v>
      </c>
      <c r="P10" s="133">
        <v>0.95</v>
      </c>
      <c r="Q10" s="135">
        <f t="shared" si="0"/>
        <v>1</v>
      </c>
      <c r="R10" s="133">
        <v>13.9</v>
      </c>
      <c r="S10" s="133">
        <v>146</v>
      </c>
      <c r="T10" s="136">
        <f t="shared" si="1"/>
        <v>22</v>
      </c>
      <c r="U10" s="133">
        <v>100</v>
      </c>
      <c r="V10" s="137">
        <f t="shared" si="2"/>
        <v>2200</v>
      </c>
      <c r="W10" s="133">
        <v>3</v>
      </c>
      <c r="X10" s="133" t="s">
        <v>46</v>
      </c>
      <c r="Y10" s="133" t="s">
        <v>84</v>
      </c>
      <c r="Z10" s="133" t="s">
        <v>90</v>
      </c>
      <c r="AA10" s="133" t="s">
        <v>69</v>
      </c>
      <c r="AB10" s="133" t="s">
        <v>183</v>
      </c>
      <c r="AE10" s="144" t="s">
        <v>297</v>
      </c>
      <c r="AG10" s="139" t="s">
        <v>271</v>
      </c>
      <c r="AH10" s="145" t="s">
        <v>272</v>
      </c>
      <c r="AP10" s="145" t="s">
        <v>100</v>
      </c>
      <c r="AR10" s="146" t="s">
        <v>298</v>
      </c>
      <c r="AV10" s="145" t="s">
        <v>106</v>
      </c>
      <c r="AX10" s="147">
        <v>138</v>
      </c>
      <c r="AY10" s="148">
        <v>25</v>
      </c>
      <c r="AZ10" s="148">
        <v>138</v>
      </c>
      <c r="BA10" s="149">
        <v>22</v>
      </c>
    </row>
    <row r="11" spans="1:53" s="143" customFormat="1" x14ac:dyDescent="0.15">
      <c r="A11" s="133" t="s">
        <v>51</v>
      </c>
      <c r="B11" s="133" t="s">
        <v>181</v>
      </c>
      <c r="C11" s="133">
        <v>2018</v>
      </c>
      <c r="D11" s="134" t="s">
        <v>270</v>
      </c>
      <c r="E11" s="133" t="s">
        <v>139</v>
      </c>
      <c r="F11" s="133" t="s">
        <v>299</v>
      </c>
      <c r="G11" s="133" t="s">
        <v>42</v>
      </c>
      <c r="H11" s="133" t="s">
        <v>155</v>
      </c>
      <c r="I11" s="133" t="s">
        <v>153</v>
      </c>
      <c r="J11" s="133" t="s">
        <v>38</v>
      </c>
      <c r="K11" s="133" t="s">
        <v>154</v>
      </c>
      <c r="L11" s="133">
        <v>1</v>
      </c>
      <c r="M11" s="133"/>
      <c r="N11" s="133">
        <v>1</v>
      </c>
      <c r="O11" s="133">
        <v>0.65</v>
      </c>
      <c r="P11" s="133">
        <v>0.65</v>
      </c>
      <c r="Q11" s="135">
        <f t="shared" si="0"/>
        <v>0.65</v>
      </c>
      <c r="R11" s="133">
        <v>15.3</v>
      </c>
      <c r="S11" s="133">
        <v>116</v>
      </c>
      <c r="T11" s="136">
        <f t="shared" si="1"/>
        <v>30</v>
      </c>
      <c r="U11" s="133">
        <v>100</v>
      </c>
      <c r="V11" s="137">
        <f t="shared" si="2"/>
        <v>3000</v>
      </c>
      <c r="W11" s="133">
        <v>6</v>
      </c>
      <c r="X11" s="133" t="s">
        <v>46</v>
      </c>
      <c r="Y11" s="133" t="s">
        <v>84</v>
      </c>
      <c r="Z11" s="133" t="s">
        <v>69</v>
      </c>
      <c r="AA11" s="133" t="s">
        <v>50</v>
      </c>
      <c r="AB11" s="133" t="s">
        <v>183</v>
      </c>
      <c r="AE11" s="144" t="s">
        <v>68</v>
      </c>
      <c r="AG11" s="139" t="s">
        <v>139</v>
      </c>
      <c r="AH11" s="145" t="s">
        <v>299</v>
      </c>
      <c r="AP11" s="145" t="s">
        <v>104</v>
      </c>
      <c r="AR11" s="146" t="s">
        <v>300</v>
      </c>
      <c r="AV11" s="145" t="s">
        <v>69</v>
      </c>
      <c r="AX11" s="147">
        <v>151</v>
      </c>
      <c r="AY11" s="148">
        <v>22</v>
      </c>
      <c r="AZ11" s="148">
        <v>152</v>
      </c>
      <c r="BA11" s="149">
        <v>18</v>
      </c>
    </row>
    <row r="12" spans="1:53" s="143" customFormat="1" x14ac:dyDescent="0.15">
      <c r="A12" s="133" t="s">
        <v>51</v>
      </c>
      <c r="B12" s="133" t="s">
        <v>181</v>
      </c>
      <c r="C12" s="133">
        <v>2018</v>
      </c>
      <c r="D12" s="134" t="s">
        <v>270</v>
      </c>
      <c r="E12" s="133" t="s">
        <v>139</v>
      </c>
      <c r="F12" s="133" t="s">
        <v>299</v>
      </c>
      <c r="G12" s="133" t="s">
        <v>42</v>
      </c>
      <c r="H12" s="133" t="s">
        <v>155</v>
      </c>
      <c r="I12" s="133" t="s">
        <v>153</v>
      </c>
      <c r="J12" s="133" t="s">
        <v>38</v>
      </c>
      <c r="K12" s="133" t="s">
        <v>154</v>
      </c>
      <c r="L12" s="133">
        <v>2</v>
      </c>
      <c r="M12" s="133"/>
      <c r="N12" s="133">
        <v>1</v>
      </c>
      <c r="O12" s="133">
        <v>0.65</v>
      </c>
      <c r="P12" s="133">
        <v>0.6</v>
      </c>
      <c r="Q12" s="135">
        <f t="shared" si="0"/>
        <v>0.625</v>
      </c>
      <c r="R12" s="133">
        <v>14.8</v>
      </c>
      <c r="S12" s="133">
        <v>108</v>
      </c>
      <c r="T12" s="136">
        <f t="shared" si="1"/>
        <v>33</v>
      </c>
      <c r="U12" s="133">
        <v>100</v>
      </c>
      <c r="V12" s="137">
        <f t="shared" si="2"/>
        <v>3300</v>
      </c>
      <c r="W12" s="133">
        <v>6</v>
      </c>
      <c r="X12" s="133" t="s">
        <v>46</v>
      </c>
      <c r="Y12" s="133" t="s">
        <v>84</v>
      </c>
      <c r="Z12" s="133" t="s">
        <v>69</v>
      </c>
      <c r="AA12" s="133" t="s">
        <v>50</v>
      </c>
      <c r="AB12" s="133" t="s">
        <v>183</v>
      </c>
      <c r="AE12" s="144" t="s">
        <v>301</v>
      </c>
      <c r="AG12" s="145"/>
      <c r="AH12" s="145"/>
      <c r="AP12" s="145" t="s">
        <v>67</v>
      </c>
      <c r="AR12" s="146" t="s">
        <v>302</v>
      </c>
      <c r="AV12" s="145" t="s">
        <v>72</v>
      </c>
      <c r="AX12" s="153">
        <v>180</v>
      </c>
      <c r="AY12" s="154">
        <v>18</v>
      </c>
      <c r="AZ12" s="154">
        <v>181</v>
      </c>
      <c r="BA12" s="155">
        <v>16</v>
      </c>
    </row>
    <row r="13" spans="1:53" s="143" customFormat="1" x14ac:dyDescent="0.15">
      <c r="A13" s="133" t="s">
        <v>51</v>
      </c>
      <c r="B13" s="133" t="s">
        <v>181</v>
      </c>
      <c r="C13" s="133">
        <v>2018</v>
      </c>
      <c r="D13" s="134" t="s">
        <v>270</v>
      </c>
      <c r="E13" s="133" t="s">
        <v>139</v>
      </c>
      <c r="F13" s="133" t="s">
        <v>299</v>
      </c>
      <c r="G13" s="133" t="s">
        <v>42</v>
      </c>
      <c r="H13" s="133" t="s">
        <v>155</v>
      </c>
      <c r="I13" s="133" t="s">
        <v>153</v>
      </c>
      <c r="J13" s="133" t="s">
        <v>38</v>
      </c>
      <c r="K13" s="133" t="s">
        <v>154</v>
      </c>
      <c r="L13" s="133">
        <v>3</v>
      </c>
      <c r="M13" s="133"/>
      <c r="N13" s="133">
        <v>1</v>
      </c>
      <c r="O13" s="133">
        <v>0.6</v>
      </c>
      <c r="P13" s="133">
        <v>0.7</v>
      </c>
      <c r="Q13" s="135">
        <f t="shared" si="0"/>
        <v>0.64999999999999991</v>
      </c>
      <c r="R13" s="133">
        <v>14.4</v>
      </c>
      <c r="S13" s="133">
        <v>108</v>
      </c>
      <c r="T13" s="136">
        <f t="shared" si="1"/>
        <v>33</v>
      </c>
      <c r="U13" s="133">
        <v>100</v>
      </c>
      <c r="V13" s="137">
        <f t="shared" si="2"/>
        <v>3300</v>
      </c>
      <c r="W13" s="133">
        <v>6</v>
      </c>
      <c r="X13" s="133" t="s">
        <v>46</v>
      </c>
      <c r="Y13" s="133" t="s">
        <v>84</v>
      </c>
      <c r="Z13" s="133" t="s">
        <v>69</v>
      </c>
      <c r="AA13" s="133" t="s">
        <v>50</v>
      </c>
      <c r="AB13" s="133" t="s">
        <v>183</v>
      </c>
      <c r="AE13" s="144" t="s">
        <v>303</v>
      </c>
      <c r="AG13" s="145"/>
      <c r="AH13" s="145"/>
      <c r="AP13" s="145" t="s">
        <v>71</v>
      </c>
      <c r="AR13" s="146" t="s">
        <v>297</v>
      </c>
      <c r="AV13" s="145" t="s">
        <v>75</v>
      </c>
    </row>
    <row r="14" spans="1:53" s="143" customFormat="1" x14ac:dyDescent="0.15">
      <c r="A14" s="133" t="s">
        <v>51</v>
      </c>
      <c r="B14" s="133" t="s">
        <v>181</v>
      </c>
      <c r="C14" s="133">
        <v>2018</v>
      </c>
      <c r="D14" s="134" t="s">
        <v>270</v>
      </c>
      <c r="E14" s="133" t="s">
        <v>139</v>
      </c>
      <c r="F14" s="133" t="s">
        <v>299</v>
      </c>
      <c r="G14" s="133" t="s">
        <v>42</v>
      </c>
      <c r="H14" s="133" t="s">
        <v>159</v>
      </c>
      <c r="I14" s="133" t="s">
        <v>153</v>
      </c>
      <c r="J14" s="133" t="s">
        <v>38</v>
      </c>
      <c r="K14" s="133" t="s">
        <v>304</v>
      </c>
      <c r="L14" s="133">
        <v>1</v>
      </c>
      <c r="M14" s="133"/>
      <c r="N14" s="133">
        <v>1</v>
      </c>
      <c r="O14" s="133">
        <v>0.7</v>
      </c>
      <c r="P14" s="133">
        <v>0.75</v>
      </c>
      <c r="Q14" s="135">
        <f t="shared" si="0"/>
        <v>0.72499999999999998</v>
      </c>
      <c r="R14" s="133">
        <v>17.100000000000001</v>
      </c>
      <c r="S14" s="133">
        <v>118</v>
      </c>
      <c r="T14" s="136">
        <f t="shared" si="1"/>
        <v>30</v>
      </c>
      <c r="U14" s="133">
        <v>158</v>
      </c>
      <c r="V14" s="137">
        <f t="shared" si="2"/>
        <v>4740</v>
      </c>
      <c r="W14" s="133">
        <v>6</v>
      </c>
      <c r="X14" s="133" t="s">
        <v>46</v>
      </c>
      <c r="Y14" s="133" t="s">
        <v>84</v>
      </c>
      <c r="Z14" s="133" t="s">
        <v>69</v>
      </c>
      <c r="AA14" s="133" t="s">
        <v>50</v>
      </c>
      <c r="AB14" s="133" t="s">
        <v>183</v>
      </c>
      <c r="AE14" s="144" t="s">
        <v>96</v>
      </c>
      <c r="AG14" s="145"/>
      <c r="AH14" s="145"/>
      <c r="AP14" s="145" t="s">
        <v>74</v>
      </c>
      <c r="AR14" s="146" t="s">
        <v>305</v>
      </c>
      <c r="AV14" s="145" t="s">
        <v>78</v>
      </c>
    </row>
    <row r="15" spans="1:53" s="143" customFormat="1" x14ac:dyDescent="0.15">
      <c r="A15" s="133" t="s">
        <v>51</v>
      </c>
      <c r="B15" s="133" t="s">
        <v>181</v>
      </c>
      <c r="C15" s="133">
        <v>2018</v>
      </c>
      <c r="D15" s="134" t="s">
        <v>270</v>
      </c>
      <c r="E15" s="133" t="s">
        <v>139</v>
      </c>
      <c r="F15" s="133" t="s">
        <v>299</v>
      </c>
      <c r="G15" s="133" t="s">
        <v>42</v>
      </c>
      <c r="H15" s="133" t="s">
        <v>159</v>
      </c>
      <c r="I15" s="133" t="s">
        <v>153</v>
      </c>
      <c r="J15" s="133" t="s">
        <v>38</v>
      </c>
      <c r="K15" s="133" t="s">
        <v>304</v>
      </c>
      <c r="L15" s="133">
        <v>2</v>
      </c>
      <c r="M15" s="133"/>
      <c r="N15" s="133">
        <v>1</v>
      </c>
      <c r="O15" s="133">
        <v>0.7</v>
      </c>
      <c r="P15" s="133">
        <v>0.7</v>
      </c>
      <c r="Q15" s="135">
        <f t="shared" si="0"/>
        <v>0.7</v>
      </c>
      <c r="R15" s="133">
        <v>17.5</v>
      </c>
      <c r="S15" s="133">
        <v>122</v>
      </c>
      <c r="T15" s="136">
        <f t="shared" si="1"/>
        <v>27</v>
      </c>
      <c r="U15" s="133">
        <v>158</v>
      </c>
      <c r="V15" s="137">
        <f t="shared" si="2"/>
        <v>4266</v>
      </c>
      <c r="W15" s="133">
        <v>6</v>
      </c>
      <c r="X15" s="133" t="s">
        <v>46</v>
      </c>
      <c r="Y15" s="133" t="s">
        <v>84</v>
      </c>
      <c r="Z15" s="133" t="s">
        <v>69</v>
      </c>
      <c r="AA15" s="133" t="s">
        <v>50</v>
      </c>
      <c r="AB15" s="133" t="s">
        <v>183</v>
      </c>
      <c r="AE15" s="144" t="s">
        <v>306</v>
      </c>
      <c r="AG15" s="145"/>
      <c r="AH15" s="145"/>
      <c r="AP15" s="145" t="s">
        <v>77</v>
      </c>
      <c r="AR15" s="146" t="s">
        <v>80</v>
      </c>
      <c r="AV15" s="145" t="s">
        <v>107</v>
      </c>
    </row>
    <row r="16" spans="1:53" s="143" customFormat="1" x14ac:dyDescent="0.15">
      <c r="A16" s="133" t="s">
        <v>51</v>
      </c>
      <c r="B16" s="133" t="s">
        <v>181</v>
      </c>
      <c r="C16" s="133">
        <v>2018</v>
      </c>
      <c r="D16" s="134" t="s">
        <v>270</v>
      </c>
      <c r="E16" s="133" t="s">
        <v>139</v>
      </c>
      <c r="F16" s="133" t="s">
        <v>299</v>
      </c>
      <c r="G16" s="133" t="s">
        <v>42</v>
      </c>
      <c r="H16" s="133" t="s">
        <v>159</v>
      </c>
      <c r="I16" s="133" t="s">
        <v>153</v>
      </c>
      <c r="J16" s="133" t="s">
        <v>38</v>
      </c>
      <c r="K16" s="133" t="s">
        <v>304</v>
      </c>
      <c r="L16" s="133">
        <v>3</v>
      </c>
      <c r="M16" s="133"/>
      <c r="N16" s="133">
        <v>1</v>
      </c>
      <c r="O16" s="133">
        <v>0.75</v>
      </c>
      <c r="P16" s="133">
        <v>0.8</v>
      </c>
      <c r="Q16" s="135">
        <f t="shared" si="0"/>
        <v>0.77500000000000002</v>
      </c>
      <c r="R16" s="133">
        <v>16.7</v>
      </c>
      <c r="S16" s="133">
        <v>118</v>
      </c>
      <c r="T16" s="136">
        <f t="shared" si="1"/>
        <v>30</v>
      </c>
      <c r="U16" s="133">
        <v>158</v>
      </c>
      <c r="V16" s="137">
        <f t="shared" si="2"/>
        <v>4740</v>
      </c>
      <c r="W16" s="133">
        <v>6</v>
      </c>
      <c r="X16" s="133" t="s">
        <v>46</v>
      </c>
      <c r="Y16" s="133" t="s">
        <v>84</v>
      </c>
      <c r="Z16" s="133" t="s">
        <v>69</v>
      </c>
      <c r="AA16" s="133" t="s">
        <v>50</v>
      </c>
      <c r="AB16" s="133" t="s">
        <v>183</v>
      </c>
      <c r="AE16" s="144" t="s">
        <v>307</v>
      </c>
      <c r="AG16" s="151"/>
      <c r="AH16" s="151"/>
      <c r="AP16" s="145" t="s">
        <v>80</v>
      </c>
      <c r="AR16" s="146" t="s">
        <v>63</v>
      </c>
      <c r="AV16" s="145" t="s">
        <v>84</v>
      </c>
    </row>
    <row r="17" spans="1:48" s="143" customFormat="1" x14ac:dyDescent="0.15">
      <c r="A17" s="133" t="s">
        <v>51</v>
      </c>
      <c r="B17" s="133" t="s">
        <v>181</v>
      </c>
      <c r="C17" s="133">
        <v>2018</v>
      </c>
      <c r="D17" s="134" t="s">
        <v>270</v>
      </c>
      <c r="E17" s="133" t="s">
        <v>139</v>
      </c>
      <c r="F17" s="133" t="s">
        <v>299</v>
      </c>
      <c r="G17" s="133" t="s">
        <v>42</v>
      </c>
      <c r="H17" s="133" t="s">
        <v>277</v>
      </c>
      <c r="I17" s="133" t="s">
        <v>153</v>
      </c>
      <c r="J17" s="133" t="s">
        <v>80</v>
      </c>
      <c r="K17" s="133" t="s">
        <v>63</v>
      </c>
      <c r="L17" s="133">
        <v>1</v>
      </c>
      <c r="M17" s="133"/>
      <c r="N17" s="133">
        <v>6</v>
      </c>
      <c r="O17" s="133">
        <v>0.65</v>
      </c>
      <c r="P17" s="133">
        <v>0.55000000000000004</v>
      </c>
      <c r="Q17" s="135">
        <f t="shared" si="0"/>
        <v>0.60000000000000009</v>
      </c>
      <c r="R17" s="133">
        <v>17.100000000000001</v>
      </c>
      <c r="S17" s="133">
        <v>61</v>
      </c>
      <c r="T17" s="136">
        <f t="shared" si="1"/>
        <v>50</v>
      </c>
      <c r="U17" s="133">
        <v>398</v>
      </c>
      <c r="V17" s="137">
        <f t="shared" si="2"/>
        <v>3316.6666666666665</v>
      </c>
      <c r="W17" s="133">
        <v>6</v>
      </c>
      <c r="X17" s="133" t="s">
        <v>46</v>
      </c>
      <c r="Y17" s="133" t="s">
        <v>84</v>
      </c>
      <c r="Z17" s="133" t="s">
        <v>69</v>
      </c>
      <c r="AA17" s="133" t="s">
        <v>50</v>
      </c>
      <c r="AB17" s="133" t="s">
        <v>183</v>
      </c>
      <c r="AE17" s="144" t="s">
        <v>308</v>
      </c>
      <c r="AP17" s="156" t="s">
        <v>309</v>
      </c>
      <c r="AR17" s="146" t="s">
        <v>96</v>
      </c>
      <c r="AV17" s="145" t="s">
        <v>86</v>
      </c>
    </row>
    <row r="18" spans="1:48" s="143" customFormat="1" x14ac:dyDescent="0.15">
      <c r="A18" s="133" t="s">
        <v>51</v>
      </c>
      <c r="B18" s="133" t="s">
        <v>181</v>
      </c>
      <c r="C18" s="133">
        <v>2018</v>
      </c>
      <c r="D18" s="134" t="s">
        <v>270</v>
      </c>
      <c r="E18" s="133" t="s">
        <v>139</v>
      </c>
      <c r="F18" s="133" t="s">
        <v>299</v>
      </c>
      <c r="G18" s="133" t="s">
        <v>42</v>
      </c>
      <c r="H18" s="133" t="s">
        <v>277</v>
      </c>
      <c r="I18" s="133" t="s">
        <v>153</v>
      </c>
      <c r="J18" s="133" t="s">
        <v>80</v>
      </c>
      <c r="K18" s="133" t="s">
        <v>63</v>
      </c>
      <c r="L18" s="133">
        <v>2</v>
      </c>
      <c r="M18" s="133"/>
      <c r="N18" s="133">
        <v>6</v>
      </c>
      <c r="O18" s="133">
        <v>0.6</v>
      </c>
      <c r="P18" s="133">
        <v>0.6</v>
      </c>
      <c r="Q18" s="135">
        <f t="shared" si="0"/>
        <v>0.6</v>
      </c>
      <c r="R18" s="133">
        <v>16.8</v>
      </c>
      <c r="S18" s="133">
        <v>65</v>
      </c>
      <c r="T18" s="136">
        <f t="shared" si="1"/>
        <v>50</v>
      </c>
      <c r="U18" s="133">
        <v>398</v>
      </c>
      <c r="V18" s="137">
        <f t="shared" si="2"/>
        <v>3316.6666666666665</v>
      </c>
      <c r="W18" s="133">
        <v>6</v>
      </c>
      <c r="X18" s="133" t="s">
        <v>46</v>
      </c>
      <c r="Y18" s="133" t="s">
        <v>84</v>
      </c>
      <c r="Z18" s="133" t="s">
        <v>69</v>
      </c>
      <c r="AA18" s="133" t="s">
        <v>50</v>
      </c>
      <c r="AB18" s="133" t="s">
        <v>183</v>
      </c>
      <c r="AE18" s="144" t="s">
        <v>300</v>
      </c>
      <c r="AP18" s="156" t="s">
        <v>310</v>
      </c>
      <c r="AR18" s="146" t="s">
        <v>101</v>
      </c>
      <c r="AV18" s="145" t="s">
        <v>88</v>
      </c>
    </row>
    <row r="19" spans="1:48" s="143" customFormat="1" x14ac:dyDescent="0.15">
      <c r="A19" s="133" t="s">
        <v>51</v>
      </c>
      <c r="B19" s="133" t="s">
        <v>181</v>
      </c>
      <c r="C19" s="133">
        <v>2018</v>
      </c>
      <c r="D19" s="134" t="s">
        <v>270</v>
      </c>
      <c r="E19" s="133" t="s">
        <v>139</v>
      </c>
      <c r="F19" s="133" t="s">
        <v>299</v>
      </c>
      <c r="G19" s="133" t="s">
        <v>42</v>
      </c>
      <c r="H19" s="133" t="s">
        <v>277</v>
      </c>
      <c r="I19" s="133" t="s">
        <v>153</v>
      </c>
      <c r="J19" s="133" t="s">
        <v>80</v>
      </c>
      <c r="K19" s="133" t="s">
        <v>63</v>
      </c>
      <c r="L19" s="133">
        <v>3</v>
      </c>
      <c r="M19" s="133"/>
      <c r="N19" s="133">
        <v>6</v>
      </c>
      <c r="O19" s="133">
        <v>0.55000000000000004</v>
      </c>
      <c r="P19" s="133">
        <v>0.5</v>
      </c>
      <c r="Q19" s="135">
        <f t="shared" si="0"/>
        <v>0.52500000000000002</v>
      </c>
      <c r="R19" s="133">
        <v>16.8</v>
      </c>
      <c r="S19" s="133">
        <v>56</v>
      </c>
      <c r="T19" s="136">
        <f t="shared" si="1"/>
        <v>50</v>
      </c>
      <c r="U19" s="133">
        <v>398</v>
      </c>
      <c r="V19" s="137">
        <f t="shared" si="2"/>
        <v>3316.6666666666665</v>
      </c>
      <c r="W19" s="133">
        <v>6</v>
      </c>
      <c r="X19" s="133" t="s">
        <v>46</v>
      </c>
      <c r="Y19" s="133" t="s">
        <v>84</v>
      </c>
      <c r="Z19" s="133" t="s">
        <v>69</v>
      </c>
      <c r="AA19" s="133" t="s">
        <v>50</v>
      </c>
      <c r="AB19" s="133" t="s">
        <v>183</v>
      </c>
      <c r="AE19" s="157" t="s">
        <v>296</v>
      </c>
      <c r="AP19" s="156" t="s">
        <v>311</v>
      </c>
      <c r="AR19" s="146" t="s">
        <v>312</v>
      </c>
      <c r="AV19" s="145" t="s">
        <v>90</v>
      </c>
    </row>
    <row r="20" spans="1:48" s="143" customFormat="1" x14ac:dyDescent="0.15">
      <c r="A20" s="133" t="s">
        <v>51</v>
      </c>
      <c r="B20" s="133" t="s">
        <v>181</v>
      </c>
      <c r="C20" s="133">
        <v>2018</v>
      </c>
      <c r="D20" s="134" t="s">
        <v>270</v>
      </c>
      <c r="E20" s="133" t="s">
        <v>286</v>
      </c>
      <c r="F20" s="133" t="s">
        <v>287</v>
      </c>
      <c r="G20" s="133" t="s">
        <v>36</v>
      </c>
      <c r="H20" s="133" t="s">
        <v>155</v>
      </c>
      <c r="I20" s="133" t="s">
        <v>153</v>
      </c>
      <c r="J20" s="133" t="s">
        <v>38</v>
      </c>
      <c r="K20" s="133" t="s">
        <v>154</v>
      </c>
      <c r="L20" s="133">
        <v>1</v>
      </c>
      <c r="M20" s="133"/>
      <c r="N20" s="133">
        <v>1</v>
      </c>
      <c r="O20" s="133">
        <v>0.55000000000000004</v>
      </c>
      <c r="P20" s="133">
        <v>0.6</v>
      </c>
      <c r="Q20" s="135">
        <f t="shared" si="0"/>
        <v>0.57499999999999996</v>
      </c>
      <c r="R20" s="133">
        <v>15.7</v>
      </c>
      <c r="S20" s="133">
        <v>144</v>
      </c>
      <c r="T20" s="136">
        <f t="shared" si="1"/>
        <v>22</v>
      </c>
      <c r="U20" s="133">
        <v>89</v>
      </c>
      <c r="V20" s="137">
        <f t="shared" si="2"/>
        <v>1958</v>
      </c>
      <c r="W20" s="133">
        <v>3</v>
      </c>
      <c r="X20" s="133" t="s">
        <v>39</v>
      </c>
      <c r="Y20" s="133" t="s">
        <v>84</v>
      </c>
      <c r="Z20" s="133" t="s">
        <v>69</v>
      </c>
      <c r="AA20" s="133" t="s">
        <v>50</v>
      </c>
      <c r="AB20" s="133" t="s">
        <v>183</v>
      </c>
      <c r="AE20" s="157"/>
      <c r="AP20" s="156" t="s">
        <v>313</v>
      </c>
      <c r="AR20" s="146" t="s">
        <v>105</v>
      </c>
      <c r="AV20" s="150" t="s">
        <v>314</v>
      </c>
    </row>
    <row r="21" spans="1:48" s="143" customFormat="1" x14ac:dyDescent="0.15">
      <c r="A21" s="133" t="s">
        <v>51</v>
      </c>
      <c r="B21" s="133" t="s">
        <v>181</v>
      </c>
      <c r="C21" s="133">
        <v>2018</v>
      </c>
      <c r="D21" s="134" t="s">
        <v>270</v>
      </c>
      <c r="E21" s="133" t="s">
        <v>286</v>
      </c>
      <c r="F21" s="133" t="s">
        <v>287</v>
      </c>
      <c r="G21" s="133" t="s">
        <v>36</v>
      </c>
      <c r="H21" s="133" t="s">
        <v>155</v>
      </c>
      <c r="I21" s="133" t="s">
        <v>153</v>
      </c>
      <c r="J21" s="133" t="s">
        <v>38</v>
      </c>
      <c r="K21" s="133" t="s">
        <v>154</v>
      </c>
      <c r="L21" s="133">
        <v>2</v>
      </c>
      <c r="M21" s="133"/>
      <c r="N21" s="133">
        <v>1</v>
      </c>
      <c r="O21" s="133">
        <v>0.6</v>
      </c>
      <c r="P21" s="133">
        <v>0.6</v>
      </c>
      <c r="Q21" s="135">
        <f t="shared" si="0"/>
        <v>0.6</v>
      </c>
      <c r="R21" s="133">
        <v>16.100000000000001</v>
      </c>
      <c r="S21" s="133">
        <v>148</v>
      </c>
      <c r="T21" s="136">
        <f t="shared" si="1"/>
        <v>22</v>
      </c>
      <c r="U21" s="133">
        <v>89</v>
      </c>
      <c r="V21" s="137">
        <f t="shared" si="2"/>
        <v>1958</v>
      </c>
      <c r="W21" s="133">
        <v>3</v>
      </c>
      <c r="X21" s="133" t="s">
        <v>39</v>
      </c>
      <c r="Y21" s="133" t="s">
        <v>84</v>
      </c>
      <c r="Z21" s="133" t="s">
        <v>69</v>
      </c>
      <c r="AA21" s="133" t="s">
        <v>50</v>
      </c>
      <c r="AB21" s="133" t="s">
        <v>183</v>
      </c>
      <c r="AE21" s="151"/>
      <c r="AP21" s="156" t="s">
        <v>315</v>
      </c>
      <c r="AR21" s="146" t="s">
        <v>68</v>
      </c>
      <c r="AV21" s="150" t="s">
        <v>160</v>
      </c>
    </row>
    <row r="22" spans="1:48" s="143" customFormat="1" x14ac:dyDescent="0.15">
      <c r="A22" s="133" t="s">
        <v>51</v>
      </c>
      <c r="B22" s="133" t="s">
        <v>181</v>
      </c>
      <c r="C22" s="133">
        <v>2018</v>
      </c>
      <c r="D22" s="134" t="s">
        <v>270</v>
      </c>
      <c r="E22" s="133" t="s">
        <v>286</v>
      </c>
      <c r="F22" s="133" t="s">
        <v>287</v>
      </c>
      <c r="G22" s="133" t="s">
        <v>36</v>
      </c>
      <c r="H22" s="133" t="s">
        <v>155</v>
      </c>
      <c r="I22" s="133" t="s">
        <v>153</v>
      </c>
      <c r="J22" s="133" t="s">
        <v>38</v>
      </c>
      <c r="K22" s="133" t="s">
        <v>154</v>
      </c>
      <c r="L22" s="133">
        <v>3</v>
      </c>
      <c r="M22" s="133"/>
      <c r="N22" s="133">
        <v>1</v>
      </c>
      <c r="O22" s="133">
        <v>0.25</v>
      </c>
      <c r="P22" s="133">
        <v>0.5</v>
      </c>
      <c r="Q22" s="135">
        <f t="shared" si="0"/>
        <v>0.375</v>
      </c>
      <c r="R22" s="133">
        <v>15.4</v>
      </c>
      <c r="S22" s="133">
        <v>140</v>
      </c>
      <c r="T22" s="136">
        <f t="shared" si="1"/>
        <v>22</v>
      </c>
      <c r="U22" s="133">
        <v>89</v>
      </c>
      <c r="V22" s="137">
        <f t="shared" si="2"/>
        <v>1958</v>
      </c>
      <c r="W22" s="133">
        <v>3</v>
      </c>
      <c r="X22" s="133" t="s">
        <v>39</v>
      </c>
      <c r="Y22" s="133" t="s">
        <v>84</v>
      </c>
      <c r="Z22" s="133" t="s">
        <v>69</v>
      </c>
      <c r="AA22" s="133" t="s">
        <v>50</v>
      </c>
      <c r="AB22" s="133" t="s">
        <v>183</v>
      </c>
      <c r="AP22" s="156" t="s">
        <v>316</v>
      </c>
      <c r="AR22" s="146" t="s">
        <v>83</v>
      </c>
      <c r="AV22" s="150"/>
    </row>
    <row r="23" spans="1:48" s="143" customFormat="1" x14ac:dyDescent="0.15">
      <c r="A23" s="133" t="s">
        <v>51</v>
      </c>
      <c r="B23" s="133" t="s">
        <v>181</v>
      </c>
      <c r="C23" s="133">
        <v>2018</v>
      </c>
      <c r="D23" s="134" t="s">
        <v>270</v>
      </c>
      <c r="E23" s="133" t="s">
        <v>161</v>
      </c>
      <c r="F23" s="133" t="s">
        <v>273</v>
      </c>
      <c r="G23" s="133" t="s">
        <v>42</v>
      </c>
      <c r="H23" s="133" t="s">
        <v>155</v>
      </c>
      <c r="I23" s="133" t="s">
        <v>153</v>
      </c>
      <c r="J23" s="133" t="s">
        <v>38</v>
      </c>
      <c r="K23" s="133" t="s">
        <v>154</v>
      </c>
      <c r="L23" s="133">
        <v>1</v>
      </c>
      <c r="M23" s="133"/>
      <c r="N23" s="133">
        <v>4</v>
      </c>
      <c r="O23" s="133">
        <v>0.6</v>
      </c>
      <c r="P23" s="133">
        <v>0.75</v>
      </c>
      <c r="Q23" s="135">
        <f t="shared" si="0"/>
        <v>0.67500000000000004</v>
      </c>
      <c r="R23" s="133">
        <v>15.2</v>
      </c>
      <c r="S23" s="133">
        <v>114</v>
      </c>
      <c r="T23" s="136">
        <f t="shared" si="1"/>
        <v>30</v>
      </c>
      <c r="U23" s="133">
        <v>398</v>
      </c>
      <c r="V23" s="137">
        <f t="shared" si="2"/>
        <v>2985</v>
      </c>
      <c r="W23" s="133">
        <v>2</v>
      </c>
      <c r="X23" s="133" t="s">
        <v>46</v>
      </c>
      <c r="Y23" s="133" t="s">
        <v>84</v>
      </c>
      <c r="Z23" s="133" t="s">
        <v>90</v>
      </c>
      <c r="AA23" s="133" t="s">
        <v>69</v>
      </c>
      <c r="AB23" s="133" t="s">
        <v>183</v>
      </c>
      <c r="AP23" s="156" t="s">
        <v>317</v>
      </c>
      <c r="AR23" s="146" t="s">
        <v>61</v>
      </c>
    </row>
    <row r="24" spans="1:48" s="143" customFormat="1" x14ac:dyDescent="0.15">
      <c r="A24" s="133" t="s">
        <v>51</v>
      </c>
      <c r="B24" s="133" t="s">
        <v>181</v>
      </c>
      <c r="C24" s="133">
        <v>2018</v>
      </c>
      <c r="D24" s="134" t="s">
        <v>270</v>
      </c>
      <c r="E24" s="133" t="s">
        <v>161</v>
      </c>
      <c r="F24" s="133" t="s">
        <v>273</v>
      </c>
      <c r="G24" s="133" t="s">
        <v>42</v>
      </c>
      <c r="H24" s="133" t="s">
        <v>155</v>
      </c>
      <c r="I24" s="133" t="s">
        <v>153</v>
      </c>
      <c r="J24" s="133" t="s">
        <v>38</v>
      </c>
      <c r="K24" s="133" t="s">
        <v>154</v>
      </c>
      <c r="L24" s="133">
        <v>2</v>
      </c>
      <c r="M24" s="133"/>
      <c r="N24" s="133">
        <v>4</v>
      </c>
      <c r="O24" s="133">
        <v>0.7</v>
      </c>
      <c r="P24" s="133">
        <v>0.7</v>
      </c>
      <c r="Q24" s="135">
        <f t="shared" si="0"/>
        <v>0.7</v>
      </c>
      <c r="R24" s="133">
        <v>15.6</v>
      </c>
      <c r="S24" s="133">
        <v>114</v>
      </c>
      <c r="T24" s="136">
        <f t="shared" si="1"/>
        <v>30</v>
      </c>
      <c r="U24" s="133">
        <v>398</v>
      </c>
      <c r="V24" s="137">
        <f t="shared" si="2"/>
        <v>2985</v>
      </c>
      <c r="W24" s="133">
        <v>2</v>
      </c>
      <c r="X24" s="133" t="s">
        <v>46</v>
      </c>
      <c r="Y24" s="133" t="s">
        <v>84</v>
      </c>
      <c r="Z24" s="133" t="s">
        <v>90</v>
      </c>
      <c r="AA24" s="133" t="s">
        <v>69</v>
      </c>
      <c r="AB24" s="133" t="s">
        <v>183</v>
      </c>
      <c r="AP24" s="156" t="s">
        <v>318</v>
      </c>
      <c r="AR24" s="146" t="s">
        <v>91</v>
      </c>
    </row>
    <row r="25" spans="1:48" s="143" customFormat="1" x14ac:dyDescent="0.15">
      <c r="A25" s="133" t="s">
        <v>51</v>
      </c>
      <c r="B25" s="133" t="s">
        <v>181</v>
      </c>
      <c r="C25" s="133">
        <v>2018</v>
      </c>
      <c r="D25" s="134" t="s">
        <v>270</v>
      </c>
      <c r="E25" s="133" t="s">
        <v>161</v>
      </c>
      <c r="F25" s="133" t="s">
        <v>273</v>
      </c>
      <c r="G25" s="133" t="s">
        <v>42</v>
      </c>
      <c r="H25" s="133" t="s">
        <v>155</v>
      </c>
      <c r="I25" s="133" t="s">
        <v>153</v>
      </c>
      <c r="J25" s="133" t="s">
        <v>38</v>
      </c>
      <c r="K25" s="133" t="s">
        <v>154</v>
      </c>
      <c r="L25" s="133">
        <v>3</v>
      </c>
      <c r="M25" s="133"/>
      <c r="N25" s="133">
        <v>4</v>
      </c>
      <c r="O25" s="133">
        <v>0.8</v>
      </c>
      <c r="P25" s="133">
        <v>0.75</v>
      </c>
      <c r="Q25" s="135">
        <f t="shared" si="0"/>
        <v>0.77500000000000002</v>
      </c>
      <c r="R25" s="133">
        <v>15.3</v>
      </c>
      <c r="S25" s="133">
        <v>116</v>
      </c>
      <c r="T25" s="136">
        <f t="shared" si="1"/>
        <v>30</v>
      </c>
      <c r="U25" s="133">
        <v>398</v>
      </c>
      <c r="V25" s="137">
        <f t="shared" si="2"/>
        <v>2985</v>
      </c>
      <c r="W25" s="133">
        <v>2</v>
      </c>
      <c r="X25" s="133" t="s">
        <v>46</v>
      </c>
      <c r="Y25" s="133" t="s">
        <v>84</v>
      </c>
      <c r="Z25" s="133" t="s">
        <v>90</v>
      </c>
      <c r="AA25" s="133" t="s">
        <v>69</v>
      </c>
      <c r="AB25" s="133" t="s">
        <v>183</v>
      </c>
      <c r="AP25" s="156" t="s">
        <v>319</v>
      </c>
      <c r="AR25" s="156" t="s">
        <v>51</v>
      </c>
    </row>
    <row r="26" spans="1:48" s="143" customFormat="1" x14ac:dyDescent="0.15">
      <c r="A26" s="133" t="s">
        <v>51</v>
      </c>
      <c r="B26" s="133" t="s">
        <v>181</v>
      </c>
      <c r="C26" s="133">
        <v>2018</v>
      </c>
      <c r="D26" s="134" t="s">
        <v>270</v>
      </c>
      <c r="E26" s="133" t="s">
        <v>289</v>
      </c>
      <c r="F26" s="133" t="s">
        <v>273</v>
      </c>
      <c r="G26" s="133" t="s">
        <v>42</v>
      </c>
      <c r="H26" s="133" t="s">
        <v>155</v>
      </c>
      <c r="I26" s="133" t="s">
        <v>153</v>
      </c>
      <c r="J26" s="133" t="s">
        <v>38</v>
      </c>
      <c r="K26" s="133" t="s">
        <v>154</v>
      </c>
      <c r="L26" s="133">
        <v>1</v>
      </c>
      <c r="M26" s="133"/>
      <c r="N26" s="133">
        <v>1</v>
      </c>
      <c r="O26" s="133">
        <v>1.05</v>
      </c>
      <c r="P26" s="133">
        <v>1</v>
      </c>
      <c r="Q26" s="135">
        <f t="shared" si="0"/>
        <v>1.0249999999999999</v>
      </c>
      <c r="R26" s="133">
        <v>14.5</v>
      </c>
      <c r="S26" s="133">
        <v>128</v>
      </c>
      <c r="T26" s="136">
        <f t="shared" si="1"/>
        <v>27</v>
      </c>
      <c r="U26" s="133">
        <v>98</v>
      </c>
      <c r="V26" s="137">
        <f t="shared" si="2"/>
        <v>2646</v>
      </c>
      <c r="W26" s="133">
        <v>9</v>
      </c>
      <c r="X26" s="133" t="s">
        <v>46</v>
      </c>
      <c r="Y26" s="133" t="s">
        <v>84</v>
      </c>
      <c r="Z26" s="133" t="s">
        <v>90</v>
      </c>
      <c r="AA26" s="133" t="s">
        <v>69</v>
      </c>
      <c r="AB26" s="133" t="s">
        <v>183</v>
      </c>
      <c r="AP26" s="156" t="s">
        <v>320</v>
      </c>
      <c r="AR26" s="143" t="s">
        <v>304</v>
      </c>
    </row>
    <row r="27" spans="1:48" s="143" customFormat="1" x14ac:dyDescent="0.15">
      <c r="A27" s="133" t="s">
        <v>51</v>
      </c>
      <c r="B27" s="133" t="s">
        <v>181</v>
      </c>
      <c r="C27" s="133">
        <v>2018</v>
      </c>
      <c r="D27" s="134" t="s">
        <v>270</v>
      </c>
      <c r="E27" s="133" t="s">
        <v>289</v>
      </c>
      <c r="F27" s="133" t="s">
        <v>273</v>
      </c>
      <c r="G27" s="133" t="s">
        <v>42</v>
      </c>
      <c r="H27" s="133" t="s">
        <v>155</v>
      </c>
      <c r="I27" s="133" t="s">
        <v>153</v>
      </c>
      <c r="J27" s="133" t="s">
        <v>38</v>
      </c>
      <c r="K27" s="133" t="s">
        <v>154</v>
      </c>
      <c r="L27" s="133">
        <v>2</v>
      </c>
      <c r="M27" s="133"/>
      <c r="N27" s="133">
        <v>1</v>
      </c>
      <c r="O27" s="133">
        <v>1</v>
      </c>
      <c r="P27" s="133">
        <v>1.1499999999999999</v>
      </c>
      <c r="Q27" s="135">
        <f t="shared" si="0"/>
        <v>1.075</v>
      </c>
      <c r="R27" s="133">
        <v>13.8</v>
      </c>
      <c r="S27" s="133">
        <v>122</v>
      </c>
      <c r="T27" s="136">
        <f t="shared" si="1"/>
        <v>27</v>
      </c>
      <c r="U27" s="133">
        <v>98</v>
      </c>
      <c r="V27" s="137">
        <f t="shared" si="2"/>
        <v>2646</v>
      </c>
      <c r="W27" s="133">
        <v>9</v>
      </c>
      <c r="X27" s="133" t="s">
        <v>46</v>
      </c>
      <c r="Y27" s="133" t="s">
        <v>84</v>
      </c>
      <c r="Z27" s="133" t="s">
        <v>90</v>
      </c>
      <c r="AA27" s="133" t="s">
        <v>69</v>
      </c>
      <c r="AB27" s="133" t="s">
        <v>183</v>
      </c>
      <c r="AP27" s="156" t="s">
        <v>321</v>
      </c>
    </row>
    <row r="28" spans="1:48" s="143" customFormat="1" x14ac:dyDescent="0.15">
      <c r="A28" s="133" t="s">
        <v>51</v>
      </c>
      <c r="B28" s="133" t="s">
        <v>181</v>
      </c>
      <c r="C28" s="133">
        <v>2018</v>
      </c>
      <c r="D28" s="134" t="s">
        <v>270</v>
      </c>
      <c r="E28" s="133" t="s">
        <v>289</v>
      </c>
      <c r="F28" s="133" t="s">
        <v>273</v>
      </c>
      <c r="G28" s="133" t="s">
        <v>42</v>
      </c>
      <c r="H28" s="133" t="s">
        <v>155</v>
      </c>
      <c r="I28" s="133" t="s">
        <v>153</v>
      </c>
      <c r="J28" s="133" t="s">
        <v>38</v>
      </c>
      <c r="K28" s="133" t="s">
        <v>154</v>
      </c>
      <c r="L28" s="133">
        <v>3</v>
      </c>
      <c r="M28" s="133"/>
      <c r="N28" s="133">
        <v>1</v>
      </c>
      <c r="O28" s="133">
        <v>1.05</v>
      </c>
      <c r="P28" s="133">
        <v>0.95</v>
      </c>
      <c r="Q28" s="135">
        <f t="shared" si="0"/>
        <v>1</v>
      </c>
      <c r="R28" s="133">
        <v>14.8</v>
      </c>
      <c r="S28" s="133">
        <v>128</v>
      </c>
      <c r="T28" s="136">
        <f t="shared" si="1"/>
        <v>27</v>
      </c>
      <c r="U28" s="133">
        <v>98</v>
      </c>
      <c r="V28" s="137">
        <f t="shared" si="2"/>
        <v>2646</v>
      </c>
      <c r="W28" s="133">
        <v>9</v>
      </c>
      <c r="X28" s="133" t="s">
        <v>46</v>
      </c>
      <c r="Y28" s="133" t="s">
        <v>84</v>
      </c>
      <c r="Z28" s="133" t="s">
        <v>90</v>
      </c>
      <c r="AA28" s="133" t="s">
        <v>69</v>
      </c>
      <c r="AB28" s="133" t="s">
        <v>183</v>
      </c>
    </row>
    <row r="29" spans="1:48" s="143" customFormat="1" x14ac:dyDescent="0.15">
      <c r="A29" s="133" t="s">
        <v>51</v>
      </c>
      <c r="B29" s="133" t="s">
        <v>181</v>
      </c>
      <c r="C29" s="133">
        <v>2018</v>
      </c>
      <c r="D29" s="134" t="s">
        <v>270</v>
      </c>
      <c r="E29" s="133" t="s">
        <v>289</v>
      </c>
      <c r="F29" s="133" t="s">
        <v>273</v>
      </c>
      <c r="G29" s="133" t="s">
        <v>42</v>
      </c>
      <c r="H29" s="133" t="s">
        <v>159</v>
      </c>
      <c r="I29" s="133" t="s">
        <v>153</v>
      </c>
      <c r="J29" s="133" t="s">
        <v>38</v>
      </c>
      <c r="K29" s="133" t="s">
        <v>304</v>
      </c>
      <c r="L29" s="133">
        <v>1</v>
      </c>
      <c r="M29" s="133"/>
      <c r="N29" s="133">
        <v>4</v>
      </c>
      <c r="O29" s="133">
        <v>0.7</v>
      </c>
      <c r="P29" s="133">
        <v>0.7</v>
      </c>
      <c r="Q29" s="135">
        <f t="shared" si="0"/>
        <v>0.7</v>
      </c>
      <c r="R29" s="133">
        <v>16.600000000000001</v>
      </c>
      <c r="S29" s="133">
        <v>82</v>
      </c>
      <c r="T29" s="136">
        <f t="shared" si="1"/>
        <v>39</v>
      </c>
      <c r="U29" s="133">
        <v>498</v>
      </c>
      <c r="V29" s="137">
        <f t="shared" si="2"/>
        <v>4855.5</v>
      </c>
      <c r="W29" s="133">
        <v>9</v>
      </c>
      <c r="X29" s="133" t="s">
        <v>46</v>
      </c>
      <c r="Y29" s="133" t="s">
        <v>84</v>
      </c>
      <c r="Z29" s="133" t="s">
        <v>90</v>
      </c>
      <c r="AA29" s="133" t="s">
        <v>69</v>
      </c>
      <c r="AB29" s="133" t="s">
        <v>183</v>
      </c>
    </row>
    <row r="30" spans="1:48" s="143" customFormat="1" x14ac:dyDescent="0.15">
      <c r="A30" s="133" t="s">
        <v>51</v>
      </c>
      <c r="B30" s="133" t="s">
        <v>181</v>
      </c>
      <c r="C30" s="133">
        <v>2018</v>
      </c>
      <c r="D30" s="134" t="s">
        <v>270</v>
      </c>
      <c r="E30" s="133" t="s">
        <v>289</v>
      </c>
      <c r="F30" s="133" t="s">
        <v>273</v>
      </c>
      <c r="G30" s="133" t="s">
        <v>42</v>
      </c>
      <c r="H30" s="133" t="s">
        <v>159</v>
      </c>
      <c r="I30" s="133" t="s">
        <v>153</v>
      </c>
      <c r="J30" s="133" t="s">
        <v>38</v>
      </c>
      <c r="K30" s="133" t="s">
        <v>304</v>
      </c>
      <c r="L30" s="133">
        <v>2</v>
      </c>
      <c r="M30" s="133"/>
      <c r="N30" s="133">
        <v>4</v>
      </c>
      <c r="O30" s="133">
        <v>0.65</v>
      </c>
      <c r="P30" s="133">
        <v>0.75</v>
      </c>
      <c r="Q30" s="135">
        <f t="shared" si="0"/>
        <v>0.7</v>
      </c>
      <c r="R30" s="133">
        <v>16.8</v>
      </c>
      <c r="S30" s="133">
        <v>90</v>
      </c>
      <c r="T30" s="136">
        <f t="shared" si="1"/>
        <v>36</v>
      </c>
      <c r="U30" s="133">
        <v>498</v>
      </c>
      <c r="V30" s="137">
        <f t="shared" si="2"/>
        <v>4482</v>
      </c>
      <c r="W30" s="133">
        <v>9</v>
      </c>
      <c r="X30" s="133" t="s">
        <v>46</v>
      </c>
      <c r="Y30" s="133" t="s">
        <v>84</v>
      </c>
      <c r="Z30" s="133" t="s">
        <v>90</v>
      </c>
      <c r="AA30" s="133" t="s">
        <v>69</v>
      </c>
      <c r="AB30" s="133" t="s">
        <v>183</v>
      </c>
    </row>
    <row r="31" spans="1:48" s="143" customFormat="1" x14ac:dyDescent="0.15">
      <c r="A31" s="133" t="s">
        <v>51</v>
      </c>
      <c r="B31" s="133" t="s">
        <v>181</v>
      </c>
      <c r="C31" s="133">
        <v>2018</v>
      </c>
      <c r="D31" s="134" t="s">
        <v>270</v>
      </c>
      <c r="E31" s="133" t="s">
        <v>289</v>
      </c>
      <c r="F31" s="133" t="s">
        <v>273</v>
      </c>
      <c r="G31" s="133" t="s">
        <v>42</v>
      </c>
      <c r="H31" s="133" t="s">
        <v>159</v>
      </c>
      <c r="I31" s="133" t="s">
        <v>153</v>
      </c>
      <c r="J31" s="133" t="s">
        <v>38</v>
      </c>
      <c r="K31" s="133" t="s">
        <v>304</v>
      </c>
      <c r="L31" s="133">
        <v>3</v>
      </c>
      <c r="M31" s="133"/>
      <c r="N31" s="133">
        <v>4</v>
      </c>
      <c r="O31" s="133">
        <v>0.65</v>
      </c>
      <c r="P31" s="133">
        <v>0.7</v>
      </c>
      <c r="Q31" s="135">
        <f t="shared" si="0"/>
        <v>0.67500000000000004</v>
      </c>
      <c r="R31" s="133">
        <v>16.2</v>
      </c>
      <c r="S31" s="133">
        <v>76</v>
      </c>
      <c r="T31" s="136">
        <f t="shared" si="1"/>
        <v>39</v>
      </c>
      <c r="U31" s="133">
        <v>498</v>
      </c>
      <c r="V31" s="137">
        <f t="shared" si="2"/>
        <v>4855.5</v>
      </c>
      <c r="W31" s="133">
        <v>9</v>
      </c>
      <c r="X31" s="133" t="s">
        <v>46</v>
      </c>
      <c r="Y31" s="133" t="s">
        <v>84</v>
      </c>
      <c r="Z31" s="133" t="s">
        <v>90</v>
      </c>
      <c r="AA31" s="133" t="s">
        <v>69</v>
      </c>
      <c r="AB31" s="133" t="s">
        <v>183</v>
      </c>
    </row>
    <row r="32" spans="1:48" s="143" customFormat="1" x14ac:dyDescent="0.15">
      <c r="A32" s="133" t="s">
        <v>51</v>
      </c>
      <c r="B32" s="133" t="s">
        <v>181</v>
      </c>
      <c r="C32" s="133">
        <v>2018</v>
      </c>
      <c r="D32" s="134" t="s">
        <v>270</v>
      </c>
      <c r="E32" s="133" t="s">
        <v>278</v>
      </c>
      <c r="F32" s="133" t="s">
        <v>279</v>
      </c>
      <c r="G32" s="133" t="s">
        <v>42</v>
      </c>
      <c r="H32" s="133" t="s">
        <v>155</v>
      </c>
      <c r="I32" s="133" t="s">
        <v>153</v>
      </c>
      <c r="J32" s="133" t="s">
        <v>38</v>
      </c>
      <c r="K32" s="133" t="s">
        <v>154</v>
      </c>
      <c r="L32" s="133">
        <v>1</v>
      </c>
      <c r="M32" s="133"/>
      <c r="N32" s="133">
        <v>1</v>
      </c>
      <c r="O32" s="133">
        <v>0.8</v>
      </c>
      <c r="P32" s="133">
        <v>0.75</v>
      </c>
      <c r="Q32" s="135">
        <f t="shared" si="0"/>
        <v>0.77500000000000002</v>
      </c>
      <c r="R32" s="133">
        <v>14.8</v>
      </c>
      <c r="S32" s="133">
        <v>142</v>
      </c>
      <c r="T32" s="136">
        <f t="shared" si="1"/>
        <v>22</v>
      </c>
      <c r="U32" s="133">
        <v>138</v>
      </c>
      <c r="V32" s="137">
        <f t="shared" si="2"/>
        <v>3036</v>
      </c>
      <c r="W32" s="133">
        <v>3</v>
      </c>
      <c r="X32" s="133" t="s">
        <v>39</v>
      </c>
      <c r="Y32" s="133" t="s">
        <v>90</v>
      </c>
      <c r="Z32" s="133" t="s">
        <v>84</v>
      </c>
      <c r="AA32" s="133" t="s">
        <v>69</v>
      </c>
      <c r="AB32" s="133" t="s">
        <v>183</v>
      </c>
    </row>
    <row r="33" spans="1:28" s="143" customFormat="1" x14ac:dyDescent="0.15">
      <c r="A33" s="133" t="s">
        <v>51</v>
      </c>
      <c r="B33" s="133" t="s">
        <v>181</v>
      </c>
      <c r="C33" s="133">
        <v>2018</v>
      </c>
      <c r="D33" s="134" t="s">
        <v>270</v>
      </c>
      <c r="E33" s="133" t="s">
        <v>278</v>
      </c>
      <c r="F33" s="133" t="s">
        <v>279</v>
      </c>
      <c r="G33" s="133" t="s">
        <v>42</v>
      </c>
      <c r="H33" s="133" t="s">
        <v>155</v>
      </c>
      <c r="I33" s="133" t="s">
        <v>153</v>
      </c>
      <c r="J33" s="133" t="s">
        <v>38</v>
      </c>
      <c r="K33" s="133" t="s">
        <v>154</v>
      </c>
      <c r="L33" s="133">
        <v>2</v>
      </c>
      <c r="M33" s="133"/>
      <c r="N33" s="133">
        <v>1</v>
      </c>
      <c r="O33" s="133">
        <v>0.75</v>
      </c>
      <c r="P33" s="133">
        <v>0.85</v>
      </c>
      <c r="Q33" s="135">
        <f t="shared" si="0"/>
        <v>0.8</v>
      </c>
      <c r="R33" s="133">
        <v>15.5</v>
      </c>
      <c r="S33" s="133">
        <v>150</v>
      </c>
      <c r="T33" s="136">
        <f t="shared" si="1"/>
        <v>22</v>
      </c>
      <c r="U33" s="133">
        <v>138</v>
      </c>
      <c r="V33" s="137">
        <f t="shared" si="2"/>
        <v>3036</v>
      </c>
      <c r="W33" s="133">
        <v>3</v>
      </c>
      <c r="X33" s="133" t="s">
        <v>39</v>
      </c>
      <c r="Y33" s="133" t="s">
        <v>90</v>
      </c>
      <c r="Z33" s="133" t="s">
        <v>84</v>
      </c>
      <c r="AA33" s="133" t="s">
        <v>69</v>
      </c>
      <c r="AB33" s="133" t="s">
        <v>183</v>
      </c>
    </row>
    <row r="34" spans="1:28" s="143" customFormat="1" x14ac:dyDescent="0.15">
      <c r="A34" s="133" t="s">
        <v>51</v>
      </c>
      <c r="B34" s="133" t="s">
        <v>181</v>
      </c>
      <c r="C34" s="133">
        <v>2018</v>
      </c>
      <c r="D34" s="134" t="s">
        <v>270</v>
      </c>
      <c r="E34" s="133" t="s">
        <v>278</v>
      </c>
      <c r="F34" s="133" t="s">
        <v>279</v>
      </c>
      <c r="G34" s="133" t="s">
        <v>42</v>
      </c>
      <c r="H34" s="133" t="s">
        <v>155</v>
      </c>
      <c r="I34" s="133" t="s">
        <v>153</v>
      </c>
      <c r="J34" s="133" t="s">
        <v>38</v>
      </c>
      <c r="K34" s="133" t="s">
        <v>154</v>
      </c>
      <c r="L34" s="133">
        <v>3</v>
      </c>
      <c r="M34" s="133"/>
      <c r="N34" s="133">
        <v>1</v>
      </c>
      <c r="O34" s="133">
        <v>0.7</v>
      </c>
      <c r="P34" s="133">
        <v>0.8</v>
      </c>
      <c r="Q34" s="135">
        <f t="shared" si="0"/>
        <v>0.75</v>
      </c>
      <c r="R34" s="133">
        <v>15.7</v>
      </c>
      <c r="S34" s="133">
        <v>148</v>
      </c>
      <c r="T34" s="136">
        <f t="shared" si="1"/>
        <v>22</v>
      </c>
      <c r="U34" s="133">
        <v>138</v>
      </c>
      <c r="V34" s="137">
        <f t="shared" si="2"/>
        <v>3036</v>
      </c>
      <c r="W34" s="133">
        <v>3</v>
      </c>
      <c r="X34" s="133" t="s">
        <v>39</v>
      </c>
      <c r="Y34" s="133" t="s">
        <v>90</v>
      </c>
      <c r="Z34" s="133" t="s">
        <v>84</v>
      </c>
      <c r="AA34" s="133" t="s">
        <v>69</v>
      </c>
      <c r="AB34" s="133" t="s">
        <v>183</v>
      </c>
    </row>
    <row r="35" spans="1:28" s="143" customFormat="1" x14ac:dyDescent="0.15">
      <c r="A35" s="133" t="s">
        <v>51</v>
      </c>
      <c r="B35" s="133" t="s">
        <v>181</v>
      </c>
      <c r="C35" s="133">
        <v>2018</v>
      </c>
      <c r="D35" s="134" t="s">
        <v>270</v>
      </c>
      <c r="E35" s="133" t="s">
        <v>278</v>
      </c>
      <c r="F35" s="133" t="s">
        <v>279</v>
      </c>
      <c r="G35" s="133" t="s">
        <v>42</v>
      </c>
      <c r="H35" s="133" t="s">
        <v>277</v>
      </c>
      <c r="I35" s="133" t="s">
        <v>153</v>
      </c>
      <c r="J35" s="133" t="s">
        <v>80</v>
      </c>
      <c r="K35" s="133" t="s">
        <v>63</v>
      </c>
      <c r="L35" s="133">
        <v>1</v>
      </c>
      <c r="M35" s="133"/>
      <c r="N35" s="133">
        <v>4</v>
      </c>
      <c r="O35" s="133">
        <v>0.7</v>
      </c>
      <c r="P35" s="133">
        <v>0.65</v>
      </c>
      <c r="Q35" s="135">
        <f t="shared" si="0"/>
        <v>0.67500000000000004</v>
      </c>
      <c r="R35" s="133">
        <v>17.2</v>
      </c>
      <c r="S35" s="133">
        <v>81</v>
      </c>
      <c r="T35" s="136">
        <f t="shared" si="1"/>
        <v>39</v>
      </c>
      <c r="U35" s="133">
        <v>398</v>
      </c>
      <c r="V35" s="137">
        <f t="shared" si="2"/>
        <v>3880.5</v>
      </c>
      <c r="W35" s="133">
        <v>3</v>
      </c>
      <c r="X35" s="133" t="s">
        <v>39</v>
      </c>
      <c r="Y35" s="133" t="s">
        <v>90</v>
      </c>
      <c r="Z35" s="133" t="s">
        <v>84</v>
      </c>
      <c r="AA35" s="133" t="s">
        <v>69</v>
      </c>
      <c r="AB35" s="133" t="s">
        <v>183</v>
      </c>
    </row>
    <row r="36" spans="1:28" s="143" customFormat="1" x14ac:dyDescent="0.15">
      <c r="A36" s="133" t="s">
        <v>51</v>
      </c>
      <c r="B36" s="133" t="s">
        <v>181</v>
      </c>
      <c r="C36" s="133">
        <v>2018</v>
      </c>
      <c r="D36" s="134" t="s">
        <v>270</v>
      </c>
      <c r="E36" s="133" t="s">
        <v>278</v>
      </c>
      <c r="F36" s="133" t="s">
        <v>279</v>
      </c>
      <c r="G36" s="133" t="s">
        <v>42</v>
      </c>
      <c r="H36" s="133" t="s">
        <v>277</v>
      </c>
      <c r="I36" s="133" t="s">
        <v>153</v>
      </c>
      <c r="J36" s="133" t="s">
        <v>80</v>
      </c>
      <c r="K36" s="133" t="s">
        <v>63</v>
      </c>
      <c r="L36" s="133">
        <v>2</v>
      </c>
      <c r="M36" s="133"/>
      <c r="N36" s="133">
        <v>4</v>
      </c>
      <c r="O36" s="133">
        <v>0.6</v>
      </c>
      <c r="P36" s="133">
        <v>0.65</v>
      </c>
      <c r="Q36" s="135">
        <f t="shared" si="0"/>
        <v>0.625</v>
      </c>
      <c r="R36" s="133">
        <v>17</v>
      </c>
      <c r="S36" s="133">
        <v>76</v>
      </c>
      <c r="T36" s="136">
        <f t="shared" si="1"/>
        <v>39</v>
      </c>
      <c r="U36" s="133">
        <v>398</v>
      </c>
      <c r="V36" s="137">
        <f t="shared" si="2"/>
        <v>3880.5</v>
      </c>
      <c r="W36" s="133">
        <v>3</v>
      </c>
      <c r="X36" s="133" t="s">
        <v>39</v>
      </c>
      <c r="Y36" s="133" t="s">
        <v>90</v>
      </c>
      <c r="Z36" s="133" t="s">
        <v>84</v>
      </c>
      <c r="AA36" s="133" t="s">
        <v>69</v>
      </c>
      <c r="AB36" s="133" t="s">
        <v>183</v>
      </c>
    </row>
    <row r="37" spans="1:28" s="143" customFormat="1" x14ac:dyDescent="0.15">
      <c r="A37" s="133" t="s">
        <v>51</v>
      </c>
      <c r="B37" s="133" t="s">
        <v>181</v>
      </c>
      <c r="C37" s="133">
        <v>2018</v>
      </c>
      <c r="D37" s="134" t="s">
        <v>270</v>
      </c>
      <c r="E37" s="133" t="s">
        <v>278</v>
      </c>
      <c r="F37" s="133" t="s">
        <v>279</v>
      </c>
      <c r="G37" s="133" t="s">
        <v>42</v>
      </c>
      <c r="H37" s="133" t="s">
        <v>277</v>
      </c>
      <c r="I37" s="133" t="s">
        <v>153</v>
      </c>
      <c r="J37" s="133" t="s">
        <v>80</v>
      </c>
      <c r="K37" s="133" t="s">
        <v>63</v>
      </c>
      <c r="L37" s="133">
        <v>3</v>
      </c>
      <c r="M37" s="133"/>
      <c r="N37" s="133">
        <v>4</v>
      </c>
      <c r="O37" s="133">
        <v>0.75</v>
      </c>
      <c r="P37" s="133">
        <v>0.75</v>
      </c>
      <c r="Q37" s="135">
        <f t="shared" si="0"/>
        <v>0.75</v>
      </c>
      <c r="R37" s="133">
        <v>16.8</v>
      </c>
      <c r="S37" s="133">
        <v>80</v>
      </c>
      <c r="T37" s="136">
        <f t="shared" si="1"/>
        <v>39</v>
      </c>
      <c r="U37" s="133">
        <v>398</v>
      </c>
      <c r="V37" s="137">
        <f t="shared" si="2"/>
        <v>3880.5</v>
      </c>
      <c r="W37" s="133">
        <v>3</v>
      </c>
      <c r="X37" s="133" t="s">
        <v>39</v>
      </c>
      <c r="Y37" s="133" t="s">
        <v>90</v>
      </c>
      <c r="Z37" s="133" t="s">
        <v>84</v>
      </c>
      <c r="AA37" s="133" t="s">
        <v>69</v>
      </c>
      <c r="AB37" s="133" t="s">
        <v>183</v>
      </c>
    </row>
    <row r="38" spans="1:28" s="143" customFormat="1" x14ac:dyDescent="0.15">
      <c r="A38" s="133" t="s">
        <v>51</v>
      </c>
      <c r="B38" s="133" t="s">
        <v>181</v>
      </c>
      <c r="C38" s="133">
        <v>2018</v>
      </c>
      <c r="D38" s="134" t="s">
        <v>270</v>
      </c>
      <c r="E38" s="133" t="s">
        <v>284</v>
      </c>
      <c r="F38" s="133" t="s">
        <v>272</v>
      </c>
      <c r="G38" s="133" t="s">
        <v>36</v>
      </c>
      <c r="H38" s="133" t="s">
        <v>155</v>
      </c>
      <c r="I38" s="133" t="s">
        <v>153</v>
      </c>
      <c r="J38" s="133" t="s">
        <v>38</v>
      </c>
      <c r="K38" s="133" t="s">
        <v>154</v>
      </c>
      <c r="L38" s="133">
        <v>1</v>
      </c>
      <c r="M38" s="133"/>
      <c r="N38" s="133">
        <v>1</v>
      </c>
      <c r="O38" s="133">
        <v>0.75</v>
      </c>
      <c r="P38" s="133">
        <v>0.6</v>
      </c>
      <c r="Q38" s="135">
        <f t="shared" si="0"/>
        <v>0.67500000000000004</v>
      </c>
      <c r="R38" s="133">
        <v>14.6</v>
      </c>
      <c r="S38" s="133">
        <v>118</v>
      </c>
      <c r="T38" s="136">
        <f t="shared" si="1"/>
        <v>30</v>
      </c>
      <c r="U38" s="133">
        <v>138</v>
      </c>
      <c r="V38" s="137">
        <f t="shared" si="2"/>
        <v>4140</v>
      </c>
      <c r="W38" s="133">
        <v>4</v>
      </c>
      <c r="X38" s="133" t="s">
        <v>46</v>
      </c>
      <c r="Y38" s="133" t="s">
        <v>84</v>
      </c>
      <c r="Z38" s="133" t="s">
        <v>90</v>
      </c>
      <c r="AA38" s="133" t="s">
        <v>69</v>
      </c>
      <c r="AB38" s="133" t="s">
        <v>183</v>
      </c>
    </row>
    <row r="39" spans="1:28" s="143" customFormat="1" x14ac:dyDescent="0.15">
      <c r="A39" s="133" t="s">
        <v>51</v>
      </c>
      <c r="B39" s="133" t="s">
        <v>181</v>
      </c>
      <c r="C39" s="133">
        <v>2018</v>
      </c>
      <c r="D39" s="134" t="s">
        <v>270</v>
      </c>
      <c r="E39" s="133" t="s">
        <v>284</v>
      </c>
      <c r="F39" s="133" t="s">
        <v>272</v>
      </c>
      <c r="G39" s="133" t="s">
        <v>36</v>
      </c>
      <c r="H39" s="133" t="s">
        <v>155</v>
      </c>
      <c r="I39" s="133" t="s">
        <v>153</v>
      </c>
      <c r="J39" s="133" t="s">
        <v>38</v>
      </c>
      <c r="K39" s="133" t="s">
        <v>154</v>
      </c>
      <c r="L39" s="133">
        <v>2</v>
      </c>
      <c r="M39" s="133"/>
      <c r="N39" s="133">
        <v>1</v>
      </c>
      <c r="O39" s="133">
        <v>0.65</v>
      </c>
      <c r="P39" s="133">
        <v>0.65</v>
      </c>
      <c r="Q39" s="135">
        <f t="shared" si="0"/>
        <v>0.65</v>
      </c>
      <c r="R39" s="133">
        <v>15.3</v>
      </c>
      <c r="S39" s="133">
        <v>126</v>
      </c>
      <c r="T39" s="136">
        <f t="shared" si="1"/>
        <v>27</v>
      </c>
      <c r="U39" s="133">
        <v>138</v>
      </c>
      <c r="V39" s="137">
        <f t="shared" si="2"/>
        <v>3726</v>
      </c>
      <c r="W39" s="133">
        <v>4</v>
      </c>
      <c r="X39" s="133" t="s">
        <v>46</v>
      </c>
      <c r="Y39" s="133" t="s">
        <v>84</v>
      </c>
      <c r="Z39" s="133" t="s">
        <v>90</v>
      </c>
      <c r="AA39" s="133" t="s">
        <v>69</v>
      </c>
      <c r="AB39" s="133" t="s">
        <v>183</v>
      </c>
    </row>
    <row r="40" spans="1:28" s="143" customFormat="1" x14ac:dyDescent="0.15">
      <c r="A40" s="133" t="s">
        <v>51</v>
      </c>
      <c r="B40" s="133" t="s">
        <v>181</v>
      </c>
      <c r="C40" s="133">
        <v>2018</v>
      </c>
      <c r="D40" s="134" t="s">
        <v>270</v>
      </c>
      <c r="E40" s="133" t="s">
        <v>284</v>
      </c>
      <c r="F40" s="133" t="s">
        <v>272</v>
      </c>
      <c r="G40" s="133" t="s">
        <v>36</v>
      </c>
      <c r="H40" s="133" t="s">
        <v>155</v>
      </c>
      <c r="I40" s="133" t="s">
        <v>153</v>
      </c>
      <c r="J40" s="133" t="s">
        <v>38</v>
      </c>
      <c r="K40" s="133" t="s">
        <v>154</v>
      </c>
      <c r="L40" s="133">
        <v>3</v>
      </c>
      <c r="M40" s="133"/>
      <c r="N40" s="133">
        <v>1</v>
      </c>
      <c r="O40" s="133">
        <v>0.7</v>
      </c>
      <c r="P40" s="133">
        <v>0.8</v>
      </c>
      <c r="Q40" s="135">
        <f t="shared" si="0"/>
        <v>0.75</v>
      </c>
      <c r="R40" s="133">
        <v>14.8</v>
      </c>
      <c r="S40" s="133">
        <v>122</v>
      </c>
      <c r="T40" s="136">
        <f t="shared" si="1"/>
        <v>27</v>
      </c>
      <c r="U40" s="133">
        <v>138</v>
      </c>
      <c r="V40" s="137">
        <f t="shared" si="2"/>
        <v>3726</v>
      </c>
      <c r="W40" s="133">
        <v>4</v>
      </c>
      <c r="X40" s="133" t="s">
        <v>46</v>
      </c>
      <c r="Y40" s="133" t="s">
        <v>84</v>
      </c>
      <c r="Z40" s="133" t="s">
        <v>90</v>
      </c>
      <c r="AA40" s="133" t="s">
        <v>69</v>
      </c>
      <c r="AB40" s="133" t="s">
        <v>183</v>
      </c>
    </row>
    <row r="41" spans="1:28" s="143" customFormat="1" x14ac:dyDescent="0.15">
      <c r="A41" s="133" t="s">
        <v>51</v>
      </c>
      <c r="B41" s="133" t="s">
        <v>181</v>
      </c>
      <c r="C41" s="133">
        <v>2018</v>
      </c>
      <c r="D41" s="134" t="s">
        <v>270</v>
      </c>
      <c r="E41" s="133" t="s">
        <v>284</v>
      </c>
      <c r="F41" s="133" t="s">
        <v>272</v>
      </c>
      <c r="G41" s="133" t="s">
        <v>36</v>
      </c>
      <c r="H41" s="133" t="s">
        <v>155</v>
      </c>
      <c r="I41" s="133" t="s">
        <v>232</v>
      </c>
      <c r="J41" s="133" t="s">
        <v>38</v>
      </c>
      <c r="K41" s="133" t="s">
        <v>154</v>
      </c>
      <c r="L41" s="133">
        <v>1</v>
      </c>
      <c r="M41" s="133"/>
      <c r="N41" s="133">
        <v>2</v>
      </c>
      <c r="O41" s="133">
        <v>0.9</v>
      </c>
      <c r="P41" s="133">
        <v>0.8</v>
      </c>
      <c r="Q41" s="135">
        <f t="shared" si="0"/>
        <v>0.85000000000000009</v>
      </c>
      <c r="R41" s="133">
        <v>15.6</v>
      </c>
      <c r="S41" s="133">
        <v>132</v>
      </c>
      <c r="T41" s="136">
        <f t="shared" si="1"/>
        <v>25</v>
      </c>
      <c r="U41" s="133">
        <v>398</v>
      </c>
      <c r="V41" s="137">
        <f t="shared" si="2"/>
        <v>4975</v>
      </c>
      <c r="W41" s="133">
        <v>4</v>
      </c>
      <c r="X41" s="133" t="s">
        <v>46</v>
      </c>
      <c r="Y41" s="133" t="s">
        <v>84</v>
      </c>
      <c r="Z41" s="133" t="s">
        <v>90</v>
      </c>
      <c r="AA41" s="133" t="s">
        <v>69</v>
      </c>
      <c r="AB41" s="133" t="s">
        <v>183</v>
      </c>
    </row>
    <row r="42" spans="1:28" s="143" customFormat="1" x14ac:dyDescent="0.15">
      <c r="A42" s="133" t="s">
        <v>51</v>
      </c>
      <c r="B42" s="133" t="s">
        <v>181</v>
      </c>
      <c r="C42" s="133">
        <v>2018</v>
      </c>
      <c r="D42" s="134" t="s">
        <v>270</v>
      </c>
      <c r="E42" s="133" t="s">
        <v>284</v>
      </c>
      <c r="F42" s="133" t="s">
        <v>272</v>
      </c>
      <c r="G42" s="133" t="s">
        <v>36</v>
      </c>
      <c r="H42" s="133" t="s">
        <v>155</v>
      </c>
      <c r="I42" s="133" t="s">
        <v>232</v>
      </c>
      <c r="J42" s="133" t="s">
        <v>38</v>
      </c>
      <c r="K42" s="133" t="s">
        <v>154</v>
      </c>
      <c r="L42" s="133">
        <v>2</v>
      </c>
      <c r="M42" s="133"/>
      <c r="N42" s="133">
        <v>2</v>
      </c>
      <c r="O42" s="133">
        <v>0.85</v>
      </c>
      <c r="P42" s="133">
        <v>0.85</v>
      </c>
      <c r="Q42" s="135">
        <f t="shared" si="0"/>
        <v>0.85</v>
      </c>
      <c r="R42" s="133">
        <v>15.9</v>
      </c>
      <c r="S42" s="133">
        <v>134</v>
      </c>
      <c r="T42" s="136">
        <f t="shared" si="1"/>
        <v>25</v>
      </c>
      <c r="U42" s="133">
        <v>398</v>
      </c>
      <c r="V42" s="137">
        <f t="shared" si="2"/>
        <v>4975</v>
      </c>
      <c r="W42" s="133">
        <v>4</v>
      </c>
      <c r="X42" s="133" t="s">
        <v>46</v>
      </c>
      <c r="Y42" s="133" t="s">
        <v>84</v>
      </c>
      <c r="Z42" s="133" t="s">
        <v>90</v>
      </c>
      <c r="AA42" s="133" t="s">
        <v>69</v>
      </c>
      <c r="AB42" s="133" t="s">
        <v>183</v>
      </c>
    </row>
    <row r="43" spans="1:28" s="143" customFormat="1" x14ac:dyDescent="0.15">
      <c r="A43" s="133" t="s">
        <v>51</v>
      </c>
      <c r="B43" s="133" t="s">
        <v>181</v>
      </c>
      <c r="C43" s="133">
        <v>2018</v>
      </c>
      <c r="D43" s="134" t="s">
        <v>270</v>
      </c>
      <c r="E43" s="133" t="s">
        <v>284</v>
      </c>
      <c r="F43" s="133" t="s">
        <v>272</v>
      </c>
      <c r="G43" s="133" t="s">
        <v>36</v>
      </c>
      <c r="H43" s="133" t="s">
        <v>155</v>
      </c>
      <c r="I43" s="133" t="s">
        <v>232</v>
      </c>
      <c r="J43" s="133" t="s">
        <v>38</v>
      </c>
      <c r="K43" s="133" t="s">
        <v>154</v>
      </c>
      <c r="L43" s="133">
        <v>3</v>
      </c>
      <c r="M43" s="133"/>
      <c r="N43" s="133">
        <v>2</v>
      </c>
      <c r="O43" s="133">
        <v>0.9</v>
      </c>
      <c r="P43" s="133">
        <v>0.85</v>
      </c>
      <c r="Q43" s="135">
        <f t="shared" si="0"/>
        <v>0.875</v>
      </c>
      <c r="R43" s="133">
        <v>15.2</v>
      </c>
      <c r="S43" s="133">
        <v>128</v>
      </c>
      <c r="T43" s="136">
        <f t="shared" si="1"/>
        <v>27</v>
      </c>
      <c r="U43" s="133">
        <v>398</v>
      </c>
      <c r="V43" s="137">
        <f t="shared" si="2"/>
        <v>5373</v>
      </c>
      <c r="W43" s="133">
        <v>4</v>
      </c>
      <c r="X43" s="133" t="s">
        <v>46</v>
      </c>
      <c r="Y43" s="133" t="s">
        <v>84</v>
      </c>
      <c r="Z43" s="133" t="s">
        <v>90</v>
      </c>
      <c r="AA43" s="133" t="s">
        <v>69</v>
      </c>
      <c r="AB43" s="133" t="s">
        <v>183</v>
      </c>
    </row>
    <row r="44" spans="1:28" s="143" customFormat="1" x14ac:dyDescent="0.15">
      <c r="A44" s="133" t="s">
        <v>51</v>
      </c>
      <c r="B44" s="133" t="s">
        <v>181</v>
      </c>
      <c r="C44" s="133">
        <v>2018</v>
      </c>
      <c r="D44" s="134" t="s">
        <v>270</v>
      </c>
      <c r="E44" s="133" t="s">
        <v>284</v>
      </c>
      <c r="F44" s="133" t="s">
        <v>272</v>
      </c>
      <c r="G44" s="133" t="s">
        <v>36</v>
      </c>
      <c r="H44" s="133" t="s">
        <v>277</v>
      </c>
      <c r="I44" s="133" t="s">
        <v>153</v>
      </c>
      <c r="J44" s="133" t="s">
        <v>80</v>
      </c>
      <c r="K44" s="133" t="s">
        <v>63</v>
      </c>
      <c r="L44" s="133">
        <v>1</v>
      </c>
      <c r="M44" s="133"/>
      <c r="N44" s="133">
        <v>5</v>
      </c>
      <c r="O44" s="133">
        <v>0.25</v>
      </c>
      <c r="P44" s="133">
        <v>0.25</v>
      </c>
      <c r="Q44" s="135">
        <f t="shared" si="0"/>
        <v>0.25</v>
      </c>
      <c r="R44" s="133">
        <v>15</v>
      </c>
      <c r="S44" s="133">
        <v>69</v>
      </c>
      <c r="T44" s="136">
        <f t="shared" si="1"/>
        <v>50</v>
      </c>
      <c r="U44" s="133">
        <v>398</v>
      </c>
      <c r="V44" s="137">
        <f t="shared" si="2"/>
        <v>3979.9999999999995</v>
      </c>
      <c r="W44" s="133">
        <v>4</v>
      </c>
      <c r="X44" s="133" t="s">
        <v>46</v>
      </c>
      <c r="Y44" s="133" t="s">
        <v>84</v>
      </c>
      <c r="Z44" s="133" t="s">
        <v>90</v>
      </c>
      <c r="AA44" s="133" t="s">
        <v>69</v>
      </c>
      <c r="AB44" s="133" t="s">
        <v>183</v>
      </c>
    </row>
    <row r="45" spans="1:28" s="143" customFormat="1" x14ac:dyDescent="0.15">
      <c r="A45" s="133" t="s">
        <v>51</v>
      </c>
      <c r="B45" s="133" t="s">
        <v>181</v>
      </c>
      <c r="C45" s="133">
        <v>2018</v>
      </c>
      <c r="D45" s="134" t="s">
        <v>270</v>
      </c>
      <c r="E45" s="133" t="s">
        <v>284</v>
      </c>
      <c r="F45" s="133" t="s">
        <v>272</v>
      </c>
      <c r="G45" s="133" t="s">
        <v>36</v>
      </c>
      <c r="H45" s="133" t="s">
        <v>277</v>
      </c>
      <c r="I45" s="133" t="s">
        <v>153</v>
      </c>
      <c r="J45" s="133" t="s">
        <v>80</v>
      </c>
      <c r="K45" s="133" t="s">
        <v>63</v>
      </c>
      <c r="L45" s="133">
        <v>2</v>
      </c>
      <c r="M45" s="133"/>
      <c r="N45" s="133">
        <v>5</v>
      </c>
      <c r="O45" s="133">
        <v>0.25</v>
      </c>
      <c r="P45" s="133">
        <v>0.5</v>
      </c>
      <c r="Q45" s="135">
        <f t="shared" si="0"/>
        <v>0.375</v>
      </c>
      <c r="R45" s="133">
        <v>14.2</v>
      </c>
      <c r="S45" s="133">
        <v>76</v>
      </c>
      <c r="T45" s="136">
        <f t="shared" si="1"/>
        <v>39</v>
      </c>
      <c r="U45" s="133">
        <v>398</v>
      </c>
      <c r="V45" s="137">
        <f t="shared" si="2"/>
        <v>3104.3999999999996</v>
      </c>
      <c r="W45" s="133">
        <v>4</v>
      </c>
      <c r="X45" s="133" t="s">
        <v>46</v>
      </c>
      <c r="Y45" s="133" t="s">
        <v>84</v>
      </c>
      <c r="Z45" s="133" t="s">
        <v>90</v>
      </c>
      <c r="AA45" s="133" t="s">
        <v>69</v>
      </c>
      <c r="AB45" s="133" t="s">
        <v>183</v>
      </c>
    </row>
    <row r="46" spans="1:28" s="143" customFormat="1" x14ac:dyDescent="0.15">
      <c r="A46" s="133" t="s">
        <v>51</v>
      </c>
      <c r="B46" s="133" t="s">
        <v>181</v>
      </c>
      <c r="C46" s="133">
        <v>2018</v>
      </c>
      <c r="D46" s="134" t="s">
        <v>270</v>
      </c>
      <c r="E46" s="133" t="s">
        <v>284</v>
      </c>
      <c r="F46" s="133" t="s">
        <v>272</v>
      </c>
      <c r="G46" s="133" t="s">
        <v>36</v>
      </c>
      <c r="H46" s="133" t="s">
        <v>277</v>
      </c>
      <c r="I46" s="133" t="s">
        <v>153</v>
      </c>
      <c r="J46" s="133" t="s">
        <v>80</v>
      </c>
      <c r="K46" s="133" t="s">
        <v>63</v>
      </c>
      <c r="L46" s="133">
        <v>3</v>
      </c>
      <c r="M46" s="133"/>
      <c r="N46" s="133">
        <v>5</v>
      </c>
      <c r="O46" s="133">
        <v>0.25</v>
      </c>
      <c r="P46" s="133">
        <v>0.25</v>
      </c>
      <c r="Q46" s="135">
        <f t="shared" si="0"/>
        <v>0.25</v>
      </c>
      <c r="R46" s="133">
        <v>14.1</v>
      </c>
      <c r="S46" s="133">
        <v>73</v>
      </c>
      <c r="T46" s="136">
        <f t="shared" si="1"/>
        <v>42</v>
      </c>
      <c r="U46" s="133">
        <v>398</v>
      </c>
      <c r="V46" s="137">
        <f t="shared" si="2"/>
        <v>3343.2</v>
      </c>
      <c r="W46" s="133">
        <v>4</v>
      </c>
      <c r="X46" s="133" t="s">
        <v>46</v>
      </c>
      <c r="Y46" s="133" t="s">
        <v>84</v>
      </c>
      <c r="Z46" s="133" t="s">
        <v>90</v>
      </c>
      <c r="AA46" s="133" t="s">
        <v>69</v>
      </c>
      <c r="AB46" s="133" t="s">
        <v>183</v>
      </c>
    </row>
    <row r="47" spans="1:28" s="143" customFormat="1" x14ac:dyDescent="0.15">
      <c r="A47" s="133" t="s">
        <v>51</v>
      </c>
      <c r="B47" s="133" t="s">
        <v>181</v>
      </c>
      <c r="C47" s="133">
        <v>2018</v>
      </c>
      <c r="D47" s="134" t="s">
        <v>270</v>
      </c>
      <c r="E47" s="133" t="s">
        <v>295</v>
      </c>
      <c r="F47" s="133" t="s">
        <v>272</v>
      </c>
      <c r="G47" s="133" t="s">
        <v>42</v>
      </c>
      <c r="H47" s="133" t="s">
        <v>155</v>
      </c>
      <c r="I47" s="133" t="s">
        <v>153</v>
      </c>
      <c r="J47" s="133" t="s">
        <v>38</v>
      </c>
      <c r="K47" s="133" t="s">
        <v>154</v>
      </c>
      <c r="L47" s="133">
        <v>1</v>
      </c>
      <c r="M47" s="133"/>
      <c r="N47" s="133">
        <v>1</v>
      </c>
      <c r="O47" s="133">
        <v>0.65</v>
      </c>
      <c r="P47" s="133">
        <v>0.55000000000000004</v>
      </c>
      <c r="Q47" s="135">
        <f t="shared" si="0"/>
        <v>0.60000000000000009</v>
      </c>
      <c r="R47" s="133">
        <v>14.8</v>
      </c>
      <c r="S47" s="133">
        <v>136</v>
      </c>
      <c r="T47" s="136">
        <f t="shared" si="1"/>
        <v>25</v>
      </c>
      <c r="U47" s="133">
        <v>78</v>
      </c>
      <c r="V47" s="137">
        <f t="shared" si="2"/>
        <v>1950</v>
      </c>
      <c r="W47" s="133">
        <v>3</v>
      </c>
      <c r="X47" s="133" t="s">
        <v>46</v>
      </c>
      <c r="Y47" s="133" t="s">
        <v>84</v>
      </c>
      <c r="Z47" s="133" t="s">
        <v>69</v>
      </c>
      <c r="AA47" s="133" t="s">
        <v>50</v>
      </c>
      <c r="AB47" s="133" t="s">
        <v>183</v>
      </c>
    </row>
    <row r="48" spans="1:28" s="143" customFormat="1" x14ac:dyDescent="0.15">
      <c r="A48" s="133" t="s">
        <v>51</v>
      </c>
      <c r="B48" s="133" t="s">
        <v>181</v>
      </c>
      <c r="C48" s="133">
        <v>2018</v>
      </c>
      <c r="D48" s="134" t="s">
        <v>270</v>
      </c>
      <c r="E48" s="133" t="s">
        <v>295</v>
      </c>
      <c r="F48" s="133" t="s">
        <v>272</v>
      </c>
      <c r="G48" s="133" t="s">
        <v>42</v>
      </c>
      <c r="H48" s="133" t="s">
        <v>155</v>
      </c>
      <c r="I48" s="133" t="s">
        <v>153</v>
      </c>
      <c r="J48" s="133" t="s">
        <v>38</v>
      </c>
      <c r="K48" s="133" t="s">
        <v>154</v>
      </c>
      <c r="L48" s="133">
        <v>2</v>
      </c>
      <c r="M48" s="133"/>
      <c r="N48" s="133">
        <v>1</v>
      </c>
      <c r="O48" s="133">
        <v>0.6</v>
      </c>
      <c r="P48" s="133">
        <v>0.7</v>
      </c>
      <c r="Q48" s="135">
        <f t="shared" si="0"/>
        <v>0.64999999999999991</v>
      </c>
      <c r="R48" s="133">
        <v>14.3</v>
      </c>
      <c r="S48" s="133">
        <v>130</v>
      </c>
      <c r="T48" s="136">
        <f t="shared" si="1"/>
        <v>25</v>
      </c>
      <c r="U48" s="133">
        <v>78</v>
      </c>
      <c r="V48" s="137">
        <f t="shared" si="2"/>
        <v>1950</v>
      </c>
      <c r="W48" s="133">
        <v>3</v>
      </c>
      <c r="X48" s="133" t="s">
        <v>46</v>
      </c>
      <c r="Y48" s="133" t="s">
        <v>84</v>
      </c>
      <c r="Z48" s="133" t="s">
        <v>69</v>
      </c>
      <c r="AA48" s="133" t="s">
        <v>50</v>
      </c>
      <c r="AB48" s="133" t="s">
        <v>183</v>
      </c>
    </row>
    <row r="49" spans="1:28" s="143" customFormat="1" x14ac:dyDescent="0.15">
      <c r="A49" s="133" t="s">
        <v>51</v>
      </c>
      <c r="B49" s="133" t="s">
        <v>181</v>
      </c>
      <c r="C49" s="133">
        <v>2018</v>
      </c>
      <c r="D49" s="134" t="s">
        <v>270</v>
      </c>
      <c r="E49" s="133" t="s">
        <v>295</v>
      </c>
      <c r="F49" s="133" t="s">
        <v>272</v>
      </c>
      <c r="G49" s="133" t="s">
        <v>42</v>
      </c>
      <c r="H49" s="133" t="s">
        <v>155</v>
      </c>
      <c r="I49" s="133" t="s">
        <v>153</v>
      </c>
      <c r="J49" s="133" t="s">
        <v>38</v>
      </c>
      <c r="K49" s="133" t="s">
        <v>154</v>
      </c>
      <c r="L49" s="133">
        <v>3</v>
      </c>
      <c r="M49" s="133"/>
      <c r="N49" s="133">
        <v>1</v>
      </c>
      <c r="O49" s="133">
        <v>0.7</v>
      </c>
      <c r="P49" s="133">
        <v>0.75</v>
      </c>
      <c r="Q49" s="135">
        <f t="shared" si="0"/>
        <v>0.72499999999999998</v>
      </c>
      <c r="R49" s="133">
        <v>15</v>
      </c>
      <c r="S49" s="133">
        <v>132</v>
      </c>
      <c r="T49" s="136">
        <f t="shared" si="1"/>
        <v>25</v>
      </c>
      <c r="U49" s="133">
        <v>78</v>
      </c>
      <c r="V49" s="137">
        <f t="shared" si="2"/>
        <v>1950</v>
      </c>
      <c r="W49" s="133">
        <v>3</v>
      </c>
      <c r="X49" s="133" t="s">
        <v>46</v>
      </c>
      <c r="Y49" s="133" t="s">
        <v>84</v>
      </c>
      <c r="Z49" s="133" t="s">
        <v>69</v>
      </c>
      <c r="AA49" s="133" t="s">
        <v>50</v>
      </c>
      <c r="AB49" s="133" t="s">
        <v>183</v>
      </c>
    </row>
    <row r="50" spans="1:28" s="143" customFormat="1" x14ac:dyDescent="0.15">
      <c r="A50" s="133" t="s">
        <v>51</v>
      </c>
      <c r="B50" s="133" t="s">
        <v>181</v>
      </c>
      <c r="C50" s="133">
        <v>2018</v>
      </c>
      <c r="D50" s="134" t="s">
        <v>270</v>
      </c>
      <c r="E50" s="133" t="s">
        <v>295</v>
      </c>
      <c r="F50" s="133" t="s">
        <v>272</v>
      </c>
      <c r="G50" s="133" t="s">
        <v>42</v>
      </c>
      <c r="H50" s="133" t="s">
        <v>159</v>
      </c>
      <c r="I50" s="133" t="s">
        <v>153</v>
      </c>
      <c r="J50" s="133" t="s">
        <v>38</v>
      </c>
      <c r="K50" s="133" t="s">
        <v>304</v>
      </c>
      <c r="L50" s="133">
        <v>1</v>
      </c>
      <c r="M50" s="133"/>
      <c r="N50" s="133">
        <v>1</v>
      </c>
      <c r="O50" s="133">
        <v>0.7</v>
      </c>
      <c r="P50" s="133">
        <v>0.8</v>
      </c>
      <c r="Q50" s="135">
        <f t="shared" si="0"/>
        <v>0.75</v>
      </c>
      <c r="R50" s="133">
        <v>17.5</v>
      </c>
      <c r="S50" s="133">
        <v>110</v>
      </c>
      <c r="T50" s="136">
        <f t="shared" si="1"/>
        <v>33</v>
      </c>
      <c r="U50" s="133">
        <v>158</v>
      </c>
      <c r="V50" s="137">
        <f t="shared" si="2"/>
        <v>5214</v>
      </c>
      <c r="W50" s="133">
        <v>3</v>
      </c>
      <c r="X50" s="133" t="s">
        <v>46</v>
      </c>
      <c r="Y50" s="133" t="s">
        <v>84</v>
      </c>
      <c r="Z50" s="133" t="s">
        <v>69</v>
      </c>
      <c r="AA50" s="133" t="s">
        <v>50</v>
      </c>
      <c r="AB50" s="133" t="s">
        <v>183</v>
      </c>
    </row>
    <row r="51" spans="1:28" s="143" customFormat="1" x14ac:dyDescent="0.15">
      <c r="A51" s="133" t="s">
        <v>51</v>
      </c>
      <c r="B51" s="133" t="s">
        <v>181</v>
      </c>
      <c r="C51" s="133">
        <v>2018</v>
      </c>
      <c r="D51" s="134" t="s">
        <v>270</v>
      </c>
      <c r="E51" s="133" t="s">
        <v>295</v>
      </c>
      <c r="F51" s="133" t="s">
        <v>272</v>
      </c>
      <c r="G51" s="133" t="s">
        <v>42</v>
      </c>
      <c r="H51" s="133" t="s">
        <v>159</v>
      </c>
      <c r="I51" s="133" t="s">
        <v>153</v>
      </c>
      <c r="J51" s="133" t="s">
        <v>38</v>
      </c>
      <c r="K51" s="133" t="s">
        <v>304</v>
      </c>
      <c r="L51" s="133">
        <v>2</v>
      </c>
      <c r="M51" s="133"/>
      <c r="N51" s="133">
        <v>1</v>
      </c>
      <c r="O51" s="133">
        <v>0.75</v>
      </c>
      <c r="P51" s="133">
        <v>0.85</v>
      </c>
      <c r="Q51" s="135">
        <f t="shared" si="0"/>
        <v>0.8</v>
      </c>
      <c r="R51" s="133">
        <v>17.8</v>
      </c>
      <c r="S51" s="133">
        <v>112</v>
      </c>
      <c r="T51" s="136">
        <f t="shared" si="1"/>
        <v>33</v>
      </c>
      <c r="U51" s="133">
        <v>158</v>
      </c>
      <c r="V51" s="137">
        <f t="shared" si="2"/>
        <v>5214</v>
      </c>
      <c r="W51" s="133">
        <v>3</v>
      </c>
      <c r="X51" s="133" t="s">
        <v>46</v>
      </c>
      <c r="Y51" s="133" t="s">
        <v>84</v>
      </c>
      <c r="Z51" s="133" t="s">
        <v>69</v>
      </c>
      <c r="AA51" s="133" t="s">
        <v>50</v>
      </c>
      <c r="AB51" s="133" t="s">
        <v>183</v>
      </c>
    </row>
    <row r="52" spans="1:28" s="143" customFormat="1" x14ac:dyDescent="0.15">
      <c r="A52" s="133" t="s">
        <v>51</v>
      </c>
      <c r="B52" s="133" t="s">
        <v>181</v>
      </c>
      <c r="C52" s="133">
        <v>2018</v>
      </c>
      <c r="D52" s="134" t="s">
        <v>270</v>
      </c>
      <c r="E52" s="133" t="s">
        <v>295</v>
      </c>
      <c r="F52" s="133" t="s">
        <v>272</v>
      </c>
      <c r="G52" s="133" t="s">
        <v>42</v>
      </c>
      <c r="H52" s="133" t="s">
        <v>159</v>
      </c>
      <c r="I52" s="133" t="s">
        <v>153</v>
      </c>
      <c r="J52" s="133" t="s">
        <v>38</v>
      </c>
      <c r="K52" s="133" t="s">
        <v>304</v>
      </c>
      <c r="L52" s="133">
        <v>3</v>
      </c>
      <c r="M52" s="133"/>
      <c r="N52" s="133">
        <v>1</v>
      </c>
      <c r="O52" s="133">
        <v>0.95</v>
      </c>
      <c r="P52" s="133">
        <v>0.65</v>
      </c>
      <c r="Q52" s="135">
        <f t="shared" si="0"/>
        <v>0.8</v>
      </c>
      <c r="R52" s="133">
        <v>17.3</v>
      </c>
      <c r="S52" s="133">
        <v>108</v>
      </c>
      <c r="T52" s="136">
        <f t="shared" si="1"/>
        <v>33</v>
      </c>
      <c r="U52" s="133">
        <v>159</v>
      </c>
      <c r="V52" s="137">
        <f t="shared" si="2"/>
        <v>5247</v>
      </c>
      <c r="W52" s="133">
        <v>3</v>
      </c>
      <c r="X52" s="133" t="s">
        <v>46</v>
      </c>
      <c r="Y52" s="133" t="s">
        <v>84</v>
      </c>
      <c r="Z52" s="133" t="s">
        <v>69</v>
      </c>
      <c r="AA52" s="133" t="s">
        <v>50</v>
      </c>
      <c r="AB52" s="133" t="s">
        <v>183</v>
      </c>
    </row>
    <row r="53" spans="1:28" s="143" customFormat="1" x14ac:dyDescent="0.15">
      <c r="A53" s="133"/>
      <c r="B53" s="133"/>
      <c r="C53" s="133"/>
      <c r="D53" s="134"/>
      <c r="E53" s="133"/>
      <c r="F53" s="133"/>
      <c r="G53" s="133"/>
      <c r="H53" s="133"/>
      <c r="I53" s="133"/>
      <c r="J53" s="133"/>
      <c r="K53" s="133"/>
      <c r="L53" s="133"/>
      <c r="M53" s="133"/>
      <c r="N53" s="133"/>
      <c r="O53" s="133"/>
      <c r="P53" s="133"/>
      <c r="Q53" s="135" t="str">
        <f t="shared" si="0"/>
        <v/>
      </c>
      <c r="R53" s="133"/>
      <c r="S53" s="133"/>
      <c r="T53" s="136" t="str">
        <f t="shared" si="1"/>
        <v/>
      </c>
      <c r="U53" s="133"/>
      <c r="V53" s="137" t="str">
        <f t="shared" si="2"/>
        <v/>
      </c>
      <c r="W53" s="133"/>
      <c r="X53" s="133"/>
      <c r="Y53" s="133"/>
      <c r="Z53" s="133"/>
      <c r="AA53" s="133"/>
      <c r="AB53" s="133"/>
    </row>
    <row r="54" spans="1:28" s="143" customFormat="1" x14ac:dyDescent="0.15">
      <c r="A54" s="133"/>
      <c r="B54" s="133"/>
      <c r="C54" s="133"/>
      <c r="D54" s="134"/>
      <c r="E54" s="133"/>
      <c r="F54" s="133"/>
      <c r="G54" s="133"/>
      <c r="H54" s="133"/>
      <c r="I54" s="133"/>
      <c r="J54" s="133"/>
      <c r="K54" s="133"/>
      <c r="L54" s="133"/>
      <c r="M54" s="133"/>
      <c r="N54" s="133"/>
      <c r="O54" s="133"/>
      <c r="P54" s="133"/>
      <c r="Q54" s="135" t="str">
        <f t="shared" si="0"/>
        <v/>
      </c>
      <c r="R54" s="133"/>
      <c r="S54" s="133"/>
      <c r="T54" s="136" t="str">
        <f t="shared" si="1"/>
        <v/>
      </c>
      <c r="U54" s="133"/>
      <c r="V54" s="137" t="str">
        <f t="shared" si="2"/>
        <v/>
      </c>
      <c r="W54" s="133"/>
      <c r="X54" s="133"/>
      <c r="Y54" s="133"/>
      <c r="Z54" s="133"/>
      <c r="AA54" s="133"/>
      <c r="AB54" s="133"/>
    </row>
    <row r="55" spans="1:28" s="143" customFormat="1" x14ac:dyDescent="0.15">
      <c r="A55" s="133"/>
      <c r="B55" s="133"/>
      <c r="C55" s="133"/>
      <c r="D55" s="134"/>
      <c r="E55" s="133"/>
      <c r="F55" s="133"/>
      <c r="G55" s="133"/>
      <c r="H55" s="133"/>
      <c r="I55" s="133"/>
      <c r="J55" s="133"/>
      <c r="K55" s="133"/>
      <c r="L55" s="133"/>
      <c r="M55" s="133"/>
      <c r="N55" s="133"/>
      <c r="O55" s="133"/>
      <c r="P55" s="133"/>
      <c r="Q55" s="135" t="str">
        <f t="shared" si="0"/>
        <v/>
      </c>
      <c r="R55" s="133"/>
      <c r="S55" s="133"/>
      <c r="T55" s="136" t="str">
        <f t="shared" si="1"/>
        <v/>
      </c>
      <c r="U55" s="133"/>
      <c r="V55" s="137" t="str">
        <f t="shared" si="2"/>
        <v/>
      </c>
      <c r="W55" s="133"/>
      <c r="X55" s="133"/>
      <c r="Y55" s="133"/>
      <c r="Z55" s="133"/>
      <c r="AA55" s="133"/>
      <c r="AB55" s="133"/>
    </row>
    <row r="56" spans="1:28" s="143" customFormat="1" x14ac:dyDescent="0.15">
      <c r="A56" s="133"/>
      <c r="B56" s="133"/>
      <c r="C56" s="133"/>
      <c r="D56" s="134"/>
      <c r="E56" s="133"/>
      <c r="F56" s="133"/>
      <c r="G56" s="133"/>
      <c r="H56" s="133"/>
      <c r="I56" s="133"/>
      <c r="J56" s="133"/>
      <c r="K56" s="133"/>
      <c r="L56" s="133"/>
      <c r="M56" s="133"/>
      <c r="N56" s="133"/>
      <c r="O56" s="133"/>
      <c r="P56" s="133"/>
      <c r="Q56" s="135" t="str">
        <f t="shared" si="0"/>
        <v/>
      </c>
      <c r="R56" s="133"/>
      <c r="S56" s="133"/>
      <c r="T56" s="136" t="str">
        <f t="shared" si="1"/>
        <v/>
      </c>
      <c r="U56" s="133"/>
      <c r="V56" s="137" t="str">
        <f t="shared" si="2"/>
        <v/>
      </c>
      <c r="W56" s="133"/>
      <c r="X56" s="133"/>
      <c r="Y56" s="133"/>
      <c r="Z56" s="133"/>
      <c r="AA56" s="133"/>
      <c r="AB56" s="133"/>
    </row>
    <row r="57" spans="1:28" s="143" customFormat="1" x14ac:dyDescent="0.15">
      <c r="A57" s="133"/>
      <c r="B57" s="133"/>
      <c r="C57" s="133"/>
      <c r="D57" s="134"/>
      <c r="E57" s="133"/>
      <c r="F57" s="133"/>
      <c r="G57" s="133"/>
      <c r="H57" s="133"/>
      <c r="I57" s="133"/>
      <c r="J57" s="133"/>
      <c r="K57" s="133"/>
      <c r="L57" s="133"/>
      <c r="M57" s="133"/>
      <c r="N57" s="133"/>
      <c r="O57" s="133"/>
      <c r="P57" s="133"/>
      <c r="Q57" s="135" t="str">
        <f t="shared" si="0"/>
        <v/>
      </c>
      <c r="R57" s="133"/>
      <c r="S57" s="133"/>
      <c r="T57" s="136" t="str">
        <f t="shared" si="1"/>
        <v/>
      </c>
      <c r="U57" s="133"/>
      <c r="V57" s="137" t="str">
        <f t="shared" si="2"/>
        <v/>
      </c>
      <c r="W57" s="133"/>
      <c r="X57" s="133"/>
      <c r="Y57" s="133"/>
      <c r="Z57" s="133"/>
      <c r="AA57" s="133"/>
      <c r="AB57" s="133"/>
    </row>
    <row r="58" spans="1:28" s="143" customFormat="1" x14ac:dyDescent="0.15">
      <c r="A58" s="133"/>
      <c r="B58" s="133"/>
      <c r="C58" s="133"/>
      <c r="D58" s="134"/>
      <c r="E58" s="133"/>
      <c r="F58" s="133"/>
      <c r="G58" s="133"/>
      <c r="H58" s="133"/>
      <c r="I58" s="133"/>
      <c r="J58" s="133"/>
      <c r="K58" s="133"/>
      <c r="L58" s="133"/>
      <c r="M58" s="133"/>
      <c r="N58" s="133"/>
      <c r="O58" s="133"/>
      <c r="P58" s="133"/>
      <c r="Q58" s="135" t="str">
        <f t="shared" si="0"/>
        <v/>
      </c>
      <c r="R58" s="133"/>
      <c r="S58" s="133"/>
      <c r="T58" s="136" t="str">
        <f t="shared" si="1"/>
        <v/>
      </c>
      <c r="U58" s="133"/>
      <c r="V58" s="137" t="str">
        <f t="shared" si="2"/>
        <v/>
      </c>
      <c r="W58" s="133"/>
      <c r="X58" s="133"/>
      <c r="Y58" s="133"/>
      <c r="Z58" s="133"/>
      <c r="AA58" s="133"/>
      <c r="AB58" s="133"/>
    </row>
    <row r="59" spans="1:28" s="143" customFormat="1" x14ac:dyDescent="0.15">
      <c r="A59" s="133"/>
      <c r="B59" s="133"/>
      <c r="C59" s="133"/>
      <c r="D59" s="134"/>
      <c r="E59" s="133"/>
      <c r="F59" s="133"/>
      <c r="G59" s="133"/>
      <c r="H59" s="133"/>
      <c r="I59" s="133"/>
      <c r="J59" s="133"/>
      <c r="K59" s="133"/>
      <c r="N59" s="133"/>
      <c r="Q59" s="135" t="str">
        <f t="shared" si="0"/>
        <v/>
      </c>
      <c r="T59" s="136" t="str">
        <f t="shared" si="1"/>
        <v/>
      </c>
      <c r="U59" s="133"/>
      <c r="V59" s="137" t="str">
        <f t="shared" si="2"/>
        <v/>
      </c>
      <c r="W59" s="133"/>
      <c r="X59" s="133"/>
      <c r="Y59" s="133"/>
      <c r="Z59" s="133"/>
      <c r="AA59" s="133"/>
      <c r="AB59" s="133"/>
    </row>
    <row r="60" spans="1:28" s="143" customFormat="1" x14ac:dyDescent="0.15">
      <c r="A60" s="133"/>
      <c r="B60" s="133"/>
      <c r="C60" s="133"/>
      <c r="D60" s="134"/>
      <c r="E60" s="133"/>
      <c r="F60" s="133"/>
      <c r="G60" s="133"/>
      <c r="H60" s="133"/>
      <c r="I60" s="133"/>
      <c r="J60" s="133"/>
      <c r="K60" s="133"/>
      <c r="N60" s="133"/>
      <c r="Q60" s="135" t="str">
        <f t="shared" si="0"/>
        <v/>
      </c>
      <c r="T60" s="136" t="str">
        <f t="shared" si="1"/>
        <v/>
      </c>
      <c r="U60" s="133"/>
      <c r="V60" s="137" t="str">
        <f t="shared" si="2"/>
        <v/>
      </c>
      <c r="W60" s="133"/>
      <c r="X60" s="133"/>
      <c r="Y60" s="133"/>
      <c r="Z60" s="133"/>
      <c r="AA60" s="133"/>
      <c r="AB60" s="133"/>
    </row>
    <row r="61" spans="1:28" s="143" customFormat="1" x14ac:dyDescent="0.15">
      <c r="A61" s="133"/>
      <c r="B61" s="133"/>
      <c r="C61" s="133"/>
      <c r="D61" s="134"/>
      <c r="E61" s="133"/>
      <c r="F61" s="133"/>
      <c r="G61" s="133"/>
      <c r="H61" s="133"/>
      <c r="I61" s="133"/>
      <c r="J61" s="133"/>
      <c r="K61" s="133"/>
      <c r="N61" s="133"/>
      <c r="Q61" s="135" t="str">
        <f t="shared" si="0"/>
        <v/>
      </c>
      <c r="T61" s="136" t="str">
        <f t="shared" si="1"/>
        <v/>
      </c>
      <c r="U61" s="133"/>
      <c r="V61" s="137" t="str">
        <f t="shared" si="2"/>
        <v/>
      </c>
      <c r="W61" s="133"/>
      <c r="X61" s="133"/>
      <c r="Y61" s="133"/>
      <c r="Z61" s="133"/>
      <c r="AA61" s="133"/>
      <c r="AB61" s="133"/>
    </row>
    <row r="62" spans="1:28" s="143" customFormat="1" x14ac:dyDescent="0.15">
      <c r="A62" s="133"/>
      <c r="B62" s="133"/>
      <c r="C62" s="133"/>
      <c r="D62" s="134"/>
      <c r="E62" s="133"/>
      <c r="F62" s="133"/>
      <c r="G62" s="133"/>
      <c r="H62" s="133"/>
      <c r="I62" s="133"/>
      <c r="J62" s="133"/>
      <c r="K62" s="133"/>
      <c r="N62" s="133"/>
      <c r="Q62" s="135" t="str">
        <f t="shared" si="0"/>
        <v/>
      </c>
      <c r="T62" s="136" t="str">
        <f t="shared" si="1"/>
        <v/>
      </c>
      <c r="U62" s="133"/>
      <c r="V62" s="137" t="str">
        <f t="shared" si="2"/>
        <v/>
      </c>
      <c r="W62" s="133"/>
      <c r="X62" s="133"/>
      <c r="Y62" s="133"/>
      <c r="Z62" s="133"/>
      <c r="AA62" s="133"/>
      <c r="AB62" s="133"/>
    </row>
    <row r="63" spans="1:28" s="143" customFormat="1" x14ac:dyDescent="0.15">
      <c r="A63" s="133"/>
      <c r="B63" s="133"/>
      <c r="C63" s="133"/>
      <c r="D63" s="134"/>
      <c r="E63" s="133"/>
      <c r="F63" s="133"/>
      <c r="G63" s="133"/>
      <c r="H63" s="133"/>
      <c r="I63" s="133"/>
      <c r="J63" s="133"/>
      <c r="K63" s="133"/>
      <c r="N63" s="133"/>
      <c r="Q63" s="135" t="str">
        <f t="shared" si="0"/>
        <v/>
      </c>
      <c r="T63" s="136" t="str">
        <f t="shared" si="1"/>
        <v/>
      </c>
      <c r="U63" s="133"/>
      <c r="V63" s="137" t="str">
        <f t="shared" si="2"/>
        <v/>
      </c>
      <c r="W63" s="133"/>
      <c r="X63" s="133"/>
      <c r="Y63" s="133"/>
      <c r="Z63" s="133"/>
      <c r="AA63" s="133"/>
      <c r="AB63" s="133"/>
    </row>
    <row r="64" spans="1:28" s="143" customFormat="1" x14ac:dyDescent="0.15">
      <c r="A64" s="133"/>
      <c r="B64" s="133"/>
      <c r="C64" s="133"/>
      <c r="D64" s="134"/>
      <c r="E64" s="133"/>
      <c r="F64" s="133"/>
      <c r="G64" s="133"/>
      <c r="H64" s="133"/>
      <c r="I64" s="133"/>
      <c r="J64" s="133"/>
      <c r="K64" s="133"/>
      <c r="N64" s="133"/>
      <c r="Q64" s="135" t="str">
        <f t="shared" si="0"/>
        <v/>
      </c>
      <c r="T64" s="136" t="str">
        <f t="shared" si="1"/>
        <v/>
      </c>
      <c r="U64" s="133"/>
      <c r="V64" s="137" t="str">
        <f t="shared" si="2"/>
        <v/>
      </c>
      <c r="W64" s="133"/>
      <c r="X64" s="133"/>
      <c r="Y64" s="133"/>
      <c r="Z64" s="133"/>
      <c r="AA64" s="133"/>
      <c r="AB64" s="133"/>
    </row>
    <row r="65" spans="1:28" s="143" customFormat="1" x14ac:dyDescent="0.15">
      <c r="A65" s="133"/>
      <c r="B65" s="133"/>
      <c r="C65" s="133"/>
      <c r="D65" s="134"/>
      <c r="E65" s="133"/>
      <c r="F65" s="133"/>
      <c r="G65" s="133"/>
      <c r="H65" s="133"/>
      <c r="I65" s="133"/>
      <c r="J65" s="133"/>
      <c r="K65" s="133"/>
      <c r="N65" s="133"/>
      <c r="Q65" s="136" t="str">
        <f t="shared" si="0"/>
        <v/>
      </c>
      <c r="T65" s="136" t="str">
        <f t="shared" si="1"/>
        <v/>
      </c>
      <c r="U65" s="133"/>
      <c r="V65" s="136" t="str">
        <f t="shared" si="2"/>
        <v/>
      </c>
      <c r="W65" s="133"/>
      <c r="X65" s="133"/>
      <c r="Y65" s="133"/>
      <c r="Z65" s="133"/>
      <c r="AA65" s="133"/>
      <c r="AB65" s="133"/>
    </row>
    <row r="66" spans="1:28" x14ac:dyDescent="0.15">
      <c r="A66" s="133"/>
      <c r="B66" s="133"/>
      <c r="C66" s="158"/>
      <c r="D66" s="159"/>
      <c r="E66" s="133"/>
      <c r="F66" s="133"/>
      <c r="G66" s="158"/>
      <c r="H66" s="158"/>
      <c r="I66" s="158"/>
      <c r="J66" s="158"/>
      <c r="K66" s="133"/>
      <c r="N66" s="158"/>
      <c r="Q66" s="160" t="str">
        <f t="shared" ref="Q66:Q85" si="3">IF(OR(O66="",P66=""),"",AVERAGE(O66,P66))</f>
        <v/>
      </c>
      <c r="T66" s="160" t="str">
        <f t="shared" ref="T66:T85" si="4">IF(H66="","",IF(OR(H66="GREEN",H66="GK"),IF(S66&gt;=$AX$2,VLOOKUP(S66,$AX$2:$AY$12,2,1),""),IF(S66&gt;=$AZ$2,VLOOKUP(S66,$AZ$2:$BA$12,2,1),"")))</f>
        <v/>
      </c>
      <c r="U66" s="158"/>
      <c r="V66" s="160" t="str">
        <f t="shared" ref="V66:V85" si="5">IF(OR(N66="",U66="",T66=""),"",U66/N66*T66)</f>
        <v/>
      </c>
      <c r="W66" s="158"/>
      <c r="X66" s="158"/>
      <c r="Y66" s="158"/>
      <c r="Z66" s="158"/>
      <c r="AA66" s="158"/>
      <c r="AB66" s="133"/>
    </row>
    <row r="67" spans="1:28" x14ac:dyDescent="0.15">
      <c r="A67" s="133"/>
      <c r="B67" s="133"/>
      <c r="C67" s="158"/>
      <c r="D67" s="159"/>
      <c r="E67" s="133"/>
      <c r="F67" s="133"/>
      <c r="G67" s="158"/>
      <c r="H67" s="158"/>
      <c r="I67" s="158"/>
      <c r="J67" s="158"/>
      <c r="K67" s="133"/>
      <c r="N67" s="158"/>
      <c r="O67" s="143"/>
      <c r="Q67" s="160" t="str">
        <f t="shared" si="3"/>
        <v/>
      </c>
      <c r="T67" s="160" t="str">
        <f t="shared" si="4"/>
        <v/>
      </c>
      <c r="U67" s="158"/>
      <c r="V67" s="160" t="str">
        <f t="shared" si="5"/>
        <v/>
      </c>
      <c r="W67" s="158"/>
      <c r="X67" s="158"/>
      <c r="Y67" s="158"/>
      <c r="Z67" s="158"/>
      <c r="AA67" s="158"/>
      <c r="AB67" s="133"/>
    </row>
    <row r="68" spans="1:28" x14ac:dyDescent="0.15">
      <c r="A68" s="133"/>
      <c r="B68" s="133"/>
      <c r="C68" s="158"/>
      <c r="D68" s="159"/>
      <c r="E68" s="133"/>
      <c r="F68" s="133"/>
      <c r="G68" s="158"/>
      <c r="H68" s="158"/>
      <c r="I68" s="158"/>
      <c r="J68" s="158"/>
      <c r="K68" s="133"/>
      <c r="N68" s="158"/>
      <c r="Q68" s="160" t="str">
        <f t="shared" si="3"/>
        <v/>
      </c>
      <c r="T68" s="160" t="str">
        <f t="shared" si="4"/>
        <v/>
      </c>
      <c r="V68" s="160" t="str">
        <f t="shared" si="5"/>
        <v/>
      </c>
      <c r="W68" s="158"/>
      <c r="X68" s="158"/>
      <c r="Y68" s="158"/>
      <c r="Z68" s="158"/>
      <c r="AA68" s="158"/>
      <c r="AB68" s="133"/>
    </row>
    <row r="69" spans="1:28" x14ac:dyDescent="0.15">
      <c r="A69" s="133"/>
      <c r="B69" s="133"/>
      <c r="C69" s="158"/>
      <c r="D69" s="159"/>
      <c r="E69" s="133"/>
      <c r="F69" s="133"/>
      <c r="G69" s="158"/>
      <c r="H69" s="158"/>
      <c r="I69" s="158"/>
      <c r="J69" s="158"/>
      <c r="K69" s="133"/>
      <c r="N69" s="158"/>
      <c r="O69" s="143"/>
      <c r="Q69" s="160" t="str">
        <f t="shared" si="3"/>
        <v/>
      </c>
      <c r="T69" s="160" t="str">
        <f t="shared" si="4"/>
        <v/>
      </c>
      <c r="V69" s="160" t="str">
        <f t="shared" si="5"/>
        <v/>
      </c>
      <c r="W69" s="158"/>
      <c r="X69" s="158"/>
      <c r="Y69" s="158"/>
      <c r="Z69" s="158"/>
      <c r="AA69" s="158"/>
      <c r="AB69" s="133"/>
    </row>
    <row r="70" spans="1:28" x14ac:dyDescent="0.15">
      <c r="A70" s="133"/>
      <c r="B70" s="133"/>
      <c r="C70" s="158"/>
      <c r="D70" s="159"/>
      <c r="E70" s="133"/>
      <c r="F70" s="133"/>
      <c r="G70" s="158"/>
      <c r="H70" s="158"/>
      <c r="I70" s="158"/>
      <c r="J70" s="158"/>
      <c r="K70" s="133"/>
      <c r="N70" s="158"/>
      <c r="Q70" s="160" t="str">
        <f t="shared" si="3"/>
        <v/>
      </c>
      <c r="T70" s="160" t="str">
        <f t="shared" si="4"/>
        <v/>
      </c>
      <c r="V70" s="160" t="str">
        <f t="shared" si="5"/>
        <v/>
      </c>
      <c r="W70" s="158"/>
      <c r="X70" s="158"/>
      <c r="Y70" s="158"/>
      <c r="Z70" s="158"/>
      <c r="AA70" s="158"/>
      <c r="AB70" s="133"/>
    </row>
    <row r="71" spans="1:28" x14ac:dyDescent="0.15">
      <c r="A71" s="133"/>
      <c r="B71" s="133"/>
      <c r="C71" s="158"/>
      <c r="D71" s="159"/>
      <c r="E71" s="133"/>
      <c r="F71" s="133"/>
      <c r="G71" s="158"/>
      <c r="H71" s="158"/>
      <c r="I71" s="158"/>
      <c r="J71" s="158"/>
      <c r="K71" s="133"/>
      <c r="N71" s="158"/>
      <c r="Q71" s="160" t="str">
        <f t="shared" si="3"/>
        <v/>
      </c>
      <c r="T71" s="160" t="str">
        <f t="shared" si="4"/>
        <v/>
      </c>
      <c r="V71" s="160" t="str">
        <f t="shared" si="5"/>
        <v/>
      </c>
      <c r="W71" s="158"/>
      <c r="X71" s="158"/>
      <c r="Y71" s="158"/>
      <c r="Z71" s="158"/>
      <c r="AA71" s="158"/>
      <c r="AB71" s="133"/>
    </row>
    <row r="72" spans="1:28" x14ac:dyDescent="0.15">
      <c r="A72" s="133"/>
      <c r="B72" s="133"/>
      <c r="C72" s="158"/>
      <c r="D72" s="159"/>
      <c r="E72" s="133"/>
      <c r="F72" s="133"/>
      <c r="G72" s="158"/>
      <c r="H72" s="158"/>
      <c r="I72" s="158"/>
      <c r="J72" s="158"/>
      <c r="K72" s="133"/>
      <c r="N72" s="158"/>
      <c r="Q72" s="160" t="str">
        <f t="shared" si="3"/>
        <v/>
      </c>
      <c r="T72" s="160" t="str">
        <f t="shared" si="4"/>
        <v/>
      </c>
      <c r="V72" s="160" t="str">
        <f t="shared" si="5"/>
        <v/>
      </c>
      <c r="W72" s="158"/>
      <c r="X72" s="158"/>
      <c r="Y72" s="158"/>
      <c r="Z72" s="158"/>
      <c r="AA72" s="158"/>
      <c r="AB72" s="133"/>
    </row>
    <row r="73" spans="1:28" x14ac:dyDescent="0.15">
      <c r="A73" s="133"/>
      <c r="B73" s="133"/>
      <c r="C73" s="158"/>
      <c r="D73" s="159"/>
      <c r="E73" s="133"/>
      <c r="F73" s="133"/>
      <c r="G73" s="158"/>
      <c r="H73" s="158"/>
      <c r="I73" s="158"/>
      <c r="J73" s="158"/>
      <c r="K73" s="133"/>
      <c r="N73" s="158"/>
      <c r="P73" s="143"/>
      <c r="Q73" s="160" t="str">
        <f t="shared" si="3"/>
        <v/>
      </c>
      <c r="T73" s="160" t="str">
        <f t="shared" si="4"/>
        <v/>
      </c>
      <c r="V73" s="160" t="str">
        <f t="shared" si="5"/>
        <v/>
      </c>
      <c r="W73" s="158"/>
      <c r="X73" s="158"/>
      <c r="Y73" s="158"/>
      <c r="Z73" s="158"/>
      <c r="AA73" s="158"/>
      <c r="AB73" s="133"/>
    </row>
    <row r="74" spans="1:28" x14ac:dyDescent="0.15">
      <c r="A74" s="133"/>
      <c r="B74" s="133"/>
      <c r="C74" s="158"/>
      <c r="D74" s="159"/>
      <c r="E74" s="133"/>
      <c r="F74" s="133"/>
      <c r="G74" s="158"/>
      <c r="H74" s="158"/>
      <c r="I74" s="158"/>
      <c r="J74" s="158"/>
      <c r="K74" s="133"/>
      <c r="N74" s="158"/>
      <c r="Q74" s="160" t="str">
        <f t="shared" si="3"/>
        <v/>
      </c>
      <c r="T74" s="160" t="str">
        <f t="shared" si="4"/>
        <v/>
      </c>
      <c r="V74" s="160" t="str">
        <f t="shared" si="5"/>
        <v/>
      </c>
      <c r="W74" s="158"/>
      <c r="X74" s="158"/>
      <c r="Y74" s="158"/>
      <c r="Z74" s="158"/>
      <c r="AA74" s="158"/>
      <c r="AB74" s="133"/>
    </row>
    <row r="75" spans="1:28" x14ac:dyDescent="0.15">
      <c r="A75" s="133"/>
      <c r="B75" s="133"/>
      <c r="C75" s="158"/>
      <c r="D75" s="159"/>
      <c r="E75" s="133"/>
      <c r="F75" s="133"/>
      <c r="G75" s="158"/>
      <c r="H75" s="158"/>
      <c r="I75" s="158"/>
      <c r="J75" s="158"/>
      <c r="K75" s="133"/>
      <c r="N75" s="158"/>
      <c r="Q75" s="160" t="str">
        <f t="shared" si="3"/>
        <v/>
      </c>
      <c r="T75" s="160" t="str">
        <f t="shared" si="4"/>
        <v/>
      </c>
      <c r="V75" s="160" t="str">
        <f t="shared" si="5"/>
        <v/>
      </c>
      <c r="W75" s="158"/>
      <c r="X75" s="158"/>
      <c r="Y75" s="158"/>
      <c r="Z75" s="158"/>
      <c r="AA75" s="158"/>
      <c r="AB75" s="133"/>
    </row>
    <row r="76" spans="1:28" x14ac:dyDescent="0.15">
      <c r="A76" s="133"/>
      <c r="B76" s="133"/>
      <c r="C76" s="158"/>
      <c r="D76" s="159"/>
      <c r="E76" s="133"/>
      <c r="F76" s="133"/>
      <c r="G76" s="158"/>
      <c r="H76" s="158"/>
      <c r="I76" s="158"/>
      <c r="J76" s="158"/>
      <c r="K76" s="133"/>
      <c r="N76" s="158"/>
      <c r="Q76" s="160" t="str">
        <f t="shared" si="3"/>
        <v/>
      </c>
      <c r="T76" s="160" t="str">
        <f t="shared" si="4"/>
        <v/>
      </c>
      <c r="V76" s="160" t="str">
        <f t="shared" si="5"/>
        <v/>
      </c>
      <c r="W76" s="158"/>
      <c r="X76" s="158"/>
      <c r="Y76" s="158"/>
      <c r="Z76" s="158"/>
      <c r="AA76" s="158"/>
      <c r="AB76" s="133"/>
    </row>
    <row r="77" spans="1:28" x14ac:dyDescent="0.15">
      <c r="A77" s="133"/>
      <c r="B77" s="133"/>
      <c r="C77" s="158"/>
      <c r="D77" s="159"/>
      <c r="E77" s="133"/>
      <c r="F77" s="133"/>
      <c r="G77" s="158"/>
      <c r="H77" s="158"/>
      <c r="I77" s="158"/>
      <c r="J77" s="158"/>
      <c r="K77" s="133"/>
      <c r="N77" s="158"/>
      <c r="Q77" s="160" t="str">
        <f t="shared" si="3"/>
        <v/>
      </c>
      <c r="T77" s="160" t="str">
        <f t="shared" si="4"/>
        <v/>
      </c>
      <c r="V77" s="160" t="str">
        <f t="shared" si="5"/>
        <v/>
      </c>
      <c r="W77" s="158"/>
      <c r="X77" s="158"/>
      <c r="Y77" s="158"/>
      <c r="Z77" s="158"/>
      <c r="AA77" s="158"/>
      <c r="AB77" s="133"/>
    </row>
    <row r="78" spans="1:28" x14ac:dyDescent="0.15">
      <c r="A78" s="133"/>
      <c r="B78" s="133"/>
      <c r="C78" s="158"/>
      <c r="D78" s="159"/>
      <c r="E78" s="133"/>
      <c r="F78" s="133"/>
      <c r="G78" s="158"/>
      <c r="H78" s="158"/>
      <c r="I78" s="158"/>
      <c r="J78" s="158"/>
      <c r="K78" s="133"/>
      <c r="N78" s="158"/>
      <c r="Q78" s="160" t="str">
        <f t="shared" si="3"/>
        <v/>
      </c>
      <c r="T78" s="160" t="str">
        <f t="shared" si="4"/>
        <v/>
      </c>
      <c r="V78" s="160" t="str">
        <f t="shared" si="5"/>
        <v/>
      </c>
      <c r="W78" s="158"/>
      <c r="X78" s="158"/>
      <c r="Y78" s="158"/>
      <c r="Z78" s="158"/>
      <c r="AA78" s="158"/>
      <c r="AB78" s="133"/>
    </row>
    <row r="79" spans="1:28" x14ac:dyDescent="0.15">
      <c r="A79" s="133"/>
      <c r="B79" s="133"/>
      <c r="C79" s="158"/>
      <c r="D79" s="159"/>
      <c r="E79" s="133"/>
      <c r="F79" s="133"/>
      <c r="G79" s="158"/>
      <c r="H79" s="158"/>
      <c r="I79" s="158"/>
      <c r="J79" s="158"/>
      <c r="K79" s="133"/>
      <c r="N79" s="158"/>
      <c r="Q79" s="160" t="str">
        <f t="shared" si="3"/>
        <v/>
      </c>
      <c r="R79" s="143"/>
      <c r="T79" s="160" t="str">
        <f t="shared" si="4"/>
        <v/>
      </c>
      <c r="V79" s="160" t="str">
        <f t="shared" si="5"/>
        <v/>
      </c>
      <c r="W79" s="158"/>
      <c r="X79" s="158"/>
      <c r="Y79" s="158"/>
      <c r="Z79" s="158"/>
      <c r="AA79" s="158"/>
      <c r="AB79" s="133"/>
    </row>
    <row r="80" spans="1:28" x14ac:dyDescent="0.15">
      <c r="A80" s="133"/>
      <c r="B80" s="133"/>
      <c r="C80" s="158"/>
      <c r="D80" s="159"/>
      <c r="E80" s="133"/>
      <c r="F80" s="133"/>
      <c r="G80" s="158"/>
      <c r="H80" s="158"/>
      <c r="I80" s="158"/>
      <c r="J80" s="158"/>
      <c r="K80" s="133"/>
      <c r="N80" s="158"/>
      <c r="Q80" s="160" t="str">
        <f t="shared" si="3"/>
        <v/>
      </c>
      <c r="T80" s="160" t="str">
        <f t="shared" si="4"/>
        <v/>
      </c>
      <c r="V80" s="160" t="str">
        <f t="shared" si="5"/>
        <v/>
      </c>
      <c r="W80" s="158"/>
      <c r="X80" s="158"/>
      <c r="Y80" s="158"/>
      <c r="Z80" s="158"/>
      <c r="AA80" s="158"/>
      <c r="AB80" s="133"/>
    </row>
    <row r="81" spans="1:28" x14ac:dyDescent="0.15">
      <c r="A81" s="133"/>
      <c r="B81" s="133"/>
      <c r="C81" s="158"/>
      <c r="D81" s="159"/>
      <c r="E81" s="133"/>
      <c r="F81" s="133"/>
      <c r="G81" s="158"/>
      <c r="H81" s="158"/>
      <c r="I81" s="158"/>
      <c r="J81" s="158"/>
      <c r="K81" s="133"/>
      <c r="N81" s="158"/>
      <c r="Q81" s="160" t="str">
        <f t="shared" si="3"/>
        <v/>
      </c>
      <c r="T81" s="160" t="str">
        <f t="shared" si="4"/>
        <v/>
      </c>
      <c r="V81" s="160" t="str">
        <f t="shared" si="5"/>
        <v/>
      </c>
      <c r="W81" s="158"/>
      <c r="X81" s="158"/>
      <c r="Y81" s="158"/>
      <c r="Z81" s="158"/>
      <c r="AA81" s="158"/>
      <c r="AB81" s="133"/>
    </row>
    <row r="82" spans="1:28" x14ac:dyDescent="0.15">
      <c r="A82" s="133"/>
      <c r="B82" s="133"/>
      <c r="C82" s="158"/>
      <c r="D82" s="159"/>
      <c r="E82" s="133"/>
      <c r="F82" s="133"/>
      <c r="G82" s="158"/>
      <c r="H82" s="158"/>
      <c r="I82" s="158"/>
      <c r="J82" s="158"/>
      <c r="K82" s="133"/>
      <c r="N82" s="158"/>
      <c r="Q82" s="160" t="str">
        <f t="shared" si="3"/>
        <v/>
      </c>
      <c r="T82" s="160" t="str">
        <f t="shared" si="4"/>
        <v/>
      </c>
      <c r="V82" s="160" t="str">
        <f t="shared" si="5"/>
        <v/>
      </c>
      <c r="W82" s="158"/>
      <c r="X82" s="158"/>
      <c r="Y82" s="158"/>
      <c r="Z82" s="158"/>
      <c r="AA82" s="158"/>
      <c r="AB82" s="133"/>
    </row>
    <row r="83" spans="1:28" x14ac:dyDescent="0.15">
      <c r="A83" s="133"/>
      <c r="B83" s="133"/>
      <c r="C83" s="158"/>
      <c r="D83" s="159"/>
      <c r="E83" s="133"/>
      <c r="F83" s="133"/>
      <c r="G83" s="158"/>
      <c r="H83" s="158"/>
      <c r="I83" s="158"/>
      <c r="J83" s="158"/>
      <c r="K83" s="133"/>
      <c r="N83" s="158"/>
      <c r="Q83" s="160" t="str">
        <f t="shared" si="3"/>
        <v/>
      </c>
      <c r="T83" s="160" t="str">
        <f t="shared" si="4"/>
        <v/>
      </c>
      <c r="V83" s="160" t="str">
        <f t="shared" si="5"/>
        <v/>
      </c>
      <c r="W83" s="158"/>
      <c r="X83" s="158"/>
      <c r="Y83" s="158"/>
      <c r="Z83" s="158"/>
      <c r="AA83" s="158"/>
      <c r="AB83" s="133"/>
    </row>
    <row r="84" spans="1:28" x14ac:dyDescent="0.15">
      <c r="A84" s="133"/>
      <c r="B84" s="133"/>
      <c r="C84" s="158"/>
      <c r="D84" s="159"/>
      <c r="E84" s="133"/>
      <c r="F84" s="133"/>
      <c r="G84" s="158"/>
      <c r="H84" s="158"/>
      <c r="I84" s="158"/>
      <c r="J84" s="158"/>
      <c r="K84" s="133"/>
      <c r="N84" s="158"/>
      <c r="Q84" s="160" t="str">
        <f t="shared" si="3"/>
        <v/>
      </c>
      <c r="T84" s="160" t="str">
        <f t="shared" si="4"/>
        <v/>
      </c>
      <c r="V84" s="160" t="str">
        <f t="shared" si="5"/>
        <v/>
      </c>
      <c r="W84" s="158"/>
      <c r="X84" s="158"/>
      <c r="Y84" s="158"/>
      <c r="Z84" s="158"/>
      <c r="AA84" s="158"/>
      <c r="AB84" s="133"/>
    </row>
    <row r="85" spans="1:28" x14ac:dyDescent="0.15">
      <c r="A85" s="133"/>
      <c r="B85" s="133"/>
      <c r="C85" s="158"/>
      <c r="D85" s="159"/>
      <c r="E85" s="133"/>
      <c r="F85" s="133"/>
      <c r="G85" s="158"/>
      <c r="H85" s="158"/>
      <c r="I85" s="158"/>
      <c r="J85" s="158"/>
      <c r="K85" s="133"/>
      <c r="N85" s="158"/>
      <c r="Q85" s="160" t="str">
        <f t="shared" si="3"/>
        <v/>
      </c>
      <c r="T85" s="160" t="str">
        <f t="shared" si="4"/>
        <v/>
      </c>
      <c r="V85" s="160" t="str">
        <f t="shared" si="5"/>
        <v/>
      </c>
      <c r="W85" s="158"/>
      <c r="X85" s="158"/>
      <c r="Y85" s="158"/>
      <c r="Z85" s="158"/>
      <c r="AA85" s="158"/>
      <c r="AB85" s="133"/>
    </row>
    <row r="86" spans="1:28" x14ac:dyDescent="0.15">
      <c r="A86" s="133"/>
      <c r="B86" s="133"/>
      <c r="C86" s="158"/>
      <c r="D86" s="159"/>
      <c r="E86" s="133"/>
      <c r="F86" s="133"/>
      <c r="G86" s="158"/>
      <c r="H86" s="158"/>
      <c r="I86" s="158"/>
      <c r="J86" s="158"/>
      <c r="K86" s="133"/>
      <c r="N86" s="158"/>
      <c r="W86" s="158"/>
      <c r="X86" s="158"/>
      <c r="Y86" s="158"/>
      <c r="Z86" s="158"/>
      <c r="AA86" s="158"/>
      <c r="AB86" s="133"/>
    </row>
    <row r="87" spans="1:28" x14ac:dyDescent="0.15">
      <c r="A87" s="133"/>
      <c r="B87" s="133"/>
      <c r="C87" s="158"/>
      <c r="D87" s="159"/>
      <c r="E87" s="133"/>
      <c r="F87" s="133"/>
      <c r="G87" s="158"/>
      <c r="H87" s="158"/>
      <c r="I87" s="158"/>
      <c r="J87" s="158"/>
      <c r="K87" s="133"/>
      <c r="N87" s="158"/>
      <c r="W87" s="158"/>
      <c r="X87" s="158"/>
      <c r="Y87" s="158"/>
      <c r="Z87" s="158"/>
      <c r="AA87" s="158"/>
      <c r="AB87" s="133"/>
    </row>
    <row r="88" spans="1:28" x14ac:dyDescent="0.15">
      <c r="A88" s="133"/>
      <c r="B88" s="133"/>
      <c r="C88" s="158"/>
      <c r="D88" s="159"/>
      <c r="E88" s="133"/>
      <c r="F88" s="133"/>
      <c r="G88" s="158"/>
      <c r="H88" s="158"/>
      <c r="I88" s="158"/>
      <c r="J88" s="158"/>
      <c r="K88" s="133"/>
      <c r="N88" s="158"/>
      <c r="W88" s="158"/>
      <c r="X88" s="158"/>
      <c r="Y88" s="158"/>
      <c r="Z88" s="158"/>
      <c r="AA88" s="158"/>
      <c r="AB88" s="133"/>
    </row>
    <row r="89" spans="1:28" x14ac:dyDescent="0.15">
      <c r="A89" s="133"/>
      <c r="B89" s="133"/>
      <c r="C89" s="158"/>
      <c r="D89" s="159"/>
      <c r="E89" s="133"/>
      <c r="F89" s="133"/>
      <c r="G89" s="158"/>
      <c r="H89" s="158"/>
      <c r="I89" s="158"/>
      <c r="J89" s="158"/>
      <c r="K89" s="133"/>
      <c r="N89" s="158"/>
      <c r="W89" s="158"/>
      <c r="X89" s="158"/>
      <c r="Y89" s="158"/>
      <c r="Z89" s="158"/>
      <c r="AA89" s="158"/>
      <c r="AB89" s="133"/>
    </row>
    <row r="90" spans="1:28" x14ac:dyDescent="0.15">
      <c r="A90" s="133"/>
      <c r="B90" s="133"/>
      <c r="C90" s="158"/>
      <c r="D90" s="159"/>
      <c r="E90" s="133"/>
      <c r="F90" s="133"/>
      <c r="G90" s="158"/>
      <c r="H90" s="158"/>
      <c r="I90" s="158"/>
      <c r="J90" s="158"/>
      <c r="K90" s="158"/>
      <c r="N90" s="158"/>
      <c r="W90" s="158"/>
      <c r="X90" s="158"/>
      <c r="Y90" s="158"/>
      <c r="Z90" s="158"/>
      <c r="AA90" s="158"/>
      <c r="AB90" s="133"/>
    </row>
    <row r="91" spans="1:28" x14ac:dyDescent="0.15">
      <c r="A91" s="133"/>
      <c r="B91" s="133"/>
      <c r="C91" s="158"/>
      <c r="D91" s="159"/>
      <c r="E91" s="133"/>
      <c r="F91" s="133"/>
      <c r="G91" s="158"/>
      <c r="H91" s="158"/>
      <c r="I91" s="158"/>
      <c r="J91" s="158"/>
      <c r="K91" s="158"/>
      <c r="N91" s="158"/>
      <c r="W91" s="158"/>
      <c r="X91" s="158"/>
      <c r="Y91" s="158"/>
      <c r="Z91" s="158"/>
      <c r="AA91" s="158"/>
      <c r="AB91" s="133"/>
    </row>
    <row r="92" spans="1:28" x14ac:dyDescent="0.15">
      <c r="E92" s="133"/>
      <c r="F92" s="133"/>
    </row>
    <row r="93" spans="1:28" x14ac:dyDescent="0.15">
      <c r="E93" s="133"/>
      <c r="F93" s="133"/>
    </row>
    <row r="94" spans="1:28" x14ac:dyDescent="0.15">
      <c r="E94" s="133"/>
      <c r="F94" s="133"/>
    </row>
    <row r="95" spans="1:28" x14ac:dyDescent="0.15">
      <c r="E95" s="133"/>
      <c r="F95" s="133"/>
    </row>
    <row r="96" spans="1:28" x14ac:dyDescent="0.15">
      <c r="E96" s="133"/>
      <c r="F96" s="133"/>
    </row>
    <row r="97" spans="5:6" x14ac:dyDescent="0.15">
      <c r="E97" s="133"/>
      <c r="F97" s="133"/>
    </row>
    <row r="98" spans="5:6" x14ac:dyDescent="0.15">
      <c r="E98" s="133"/>
      <c r="F98" s="133"/>
    </row>
    <row r="99" spans="5:6" x14ac:dyDescent="0.15">
      <c r="E99" s="133"/>
      <c r="F99" s="133"/>
    </row>
    <row r="100" spans="5:6" x14ac:dyDescent="0.15">
      <c r="E100" s="133"/>
      <c r="F100" s="133"/>
    </row>
    <row r="101" spans="5:6" x14ac:dyDescent="0.15">
      <c r="E101" s="133"/>
      <c r="F101" s="133"/>
    </row>
    <row r="102" spans="5:6" x14ac:dyDescent="0.15">
      <c r="E102" s="133"/>
      <c r="F102" s="133"/>
    </row>
    <row r="103" spans="5:6" x14ac:dyDescent="0.15">
      <c r="E103" s="133"/>
      <c r="F103" s="133"/>
    </row>
    <row r="104" spans="5:6" x14ac:dyDescent="0.15">
      <c r="E104" s="133"/>
      <c r="F104" s="133"/>
    </row>
    <row r="105" spans="5:6" x14ac:dyDescent="0.15">
      <c r="E105" s="133"/>
      <c r="F105" s="133"/>
    </row>
    <row r="106" spans="5:6" x14ac:dyDescent="0.15">
      <c r="E106" s="133"/>
      <c r="F106" s="133"/>
    </row>
    <row r="107" spans="5:6" x14ac:dyDescent="0.15">
      <c r="E107" s="133"/>
      <c r="F107" s="133"/>
    </row>
    <row r="108" spans="5:6" x14ac:dyDescent="0.15">
      <c r="E108" s="133"/>
      <c r="F108" s="133"/>
    </row>
    <row r="109" spans="5:6" x14ac:dyDescent="0.15">
      <c r="E109" s="133"/>
      <c r="F109" s="133"/>
    </row>
    <row r="110" spans="5:6" x14ac:dyDescent="0.15">
      <c r="E110" s="133"/>
      <c r="F110" s="133"/>
    </row>
    <row r="111" spans="5:6" x14ac:dyDescent="0.15">
      <c r="E111" s="133"/>
      <c r="F111" s="133"/>
    </row>
    <row r="112" spans="5:6" x14ac:dyDescent="0.15">
      <c r="E112" s="133"/>
      <c r="F112" s="133"/>
    </row>
    <row r="113" spans="5:6" x14ac:dyDescent="0.15">
      <c r="E113" s="133"/>
      <c r="F113" s="133"/>
    </row>
    <row r="114" spans="5:6" x14ac:dyDescent="0.15">
      <c r="E114" s="133"/>
      <c r="F114" s="133"/>
    </row>
    <row r="115" spans="5:6" x14ac:dyDescent="0.15">
      <c r="E115" s="133"/>
      <c r="F115" s="133"/>
    </row>
    <row r="116" spans="5:6" x14ac:dyDescent="0.15">
      <c r="E116" s="133"/>
      <c r="F116" s="133"/>
    </row>
    <row r="117" spans="5:6" x14ac:dyDescent="0.15">
      <c r="E117" s="133"/>
      <c r="F117" s="133"/>
    </row>
    <row r="118" spans="5:6" x14ac:dyDescent="0.15">
      <c r="E118" s="133"/>
      <c r="F118" s="133"/>
    </row>
    <row r="119" spans="5:6" x14ac:dyDescent="0.15">
      <c r="E119" s="133"/>
      <c r="F119" s="133"/>
    </row>
    <row r="120" spans="5:6" x14ac:dyDescent="0.15">
      <c r="E120" s="133"/>
      <c r="F120" s="133"/>
    </row>
    <row r="121" spans="5:6" x14ac:dyDescent="0.15">
      <c r="E121" s="133"/>
      <c r="F121" s="133"/>
    </row>
    <row r="122" spans="5:6" x14ac:dyDescent="0.15">
      <c r="E122" s="133"/>
      <c r="F122" s="133"/>
    </row>
    <row r="123" spans="5:6" x14ac:dyDescent="0.15">
      <c r="E123" s="133"/>
      <c r="F123" s="133"/>
    </row>
    <row r="124" spans="5:6" x14ac:dyDescent="0.15">
      <c r="E124" s="133"/>
      <c r="F124" s="133"/>
    </row>
    <row r="125" spans="5:6" x14ac:dyDescent="0.15">
      <c r="E125" s="133"/>
      <c r="F125" s="133"/>
    </row>
    <row r="126" spans="5:6" x14ac:dyDescent="0.15">
      <c r="E126" s="133"/>
      <c r="F126" s="133"/>
    </row>
    <row r="127" spans="5:6" x14ac:dyDescent="0.15">
      <c r="E127" s="133"/>
      <c r="F127" s="133"/>
    </row>
    <row r="128" spans="5:6" x14ac:dyDescent="0.15">
      <c r="E128" s="133"/>
      <c r="F128" s="133"/>
    </row>
    <row r="129" spans="5:6" x14ac:dyDescent="0.15">
      <c r="E129" s="133"/>
      <c r="F129" s="133"/>
    </row>
    <row r="130" spans="5:6" x14ac:dyDescent="0.15">
      <c r="E130" s="133"/>
      <c r="F130" s="133"/>
    </row>
    <row r="131" spans="5:6" x14ac:dyDescent="0.15">
      <c r="E131" s="133"/>
      <c r="F131" s="133"/>
    </row>
    <row r="132" spans="5:6" x14ac:dyDescent="0.15">
      <c r="E132" s="133"/>
      <c r="F132" s="133"/>
    </row>
    <row r="133" spans="5:6" x14ac:dyDescent="0.15">
      <c r="E133" s="133"/>
      <c r="F133" s="133"/>
    </row>
    <row r="134" spans="5:6" x14ac:dyDescent="0.15">
      <c r="E134" s="133"/>
      <c r="F134" s="133"/>
    </row>
    <row r="135" spans="5:6" x14ac:dyDescent="0.15">
      <c r="E135" s="133"/>
      <c r="F135" s="133"/>
    </row>
    <row r="136" spans="5:6" x14ac:dyDescent="0.15">
      <c r="E136" s="133"/>
      <c r="F136" s="133"/>
    </row>
    <row r="137" spans="5:6" x14ac:dyDescent="0.15">
      <c r="E137" s="133"/>
      <c r="F137" s="133"/>
    </row>
    <row r="138" spans="5:6" x14ac:dyDescent="0.15">
      <c r="E138" s="133"/>
      <c r="F138" s="133"/>
    </row>
    <row r="139" spans="5:6" x14ac:dyDescent="0.15">
      <c r="E139" s="133"/>
      <c r="F139" s="133"/>
    </row>
    <row r="140" spans="5:6" x14ac:dyDescent="0.15">
      <c r="E140" s="133"/>
      <c r="F140" s="133"/>
    </row>
    <row r="141" spans="5:6" x14ac:dyDescent="0.15">
      <c r="E141" s="133"/>
      <c r="F141" s="133"/>
    </row>
    <row r="142" spans="5:6" x14ac:dyDescent="0.15">
      <c r="E142" s="133"/>
      <c r="F142" s="133"/>
    </row>
    <row r="143" spans="5:6" x14ac:dyDescent="0.15">
      <c r="E143" s="133"/>
      <c r="F143" s="133"/>
    </row>
    <row r="144" spans="5:6" x14ac:dyDescent="0.15">
      <c r="E144" s="133"/>
      <c r="F144" s="133"/>
    </row>
    <row r="145" spans="5:6" x14ac:dyDescent="0.15">
      <c r="E145" s="133"/>
      <c r="F145" s="133"/>
    </row>
    <row r="146" spans="5:6" x14ac:dyDescent="0.15">
      <c r="E146" s="133"/>
      <c r="F146" s="133"/>
    </row>
    <row r="147" spans="5:6" x14ac:dyDescent="0.15">
      <c r="E147" s="133"/>
      <c r="F147" s="133"/>
    </row>
    <row r="148" spans="5:6" x14ac:dyDescent="0.15">
      <c r="E148" s="133"/>
      <c r="F148" s="133"/>
    </row>
    <row r="149" spans="5:6" x14ac:dyDescent="0.15">
      <c r="E149" s="133"/>
      <c r="F149" s="133"/>
    </row>
    <row r="150" spans="5:6" x14ac:dyDescent="0.15">
      <c r="E150" s="133"/>
      <c r="F150" s="133"/>
    </row>
    <row r="151" spans="5:6" x14ac:dyDescent="0.15">
      <c r="E151" s="133"/>
      <c r="F151" s="133"/>
    </row>
    <row r="152" spans="5:6" x14ac:dyDescent="0.15">
      <c r="E152" s="133"/>
      <c r="F152" s="133"/>
    </row>
    <row r="153" spans="5:6" x14ac:dyDescent="0.15">
      <c r="E153" s="133"/>
      <c r="F153" s="133"/>
    </row>
    <row r="154" spans="5:6" x14ac:dyDescent="0.15">
      <c r="E154" s="133"/>
      <c r="F154" s="133"/>
    </row>
    <row r="155" spans="5:6" x14ac:dyDescent="0.15">
      <c r="E155" s="133"/>
      <c r="F155" s="133"/>
    </row>
    <row r="156" spans="5:6" x14ac:dyDescent="0.15">
      <c r="E156" s="133"/>
      <c r="F156" s="133"/>
    </row>
    <row r="157" spans="5:6" x14ac:dyDescent="0.15">
      <c r="E157" s="133"/>
      <c r="F157" s="133"/>
    </row>
    <row r="158" spans="5:6" x14ac:dyDescent="0.15">
      <c r="E158" s="133"/>
      <c r="F158" s="133"/>
    </row>
    <row r="159" spans="5:6" x14ac:dyDescent="0.15">
      <c r="E159" s="133"/>
      <c r="F159" s="133"/>
    </row>
    <row r="160" spans="5:6" x14ac:dyDescent="0.15">
      <c r="E160" s="133"/>
      <c r="F160" s="133"/>
    </row>
    <row r="161" spans="5:6" x14ac:dyDescent="0.15">
      <c r="E161" s="133"/>
      <c r="F161" s="133"/>
    </row>
    <row r="162" spans="5:6" x14ac:dyDescent="0.15">
      <c r="E162" s="133"/>
      <c r="F162" s="133"/>
    </row>
    <row r="163" spans="5:6" x14ac:dyDescent="0.15">
      <c r="E163" s="133"/>
      <c r="F163" s="133"/>
    </row>
    <row r="164" spans="5:6" x14ac:dyDescent="0.15">
      <c r="E164" s="133"/>
      <c r="F164" s="133"/>
    </row>
    <row r="165" spans="5:6" x14ac:dyDescent="0.15">
      <c r="E165" s="133"/>
      <c r="F165" s="133"/>
    </row>
    <row r="166" spans="5:6" x14ac:dyDescent="0.15">
      <c r="E166" s="133"/>
      <c r="F166" s="133"/>
    </row>
    <row r="167" spans="5:6" x14ac:dyDescent="0.15">
      <c r="E167" s="133"/>
      <c r="F167" s="133"/>
    </row>
    <row r="168" spans="5:6" x14ac:dyDescent="0.15">
      <c r="E168" s="133"/>
      <c r="F168" s="133"/>
    </row>
    <row r="169" spans="5:6" x14ac:dyDescent="0.15">
      <c r="E169" s="133"/>
      <c r="F169" s="133"/>
    </row>
    <row r="170" spans="5:6" x14ac:dyDescent="0.15">
      <c r="E170" s="133"/>
      <c r="F170" s="133"/>
    </row>
    <row r="171" spans="5:6" x14ac:dyDescent="0.15">
      <c r="E171" s="133"/>
      <c r="F171" s="133"/>
    </row>
    <row r="172" spans="5:6" x14ac:dyDescent="0.15">
      <c r="E172" s="133"/>
      <c r="F172" s="133"/>
    </row>
    <row r="173" spans="5:6" x14ac:dyDescent="0.15">
      <c r="E173" s="133"/>
      <c r="F173" s="133"/>
    </row>
    <row r="174" spans="5:6" x14ac:dyDescent="0.15">
      <c r="E174" s="133"/>
      <c r="F174" s="133"/>
    </row>
    <row r="175" spans="5:6" x14ac:dyDescent="0.15">
      <c r="E175" s="133"/>
      <c r="F175" s="133"/>
    </row>
    <row r="176" spans="5:6" x14ac:dyDescent="0.15">
      <c r="E176" s="133"/>
      <c r="F176" s="133"/>
    </row>
    <row r="177" spans="5:6" x14ac:dyDescent="0.15">
      <c r="E177" s="133"/>
      <c r="F177" s="133"/>
    </row>
    <row r="178" spans="5:6" x14ac:dyDescent="0.15">
      <c r="E178" s="133"/>
      <c r="F178" s="133"/>
    </row>
    <row r="179" spans="5:6" x14ac:dyDescent="0.15">
      <c r="E179" s="133"/>
      <c r="F179" s="133"/>
    </row>
    <row r="180" spans="5:6" x14ac:dyDescent="0.15">
      <c r="E180" s="133"/>
      <c r="F180" s="133"/>
    </row>
    <row r="181" spans="5:6" x14ac:dyDescent="0.15">
      <c r="E181" s="133"/>
      <c r="F181" s="133"/>
    </row>
    <row r="182" spans="5:6" x14ac:dyDescent="0.15">
      <c r="E182" s="133"/>
      <c r="F182" s="133"/>
    </row>
    <row r="183" spans="5:6" x14ac:dyDescent="0.15">
      <c r="E183" s="133"/>
      <c r="F183" s="133"/>
    </row>
    <row r="184" spans="5:6" x14ac:dyDescent="0.15">
      <c r="E184" s="133"/>
      <c r="F184" s="133"/>
    </row>
    <row r="185" spans="5:6" x14ac:dyDescent="0.15">
      <c r="E185" s="133"/>
      <c r="F185" s="133"/>
    </row>
    <row r="186" spans="5:6" x14ac:dyDescent="0.15">
      <c r="E186" s="133"/>
      <c r="F186" s="133"/>
    </row>
    <row r="187" spans="5:6" x14ac:dyDescent="0.15">
      <c r="E187" s="133"/>
      <c r="F187" s="133"/>
    </row>
    <row r="188" spans="5:6" x14ac:dyDescent="0.15">
      <c r="E188" s="133"/>
      <c r="F188" s="133"/>
    </row>
    <row r="189" spans="5:6" x14ac:dyDescent="0.15">
      <c r="E189" s="133"/>
      <c r="F189" s="133"/>
    </row>
    <row r="190" spans="5:6" x14ac:dyDescent="0.15">
      <c r="E190" s="133"/>
      <c r="F190" s="133"/>
    </row>
    <row r="191" spans="5:6" x14ac:dyDescent="0.15">
      <c r="E191" s="133"/>
      <c r="F191" s="133"/>
    </row>
    <row r="192" spans="5:6" x14ac:dyDescent="0.15">
      <c r="E192" s="133"/>
      <c r="F192" s="133"/>
    </row>
    <row r="193" spans="5:6" x14ac:dyDescent="0.15">
      <c r="E193" s="133"/>
      <c r="F193" s="133"/>
    </row>
    <row r="194" spans="5:6" x14ac:dyDescent="0.15">
      <c r="E194" s="133"/>
      <c r="F194" s="133"/>
    </row>
    <row r="195" spans="5:6" x14ac:dyDescent="0.15">
      <c r="E195" s="133"/>
      <c r="F195" s="133"/>
    </row>
    <row r="196" spans="5:6" x14ac:dyDescent="0.15">
      <c r="E196" s="133"/>
      <c r="F196" s="133"/>
    </row>
    <row r="197" spans="5:6" x14ac:dyDescent="0.15">
      <c r="E197" s="133"/>
      <c r="F197" s="133"/>
    </row>
    <row r="198" spans="5:6" x14ac:dyDescent="0.15">
      <c r="E198" s="133"/>
      <c r="F198" s="133"/>
    </row>
    <row r="199" spans="5:6" x14ac:dyDescent="0.15">
      <c r="E199" s="133"/>
      <c r="F199" s="133"/>
    </row>
    <row r="200" spans="5:6" x14ac:dyDescent="0.15">
      <c r="E200" s="133"/>
      <c r="F200" s="133"/>
    </row>
    <row r="201" spans="5:6" x14ac:dyDescent="0.15">
      <c r="E201" s="133"/>
      <c r="F201" s="133"/>
    </row>
    <row r="202" spans="5:6" x14ac:dyDescent="0.15">
      <c r="E202" s="133"/>
      <c r="F202" s="133"/>
    </row>
    <row r="203" spans="5:6" x14ac:dyDescent="0.15">
      <c r="E203" s="133"/>
      <c r="F203" s="133"/>
    </row>
    <row r="204" spans="5:6" x14ac:dyDescent="0.15">
      <c r="E204" s="133"/>
      <c r="F204" s="133"/>
    </row>
    <row r="205" spans="5:6" x14ac:dyDescent="0.15">
      <c r="E205" s="133"/>
      <c r="F205" s="133"/>
    </row>
    <row r="206" spans="5:6" x14ac:dyDescent="0.15">
      <c r="E206" s="133"/>
      <c r="F206" s="133"/>
    </row>
    <row r="207" spans="5:6" x14ac:dyDescent="0.15">
      <c r="E207" s="133"/>
      <c r="F207" s="133"/>
    </row>
    <row r="208" spans="5:6" x14ac:dyDescent="0.15">
      <c r="E208" s="133"/>
      <c r="F208" s="133"/>
    </row>
    <row r="209" spans="5:6" x14ac:dyDescent="0.15">
      <c r="E209" s="133"/>
      <c r="F209" s="133"/>
    </row>
    <row r="210" spans="5:6" x14ac:dyDescent="0.15">
      <c r="E210" s="133"/>
      <c r="F210" s="133"/>
    </row>
    <row r="211" spans="5:6" x14ac:dyDescent="0.15">
      <c r="E211" s="133"/>
      <c r="F211" s="133"/>
    </row>
    <row r="212" spans="5:6" x14ac:dyDescent="0.15">
      <c r="E212" s="133"/>
      <c r="F212" s="133"/>
    </row>
    <row r="213" spans="5:6" x14ac:dyDescent="0.15">
      <c r="E213" s="133"/>
      <c r="F213" s="133"/>
    </row>
    <row r="214" spans="5:6" x14ac:dyDescent="0.15">
      <c r="E214" s="133"/>
      <c r="F214" s="133"/>
    </row>
    <row r="215" spans="5:6" x14ac:dyDescent="0.15">
      <c r="E215" s="133"/>
      <c r="F215" s="133"/>
    </row>
    <row r="216" spans="5:6" x14ac:dyDescent="0.15">
      <c r="E216" s="133"/>
      <c r="F216" s="133"/>
    </row>
    <row r="217" spans="5:6" x14ac:dyDescent="0.15">
      <c r="E217" s="133"/>
      <c r="F217" s="133"/>
    </row>
    <row r="218" spans="5:6" x14ac:dyDescent="0.15">
      <c r="E218" s="133"/>
      <c r="F218" s="133"/>
    </row>
    <row r="219" spans="5:6" x14ac:dyDescent="0.15">
      <c r="E219" s="133"/>
      <c r="F219" s="133"/>
    </row>
    <row r="220" spans="5:6" x14ac:dyDescent="0.15">
      <c r="E220" s="133"/>
      <c r="F220" s="133"/>
    </row>
    <row r="221" spans="5:6" x14ac:dyDescent="0.15">
      <c r="E221" s="133"/>
      <c r="F221" s="133"/>
    </row>
    <row r="222" spans="5:6" x14ac:dyDescent="0.15">
      <c r="E222" s="133"/>
      <c r="F222" s="133"/>
    </row>
    <row r="223" spans="5:6" x14ac:dyDescent="0.15">
      <c r="E223" s="133"/>
      <c r="F223" s="133"/>
    </row>
    <row r="224" spans="5:6" x14ac:dyDescent="0.15">
      <c r="E224" s="133"/>
      <c r="F224" s="133"/>
    </row>
    <row r="225" spans="5:6" x14ac:dyDescent="0.15">
      <c r="E225" s="133"/>
      <c r="F225" s="133"/>
    </row>
    <row r="226" spans="5:6" x14ac:dyDescent="0.15">
      <c r="E226" s="133"/>
      <c r="F226" s="133"/>
    </row>
    <row r="227" spans="5:6" x14ac:dyDescent="0.15">
      <c r="E227" s="133"/>
      <c r="F227" s="133"/>
    </row>
    <row r="228" spans="5:6" x14ac:dyDescent="0.15">
      <c r="E228" s="133"/>
      <c r="F228" s="133"/>
    </row>
    <row r="229" spans="5:6" x14ac:dyDescent="0.15">
      <c r="E229" s="133"/>
      <c r="F229" s="133"/>
    </row>
    <row r="230" spans="5:6" x14ac:dyDescent="0.15">
      <c r="E230" s="133"/>
      <c r="F230" s="133"/>
    </row>
    <row r="231" spans="5:6" x14ac:dyDescent="0.15">
      <c r="E231" s="133"/>
      <c r="F231" s="133"/>
    </row>
    <row r="232" spans="5:6" x14ac:dyDescent="0.15">
      <c r="E232" s="133"/>
      <c r="F232" s="133"/>
    </row>
    <row r="233" spans="5:6" x14ac:dyDescent="0.15">
      <c r="E233" s="133"/>
      <c r="F233" s="133"/>
    </row>
    <row r="234" spans="5:6" x14ac:dyDescent="0.15">
      <c r="E234" s="133"/>
      <c r="F234" s="133"/>
    </row>
    <row r="235" spans="5:6" x14ac:dyDescent="0.15">
      <c r="E235" s="133"/>
      <c r="F235" s="133"/>
    </row>
    <row r="236" spans="5:6" x14ac:dyDescent="0.15">
      <c r="E236" s="133"/>
      <c r="F236" s="133"/>
    </row>
    <row r="237" spans="5:6" x14ac:dyDescent="0.15">
      <c r="E237" s="133"/>
      <c r="F237" s="133"/>
    </row>
    <row r="238" spans="5:6" x14ac:dyDescent="0.15">
      <c r="E238" s="133"/>
      <c r="F238" s="133"/>
    </row>
    <row r="239" spans="5:6" x14ac:dyDescent="0.15">
      <c r="E239" s="133"/>
      <c r="F239" s="133"/>
    </row>
    <row r="240" spans="5:6" x14ac:dyDescent="0.15">
      <c r="E240" s="133"/>
      <c r="F240" s="133"/>
    </row>
    <row r="241" spans="5:6" x14ac:dyDescent="0.15">
      <c r="E241" s="133"/>
      <c r="F241" s="133"/>
    </row>
    <row r="242" spans="5:6" x14ac:dyDescent="0.15">
      <c r="E242" s="133"/>
      <c r="F242" s="133"/>
    </row>
    <row r="243" spans="5:6" x14ac:dyDescent="0.15">
      <c r="E243" s="133"/>
      <c r="F243" s="133"/>
    </row>
    <row r="244" spans="5:6" x14ac:dyDescent="0.15">
      <c r="E244" s="133"/>
      <c r="F244" s="133"/>
    </row>
    <row r="245" spans="5:6" x14ac:dyDescent="0.15">
      <c r="E245" s="133"/>
      <c r="F245" s="133"/>
    </row>
    <row r="246" spans="5:6" x14ac:dyDescent="0.15">
      <c r="E246" s="133"/>
      <c r="F246" s="133"/>
    </row>
    <row r="247" spans="5:6" x14ac:dyDescent="0.15">
      <c r="E247" s="133"/>
      <c r="F247" s="133"/>
    </row>
    <row r="248" spans="5:6" x14ac:dyDescent="0.15">
      <c r="E248" s="133"/>
      <c r="F248" s="133"/>
    </row>
    <row r="249" spans="5:6" x14ac:dyDescent="0.15">
      <c r="E249" s="133"/>
      <c r="F249" s="133"/>
    </row>
    <row r="250" spans="5:6" x14ac:dyDescent="0.15">
      <c r="E250" s="133"/>
      <c r="F250" s="133"/>
    </row>
    <row r="251" spans="5:6" x14ac:dyDescent="0.15">
      <c r="E251" s="133"/>
      <c r="F251" s="133"/>
    </row>
    <row r="252" spans="5:6" x14ac:dyDescent="0.15">
      <c r="E252" s="133"/>
      <c r="F252" s="133"/>
    </row>
    <row r="253" spans="5:6" x14ac:dyDescent="0.15">
      <c r="E253" s="133"/>
      <c r="F253" s="133"/>
    </row>
    <row r="254" spans="5:6" x14ac:dyDescent="0.15">
      <c r="E254" s="133"/>
      <c r="F254" s="133"/>
    </row>
    <row r="255" spans="5:6" x14ac:dyDescent="0.15">
      <c r="E255" s="133"/>
      <c r="F255" s="133"/>
    </row>
    <row r="256" spans="5:6" x14ac:dyDescent="0.15">
      <c r="E256" s="133"/>
      <c r="F256" s="133"/>
    </row>
    <row r="257" spans="5:6" x14ac:dyDescent="0.15">
      <c r="E257" s="133"/>
      <c r="F257" s="133"/>
    </row>
    <row r="258" spans="5:6" x14ac:dyDescent="0.15">
      <c r="E258" s="133"/>
      <c r="F258" s="133"/>
    </row>
    <row r="259" spans="5:6" x14ac:dyDescent="0.15">
      <c r="E259" s="133"/>
      <c r="F259" s="133"/>
    </row>
    <row r="260" spans="5:6" x14ac:dyDescent="0.15">
      <c r="E260" s="133"/>
      <c r="F260" s="133"/>
    </row>
    <row r="261" spans="5:6" x14ac:dyDescent="0.15">
      <c r="E261" s="133"/>
      <c r="F261" s="133"/>
    </row>
    <row r="262" spans="5:6" x14ac:dyDescent="0.15">
      <c r="E262" s="133"/>
      <c r="F262" s="133"/>
    </row>
    <row r="263" spans="5:6" x14ac:dyDescent="0.15">
      <c r="E263" s="133"/>
      <c r="F263" s="133"/>
    </row>
    <row r="264" spans="5:6" x14ac:dyDescent="0.15">
      <c r="E264" s="133"/>
      <c r="F264" s="133"/>
    </row>
    <row r="265" spans="5:6" x14ac:dyDescent="0.15">
      <c r="E265" s="133"/>
      <c r="F265" s="133"/>
    </row>
    <row r="266" spans="5:6" x14ac:dyDescent="0.15">
      <c r="E266" s="133"/>
      <c r="F266" s="133"/>
    </row>
    <row r="267" spans="5:6" x14ac:dyDescent="0.15">
      <c r="E267" s="133"/>
      <c r="F267" s="133"/>
    </row>
    <row r="268" spans="5:6" x14ac:dyDescent="0.15">
      <c r="E268" s="133"/>
      <c r="F268" s="133"/>
    </row>
    <row r="269" spans="5:6" x14ac:dyDescent="0.15">
      <c r="E269" s="133"/>
      <c r="F269" s="133"/>
    </row>
    <row r="270" spans="5:6" x14ac:dyDescent="0.15">
      <c r="E270" s="133"/>
      <c r="F270" s="133"/>
    </row>
    <row r="271" spans="5:6" x14ac:dyDescent="0.15">
      <c r="E271" s="133"/>
      <c r="F271" s="133"/>
    </row>
    <row r="272" spans="5:6" x14ac:dyDescent="0.15">
      <c r="E272" s="133"/>
      <c r="F272" s="133"/>
    </row>
    <row r="273" spans="5:6" x14ac:dyDescent="0.15">
      <c r="E273" s="133"/>
      <c r="F273" s="133"/>
    </row>
    <row r="274" spans="5:6" x14ac:dyDescent="0.15">
      <c r="E274" s="133"/>
      <c r="F274" s="133"/>
    </row>
    <row r="275" spans="5:6" x14ac:dyDescent="0.15">
      <c r="E275" s="133"/>
      <c r="F275" s="133"/>
    </row>
    <row r="276" spans="5:6" x14ac:dyDescent="0.15">
      <c r="E276" s="133"/>
      <c r="F276" s="133"/>
    </row>
    <row r="277" spans="5:6" x14ac:dyDescent="0.15">
      <c r="E277" s="133"/>
      <c r="F277" s="133"/>
    </row>
    <row r="278" spans="5:6" x14ac:dyDescent="0.15">
      <c r="E278" s="133"/>
      <c r="F278" s="133"/>
    </row>
    <row r="279" spans="5:6" x14ac:dyDescent="0.15">
      <c r="E279" s="133"/>
      <c r="F279" s="133"/>
    </row>
    <row r="280" spans="5:6" x14ac:dyDescent="0.15">
      <c r="E280" s="133"/>
      <c r="F280" s="133"/>
    </row>
    <row r="281" spans="5:6" x14ac:dyDescent="0.15">
      <c r="E281" s="133"/>
      <c r="F281" s="133"/>
    </row>
    <row r="282" spans="5:6" x14ac:dyDescent="0.15">
      <c r="E282" s="133"/>
      <c r="F282" s="133"/>
    </row>
    <row r="283" spans="5:6" x14ac:dyDescent="0.15">
      <c r="E283" s="133"/>
      <c r="F283" s="133"/>
    </row>
    <row r="284" spans="5:6" x14ac:dyDescent="0.15">
      <c r="E284" s="133"/>
      <c r="F284" s="133"/>
    </row>
    <row r="285" spans="5:6" x14ac:dyDescent="0.15">
      <c r="E285" s="133"/>
      <c r="F285" s="133"/>
    </row>
    <row r="286" spans="5:6" x14ac:dyDescent="0.15">
      <c r="E286" s="133"/>
      <c r="F286" s="133"/>
    </row>
    <row r="287" spans="5:6" x14ac:dyDescent="0.15">
      <c r="E287" s="133"/>
      <c r="F287" s="133"/>
    </row>
    <row r="288" spans="5:6" x14ac:dyDescent="0.15">
      <c r="E288" s="133"/>
      <c r="F288" s="133"/>
    </row>
    <row r="289" spans="5:6" x14ac:dyDescent="0.15">
      <c r="E289" s="133"/>
      <c r="F289" s="133"/>
    </row>
    <row r="290" spans="5:6" x14ac:dyDescent="0.15">
      <c r="E290" s="133"/>
      <c r="F290" s="133"/>
    </row>
    <row r="291" spans="5:6" x14ac:dyDescent="0.15">
      <c r="E291" s="133"/>
      <c r="F291" s="133"/>
    </row>
    <row r="292" spans="5:6" x14ac:dyDescent="0.15">
      <c r="E292" s="133"/>
      <c r="F292" s="133"/>
    </row>
    <row r="293" spans="5:6" x14ac:dyDescent="0.15">
      <c r="E293" s="133"/>
      <c r="F293" s="133"/>
    </row>
    <row r="294" spans="5:6" x14ac:dyDescent="0.15">
      <c r="E294" s="133"/>
      <c r="F294" s="133"/>
    </row>
    <row r="295" spans="5:6" x14ac:dyDescent="0.15">
      <c r="E295" s="133"/>
      <c r="F295" s="133"/>
    </row>
    <row r="296" spans="5:6" x14ac:dyDescent="0.15">
      <c r="E296" s="133"/>
      <c r="F296" s="133"/>
    </row>
    <row r="297" spans="5:6" x14ac:dyDescent="0.15">
      <c r="E297" s="133"/>
      <c r="F297" s="133"/>
    </row>
    <row r="298" spans="5:6" x14ac:dyDescent="0.15">
      <c r="E298" s="133"/>
      <c r="F298" s="133"/>
    </row>
    <row r="299" spans="5:6" x14ac:dyDescent="0.15">
      <c r="E299" s="133"/>
      <c r="F299" s="133"/>
    </row>
    <row r="300" spans="5:6" x14ac:dyDescent="0.15">
      <c r="E300" s="133"/>
      <c r="F300" s="133"/>
    </row>
    <row r="301" spans="5:6" x14ac:dyDescent="0.15">
      <c r="E301" s="133"/>
      <c r="F301" s="133"/>
    </row>
    <row r="302" spans="5:6" x14ac:dyDescent="0.15">
      <c r="E302" s="133"/>
      <c r="F302" s="133"/>
    </row>
    <row r="303" spans="5:6" x14ac:dyDescent="0.15">
      <c r="E303" s="133"/>
      <c r="F303" s="133"/>
    </row>
    <row r="304" spans="5:6" x14ac:dyDescent="0.15">
      <c r="E304" s="133"/>
      <c r="F304" s="133"/>
    </row>
    <row r="305" spans="5:6" x14ac:dyDescent="0.15">
      <c r="E305" s="133"/>
      <c r="F305" s="133"/>
    </row>
    <row r="306" spans="5:6" x14ac:dyDescent="0.15">
      <c r="E306" s="133"/>
      <c r="F306" s="133"/>
    </row>
    <row r="307" spans="5:6" x14ac:dyDescent="0.15">
      <c r="E307" s="133"/>
      <c r="F307" s="133"/>
    </row>
    <row r="308" spans="5:6" x14ac:dyDescent="0.15">
      <c r="E308" s="133"/>
      <c r="F308" s="133"/>
    </row>
    <row r="309" spans="5:6" x14ac:dyDescent="0.15">
      <c r="E309" s="133"/>
      <c r="F309" s="133"/>
    </row>
    <row r="310" spans="5:6" x14ac:dyDescent="0.15">
      <c r="E310" s="133"/>
      <c r="F310" s="133"/>
    </row>
    <row r="311" spans="5:6" x14ac:dyDescent="0.15">
      <c r="E311" s="133"/>
      <c r="F311" s="133"/>
    </row>
    <row r="312" spans="5:6" x14ac:dyDescent="0.15">
      <c r="E312" s="133"/>
      <c r="F312" s="133"/>
    </row>
    <row r="313" spans="5:6" x14ac:dyDescent="0.15">
      <c r="E313" s="133"/>
      <c r="F313" s="133"/>
    </row>
    <row r="314" spans="5:6" x14ac:dyDescent="0.15">
      <c r="E314" s="133"/>
      <c r="F314" s="133"/>
    </row>
    <row r="315" spans="5:6" x14ac:dyDescent="0.15">
      <c r="E315" s="133"/>
      <c r="F315" s="133"/>
    </row>
    <row r="316" spans="5:6" x14ac:dyDescent="0.15">
      <c r="E316" s="133"/>
      <c r="F316" s="133"/>
    </row>
    <row r="317" spans="5:6" x14ac:dyDescent="0.15">
      <c r="E317" s="133"/>
      <c r="F317" s="133"/>
    </row>
    <row r="318" spans="5:6" x14ac:dyDescent="0.15">
      <c r="E318" s="133"/>
      <c r="F318" s="133"/>
    </row>
    <row r="319" spans="5:6" x14ac:dyDescent="0.15">
      <c r="E319" s="133"/>
      <c r="F319" s="133"/>
    </row>
    <row r="320" spans="5:6" x14ac:dyDescent="0.15">
      <c r="E320" s="133"/>
      <c r="F320" s="133"/>
    </row>
    <row r="321" spans="5:6" x14ac:dyDescent="0.15">
      <c r="E321" s="133"/>
      <c r="F321" s="133"/>
    </row>
    <row r="322" spans="5:6" x14ac:dyDescent="0.15">
      <c r="E322" s="133"/>
      <c r="F322" s="133"/>
    </row>
    <row r="323" spans="5:6" x14ac:dyDescent="0.15">
      <c r="E323" s="133"/>
      <c r="F323" s="133"/>
    </row>
    <row r="324" spans="5:6" x14ac:dyDescent="0.15">
      <c r="E324" s="133"/>
      <c r="F324" s="133"/>
    </row>
    <row r="325" spans="5:6" x14ac:dyDescent="0.15">
      <c r="E325" s="133"/>
      <c r="F325" s="133"/>
    </row>
    <row r="326" spans="5:6" x14ac:dyDescent="0.15">
      <c r="E326" s="133"/>
      <c r="F326" s="133"/>
    </row>
    <row r="327" spans="5:6" x14ac:dyDescent="0.15">
      <c r="E327" s="133"/>
      <c r="F327" s="133"/>
    </row>
    <row r="328" spans="5:6" x14ac:dyDescent="0.15">
      <c r="E328" s="133"/>
      <c r="F328" s="133"/>
    </row>
    <row r="329" spans="5:6" x14ac:dyDescent="0.15">
      <c r="E329" s="133"/>
      <c r="F329" s="133"/>
    </row>
    <row r="330" spans="5:6" x14ac:dyDescent="0.15">
      <c r="E330" s="133"/>
      <c r="F330" s="133"/>
    </row>
    <row r="331" spans="5:6" x14ac:dyDescent="0.15">
      <c r="E331" s="133"/>
      <c r="F331" s="133"/>
    </row>
    <row r="332" spans="5:6" x14ac:dyDescent="0.15">
      <c r="E332" s="133"/>
      <c r="F332" s="133"/>
    </row>
    <row r="333" spans="5:6" x14ac:dyDescent="0.15">
      <c r="E333" s="133"/>
      <c r="F333" s="133"/>
    </row>
    <row r="334" spans="5:6" x14ac:dyDescent="0.15">
      <c r="E334" s="133"/>
      <c r="F334" s="133"/>
    </row>
    <row r="335" spans="5:6" x14ac:dyDescent="0.15">
      <c r="E335" s="133"/>
      <c r="F335" s="133"/>
    </row>
    <row r="336" spans="5:6" x14ac:dyDescent="0.15">
      <c r="E336" s="133"/>
      <c r="F336" s="133"/>
    </row>
    <row r="337" spans="5:6" x14ac:dyDescent="0.15">
      <c r="E337" s="133"/>
      <c r="F337" s="133"/>
    </row>
    <row r="338" spans="5:6" x14ac:dyDescent="0.15">
      <c r="E338" s="133"/>
      <c r="F338" s="133"/>
    </row>
    <row r="339" spans="5:6" x14ac:dyDescent="0.15">
      <c r="E339" s="133"/>
      <c r="F339" s="133"/>
    </row>
    <row r="340" spans="5:6" x14ac:dyDescent="0.15">
      <c r="E340" s="133"/>
      <c r="F340" s="133"/>
    </row>
    <row r="341" spans="5:6" x14ac:dyDescent="0.15">
      <c r="E341" s="133"/>
      <c r="F341" s="133"/>
    </row>
    <row r="342" spans="5:6" x14ac:dyDescent="0.15">
      <c r="E342" s="133"/>
      <c r="F342" s="133"/>
    </row>
    <row r="343" spans="5:6" x14ac:dyDescent="0.15">
      <c r="E343" s="133"/>
      <c r="F343" s="133"/>
    </row>
    <row r="344" spans="5:6" x14ac:dyDescent="0.15">
      <c r="E344" s="133"/>
      <c r="F344" s="133"/>
    </row>
    <row r="345" spans="5:6" x14ac:dyDescent="0.15">
      <c r="E345" s="133"/>
      <c r="F345" s="133"/>
    </row>
    <row r="346" spans="5:6" x14ac:dyDescent="0.15">
      <c r="E346" s="133"/>
      <c r="F346" s="133"/>
    </row>
    <row r="347" spans="5:6" x14ac:dyDescent="0.15">
      <c r="E347" s="133"/>
      <c r="F347" s="133"/>
    </row>
    <row r="348" spans="5:6" x14ac:dyDescent="0.15">
      <c r="E348" s="133"/>
      <c r="F348" s="133"/>
    </row>
    <row r="349" spans="5:6" x14ac:dyDescent="0.15">
      <c r="E349" s="133"/>
      <c r="F349" s="133"/>
    </row>
    <row r="350" spans="5:6" x14ac:dyDescent="0.15">
      <c r="E350" s="133"/>
      <c r="F350" s="133"/>
    </row>
    <row r="351" spans="5:6" x14ac:dyDescent="0.15">
      <c r="E351" s="133"/>
      <c r="F351" s="133"/>
    </row>
    <row r="352" spans="5:6" x14ac:dyDescent="0.15">
      <c r="E352" s="133"/>
      <c r="F352" s="133"/>
    </row>
    <row r="353" spans="5:6" x14ac:dyDescent="0.15">
      <c r="E353" s="133"/>
      <c r="F353" s="133"/>
    </row>
    <row r="354" spans="5:6" x14ac:dyDescent="0.15">
      <c r="E354" s="133"/>
      <c r="F354" s="133"/>
    </row>
    <row r="355" spans="5:6" x14ac:dyDescent="0.15">
      <c r="E355" s="133"/>
      <c r="F355" s="133"/>
    </row>
    <row r="356" spans="5:6" x14ac:dyDescent="0.15">
      <c r="E356" s="133"/>
      <c r="F356" s="133"/>
    </row>
    <row r="357" spans="5:6" x14ac:dyDescent="0.15">
      <c r="E357" s="133"/>
      <c r="F357" s="133"/>
    </row>
    <row r="358" spans="5:6" x14ac:dyDescent="0.15">
      <c r="E358" s="133"/>
      <c r="F358" s="133"/>
    </row>
    <row r="359" spans="5:6" x14ac:dyDescent="0.15">
      <c r="E359" s="133"/>
      <c r="F359" s="133"/>
    </row>
    <row r="360" spans="5:6" x14ac:dyDescent="0.15">
      <c r="E360" s="133"/>
      <c r="F360" s="133"/>
    </row>
    <row r="361" spans="5:6" x14ac:dyDescent="0.15">
      <c r="E361" s="133"/>
      <c r="F361" s="133"/>
    </row>
    <row r="362" spans="5:6" x14ac:dyDescent="0.15">
      <c r="E362" s="133"/>
      <c r="F362" s="133"/>
    </row>
    <row r="363" spans="5:6" x14ac:dyDescent="0.15">
      <c r="E363" s="133"/>
      <c r="F363" s="133"/>
    </row>
    <row r="364" spans="5:6" x14ac:dyDescent="0.15">
      <c r="E364" s="133"/>
      <c r="F364" s="133"/>
    </row>
    <row r="365" spans="5:6" x14ac:dyDescent="0.15">
      <c r="E365" s="133"/>
      <c r="F365" s="133"/>
    </row>
    <row r="366" spans="5:6" x14ac:dyDescent="0.15">
      <c r="E366" s="133"/>
      <c r="F366" s="133"/>
    </row>
    <row r="367" spans="5:6" x14ac:dyDescent="0.15">
      <c r="E367" s="133"/>
      <c r="F367" s="133"/>
    </row>
    <row r="368" spans="5:6" x14ac:dyDescent="0.15">
      <c r="E368" s="133"/>
      <c r="F368" s="133"/>
    </row>
    <row r="369" spans="5:6" x14ac:dyDescent="0.15">
      <c r="E369" s="133"/>
      <c r="F369" s="133"/>
    </row>
    <row r="370" spans="5:6" x14ac:dyDescent="0.15">
      <c r="E370" s="133"/>
      <c r="F370" s="133"/>
    </row>
    <row r="371" spans="5:6" x14ac:dyDescent="0.15">
      <c r="E371" s="133"/>
      <c r="F371" s="133"/>
    </row>
    <row r="372" spans="5:6" x14ac:dyDescent="0.15">
      <c r="E372" s="133"/>
      <c r="F372" s="133"/>
    </row>
    <row r="373" spans="5:6" x14ac:dyDescent="0.15">
      <c r="E373" s="133"/>
      <c r="F373" s="133"/>
    </row>
    <row r="374" spans="5:6" x14ac:dyDescent="0.15">
      <c r="E374" s="133"/>
      <c r="F374" s="133"/>
    </row>
    <row r="375" spans="5:6" x14ac:dyDescent="0.15">
      <c r="E375" s="133"/>
      <c r="F375" s="133"/>
    </row>
    <row r="376" spans="5:6" x14ac:dyDescent="0.15">
      <c r="E376" s="133"/>
      <c r="F376" s="133"/>
    </row>
    <row r="377" spans="5:6" x14ac:dyDescent="0.15">
      <c r="E377" s="133"/>
      <c r="F377" s="133"/>
    </row>
    <row r="378" spans="5:6" x14ac:dyDescent="0.15">
      <c r="E378" s="133"/>
      <c r="F378" s="133"/>
    </row>
    <row r="379" spans="5:6" x14ac:dyDescent="0.15">
      <c r="E379" s="133"/>
      <c r="F379" s="133"/>
    </row>
    <row r="380" spans="5:6" x14ac:dyDescent="0.15">
      <c r="E380" s="133"/>
      <c r="F380" s="133"/>
    </row>
    <row r="381" spans="5:6" x14ac:dyDescent="0.15">
      <c r="E381" s="133"/>
      <c r="F381" s="133"/>
    </row>
    <row r="382" spans="5:6" x14ac:dyDescent="0.15">
      <c r="E382" s="133"/>
      <c r="F382" s="133"/>
    </row>
    <row r="383" spans="5:6" x14ac:dyDescent="0.15">
      <c r="E383" s="133"/>
      <c r="F383" s="133"/>
    </row>
    <row r="384" spans="5:6" x14ac:dyDescent="0.15">
      <c r="E384" s="133"/>
      <c r="F384" s="133"/>
    </row>
    <row r="385" spans="5:6" x14ac:dyDescent="0.15">
      <c r="E385" s="133"/>
      <c r="F385" s="133"/>
    </row>
    <row r="386" spans="5:6" x14ac:dyDescent="0.15">
      <c r="E386" s="133"/>
      <c r="F386" s="133"/>
    </row>
    <row r="387" spans="5:6" x14ac:dyDescent="0.15">
      <c r="E387" s="133"/>
      <c r="F387" s="133"/>
    </row>
    <row r="388" spans="5:6" x14ac:dyDescent="0.15">
      <c r="E388" s="133"/>
      <c r="F388" s="133"/>
    </row>
    <row r="389" spans="5:6" x14ac:dyDescent="0.15">
      <c r="E389" s="133"/>
      <c r="F389" s="133"/>
    </row>
    <row r="390" spans="5:6" x14ac:dyDescent="0.15">
      <c r="E390" s="133"/>
      <c r="F390" s="133"/>
    </row>
    <row r="391" spans="5:6" x14ac:dyDescent="0.15">
      <c r="E391" s="133"/>
      <c r="F391" s="133"/>
    </row>
    <row r="392" spans="5:6" x14ac:dyDescent="0.15">
      <c r="E392" s="133"/>
      <c r="F392" s="133"/>
    </row>
    <row r="393" spans="5:6" x14ac:dyDescent="0.15">
      <c r="E393" s="133"/>
      <c r="F393" s="133"/>
    </row>
    <row r="394" spans="5:6" x14ac:dyDescent="0.15">
      <c r="E394" s="133"/>
      <c r="F394" s="133"/>
    </row>
    <row r="395" spans="5:6" x14ac:dyDescent="0.15">
      <c r="E395" s="133"/>
      <c r="F395" s="133"/>
    </row>
    <row r="396" spans="5:6" x14ac:dyDescent="0.15">
      <c r="E396" s="133"/>
      <c r="F396" s="133"/>
    </row>
    <row r="397" spans="5:6" x14ac:dyDescent="0.15">
      <c r="E397" s="133"/>
      <c r="F397" s="133"/>
    </row>
    <row r="398" spans="5:6" x14ac:dyDescent="0.15">
      <c r="E398" s="133"/>
      <c r="F398" s="133"/>
    </row>
    <row r="399" spans="5:6" x14ac:dyDescent="0.15">
      <c r="E399" s="133"/>
      <c r="F399" s="133"/>
    </row>
    <row r="400" spans="5:6" x14ac:dyDescent="0.15">
      <c r="E400" s="133"/>
      <c r="F400" s="133"/>
    </row>
    <row r="401" spans="5:6" x14ac:dyDescent="0.15">
      <c r="E401" s="133"/>
      <c r="F401" s="133"/>
    </row>
    <row r="402" spans="5:6" x14ac:dyDescent="0.15">
      <c r="E402" s="133"/>
      <c r="F402" s="133"/>
    </row>
    <row r="403" spans="5:6" x14ac:dyDescent="0.15">
      <c r="E403" s="133"/>
      <c r="F403" s="133"/>
    </row>
    <row r="404" spans="5:6" x14ac:dyDescent="0.15">
      <c r="E404" s="133"/>
      <c r="F404" s="133"/>
    </row>
    <row r="405" spans="5:6" x14ac:dyDescent="0.15">
      <c r="E405" s="133"/>
      <c r="F405" s="133"/>
    </row>
    <row r="406" spans="5:6" x14ac:dyDescent="0.15">
      <c r="E406" s="133"/>
      <c r="F406" s="133"/>
    </row>
    <row r="407" spans="5:6" x14ac:dyDescent="0.15">
      <c r="E407" s="133"/>
      <c r="F407" s="133"/>
    </row>
    <row r="408" spans="5:6" x14ac:dyDescent="0.15">
      <c r="E408" s="133"/>
      <c r="F408" s="133"/>
    </row>
    <row r="409" spans="5:6" x14ac:dyDescent="0.15">
      <c r="E409" s="133"/>
      <c r="F409" s="133"/>
    </row>
    <row r="410" spans="5:6" x14ac:dyDescent="0.15">
      <c r="E410" s="133"/>
      <c r="F410" s="133"/>
    </row>
    <row r="411" spans="5:6" x14ac:dyDescent="0.15">
      <c r="E411" s="133"/>
      <c r="F411" s="133"/>
    </row>
    <row r="412" spans="5:6" x14ac:dyDescent="0.15">
      <c r="E412" s="133"/>
      <c r="F412" s="133"/>
    </row>
    <row r="413" spans="5:6" x14ac:dyDescent="0.15">
      <c r="E413" s="133"/>
      <c r="F413" s="133"/>
    </row>
    <row r="414" spans="5:6" x14ac:dyDescent="0.15">
      <c r="E414" s="133"/>
      <c r="F414" s="133"/>
    </row>
    <row r="415" spans="5:6" x14ac:dyDescent="0.15">
      <c r="E415" s="133"/>
      <c r="F415" s="133"/>
    </row>
    <row r="416" spans="5:6" x14ac:dyDescent="0.15">
      <c r="E416" s="133"/>
      <c r="F416" s="133"/>
    </row>
    <row r="417" spans="5:6" x14ac:dyDescent="0.15">
      <c r="E417" s="133"/>
      <c r="F417" s="133"/>
    </row>
    <row r="418" spans="5:6" x14ac:dyDescent="0.15">
      <c r="E418" s="133"/>
      <c r="F418" s="133"/>
    </row>
    <row r="419" spans="5:6" x14ac:dyDescent="0.15">
      <c r="E419" s="133"/>
      <c r="F419" s="133"/>
    </row>
    <row r="420" spans="5:6" x14ac:dyDescent="0.15">
      <c r="E420" s="133"/>
      <c r="F420" s="133"/>
    </row>
    <row r="421" spans="5:6" x14ac:dyDescent="0.15">
      <c r="E421" s="133"/>
      <c r="F421" s="133"/>
    </row>
    <row r="422" spans="5:6" x14ac:dyDescent="0.15">
      <c r="E422" s="133"/>
      <c r="F422" s="133"/>
    </row>
    <row r="423" spans="5:6" x14ac:dyDescent="0.15">
      <c r="E423" s="133"/>
      <c r="F423" s="133"/>
    </row>
    <row r="424" spans="5:6" x14ac:dyDescent="0.15">
      <c r="E424" s="133"/>
      <c r="F424" s="133"/>
    </row>
    <row r="425" spans="5:6" x14ac:dyDescent="0.15">
      <c r="E425" s="133"/>
      <c r="F425" s="133"/>
    </row>
    <row r="426" spans="5:6" x14ac:dyDescent="0.15">
      <c r="E426" s="133"/>
      <c r="F426" s="133"/>
    </row>
    <row r="427" spans="5:6" x14ac:dyDescent="0.15">
      <c r="E427" s="133"/>
      <c r="F427" s="133"/>
    </row>
    <row r="428" spans="5:6" x14ac:dyDescent="0.15">
      <c r="E428" s="133"/>
      <c r="F428" s="133"/>
    </row>
    <row r="429" spans="5:6" x14ac:dyDescent="0.15">
      <c r="E429" s="133"/>
      <c r="F429" s="133"/>
    </row>
    <row r="430" spans="5:6" x14ac:dyDescent="0.15">
      <c r="E430" s="133"/>
      <c r="F430" s="133"/>
    </row>
    <row r="431" spans="5:6" x14ac:dyDescent="0.15">
      <c r="E431" s="133"/>
      <c r="F431" s="133"/>
    </row>
    <row r="432" spans="5:6" x14ac:dyDescent="0.15">
      <c r="E432" s="133"/>
      <c r="F432" s="133"/>
    </row>
    <row r="433" spans="5:6" x14ac:dyDescent="0.15">
      <c r="E433" s="133"/>
      <c r="F433" s="133"/>
    </row>
    <row r="434" spans="5:6" x14ac:dyDescent="0.15">
      <c r="E434" s="133"/>
      <c r="F434" s="133"/>
    </row>
    <row r="435" spans="5:6" x14ac:dyDescent="0.15">
      <c r="E435" s="133"/>
      <c r="F435" s="133"/>
    </row>
    <row r="436" spans="5:6" x14ac:dyDescent="0.15">
      <c r="E436" s="133"/>
      <c r="F436" s="133"/>
    </row>
    <row r="437" spans="5:6" x14ac:dyDescent="0.15">
      <c r="E437" s="133"/>
      <c r="F437" s="133"/>
    </row>
    <row r="438" spans="5:6" x14ac:dyDescent="0.15">
      <c r="E438" s="133"/>
      <c r="F438" s="133"/>
    </row>
    <row r="439" spans="5:6" x14ac:dyDescent="0.15">
      <c r="E439" s="133"/>
      <c r="F439" s="133"/>
    </row>
    <row r="440" spans="5:6" x14ac:dyDescent="0.15">
      <c r="E440" s="133"/>
      <c r="F440" s="133"/>
    </row>
    <row r="441" spans="5:6" x14ac:dyDescent="0.15">
      <c r="E441" s="133"/>
      <c r="F441" s="133"/>
    </row>
    <row r="442" spans="5:6" x14ac:dyDescent="0.15">
      <c r="E442" s="133"/>
      <c r="F442" s="133"/>
    </row>
    <row r="443" spans="5:6" x14ac:dyDescent="0.15">
      <c r="E443" s="133"/>
      <c r="F443" s="133"/>
    </row>
    <row r="444" spans="5:6" x14ac:dyDescent="0.15">
      <c r="E444" s="133"/>
      <c r="F444" s="133"/>
    </row>
    <row r="445" spans="5:6" x14ac:dyDescent="0.15">
      <c r="E445" s="133"/>
      <c r="F445" s="133"/>
    </row>
    <row r="446" spans="5:6" x14ac:dyDescent="0.15">
      <c r="E446" s="133"/>
      <c r="F446" s="133"/>
    </row>
    <row r="447" spans="5:6" x14ac:dyDescent="0.15">
      <c r="E447" s="133"/>
      <c r="F447" s="133"/>
    </row>
    <row r="448" spans="5:6" x14ac:dyDescent="0.15">
      <c r="E448" s="133"/>
      <c r="F448" s="133"/>
    </row>
    <row r="449" spans="5:6" x14ac:dyDescent="0.15">
      <c r="E449" s="133"/>
      <c r="F449" s="133"/>
    </row>
    <row r="450" spans="5:6" x14ac:dyDescent="0.15">
      <c r="E450" s="133"/>
      <c r="F450" s="133"/>
    </row>
    <row r="451" spans="5:6" x14ac:dyDescent="0.15">
      <c r="E451" s="133"/>
      <c r="F451" s="133"/>
    </row>
    <row r="452" spans="5:6" x14ac:dyDescent="0.15">
      <c r="E452" s="133"/>
      <c r="F452" s="133"/>
    </row>
    <row r="453" spans="5:6" x14ac:dyDescent="0.15">
      <c r="E453" s="133"/>
      <c r="F453" s="133"/>
    </row>
    <row r="454" spans="5:6" x14ac:dyDescent="0.15">
      <c r="E454" s="133"/>
      <c r="F454" s="133"/>
    </row>
    <row r="455" spans="5:6" x14ac:dyDescent="0.15">
      <c r="E455" s="133"/>
      <c r="F455" s="133"/>
    </row>
    <row r="456" spans="5:6" x14ac:dyDescent="0.15">
      <c r="E456" s="133"/>
      <c r="F456" s="133"/>
    </row>
    <row r="457" spans="5:6" x14ac:dyDescent="0.15">
      <c r="E457" s="133"/>
      <c r="F457" s="133"/>
    </row>
    <row r="458" spans="5:6" x14ac:dyDescent="0.15">
      <c r="E458" s="133"/>
      <c r="F458" s="133"/>
    </row>
    <row r="459" spans="5:6" x14ac:dyDescent="0.15">
      <c r="E459" s="133"/>
      <c r="F459" s="133"/>
    </row>
    <row r="460" spans="5:6" x14ac:dyDescent="0.15">
      <c r="E460" s="133"/>
      <c r="F460" s="133"/>
    </row>
    <row r="461" spans="5:6" x14ac:dyDescent="0.15">
      <c r="E461" s="133"/>
      <c r="F461" s="133"/>
    </row>
    <row r="462" spans="5:6" x14ac:dyDescent="0.15">
      <c r="E462" s="133"/>
      <c r="F462" s="133"/>
    </row>
    <row r="463" spans="5:6" x14ac:dyDescent="0.15">
      <c r="E463" s="133"/>
      <c r="F463" s="133"/>
    </row>
    <row r="464" spans="5:6" x14ac:dyDescent="0.15">
      <c r="E464" s="133"/>
      <c r="F464" s="133"/>
    </row>
    <row r="465" spans="5:6" x14ac:dyDescent="0.15">
      <c r="E465" s="133"/>
      <c r="F465" s="133"/>
    </row>
    <row r="466" spans="5:6" x14ac:dyDescent="0.15">
      <c r="E466" s="133"/>
      <c r="F466" s="133"/>
    </row>
    <row r="467" spans="5:6" x14ac:dyDescent="0.15">
      <c r="E467" s="133"/>
      <c r="F467" s="133"/>
    </row>
    <row r="468" spans="5:6" x14ac:dyDescent="0.15">
      <c r="E468" s="133"/>
      <c r="F468" s="133"/>
    </row>
    <row r="469" spans="5:6" x14ac:dyDescent="0.15">
      <c r="E469" s="133"/>
      <c r="F469" s="133"/>
    </row>
    <row r="470" spans="5:6" x14ac:dyDescent="0.15">
      <c r="E470" s="133"/>
      <c r="F470" s="133"/>
    </row>
    <row r="471" spans="5:6" x14ac:dyDescent="0.15">
      <c r="E471" s="133"/>
      <c r="F471" s="133"/>
    </row>
    <row r="472" spans="5:6" x14ac:dyDescent="0.15">
      <c r="E472" s="133"/>
      <c r="F472" s="133"/>
    </row>
    <row r="473" spans="5:6" x14ac:dyDescent="0.15">
      <c r="E473" s="133"/>
      <c r="F473" s="133"/>
    </row>
    <row r="474" spans="5:6" x14ac:dyDescent="0.15">
      <c r="E474" s="133"/>
      <c r="F474" s="133"/>
    </row>
    <row r="475" spans="5:6" x14ac:dyDescent="0.15">
      <c r="E475" s="133"/>
      <c r="F475" s="133"/>
    </row>
    <row r="476" spans="5:6" x14ac:dyDescent="0.15">
      <c r="E476" s="133"/>
      <c r="F476" s="133"/>
    </row>
    <row r="477" spans="5:6" x14ac:dyDescent="0.15">
      <c r="E477" s="133"/>
      <c r="F477" s="133"/>
    </row>
    <row r="478" spans="5:6" x14ac:dyDescent="0.15">
      <c r="E478" s="133"/>
      <c r="F478" s="133"/>
    </row>
    <row r="479" spans="5:6" x14ac:dyDescent="0.15">
      <c r="E479" s="133"/>
      <c r="F479" s="133"/>
    </row>
    <row r="480" spans="5:6" x14ac:dyDescent="0.15">
      <c r="E480" s="133"/>
      <c r="F480" s="133"/>
    </row>
    <row r="481" spans="5:6" x14ac:dyDescent="0.15">
      <c r="E481" s="133"/>
      <c r="F481" s="133"/>
    </row>
    <row r="482" spans="5:6" x14ac:dyDescent="0.15">
      <c r="E482" s="133"/>
      <c r="F482" s="133"/>
    </row>
    <row r="483" spans="5:6" x14ac:dyDescent="0.15">
      <c r="E483" s="133"/>
      <c r="F483" s="133"/>
    </row>
    <row r="484" spans="5:6" x14ac:dyDescent="0.15">
      <c r="E484" s="133"/>
      <c r="F484" s="133"/>
    </row>
    <row r="485" spans="5:6" x14ac:dyDescent="0.15">
      <c r="E485" s="133"/>
      <c r="F485" s="133"/>
    </row>
    <row r="486" spans="5:6" x14ac:dyDescent="0.15">
      <c r="E486" s="133"/>
      <c r="F486" s="133"/>
    </row>
    <row r="487" spans="5:6" x14ac:dyDescent="0.15">
      <c r="E487" s="133"/>
      <c r="F487" s="133"/>
    </row>
    <row r="488" spans="5:6" x14ac:dyDescent="0.15">
      <c r="E488" s="133"/>
      <c r="F488" s="133"/>
    </row>
    <row r="489" spans="5:6" x14ac:dyDescent="0.15">
      <c r="E489" s="133"/>
      <c r="F489" s="133"/>
    </row>
    <row r="490" spans="5:6" x14ac:dyDescent="0.15">
      <c r="E490" s="133"/>
      <c r="F490" s="133"/>
    </row>
    <row r="491" spans="5:6" x14ac:dyDescent="0.15">
      <c r="E491" s="133"/>
      <c r="F491" s="133"/>
    </row>
    <row r="492" spans="5:6" x14ac:dyDescent="0.15">
      <c r="E492" s="133"/>
      <c r="F492" s="133"/>
    </row>
    <row r="493" spans="5:6" x14ac:dyDescent="0.15">
      <c r="E493" s="133"/>
      <c r="F493" s="133"/>
    </row>
    <row r="494" spans="5:6" x14ac:dyDescent="0.15">
      <c r="E494" s="133"/>
      <c r="F494" s="133"/>
    </row>
    <row r="495" spans="5:6" x14ac:dyDescent="0.15">
      <c r="E495" s="133"/>
      <c r="F495" s="133"/>
    </row>
    <row r="496" spans="5:6" x14ac:dyDescent="0.15">
      <c r="E496" s="133"/>
      <c r="F496" s="133"/>
    </row>
    <row r="497" spans="5:6" x14ac:dyDescent="0.15">
      <c r="E497" s="133"/>
      <c r="F497" s="133"/>
    </row>
    <row r="498" spans="5:6" x14ac:dyDescent="0.15">
      <c r="E498" s="133"/>
      <c r="F498" s="133"/>
    </row>
    <row r="499" spans="5:6" x14ac:dyDescent="0.15">
      <c r="E499" s="133"/>
      <c r="F499" s="133"/>
    </row>
    <row r="500" spans="5:6" x14ac:dyDescent="0.15">
      <c r="E500" s="133"/>
      <c r="F500" s="133"/>
    </row>
    <row r="501" spans="5:6" x14ac:dyDescent="0.15">
      <c r="E501" s="133"/>
      <c r="F501" s="133"/>
    </row>
    <row r="502" spans="5:6" x14ac:dyDescent="0.15">
      <c r="E502" s="133"/>
      <c r="F502" s="133"/>
    </row>
    <row r="503" spans="5:6" x14ac:dyDescent="0.15">
      <c r="E503" s="133"/>
      <c r="F503" s="133"/>
    </row>
    <row r="504" spans="5:6" x14ac:dyDescent="0.15">
      <c r="E504" s="133"/>
      <c r="F504" s="133"/>
    </row>
    <row r="505" spans="5:6" x14ac:dyDescent="0.15">
      <c r="E505" s="133"/>
      <c r="F505" s="133"/>
    </row>
    <row r="506" spans="5:6" x14ac:dyDescent="0.15">
      <c r="E506" s="133"/>
      <c r="F506" s="133"/>
    </row>
    <row r="507" spans="5:6" x14ac:dyDescent="0.15">
      <c r="E507" s="133"/>
      <c r="F507" s="133"/>
    </row>
    <row r="508" spans="5:6" x14ac:dyDescent="0.15">
      <c r="E508" s="133"/>
      <c r="F508" s="133"/>
    </row>
    <row r="509" spans="5:6" x14ac:dyDescent="0.15">
      <c r="E509" s="133"/>
      <c r="F509" s="133"/>
    </row>
    <row r="510" spans="5:6" x14ac:dyDescent="0.15">
      <c r="E510" s="133"/>
      <c r="F510" s="133"/>
    </row>
    <row r="511" spans="5:6" x14ac:dyDescent="0.15">
      <c r="E511" s="133"/>
      <c r="F511" s="133"/>
    </row>
    <row r="512" spans="5:6" x14ac:dyDescent="0.15">
      <c r="E512" s="133"/>
      <c r="F512" s="133"/>
    </row>
    <row r="513" spans="5:6" x14ac:dyDescent="0.15">
      <c r="E513" s="133"/>
      <c r="F513" s="133"/>
    </row>
    <row r="514" spans="5:6" x14ac:dyDescent="0.15">
      <c r="E514" s="133"/>
      <c r="F514" s="133"/>
    </row>
    <row r="515" spans="5:6" x14ac:dyDescent="0.15">
      <c r="E515" s="133"/>
      <c r="F515" s="133"/>
    </row>
    <row r="516" spans="5:6" x14ac:dyDescent="0.15">
      <c r="E516" s="133"/>
      <c r="F516" s="133"/>
    </row>
    <row r="517" spans="5:6" x14ac:dyDescent="0.15">
      <c r="E517" s="133"/>
      <c r="F517" s="133"/>
    </row>
    <row r="518" spans="5:6" x14ac:dyDescent="0.15">
      <c r="E518" s="133"/>
      <c r="F518" s="133"/>
    </row>
    <row r="519" spans="5:6" x14ac:dyDescent="0.15">
      <c r="E519" s="133"/>
      <c r="F519" s="133"/>
    </row>
    <row r="520" spans="5:6" x14ac:dyDescent="0.15">
      <c r="E520" s="133"/>
      <c r="F520" s="133"/>
    </row>
    <row r="521" spans="5:6" x14ac:dyDescent="0.15">
      <c r="E521" s="133"/>
      <c r="F521" s="133"/>
    </row>
    <row r="522" spans="5:6" x14ac:dyDescent="0.15">
      <c r="E522" s="133"/>
      <c r="F522" s="133"/>
    </row>
    <row r="523" spans="5:6" x14ac:dyDescent="0.15">
      <c r="E523" s="133"/>
      <c r="F523" s="133"/>
    </row>
    <row r="524" spans="5:6" x14ac:dyDescent="0.15">
      <c r="E524" s="133"/>
      <c r="F524" s="133"/>
    </row>
    <row r="525" spans="5:6" x14ac:dyDescent="0.15">
      <c r="E525" s="133"/>
      <c r="F525" s="133"/>
    </row>
    <row r="526" spans="5:6" x14ac:dyDescent="0.15">
      <c r="E526" s="133"/>
      <c r="F526" s="133"/>
    </row>
    <row r="527" spans="5:6" x14ac:dyDescent="0.15">
      <c r="E527" s="133"/>
      <c r="F527" s="133"/>
    </row>
    <row r="528" spans="5:6" x14ac:dyDescent="0.15">
      <c r="E528" s="133"/>
      <c r="F528" s="133"/>
    </row>
    <row r="529" spans="5:6" x14ac:dyDescent="0.15">
      <c r="E529" s="133"/>
      <c r="F529" s="133"/>
    </row>
    <row r="530" spans="5:6" x14ac:dyDescent="0.15">
      <c r="E530" s="133"/>
      <c r="F530" s="133"/>
    </row>
    <row r="531" spans="5:6" x14ac:dyDescent="0.15">
      <c r="E531" s="133"/>
      <c r="F531" s="133"/>
    </row>
    <row r="532" spans="5:6" x14ac:dyDescent="0.15">
      <c r="E532" s="133"/>
      <c r="F532" s="133"/>
    </row>
    <row r="533" spans="5:6" x14ac:dyDescent="0.15">
      <c r="E533" s="133"/>
      <c r="F533" s="133"/>
    </row>
    <row r="534" spans="5:6" x14ac:dyDescent="0.15">
      <c r="E534" s="133"/>
      <c r="F534" s="133"/>
    </row>
    <row r="535" spans="5:6" x14ac:dyDescent="0.15">
      <c r="E535" s="133"/>
      <c r="F535" s="133"/>
    </row>
    <row r="536" spans="5:6" x14ac:dyDescent="0.15">
      <c r="E536" s="133"/>
      <c r="F536" s="133"/>
    </row>
    <row r="537" spans="5:6" x14ac:dyDescent="0.15">
      <c r="E537" s="133"/>
      <c r="F537" s="133"/>
    </row>
    <row r="538" spans="5:6" x14ac:dyDescent="0.15">
      <c r="E538" s="133"/>
      <c r="F538" s="133"/>
    </row>
    <row r="539" spans="5:6" x14ac:dyDescent="0.15">
      <c r="E539" s="133"/>
      <c r="F539" s="133"/>
    </row>
    <row r="540" spans="5:6" x14ac:dyDescent="0.15">
      <c r="E540" s="133"/>
      <c r="F540" s="133"/>
    </row>
    <row r="541" spans="5:6" x14ac:dyDescent="0.15">
      <c r="E541" s="133"/>
      <c r="F541" s="133"/>
    </row>
    <row r="542" spans="5:6" x14ac:dyDescent="0.15">
      <c r="E542" s="133"/>
      <c r="F542" s="133"/>
    </row>
    <row r="543" spans="5:6" x14ac:dyDescent="0.15">
      <c r="E543" s="133"/>
      <c r="F543" s="133"/>
    </row>
    <row r="544" spans="5:6" x14ac:dyDescent="0.15">
      <c r="E544" s="133"/>
      <c r="F544" s="133"/>
    </row>
    <row r="545" spans="5:6" x14ac:dyDescent="0.15">
      <c r="E545" s="133"/>
      <c r="F545" s="133"/>
    </row>
    <row r="546" spans="5:6" x14ac:dyDescent="0.15">
      <c r="E546" s="133"/>
      <c r="F546" s="133"/>
    </row>
    <row r="547" spans="5:6" x14ac:dyDescent="0.15">
      <c r="E547" s="133"/>
      <c r="F547" s="133"/>
    </row>
    <row r="548" spans="5:6" x14ac:dyDescent="0.15">
      <c r="E548" s="133"/>
      <c r="F548" s="133"/>
    </row>
    <row r="549" spans="5:6" x14ac:dyDescent="0.15">
      <c r="E549" s="133"/>
      <c r="F549" s="133"/>
    </row>
    <row r="550" spans="5:6" x14ac:dyDescent="0.15">
      <c r="E550" s="133"/>
      <c r="F550" s="133"/>
    </row>
    <row r="551" spans="5:6" x14ac:dyDescent="0.15">
      <c r="E551" s="133"/>
      <c r="F551" s="133"/>
    </row>
    <row r="552" spans="5:6" x14ac:dyDescent="0.15">
      <c r="E552" s="133"/>
      <c r="F552" s="133"/>
    </row>
    <row r="553" spans="5:6" x14ac:dyDescent="0.15">
      <c r="E553" s="133"/>
      <c r="F553" s="133"/>
    </row>
    <row r="554" spans="5:6" x14ac:dyDescent="0.15">
      <c r="E554" s="133"/>
      <c r="F554" s="133"/>
    </row>
    <row r="555" spans="5:6" x14ac:dyDescent="0.15">
      <c r="E555" s="133"/>
      <c r="F555" s="133"/>
    </row>
    <row r="556" spans="5:6" x14ac:dyDescent="0.15">
      <c r="E556" s="133"/>
      <c r="F556" s="133"/>
    </row>
    <row r="557" spans="5:6" x14ac:dyDescent="0.15">
      <c r="E557" s="133"/>
      <c r="F557" s="133"/>
    </row>
    <row r="558" spans="5:6" x14ac:dyDescent="0.15">
      <c r="E558" s="133"/>
      <c r="F558" s="133"/>
    </row>
    <row r="559" spans="5:6" x14ac:dyDescent="0.15">
      <c r="E559" s="133"/>
      <c r="F559" s="133"/>
    </row>
    <row r="560" spans="5:6" x14ac:dyDescent="0.15">
      <c r="E560" s="133"/>
      <c r="F560" s="133"/>
    </row>
    <row r="561" spans="5:6" x14ac:dyDescent="0.15">
      <c r="E561" s="133"/>
      <c r="F561" s="133"/>
    </row>
    <row r="562" spans="5:6" x14ac:dyDescent="0.15">
      <c r="E562" s="133"/>
      <c r="F562" s="133"/>
    </row>
    <row r="563" spans="5:6" x14ac:dyDescent="0.15">
      <c r="E563" s="133"/>
      <c r="F563" s="133"/>
    </row>
    <row r="564" spans="5:6" x14ac:dyDescent="0.15">
      <c r="E564" s="133"/>
      <c r="F564" s="133"/>
    </row>
    <row r="565" spans="5:6" x14ac:dyDescent="0.15">
      <c r="E565" s="133"/>
      <c r="F565" s="133"/>
    </row>
    <row r="566" spans="5:6" x14ac:dyDescent="0.15">
      <c r="E566" s="133"/>
      <c r="F566" s="133"/>
    </row>
    <row r="567" spans="5:6" x14ac:dyDescent="0.15">
      <c r="E567" s="133"/>
      <c r="F567" s="133"/>
    </row>
    <row r="568" spans="5:6" x14ac:dyDescent="0.15">
      <c r="E568" s="133"/>
      <c r="F568" s="133"/>
    </row>
    <row r="569" spans="5:6" x14ac:dyDescent="0.15">
      <c r="E569" s="133"/>
      <c r="F569" s="133"/>
    </row>
    <row r="570" spans="5:6" x14ac:dyDescent="0.15">
      <c r="E570" s="133"/>
      <c r="F570" s="133"/>
    </row>
    <row r="571" spans="5:6" x14ac:dyDescent="0.15">
      <c r="E571" s="133"/>
      <c r="F571" s="133"/>
    </row>
    <row r="572" spans="5:6" x14ac:dyDescent="0.15">
      <c r="E572" s="133"/>
      <c r="F572" s="133"/>
    </row>
    <row r="573" spans="5:6" x14ac:dyDescent="0.15">
      <c r="E573" s="133"/>
      <c r="F573" s="133"/>
    </row>
    <row r="574" spans="5:6" x14ac:dyDescent="0.15">
      <c r="E574" s="133"/>
      <c r="F574" s="133"/>
    </row>
    <row r="575" spans="5:6" x14ac:dyDescent="0.15">
      <c r="E575" s="133"/>
      <c r="F575" s="133"/>
    </row>
    <row r="576" spans="5:6" x14ac:dyDescent="0.15">
      <c r="E576" s="133"/>
      <c r="F576" s="133"/>
    </row>
    <row r="577" spans="5:6" x14ac:dyDescent="0.15">
      <c r="E577" s="133"/>
      <c r="F577" s="133"/>
    </row>
    <row r="578" spans="5:6" x14ac:dyDescent="0.15">
      <c r="E578" s="133"/>
      <c r="F578" s="133"/>
    </row>
    <row r="579" spans="5:6" x14ac:dyDescent="0.15">
      <c r="E579" s="133"/>
      <c r="F579" s="133"/>
    </row>
    <row r="580" spans="5:6" x14ac:dyDescent="0.15">
      <c r="E580" s="133"/>
      <c r="F580" s="133"/>
    </row>
    <row r="581" spans="5:6" x14ac:dyDescent="0.15">
      <c r="E581" s="133"/>
      <c r="F581" s="133"/>
    </row>
    <row r="582" spans="5:6" x14ac:dyDescent="0.15">
      <c r="E582" s="133"/>
      <c r="F582" s="133"/>
    </row>
    <row r="583" spans="5:6" x14ac:dyDescent="0.15">
      <c r="E583" s="133"/>
      <c r="F583" s="133"/>
    </row>
    <row r="584" spans="5:6" x14ac:dyDescent="0.15">
      <c r="E584" s="133"/>
      <c r="F584" s="133"/>
    </row>
    <row r="585" spans="5:6" x14ac:dyDescent="0.15">
      <c r="E585" s="133"/>
      <c r="F585" s="133"/>
    </row>
    <row r="586" spans="5:6" x14ac:dyDescent="0.15">
      <c r="E586" s="133"/>
      <c r="F586" s="133"/>
    </row>
    <row r="587" spans="5:6" x14ac:dyDescent="0.15">
      <c r="E587" s="133"/>
      <c r="F587" s="133"/>
    </row>
    <row r="588" spans="5:6" x14ac:dyDescent="0.15">
      <c r="E588" s="133"/>
      <c r="F588" s="133"/>
    </row>
    <row r="589" spans="5:6" x14ac:dyDescent="0.15">
      <c r="E589" s="133"/>
      <c r="F589" s="133"/>
    </row>
    <row r="590" spans="5:6" x14ac:dyDescent="0.15">
      <c r="E590" s="133"/>
      <c r="F590" s="133"/>
    </row>
    <row r="591" spans="5:6" x14ac:dyDescent="0.15">
      <c r="E591" s="133"/>
      <c r="F591" s="133"/>
    </row>
    <row r="592" spans="5:6" x14ac:dyDescent="0.15">
      <c r="E592" s="133"/>
      <c r="F592" s="133"/>
    </row>
    <row r="593" spans="5:6" x14ac:dyDescent="0.15">
      <c r="E593" s="133"/>
      <c r="F593" s="133"/>
    </row>
    <row r="594" spans="5:6" x14ac:dyDescent="0.15">
      <c r="E594" s="133"/>
      <c r="F594" s="133"/>
    </row>
    <row r="595" spans="5:6" x14ac:dyDescent="0.15">
      <c r="E595" s="133"/>
      <c r="F595" s="133"/>
    </row>
    <row r="596" spans="5:6" x14ac:dyDescent="0.15">
      <c r="E596" s="133"/>
      <c r="F596" s="133"/>
    </row>
    <row r="597" spans="5:6" x14ac:dyDescent="0.15">
      <c r="E597" s="133"/>
      <c r="F597" s="133"/>
    </row>
    <row r="598" spans="5:6" x14ac:dyDescent="0.15">
      <c r="E598" s="133"/>
      <c r="F598" s="133"/>
    </row>
    <row r="599" spans="5:6" x14ac:dyDescent="0.15">
      <c r="E599" s="133"/>
      <c r="F599" s="133"/>
    </row>
    <row r="600" spans="5:6" x14ac:dyDescent="0.15">
      <c r="E600" s="133"/>
      <c r="F600" s="133"/>
    </row>
    <row r="601" spans="5:6" x14ac:dyDescent="0.15">
      <c r="E601" s="133"/>
      <c r="F601" s="133"/>
    </row>
    <row r="602" spans="5:6" x14ac:dyDescent="0.15">
      <c r="E602" s="133"/>
      <c r="F602" s="133"/>
    </row>
    <row r="603" spans="5:6" x14ac:dyDescent="0.15">
      <c r="E603" s="133"/>
      <c r="F603" s="133"/>
    </row>
    <row r="604" spans="5:6" x14ac:dyDescent="0.15">
      <c r="E604" s="133"/>
      <c r="F604" s="133"/>
    </row>
    <row r="605" spans="5:6" x14ac:dyDescent="0.15">
      <c r="E605" s="133"/>
      <c r="F605" s="133"/>
    </row>
    <row r="606" spans="5:6" x14ac:dyDescent="0.15">
      <c r="E606" s="133"/>
      <c r="F606" s="133"/>
    </row>
    <row r="607" spans="5:6" x14ac:dyDescent="0.15">
      <c r="E607" s="133"/>
      <c r="F607" s="133"/>
    </row>
    <row r="608" spans="5:6" x14ac:dyDescent="0.15">
      <c r="E608" s="133"/>
      <c r="F608" s="133"/>
    </row>
    <row r="609" spans="5:6" x14ac:dyDescent="0.15">
      <c r="E609" s="133"/>
      <c r="F609" s="133"/>
    </row>
    <row r="610" spans="5:6" x14ac:dyDescent="0.15">
      <c r="E610" s="133"/>
      <c r="F610" s="133"/>
    </row>
    <row r="611" spans="5:6" x14ac:dyDescent="0.15">
      <c r="E611" s="133"/>
      <c r="F611" s="133"/>
    </row>
    <row r="612" spans="5:6" x14ac:dyDescent="0.15">
      <c r="E612" s="133"/>
      <c r="F612" s="133"/>
    </row>
    <row r="613" spans="5:6" x14ac:dyDescent="0.15">
      <c r="E613" s="133"/>
      <c r="F613" s="133"/>
    </row>
    <row r="614" spans="5:6" x14ac:dyDescent="0.15">
      <c r="E614" s="133"/>
      <c r="F614" s="133"/>
    </row>
    <row r="615" spans="5:6" x14ac:dyDescent="0.15">
      <c r="E615" s="133"/>
      <c r="F615" s="133"/>
    </row>
    <row r="616" spans="5:6" x14ac:dyDescent="0.15">
      <c r="E616" s="133"/>
      <c r="F616" s="133"/>
    </row>
    <row r="617" spans="5:6" x14ac:dyDescent="0.15">
      <c r="E617" s="133"/>
      <c r="F617" s="133"/>
    </row>
    <row r="618" spans="5:6" x14ac:dyDescent="0.15">
      <c r="E618" s="133"/>
      <c r="F618" s="133"/>
    </row>
    <row r="619" spans="5:6" x14ac:dyDescent="0.15">
      <c r="E619" s="133"/>
      <c r="F619" s="133"/>
    </row>
    <row r="620" spans="5:6" x14ac:dyDescent="0.15">
      <c r="E620" s="133"/>
      <c r="F620" s="133"/>
    </row>
    <row r="621" spans="5:6" x14ac:dyDescent="0.15">
      <c r="E621" s="133"/>
      <c r="F621" s="133"/>
    </row>
    <row r="622" spans="5:6" x14ac:dyDescent="0.15">
      <c r="E622" s="133"/>
      <c r="F622" s="133"/>
    </row>
    <row r="623" spans="5:6" x14ac:dyDescent="0.15">
      <c r="E623" s="133"/>
      <c r="F623" s="133"/>
    </row>
    <row r="624" spans="5:6" x14ac:dyDescent="0.15">
      <c r="E624" s="133"/>
      <c r="F624" s="133"/>
    </row>
    <row r="625" spans="5:6" x14ac:dyDescent="0.15">
      <c r="E625" s="133"/>
      <c r="F625" s="133"/>
    </row>
    <row r="626" spans="5:6" x14ac:dyDescent="0.15">
      <c r="E626" s="133"/>
      <c r="F626" s="133"/>
    </row>
    <row r="627" spans="5:6" x14ac:dyDescent="0.15">
      <c r="E627" s="133"/>
      <c r="F627" s="133"/>
    </row>
    <row r="628" spans="5:6" x14ac:dyDescent="0.15">
      <c r="E628" s="133"/>
      <c r="F628" s="133"/>
    </row>
    <row r="629" spans="5:6" x14ac:dyDescent="0.15">
      <c r="E629" s="133"/>
      <c r="F629" s="133"/>
    </row>
    <row r="630" spans="5:6" x14ac:dyDescent="0.15">
      <c r="E630" s="133"/>
      <c r="F630" s="133"/>
    </row>
    <row r="631" spans="5:6" x14ac:dyDescent="0.15">
      <c r="E631" s="133"/>
      <c r="F631" s="133"/>
    </row>
    <row r="632" spans="5:6" x14ac:dyDescent="0.15">
      <c r="E632" s="133"/>
      <c r="F632" s="133"/>
    </row>
    <row r="633" spans="5:6" x14ac:dyDescent="0.15">
      <c r="E633" s="133"/>
      <c r="F633" s="133"/>
    </row>
    <row r="634" spans="5:6" x14ac:dyDescent="0.15">
      <c r="E634" s="133"/>
      <c r="F634" s="133"/>
    </row>
    <row r="635" spans="5:6" x14ac:dyDescent="0.15">
      <c r="E635" s="133"/>
      <c r="F635" s="133"/>
    </row>
    <row r="636" spans="5:6" x14ac:dyDescent="0.15">
      <c r="E636" s="133"/>
      <c r="F636" s="133"/>
    </row>
    <row r="637" spans="5:6" x14ac:dyDescent="0.15">
      <c r="E637" s="133"/>
      <c r="F637" s="133"/>
    </row>
    <row r="638" spans="5:6" x14ac:dyDescent="0.15">
      <c r="E638" s="133"/>
      <c r="F638" s="133"/>
    </row>
    <row r="639" spans="5:6" x14ac:dyDescent="0.15">
      <c r="E639" s="133"/>
      <c r="F639" s="133"/>
    </row>
    <row r="640" spans="5:6" x14ac:dyDescent="0.15">
      <c r="E640" s="133"/>
      <c r="F640" s="133"/>
    </row>
    <row r="641" spans="5:6" x14ac:dyDescent="0.15">
      <c r="E641" s="133"/>
      <c r="F641" s="133"/>
    </row>
    <row r="642" spans="5:6" x14ac:dyDescent="0.15">
      <c r="E642" s="133"/>
      <c r="F642" s="133"/>
    </row>
    <row r="643" spans="5:6" x14ac:dyDescent="0.15">
      <c r="E643" s="133"/>
      <c r="F643" s="133"/>
    </row>
    <row r="644" spans="5:6" x14ac:dyDescent="0.15">
      <c r="E644" s="133"/>
      <c r="F644" s="133"/>
    </row>
    <row r="645" spans="5:6" x14ac:dyDescent="0.15">
      <c r="E645" s="133"/>
      <c r="F645" s="133"/>
    </row>
    <row r="646" spans="5:6" x14ac:dyDescent="0.15">
      <c r="E646" s="133"/>
      <c r="F646" s="133"/>
    </row>
    <row r="647" spans="5:6" x14ac:dyDescent="0.15">
      <c r="E647" s="133"/>
      <c r="F647" s="133"/>
    </row>
    <row r="648" spans="5:6" x14ac:dyDescent="0.15">
      <c r="E648" s="133"/>
      <c r="F648" s="133"/>
    </row>
    <row r="649" spans="5:6" x14ac:dyDescent="0.15">
      <c r="E649" s="133"/>
      <c r="F649" s="133"/>
    </row>
    <row r="650" spans="5:6" x14ac:dyDescent="0.15">
      <c r="E650" s="133"/>
      <c r="F650" s="133"/>
    </row>
    <row r="651" spans="5:6" x14ac:dyDescent="0.15">
      <c r="E651" s="133"/>
      <c r="F651" s="133"/>
    </row>
    <row r="652" spans="5:6" x14ac:dyDescent="0.15">
      <c r="E652" s="133"/>
      <c r="F652" s="133"/>
    </row>
    <row r="653" spans="5:6" x14ac:dyDescent="0.15">
      <c r="E653" s="133"/>
      <c r="F653" s="133"/>
    </row>
    <row r="654" spans="5:6" x14ac:dyDescent="0.15">
      <c r="E654" s="133"/>
      <c r="F654" s="133"/>
    </row>
    <row r="655" spans="5:6" x14ac:dyDescent="0.15">
      <c r="E655" s="133"/>
      <c r="F655" s="133"/>
    </row>
    <row r="656" spans="5:6" x14ac:dyDescent="0.15">
      <c r="E656" s="133"/>
      <c r="F656" s="133"/>
    </row>
    <row r="657" spans="5:6" x14ac:dyDescent="0.15">
      <c r="E657" s="133"/>
      <c r="F657" s="133"/>
    </row>
    <row r="658" spans="5:6" x14ac:dyDescent="0.15">
      <c r="E658" s="133"/>
      <c r="F658" s="133"/>
    </row>
    <row r="659" spans="5:6" x14ac:dyDescent="0.15">
      <c r="E659" s="133"/>
      <c r="F659" s="133"/>
    </row>
    <row r="660" spans="5:6" x14ac:dyDescent="0.15">
      <c r="E660" s="133"/>
      <c r="F660" s="133"/>
    </row>
    <row r="661" spans="5:6" x14ac:dyDescent="0.15">
      <c r="E661" s="133"/>
      <c r="F661" s="133"/>
    </row>
    <row r="662" spans="5:6" x14ac:dyDescent="0.15">
      <c r="E662" s="133"/>
      <c r="F662" s="133"/>
    </row>
    <row r="663" spans="5:6" x14ac:dyDescent="0.15">
      <c r="E663" s="133"/>
      <c r="F663" s="133"/>
    </row>
    <row r="664" spans="5:6" x14ac:dyDescent="0.15">
      <c r="E664" s="133"/>
      <c r="F664" s="133"/>
    </row>
    <row r="665" spans="5:6" x14ac:dyDescent="0.15">
      <c r="E665" s="133"/>
      <c r="F665" s="133"/>
    </row>
    <row r="666" spans="5:6" x14ac:dyDescent="0.15">
      <c r="E666" s="133"/>
      <c r="F666" s="133"/>
    </row>
    <row r="667" spans="5:6" x14ac:dyDescent="0.15">
      <c r="E667" s="133"/>
      <c r="F667" s="133"/>
    </row>
    <row r="668" spans="5:6" x14ac:dyDescent="0.15">
      <c r="E668" s="133"/>
      <c r="F668" s="133"/>
    </row>
    <row r="669" spans="5:6" x14ac:dyDescent="0.15">
      <c r="E669" s="133"/>
      <c r="F669" s="133"/>
    </row>
    <row r="670" spans="5:6" x14ac:dyDescent="0.15">
      <c r="E670" s="133"/>
      <c r="F670" s="133"/>
    </row>
    <row r="671" spans="5:6" x14ac:dyDescent="0.15">
      <c r="E671" s="133"/>
      <c r="F671" s="133"/>
    </row>
    <row r="672" spans="5:6" x14ac:dyDescent="0.15">
      <c r="E672" s="133"/>
      <c r="F672" s="133"/>
    </row>
    <row r="673" spans="5:6" x14ac:dyDescent="0.15">
      <c r="E673" s="133"/>
      <c r="F673" s="133"/>
    </row>
    <row r="674" spans="5:6" x14ac:dyDescent="0.15">
      <c r="E674" s="133"/>
      <c r="F674" s="133"/>
    </row>
    <row r="675" spans="5:6" x14ac:dyDescent="0.15">
      <c r="E675" s="133"/>
      <c r="F675" s="133"/>
    </row>
    <row r="676" spans="5:6" x14ac:dyDescent="0.15">
      <c r="E676" s="133"/>
      <c r="F676" s="133"/>
    </row>
    <row r="677" spans="5:6" x14ac:dyDescent="0.15">
      <c r="E677" s="133"/>
      <c r="F677" s="133"/>
    </row>
    <row r="678" spans="5:6" x14ac:dyDescent="0.15">
      <c r="E678" s="133"/>
      <c r="F678" s="133"/>
    </row>
    <row r="679" spans="5:6" x14ac:dyDescent="0.15">
      <c r="E679" s="133"/>
      <c r="F679" s="133"/>
    </row>
    <row r="680" spans="5:6" x14ac:dyDescent="0.15">
      <c r="E680" s="133"/>
      <c r="F680" s="133"/>
    </row>
    <row r="681" spans="5:6" x14ac:dyDescent="0.15">
      <c r="E681" s="133"/>
      <c r="F681" s="133"/>
    </row>
    <row r="682" spans="5:6" x14ac:dyDescent="0.15">
      <c r="E682" s="133"/>
      <c r="F682" s="133"/>
    </row>
    <row r="683" spans="5:6" x14ac:dyDescent="0.15">
      <c r="E683" s="133"/>
      <c r="F683" s="133"/>
    </row>
    <row r="684" spans="5:6" x14ac:dyDescent="0.15">
      <c r="E684" s="133"/>
      <c r="F684" s="133"/>
    </row>
    <row r="685" spans="5:6" x14ac:dyDescent="0.15">
      <c r="E685" s="133"/>
      <c r="F685" s="133"/>
    </row>
    <row r="686" spans="5:6" x14ac:dyDescent="0.15">
      <c r="E686" s="133"/>
      <c r="F686" s="133"/>
    </row>
    <row r="687" spans="5:6" x14ac:dyDescent="0.15">
      <c r="E687" s="133"/>
      <c r="F687" s="133"/>
    </row>
    <row r="688" spans="5:6" x14ac:dyDescent="0.15">
      <c r="E688" s="133"/>
      <c r="F688" s="133"/>
    </row>
    <row r="689" spans="5:6" x14ac:dyDescent="0.15">
      <c r="E689" s="133"/>
      <c r="F689" s="133"/>
    </row>
    <row r="690" spans="5:6" x14ac:dyDescent="0.15">
      <c r="E690" s="133"/>
      <c r="F690" s="133"/>
    </row>
    <row r="691" spans="5:6" x14ac:dyDescent="0.15">
      <c r="E691" s="133"/>
      <c r="F691" s="133"/>
    </row>
    <row r="692" spans="5:6" x14ac:dyDescent="0.15">
      <c r="E692" s="133"/>
      <c r="F692" s="133"/>
    </row>
    <row r="693" spans="5:6" x14ac:dyDescent="0.15">
      <c r="E693" s="133"/>
      <c r="F693" s="133"/>
    </row>
    <row r="694" spans="5:6" x14ac:dyDescent="0.15">
      <c r="E694" s="133"/>
      <c r="F694" s="133"/>
    </row>
    <row r="695" spans="5:6" x14ac:dyDescent="0.15">
      <c r="E695" s="133"/>
      <c r="F695" s="133"/>
    </row>
    <row r="696" spans="5:6" x14ac:dyDescent="0.15">
      <c r="E696" s="133"/>
      <c r="F696" s="133"/>
    </row>
    <row r="697" spans="5:6" x14ac:dyDescent="0.15">
      <c r="E697" s="133"/>
      <c r="F697" s="133"/>
    </row>
    <row r="698" spans="5:6" x14ac:dyDescent="0.15">
      <c r="E698" s="133"/>
      <c r="F698" s="133"/>
    </row>
    <row r="699" spans="5:6" x14ac:dyDescent="0.15">
      <c r="E699" s="133"/>
      <c r="F699" s="133"/>
    </row>
    <row r="700" spans="5:6" x14ac:dyDescent="0.15">
      <c r="E700" s="133"/>
      <c r="F700" s="133"/>
    </row>
    <row r="701" spans="5:6" x14ac:dyDescent="0.15">
      <c r="E701" s="133"/>
      <c r="F701" s="133"/>
    </row>
    <row r="702" spans="5:6" x14ac:dyDescent="0.15">
      <c r="E702" s="133"/>
      <c r="F702" s="133"/>
    </row>
    <row r="703" spans="5:6" x14ac:dyDescent="0.15">
      <c r="E703" s="133"/>
      <c r="F703" s="133"/>
    </row>
    <row r="704" spans="5:6" x14ac:dyDescent="0.15">
      <c r="E704" s="133"/>
      <c r="F704" s="133"/>
    </row>
    <row r="705" spans="5:6" x14ac:dyDescent="0.15">
      <c r="E705" s="133"/>
      <c r="F705" s="133"/>
    </row>
    <row r="706" spans="5:6" x14ac:dyDescent="0.15">
      <c r="E706" s="133"/>
      <c r="F706" s="133"/>
    </row>
    <row r="707" spans="5:6" x14ac:dyDescent="0.15">
      <c r="E707" s="133"/>
      <c r="F707" s="133"/>
    </row>
    <row r="708" spans="5:6" x14ac:dyDescent="0.15">
      <c r="E708" s="133"/>
      <c r="F708" s="133"/>
    </row>
    <row r="709" spans="5:6" x14ac:dyDescent="0.15">
      <c r="E709" s="133"/>
      <c r="F709" s="133"/>
    </row>
    <row r="710" spans="5:6" x14ac:dyDescent="0.15">
      <c r="E710" s="133"/>
      <c r="F710" s="133"/>
    </row>
    <row r="711" spans="5:6" x14ac:dyDescent="0.15">
      <c r="E711" s="133"/>
      <c r="F711" s="133"/>
    </row>
    <row r="712" spans="5:6" x14ac:dyDescent="0.15">
      <c r="E712" s="133"/>
      <c r="F712" s="133"/>
    </row>
    <row r="713" spans="5:6" x14ac:dyDescent="0.15">
      <c r="E713" s="133"/>
      <c r="F713" s="133"/>
    </row>
    <row r="714" spans="5:6" x14ac:dyDescent="0.15">
      <c r="E714" s="133"/>
      <c r="F714" s="133"/>
    </row>
    <row r="715" spans="5:6" x14ac:dyDescent="0.15">
      <c r="E715" s="133"/>
      <c r="F715" s="133"/>
    </row>
    <row r="716" spans="5:6" x14ac:dyDescent="0.15">
      <c r="E716" s="133"/>
      <c r="F716" s="133"/>
    </row>
    <row r="717" spans="5:6" x14ac:dyDescent="0.15">
      <c r="E717" s="133"/>
      <c r="F717" s="133"/>
    </row>
    <row r="718" spans="5:6" x14ac:dyDescent="0.15">
      <c r="E718" s="133"/>
      <c r="F718" s="133"/>
    </row>
    <row r="719" spans="5:6" x14ac:dyDescent="0.15">
      <c r="E719" s="133"/>
      <c r="F719" s="133"/>
    </row>
    <row r="720" spans="5:6" x14ac:dyDescent="0.15">
      <c r="E720" s="133"/>
      <c r="F720" s="133"/>
    </row>
    <row r="721" spans="5:6" x14ac:dyDescent="0.15">
      <c r="E721" s="133"/>
      <c r="F721" s="133"/>
    </row>
    <row r="722" spans="5:6" x14ac:dyDescent="0.15">
      <c r="E722" s="133"/>
      <c r="F722" s="133"/>
    </row>
    <row r="723" spans="5:6" x14ac:dyDescent="0.15">
      <c r="E723" s="133"/>
      <c r="F723" s="133"/>
    </row>
    <row r="724" spans="5:6" x14ac:dyDescent="0.15">
      <c r="E724" s="133"/>
      <c r="F724" s="133"/>
    </row>
    <row r="725" spans="5:6" x14ac:dyDescent="0.15">
      <c r="E725" s="133"/>
      <c r="F725" s="133"/>
    </row>
    <row r="726" spans="5:6" x14ac:dyDescent="0.15">
      <c r="E726" s="133"/>
      <c r="F726" s="133"/>
    </row>
    <row r="727" spans="5:6" x14ac:dyDescent="0.15">
      <c r="E727" s="133"/>
      <c r="F727" s="133"/>
    </row>
    <row r="728" spans="5:6" x14ac:dyDescent="0.15">
      <c r="E728" s="133"/>
      <c r="F728" s="133"/>
    </row>
    <row r="729" spans="5:6" x14ac:dyDescent="0.15">
      <c r="E729" s="133"/>
      <c r="F729" s="133"/>
    </row>
    <row r="730" spans="5:6" x14ac:dyDescent="0.15">
      <c r="E730" s="133"/>
      <c r="F730" s="133"/>
    </row>
    <row r="731" spans="5:6" x14ac:dyDescent="0.15">
      <c r="E731" s="133"/>
      <c r="F731" s="133"/>
    </row>
    <row r="732" spans="5:6" x14ac:dyDescent="0.15">
      <c r="E732" s="133"/>
    </row>
  </sheetData>
  <autoFilter ref="A1:BA85"/>
  <phoneticPr fontId="3"/>
  <dataValidations count="15">
    <dataValidation type="decimal" allowBlank="1" showInputMessage="1" showErrorMessage="1" error="硬度を正しく入力して下さい。" sqref="O2:P500">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formula1>$AV$2:$AV$20</formula1>
    </dataValidation>
    <dataValidation type="list" allowBlank="1" showInputMessage="1" showErrorMessage="1" sqref="Y2:AA500">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formula1>$AT$2:$AT$3</formula1>
    </dataValidation>
    <dataValidation type="list" allowBlank="1" showInputMessage="1" showErrorMessage="1" sqref="K2:K89">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formula1>$AR$2:$AR$25</formula1>
    </dataValidation>
    <dataValidation type="list" allowBlank="1" showInputMessage="1" showErrorMessage="1" sqref="H2:H500">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formula1>$AH$2:$AH$11</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formula1>$AG$2:$AG$11</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formula1>$AL$4:$AL$12</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formula1>$AJ$2:$AJ$4</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4"/>
  <sheetViews>
    <sheetView zoomScale="80" zoomScaleNormal="80" workbookViewId="0">
      <selection activeCell="K22" sqref="K22"/>
    </sheetView>
  </sheetViews>
  <sheetFormatPr defaultRowHeight="13.5" x14ac:dyDescent="0.15"/>
  <cols>
    <col min="1" max="3" width="9" style="87" customWidth="1"/>
    <col min="4" max="4" width="10.5" style="87" customWidth="1"/>
    <col min="5" max="5" width="11.25" style="87" bestFit="1" customWidth="1"/>
    <col min="6" max="7" width="9" style="87"/>
    <col min="8" max="10" width="9" style="87" customWidth="1"/>
    <col min="11" max="11" width="11.375" style="87" customWidth="1"/>
    <col min="12" max="16" width="9" style="87" customWidth="1"/>
    <col min="17" max="17" width="9" style="16" customWidth="1"/>
    <col min="18" max="18" width="9" style="87"/>
    <col min="19" max="19" width="9.5" style="87" bestFit="1" customWidth="1"/>
    <col min="20" max="20" width="9" style="16" customWidth="1"/>
    <col min="21" max="21" width="9" style="87"/>
    <col min="22" max="22" width="9" style="16" customWidth="1"/>
    <col min="23" max="28" width="9" style="87"/>
    <col min="29" max="29" width="26.5" style="87" customWidth="1"/>
    <col min="30" max="32" width="9" style="87"/>
    <col min="33" max="33" width="15.75" style="87" bestFit="1" customWidth="1"/>
    <col min="34" max="34" width="15" style="87" bestFit="1" customWidth="1"/>
    <col min="35" max="256" width="9" style="87"/>
    <col min="257" max="259" width="9" style="87" customWidth="1"/>
    <col min="260" max="260" width="10.5" style="87" customWidth="1"/>
    <col min="261" max="261" width="11.25" style="87" bestFit="1" customWidth="1"/>
    <col min="262" max="263" width="9" style="87"/>
    <col min="264" max="273" width="9" style="87" customWidth="1"/>
    <col min="274" max="274" width="9" style="87"/>
    <col min="275" max="275" width="9.5" style="87" bestFit="1" customWidth="1"/>
    <col min="276" max="276" width="9" style="87" customWidth="1"/>
    <col min="277" max="277" width="9" style="87"/>
    <col min="278" max="278" width="9" style="87" customWidth="1"/>
    <col min="279" max="284" width="9" style="87"/>
    <col min="285" max="285" width="26.5" style="87" customWidth="1"/>
    <col min="286" max="288" width="9" style="87"/>
    <col min="289" max="289" width="14.75" style="87" bestFit="1" customWidth="1"/>
    <col min="290" max="512" width="9" style="87"/>
    <col min="513" max="515" width="9" style="87" customWidth="1"/>
    <col min="516" max="516" width="10.5" style="87" customWidth="1"/>
    <col min="517" max="517" width="11.25" style="87" bestFit="1" customWidth="1"/>
    <col min="518" max="519" width="9" style="87"/>
    <col min="520" max="529" width="9" style="87" customWidth="1"/>
    <col min="530" max="530" width="9" style="87"/>
    <col min="531" max="531" width="9.5" style="87" bestFit="1" customWidth="1"/>
    <col min="532" max="532" width="9" style="87" customWidth="1"/>
    <col min="533" max="533" width="9" style="87"/>
    <col min="534" max="534" width="9" style="87" customWidth="1"/>
    <col min="535" max="540" width="9" style="87"/>
    <col min="541" max="541" width="26.5" style="87" customWidth="1"/>
    <col min="542" max="544" width="9" style="87"/>
    <col min="545" max="545" width="14.75" style="87" bestFit="1" customWidth="1"/>
    <col min="546" max="768" width="9" style="87"/>
    <col min="769" max="771" width="9" style="87" customWidth="1"/>
    <col min="772" max="772" width="10.5" style="87" customWidth="1"/>
    <col min="773" max="773" width="11.25" style="87" bestFit="1" customWidth="1"/>
    <col min="774" max="775" width="9" style="87"/>
    <col min="776" max="785" width="9" style="87" customWidth="1"/>
    <col min="786" max="786" width="9" style="87"/>
    <col min="787" max="787" width="9.5" style="87" bestFit="1" customWidth="1"/>
    <col min="788" max="788" width="9" style="87" customWidth="1"/>
    <col min="789" max="789" width="9" style="87"/>
    <col min="790" max="790" width="9" style="87" customWidth="1"/>
    <col min="791" max="796" width="9" style="87"/>
    <col min="797" max="797" width="26.5" style="87" customWidth="1"/>
    <col min="798" max="800" width="9" style="87"/>
    <col min="801" max="801" width="14.75" style="87" bestFit="1" customWidth="1"/>
    <col min="802" max="1024" width="9" style="87"/>
    <col min="1025" max="1027" width="9" style="87" customWidth="1"/>
    <col min="1028" max="1028" width="10.5" style="87" customWidth="1"/>
    <col min="1029" max="1029" width="11.25" style="87" bestFit="1" customWidth="1"/>
    <col min="1030" max="1031" width="9" style="87"/>
    <col min="1032" max="1041" width="9" style="87" customWidth="1"/>
    <col min="1042" max="1042" width="9" style="87"/>
    <col min="1043" max="1043" width="9.5" style="87" bestFit="1" customWidth="1"/>
    <col min="1044" max="1044" width="9" style="87" customWidth="1"/>
    <col min="1045" max="1045" width="9" style="87"/>
    <col min="1046" max="1046" width="9" style="87" customWidth="1"/>
    <col min="1047" max="1052" width="9" style="87"/>
    <col min="1053" max="1053" width="26.5" style="87" customWidth="1"/>
    <col min="1054" max="1056" width="9" style="87"/>
    <col min="1057" max="1057" width="14.75" style="87" bestFit="1" customWidth="1"/>
    <col min="1058" max="1280" width="9" style="87"/>
    <col min="1281" max="1283" width="9" style="87" customWidth="1"/>
    <col min="1284" max="1284" width="10.5" style="87" customWidth="1"/>
    <col min="1285" max="1285" width="11.25" style="87" bestFit="1" customWidth="1"/>
    <col min="1286" max="1287" width="9" style="87"/>
    <col min="1288" max="1297" width="9" style="87" customWidth="1"/>
    <col min="1298" max="1298" width="9" style="87"/>
    <col min="1299" max="1299" width="9.5" style="87" bestFit="1" customWidth="1"/>
    <col min="1300" max="1300" width="9" style="87" customWidth="1"/>
    <col min="1301" max="1301" width="9" style="87"/>
    <col min="1302" max="1302" width="9" style="87" customWidth="1"/>
    <col min="1303" max="1308" width="9" style="87"/>
    <col min="1309" max="1309" width="26.5" style="87" customWidth="1"/>
    <col min="1310" max="1312" width="9" style="87"/>
    <col min="1313" max="1313" width="14.75" style="87" bestFit="1" customWidth="1"/>
    <col min="1314" max="1536" width="9" style="87"/>
    <col min="1537" max="1539" width="9" style="87" customWidth="1"/>
    <col min="1540" max="1540" width="10.5" style="87" customWidth="1"/>
    <col min="1541" max="1541" width="11.25" style="87" bestFit="1" customWidth="1"/>
    <col min="1542" max="1543" width="9" style="87"/>
    <col min="1544" max="1553" width="9" style="87" customWidth="1"/>
    <col min="1554" max="1554" width="9" style="87"/>
    <col min="1555" max="1555" width="9.5" style="87" bestFit="1" customWidth="1"/>
    <col min="1556" max="1556" width="9" style="87" customWidth="1"/>
    <col min="1557" max="1557" width="9" style="87"/>
    <col min="1558" max="1558" width="9" style="87" customWidth="1"/>
    <col min="1559" max="1564" width="9" style="87"/>
    <col min="1565" max="1565" width="26.5" style="87" customWidth="1"/>
    <col min="1566" max="1568" width="9" style="87"/>
    <col min="1569" max="1569" width="14.75" style="87" bestFit="1" customWidth="1"/>
    <col min="1570" max="1792" width="9" style="87"/>
    <col min="1793" max="1795" width="9" style="87" customWidth="1"/>
    <col min="1796" max="1796" width="10.5" style="87" customWidth="1"/>
    <col min="1797" max="1797" width="11.25" style="87" bestFit="1" customWidth="1"/>
    <col min="1798" max="1799" width="9" style="87"/>
    <col min="1800" max="1809" width="9" style="87" customWidth="1"/>
    <col min="1810" max="1810" width="9" style="87"/>
    <col min="1811" max="1811" width="9.5" style="87" bestFit="1" customWidth="1"/>
    <col min="1812" max="1812" width="9" style="87" customWidth="1"/>
    <col min="1813" max="1813" width="9" style="87"/>
    <col min="1814" max="1814" width="9" style="87" customWidth="1"/>
    <col min="1815" max="1820" width="9" style="87"/>
    <col min="1821" max="1821" width="26.5" style="87" customWidth="1"/>
    <col min="1822" max="1824" width="9" style="87"/>
    <col min="1825" max="1825" width="14.75" style="87" bestFit="1" customWidth="1"/>
    <col min="1826" max="2048" width="9" style="87"/>
    <col min="2049" max="2051" width="9" style="87" customWidth="1"/>
    <col min="2052" max="2052" width="10.5" style="87" customWidth="1"/>
    <col min="2053" max="2053" width="11.25" style="87" bestFit="1" customWidth="1"/>
    <col min="2054" max="2055" width="9" style="87"/>
    <col min="2056" max="2065" width="9" style="87" customWidth="1"/>
    <col min="2066" max="2066" width="9" style="87"/>
    <col min="2067" max="2067" width="9.5" style="87" bestFit="1" customWidth="1"/>
    <col min="2068" max="2068" width="9" style="87" customWidth="1"/>
    <col min="2069" max="2069" width="9" style="87"/>
    <col min="2070" max="2070" width="9" style="87" customWidth="1"/>
    <col min="2071" max="2076" width="9" style="87"/>
    <col min="2077" max="2077" width="26.5" style="87" customWidth="1"/>
    <col min="2078" max="2080" width="9" style="87"/>
    <col min="2081" max="2081" width="14.75" style="87" bestFit="1" customWidth="1"/>
    <col min="2082" max="2304" width="9" style="87"/>
    <col min="2305" max="2307" width="9" style="87" customWidth="1"/>
    <col min="2308" max="2308" width="10.5" style="87" customWidth="1"/>
    <col min="2309" max="2309" width="11.25" style="87" bestFit="1" customWidth="1"/>
    <col min="2310" max="2311" width="9" style="87"/>
    <col min="2312" max="2321" width="9" style="87" customWidth="1"/>
    <col min="2322" max="2322" width="9" style="87"/>
    <col min="2323" max="2323" width="9.5" style="87" bestFit="1" customWidth="1"/>
    <col min="2324" max="2324" width="9" style="87" customWidth="1"/>
    <col min="2325" max="2325" width="9" style="87"/>
    <col min="2326" max="2326" width="9" style="87" customWidth="1"/>
    <col min="2327" max="2332" width="9" style="87"/>
    <col min="2333" max="2333" width="26.5" style="87" customWidth="1"/>
    <col min="2334" max="2336" width="9" style="87"/>
    <col min="2337" max="2337" width="14.75" style="87" bestFit="1" customWidth="1"/>
    <col min="2338" max="2560" width="9" style="87"/>
    <col min="2561" max="2563" width="9" style="87" customWidth="1"/>
    <col min="2564" max="2564" width="10.5" style="87" customWidth="1"/>
    <col min="2565" max="2565" width="11.25" style="87" bestFit="1" customWidth="1"/>
    <col min="2566" max="2567" width="9" style="87"/>
    <col min="2568" max="2577" width="9" style="87" customWidth="1"/>
    <col min="2578" max="2578" width="9" style="87"/>
    <col min="2579" max="2579" width="9.5" style="87" bestFit="1" customWidth="1"/>
    <col min="2580" max="2580" width="9" style="87" customWidth="1"/>
    <col min="2581" max="2581" width="9" style="87"/>
    <col min="2582" max="2582" width="9" style="87" customWidth="1"/>
    <col min="2583" max="2588" width="9" style="87"/>
    <col min="2589" max="2589" width="26.5" style="87" customWidth="1"/>
    <col min="2590" max="2592" width="9" style="87"/>
    <col min="2593" max="2593" width="14.75" style="87" bestFit="1" customWidth="1"/>
    <col min="2594" max="2816" width="9" style="87"/>
    <col min="2817" max="2819" width="9" style="87" customWidth="1"/>
    <col min="2820" max="2820" width="10.5" style="87" customWidth="1"/>
    <col min="2821" max="2821" width="11.25" style="87" bestFit="1" customWidth="1"/>
    <col min="2822" max="2823" width="9" style="87"/>
    <col min="2824" max="2833" width="9" style="87" customWidth="1"/>
    <col min="2834" max="2834" width="9" style="87"/>
    <col min="2835" max="2835" width="9.5" style="87" bestFit="1" customWidth="1"/>
    <col min="2836" max="2836" width="9" style="87" customWidth="1"/>
    <col min="2837" max="2837" width="9" style="87"/>
    <col min="2838" max="2838" width="9" style="87" customWidth="1"/>
    <col min="2839" max="2844" width="9" style="87"/>
    <col min="2845" max="2845" width="26.5" style="87" customWidth="1"/>
    <col min="2846" max="2848" width="9" style="87"/>
    <col min="2849" max="2849" width="14.75" style="87" bestFit="1" customWidth="1"/>
    <col min="2850" max="3072" width="9" style="87"/>
    <col min="3073" max="3075" width="9" style="87" customWidth="1"/>
    <col min="3076" max="3076" width="10.5" style="87" customWidth="1"/>
    <col min="3077" max="3077" width="11.25" style="87" bestFit="1" customWidth="1"/>
    <col min="3078" max="3079" width="9" style="87"/>
    <col min="3080" max="3089" width="9" style="87" customWidth="1"/>
    <col min="3090" max="3090" width="9" style="87"/>
    <col min="3091" max="3091" width="9.5" style="87" bestFit="1" customWidth="1"/>
    <col min="3092" max="3092" width="9" style="87" customWidth="1"/>
    <col min="3093" max="3093" width="9" style="87"/>
    <col min="3094" max="3094" width="9" style="87" customWidth="1"/>
    <col min="3095" max="3100" width="9" style="87"/>
    <col min="3101" max="3101" width="26.5" style="87" customWidth="1"/>
    <col min="3102" max="3104" width="9" style="87"/>
    <col min="3105" max="3105" width="14.75" style="87" bestFit="1" customWidth="1"/>
    <col min="3106" max="3328" width="9" style="87"/>
    <col min="3329" max="3331" width="9" style="87" customWidth="1"/>
    <col min="3332" max="3332" width="10.5" style="87" customWidth="1"/>
    <col min="3333" max="3333" width="11.25" style="87" bestFit="1" customWidth="1"/>
    <col min="3334" max="3335" width="9" style="87"/>
    <col min="3336" max="3345" width="9" style="87" customWidth="1"/>
    <col min="3346" max="3346" width="9" style="87"/>
    <col min="3347" max="3347" width="9.5" style="87" bestFit="1" customWidth="1"/>
    <col min="3348" max="3348" width="9" style="87" customWidth="1"/>
    <col min="3349" max="3349" width="9" style="87"/>
    <col min="3350" max="3350" width="9" style="87" customWidth="1"/>
    <col min="3351" max="3356" width="9" style="87"/>
    <col min="3357" max="3357" width="26.5" style="87" customWidth="1"/>
    <col min="3358" max="3360" width="9" style="87"/>
    <col min="3361" max="3361" width="14.75" style="87" bestFit="1" customWidth="1"/>
    <col min="3362" max="3584" width="9" style="87"/>
    <col min="3585" max="3587" width="9" style="87" customWidth="1"/>
    <col min="3588" max="3588" width="10.5" style="87" customWidth="1"/>
    <col min="3589" max="3589" width="11.25" style="87" bestFit="1" customWidth="1"/>
    <col min="3590" max="3591" width="9" style="87"/>
    <col min="3592" max="3601" width="9" style="87" customWidth="1"/>
    <col min="3602" max="3602" width="9" style="87"/>
    <col min="3603" max="3603" width="9.5" style="87" bestFit="1" customWidth="1"/>
    <col min="3604" max="3604" width="9" style="87" customWidth="1"/>
    <col min="3605" max="3605" width="9" style="87"/>
    <col min="3606" max="3606" width="9" style="87" customWidth="1"/>
    <col min="3607" max="3612" width="9" style="87"/>
    <col min="3613" max="3613" width="26.5" style="87" customWidth="1"/>
    <col min="3614" max="3616" width="9" style="87"/>
    <col min="3617" max="3617" width="14.75" style="87" bestFit="1" customWidth="1"/>
    <col min="3618" max="3840" width="9" style="87"/>
    <col min="3841" max="3843" width="9" style="87" customWidth="1"/>
    <col min="3844" max="3844" width="10.5" style="87" customWidth="1"/>
    <col min="3845" max="3845" width="11.25" style="87" bestFit="1" customWidth="1"/>
    <col min="3846" max="3847" width="9" style="87"/>
    <col min="3848" max="3857" width="9" style="87" customWidth="1"/>
    <col min="3858" max="3858" width="9" style="87"/>
    <col min="3859" max="3859" width="9.5" style="87" bestFit="1" customWidth="1"/>
    <col min="3860" max="3860" width="9" style="87" customWidth="1"/>
    <col min="3861" max="3861" width="9" style="87"/>
    <col min="3862" max="3862" width="9" style="87" customWidth="1"/>
    <col min="3863" max="3868" width="9" style="87"/>
    <col min="3869" max="3869" width="26.5" style="87" customWidth="1"/>
    <col min="3870" max="3872" width="9" style="87"/>
    <col min="3873" max="3873" width="14.75" style="87" bestFit="1" customWidth="1"/>
    <col min="3874" max="4096" width="9" style="87"/>
    <col min="4097" max="4099" width="9" style="87" customWidth="1"/>
    <col min="4100" max="4100" width="10.5" style="87" customWidth="1"/>
    <col min="4101" max="4101" width="11.25" style="87" bestFit="1" customWidth="1"/>
    <col min="4102" max="4103" width="9" style="87"/>
    <col min="4104" max="4113" width="9" style="87" customWidth="1"/>
    <col min="4114" max="4114" width="9" style="87"/>
    <col min="4115" max="4115" width="9.5" style="87" bestFit="1" customWidth="1"/>
    <col min="4116" max="4116" width="9" style="87" customWidth="1"/>
    <col min="4117" max="4117" width="9" style="87"/>
    <col min="4118" max="4118" width="9" style="87" customWidth="1"/>
    <col min="4119" max="4124" width="9" style="87"/>
    <col min="4125" max="4125" width="26.5" style="87" customWidth="1"/>
    <col min="4126" max="4128" width="9" style="87"/>
    <col min="4129" max="4129" width="14.75" style="87" bestFit="1" customWidth="1"/>
    <col min="4130" max="4352" width="9" style="87"/>
    <col min="4353" max="4355" width="9" style="87" customWidth="1"/>
    <col min="4356" max="4356" width="10.5" style="87" customWidth="1"/>
    <col min="4357" max="4357" width="11.25" style="87" bestFit="1" customWidth="1"/>
    <col min="4358" max="4359" width="9" style="87"/>
    <col min="4360" max="4369" width="9" style="87" customWidth="1"/>
    <col min="4370" max="4370" width="9" style="87"/>
    <col min="4371" max="4371" width="9.5" style="87" bestFit="1" customWidth="1"/>
    <col min="4372" max="4372" width="9" style="87" customWidth="1"/>
    <col min="4373" max="4373" width="9" style="87"/>
    <col min="4374" max="4374" width="9" style="87" customWidth="1"/>
    <col min="4375" max="4380" width="9" style="87"/>
    <col min="4381" max="4381" width="26.5" style="87" customWidth="1"/>
    <col min="4382" max="4384" width="9" style="87"/>
    <col min="4385" max="4385" width="14.75" style="87" bestFit="1" customWidth="1"/>
    <col min="4386" max="4608" width="9" style="87"/>
    <col min="4609" max="4611" width="9" style="87" customWidth="1"/>
    <col min="4612" max="4612" width="10.5" style="87" customWidth="1"/>
    <col min="4613" max="4613" width="11.25" style="87" bestFit="1" customWidth="1"/>
    <col min="4614" max="4615" width="9" style="87"/>
    <col min="4616" max="4625" width="9" style="87" customWidth="1"/>
    <col min="4626" max="4626" width="9" style="87"/>
    <col min="4627" max="4627" width="9.5" style="87" bestFit="1" customWidth="1"/>
    <col min="4628" max="4628" width="9" style="87" customWidth="1"/>
    <col min="4629" max="4629" width="9" style="87"/>
    <col min="4630" max="4630" width="9" style="87" customWidth="1"/>
    <col min="4631" max="4636" width="9" style="87"/>
    <col min="4637" max="4637" width="26.5" style="87" customWidth="1"/>
    <col min="4638" max="4640" width="9" style="87"/>
    <col min="4641" max="4641" width="14.75" style="87" bestFit="1" customWidth="1"/>
    <col min="4642" max="4864" width="9" style="87"/>
    <col min="4865" max="4867" width="9" style="87" customWidth="1"/>
    <col min="4868" max="4868" width="10.5" style="87" customWidth="1"/>
    <col min="4869" max="4869" width="11.25" style="87" bestFit="1" customWidth="1"/>
    <col min="4870" max="4871" width="9" style="87"/>
    <col min="4872" max="4881" width="9" style="87" customWidth="1"/>
    <col min="4882" max="4882" width="9" style="87"/>
    <col min="4883" max="4883" width="9.5" style="87" bestFit="1" customWidth="1"/>
    <col min="4884" max="4884" width="9" style="87" customWidth="1"/>
    <col min="4885" max="4885" width="9" style="87"/>
    <col min="4886" max="4886" width="9" style="87" customWidth="1"/>
    <col min="4887" max="4892" width="9" style="87"/>
    <col min="4893" max="4893" width="26.5" style="87" customWidth="1"/>
    <col min="4894" max="4896" width="9" style="87"/>
    <col min="4897" max="4897" width="14.75" style="87" bestFit="1" customWidth="1"/>
    <col min="4898" max="5120" width="9" style="87"/>
    <col min="5121" max="5123" width="9" style="87" customWidth="1"/>
    <col min="5124" max="5124" width="10.5" style="87" customWidth="1"/>
    <col min="5125" max="5125" width="11.25" style="87" bestFit="1" customWidth="1"/>
    <col min="5126" max="5127" width="9" style="87"/>
    <col min="5128" max="5137" width="9" style="87" customWidth="1"/>
    <col min="5138" max="5138" width="9" style="87"/>
    <col min="5139" max="5139" width="9.5" style="87" bestFit="1" customWidth="1"/>
    <col min="5140" max="5140" width="9" style="87" customWidth="1"/>
    <col min="5141" max="5141" width="9" style="87"/>
    <col min="5142" max="5142" width="9" style="87" customWidth="1"/>
    <col min="5143" max="5148" width="9" style="87"/>
    <col min="5149" max="5149" width="26.5" style="87" customWidth="1"/>
    <col min="5150" max="5152" width="9" style="87"/>
    <col min="5153" max="5153" width="14.75" style="87" bestFit="1" customWidth="1"/>
    <col min="5154" max="5376" width="9" style="87"/>
    <col min="5377" max="5379" width="9" style="87" customWidth="1"/>
    <col min="5380" max="5380" width="10.5" style="87" customWidth="1"/>
    <col min="5381" max="5381" width="11.25" style="87" bestFit="1" customWidth="1"/>
    <col min="5382" max="5383" width="9" style="87"/>
    <col min="5384" max="5393" width="9" style="87" customWidth="1"/>
    <col min="5394" max="5394" width="9" style="87"/>
    <col min="5395" max="5395" width="9.5" style="87" bestFit="1" customWidth="1"/>
    <col min="5396" max="5396" width="9" style="87" customWidth="1"/>
    <col min="5397" max="5397" width="9" style="87"/>
    <col min="5398" max="5398" width="9" style="87" customWidth="1"/>
    <col min="5399" max="5404" width="9" style="87"/>
    <col min="5405" max="5405" width="26.5" style="87" customWidth="1"/>
    <col min="5406" max="5408" width="9" style="87"/>
    <col min="5409" max="5409" width="14.75" style="87" bestFit="1" customWidth="1"/>
    <col min="5410" max="5632" width="9" style="87"/>
    <col min="5633" max="5635" width="9" style="87" customWidth="1"/>
    <col min="5636" max="5636" width="10.5" style="87" customWidth="1"/>
    <col min="5637" max="5637" width="11.25" style="87" bestFit="1" customWidth="1"/>
    <col min="5638" max="5639" width="9" style="87"/>
    <col min="5640" max="5649" width="9" style="87" customWidth="1"/>
    <col min="5650" max="5650" width="9" style="87"/>
    <col min="5651" max="5651" width="9.5" style="87" bestFit="1" customWidth="1"/>
    <col min="5652" max="5652" width="9" style="87" customWidth="1"/>
    <col min="5653" max="5653" width="9" style="87"/>
    <col min="5654" max="5654" width="9" style="87" customWidth="1"/>
    <col min="5655" max="5660" width="9" style="87"/>
    <col min="5661" max="5661" width="26.5" style="87" customWidth="1"/>
    <col min="5662" max="5664" width="9" style="87"/>
    <col min="5665" max="5665" width="14.75" style="87" bestFit="1" customWidth="1"/>
    <col min="5666" max="5888" width="9" style="87"/>
    <col min="5889" max="5891" width="9" style="87" customWidth="1"/>
    <col min="5892" max="5892" width="10.5" style="87" customWidth="1"/>
    <col min="5893" max="5893" width="11.25" style="87" bestFit="1" customWidth="1"/>
    <col min="5894" max="5895" width="9" style="87"/>
    <col min="5896" max="5905" width="9" style="87" customWidth="1"/>
    <col min="5906" max="5906" width="9" style="87"/>
    <col min="5907" max="5907" width="9.5" style="87" bestFit="1" customWidth="1"/>
    <col min="5908" max="5908" width="9" style="87" customWidth="1"/>
    <col min="5909" max="5909" width="9" style="87"/>
    <col min="5910" max="5910" width="9" style="87" customWidth="1"/>
    <col min="5911" max="5916" width="9" style="87"/>
    <col min="5917" max="5917" width="26.5" style="87" customWidth="1"/>
    <col min="5918" max="5920" width="9" style="87"/>
    <col min="5921" max="5921" width="14.75" style="87" bestFit="1" customWidth="1"/>
    <col min="5922" max="6144" width="9" style="87"/>
    <col min="6145" max="6147" width="9" style="87" customWidth="1"/>
    <col min="6148" max="6148" width="10.5" style="87" customWidth="1"/>
    <col min="6149" max="6149" width="11.25" style="87" bestFit="1" customWidth="1"/>
    <col min="6150" max="6151" width="9" style="87"/>
    <col min="6152" max="6161" width="9" style="87" customWidth="1"/>
    <col min="6162" max="6162" width="9" style="87"/>
    <col min="6163" max="6163" width="9.5" style="87" bestFit="1" customWidth="1"/>
    <col min="6164" max="6164" width="9" style="87" customWidth="1"/>
    <col min="6165" max="6165" width="9" style="87"/>
    <col min="6166" max="6166" width="9" style="87" customWidth="1"/>
    <col min="6167" max="6172" width="9" style="87"/>
    <col min="6173" max="6173" width="26.5" style="87" customWidth="1"/>
    <col min="6174" max="6176" width="9" style="87"/>
    <col min="6177" max="6177" width="14.75" style="87" bestFit="1" customWidth="1"/>
    <col min="6178" max="6400" width="9" style="87"/>
    <col min="6401" max="6403" width="9" style="87" customWidth="1"/>
    <col min="6404" max="6404" width="10.5" style="87" customWidth="1"/>
    <col min="6405" max="6405" width="11.25" style="87" bestFit="1" customWidth="1"/>
    <col min="6406" max="6407" width="9" style="87"/>
    <col min="6408" max="6417" width="9" style="87" customWidth="1"/>
    <col min="6418" max="6418" width="9" style="87"/>
    <col min="6419" max="6419" width="9.5" style="87" bestFit="1" customWidth="1"/>
    <col min="6420" max="6420" width="9" style="87" customWidth="1"/>
    <col min="6421" max="6421" width="9" style="87"/>
    <col min="6422" max="6422" width="9" style="87" customWidth="1"/>
    <col min="6423" max="6428" width="9" style="87"/>
    <col min="6429" max="6429" width="26.5" style="87" customWidth="1"/>
    <col min="6430" max="6432" width="9" style="87"/>
    <col min="6433" max="6433" width="14.75" style="87" bestFit="1" customWidth="1"/>
    <col min="6434" max="6656" width="9" style="87"/>
    <col min="6657" max="6659" width="9" style="87" customWidth="1"/>
    <col min="6660" max="6660" width="10.5" style="87" customWidth="1"/>
    <col min="6661" max="6661" width="11.25" style="87" bestFit="1" customWidth="1"/>
    <col min="6662" max="6663" width="9" style="87"/>
    <col min="6664" max="6673" width="9" style="87" customWidth="1"/>
    <col min="6674" max="6674" width="9" style="87"/>
    <col min="6675" max="6675" width="9.5" style="87" bestFit="1" customWidth="1"/>
    <col min="6676" max="6676" width="9" style="87" customWidth="1"/>
    <col min="6677" max="6677" width="9" style="87"/>
    <col min="6678" max="6678" width="9" style="87" customWidth="1"/>
    <col min="6679" max="6684" width="9" style="87"/>
    <col min="6685" max="6685" width="26.5" style="87" customWidth="1"/>
    <col min="6686" max="6688" width="9" style="87"/>
    <col min="6689" max="6689" width="14.75" style="87" bestFit="1" customWidth="1"/>
    <col min="6690" max="6912" width="9" style="87"/>
    <col min="6913" max="6915" width="9" style="87" customWidth="1"/>
    <col min="6916" max="6916" width="10.5" style="87" customWidth="1"/>
    <col min="6917" max="6917" width="11.25" style="87" bestFit="1" customWidth="1"/>
    <col min="6918" max="6919" width="9" style="87"/>
    <col min="6920" max="6929" width="9" style="87" customWidth="1"/>
    <col min="6930" max="6930" width="9" style="87"/>
    <col min="6931" max="6931" width="9.5" style="87" bestFit="1" customWidth="1"/>
    <col min="6932" max="6932" width="9" style="87" customWidth="1"/>
    <col min="6933" max="6933" width="9" style="87"/>
    <col min="6934" max="6934" width="9" style="87" customWidth="1"/>
    <col min="6935" max="6940" width="9" style="87"/>
    <col min="6941" max="6941" width="26.5" style="87" customWidth="1"/>
    <col min="6942" max="6944" width="9" style="87"/>
    <col min="6945" max="6945" width="14.75" style="87" bestFit="1" customWidth="1"/>
    <col min="6946" max="7168" width="9" style="87"/>
    <col min="7169" max="7171" width="9" style="87" customWidth="1"/>
    <col min="7172" max="7172" width="10.5" style="87" customWidth="1"/>
    <col min="7173" max="7173" width="11.25" style="87" bestFit="1" customWidth="1"/>
    <col min="7174" max="7175" width="9" style="87"/>
    <col min="7176" max="7185" width="9" style="87" customWidth="1"/>
    <col min="7186" max="7186" width="9" style="87"/>
    <col min="7187" max="7187" width="9.5" style="87" bestFit="1" customWidth="1"/>
    <col min="7188" max="7188" width="9" style="87" customWidth="1"/>
    <col min="7189" max="7189" width="9" style="87"/>
    <col min="7190" max="7190" width="9" style="87" customWidth="1"/>
    <col min="7191" max="7196" width="9" style="87"/>
    <col min="7197" max="7197" width="26.5" style="87" customWidth="1"/>
    <col min="7198" max="7200" width="9" style="87"/>
    <col min="7201" max="7201" width="14.75" style="87" bestFit="1" customWidth="1"/>
    <col min="7202" max="7424" width="9" style="87"/>
    <col min="7425" max="7427" width="9" style="87" customWidth="1"/>
    <col min="7428" max="7428" width="10.5" style="87" customWidth="1"/>
    <col min="7429" max="7429" width="11.25" style="87" bestFit="1" customWidth="1"/>
    <col min="7430" max="7431" width="9" style="87"/>
    <col min="7432" max="7441" width="9" style="87" customWidth="1"/>
    <col min="7442" max="7442" width="9" style="87"/>
    <col min="7443" max="7443" width="9.5" style="87" bestFit="1" customWidth="1"/>
    <col min="7444" max="7444" width="9" style="87" customWidth="1"/>
    <col min="7445" max="7445" width="9" style="87"/>
    <col min="7446" max="7446" width="9" style="87" customWidth="1"/>
    <col min="7447" max="7452" width="9" style="87"/>
    <col min="7453" max="7453" width="26.5" style="87" customWidth="1"/>
    <col min="7454" max="7456" width="9" style="87"/>
    <col min="7457" max="7457" width="14.75" style="87" bestFit="1" customWidth="1"/>
    <col min="7458" max="7680" width="9" style="87"/>
    <col min="7681" max="7683" width="9" style="87" customWidth="1"/>
    <col min="7684" max="7684" width="10.5" style="87" customWidth="1"/>
    <col min="7685" max="7685" width="11.25" style="87" bestFit="1" customWidth="1"/>
    <col min="7686" max="7687" width="9" style="87"/>
    <col min="7688" max="7697" width="9" style="87" customWidth="1"/>
    <col min="7698" max="7698" width="9" style="87"/>
    <col min="7699" max="7699" width="9.5" style="87" bestFit="1" customWidth="1"/>
    <col min="7700" max="7700" width="9" style="87" customWidth="1"/>
    <col min="7701" max="7701" width="9" style="87"/>
    <col min="7702" max="7702" width="9" style="87" customWidth="1"/>
    <col min="7703" max="7708" width="9" style="87"/>
    <col min="7709" max="7709" width="26.5" style="87" customWidth="1"/>
    <col min="7710" max="7712" width="9" style="87"/>
    <col min="7713" max="7713" width="14.75" style="87" bestFit="1" customWidth="1"/>
    <col min="7714" max="7936" width="9" style="87"/>
    <col min="7937" max="7939" width="9" style="87" customWidth="1"/>
    <col min="7940" max="7940" width="10.5" style="87" customWidth="1"/>
    <col min="7941" max="7941" width="11.25" style="87" bestFit="1" customWidth="1"/>
    <col min="7942" max="7943" width="9" style="87"/>
    <col min="7944" max="7953" width="9" style="87" customWidth="1"/>
    <col min="7954" max="7954" width="9" style="87"/>
    <col min="7955" max="7955" width="9.5" style="87" bestFit="1" customWidth="1"/>
    <col min="7956" max="7956" width="9" style="87" customWidth="1"/>
    <col min="7957" max="7957" width="9" style="87"/>
    <col min="7958" max="7958" width="9" style="87" customWidth="1"/>
    <col min="7959" max="7964" width="9" style="87"/>
    <col min="7965" max="7965" width="26.5" style="87" customWidth="1"/>
    <col min="7966" max="7968" width="9" style="87"/>
    <col min="7969" max="7969" width="14.75" style="87" bestFit="1" customWidth="1"/>
    <col min="7970" max="8192" width="9" style="87"/>
    <col min="8193" max="8195" width="9" style="87" customWidth="1"/>
    <col min="8196" max="8196" width="10.5" style="87" customWidth="1"/>
    <col min="8197" max="8197" width="11.25" style="87" bestFit="1" customWidth="1"/>
    <col min="8198" max="8199" width="9" style="87"/>
    <col min="8200" max="8209" width="9" style="87" customWidth="1"/>
    <col min="8210" max="8210" width="9" style="87"/>
    <col min="8211" max="8211" width="9.5" style="87" bestFit="1" customWidth="1"/>
    <col min="8212" max="8212" width="9" style="87" customWidth="1"/>
    <col min="8213" max="8213" width="9" style="87"/>
    <col min="8214" max="8214" width="9" style="87" customWidth="1"/>
    <col min="8215" max="8220" width="9" style="87"/>
    <col min="8221" max="8221" width="26.5" style="87" customWidth="1"/>
    <col min="8222" max="8224" width="9" style="87"/>
    <col min="8225" max="8225" width="14.75" style="87" bestFit="1" customWidth="1"/>
    <col min="8226" max="8448" width="9" style="87"/>
    <col min="8449" max="8451" width="9" style="87" customWidth="1"/>
    <col min="8452" max="8452" width="10.5" style="87" customWidth="1"/>
    <col min="8453" max="8453" width="11.25" style="87" bestFit="1" customWidth="1"/>
    <col min="8454" max="8455" width="9" style="87"/>
    <col min="8456" max="8465" width="9" style="87" customWidth="1"/>
    <col min="8466" max="8466" width="9" style="87"/>
    <col min="8467" max="8467" width="9.5" style="87" bestFit="1" customWidth="1"/>
    <col min="8468" max="8468" width="9" style="87" customWidth="1"/>
    <col min="8469" max="8469" width="9" style="87"/>
    <col min="8470" max="8470" width="9" style="87" customWidth="1"/>
    <col min="8471" max="8476" width="9" style="87"/>
    <col min="8477" max="8477" width="26.5" style="87" customWidth="1"/>
    <col min="8478" max="8480" width="9" style="87"/>
    <col min="8481" max="8481" width="14.75" style="87" bestFit="1" customWidth="1"/>
    <col min="8482" max="8704" width="9" style="87"/>
    <col min="8705" max="8707" width="9" style="87" customWidth="1"/>
    <col min="8708" max="8708" width="10.5" style="87" customWidth="1"/>
    <col min="8709" max="8709" width="11.25" style="87" bestFit="1" customWidth="1"/>
    <col min="8710" max="8711" width="9" style="87"/>
    <col min="8712" max="8721" width="9" style="87" customWidth="1"/>
    <col min="8722" max="8722" width="9" style="87"/>
    <col min="8723" max="8723" width="9.5" style="87" bestFit="1" customWidth="1"/>
    <col min="8724" max="8724" width="9" style="87" customWidth="1"/>
    <col min="8725" max="8725" width="9" style="87"/>
    <col min="8726" max="8726" width="9" style="87" customWidth="1"/>
    <col min="8727" max="8732" width="9" style="87"/>
    <col min="8733" max="8733" width="26.5" style="87" customWidth="1"/>
    <col min="8734" max="8736" width="9" style="87"/>
    <col min="8737" max="8737" width="14.75" style="87" bestFit="1" customWidth="1"/>
    <col min="8738" max="8960" width="9" style="87"/>
    <col min="8961" max="8963" width="9" style="87" customWidth="1"/>
    <col min="8964" max="8964" width="10.5" style="87" customWidth="1"/>
    <col min="8965" max="8965" width="11.25" style="87" bestFit="1" customWidth="1"/>
    <col min="8966" max="8967" width="9" style="87"/>
    <col min="8968" max="8977" width="9" style="87" customWidth="1"/>
    <col min="8978" max="8978" width="9" style="87"/>
    <col min="8979" max="8979" width="9.5" style="87" bestFit="1" customWidth="1"/>
    <col min="8980" max="8980" width="9" style="87" customWidth="1"/>
    <col min="8981" max="8981" width="9" style="87"/>
    <col min="8982" max="8982" width="9" style="87" customWidth="1"/>
    <col min="8983" max="8988" width="9" style="87"/>
    <col min="8989" max="8989" width="26.5" style="87" customWidth="1"/>
    <col min="8990" max="8992" width="9" style="87"/>
    <col min="8993" max="8993" width="14.75" style="87" bestFit="1" customWidth="1"/>
    <col min="8994" max="9216" width="9" style="87"/>
    <col min="9217" max="9219" width="9" style="87" customWidth="1"/>
    <col min="9220" max="9220" width="10.5" style="87" customWidth="1"/>
    <col min="9221" max="9221" width="11.25" style="87" bestFit="1" customWidth="1"/>
    <col min="9222" max="9223" width="9" style="87"/>
    <col min="9224" max="9233" width="9" style="87" customWidth="1"/>
    <col min="9234" max="9234" width="9" style="87"/>
    <col min="9235" max="9235" width="9.5" style="87" bestFit="1" customWidth="1"/>
    <col min="9236" max="9236" width="9" style="87" customWidth="1"/>
    <col min="9237" max="9237" width="9" style="87"/>
    <col min="9238" max="9238" width="9" style="87" customWidth="1"/>
    <col min="9239" max="9244" width="9" style="87"/>
    <col min="9245" max="9245" width="26.5" style="87" customWidth="1"/>
    <col min="9246" max="9248" width="9" style="87"/>
    <col min="9249" max="9249" width="14.75" style="87" bestFit="1" customWidth="1"/>
    <col min="9250" max="9472" width="9" style="87"/>
    <col min="9473" max="9475" width="9" style="87" customWidth="1"/>
    <col min="9476" max="9476" width="10.5" style="87" customWidth="1"/>
    <col min="9477" max="9477" width="11.25" style="87" bestFit="1" customWidth="1"/>
    <col min="9478" max="9479" width="9" style="87"/>
    <col min="9480" max="9489" width="9" style="87" customWidth="1"/>
    <col min="9490" max="9490" width="9" style="87"/>
    <col min="9491" max="9491" width="9.5" style="87" bestFit="1" customWidth="1"/>
    <col min="9492" max="9492" width="9" style="87" customWidth="1"/>
    <col min="9493" max="9493" width="9" style="87"/>
    <col min="9494" max="9494" width="9" style="87" customWidth="1"/>
    <col min="9495" max="9500" width="9" style="87"/>
    <col min="9501" max="9501" width="26.5" style="87" customWidth="1"/>
    <col min="9502" max="9504" width="9" style="87"/>
    <col min="9505" max="9505" width="14.75" style="87" bestFit="1" customWidth="1"/>
    <col min="9506" max="9728" width="9" style="87"/>
    <col min="9729" max="9731" width="9" style="87" customWidth="1"/>
    <col min="9732" max="9732" width="10.5" style="87" customWidth="1"/>
    <col min="9733" max="9733" width="11.25" style="87" bestFit="1" customWidth="1"/>
    <col min="9734" max="9735" width="9" style="87"/>
    <col min="9736" max="9745" width="9" style="87" customWidth="1"/>
    <col min="9746" max="9746" width="9" style="87"/>
    <col min="9747" max="9747" width="9.5" style="87" bestFit="1" customWidth="1"/>
    <col min="9748" max="9748" width="9" style="87" customWidth="1"/>
    <col min="9749" max="9749" width="9" style="87"/>
    <col min="9750" max="9750" width="9" style="87" customWidth="1"/>
    <col min="9751" max="9756" width="9" style="87"/>
    <col min="9757" max="9757" width="26.5" style="87" customWidth="1"/>
    <col min="9758" max="9760" width="9" style="87"/>
    <col min="9761" max="9761" width="14.75" style="87" bestFit="1" customWidth="1"/>
    <col min="9762" max="9984" width="9" style="87"/>
    <col min="9985" max="9987" width="9" style="87" customWidth="1"/>
    <col min="9988" max="9988" width="10.5" style="87" customWidth="1"/>
    <col min="9989" max="9989" width="11.25" style="87" bestFit="1" customWidth="1"/>
    <col min="9990" max="9991" width="9" style="87"/>
    <col min="9992" max="10001" width="9" style="87" customWidth="1"/>
    <col min="10002" max="10002" width="9" style="87"/>
    <col min="10003" max="10003" width="9.5" style="87" bestFit="1" customWidth="1"/>
    <col min="10004" max="10004" width="9" style="87" customWidth="1"/>
    <col min="10005" max="10005" width="9" style="87"/>
    <col min="10006" max="10006" width="9" style="87" customWidth="1"/>
    <col min="10007" max="10012" width="9" style="87"/>
    <col min="10013" max="10013" width="26.5" style="87" customWidth="1"/>
    <col min="10014" max="10016" width="9" style="87"/>
    <col min="10017" max="10017" width="14.75" style="87" bestFit="1" customWidth="1"/>
    <col min="10018" max="10240" width="9" style="87"/>
    <col min="10241" max="10243" width="9" style="87" customWidth="1"/>
    <col min="10244" max="10244" width="10.5" style="87" customWidth="1"/>
    <col min="10245" max="10245" width="11.25" style="87" bestFit="1" customWidth="1"/>
    <col min="10246" max="10247" width="9" style="87"/>
    <col min="10248" max="10257" width="9" style="87" customWidth="1"/>
    <col min="10258" max="10258" width="9" style="87"/>
    <col min="10259" max="10259" width="9.5" style="87" bestFit="1" customWidth="1"/>
    <col min="10260" max="10260" width="9" style="87" customWidth="1"/>
    <col min="10261" max="10261" width="9" style="87"/>
    <col min="10262" max="10262" width="9" style="87" customWidth="1"/>
    <col min="10263" max="10268" width="9" style="87"/>
    <col min="10269" max="10269" width="26.5" style="87" customWidth="1"/>
    <col min="10270" max="10272" width="9" style="87"/>
    <col min="10273" max="10273" width="14.75" style="87" bestFit="1" customWidth="1"/>
    <col min="10274" max="10496" width="9" style="87"/>
    <col min="10497" max="10499" width="9" style="87" customWidth="1"/>
    <col min="10500" max="10500" width="10.5" style="87" customWidth="1"/>
    <col min="10501" max="10501" width="11.25" style="87" bestFit="1" customWidth="1"/>
    <col min="10502" max="10503" width="9" style="87"/>
    <col min="10504" max="10513" width="9" style="87" customWidth="1"/>
    <col min="10514" max="10514" width="9" style="87"/>
    <col min="10515" max="10515" width="9.5" style="87" bestFit="1" customWidth="1"/>
    <col min="10516" max="10516" width="9" style="87" customWidth="1"/>
    <col min="10517" max="10517" width="9" style="87"/>
    <col min="10518" max="10518" width="9" style="87" customWidth="1"/>
    <col min="10519" max="10524" width="9" style="87"/>
    <col min="10525" max="10525" width="26.5" style="87" customWidth="1"/>
    <col min="10526" max="10528" width="9" style="87"/>
    <col min="10529" max="10529" width="14.75" style="87" bestFit="1" customWidth="1"/>
    <col min="10530" max="10752" width="9" style="87"/>
    <col min="10753" max="10755" width="9" style="87" customWidth="1"/>
    <col min="10756" max="10756" width="10.5" style="87" customWidth="1"/>
    <col min="10757" max="10757" width="11.25" style="87" bestFit="1" customWidth="1"/>
    <col min="10758" max="10759" width="9" style="87"/>
    <col min="10760" max="10769" width="9" style="87" customWidth="1"/>
    <col min="10770" max="10770" width="9" style="87"/>
    <col min="10771" max="10771" width="9.5" style="87" bestFit="1" customWidth="1"/>
    <col min="10772" max="10772" width="9" style="87" customWidth="1"/>
    <col min="10773" max="10773" width="9" style="87"/>
    <col min="10774" max="10774" width="9" style="87" customWidth="1"/>
    <col min="10775" max="10780" width="9" style="87"/>
    <col min="10781" max="10781" width="26.5" style="87" customWidth="1"/>
    <col min="10782" max="10784" width="9" style="87"/>
    <col min="10785" max="10785" width="14.75" style="87" bestFit="1" customWidth="1"/>
    <col min="10786" max="11008" width="9" style="87"/>
    <col min="11009" max="11011" width="9" style="87" customWidth="1"/>
    <col min="11012" max="11012" width="10.5" style="87" customWidth="1"/>
    <col min="11013" max="11013" width="11.25" style="87" bestFit="1" customWidth="1"/>
    <col min="11014" max="11015" width="9" style="87"/>
    <col min="11016" max="11025" width="9" style="87" customWidth="1"/>
    <col min="11026" max="11026" width="9" style="87"/>
    <col min="11027" max="11027" width="9.5" style="87" bestFit="1" customWidth="1"/>
    <col min="11028" max="11028" width="9" style="87" customWidth="1"/>
    <col min="11029" max="11029" width="9" style="87"/>
    <col min="11030" max="11030" width="9" style="87" customWidth="1"/>
    <col min="11031" max="11036" width="9" style="87"/>
    <col min="11037" max="11037" width="26.5" style="87" customWidth="1"/>
    <col min="11038" max="11040" width="9" style="87"/>
    <col min="11041" max="11041" width="14.75" style="87" bestFit="1" customWidth="1"/>
    <col min="11042" max="11264" width="9" style="87"/>
    <col min="11265" max="11267" width="9" style="87" customWidth="1"/>
    <col min="11268" max="11268" width="10.5" style="87" customWidth="1"/>
    <col min="11269" max="11269" width="11.25" style="87" bestFit="1" customWidth="1"/>
    <col min="11270" max="11271" width="9" style="87"/>
    <col min="11272" max="11281" width="9" style="87" customWidth="1"/>
    <col min="11282" max="11282" width="9" style="87"/>
    <col min="11283" max="11283" width="9.5" style="87" bestFit="1" customWidth="1"/>
    <col min="11284" max="11284" width="9" style="87" customWidth="1"/>
    <col min="11285" max="11285" width="9" style="87"/>
    <col min="11286" max="11286" width="9" style="87" customWidth="1"/>
    <col min="11287" max="11292" width="9" style="87"/>
    <col min="11293" max="11293" width="26.5" style="87" customWidth="1"/>
    <col min="11294" max="11296" width="9" style="87"/>
    <col min="11297" max="11297" width="14.75" style="87" bestFit="1" customWidth="1"/>
    <col min="11298" max="11520" width="9" style="87"/>
    <col min="11521" max="11523" width="9" style="87" customWidth="1"/>
    <col min="11524" max="11524" width="10.5" style="87" customWidth="1"/>
    <col min="11525" max="11525" width="11.25" style="87" bestFit="1" customWidth="1"/>
    <col min="11526" max="11527" width="9" style="87"/>
    <col min="11528" max="11537" width="9" style="87" customWidth="1"/>
    <col min="11538" max="11538" width="9" style="87"/>
    <col min="11539" max="11539" width="9.5" style="87" bestFit="1" customWidth="1"/>
    <col min="11540" max="11540" width="9" style="87" customWidth="1"/>
    <col min="11541" max="11541" width="9" style="87"/>
    <col min="11542" max="11542" width="9" style="87" customWidth="1"/>
    <col min="11543" max="11548" width="9" style="87"/>
    <col min="11549" max="11549" width="26.5" style="87" customWidth="1"/>
    <col min="11550" max="11552" width="9" style="87"/>
    <col min="11553" max="11553" width="14.75" style="87" bestFit="1" customWidth="1"/>
    <col min="11554" max="11776" width="9" style="87"/>
    <col min="11777" max="11779" width="9" style="87" customWidth="1"/>
    <col min="11780" max="11780" width="10.5" style="87" customWidth="1"/>
    <col min="11781" max="11781" width="11.25" style="87" bestFit="1" customWidth="1"/>
    <col min="11782" max="11783" width="9" style="87"/>
    <col min="11784" max="11793" width="9" style="87" customWidth="1"/>
    <col min="11794" max="11794" width="9" style="87"/>
    <col min="11795" max="11795" width="9.5" style="87" bestFit="1" customWidth="1"/>
    <col min="11796" max="11796" width="9" style="87" customWidth="1"/>
    <col min="11797" max="11797" width="9" style="87"/>
    <col min="11798" max="11798" width="9" style="87" customWidth="1"/>
    <col min="11799" max="11804" width="9" style="87"/>
    <col min="11805" max="11805" width="26.5" style="87" customWidth="1"/>
    <col min="11806" max="11808" width="9" style="87"/>
    <col min="11809" max="11809" width="14.75" style="87" bestFit="1" customWidth="1"/>
    <col min="11810" max="12032" width="9" style="87"/>
    <col min="12033" max="12035" width="9" style="87" customWidth="1"/>
    <col min="12036" max="12036" width="10.5" style="87" customWidth="1"/>
    <col min="12037" max="12037" width="11.25" style="87" bestFit="1" customWidth="1"/>
    <col min="12038" max="12039" width="9" style="87"/>
    <col min="12040" max="12049" width="9" style="87" customWidth="1"/>
    <col min="12050" max="12050" width="9" style="87"/>
    <col min="12051" max="12051" width="9.5" style="87" bestFit="1" customWidth="1"/>
    <col min="12052" max="12052" width="9" style="87" customWidth="1"/>
    <col min="12053" max="12053" width="9" style="87"/>
    <col min="12054" max="12054" width="9" style="87" customWidth="1"/>
    <col min="12055" max="12060" width="9" style="87"/>
    <col min="12061" max="12061" width="26.5" style="87" customWidth="1"/>
    <col min="12062" max="12064" width="9" style="87"/>
    <col min="12065" max="12065" width="14.75" style="87" bestFit="1" customWidth="1"/>
    <col min="12066" max="12288" width="9" style="87"/>
    <col min="12289" max="12291" width="9" style="87" customWidth="1"/>
    <col min="12292" max="12292" width="10.5" style="87" customWidth="1"/>
    <col min="12293" max="12293" width="11.25" style="87" bestFit="1" customWidth="1"/>
    <col min="12294" max="12295" width="9" style="87"/>
    <col min="12296" max="12305" width="9" style="87" customWidth="1"/>
    <col min="12306" max="12306" width="9" style="87"/>
    <col min="12307" max="12307" width="9.5" style="87" bestFit="1" customWidth="1"/>
    <col min="12308" max="12308" width="9" style="87" customWidth="1"/>
    <col min="12309" max="12309" width="9" style="87"/>
    <col min="12310" max="12310" width="9" style="87" customWidth="1"/>
    <col min="12311" max="12316" width="9" style="87"/>
    <col min="12317" max="12317" width="26.5" style="87" customWidth="1"/>
    <col min="12318" max="12320" width="9" style="87"/>
    <col min="12321" max="12321" width="14.75" style="87" bestFit="1" customWidth="1"/>
    <col min="12322" max="12544" width="9" style="87"/>
    <col min="12545" max="12547" width="9" style="87" customWidth="1"/>
    <col min="12548" max="12548" width="10.5" style="87" customWidth="1"/>
    <col min="12549" max="12549" width="11.25" style="87" bestFit="1" customWidth="1"/>
    <col min="12550" max="12551" width="9" style="87"/>
    <col min="12552" max="12561" width="9" style="87" customWidth="1"/>
    <col min="12562" max="12562" width="9" style="87"/>
    <col min="12563" max="12563" width="9.5" style="87" bestFit="1" customWidth="1"/>
    <col min="12564" max="12564" width="9" style="87" customWidth="1"/>
    <col min="12565" max="12565" width="9" style="87"/>
    <col min="12566" max="12566" width="9" style="87" customWidth="1"/>
    <col min="12567" max="12572" width="9" style="87"/>
    <col min="12573" max="12573" width="26.5" style="87" customWidth="1"/>
    <col min="12574" max="12576" width="9" style="87"/>
    <col min="12577" max="12577" width="14.75" style="87" bestFit="1" customWidth="1"/>
    <col min="12578" max="12800" width="9" style="87"/>
    <col min="12801" max="12803" width="9" style="87" customWidth="1"/>
    <col min="12804" max="12804" width="10.5" style="87" customWidth="1"/>
    <col min="12805" max="12805" width="11.25" style="87" bestFit="1" customWidth="1"/>
    <col min="12806" max="12807" width="9" style="87"/>
    <col min="12808" max="12817" width="9" style="87" customWidth="1"/>
    <col min="12818" max="12818" width="9" style="87"/>
    <col min="12819" max="12819" width="9.5" style="87" bestFit="1" customWidth="1"/>
    <col min="12820" max="12820" width="9" style="87" customWidth="1"/>
    <col min="12821" max="12821" width="9" style="87"/>
    <col min="12822" max="12822" width="9" style="87" customWidth="1"/>
    <col min="12823" max="12828" width="9" style="87"/>
    <col min="12829" max="12829" width="26.5" style="87" customWidth="1"/>
    <col min="12830" max="12832" width="9" style="87"/>
    <col min="12833" max="12833" width="14.75" style="87" bestFit="1" customWidth="1"/>
    <col min="12834" max="13056" width="9" style="87"/>
    <col min="13057" max="13059" width="9" style="87" customWidth="1"/>
    <col min="13060" max="13060" width="10.5" style="87" customWidth="1"/>
    <col min="13061" max="13061" width="11.25" style="87" bestFit="1" customWidth="1"/>
    <col min="13062" max="13063" width="9" style="87"/>
    <col min="13064" max="13073" width="9" style="87" customWidth="1"/>
    <col min="13074" max="13074" width="9" style="87"/>
    <col min="13075" max="13075" width="9.5" style="87" bestFit="1" customWidth="1"/>
    <col min="13076" max="13076" width="9" style="87" customWidth="1"/>
    <col min="13077" max="13077" width="9" style="87"/>
    <col min="13078" max="13078" width="9" style="87" customWidth="1"/>
    <col min="13079" max="13084" width="9" style="87"/>
    <col min="13085" max="13085" width="26.5" style="87" customWidth="1"/>
    <col min="13086" max="13088" width="9" style="87"/>
    <col min="13089" max="13089" width="14.75" style="87" bestFit="1" customWidth="1"/>
    <col min="13090" max="13312" width="9" style="87"/>
    <col min="13313" max="13315" width="9" style="87" customWidth="1"/>
    <col min="13316" max="13316" width="10.5" style="87" customWidth="1"/>
    <col min="13317" max="13317" width="11.25" style="87" bestFit="1" customWidth="1"/>
    <col min="13318" max="13319" width="9" style="87"/>
    <col min="13320" max="13329" width="9" style="87" customWidth="1"/>
    <col min="13330" max="13330" width="9" style="87"/>
    <col min="13331" max="13331" width="9.5" style="87" bestFit="1" customWidth="1"/>
    <col min="13332" max="13332" width="9" style="87" customWidth="1"/>
    <col min="13333" max="13333" width="9" style="87"/>
    <col min="13334" max="13334" width="9" style="87" customWidth="1"/>
    <col min="13335" max="13340" width="9" style="87"/>
    <col min="13341" max="13341" width="26.5" style="87" customWidth="1"/>
    <col min="13342" max="13344" width="9" style="87"/>
    <col min="13345" max="13345" width="14.75" style="87" bestFit="1" customWidth="1"/>
    <col min="13346" max="13568" width="9" style="87"/>
    <col min="13569" max="13571" width="9" style="87" customWidth="1"/>
    <col min="13572" max="13572" width="10.5" style="87" customWidth="1"/>
    <col min="13573" max="13573" width="11.25" style="87" bestFit="1" customWidth="1"/>
    <col min="13574" max="13575" width="9" style="87"/>
    <col min="13576" max="13585" width="9" style="87" customWidth="1"/>
    <col min="13586" max="13586" width="9" style="87"/>
    <col min="13587" max="13587" width="9.5" style="87" bestFit="1" customWidth="1"/>
    <col min="13588" max="13588" width="9" style="87" customWidth="1"/>
    <col min="13589" max="13589" width="9" style="87"/>
    <col min="13590" max="13590" width="9" style="87" customWidth="1"/>
    <col min="13591" max="13596" width="9" style="87"/>
    <col min="13597" max="13597" width="26.5" style="87" customWidth="1"/>
    <col min="13598" max="13600" width="9" style="87"/>
    <col min="13601" max="13601" width="14.75" style="87" bestFit="1" customWidth="1"/>
    <col min="13602" max="13824" width="9" style="87"/>
    <col min="13825" max="13827" width="9" style="87" customWidth="1"/>
    <col min="13828" max="13828" width="10.5" style="87" customWidth="1"/>
    <col min="13829" max="13829" width="11.25" style="87" bestFit="1" customWidth="1"/>
    <col min="13830" max="13831" width="9" style="87"/>
    <col min="13832" max="13841" width="9" style="87" customWidth="1"/>
    <col min="13842" max="13842" width="9" style="87"/>
    <col min="13843" max="13843" width="9.5" style="87" bestFit="1" customWidth="1"/>
    <col min="13844" max="13844" width="9" style="87" customWidth="1"/>
    <col min="13845" max="13845" width="9" style="87"/>
    <col min="13846" max="13846" width="9" style="87" customWidth="1"/>
    <col min="13847" max="13852" width="9" style="87"/>
    <col min="13853" max="13853" width="26.5" style="87" customWidth="1"/>
    <col min="13854" max="13856" width="9" style="87"/>
    <col min="13857" max="13857" width="14.75" style="87" bestFit="1" customWidth="1"/>
    <col min="13858" max="14080" width="9" style="87"/>
    <col min="14081" max="14083" width="9" style="87" customWidth="1"/>
    <col min="14084" max="14084" width="10.5" style="87" customWidth="1"/>
    <col min="14085" max="14085" width="11.25" style="87" bestFit="1" customWidth="1"/>
    <col min="14086" max="14087" width="9" style="87"/>
    <col min="14088" max="14097" width="9" style="87" customWidth="1"/>
    <col min="14098" max="14098" width="9" style="87"/>
    <col min="14099" max="14099" width="9.5" style="87" bestFit="1" customWidth="1"/>
    <col min="14100" max="14100" width="9" style="87" customWidth="1"/>
    <col min="14101" max="14101" width="9" style="87"/>
    <col min="14102" max="14102" width="9" style="87" customWidth="1"/>
    <col min="14103" max="14108" width="9" style="87"/>
    <col min="14109" max="14109" width="26.5" style="87" customWidth="1"/>
    <col min="14110" max="14112" width="9" style="87"/>
    <col min="14113" max="14113" width="14.75" style="87" bestFit="1" customWidth="1"/>
    <col min="14114" max="14336" width="9" style="87"/>
    <col min="14337" max="14339" width="9" style="87" customWidth="1"/>
    <col min="14340" max="14340" width="10.5" style="87" customWidth="1"/>
    <col min="14341" max="14341" width="11.25" style="87" bestFit="1" customWidth="1"/>
    <col min="14342" max="14343" width="9" style="87"/>
    <col min="14344" max="14353" width="9" style="87" customWidth="1"/>
    <col min="14354" max="14354" width="9" style="87"/>
    <col min="14355" max="14355" width="9.5" style="87" bestFit="1" customWidth="1"/>
    <col min="14356" max="14356" width="9" style="87" customWidth="1"/>
    <col min="14357" max="14357" width="9" style="87"/>
    <col min="14358" max="14358" width="9" style="87" customWidth="1"/>
    <col min="14359" max="14364" width="9" style="87"/>
    <col min="14365" max="14365" width="26.5" style="87" customWidth="1"/>
    <col min="14366" max="14368" width="9" style="87"/>
    <col min="14369" max="14369" width="14.75" style="87" bestFit="1" customWidth="1"/>
    <col min="14370" max="14592" width="9" style="87"/>
    <col min="14593" max="14595" width="9" style="87" customWidth="1"/>
    <col min="14596" max="14596" width="10.5" style="87" customWidth="1"/>
    <col min="14597" max="14597" width="11.25" style="87" bestFit="1" customWidth="1"/>
    <col min="14598" max="14599" width="9" style="87"/>
    <col min="14600" max="14609" width="9" style="87" customWidth="1"/>
    <col min="14610" max="14610" width="9" style="87"/>
    <col min="14611" max="14611" width="9.5" style="87" bestFit="1" customWidth="1"/>
    <col min="14612" max="14612" width="9" style="87" customWidth="1"/>
    <col min="14613" max="14613" width="9" style="87"/>
    <col min="14614" max="14614" width="9" style="87" customWidth="1"/>
    <col min="14615" max="14620" width="9" style="87"/>
    <col min="14621" max="14621" width="26.5" style="87" customWidth="1"/>
    <col min="14622" max="14624" width="9" style="87"/>
    <col min="14625" max="14625" width="14.75" style="87" bestFit="1" customWidth="1"/>
    <col min="14626" max="14848" width="9" style="87"/>
    <col min="14849" max="14851" width="9" style="87" customWidth="1"/>
    <col min="14852" max="14852" width="10.5" style="87" customWidth="1"/>
    <col min="14853" max="14853" width="11.25" style="87" bestFit="1" customWidth="1"/>
    <col min="14854" max="14855" width="9" style="87"/>
    <col min="14856" max="14865" width="9" style="87" customWidth="1"/>
    <col min="14866" max="14866" width="9" style="87"/>
    <col min="14867" max="14867" width="9.5" style="87" bestFit="1" customWidth="1"/>
    <col min="14868" max="14868" width="9" style="87" customWidth="1"/>
    <col min="14869" max="14869" width="9" style="87"/>
    <col min="14870" max="14870" width="9" style="87" customWidth="1"/>
    <col min="14871" max="14876" width="9" style="87"/>
    <col min="14877" max="14877" width="26.5" style="87" customWidth="1"/>
    <col min="14878" max="14880" width="9" style="87"/>
    <col min="14881" max="14881" width="14.75" style="87" bestFit="1" customWidth="1"/>
    <col min="14882" max="15104" width="9" style="87"/>
    <col min="15105" max="15107" width="9" style="87" customWidth="1"/>
    <col min="15108" max="15108" width="10.5" style="87" customWidth="1"/>
    <col min="15109" max="15109" width="11.25" style="87" bestFit="1" customWidth="1"/>
    <col min="15110" max="15111" width="9" style="87"/>
    <col min="15112" max="15121" width="9" style="87" customWidth="1"/>
    <col min="15122" max="15122" width="9" style="87"/>
    <col min="15123" max="15123" width="9.5" style="87" bestFit="1" customWidth="1"/>
    <col min="15124" max="15124" width="9" style="87" customWidth="1"/>
    <col min="15125" max="15125" width="9" style="87"/>
    <col min="15126" max="15126" width="9" style="87" customWidth="1"/>
    <col min="15127" max="15132" width="9" style="87"/>
    <col min="15133" max="15133" width="26.5" style="87" customWidth="1"/>
    <col min="15134" max="15136" width="9" style="87"/>
    <col min="15137" max="15137" width="14.75" style="87" bestFit="1" customWidth="1"/>
    <col min="15138" max="15360" width="9" style="87"/>
    <col min="15361" max="15363" width="9" style="87" customWidth="1"/>
    <col min="15364" max="15364" width="10.5" style="87" customWidth="1"/>
    <col min="15365" max="15365" width="11.25" style="87" bestFit="1" customWidth="1"/>
    <col min="15366" max="15367" width="9" style="87"/>
    <col min="15368" max="15377" width="9" style="87" customWidth="1"/>
    <col min="15378" max="15378" width="9" style="87"/>
    <col min="15379" max="15379" width="9.5" style="87" bestFit="1" customWidth="1"/>
    <col min="15380" max="15380" width="9" style="87" customWidth="1"/>
    <col min="15381" max="15381" width="9" style="87"/>
    <col min="15382" max="15382" width="9" style="87" customWidth="1"/>
    <col min="15383" max="15388" width="9" style="87"/>
    <col min="15389" max="15389" width="26.5" style="87" customWidth="1"/>
    <col min="15390" max="15392" width="9" style="87"/>
    <col min="15393" max="15393" width="14.75" style="87" bestFit="1" customWidth="1"/>
    <col min="15394" max="15616" width="9" style="87"/>
    <col min="15617" max="15619" width="9" style="87" customWidth="1"/>
    <col min="15620" max="15620" width="10.5" style="87" customWidth="1"/>
    <col min="15621" max="15621" width="11.25" style="87" bestFit="1" customWidth="1"/>
    <col min="15622" max="15623" width="9" style="87"/>
    <col min="15624" max="15633" width="9" style="87" customWidth="1"/>
    <col min="15634" max="15634" width="9" style="87"/>
    <col min="15635" max="15635" width="9.5" style="87" bestFit="1" customWidth="1"/>
    <col min="15636" max="15636" width="9" style="87" customWidth="1"/>
    <col min="15637" max="15637" width="9" style="87"/>
    <col min="15638" max="15638" width="9" style="87" customWidth="1"/>
    <col min="15639" max="15644" width="9" style="87"/>
    <col min="15645" max="15645" width="26.5" style="87" customWidth="1"/>
    <col min="15646" max="15648" width="9" style="87"/>
    <col min="15649" max="15649" width="14.75" style="87" bestFit="1" customWidth="1"/>
    <col min="15650" max="15872" width="9" style="87"/>
    <col min="15873" max="15875" width="9" style="87" customWidth="1"/>
    <col min="15876" max="15876" width="10.5" style="87" customWidth="1"/>
    <col min="15877" max="15877" width="11.25" style="87" bestFit="1" customWidth="1"/>
    <col min="15878" max="15879" width="9" style="87"/>
    <col min="15880" max="15889" width="9" style="87" customWidth="1"/>
    <col min="15890" max="15890" width="9" style="87"/>
    <col min="15891" max="15891" width="9.5" style="87" bestFit="1" customWidth="1"/>
    <col min="15892" max="15892" width="9" style="87" customWidth="1"/>
    <col min="15893" max="15893" width="9" style="87"/>
    <col min="15894" max="15894" width="9" style="87" customWidth="1"/>
    <col min="15895" max="15900" width="9" style="87"/>
    <col min="15901" max="15901" width="26.5" style="87" customWidth="1"/>
    <col min="15902" max="15904" width="9" style="87"/>
    <col min="15905" max="15905" width="14.75" style="87" bestFit="1" customWidth="1"/>
    <col min="15906" max="16128" width="9" style="87"/>
    <col min="16129" max="16131" width="9" style="87" customWidth="1"/>
    <col min="16132" max="16132" width="10.5" style="87" customWidth="1"/>
    <col min="16133" max="16133" width="11.25" style="87" bestFit="1" customWidth="1"/>
    <col min="16134" max="16135" width="9" style="87"/>
    <col min="16136" max="16145" width="9" style="87" customWidth="1"/>
    <col min="16146" max="16146" width="9" style="87"/>
    <col min="16147" max="16147" width="9.5" style="87" bestFit="1" customWidth="1"/>
    <col min="16148" max="16148" width="9" style="87" customWidth="1"/>
    <col min="16149" max="16149" width="9" style="87"/>
    <col min="16150" max="16150" width="9" style="87" customWidth="1"/>
    <col min="16151" max="16156" width="9" style="87"/>
    <col min="16157" max="16157" width="26.5" style="87" customWidth="1"/>
    <col min="16158" max="16160" width="9" style="87"/>
    <col min="16161" max="16161" width="14.75" style="87" bestFit="1" customWidth="1"/>
    <col min="16162" max="16384" width="9" style="87"/>
  </cols>
  <sheetData>
    <row r="1" spans="1:53" ht="44.25" customHeight="1" x14ac:dyDescent="0.15">
      <c r="A1" s="161" t="s">
        <v>322</v>
      </c>
      <c r="B1" s="84" t="s">
        <v>1</v>
      </c>
      <c r="C1" s="84" t="s">
        <v>323</v>
      </c>
      <c r="D1" s="85" t="s">
        <v>3</v>
      </c>
      <c r="E1" s="85" t="s">
        <v>324</v>
      </c>
      <c r="F1" s="85" t="s">
        <v>5</v>
      </c>
      <c r="G1" s="85" t="s">
        <v>6</v>
      </c>
      <c r="H1" s="85" t="s">
        <v>325</v>
      </c>
      <c r="I1" s="85" t="s">
        <v>8</v>
      </c>
      <c r="J1" s="85" t="s">
        <v>9</v>
      </c>
      <c r="K1" s="85" t="s">
        <v>10</v>
      </c>
      <c r="L1" s="85" t="s">
        <v>326</v>
      </c>
      <c r="M1" s="85" t="s">
        <v>12</v>
      </c>
      <c r="N1" s="85" t="s">
        <v>13</v>
      </c>
      <c r="O1" s="85" t="s">
        <v>327</v>
      </c>
      <c r="P1" s="85" t="s">
        <v>328</v>
      </c>
      <c r="Q1" s="3" t="s">
        <v>16</v>
      </c>
      <c r="R1" s="85" t="s">
        <v>329</v>
      </c>
      <c r="S1" s="85" t="s">
        <v>330</v>
      </c>
      <c r="T1" s="3" t="s">
        <v>19</v>
      </c>
      <c r="U1" s="86" t="s">
        <v>108</v>
      </c>
      <c r="V1" s="5" t="s">
        <v>20</v>
      </c>
      <c r="W1" s="85" t="s">
        <v>21</v>
      </c>
      <c r="X1" s="85" t="s">
        <v>22</v>
      </c>
      <c r="Y1" s="85" t="s">
        <v>23</v>
      </c>
      <c r="Z1" s="85" t="s">
        <v>24</v>
      </c>
      <c r="AA1" s="162" t="s">
        <v>25</v>
      </c>
      <c r="AB1" s="163" t="s">
        <v>331</v>
      </c>
      <c r="AC1" s="164"/>
      <c r="AE1" s="88" t="s">
        <v>0</v>
      </c>
      <c r="AF1" s="89"/>
      <c r="AG1" s="88" t="s">
        <v>4</v>
      </c>
      <c r="AH1" s="88" t="s">
        <v>5</v>
      </c>
      <c r="AI1" s="89"/>
      <c r="AJ1" s="88" t="s">
        <v>6</v>
      </c>
      <c r="AK1" s="89"/>
      <c r="AL1" s="90" t="s">
        <v>7</v>
      </c>
      <c r="AM1" s="89"/>
      <c r="AN1" s="90" t="s">
        <v>8</v>
      </c>
      <c r="AO1" s="89"/>
      <c r="AP1" s="90" t="s">
        <v>27</v>
      </c>
      <c r="AQ1" s="89"/>
      <c r="AR1" s="90" t="s">
        <v>10</v>
      </c>
      <c r="AS1" s="89"/>
      <c r="AT1" s="91" t="s">
        <v>28</v>
      </c>
      <c r="AU1" s="89"/>
      <c r="AV1" s="90" t="s">
        <v>29</v>
      </c>
      <c r="AX1" s="92" t="s">
        <v>332</v>
      </c>
      <c r="AY1" s="93" t="s">
        <v>333</v>
      </c>
      <c r="AZ1" s="93" t="s">
        <v>334</v>
      </c>
      <c r="BA1" s="94" t="s">
        <v>335</v>
      </c>
    </row>
    <row r="2" spans="1:53" s="172" customFormat="1" x14ac:dyDescent="0.15">
      <c r="A2" s="165" t="s">
        <v>61</v>
      </c>
      <c r="B2" s="165" t="s">
        <v>336</v>
      </c>
      <c r="C2" s="165">
        <v>2018</v>
      </c>
      <c r="D2" s="166" t="s">
        <v>337</v>
      </c>
      <c r="E2" s="165" t="s">
        <v>338</v>
      </c>
      <c r="F2" s="165" t="s">
        <v>339</v>
      </c>
      <c r="G2" s="165" t="s">
        <v>42</v>
      </c>
      <c r="H2" s="167" t="s">
        <v>155</v>
      </c>
      <c r="I2" s="167" t="s">
        <v>153</v>
      </c>
      <c r="J2" s="165" t="s">
        <v>38</v>
      </c>
      <c r="K2" s="167" t="s">
        <v>154</v>
      </c>
      <c r="L2" s="167">
        <v>1</v>
      </c>
      <c r="M2" s="167"/>
      <c r="N2" s="167">
        <v>1</v>
      </c>
      <c r="O2" s="167">
        <v>1</v>
      </c>
      <c r="P2" s="167">
        <v>1</v>
      </c>
      <c r="Q2" s="168">
        <f t="shared" ref="Q2:Q65" si="0">IF(OR(O2="",P2=""),"",AVERAGE(O2,P2))</f>
        <v>1</v>
      </c>
      <c r="R2" s="167">
        <v>14.5</v>
      </c>
      <c r="S2" s="167">
        <v>118</v>
      </c>
      <c r="T2" s="169">
        <f t="shared" ref="T2:T65" si="1">IF(H2="","",IF(OR(H2="GREEN",H2="GK"),IF(S2&gt;=$AX$2,VLOOKUP(S2,$AX$2:$AY$15,2,1),""),IF(S2&gt;=$AZ$2,VLOOKUP(S2,$AZ$2:$BA$15,2,1),"")))</f>
        <v>30</v>
      </c>
      <c r="U2" s="167">
        <v>148</v>
      </c>
      <c r="V2" s="170">
        <f t="shared" ref="V2:V65" si="2">IF(OR(N2="",U2="",T2=""),"",U2/N2*T2)</f>
        <v>4440</v>
      </c>
      <c r="W2" s="167">
        <v>1</v>
      </c>
      <c r="X2" s="165" t="s">
        <v>39</v>
      </c>
      <c r="Y2" s="167" t="s">
        <v>90</v>
      </c>
      <c r="Z2" s="167" t="s">
        <v>102</v>
      </c>
      <c r="AA2" s="167" t="s">
        <v>84</v>
      </c>
      <c r="AB2" s="165" t="s">
        <v>340</v>
      </c>
      <c r="AC2" s="171"/>
      <c r="AE2" s="96" t="s">
        <v>35</v>
      </c>
      <c r="AG2" s="49" t="s">
        <v>338</v>
      </c>
      <c r="AH2" s="49" t="s">
        <v>339</v>
      </c>
      <c r="AJ2" s="173" t="s">
        <v>36</v>
      </c>
      <c r="AL2" s="18" t="s">
        <v>127</v>
      </c>
      <c r="AN2" s="173" t="s">
        <v>37</v>
      </c>
      <c r="AP2" s="18" t="s">
        <v>38</v>
      </c>
      <c r="AR2" s="18" t="s">
        <v>341</v>
      </c>
      <c r="AT2" s="173" t="s">
        <v>39</v>
      </c>
      <c r="AV2" s="18" t="s">
        <v>40</v>
      </c>
      <c r="AX2" s="174">
        <v>1</v>
      </c>
      <c r="AY2" s="175">
        <v>50</v>
      </c>
      <c r="AZ2" s="175">
        <v>1</v>
      </c>
      <c r="BA2" s="176">
        <v>50</v>
      </c>
    </row>
    <row r="3" spans="1:53" x14ac:dyDescent="0.15">
      <c r="A3" s="165" t="s">
        <v>61</v>
      </c>
      <c r="B3" s="165" t="s">
        <v>342</v>
      </c>
      <c r="C3" s="165">
        <v>2018</v>
      </c>
      <c r="D3" s="166" t="s">
        <v>343</v>
      </c>
      <c r="E3" s="165" t="s">
        <v>338</v>
      </c>
      <c r="F3" s="165" t="s">
        <v>339</v>
      </c>
      <c r="G3" s="165" t="s">
        <v>42</v>
      </c>
      <c r="H3" s="167" t="s">
        <v>155</v>
      </c>
      <c r="I3" s="167" t="s">
        <v>153</v>
      </c>
      <c r="J3" s="165" t="s">
        <v>38</v>
      </c>
      <c r="K3" s="167" t="s">
        <v>154</v>
      </c>
      <c r="L3" s="167">
        <v>2</v>
      </c>
      <c r="M3" s="167"/>
      <c r="N3" s="167">
        <v>1</v>
      </c>
      <c r="O3" s="167">
        <v>0.8</v>
      </c>
      <c r="P3" s="167">
        <v>0.7</v>
      </c>
      <c r="Q3" s="168">
        <f t="shared" si="0"/>
        <v>0.75</v>
      </c>
      <c r="R3" s="167">
        <v>16.399999999999999</v>
      </c>
      <c r="S3" s="167">
        <v>132</v>
      </c>
      <c r="T3" s="169">
        <f t="shared" si="1"/>
        <v>25</v>
      </c>
      <c r="U3" s="167">
        <v>148</v>
      </c>
      <c r="V3" s="170">
        <f t="shared" si="2"/>
        <v>3700</v>
      </c>
      <c r="W3" s="167">
        <v>1</v>
      </c>
      <c r="X3" s="165" t="s">
        <v>39</v>
      </c>
      <c r="Y3" s="167" t="s">
        <v>90</v>
      </c>
      <c r="Z3" s="167" t="s">
        <v>102</v>
      </c>
      <c r="AA3" s="167" t="s">
        <v>84</v>
      </c>
      <c r="AB3" s="165" t="s">
        <v>344</v>
      </c>
      <c r="AC3" s="171"/>
      <c r="AE3" s="97" t="s">
        <v>41</v>
      </c>
      <c r="AG3" s="49" t="s">
        <v>345</v>
      </c>
      <c r="AH3" s="49" t="s">
        <v>346</v>
      </c>
      <c r="AJ3" s="23" t="s">
        <v>42</v>
      </c>
      <c r="AL3" s="23" t="s">
        <v>128</v>
      </c>
      <c r="AN3" s="23" t="s">
        <v>43</v>
      </c>
      <c r="AP3" s="23" t="s">
        <v>44</v>
      </c>
      <c r="AR3" s="41" t="s">
        <v>45</v>
      </c>
      <c r="AT3" s="23" t="s">
        <v>46</v>
      </c>
      <c r="AV3" s="41" t="s">
        <v>47</v>
      </c>
      <c r="AX3" s="24">
        <v>72</v>
      </c>
      <c r="AY3" s="25">
        <v>46</v>
      </c>
      <c r="AZ3" s="25">
        <v>71</v>
      </c>
      <c r="BA3" s="26">
        <v>42</v>
      </c>
    </row>
    <row r="4" spans="1:53" x14ac:dyDescent="0.15">
      <c r="A4" s="165" t="s">
        <v>61</v>
      </c>
      <c r="B4" s="165" t="s">
        <v>342</v>
      </c>
      <c r="C4" s="165">
        <v>2018</v>
      </c>
      <c r="D4" s="166" t="s">
        <v>343</v>
      </c>
      <c r="E4" s="165" t="s">
        <v>338</v>
      </c>
      <c r="F4" s="165" t="s">
        <v>339</v>
      </c>
      <c r="G4" s="165" t="s">
        <v>42</v>
      </c>
      <c r="H4" s="167" t="s">
        <v>155</v>
      </c>
      <c r="I4" s="167" t="s">
        <v>153</v>
      </c>
      <c r="J4" s="165" t="s">
        <v>38</v>
      </c>
      <c r="K4" s="167" t="s">
        <v>154</v>
      </c>
      <c r="L4" s="167">
        <v>3</v>
      </c>
      <c r="M4" s="167"/>
      <c r="N4" s="167">
        <v>1</v>
      </c>
      <c r="O4" s="167">
        <v>0.8</v>
      </c>
      <c r="P4" s="167">
        <v>0.75</v>
      </c>
      <c r="Q4" s="168">
        <f t="shared" si="0"/>
        <v>0.77500000000000002</v>
      </c>
      <c r="R4" s="167">
        <v>16.3</v>
      </c>
      <c r="S4" s="167">
        <v>131</v>
      </c>
      <c r="T4" s="169">
        <f t="shared" si="1"/>
        <v>25</v>
      </c>
      <c r="U4" s="167">
        <v>148</v>
      </c>
      <c r="V4" s="170">
        <f t="shared" si="2"/>
        <v>3700</v>
      </c>
      <c r="W4" s="167">
        <v>1</v>
      </c>
      <c r="X4" s="165" t="s">
        <v>39</v>
      </c>
      <c r="Y4" s="167" t="s">
        <v>90</v>
      </c>
      <c r="Z4" s="167" t="s">
        <v>102</v>
      </c>
      <c r="AA4" s="167" t="s">
        <v>84</v>
      </c>
      <c r="AB4" s="165" t="s">
        <v>344</v>
      </c>
      <c r="AC4" s="171"/>
      <c r="AE4" s="97" t="s">
        <v>34</v>
      </c>
      <c r="AG4" s="49" t="s">
        <v>347</v>
      </c>
      <c r="AH4" s="49" t="s">
        <v>348</v>
      </c>
      <c r="AJ4" s="27" t="s">
        <v>48</v>
      </c>
      <c r="AL4" s="27" t="s">
        <v>129</v>
      </c>
      <c r="AN4" s="28" t="s">
        <v>49</v>
      </c>
      <c r="AP4" s="23" t="s">
        <v>349</v>
      </c>
      <c r="AR4" s="41" t="s">
        <v>350</v>
      </c>
      <c r="AT4" s="28"/>
      <c r="AV4" s="41" t="s">
        <v>50</v>
      </c>
      <c r="AX4" s="24">
        <v>75</v>
      </c>
      <c r="AY4" s="25">
        <v>42</v>
      </c>
      <c r="AZ4" s="25">
        <v>76</v>
      </c>
      <c r="BA4" s="26">
        <v>39</v>
      </c>
    </row>
    <row r="5" spans="1:53" x14ac:dyDescent="0.15">
      <c r="A5" s="165" t="s">
        <v>61</v>
      </c>
      <c r="B5" s="165" t="s">
        <v>342</v>
      </c>
      <c r="C5" s="165">
        <v>2018</v>
      </c>
      <c r="D5" s="166" t="s">
        <v>343</v>
      </c>
      <c r="E5" s="165" t="s">
        <v>345</v>
      </c>
      <c r="F5" s="165" t="s">
        <v>346</v>
      </c>
      <c r="G5" s="165" t="s">
        <v>42</v>
      </c>
      <c r="H5" s="167" t="s">
        <v>155</v>
      </c>
      <c r="I5" s="167" t="s">
        <v>153</v>
      </c>
      <c r="J5" s="165" t="s">
        <v>38</v>
      </c>
      <c r="K5" s="167" t="s">
        <v>154</v>
      </c>
      <c r="L5" s="167">
        <v>1</v>
      </c>
      <c r="M5" s="167"/>
      <c r="N5" s="167">
        <v>4</v>
      </c>
      <c r="O5" s="167">
        <v>0.7</v>
      </c>
      <c r="P5" s="167">
        <v>0.75</v>
      </c>
      <c r="Q5" s="168">
        <f t="shared" si="0"/>
        <v>0.72499999999999998</v>
      </c>
      <c r="R5" s="167">
        <v>14.4</v>
      </c>
      <c r="S5" s="167">
        <v>95</v>
      </c>
      <c r="T5" s="169">
        <f t="shared" si="1"/>
        <v>36</v>
      </c>
      <c r="U5" s="167">
        <v>398</v>
      </c>
      <c r="V5" s="170">
        <f t="shared" si="2"/>
        <v>3582</v>
      </c>
      <c r="W5" s="167">
        <v>3</v>
      </c>
      <c r="X5" s="165" t="s">
        <v>46</v>
      </c>
      <c r="Y5" s="167" t="s">
        <v>84</v>
      </c>
      <c r="Z5" s="167" t="s">
        <v>90</v>
      </c>
      <c r="AA5" s="167" t="s">
        <v>69</v>
      </c>
      <c r="AB5" s="165" t="s">
        <v>344</v>
      </c>
      <c r="AC5" s="171"/>
      <c r="AE5" s="97" t="s">
        <v>51</v>
      </c>
      <c r="AG5" s="49" t="s">
        <v>351</v>
      </c>
      <c r="AH5" s="49" t="s">
        <v>352</v>
      </c>
      <c r="AJ5" s="27"/>
      <c r="AL5" s="29" t="s">
        <v>353</v>
      </c>
      <c r="AN5" s="29" t="s">
        <v>354</v>
      </c>
      <c r="AP5" s="23" t="s">
        <v>355</v>
      </c>
      <c r="AR5" s="41" t="s">
        <v>54</v>
      </c>
      <c r="AT5" s="167"/>
      <c r="AV5" s="41" t="s">
        <v>55</v>
      </c>
      <c r="AX5" s="24">
        <v>84</v>
      </c>
      <c r="AY5" s="25">
        <v>39</v>
      </c>
      <c r="AZ5" s="25">
        <v>84</v>
      </c>
      <c r="BA5" s="26">
        <v>36</v>
      </c>
    </row>
    <row r="6" spans="1:53" x14ac:dyDescent="0.15">
      <c r="A6" s="165" t="s">
        <v>61</v>
      </c>
      <c r="B6" s="165" t="s">
        <v>356</v>
      </c>
      <c r="C6" s="165">
        <v>2018</v>
      </c>
      <c r="D6" s="166" t="s">
        <v>357</v>
      </c>
      <c r="E6" s="165" t="s">
        <v>345</v>
      </c>
      <c r="F6" s="165" t="s">
        <v>346</v>
      </c>
      <c r="G6" s="165" t="s">
        <v>42</v>
      </c>
      <c r="H6" s="167" t="s">
        <v>155</v>
      </c>
      <c r="I6" s="167" t="s">
        <v>153</v>
      </c>
      <c r="J6" s="165" t="s">
        <v>38</v>
      </c>
      <c r="K6" s="167" t="s">
        <v>154</v>
      </c>
      <c r="L6" s="167">
        <v>2</v>
      </c>
      <c r="M6" s="167"/>
      <c r="N6" s="167">
        <v>4</v>
      </c>
      <c r="O6" s="167">
        <v>0.6</v>
      </c>
      <c r="P6" s="167">
        <v>0.6</v>
      </c>
      <c r="Q6" s="168">
        <f t="shared" si="0"/>
        <v>0.6</v>
      </c>
      <c r="R6" s="167">
        <v>16.399999999999999</v>
      </c>
      <c r="S6" s="167">
        <v>97</v>
      </c>
      <c r="T6" s="169">
        <f t="shared" si="1"/>
        <v>36</v>
      </c>
      <c r="U6" s="167">
        <v>398</v>
      </c>
      <c r="V6" s="170">
        <f t="shared" si="2"/>
        <v>3582</v>
      </c>
      <c r="W6" s="167">
        <v>3</v>
      </c>
      <c r="X6" s="165" t="s">
        <v>46</v>
      </c>
      <c r="Y6" s="167" t="s">
        <v>84</v>
      </c>
      <c r="Z6" s="167" t="s">
        <v>90</v>
      </c>
      <c r="AA6" s="167" t="s">
        <v>69</v>
      </c>
      <c r="AB6" s="165" t="s">
        <v>358</v>
      </c>
      <c r="AC6" s="171"/>
      <c r="AE6" s="97" t="s">
        <v>56</v>
      </c>
      <c r="AG6" s="49" t="s">
        <v>359</v>
      </c>
      <c r="AH6" s="49" t="s">
        <v>360</v>
      </c>
      <c r="AJ6" s="27"/>
      <c r="AL6" s="29" t="s">
        <v>361</v>
      </c>
      <c r="AN6" s="29" t="s">
        <v>362</v>
      </c>
      <c r="AP6" s="23" t="s">
        <v>53</v>
      </c>
      <c r="AR6" s="41" t="s">
        <v>59</v>
      </c>
      <c r="AT6" s="167"/>
      <c r="AV6" s="41" t="s">
        <v>60</v>
      </c>
      <c r="AX6" s="24">
        <v>97</v>
      </c>
      <c r="AY6" s="25">
        <v>36</v>
      </c>
      <c r="AZ6" s="25">
        <v>99</v>
      </c>
      <c r="BA6" s="26">
        <v>33</v>
      </c>
    </row>
    <row r="7" spans="1:53" x14ac:dyDescent="0.15">
      <c r="A7" s="165" t="s">
        <v>61</v>
      </c>
      <c r="B7" s="165" t="s">
        <v>356</v>
      </c>
      <c r="C7" s="165">
        <v>2018</v>
      </c>
      <c r="D7" s="166" t="s">
        <v>357</v>
      </c>
      <c r="E7" s="165" t="s">
        <v>345</v>
      </c>
      <c r="F7" s="165" t="s">
        <v>346</v>
      </c>
      <c r="G7" s="165" t="s">
        <v>42</v>
      </c>
      <c r="H7" s="167" t="s">
        <v>155</v>
      </c>
      <c r="I7" s="167" t="s">
        <v>153</v>
      </c>
      <c r="J7" s="165" t="s">
        <v>38</v>
      </c>
      <c r="K7" s="167" t="s">
        <v>154</v>
      </c>
      <c r="L7" s="167">
        <v>3</v>
      </c>
      <c r="M7" s="167"/>
      <c r="N7" s="167">
        <v>4</v>
      </c>
      <c r="O7" s="167">
        <v>0.55000000000000004</v>
      </c>
      <c r="P7" s="167">
        <v>0.6</v>
      </c>
      <c r="Q7" s="168">
        <f t="shared" si="0"/>
        <v>0.57499999999999996</v>
      </c>
      <c r="R7" s="167">
        <v>16.8</v>
      </c>
      <c r="S7" s="167">
        <v>103</v>
      </c>
      <c r="T7" s="169">
        <f t="shared" si="1"/>
        <v>33</v>
      </c>
      <c r="U7" s="167">
        <v>398</v>
      </c>
      <c r="V7" s="170">
        <f t="shared" si="2"/>
        <v>3283.5</v>
      </c>
      <c r="W7" s="167">
        <v>3</v>
      </c>
      <c r="X7" s="165" t="s">
        <v>46</v>
      </c>
      <c r="Y7" s="167" t="s">
        <v>84</v>
      </c>
      <c r="Z7" s="167" t="s">
        <v>90</v>
      </c>
      <c r="AA7" s="167" t="s">
        <v>69</v>
      </c>
      <c r="AB7" s="165" t="s">
        <v>358</v>
      </c>
      <c r="AC7" s="171"/>
      <c r="AE7" s="97" t="s">
        <v>61</v>
      </c>
      <c r="AG7" s="49" t="s">
        <v>363</v>
      </c>
      <c r="AH7" s="49" t="s">
        <v>364</v>
      </c>
      <c r="AJ7" s="27"/>
      <c r="AL7" s="34" t="s">
        <v>365</v>
      </c>
      <c r="AN7" s="177"/>
      <c r="AP7" s="23" t="s">
        <v>58</v>
      </c>
      <c r="AR7" s="98" t="s">
        <v>122</v>
      </c>
      <c r="AT7" s="167"/>
      <c r="AV7" s="41" t="s">
        <v>64</v>
      </c>
      <c r="AX7" s="24">
        <v>109</v>
      </c>
      <c r="AY7" s="25">
        <v>33</v>
      </c>
      <c r="AZ7" s="25">
        <v>113</v>
      </c>
      <c r="BA7" s="26">
        <v>30</v>
      </c>
    </row>
    <row r="8" spans="1:53" x14ac:dyDescent="0.15">
      <c r="A8" s="165" t="s">
        <v>61</v>
      </c>
      <c r="B8" s="165" t="s">
        <v>223</v>
      </c>
      <c r="C8" s="165">
        <v>2018</v>
      </c>
      <c r="D8" s="166" t="s">
        <v>366</v>
      </c>
      <c r="E8" s="165" t="s">
        <v>347</v>
      </c>
      <c r="F8" s="165" t="s">
        <v>348</v>
      </c>
      <c r="G8" s="165" t="s">
        <v>42</v>
      </c>
      <c r="H8" s="167" t="s">
        <v>155</v>
      </c>
      <c r="I8" s="167" t="s">
        <v>367</v>
      </c>
      <c r="J8" s="165" t="s">
        <v>38</v>
      </c>
      <c r="K8" s="167" t="s">
        <v>154</v>
      </c>
      <c r="L8" s="167">
        <v>1</v>
      </c>
      <c r="M8" s="167"/>
      <c r="N8" s="167">
        <v>5</v>
      </c>
      <c r="O8" s="167">
        <v>0.6</v>
      </c>
      <c r="P8" s="167">
        <v>0.6</v>
      </c>
      <c r="Q8" s="168">
        <f t="shared" si="0"/>
        <v>0.6</v>
      </c>
      <c r="R8" s="167">
        <v>17</v>
      </c>
      <c r="S8" s="167">
        <v>85</v>
      </c>
      <c r="T8" s="169">
        <f t="shared" si="1"/>
        <v>36</v>
      </c>
      <c r="U8" s="167">
        <v>298</v>
      </c>
      <c r="V8" s="170">
        <f t="shared" si="2"/>
        <v>2145.6</v>
      </c>
      <c r="W8" s="167">
        <v>1</v>
      </c>
      <c r="X8" s="165" t="s">
        <v>46</v>
      </c>
      <c r="Y8" s="167" t="s">
        <v>84</v>
      </c>
      <c r="Z8" s="167" t="s">
        <v>69</v>
      </c>
      <c r="AA8" s="167" t="s">
        <v>90</v>
      </c>
      <c r="AB8" s="165" t="s">
        <v>368</v>
      </c>
      <c r="AC8" s="171"/>
      <c r="AE8" s="97" t="s">
        <v>59</v>
      </c>
      <c r="AG8" s="49" t="s">
        <v>369</v>
      </c>
      <c r="AH8" s="49" t="s">
        <v>370</v>
      </c>
      <c r="AJ8" s="28"/>
      <c r="AL8" s="171" t="s">
        <v>226</v>
      </c>
      <c r="AN8" s="29"/>
      <c r="AP8" s="23" t="s">
        <v>62</v>
      </c>
      <c r="AR8" s="41" t="s">
        <v>81</v>
      </c>
      <c r="AT8" s="167"/>
      <c r="AV8" s="41" t="s">
        <v>97</v>
      </c>
      <c r="AX8" s="24">
        <v>119</v>
      </c>
      <c r="AY8" s="25">
        <v>30</v>
      </c>
      <c r="AZ8" s="25">
        <v>121</v>
      </c>
      <c r="BA8" s="26">
        <v>27</v>
      </c>
    </row>
    <row r="9" spans="1:53" x14ac:dyDescent="0.15">
      <c r="A9" s="165" t="s">
        <v>61</v>
      </c>
      <c r="B9" s="165" t="s">
        <v>223</v>
      </c>
      <c r="C9" s="165">
        <v>2018</v>
      </c>
      <c r="D9" s="166" t="s">
        <v>366</v>
      </c>
      <c r="E9" s="165" t="s">
        <v>347</v>
      </c>
      <c r="F9" s="165" t="s">
        <v>348</v>
      </c>
      <c r="G9" s="165" t="s">
        <v>42</v>
      </c>
      <c r="H9" s="167" t="s">
        <v>155</v>
      </c>
      <c r="I9" s="167" t="s">
        <v>153</v>
      </c>
      <c r="J9" s="165" t="s">
        <v>38</v>
      </c>
      <c r="K9" s="167" t="s">
        <v>154</v>
      </c>
      <c r="L9" s="167">
        <v>2</v>
      </c>
      <c r="M9" s="167"/>
      <c r="N9" s="167">
        <v>5</v>
      </c>
      <c r="O9" s="167">
        <v>0.5</v>
      </c>
      <c r="P9" s="167">
        <v>0.6</v>
      </c>
      <c r="Q9" s="168">
        <f t="shared" si="0"/>
        <v>0.55000000000000004</v>
      </c>
      <c r="R9" s="167">
        <v>16.399999999999999</v>
      </c>
      <c r="S9" s="167">
        <v>84</v>
      </c>
      <c r="T9" s="169">
        <f t="shared" si="1"/>
        <v>36</v>
      </c>
      <c r="U9" s="167">
        <v>298</v>
      </c>
      <c r="V9" s="170">
        <f t="shared" si="2"/>
        <v>2145.6</v>
      </c>
      <c r="W9" s="167">
        <v>1</v>
      </c>
      <c r="X9" s="165" t="s">
        <v>46</v>
      </c>
      <c r="Y9" s="167" t="s">
        <v>84</v>
      </c>
      <c r="Z9" s="167" t="s">
        <v>69</v>
      </c>
      <c r="AA9" s="167" t="s">
        <v>90</v>
      </c>
      <c r="AB9" s="165" t="s">
        <v>368</v>
      </c>
      <c r="AC9" s="171"/>
      <c r="AE9" s="97" t="s">
        <v>98</v>
      </c>
      <c r="AG9" s="49" t="s">
        <v>133</v>
      </c>
      <c r="AH9" s="49" t="s">
        <v>371</v>
      </c>
      <c r="AJ9" s="167"/>
      <c r="AL9" s="29"/>
      <c r="AN9" s="29"/>
      <c r="AP9" s="23" t="s">
        <v>95</v>
      </c>
      <c r="AR9" s="98" t="s">
        <v>89</v>
      </c>
      <c r="AT9" s="167"/>
      <c r="AV9" s="41" t="s">
        <v>102</v>
      </c>
      <c r="AX9" s="24">
        <v>128</v>
      </c>
      <c r="AY9" s="25">
        <v>27</v>
      </c>
      <c r="AZ9" s="25">
        <v>129</v>
      </c>
      <c r="BA9" s="26">
        <v>25</v>
      </c>
    </row>
    <row r="10" spans="1:53" x14ac:dyDescent="0.15">
      <c r="A10" s="165" t="s">
        <v>61</v>
      </c>
      <c r="B10" s="165" t="s">
        <v>228</v>
      </c>
      <c r="C10" s="165">
        <v>2018</v>
      </c>
      <c r="D10" s="166" t="s">
        <v>372</v>
      </c>
      <c r="E10" s="165" t="s">
        <v>347</v>
      </c>
      <c r="F10" s="165" t="s">
        <v>348</v>
      </c>
      <c r="G10" s="165" t="s">
        <v>42</v>
      </c>
      <c r="H10" s="167" t="s">
        <v>155</v>
      </c>
      <c r="I10" s="167" t="s">
        <v>153</v>
      </c>
      <c r="J10" s="165" t="s">
        <v>38</v>
      </c>
      <c r="K10" s="167" t="s">
        <v>154</v>
      </c>
      <c r="L10" s="167">
        <v>3</v>
      </c>
      <c r="M10" s="167"/>
      <c r="N10" s="167">
        <v>5</v>
      </c>
      <c r="O10" s="167">
        <v>0.55000000000000004</v>
      </c>
      <c r="P10" s="167">
        <v>0.6</v>
      </c>
      <c r="Q10" s="168">
        <f t="shared" si="0"/>
        <v>0.57499999999999996</v>
      </c>
      <c r="R10" s="167">
        <v>16.600000000000001</v>
      </c>
      <c r="S10" s="167">
        <v>91</v>
      </c>
      <c r="T10" s="169">
        <f t="shared" si="1"/>
        <v>36</v>
      </c>
      <c r="U10" s="167">
        <v>298</v>
      </c>
      <c r="V10" s="170">
        <f t="shared" si="2"/>
        <v>2145.6</v>
      </c>
      <c r="W10" s="167">
        <v>1</v>
      </c>
      <c r="X10" s="165" t="s">
        <v>46</v>
      </c>
      <c r="Y10" s="167" t="s">
        <v>84</v>
      </c>
      <c r="Z10" s="167" t="s">
        <v>69</v>
      </c>
      <c r="AA10" s="167" t="s">
        <v>90</v>
      </c>
      <c r="AB10" s="165" t="s">
        <v>373</v>
      </c>
      <c r="AC10" s="171"/>
      <c r="AE10" s="97" t="s">
        <v>103</v>
      </c>
      <c r="AG10" s="49" t="s">
        <v>374</v>
      </c>
      <c r="AH10" s="49" t="s">
        <v>375</v>
      </c>
      <c r="AJ10" s="167"/>
      <c r="AL10" s="27"/>
      <c r="AN10" s="167"/>
      <c r="AP10" s="23" t="s">
        <v>100</v>
      </c>
      <c r="AR10" s="98" t="s">
        <v>123</v>
      </c>
      <c r="AT10" s="167"/>
      <c r="AV10" s="41" t="s">
        <v>106</v>
      </c>
      <c r="AX10" s="24">
        <v>138</v>
      </c>
      <c r="AY10" s="25">
        <v>25</v>
      </c>
      <c r="AZ10" s="25">
        <v>138</v>
      </c>
      <c r="BA10" s="26">
        <v>22</v>
      </c>
    </row>
    <row r="11" spans="1:53" x14ac:dyDescent="0.15">
      <c r="A11" s="165" t="s">
        <v>61</v>
      </c>
      <c r="B11" s="165" t="s">
        <v>228</v>
      </c>
      <c r="C11" s="165">
        <v>2018</v>
      </c>
      <c r="D11" s="166" t="s">
        <v>372</v>
      </c>
      <c r="E11" s="165" t="s">
        <v>351</v>
      </c>
      <c r="F11" s="165" t="s">
        <v>352</v>
      </c>
      <c r="G11" s="165" t="s">
        <v>42</v>
      </c>
      <c r="H11" s="167" t="s">
        <v>155</v>
      </c>
      <c r="I11" s="167" t="s">
        <v>153</v>
      </c>
      <c r="J11" s="165" t="s">
        <v>38</v>
      </c>
      <c r="K11" s="167" t="s">
        <v>154</v>
      </c>
      <c r="L11" s="167">
        <v>1</v>
      </c>
      <c r="M11" s="167"/>
      <c r="N11" s="167">
        <v>1</v>
      </c>
      <c r="O11" s="167">
        <v>0.5</v>
      </c>
      <c r="P11" s="167">
        <v>0.55000000000000004</v>
      </c>
      <c r="Q11" s="168">
        <f t="shared" si="0"/>
        <v>0.52500000000000002</v>
      </c>
      <c r="R11" s="167">
        <v>16</v>
      </c>
      <c r="S11" s="167">
        <v>128</v>
      </c>
      <c r="T11" s="169">
        <f t="shared" si="1"/>
        <v>27</v>
      </c>
      <c r="U11" s="167">
        <v>138</v>
      </c>
      <c r="V11" s="170">
        <f t="shared" si="2"/>
        <v>3726</v>
      </c>
      <c r="W11" s="167">
        <v>6</v>
      </c>
      <c r="X11" s="165" t="s">
        <v>46</v>
      </c>
      <c r="Y11" s="167" t="s">
        <v>90</v>
      </c>
      <c r="Z11" s="167" t="s">
        <v>69</v>
      </c>
      <c r="AA11" s="167" t="s">
        <v>84</v>
      </c>
      <c r="AB11" s="165" t="s">
        <v>373</v>
      </c>
      <c r="AC11" s="171"/>
      <c r="AE11" s="97" t="s">
        <v>65</v>
      </c>
      <c r="AG11" s="49" t="s">
        <v>376</v>
      </c>
      <c r="AH11" s="49" t="s">
        <v>375</v>
      </c>
      <c r="AJ11" s="167"/>
      <c r="AL11" s="178"/>
      <c r="AN11" s="167"/>
      <c r="AP11" s="23" t="s">
        <v>104</v>
      </c>
      <c r="AR11" s="98" t="s">
        <v>87</v>
      </c>
      <c r="AV11" s="179" t="s">
        <v>377</v>
      </c>
      <c r="AX11" s="24">
        <v>151</v>
      </c>
      <c r="AY11" s="25">
        <v>22</v>
      </c>
      <c r="AZ11" s="25">
        <v>152</v>
      </c>
      <c r="BA11" s="26">
        <v>18</v>
      </c>
    </row>
    <row r="12" spans="1:53" x14ac:dyDescent="0.15">
      <c r="A12" s="165" t="s">
        <v>61</v>
      </c>
      <c r="B12" s="165" t="s">
        <v>234</v>
      </c>
      <c r="C12" s="165">
        <v>2018</v>
      </c>
      <c r="D12" s="166" t="s">
        <v>378</v>
      </c>
      <c r="E12" s="165" t="s">
        <v>351</v>
      </c>
      <c r="F12" s="165" t="s">
        <v>352</v>
      </c>
      <c r="G12" s="165" t="s">
        <v>42</v>
      </c>
      <c r="H12" s="167" t="s">
        <v>155</v>
      </c>
      <c r="I12" s="167" t="s">
        <v>153</v>
      </c>
      <c r="J12" s="165" t="s">
        <v>38</v>
      </c>
      <c r="K12" s="167" t="s">
        <v>154</v>
      </c>
      <c r="L12" s="167">
        <v>2</v>
      </c>
      <c r="M12" s="167"/>
      <c r="N12" s="167">
        <v>1</v>
      </c>
      <c r="O12" s="167">
        <v>0.6</v>
      </c>
      <c r="P12" s="167">
        <v>0.6</v>
      </c>
      <c r="Q12" s="168">
        <f t="shared" si="0"/>
        <v>0.6</v>
      </c>
      <c r="R12" s="167">
        <v>16.3</v>
      </c>
      <c r="S12" s="167">
        <v>125</v>
      </c>
      <c r="T12" s="169">
        <f t="shared" si="1"/>
        <v>27</v>
      </c>
      <c r="U12" s="167">
        <v>138</v>
      </c>
      <c r="V12" s="170">
        <f t="shared" si="2"/>
        <v>3726</v>
      </c>
      <c r="W12" s="167">
        <v>6</v>
      </c>
      <c r="X12" s="165" t="s">
        <v>46</v>
      </c>
      <c r="Y12" s="167" t="s">
        <v>90</v>
      </c>
      <c r="Z12" s="167" t="s">
        <v>69</v>
      </c>
      <c r="AA12" s="167" t="s">
        <v>84</v>
      </c>
      <c r="AB12" s="165" t="s">
        <v>379</v>
      </c>
      <c r="AC12" s="171"/>
      <c r="AE12" s="97" t="s">
        <v>70</v>
      </c>
      <c r="AG12" s="23"/>
      <c r="AH12" s="97"/>
      <c r="AJ12" s="167"/>
      <c r="AL12" s="178"/>
      <c r="AN12" s="167"/>
      <c r="AP12" s="23" t="s">
        <v>67</v>
      </c>
      <c r="AR12" s="98" t="s">
        <v>124</v>
      </c>
      <c r="AV12" s="179" t="s">
        <v>380</v>
      </c>
      <c r="AX12" s="24">
        <v>180</v>
      </c>
      <c r="AY12" s="25">
        <v>18</v>
      </c>
      <c r="AZ12" s="25">
        <v>181</v>
      </c>
      <c r="BA12" s="26">
        <v>16</v>
      </c>
    </row>
    <row r="13" spans="1:53" x14ac:dyDescent="0.15">
      <c r="A13" s="165" t="s">
        <v>61</v>
      </c>
      <c r="B13" s="165" t="s">
        <v>238</v>
      </c>
      <c r="C13" s="165">
        <v>2018</v>
      </c>
      <c r="D13" s="166" t="s">
        <v>381</v>
      </c>
      <c r="E13" s="165" t="s">
        <v>351</v>
      </c>
      <c r="F13" s="165" t="s">
        <v>352</v>
      </c>
      <c r="G13" s="165" t="s">
        <v>42</v>
      </c>
      <c r="H13" s="167" t="s">
        <v>155</v>
      </c>
      <c r="I13" s="167" t="s">
        <v>153</v>
      </c>
      <c r="J13" s="165" t="s">
        <v>38</v>
      </c>
      <c r="K13" s="167" t="s">
        <v>154</v>
      </c>
      <c r="L13" s="167">
        <v>3</v>
      </c>
      <c r="M13" s="167"/>
      <c r="N13" s="167">
        <v>1</v>
      </c>
      <c r="O13" s="167">
        <v>0.6</v>
      </c>
      <c r="P13" s="167">
        <v>0.6</v>
      </c>
      <c r="Q13" s="168">
        <f t="shared" si="0"/>
        <v>0.6</v>
      </c>
      <c r="R13" s="167">
        <v>16.399999999999999</v>
      </c>
      <c r="S13" s="167">
        <v>126</v>
      </c>
      <c r="T13" s="169">
        <f t="shared" si="1"/>
        <v>27</v>
      </c>
      <c r="U13" s="167">
        <v>138</v>
      </c>
      <c r="V13" s="170">
        <f t="shared" si="2"/>
        <v>3726</v>
      </c>
      <c r="W13" s="167">
        <v>6</v>
      </c>
      <c r="X13" s="165" t="s">
        <v>46</v>
      </c>
      <c r="Y13" s="167" t="s">
        <v>90</v>
      </c>
      <c r="Z13" s="167" t="s">
        <v>69</v>
      </c>
      <c r="AA13" s="167" t="s">
        <v>84</v>
      </c>
      <c r="AB13" s="165" t="s">
        <v>382</v>
      </c>
      <c r="AC13" s="171"/>
      <c r="AE13" s="97" t="s">
        <v>73</v>
      </c>
      <c r="AG13" s="23"/>
      <c r="AH13" s="97"/>
      <c r="AJ13" s="167"/>
      <c r="AL13" s="180"/>
      <c r="AN13" s="167"/>
      <c r="AP13" s="23" t="s">
        <v>71</v>
      </c>
      <c r="AR13" s="98" t="s">
        <v>103</v>
      </c>
      <c r="AV13" s="179" t="s">
        <v>383</v>
      </c>
      <c r="AX13" s="24"/>
      <c r="AY13" s="25"/>
      <c r="AZ13" s="25"/>
      <c r="BA13" s="26"/>
    </row>
    <row r="14" spans="1:53" x14ac:dyDescent="0.15">
      <c r="A14" s="165" t="s">
        <v>61</v>
      </c>
      <c r="B14" s="165" t="s">
        <v>240</v>
      </c>
      <c r="C14" s="165">
        <v>2018</v>
      </c>
      <c r="D14" s="166" t="s">
        <v>384</v>
      </c>
      <c r="E14" s="165" t="s">
        <v>351</v>
      </c>
      <c r="F14" s="165" t="s">
        <v>352</v>
      </c>
      <c r="G14" s="165" t="s">
        <v>42</v>
      </c>
      <c r="H14" s="167" t="s">
        <v>128</v>
      </c>
      <c r="I14" s="167" t="s">
        <v>153</v>
      </c>
      <c r="J14" s="165" t="s">
        <v>112</v>
      </c>
      <c r="K14" s="167" t="s">
        <v>105</v>
      </c>
      <c r="L14" s="167">
        <v>1</v>
      </c>
      <c r="M14" s="167"/>
      <c r="N14" s="167">
        <v>1</v>
      </c>
      <c r="O14" s="167">
        <v>0.5</v>
      </c>
      <c r="P14" s="167">
        <v>0.5</v>
      </c>
      <c r="Q14" s="168">
        <f t="shared" si="0"/>
        <v>0.5</v>
      </c>
      <c r="R14" s="167">
        <v>17.5</v>
      </c>
      <c r="S14" s="167">
        <v>163</v>
      </c>
      <c r="T14" s="169">
        <f t="shared" si="1"/>
        <v>18</v>
      </c>
      <c r="U14" s="167">
        <v>213</v>
      </c>
      <c r="V14" s="170">
        <f t="shared" si="2"/>
        <v>3834</v>
      </c>
      <c r="W14" s="167">
        <v>6</v>
      </c>
      <c r="X14" s="165" t="s">
        <v>46</v>
      </c>
      <c r="Y14" s="167" t="s">
        <v>90</v>
      </c>
      <c r="Z14" s="167" t="s">
        <v>69</v>
      </c>
      <c r="AA14" s="167" t="s">
        <v>84</v>
      </c>
      <c r="AB14" s="165" t="s">
        <v>385</v>
      </c>
      <c r="AC14" s="171"/>
      <c r="AE14" s="97" t="s">
        <v>76</v>
      </c>
      <c r="AG14" s="23"/>
      <c r="AH14" s="97"/>
      <c r="AL14" s="34"/>
      <c r="AP14" s="23" t="s">
        <v>74</v>
      </c>
      <c r="AR14" s="98" t="s">
        <v>125</v>
      </c>
      <c r="AV14" s="179" t="s">
        <v>386</v>
      </c>
      <c r="AX14" s="24"/>
      <c r="AY14" s="25"/>
      <c r="AZ14" s="25"/>
      <c r="BA14" s="26"/>
    </row>
    <row r="15" spans="1:53" x14ac:dyDescent="0.15">
      <c r="A15" s="165" t="s">
        <v>61</v>
      </c>
      <c r="B15" s="165" t="s">
        <v>240</v>
      </c>
      <c r="C15" s="165">
        <v>2018</v>
      </c>
      <c r="D15" s="166" t="s">
        <v>384</v>
      </c>
      <c r="E15" s="165" t="s">
        <v>351</v>
      </c>
      <c r="F15" s="165" t="s">
        <v>352</v>
      </c>
      <c r="G15" s="165" t="s">
        <v>42</v>
      </c>
      <c r="H15" s="167" t="s">
        <v>128</v>
      </c>
      <c r="I15" s="167" t="s">
        <v>153</v>
      </c>
      <c r="J15" s="165" t="s">
        <v>112</v>
      </c>
      <c r="K15" s="167" t="s">
        <v>105</v>
      </c>
      <c r="L15" s="167">
        <v>2</v>
      </c>
      <c r="M15" s="167"/>
      <c r="N15" s="167">
        <v>1</v>
      </c>
      <c r="O15" s="167">
        <v>0.55000000000000004</v>
      </c>
      <c r="P15" s="167">
        <v>0.6</v>
      </c>
      <c r="Q15" s="168">
        <f t="shared" si="0"/>
        <v>0.57499999999999996</v>
      </c>
      <c r="R15" s="171">
        <v>17.8</v>
      </c>
      <c r="S15" s="167">
        <v>171</v>
      </c>
      <c r="T15" s="169">
        <f t="shared" si="1"/>
        <v>18</v>
      </c>
      <c r="U15" s="167">
        <v>213</v>
      </c>
      <c r="V15" s="170">
        <f t="shared" si="2"/>
        <v>3834</v>
      </c>
      <c r="W15" s="167">
        <v>6</v>
      </c>
      <c r="X15" s="165" t="s">
        <v>46</v>
      </c>
      <c r="Y15" s="167" t="s">
        <v>90</v>
      </c>
      <c r="Z15" s="167" t="s">
        <v>69</v>
      </c>
      <c r="AA15" s="167" t="s">
        <v>84</v>
      </c>
      <c r="AB15" s="165" t="s">
        <v>385</v>
      </c>
      <c r="AC15" s="171"/>
      <c r="AE15" s="97" t="s">
        <v>79</v>
      </c>
      <c r="AG15" s="23"/>
      <c r="AH15" s="23"/>
      <c r="AL15" s="34"/>
      <c r="AP15" s="23" t="s">
        <v>77</v>
      </c>
      <c r="AR15" s="98" t="s">
        <v>94</v>
      </c>
      <c r="AV15" s="179" t="s">
        <v>387</v>
      </c>
      <c r="AX15" s="31"/>
      <c r="AY15" s="32"/>
      <c r="AZ15" s="32"/>
      <c r="BA15" s="33"/>
    </row>
    <row r="16" spans="1:53" x14ac:dyDescent="0.15">
      <c r="A16" s="165" t="s">
        <v>61</v>
      </c>
      <c r="B16" s="165" t="s">
        <v>244</v>
      </c>
      <c r="C16" s="165">
        <v>2018</v>
      </c>
      <c r="D16" s="166" t="s">
        <v>388</v>
      </c>
      <c r="E16" s="165" t="s">
        <v>351</v>
      </c>
      <c r="F16" s="165" t="s">
        <v>352</v>
      </c>
      <c r="G16" s="165" t="s">
        <v>42</v>
      </c>
      <c r="H16" s="167" t="s">
        <v>128</v>
      </c>
      <c r="I16" s="167" t="s">
        <v>153</v>
      </c>
      <c r="J16" s="165" t="s">
        <v>112</v>
      </c>
      <c r="K16" s="167" t="s">
        <v>105</v>
      </c>
      <c r="L16" s="167">
        <v>3</v>
      </c>
      <c r="M16" s="167"/>
      <c r="N16" s="167">
        <v>1</v>
      </c>
      <c r="O16" s="167">
        <v>0.5</v>
      </c>
      <c r="P16" s="167">
        <v>0.55000000000000004</v>
      </c>
      <c r="Q16" s="168">
        <f t="shared" si="0"/>
        <v>0.52500000000000002</v>
      </c>
      <c r="R16" s="167">
        <v>17.600000000000001</v>
      </c>
      <c r="S16" s="167">
        <v>162</v>
      </c>
      <c r="T16" s="169">
        <f t="shared" si="1"/>
        <v>18</v>
      </c>
      <c r="U16" s="167">
        <v>213</v>
      </c>
      <c r="V16" s="170">
        <f t="shared" si="2"/>
        <v>3834</v>
      </c>
      <c r="W16" s="167">
        <v>6</v>
      </c>
      <c r="X16" s="165" t="s">
        <v>46</v>
      </c>
      <c r="Y16" s="167" t="s">
        <v>90</v>
      </c>
      <c r="Z16" s="167" t="s">
        <v>69</v>
      </c>
      <c r="AA16" s="167" t="s">
        <v>84</v>
      </c>
      <c r="AB16" s="165" t="s">
        <v>389</v>
      </c>
      <c r="AC16" s="171"/>
      <c r="AE16" s="97" t="s">
        <v>82</v>
      </c>
      <c r="AG16" s="23"/>
      <c r="AH16" s="23"/>
      <c r="AP16" s="23" t="s">
        <v>80</v>
      </c>
      <c r="AR16" s="41" t="s">
        <v>63</v>
      </c>
      <c r="AV16" s="179" t="s">
        <v>390</v>
      </c>
    </row>
    <row r="17" spans="1:48" x14ac:dyDescent="0.15">
      <c r="A17" s="165" t="s">
        <v>61</v>
      </c>
      <c r="B17" s="165" t="s">
        <v>244</v>
      </c>
      <c r="C17" s="165">
        <v>2018</v>
      </c>
      <c r="D17" s="166" t="s">
        <v>388</v>
      </c>
      <c r="E17" s="165" t="s">
        <v>359</v>
      </c>
      <c r="F17" s="165" t="s">
        <v>360</v>
      </c>
      <c r="G17" s="165" t="s">
        <v>42</v>
      </c>
      <c r="H17" s="167" t="s">
        <v>155</v>
      </c>
      <c r="I17" s="167" t="s">
        <v>232</v>
      </c>
      <c r="J17" s="165" t="s">
        <v>38</v>
      </c>
      <c r="K17" s="167" t="s">
        <v>154</v>
      </c>
      <c r="L17" s="167">
        <v>1</v>
      </c>
      <c r="M17" s="167"/>
      <c r="N17" s="167">
        <v>1</v>
      </c>
      <c r="O17" s="167">
        <v>0.8</v>
      </c>
      <c r="P17" s="167">
        <v>0.75</v>
      </c>
      <c r="Q17" s="168">
        <f t="shared" si="0"/>
        <v>0.77500000000000002</v>
      </c>
      <c r="R17" s="167">
        <v>16.7</v>
      </c>
      <c r="S17" s="167">
        <v>136</v>
      </c>
      <c r="T17" s="169">
        <f t="shared" si="1"/>
        <v>25</v>
      </c>
      <c r="U17" s="167">
        <v>105</v>
      </c>
      <c r="V17" s="170">
        <f t="shared" si="2"/>
        <v>2625</v>
      </c>
      <c r="W17" s="167">
        <v>6</v>
      </c>
      <c r="X17" s="165" t="s">
        <v>39</v>
      </c>
      <c r="Y17" s="167" t="s">
        <v>90</v>
      </c>
      <c r="Z17" s="167" t="s">
        <v>69</v>
      </c>
      <c r="AA17" s="167" t="s">
        <v>84</v>
      </c>
      <c r="AB17" s="165" t="s">
        <v>389</v>
      </c>
      <c r="AC17" s="171"/>
      <c r="AE17" s="97" t="s">
        <v>85</v>
      </c>
      <c r="AP17" s="101" t="s">
        <v>110</v>
      </c>
      <c r="AR17" s="41" t="s">
        <v>96</v>
      </c>
      <c r="AV17" s="179" t="s">
        <v>391</v>
      </c>
    </row>
    <row r="18" spans="1:48" x14ac:dyDescent="0.15">
      <c r="A18" s="165" t="s">
        <v>61</v>
      </c>
      <c r="B18" s="165" t="s">
        <v>244</v>
      </c>
      <c r="C18" s="165">
        <v>2018</v>
      </c>
      <c r="D18" s="166" t="s">
        <v>388</v>
      </c>
      <c r="E18" s="165" t="s">
        <v>359</v>
      </c>
      <c r="F18" s="165" t="s">
        <v>360</v>
      </c>
      <c r="G18" s="165" t="s">
        <v>42</v>
      </c>
      <c r="H18" s="167" t="s">
        <v>155</v>
      </c>
      <c r="I18" s="167" t="s">
        <v>232</v>
      </c>
      <c r="J18" s="165" t="s">
        <v>38</v>
      </c>
      <c r="K18" s="167" t="s">
        <v>154</v>
      </c>
      <c r="L18" s="167">
        <v>2</v>
      </c>
      <c r="M18" s="167"/>
      <c r="N18" s="167">
        <v>1</v>
      </c>
      <c r="O18" s="167">
        <v>0.8</v>
      </c>
      <c r="P18" s="167">
        <v>0.8</v>
      </c>
      <c r="Q18" s="168">
        <f t="shared" si="0"/>
        <v>0.8</v>
      </c>
      <c r="R18" s="167">
        <v>16.5</v>
      </c>
      <c r="S18" s="167">
        <v>145</v>
      </c>
      <c r="T18" s="169">
        <f t="shared" si="1"/>
        <v>22</v>
      </c>
      <c r="U18" s="167">
        <v>105</v>
      </c>
      <c r="V18" s="170">
        <f t="shared" si="2"/>
        <v>2310</v>
      </c>
      <c r="W18" s="167">
        <v>6</v>
      </c>
      <c r="X18" s="165" t="s">
        <v>39</v>
      </c>
      <c r="Y18" s="167" t="s">
        <v>90</v>
      </c>
      <c r="Z18" s="167" t="s">
        <v>69</v>
      </c>
      <c r="AA18" s="167" t="s">
        <v>84</v>
      </c>
      <c r="AB18" s="165" t="s">
        <v>389</v>
      </c>
      <c r="AC18" s="171"/>
      <c r="AE18" s="97" t="s">
        <v>87</v>
      </c>
      <c r="AP18" s="101" t="s">
        <v>111</v>
      </c>
      <c r="AR18" s="41" t="s">
        <v>101</v>
      </c>
      <c r="AV18" s="179" t="s">
        <v>248</v>
      </c>
    </row>
    <row r="19" spans="1:48" x14ac:dyDescent="0.15">
      <c r="A19" s="165" t="s">
        <v>61</v>
      </c>
      <c r="B19" s="165" t="s">
        <v>234</v>
      </c>
      <c r="C19" s="165">
        <v>2018</v>
      </c>
      <c r="D19" s="166" t="s">
        <v>378</v>
      </c>
      <c r="E19" s="165" t="s">
        <v>359</v>
      </c>
      <c r="F19" s="165" t="s">
        <v>360</v>
      </c>
      <c r="G19" s="165" t="s">
        <v>42</v>
      </c>
      <c r="H19" s="167" t="s">
        <v>155</v>
      </c>
      <c r="I19" s="167" t="s">
        <v>232</v>
      </c>
      <c r="J19" s="165" t="s">
        <v>38</v>
      </c>
      <c r="K19" s="167" t="s">
        <v>154</v>
      </c>
      <c r="L19" s="167">
        <v>3</v>
      </c>
      <c r="M19" s="167"/>
      <c r="N19" s="167">
        <v>1</v>
      </c>
      <c r="O19" s="167">
        <v>0.7</v>
      </c>
      <c r="P19" s="167">
        <v>0.7</v>
      </c>
      <c r="Q19" s="168">
        <f t="shared" si="0"/>
        <v>0.7</v>
      </c>
      <c r="R19" s="167">
        <v>17</v>
      </c>
      <c r="S19" s="167">
        <v>129</v>
      </c>
      <c r="T19" s="169">
        <f t="shared" si="1"/>
        <v>25</v>
      </c>
      <c r="U19" s="167">
        <v>105</v>
      </c>
      <c r="V19" s="170">
        <f t="shared" si="2"/>
        <v>2625</v>
      </c>
      <c r="W19" s="167">
        <v>6</v>
      </c>
      <c r="X19" s="165" t="s">
        <v>39</v>
      </c>
      <c r="Y19" s="167" t="s">
        <v>90</v>
      </c>
      <c r="Z19" s="167" t="s">
        <v>69</v>
      </c>
      <c r="AA19" s="167" t="s">
        <v>84</v>
      </c>
      <c r="AB19" s="165" t="s">
        <v>379</v>
      </c>
      <c r="AC19" s="171"/>
      <c r="AE19" s="99" t="s">
        <v>89</v>
      </c>
      <c r="AP19" s="101" t="s">
        <v>112</v>
      </c>
      <c r="AR19" s="98" t="s">
        <v>126</v>
      </c>
      <c r="AV19" s="179" t="s">
        <v>392</v>
      </c>
    </row>
    <row r="20" spans="1:48" x14ac:dyDescent="0.15">
      <c r="A20" s="165" t="s">
        <v>61</v>
      </c>
      <c r="B20" s="165" t="s">
        <v>234</v>
      </c>
      <c r="C20" s="165">
        <v>2018</v>
      </c>
      <c r="D20" s="166" t="s">
        <v>378</v>
      </c>
      <c r="E20" s="165" t="s">
        <v>359</v>
      </c>
      <c r="F20" s="165" t="s">
        <v>360</v>
      </c>
      <c r="G20" s="165" t="s">
        <v>42</v>
      </c>
      <c r="H20" s="167" t="s">
        <v>128</v>
      </c>
      <c r="I20" s="167" t="s">
        <v>153</v>
      </c>
      <c r="J20" s="165" t="s">
        <v>80</v>
      </c>
      <c r="K20" s="167" t="s">
        <v>59</v>
      </c>
      <c r="L20" s="167">
        <v>1</v>
      </c>
      <c r="M20" s="167"/>
      <c r="N20" s="167">
        <v>2</v>
      </c>
      <c r="O20" s="167">
        <v>0.7</v>
      </c>
      <c r="P20" s="167">
        <v>0.7</v>
      </c>
      <c r="Q20" s="168">
        <f t="shared" si="0"/>
        <v>0.7</v>
      </c>
      <c r="R20" s="167">
        <v>17.100000000000001</v>
      </c>
      <c r="S20" s="167">
        <v>140</v>
      </c>
      <c r="T20" s="169">
        <f t="shared" si="1"/>
        <v>22</v>
      </c>
      <c r="U20" s="167">
        <v>429</v>
      </c>
      <c r="V20" s="170">
        <f t="shared" si="2"/>
        <v>4719</v>
      </c>
      <c r="W20" s="167">
        <v>6</v>
      </c>
      <c r="X20" s="165" t="s">
        <v>39</v>
      </c>
      <c r="Y20" s="167" t="s">
        <v>90</v>
      </c>
      <c r="Z20" s="167" t="s">
        <v>69</v>
      </c>
      <c r="AA20" s="167" t="s">
        <v>84</v>
      </c>
      <c r="AB20" s="165" t="s">
        <v>379</v>
      </c>
      <c r="AC20" s="171"/>
      <c r="AE20" s="97"/>
      <c r="AG20" s="167"/>
      <c r="AH20" s="167"/>
      <c r="AJ20" s="167"/>
      <c r="AN20" s="167"/>
      <c r="AP20" s="101" t="s">
        <v>113</v>
      </c>
      <c r="AR20" s="41" t="s">
        <v>105</v>
      </c>
      <c r="AV20" s="179" t="s">
        <v>393</v>
      </c>
    </row>
    <row r="21" spans="1:48" x14ac:dyDescent="0.15">
      <c r="A21" s="165" t="s">
        <v>61</v>
      </c>
      <c r="B21" s="165" t="s">
        <v>234</v>
      </c>
      <c r="C21" s="165">
        <v>2018</v>
      </c>
      <c r="D21" s="166" t="s">
        <v>378</v>
      </c>
      <c r="E21" s="165" t="s">
        <v>359</v>
      </c>
      <c r="F21" s="165" t="s">
        <v>360</v>
      </c>
      <c r="G21" s="165" t="s">
        <v>42</v>
      </c>
      <c r="H21" s="167" t="s">
        <v>128</v>
      </c>
      <c r="I21" s="167" t="s">
        <v>153</v>
      </c>
      <c r="J21" s="165" t="s">
        <v>80</v>
      </c>
      <c r="K21" s="167" t="s">
        <v>59</v>
      </c>
      <c r="L21" s="167">
        <v>2</v>
      </c>
      <c r="M21" s="167"/>
      <c r="N21" s="167">
        <v>2</v>
      </c>
      <c r="O21" s="167">
        <v>0.65</v>
      </c>
      <c r="P21" s="167">
        <v>0.6</v>
      </c>
      <c r="Q21" s="168">
        <f t="shared" si="0"/>
        <v>0.625</v>
      </c>
      <c r="R21" s="167">
        <v>16.8</v>
      </c>
      <c r="S21" s="167">
        <v>143</v>
      </c>
      <c r="T21" s="169">
        <f t="shared" si="1"/>
        <v>22</v>
      </c>
      <c r="U21" s="167">
        <v>429</v>
      </c>
      <c r="V21" s="170">
        <f t="shared" si="2"/>
        <v>4719</v>
      </c>
      <c r="W21" s="167">
        <v>6</v>
      </c>
      <c r="X21" s="165" t="s">
        <v>39</v>
      </c>
      <c r="Y21" s="167" t="s">
        <v>90</v>
      </c>
      <c r="Z21" s="167" t="s">
        <v>69</v>
      </c>
      <c r="AA21" s="167" t="s">
        <v>84</v>
      </c>
      <c r="AB21" s="165" t="s">
        <v>379</v>
      </c>
      <c r="AC21" s="171"/>
      <c r="AE21" s="97"/>
      <c r="AG21" s="167"/>
      <c r="AH21" s="167"/>
      <c r="AL21" s="167"/>
      <c r="AN21" s="167"/>
      <c r="AP21" s="101" t="s">
        <v>114</v>
      </c>
      <c r="AR21" s="41" t="s">
        <v>68</v>
      </c>
      <c r="AV21" s="179" t="s">
        <v>394</v>
      </c>
    </row>
    <row r="22" spans="1:48" x14ac:dyDescent="0.15">
      <c r="A22" s="165" t="s">
        <v>61</v>
      </c>
      <c r="B22" s="165" t="s">
        <v>234</v>
      </c>
      <c r="C22" s="165">
        <v>2018</v>
      </c>
      <c r="D22" s="166" t="s">
        <v>378</v>
      </c>
      <c r="E22" s="165" t="s">
        <v>359</v>
      </c>
      <c r="F22" s="165" t="s">
        <v>360</v>
      </c>
      <c r="G22" s="165" t="s">
        <v>42</v>
      </c>
      <c r="H22" s="167" t="s">
        <v>128</v>
      </c>
      <c r="I22" s="167" t="s">
        <v>153</v>
      </c>
      <c r="J22" s="165" t="s">
        <v>80</v>
      </c>
      <c r="K22" s="167" t="s">
        <v>59</v>
      </c>
      <c r="L22" s="167">
        <v>3</v>
      </c>
      <c r="M22" s="167"/>
      <c r="N22" s="171">
        <v>2</v>
      </c>
      <c r="O22" s="171">
        <v>0.6</v>
      </c>
      <c r="P22" s="167">
        <v>0.7</v>
      </c>
      <c r="Q22" s="168">
        <f t="shared" si="0"/>
        <v>0.64999999999999991</v>
      </c>
      <c r="R22" s="167">
        <v>17.399999999999999</v>
      </c>
      <c r="S22" s="167">
        <v>141</v>
      </c>
      <c r="T22" s="169">
        <f t="shared" si="1"/>
        <v>22</v>
      </c>
      <c r="U22" s="167">
        <v>429</v>
      </c>
      <c r="V22" s="170">
        <f t="shared" si="2"/>
        <v>4719</v>
      </c>
      <c r="W22" s="167">
        <v>6</v>
      </c>
      <c r="X22" s="165" t="s">
        <v>39</v>
      </c>
      <c r="Y22" s="167" t="s">
        <v>90</v>
      </c>
      <c r="Z22" s="167" t="s">
        <v>69</v>
      </c>
      <c r="AA22" s="167" t="s">
        <v>84</v>
      </c>
      <c r="AB22" s="165" t="s">
        <v>379</v>
      </c>
      <c r="AC22" s="171"/>
      <c r="AE22" s="99"/>
      <c r="AG22" s="167"/>
      <c r="AH22" s="167"/>
      <c r="AL22" s="167"/>
      <c r="AP22" s="101" t="s">
        <v>115</v>
      </c>
      <c r="AR22" s="41" t="s">
        <v>83</v>
      </c>
      <c r="AV22" s="23"/>
    </row>
    <row r="23" spans="1:48" x14ac:dyDescent="0.15">
      <c r="A23" s="165" t="s">
        <v>61</v>
      </c>
      <c r="B23" s="165" t="s">
        <v>234</v>
      </c>
      <c r="C23" s="165">
        <v>2018</v>
      </c>
      <c r="D23" s="166" t="s">
        <v>378</v>
      </c>
      <c r="E23" s="165" t="s">
        <v>363</v>
      </c>
      <c r="F23" s="165" t="s">
        <v>364</v>
      </c>
      <c r="G23" s="165" t="s">
        <v>42</v>
      </c>
      <c r="H23" s="167" t="s">
        <v>155</v>
      </c>
      <c r="I23" s="167" t="s">
        <v>153</v>
      </c>
      <c r="J23" s="165" t="s">
        <v>38</v>
      </c>
      <c r="K23" s="167" t="s">
        <v>154</v>
      </c>
      <c r="L23" s="167">
        <v>1</v>
      </c>
      <c r="M23" s="167"/>
      <c r="N23" s="167">
        <v>4</v>
      </c>
      <c r="O23" s="167">
        <v>0.5</v>
      </c>
      <c r="P23" s="171">
        <v>0.5</v>
      </c>
      <c r="Q23" s="168">
        <f t="shared" si="0"/>
        <v>0.5</v>
      </c>
      <c r="R23" s="167">
        <v>16.8</v>
      </c>
      <c r="S23" s="167">
        <v>81</v>
      </c>
      <c r="T23" s="169">
        <f t="shared" si="1"/>
        <v>39</v>
      </c>
      <c r="U23" s="167">
        <v>350</v>
      </c>
      <c r="V23" s="170">
        <f t="shared" si="2"/>
        <v>3412.5</v>
      </c>
      <c r="W23" s="167">
        <v>3</v>
      </c>
      <c r="X23" s="165" t="s">
        <v>39</v>
      </c>
      <c r="Y23" s="167" t="s">
        <v>90</v>
      </c>
      <c r="Z23" s="167" t="s">
        <v>84</v>
      </c>
      <c r="AA23" s="167" t="s">
        <v>69</v>
      </c>
      <c r="AB23" s="165" t="s">
        <v>379</v>
      </c>
      <c r="AC23" s="171"/>
      <c r="AE23" s="97"/>
      <c r="AG23" s="167"/>
      <c r="AH23" s="167"/>
      <c r="AL23" s="167"/>
      <c r="AP23" s="101" t="s">
        <v>250</v>
      </c>
      <c r="AR23" s="41" t="s">
        <v>61</v>
      </c>
      <c r="AV23" s="167"/>
    </row>
    <row r="24" spans="1:48" x14ac:dyDescent="0.15">
      <c r="A24" s="165" t="s">
        <v>61</v>
      </c>
      <c r="B24" s="165" t="s">
        <v>234</v>
      </c>
      <c r="C24" s="165">
        <v>2018</v>
      </c>
      <c r="D24" s="166" t="s">
        <v>378</v>
      </c>
      <c r="E24" s="165" t="s">
        <v>363</v>
      </c>
      <c r="F24" s="165" t="s">
        <v>364</v>
      </c>
      <c r="G24" s="165" t="s">
        <v>42</v>
      </c>
      <c r="H24" s="167" t="s">
        <v>155</v>
      </c>
      <c r="I24" s="167" t="s">
        <v>153</v>
      </c>
      <c r="J24" s="165" t="s">
        <v>38</v>
      </c>
      <c r="K24" s="167" t="s">
        <v>154</v>
      </c>
      <c r="L24" s="167">
        <v>2</v>
      </c>
      <c r="M24" s="167"/>
      <c r="N24" s="167">
        <v>4</v>
      </c>
      <c r="O24" s="167">
        <v>0.55000000000000004</v>
      </c>
      <c r="P24" s="171">
        <v>0.5</v>
      </c>
      <c r="Q24" s="168">
        <f t="shared" si="0"/>
        <v>0.52500000000000002</v>
      </c>
      <c r="R24" s="167">
        <v>17.399999999999999</v>
      </c>
      <c r="S24" s="167">
        <v>85</v>
      </c>
      <c r="T24" s="169">
        <f t="shared" si="1"/>
        <v>36</v>
      </c>
      <c r="U24" s="167">
        <v>350</v>
      </c>
      <c r="V24" s="170">
        <f t="shared" si="2"/>
        <v>3150</v>
      </c>
      <c r="W24" s="167">
        <v>3</v>
      </c>
      <c r="X24" s="165" t="s">
        <v>39</v>
      </c>
      <c r="Y24" s="167" t="s">
        <v>90</v>
      </c>
      <c r="Z24" s="167" t="s">
        <v>84</v>
      </c>
      <c r="AA24" s="167" t="s">
        <v>69</v>
      </c>
      <c r="AB24" s="165" t="s">
        <v>379</v>
      </c>
      <c r="AC24" s="171"/>
      <c r="AE24" s="97"/>
      <c r="AG24" s="167"/>
      <c r="AH24" s="167"/>
      <c r="AL24" s="167"/>
      <c r="AP24" s="101" t="s">
        <v>251</v>
      </c>
      <c r="AR24" s="41" t="s">
        <v>91</v>
      </c>
      <c r="AV24" s="167"/>
    </row>
    <row r="25" spans="1:48" x14ac:dyDescent="0.15">
      <c r="A25" s="165" t="s">
        <v>61</v>
      </c>
      <c r="B25" s="165" t="s">
        <v>234</v>
      </c>
      <c r="C25" s="165">
        <v>2018</v>
      </c>
      <c r="D25" s="166" t="s">
        <v>378</v>
      </c>
      <c r="E25" s="165" t="s">
        <v>363</v>
      </c>
      <c r="F25" s="165" t="s">
        <v>364</v>
      </c>
      <c r="G25" s="165" t="s">
        <v>42</v>
      </c>
      <c r="H25" s="167" t="s">
        <v>155</v>
      </c>
      <c r="I25" s="167" t="s">
        <v>153</v>
      </c>
      <c r="J25" s="165" t="s">
        <v>38</v>
      </c>
      <c r="K25" s="167" t="s">
        <v>154</v>
      </c>
      <c r="L25" s="167">
        <v>3</v>
      </c>
      <c r="M25" s="167"/>
      <c r="N25" s="167">
        <v>4</v>
      </c>
      <c r="O25" s="167">
        <v>0.6</v>
      </c>
      <c r="P25" s="171">
        <v>0.6</v>
      </c>
      <c r="Q25" s="168">
        <f t="shared" si="0"/>
        <v>0.6</v>
      </c>
      <c r="R25" s="167">
        <v>17</v>
      </c>
      <c r="S25" s="167">
        <v>84</v>
      </c>
      <c r="T25" s="169">
        <f t="shared" si="1"/>
        <v>36</v>
      </c>
      <c r="U25" s="167">
        <v>350</v>
      </c>
      <c r="V25" s="170">
        <f t="shared" si="2"/>
        <v>3150</v>
      </c>
      <c r="W25" s="167">
        <v>3</v>
      </c>
      <c r="X25" s="165" t="s">
        <v>39</v>
      </c>
      <c r="Y25" s="167" t="s">
        <v>90</v>
      </c>
      <c r="Z25" s="167" t="s">
        <v>84</v>
      </c>
      <c r="AA25" s="167" t="s">
        <v>69</v>
      </c>
      <c r="AB25" s="165" t="s">
        <v>379</v>
      </c>
      <c r="AC25" s="171"/>
      <c r="AE25" s="99"/>
      <c r="AG25" s="167"/>
      <c r="AH25" s="167"/>
      <c r="AL25" s="167"/>
      <c r="AP25" s="101" t="s">
        <v>116</v>
      </c>
      <c r="AR25" s="42" t="s">
        <v>92</v>
      </c>
      <c r="AV25" s="167"/>
    </row>
    <row r="26" spans="1:48" x14ac:dyDescent="0.15">
      <c r="A26" s="165" t="s">
        <v>61</v>
      </c>
      <c r="B26" s="165" t="s">
        <v>234</v>
      </c>
      <c r="C26" s="165">
        <v>2018</v>
      </c>
      <c r="D26" s="166" t="s">
        <v>378</v>
      </c>
      <c r="E26" s="165" t="s">
        <v>363</v>
      </c>
      <c r="F26" s="165" t="s">
        <v>364</v>
      </c>
      <c r="G26" s="165" t="s">
        <v>42</v>
      </c>
      <c r="H26" s="167" t="s">
        <v>159</v>
      </c>
      <c r="I26" s="167" t="s">
        <v>153</v>
      </c>
      <c r="J26" s="165" t="s">
        <v>38</v>
      </c>
      <c r="K26" s="167" t="s">
        <v>154</v>
      </c>
      <c r="L26" s="167">
        <v>1</v>
      </c>
      <c r="M26" s="167"/>
      <c r="N26" s="167">
        <v>1</v>
      </c>
      <c r="O26" s="167">
        <v>0.5</v>
      </c>
      <c r="P26" s="171">
        <v>0.55000000000000004</v>
      </c>
      <c r="Q26" s="168">
        <f t="shared" si="0"/>
        <v>0.52500000000000002</v>
      </c>
      <c r="R26" s="167">
        <v>17.8</v>
      </c>
      <c r="S26" s="167">
        <v>129</v>
      </c>
      <c r="T26" s="169">
        <f t="shared" si="1"/>
        <v>25</v>
      </c>
      <c r="U26" s="167">
        <v>138</v>
      </c>
      <c r="V26" s="170">
        <f t="shared" si="2"/>
        <v>3450</v>
      </c>
      <c r="W26" s="167">
        <v>3</v>
      </c>
      <c r="X26" s="165" t="s">
        <v>39</v>
      </c>
      <c r="Y26" s="167" t="s">
        <v>90</v>
      </c>
      <c r="Z26" s="167" t="s">
        <v>84</v>
      </c>
      <c r="AA26" s="167" t="s">
        <v>69</v>
      </c>
      <c r="AB26" s="165" t="s">
        <v>379</v>
      </c>
      <c r="AC26" s="171"/>
      <c r="AD26" s="34"/>
      <c r="AE26" s="99"/>
      <c r="AG26" s="167"/>
      <c r="AH26" s="167"/>
      <c r="AP26" s="101" t="s">
        <v>117</v>
      </c>
      <c r="AR26" s="23" t="s">
        <v>166</v>
      </c>
      <c r="AV26" s="167"/>
    </row>
    <row r="27" spans="1:48" x14ac:dyDescent="0.15">
      <c r="A27" s="165" t="s">
        <v>61</v>
      </c>
      <c r="B27" s="165" t="s">
        <v>234</v>
      </c>
      <c r="C27" s="165">
        <v>2018</v>
      </c>
      <c r="D27" s="166" t="s">
        <v>378</v>
      </c>
      <c r="E27" s="165" t="s">
        <v>363</v>
      </c>
      <c r="F27" s="165" t="s">
        <v>364</v>
      </c>
      <c r="G27" s="165" t="s">
        <v>42</v>
      </c>
      <c r="H27" s="167" t="s">
        <v>159</v>
      </c>
      <c r="I27" s="167" t="s">
        <v>153</v>
      </c>
      <c r="J27" s="165" t="s">
        <v>38</v>
      </c>
      <c r="K27" s="167" t="s">
        <v>154</v>
      </c>
      <c r="L27" s="167">
        <v>2</v>
      </c>
      <c r="M27" s="167"/>
      <c r="N27" s="167">
        <v>1</v>
      </c>
      <c r="O27" s="167">
        <v>0.55000000000000004</v>
      </c>
      <c r="P27" s="171">
        <v>0.6</v>
      </c>
      <c r="Q27" s="168">
        <f t="shared" si="0"/>
        <v>0.57499999999999996</v>
      </c>
      <c r="R27" s="167">
        <v>17.8</v>
      </c>
      <c r="S27" s="167">
        <v>137</v>
      </c>
      <c r="T27" s="169">
        <f t="shared" si="1"/>
        <v>25</v>
      </c>
      <c r="U27" s="167">
        <v>138</v>
      </c>
      <c r="V27" s="170">
        <f t="shared" si="2"/>
        <v>3450</v>
      </c>
      <c r="W27" s="167">
        <v>3</v>
      </c>
      <c r="X27" s="165" t="s">
        <v>39</v>
      </c>
      <c r="Y27" s="167" t="s">
        <v>90</v>
      </c>
      <c r="Z27" s="167" t="s">
        <v>84</v>
      </c>
      <c r="AA27" s="167" t="s">
        <v>69</v>
      </c>
      <c r="AB27" s="165" t="s">
        <v>379</v>
      </c>
      <c r="AC27" s="171"/>
      <c r="AD27" s="34"/>
      <c r="AE27" s="28"/>
      <c r="AG27" s="167"/>
      <c r="AH27" s="167"/>
      <c r="AP27" s="101" t="s">
        <v>118</v>
      </c>
      <c r="AR27" s="23"/>
      <c r="AV27" s="167"/>
    </row>
    <row r="28" spans="1:48" x14ac:dyDescent="0.15">
      <c r="A28" s="165" t="s">
        <v>61</v>
      </c>
      <c r="B28" s="165" t="s">
        <v>234</v>
      </c>
      <c r="C28" s="165">
        <v>2018</v>
      </c>
      <c r="D28" s="166" t="s">
        <v>378</v>
      </c>
      <c r="E28" s="165" t="s">
        <v>363</v>
      </c>
      <c r="F28" s="165" t="s">
        <v>364</v>
      </c>
      <c r="G28" s="165" t="s">
        <v>42</v>
      </c>
      <c r="H28" s="167" t="s">
        <v>159</v>
      </c>
      <c r="I28" s="167" t="s">
        <v>153</v>
      </c>
      <c r="J28" s="165" t="s">
        <v>38</v>
      </c>
      <c r="K28" s="167" t="s">
        <v>154</v>
      </c>
      <c r="L28" s="167">
        <v>3</v>
      </c>
      <c r="M28" s="167"/>
      <c r="N28" s="167">
        <v>1</v>
      </c>
      <c r="O28" s="167">
        <v>0.6</v>
      </c>
      <c r="P28" s="171">
        <v>0.5</v>
      </c>
      <c r="Q28" s="168">
        <f t="shared" si="0"/>
        <v>0.55000000000000004</v>
      </c>
      <c r="R28" s="167">
        <v>17.399999999999999</v>
      </c>
      <c r="S28" s="167">
        <v>130</v>
      </c>
      <c r="T28" s="169">
        <f t="shared" si="1"/>
        <v>25</v>
      </c>
      <c r="U28" s="167">
        <v>138</v>
      </c>
      <c r="V28" s="170">
        <f t="shared" si="2"/>
        <v>3450</v>
      </c>
      <c r="W28" s="167">
        <v>3</v>
      </c>
      <c r="X28" s="165" t="s">
        <v>39</v>
      </c>
      <c r="Y28" s="167" t="s">
        <v>90</v>
      </c>
      <c r="Z28" s="167" t="s">
        <v>84</v>
      </c>
      <c r="AA28" s="167" t="s">
        <v>69</v>
      </c>
      <c r="AB28" s="165" t="s">
        <v>379</v>
      </c>
      <c r="AC28" s="171"/>
      <c r="AD28" s="34"/>
      <c r="AE28" s="167"/>
      <c r="AG28" s="167"/>
      <c r="AH28" s="167"/>
      <c r="AP28" s="27"/>
      <c r="AR28" s="23"/>
      <c r="AV28" s="167"/>
    </row>
    <row r="29" spans="1:48" x14ac:dyDescent="0.15">
      <c r="A29" s="165" t="s">
        <v>61</v>
      </c>
      <c r="B29" s="165" t="s">
        <v>234</v>
      </c>
      <c r="C29" s="165">
        <v>2018</v>
      </c>
      <c r="D29" s="166" t="s">
        <v>378</v>
      </c>
      <c r="E29" s="165" t="s">
        <v>369</v>
      </c>
      <c r="F29" s="165" t="s">
        <v>370</v>
      </c>
      <c r="G29" s="165" t="s">
        <v>42</v>
      </c>
      <c r="H29" s="167" t="s">
        <v>155</v>
      </c>
      <c r="I29" s="167" t="s">
        <v>153</v>
      </c>
      <c r="J29" s="165" t="s">
        <v>38</v>
      </c>
      <c r="K29" s="167" t="s">
        <v>154</v>
      </c>
      <c r="L29" s="167">
        <v>1</v>
      </c>
      <c r="M29" s="167"/>
      <c r="N29" s="167">
        <v>4</v>
      </c>
      <c r="O29" s="167">
        <v>0.8</v>
      </c>
      <c r="P29" s="167">
        <v>0.8</v>
      </c>
      <c r="Q29" s="168">
        <f t="shared" si="0"/>
        <v>0.8</v>
      </c>
      <c r="R29" s="167">
        <v>14.8</v>
      </c>
      <c r="S29" s="167">
        <v>102</v>
      </c>
      <c r="T29" s="169">
        <f t="shared" si="1"/>
        <v>33</v>
      </c>
      <c r="U29" s="167">
        <v>321</v>
      </c>
      <c r="V29" s="170">
        <f t="shared" si="2"/>
        <v>2648.25</v>
      </c>
      <c r="W29" s="167">
        <v>6</v>
      </c>
      <c r="X29" s="165" t="s">
        <v>39</v>
      </c>
      <c r="Y29" s="167" t="s">
        <v>84</v>
      </c>
      <c r="Z29" s="167" t="s">
        <v>90</v>
      </c>
      <c r="AA29" s="167" t="s">
        <v>69</v>
      </c>
      <c r="AB29" s="165" t="s">
        <v>379</v>
      </c>
      <c r="AC29" s="171"/>
    </row>
    <row r="30" spans="1:48" x14ac:dyDescent="0.15">
      <c r="A30" s="165" t="s">
        <v>61</v>
      </c>
      <c r="B30" s="165" t="s">
        <v>234</v>
      </c>
      <c r="C30" s="165">
        <v>2018</v>
      </c>
      <c r="D30" s="166" t="s">
        <v>378</v>
      </c>
      <c r="E30" s="165" t="s">
        <v>369</v>
      </c>
      <c r="F30" s="165" t="s">
        <v>370</v>
      </c>
      <c r="G30" s="165" t="s">
        <v>42</v>
      </c>
      <c r="H30" s="167" t="s">
        <v>155</v>
      </c>
      <c r="I30" s="167" t="s">
        <v>153</v>
      </c>
      <c r="J30" s="165" t="s">
        <v>38</v>
      </c>
      <c r="K30" s="167" t="s">
        <v>154</v>
      </c>
      <c r="L30" s="167">
        <v>2</v>
      </c>
      <c r="M30" s="167"/>
      <c r="N30" s="167">
        <v>4</v>
      </c>
      <c r="O30" s="167">
        <v>0.7</v>
      </c>
      <c r="P30" s="167">
        <v>0.7</v>
      </c>
      <c r="Q30" s="168">
        <f t="shared" si="0"/>
        <v>0.7</v>
      </c>
      <c r="R30" s="167">
        <v>16.100000000000001</v>
      </c>
      <c r="S30" s="167">
        <v>105</v>
      </c>
      <c r="T30" s="169">
        <f t="shared" si="1"/>
        <v>33</v>
      </c>
      <c r="U30" s="167">
        <v>321</v>
      </c>
      <c r="V30" s="170">
        <f t="shared" si="2"/>
        <v>2648.25</v>
      </c>
      <c r="W30" s="167">
        <v>6</v>
      </c>
      <c r="X30" s="165" t="s">
        <v>39</v>
      </c>
      <c r="Y30" s="167" t="s">
        <v>84</v>
      </c>
      <c r="Z30" s="167" t="s">
        <v>90</v>
      </c>
      <c r="AA30" s="167" t="s">
        <v>69</v>
      </c>
      <c r="AB30" s="165" t="s">
        <v>379</v>
      </c>
      <c r="AC30" s="171"/>
    </row>
    <row r="31" spans="1:48" x14ac:dyDescent="0.15">
      <c r="A31" s="165" t="s">
        <v>61</v>
      </c>
      <c r="B31" s="165" t="s">
        <v>234</v>
      </c>
      <c r="C31" s="165">
        <v>2018</v>
      </c>
      <c r="D31" s="166" t="s">
        <v>378</v>
      </c>
      <c r="E31" s="165" t="s">
        <v>369</v>
      </c>
      <c r="F31" s="165" t="s">
        <v>370</v>
      </c>
      <c r="G31" s="165" t="s">
        <v>42</v>
      </c>
      <c r="H31" s="167" t="s">
        <v>155</v>
      </c>
      <c r="I31" s="167" t="s">
        <v>153</v>
      </c>
      <c r="J31" s="165" t="s">
        <v>38</v>
      </c>
      <c r="K31" s="167" t="s">
        <v>154</v>
      </c>
      <c r="L31" s="167">
        <v>3</v>
      </c>
      <c r="M31" s="167"/>
      <c r="N31" s="167">
        <v>4</v>
      </c>
      <c r="O31" s="167">
        <v>0.75</v>
      </c>
      <c r="P31" s="167">
        <v>0.7</v>
      </c>
      <c r="Q31" s="168">
        <f t="shared" si="0"/>
        <v>0.72499999999999998</v>
      </c>
      <c r="R31" s="167">
        <v>15.8</v>
      </c>
      <c r="S31" s="167">
        <v>101</v>
      </c>
      <c r="T31" s="169">
        <f t="shared" si="1"/>
        <v>33</v>
      </c>
      <c r="U31" s="167">
        <v>321</v>
      </c>
      <c r="V31" s="170">
        <f t="shared" si="2"/>
        <v>2648.25</v>
      </c>
      <c r="W31" s="167">
        <v>6</v>
      </c>
      <c r="X31" s="165" t="s">
        <v>39</v>
      </c>
      <c r="Y31" s="167" t="s">
        <v>84</v>
      </c>
      <c r="Z31" s="167" t="s">
        <v>90</v>
      </c>
      <c r="AA31" s="167" t="s">
        <v>69</v>
      </c>
      <c r="AB31" s="165" t="s">
        <v>379</v>
      </c>
      <c r="AC31" s="171"/>
    </row>
    <row r="32" spans="1:48" x14ac:dyDescent="0.15">
      <c r="A32" s="165" t="s">
        <v>61</v>
      </c>
      <c r="B32" s="165" t="s">
        <v>234</v>
      </c>
      <c r="C32" s="165">
        <v>2018</v>
      </c>
      <c r="D32" s="166" t="s">
        <v>378</v>
      </c>
      <c r="E32" s="165" t="s">
        <v>133</v>
      </c>
      <c r="F32" s="165" t="s">
        <v>371</v>
      </c>
      <c r="G32" s="165" t="s">
        <v>42</v>
      </c>
      <c r="H32" s="167" t="s">
        <v>155</v>
      </c>
      <c r="I32" s="167" t="s">
        <v>153</v>
      </c>
      <c r="J32" s="165" t="s">
        <v>38</v>
      </c>
      <c r="K32" s="167" t="s">
        <v>154</v>
      </c>
      <c r="L32" s="167">
        <v>1</v>
      </c>
      <c r="M32" s="167"/>
      <c r="N32" s="167">
        <v>1</v>
      </c>
      <c r="O32" s="167">
        <v>0.9</v>
      </c>
      <c r="P32" s="167">
        <v>0.9</v>
      </c>
      <c r="Q32" s="168">
        <f t="shared" si="0"/>
        <v>0.9</v>
      </c>
      <c r="R32" s="167">
        <v>17.600000000000001</v>
      </c>
      <c r="S32" s="167">
        <v>132</v>
      </c>
      <c r="T32" s="169">
        <f t="shared" si="1"/>
        <v>25</v>
      </c>
      <c r="U32" s="167">
        <v>105</v>
      </c>
      <c r="V32" s="170">
        <f t="shared" si="2"/>
        <v>2625</v>
      </c>
      <c r="W32" s="167">
        <v>16</v>
      </c>
      <c r="X32" s="165" t="s">
        <v>46</v>
      </c>
      <c r="Y32" s="167" t="s">
        <v>90</v>
      </c>
      <c r="Z32" s="167" t="s">
        <v>84</v>
      </c>
      <c r="AA32" s="167" t="s">
        <v>69</v>
      </c>
      <c r="AB32" s="165" t="s">
        <v>379</v>
      </c>
      <c r="AC32" s="171"/>
    </row>
    <row r="33" spans="1:29" x14ac:dyDescent="0.15">
      <c r="A33" s="165" t="s">
        <v>61</v>
      </c>
      <c r="B33" s="165" t="s">
        <v>234</v>
      </c>
      <c r="C33" s="165">
        <v>2018</v>
      </c>
      <c r="D33" s="166" t="s">
        <v>378</v>
      </c>
      <c r="E33" s="165" t="s">
        <v>133</v>
      </c>
      <c r="F33" s="165" t="s">
        <v>371</v>
      </c>
      <c r="G33" s="165" t="s">
        <v>42</v>
      </c>
      <c r="H33" s="167" t="s">
        <v>155</v>
      </c>
      <c r="I33" s="167" t="s">
        <v>153</v>
      </c>
      <c r="J33" s="165" t="s">
        <v>38</v>
      </c>
      <c r="K33" s="167" t="s">
        <v>154</v>
      </c>
      <c r="L33" s="167">
        <v>2</v>
      </c>
      <c r="M33" s="167"/>
      <c r="N33" s="167">
        <v>1</v>
      </c>
      <c r="O33" s="167">
        <v>0.8</v>
      </c>
      <c r="P33" s="167">
        <v>0.7</v>
      </c>
      <c r="Q33" s="168">
        <f t="shared" si="0"/>
        <v>0.75</v>
      </c>
      <c r="R33" s="167">
        <v>17.5</v>
      </c>
      <c r="S33" s="167">
        <v>123</v>
      </c>
      <c r="T33" s="169">
        <f t="shared" si="1"/>
        <v>27</v>
      </c>
      <c r="U33" s="167">
        <v>105</v>
      </c>
      <c r="V33" s="170">
        <f t="shared" si="2"/>
        <v>2835</v>
      </c>
      <c r="W33" s="167">
        <v>16</v>
      </c>
      <c r="X33" s="165" t="s">
        <v>46</v>
      </c>
      <c r="Y33" s="167" t="s">
        <v>90</v>
      </c>
      <c r="Z33" s="167" t="s">
        <v>84</v>
      </c>
      <c r="AA33" s="167" t="s">
        <v>69</v>
      </c>
      <c r="AB33" s="165" t="s">
        <v>379</v>
      </c>
      <c r="AC33" s="171"/>
    </row>
    <row r="34" spans="1:29" x14ac:dyDescent="0.15">
      <c r="A34" s="165" t="s">
        <v>61</v>
      </c>
      <c r="B34" s="165" t="s">
        <v>234</v>
      </c>
      <c r="C34" s="165">
        <v>2018</v>
      </c>
      <c r="D34" s="166" t="s">
        <v>378</v>
      </c>
      <c r="E34" s="165" t="s">
        <v>133</v>
      </c>
      <c r="F34" s="165" t="s">
        <v>371</v>
      </c>
      <c r="G34" s="165" t="s">
        <v>42</v>
      </c>
      <c r="H34" s="167" t="s">
        <v>155</v>
      </c>
      <c r="I34" s="167" t="s">
        <v>153</v>
      </c>
      <c r="J34" s="165" t="s">
        <v>38</v>
      </c>
      <c r="K34" s="167" t="s">
        <v>154</v>
      </c>
      <c r="L34" s="167">
        <v>3</v>
      </c>
      <c r="M34" s="167"/>
      <c r="N34" s="167">
        <v>1</v>
      </c>
      <c r="O34" s="167">
        <v>0.7</v>
      </c>
      <c r="P34" s="167">
        <v>0.7</v>
      </c>
      <c r="Q34" s="168">
        <f t="shared" si="0"/>
        <v>0.7</v>
      </c>
      <c r="R34" s="167">
        <v>17</v>
      </c>
      <c r="S34" s="167">
        <v>124</v>
      </c>
      <c r="T34" s="169">
        <f t="shared" si="1"/>
        <v>27</v>
      </c>
      <c r="U34" s="167">
        <v>105</v>
      </c>
      <c r="V34" s="170">
        <f t="shared" si="2"/>
        <v>2835</v>
      </c>
      <c r="W34" s="167">
        <v>16</v>
      </c>
      <c r="X34" s="165" t="s">
        <v>46</v>
      </c>
      <c r="Y34" s="167" t="s">
        <v>90</v>
      </c>
      <c r="Z34" s="167" t="s">
        <v>84</v>
      </c>
      <c r="AA34" s="167" t="s">
        <v>69</v>
      </c>
      <c r="AB34" s="165" t="s">
        <v>379</v>
      </c>
      <c r="AC34" s="171"/>
    </row>
    <row r="35" spans="1:29" x14ac:dyDescent="0.15">
      <c r="A35" s="165" t="s">
        <v>61</v>
      </c>
      <c r="B35" s="165" t="s">
        <v>234</v>
      </c>
      <c r="C35" s="165">
        <v>2018</v>
      </c>
      <c r="D35" s="166" t="s">
        <v>378</v>
      </c>
      <c r="E35" s="165" t="s">
        <v>374</v>
      </c>
      <c r="F35" s="165" t="s">
        <v>375</v>
      </c>
      <c r="G35" s="165" t="s">
        <v>42</v>
      </c>
      <c r="H35" s="167" t="s">
        <v>155</v>
      </c>
      <c r="I35" s="167" t="s">
        <v>153</v>
      </c>
      <c r="J35" s="165" t="s">
        <v>38</v>
      </c>
      <c r="K35" s="167" t="s">
        <v>154</v>
      </c>
      <c r="L35" s="167">
        <v>1</v>
      </c>
      <c r="M35" s="167"/>
      <c r="N35" s="167">
        <v>4</v>
      </c>
      <c r="O35" s="167">
        <v>0.7</v>
      </c>
      <c r="P35" s="167">
        <v>0.65</v>
      </c>
      <c r="Q35" s="168">
        <f t="shared" si="0"/>
        <v>0.67500000000000004</v>
      </c>
      <c r="R35" s="167">
        <v>15.4</v>
      </c>
      <c r="S35" s="167">
        <v>103</v>
      </c>
      <c r="T35" s="169">
        <f t="shared" si="1"/>
        <v>33</v>
      </c>
      <c r="U35" s="167">
        <v>398</v>
      </c>
      <c r="V35" s="170">
        <f t="shared" si="2"/>
        <v>3283.5</v>
      </c>
      <c r="W35" s="167">
        <v>20</v>
      </c>
      <c r="X35" s="165" t="s">
        <v>46</v>
      </c>
      <c r="Y35" s="167" t="s">
        <v>90</v>
      </c>
      <c r="Z35" s="167" t="s">
        <v>84</v>
      </c>
      <c r="AA35" s="167" t="s">
        <v>69</v>
      </c>
      <c r="AB35" s="165" t="s">
        <v>379</v>
      </c>
      <c r="AC35" s="171"/>
    </row>
    <row r="36" spans="1:29" x14ac:dyDescent="0.15">
      <c r="A36" s="165" t="s">
        <v>61</v>
      </c>
      <c r="B36" s="165" t="s">
        <v>234</v>
      </c>
      <c r="C36" s="165">
        <v>2018</v>
      </c>
      <c r="D36" s="166" t="s">
        <v>378</v>
      </c>
      <c r="E36" s="165" t="s">
        <v>374</v>
      </c>
      <c r="F36" s="165" t="s">
        <v>375</v>
      </c>
      <c r="G36" s="165" t="s">
        <v>42</v>
      </c>
      <c r="H36" s="167" t="s">
        <v>155</v>
      </c>
      <c r="I36" s="167" t="s">
        <v>153</v>
      </c>
      <c r="J36" s="165" t="s">
        <v>38</v>
      </c>
      <c r="K36" s="167" t="s">
        <v>154</v>
      </c>
      <c r="L36" s="167">
        <v>2</v>
      </c>
      <c r="M36" s="167"/>
      <c r="N36" s="167">
        <v>4</v>
      </c>
      <c r="O36" s="167">
        <v>0.8</v>
      </c>
      <c r="P36" s="167">
        <v>0.8</v>
      </c>
      <c r="Q36" s="168">
        <f t="shared" si="0"/>
        <v>0.8</v>
      </c>
      <c r="R36" s="167">
        <v>16.399999999999999</v>
      </c>
      <c r="S36" s="167">
        <v>106</v>
      </c>
      <c r="T36" s="169">
        <f t="shared" si="1"/>
        <v>33</v>
      </c>
      <c r="U36" s="167">
        <v>398</v>
      </c>
      <c r="V36" s="170">
        <f t="shared" si="2"/>
        <v>3283.5</v>
      </c>
      <c r="W36" s="167">
        <v>20</v>
      </c>
      <c r="X36" s="165" t="s">
        <v>46</v>
      </c>
      <c r="Y36" s="167" t="s">
        <v>90</v>
      </c>
      <c r="Z36" s="167" t="s">
        <v>84</v>
      </c>
      <c r="AA36" s="167" t="s">
        <v>69</v>
      </c>
      <c r="AB36" s="165" t="s">
        <v>379</v>
      </c>
      <c r="AC36" s="171"/>
    </row>
    <row r="37" spans="1:29" x14ac:dyDescent="0.15">
      <c r="A37" s="165" t="s">
        <v>61</v>
      </c>
      <c r="B37" s="165" t="s">
        <v>234</v>
      </c>
      <c r="C37" s="165">
        <v>2018</v>
      </c>
      <c r="D37" s="166" t="s">
        <v>378</v>
      </c>
      <c r="E37" s="165" t="s">
        <v>374</v>
      </c>
      <c r="F37" s="165" t="s">
        <v>375</v>
      </c>
      <c r="G37" s="165" t="s">
        <v>42</v>
      </c>
      <c r="H37" s="167" t="s">
        <v>155</v>
      </c>
      <c r="I37" s="167" t="s">
        <v>153</v>
      </c>
      <c r="J37" s="165" t="s">
        <v>38</v>
      </c>
      <c r="K37" s="167" t="s">
        <v>154</v>
      </c>
      <c r="L37" s="167">
        <v>3</v>
      </c>
      <c r="M37" s="167"/>
      <c r="N37" s="167">
        <v>4</v>
      </c>
      <c r="O37" s="167">
        <v>0.85</v>
      </c>
      <c r="P37" s="167">
        <v>0.8</v>
      </c>
      <c r="Q37" s="168">
        <f t="shared" si="0"/>
        <v>0.82499999999999996</v>
      </c>
      <c r="R37" s="167">
        <v>16.399999999999999</v>
      </c>
      <c r="S37" s="167">
        <v>98</v>
      </c>
      <c r="T37" s="169">
        <f t="shared" si="1"/>
        <v>36</v>
      </c>
      <c r="U37" s="167">
        <v>398</v>
      </c>
      <c r="V37" s="170">
        <f t="shared" si="2"/>
        <v>3582</v>
      </c>
      <c r="W37" s="167">
        <v>20</v>
      </c>
      <c r="X37" s="165" t="s">
        <v>46</v>
      </c>
      <c r="Y37" s="167" t="s">
        <v>90</v>
      </c>
      <c r="Z37" s="167" t="s">
        <v>84</v>
      </c>
      <c r="AA37" s="167" t="s">
        <v>69</v>
      </c>
      <c r="AB37" s="165" t="s">
        <v>379</v>
      </c>
      <c r="AC37" s="171"/>
    </row>
    <row r="38" spans="1:29" x14ac:dyDescent="0.15">
      <c r="A38" s="165" t="s">
        <v>61</v>
      </c>
      <c r="B38" s="165" t="s">
        <v>234</v>
      </c>
      <c r="C38" s="165">
        <v>2018</v>
      </c>
      <c r="D38" s="166" t="s">
        <v>378</v>
      </c>
      <c r="E38" s="165" t="s">
        <v>374</v>
      </c>
      <c r="F38" s="165" t="s">
        <v>375</v>
      </c>
      <c r="G38" s="165" t="s">
        <v>42</v>
      </c>
      <c r="H38" s="167" t="s">
        <v>159</v>
      </c>
      <c r="I38" s="167" t="s">
        <v>153</v>
      </c>
      <c r="J38" s="165" t="s">
        <v>38</v>
      </c>
      <c r="K38" s="167" t="s">
        <v>154</v>
      </c>
      <c r="L38" s="167">
        <v>1</v>
      </c>
      <c r="M38" s="167"/>
      <c r="N38" s="167">
        <v>4</v>
      </c>
      <c r="O38" s="167">
        <v>0.6</v>
      </c>
      <c r="P38" s="167">
        <v>0.6</v>
      </c>
      <c r="Q38" s="168">
        <f t="shared" si="0"/>
        <v>0.6</v>
      </c>
      <c r="R38" s="167">
        <v>18.600000000000001</v>
      </c>
      <c r="S38" s="167">
        <v>96</v>
      </c>
      <c r="T38" s="169">
        <f t="shared" si="1"/>
        <v>36</v>
      </c>
      <c r="U38" s="167">
        <v>698</v>
      </c>
      <c r="V38" s="170">
        <f t="shared" si="2"/>
        <v>6282</v>
      </c>
      <c r="W38" s="167">
        <v>20</v>
      </c>
      <c r="X38" s="165" t="s">
        <v>46</v>
      </c>
      <c r="Y38" s="167" t="s">
        <v>90</v>
      </c>
      <c r="Z38" s="167" t="s">
        <v>84</v>
      </c>
      <c r="AA38" s="167" t="s">
        <v>69</v>
      </c>
      <c r="AB38" s="165" t="s">
        <v>379</v>
      </c>
      <c r="AC38" s="171"/>
    </row>
    <row r="39" spans="1:29" x14ac:dyDescent="0.15">
      <c r="A39" s="165" t="s">
        <v>61</v>
      </c>
      <c r="B39" s="165" t="s">
        <v>234</v>
      </c>
      <c r="C39" s="165">
        <v>2018</v>
      </c>
      <c r="D39" s="166" t="s">
        <v>378</v>
      </c>
      <c r="E39" s="165" t="s">
        <v>374</v>
      </c>
      <c r="F39" s="165" t="s">
        <v>375</v>
      </c>
      <c r="G39" s="165" t="s">
        <v>42</v>
      </c>
      <c r="H39" s="167" t="s">
        <v>159</v>
      </c>
      <c r="I39" s="167" t="s">
        <v>153</v>
      </c>
      <c r="J39" s="165" t="s">
        <v>38</v>
      </c>
      <c r="K39" s="167" t="s">
        <v>154</v>
      </c>
      <c r="L39" s="167">
        <v>2</v>
      </c>
      <c r="M39" s="167"/>
      <c r="N39" s="167">
        <v>4</v>
      </c>
      <c r="O39" s="167">
        <v>0.5</v>
      </c>
      <c r="P39" s="167">
        <v>0.5</v>
      </c>
      <c r="Q39" s="168">
        <f t="shared" si="0"/>
        <v>0.5</v>
      </c>
      <c r="R39" s="167">
        <v>17.8</v>
      </c>
      <c r="S39" s="167">
        <v>95</v>
      </c>
      <c r="T39" s="169">
        <f t="shared" si="1"/>
        <v>36</v>
      </c>
      <c r="U39" s="167">
        <v>698</v>
      </c>
      <c r="V39" s="170">
        <f t="shared" si="2"/>
        <v>6282</v>
      </c>
      <c r="W39" s="167">
        <v>20</v>
      </c>
      <c r="X39" s="165" t="s">
        <v>46</v>
      </c>
      <c r="Y39" s="167" t="s">
        <v>90</v>
      </c>
      <c r="Z39" s="167" t="s">
        <v>84</v>
      </c>
      <c r="AA39" s="167" t="s">
        <v>69</v>
      </c>
      <c r="AB39" s="165" t="s">
        <v>379</v>
      </c>
      <c r="AC39" s="171"/>
    </row>
    <row r="40" spans="1:29" x14ac:dyDescent="0.15">
      <c r="A40" s="165" t="s">
        <v>61</v>
      </c>
      <c r="B40" s="165" t="s">
        <v>234</v>
      </c>
      <c r="C40" s="165">
        <v>2018</v>
      </c>
      <c r="D40" s="166" t="s">
        <v>378</v>
      </c>
      <c r="E40" s="165" t="s">
        <v>374</v>
      </c>
      <c r="F40" s="165" t="s">
        <v>375</v>
      </c>
      <c r="G40" s="165" t="s">
        <v>42</v>
      </c>
      <c r="H40" s="167" t="s">
        <v>159</v>
      </c>
      <c r="I40" s="167" t="s">
        <v>153</v>
      </c>
      <c r="J40" s="165" t="s">
        <v>38</v>
      </c>
      <c r="K40" s="167" t="s">
        <v>154</v>
      </c>
      <c r="L40" s="167">
        <v>3</v>
      </c>
      <c r="M40" s="167"/>
      <c r="N40" s="167">
        <v>4</v>
      </c>
      <c r="O40" s="167">
        <v>0.55000000000000004</v>
      </c>
      <c r="P40" s="167">
        <v>0.5</v>
      </c>
      <c r="Q40" s="168">
        <f t="shared" si="0"/>
        <v>0.52500000000000002</v>
      </c>
      <c r="R40" s="167">
        <v>18.100000000000001</v>
      </c>
      <c r="S40" s="167">
        <v>95</v>
      </c>
      <c r="T40" s="169">
        <f t="shared" si="1"/>
        <v>36</v>
      </c>
      <c r="U40" s="167">
        <v>698</v>
      </c>
      <c r="V40" s="170">
        <f t="shared" si="2"/>
        <v>6282</v>
      </c>
      <c r="W40" s="167">
        <v>20</v>
      </c>
      <c r="X40" s="165" t="s">
        <v>46</v>
      </c>
      <c r="Y40" s="167" t="s">
        <v>90</v>
      </c>
      <c r="Z40" s="167" t="s">
        <v>84</v>
      </c>
      <c r="AA40" s="167" t="s">
        <v>69</v>
      </c>
      <c r="AB40" s="165" t="s">
        <v>379</v>
      </c>
      <c r="AC40" s="171"/>
    </row>
    <row r="41" spans="1:29" x14ac:dyDescent="0.15">
      <c r="A41" s="165" t="s">
        <v>61</v>
      </c>
      <c r="B41" s="165" t="s">
        <v>234</v>
      </c>
      <c r="C41" s="165">
        <v>2018</v>
      </c>
      <c r="D41" s="166" t="s">
        <v>378</v>
      </c>
      <c r="E41" s="165" t="s">
        <v>376</v>
      </c>
      <c r="F41" s="165" t="s">
        <v>375</v>
      </c>
      <c r="G41" s="165" t="s">
        <v>42</v>
      </c>
      <c r="H41" s="167" t="s">
        <v>155</v>
      </c>
      <c r="I41" s="167" t="s">
        <v>153</v>
      </c>
      <c r="J41" s="165" t="s">
        <v>38</v>
      </c>
      <c r="K41" s="167" t="s">
        <v>154</v>
      </c>
      <c r="L41" s="167">
        <v>1</v>
      </c>
      <c r="M41" s="167"/>
      <c r="N41" s="167">
        <v>4</v>
      </c>
      <c r="O41" s="167">
        <v>1</v>
      </c>
      <c r="P41" s="167">
        <v>1</v>
      </c>
      <c r="Q41" s="168">
        <f t="shared" si="0"/>
        <v>1</v>
      </c>
      <c r="R41" s="167">
        <v>16.899999999999999</v>
      </c>
      <c r="S41" s="167">
        <v>99</v>
      </c>
      <c r="T41" s="169">
        <f t="shared" si="1"/>
        <v>33</v>
      </c>
      <c r="U41" s="167">
        <v>429</v>
      </c>
      <c r="V41" s="170">
        <f t="shared" si="2"/>
        <v>3539.25</v>
      </c>
      <c r="W41" s="167">
        <v>10</v>
      </c>
      <c r="X41" s="165" t="s">
        <v>46</v>
      </c>
      <c r="Y41" s="167" t="s">
        <v>90</v>
      </c>
      <c r="Z41" s="167" t="s">
        <v>84</v>
      </c>
      <c r="AA41" s="167" t="s">
        <v>78</v>
      </c>
      <c r="AB41" s="165" t="s">
        <v>379</v>
      </c>
      <c r="AC41" s="171"/>
    </row>
    <row r="42" spans="1:29" x14ac:dyDescent="0.15">
      <c r="A42" s="165" t="s">
        <v>61</v>
      </c>
      <c r="B42" s="165" t="s">
        <v>234</v>
      </c>
      <c r="C42" s="165">
        <v>2018</v>
      </c>
      <c r="D42" s="166" t="s">
        <v>378</v>
      </c>
      <c r="E42" s="165" t="s">
        <v>376</v>
      </c>
      <c r="F42" s="165" t="s">
        <v>375</v>
      </c>
      <c r="G42" s="165" t="s">
        <v>42</v>
      </c>
      <c r="H42" s="167" t="s">
        <v>155</v>
      </c>
      <c r="I42" s="167" t="s">
        <v>153</v>
      </c>
      <c r="J42" s="165" t="s">
        <v>38</v>
      </c>
      <c r="K42" s="167" t="s">
        <v>154</v>
      </c>
      <c r="L42" s="167">
        <v>2</v>
      </c>
      <c r="M42" s="167"/>
      <c r="N42" s="167">
        <v>4</v>
      </c>
      <c r="O42" s="167">
        <v>0.8</v>
      </c>
      <c r="P42" s="167">
        <v>0.85</v>
      </c>
      <c r="Q42" s="168">
        <f t="shared" si="0"/>
        <v>0.82499999999999996</v>
      </c>
      <c r="R42" s="167">
        <v>17.100000000000001</v>
      </c>
      <c r="S42" s="167">
        <v>96</v>
      </c>
      <c r="T42" s="169">
        <f t="shared" si="1"/>
        <v>36</v>
      </c>
      <c r="U42" s="167">
        <v>429</v>
      </c>
      <c r="V42" s="170">
        <f t="shared" si="2"/>
        <v>3861</v>
      </c>
      <c r="W42" s="167">
        <v>10</v>
      </c>
      <c r="X42" s="165" t="s">
        <v>46</v>
      </c>
      <c r="Y42" s="167" t="s">
        <v>90</v>
      </c>
      <c r="Z42" s="167" t="s">
        <v>84</v>
      </c>
      <c r="AA42" s="167" t="s">
        <v>78</v>
      </c>
      <c r="AB42" s="165" t="s">
        <v>379</v>
      </c>
      <c r="AC42" s="171"/>
    </row>
    <row r="43" spans="1:29" x14ac:dyDescent="0.15">
      <c r="A43" s="165" t="s">
        <v>61</v>
      </c>
      <c r="B43" s="165" t="s">
        <v>234</v>
      </c>
      <c r="C43" s="165">
        <v>2018</v>
      </c>
      <c r="D43" s="166" t="s">
        <v>378</v>
      </c>
      <c r="E43" s="165" t="s">
        <v>376</v>
      </c>
      <c r="F43" s="165" t="s">
        <v>375</v>
      </c>
      <c r="G43" s="165" t="s">
        <v>42</v>
      </c>
      <c r="H43" s="167" t="s">
        <v>155</v>
      </c>
      <c r="I43" s="167" t="s">
        <v>153</v>
      </c>
      <c r="J43" s="165" t="s">
        <v>38</v>
      </c>
      <c r="K43" s="167" t="s">
        <v>154</v>
      </c>
      <c r="L43" s="167">
        <v>3</v>
      </c>
      <c r="M43" s="167"/>
      <c r="N43" s="167">
        <v>4</v>
      </c>
      <c r="O43" s="167">
        <v>0.7</v>
      </c>
      <c r="P43" s="167">
        <v>0.7</v>
      </c>
      <c r="Q43" s="168">
        <f t="shared" si="0"/>
        <v>0.7</v>
      </c>
      <c r="R43" s="167">
        <v>17.399999999999999</v>
      </c>
      <c r="S43" s="167">
        <v>106</v>
      </c>
      <c r="T43" s="169">
        <f t="shared" si="1"/>
        <v>33</v>
      </c>
      <c r="U43" s="167">
        <v>429</v>
      </c>
      <c r="V43" s="170">
        <f t="shared" si="2"/>
        <v>3539.25</v>
      </c>
      <c r="W43" s="167">
        <v>10</v>
      </c>
      <c r="X43" s="165" t="s">
        <v>46</v>
      </c>
      <c r="Y43" s="167" t="s">
        <v>90</v>
      </c>
      <c r="Z43" s="167" t="s">
        <v>84</v>
      </c>
      <c r="AA43" s="167" t="s">
        <v>78</v>
      </c>
      <c r="AB43" s="165" t="s">
        <v>379</v>
      </c>
      <c r="AC43" s="171"/>
    </row>
    <row r="44" spans="1:29" x14ac:dyDescent="0.15">
      <c r="A44" s="165" t="s">
        <v>61</v>
      </c>
      <c r="B44" s="165" t="s">
        <v>234</v>
      </c>
      <c r="C44" s="165">
        <v>2018</v>
      </c>
      <c r="D44" s="166" t="s">
        <v>378</v>
      </c>
      <c r="E44" s="165" t="s">
        <v>376</v>
      </c>
      <c r="F44" s="165" t="s">
        <v>375</v>
      </c>
      <c r="G44" s="165" t="s">
        <v>42</v>
      </c>
      <c r="H44" s="167" t="s">
        <v>159</v>
      </c>
      <c r="I44" s="167" t="s">
        <v>153</v>
      </c>
      <c r="J44" s="165" t="s">
        <v>38</v>
      </c>
      <c r="K44" s="167" t="s">
        <v>166</v>
      </c>
      <c r="L44" s="167">
        <v>1</v>
      </c>
      <c r="M44" s="167"/>
      <c r="N44" s="167">
        <v>4</v>
      </c>
      <c r="O44" s="167">
        <v>0.5</v>
      </c>
      <c r="P44" s="167">
        <v>0.5</v>
      </c>
      <c r="Q44" s="168">
        <f t="shared" si="0"/>
        <v>0.5</v>
      </c>
      <c r="R44" s="167">
        <v>18.7</v>
      </c>
      <c r="S44" s="167">
        <v>106</v>
      </c>
      <c r="T44" s="169">
        <f t="shared" si="1"/>
        <v>33</v>
      </c>
      <c r="U44" s="167">
        <v>537</v>
      </c>
      <c r="V44" s="170">
        <f t="shared" si="2"/>
        <v>4430.25</v>
      </c>
      <c r="W44" s="167">
        <v>10</v>
      </c>
      <c r="X44" s="165" t="s">
        <v>46</v>
      </c>
      <c r="Y44" s="167" t="s">
        <v>90</v>
      </c>
      <c r="Z44" s="167" t="s">
        <v>84</v>
      </c>
      <c r="AA44" s="167" t="s">
        <v>78</v>
      </c>
      <c r="AB44" s="165" t="s">
        <v>379</v>
      </c>
      <c r="AC44" s="171"/>
    </row>
    <row r="45" spans="1:29" x14ac:dyDescent="0.15">
      <c r="A45" s="165" t="s">
        <v>61</v>
      </c>
      <c r="B45" s="165" t="s">
        <v>234</v>
      </c>
      <c r="C45" s="165">
        <v>2018</v>
      </c>
      <c r="D45" s="166" t="s">
        <v>378</v>
      </c>
      <c r="E45" s="165" t="s">
        <v>376</v>
      </c>
      <c r="F45" s="165" t="s">
        <v>375</v>
      </c>
      <c r="G45" s="165" t="s">
        <v>42</v>
      </c>
      <c r="H45" s="167" t="s">
        <v>159</v>
      </c>
      <c r="I45" s="167" t="s">
        <v>153</v>
      </c>
      <c r="J45" s="165" t="s">
        <v>38</v>
      </c>
      <c r="K45" s="167" t="s">
        <v>166</v>
      </c>
      <c r="L45" s="167">
        <v>2</v>
      </c>
      <c r="M45" s="167"/>
      <c r="N45" s="167">
        <v>4</v>
      </c>
      <c r="O45" s="167">
        <v>0.5</v>
      </c>
      <c r="P45" s="167">
        <v>0.5</v>
      </c>
      <c r="Q45" s="168">
        <f t="shared" si="0"/>
        <v>0.5</v>
      </c>
      <c r="R45" s="167">
        <v>18.399999999999999</v>
      </c>
      <c r="S45" s="167">
        <v>98</v>
      </c>
      <c r="T45" s="169">
        <f t="shared" si="1"/>
        <v>36</v>
      </c>
      <c r="U45" s="167">
        <v>537</v>
      </c>
      <c r="V45" s="170">
        <f t="shared" si="2"/>
        <v>4833</v>
      </c>
      <c r="W45" s="167">
        <v>10</v>
      </c>
      <c r="X45" s="165" t="s">
        <v>46</v>
      </c>
      <c r="Y45" s="167" t="s">
        <v>90</v>
      </c>
      <c r="Z45" s="167" t="s">
        <v>84</v>
      </c>
      <c r="AA45" s="167" t="s">
        <v>78</v>
      </c>
      <c r="AB45" s="165" t="s">
        <v>379</v>
      </c>
      <c r="AC45" s="171"/>
    </row>
    <row r="46" spans="1:29" x14ac:dyDescent="0.15">
      <c r="A46" s="165" t="s">
        <v>61</v>
      </c>
      <c r="B46" s="165" t="s">
        <v>234</v>
      </c>
      <c r="C46" s="165">
        <v>2018</v>
      </c>
      <c r="D46" s="166" t="s">
        <v>378</v>
      </c>
      <c r="E46" s="165" t="s">
        <v>376</v>
      </c>
      <c r="F46" s="165" t="s">
        <v>375</v>
      </c>
      <c r="G46" s="165" t="s">
        <v>42</v>
      </c>
      <c r="H46" s="167" t="s">
        <v>159</v>
      </c>
      <c r="I46" s="167" t="s">
        <v>153</v>
      </c>
      <c r="J46" s="165" t="s">
        <v>38</v>
      </c>
      <c r="K46" s="167" t="s">
        <v>166</v>
      </c>
      <c r="L46" s="167">
        <v>3</v>
      </c>
      <c r="M46" s="167"/>
      <c r="N46" s="167">
        <v>4</v>
      </c>
      <c r="O46" s="167">
        <v>0.55000000000000004</v>
      </c>
      <c r="P46" s="167">
        <v>0.5</v>
      </c>
      <c r="Q46" s="168">
        <f t="shared" si="0"/>
        <v>0.52500000000000002</v>
      </c>
      <c r="R46" s="167">
        <v>18.399999999999999</v>
      </c>
      <c r="S46" s="167">
        <v>103</v>
      </c>
      <c r="T46" s="169">
        <f t="shared" si="1"/>
        <v>33</v>
      </c>
      <c r="U46" s="167">
        <v>537</v>
      </c>
      <c r="V46" s="170">
        <f t="shared" si="2"/>
        <v>4430.25</v>
      </c>
      <c r="W46" s="167">
        <v>10</v>
      </c>
      <c r="X46" s="165" t="s">
        <v>46</v>
      </c>
      <c r="Y46" s="167" t="s">
        <v>90</v>
      </c>
      <c r="Z46" s="167" t="s">
        <v>84</v>
      </c>
      <c r="AA46" s="167" t="s">
        <v>78</v>
      </c>
      <c r="AB46" s="165" t="s">
        <v>379</v>
      </c>
      <c r="AC46" s="171"/>
    </row>
    <row r="47" spans="1:29" x14ac:dyDescent="0.15">
      <c r="A47" s="165" t="s">
        <v>61</v>
      </c>
      <c r="B47" s="165" t="s">
        <v>234</v>
      </c>
      <c r="C47" s="165">
        <v>2018</v>
      </c>
      <c r="D47" s="166" t="s">
        <v>378</v>
      </c>
      <c r="E47" s="165" t="s">
        <v>376</v>
      </c>
      <c r="F47" s="165" t="s">
        <v>375</v>
      </c>
      <c r="G47" s="165" t="s">
        <v>42</v>
      </c>
      <c r="H47" s="167" t="s">
        <v>128</v>
      </c>
      <c r="I47" s="167" t="s">
        <v>153</v>
      </c>
      <c r="J47" s="165" t="s">
        <v>80</v>
      </c>
      <c r="K47" s="167" t="s">
        <v>45</v>
      </c>
      <c r="L47" s="167">
        <v>1</v>
      </c>
      <c r="M47" s="167"/>
      <c r="N47" s="167">
        <v>5</v>
      </c>
      <c r="O47" s="167">
        <v>0.7</v>
      </c>
      <c r="P47" s="167">
        <v>0.75</v>
      </c>
      <c r="Q47" s="168">
        <f t="shared" si="0"/>
        <v>0.72499999999999998</v>
      </c>
      <c r="R47" s="167">
        <v>18.399999999999999</v>
      </c>
      <c r="S47" s="167">
        <v>96</v>
      </c>
      <c r="T47" s="169">
        <f t="shared" si="1"/>
        <v>36</v>
      </c>
      <c r="U47" s="167">
        <v>537</v>
      </c>
      <c r="V47" s="170">
        <f t="shared" si="2"/>
        <v>3866.4</v>
      </c>
      <c r="W47" s="167">
        <v>10</v>
      </c>
      <c r="X47" s="165" t="s">
        <v>46</v>
      </c>
      <c r="Y47" s="167" t="s">
        <v>90</v>
      </c>
      <c r="Z47" s="167" t="s">
        <v>84</v>
      </c>
      <c r="AA47" s="167" t="s">
        <v>78</v>
      </c>
      <c r="AB47" s="165" t="s">
        <v>379</v>
      </c>
      <c r="AC47" s="171"/>
    </row>
    <row r="48" spans="1:29" x14ac:dyDescent="0.15">
      <c r="A48" s="165" t="s">
        <v>61</v>
      </c>
      <c r="B48" s="165" t="s">
        <v>234</v>
      </c>
      <c r="C48" s="165">
        <v>2018</v>
      </c>
      <c r="D48" s="166" t="s">
        <v>378</v>
      </c>
      <c r="E48" s="165" t="s">
        <v>376</v>
      </c>
      <c r="F48" s="165" t="s">
        <v>375</v>
      </c>
      <c r="G48" s="165" t="s">
        <v>42</v>
      </c>
      <c r="H48" s="167" t="s">
        <v>128</v>
      </c>
      <c r="I48" s="167" t="s">
        <v>153</v>
      </c>
      <c r="J48" s="165" t="s">
        <v>80</v>
      </c>
      <c r="K48" s="167" t="s">
        <v>45</v>
      </c>
      <c r="L48" s="167">
        <v>2</v>
      </c>
      <c r="M48" s="167"/>
      <c r="N48" s="167">
        <v>5</v>
      </c>
      <c r="O48" s="167">
        <v>0.7</v>
      </c>
      <c r="P48" s="167">
        <v>0.7</v>
      </c>
      <c r="Q48" s="168">
        <f t="shared" si="0"/>
        <v>0.7</v>
      </c>
      <c r="R48" s="167">
        <v>17.8</v>
      </c>
      <c r="S48" s="167">
        <v>91</v>
      </c>
      <c r="T48" s="169">
        <f t="shared" si="1"/>
        <v>36</v>
      </c>
      <c r="U48" s="167">
        <v>537</v>
      </c>
      <c r="V48" s="170">
        <f t="shared" si="2"/>
        <v>3866.4</v>
      </c>
      <c r="W48" s="167">
        <v>10</v>
      </c>
      <c r="X48" s="165" t="s">
        <v>46</v>
      </c>
      <c r="Y48" s="167" t="s">
        <v>90</v>
      </c>
      <c r="Z48" s="167" t="s">
        <v>84</v>
      </c>
      <c r="AA48" s="167" t="s">
        <v>78</v>
      </c>
      <c r="AB48" s="165" t="s">
        <v>379</v>
      </c>
      <c r="AC48" s="171"/>
    </row>
    <row r="49" spans="1:29" x14ac:dyDescent="0.15">
      <c r="A49" s="165" t="s">
        <v>61</v>
      </c>
      <c r="B49" s="165" t="s">
        <v>234</v>
      </c>
      <c r="C49" s="165">
        <v>2018</v>
      </c>
      <c r="D49" s="166" t="s">
        <v>378</v>
      </c>
      <c r="E49" s="165" t="s">
        <v>376</v>
      </c>
      <c r="F49" s="165" t="s">
        <v>375</v>
      </c>
      <c r="G49" s="165" t="s">
        <v>42</v>
      </c>
      <c r="H49" s="167" t="s">
        <v>128</v>
      </c>
      <c r="I49" s="167" t="s">
        <v>153</v>
      </c>
      <c r="J49" s="165" t="s">
        <v>80</v>
      </c>
      <c r="K49" s="167" t="s">
        <v>45</v>
      </c>
      <c r="L49" s="167">
        <v>3</v>
      </c>
      <c r="M49" s="167"/>
      <c r="N49" s="167">
        <v>5</v>
      </c>
      <c r="O49" s="167">
        <v>0.8</v>
      </c>
      <c r="P49" s="167">
        <v>0.8</v>
      </c>
      <c r="Q49" s="168">
        <f t="shared" si="0"/>
        <v>0.8</v>
      </c>
      <c r="R49" s="167">
        <v>18.100000000000001</v>
      </c>
      <c r="S49" s="167">
        <v>81</v>
      </c>
      <c r="T49" s="169">
        <f t="shared" si="1"/>
        <v>39</v>
      </c>
      <c r="U49" s="167">
        <v>537</v>
      </c>
      <c r="V49" s="170">
        <f t="shared" si="2"/>
        <v>4188.6000000000004</v>
      </c>
      <c r="W49" s="167">
        <v>10</v>
      </c>
      <c r="X49" s="165" t="s">
        <v>46</v>
      </c>
      <c r="Y49" s="167" t="s">
        <v>90</v>
      </c>
      <c r="Z49" s="167" t="s">
        <v>84</v>
      </c>
      <c r="AA49" s="167" t="s">
        <v>78</v>
      </c>
      <c r="AB49" s="165" t="s">
        <v>379</v>
      </c>
      <c r="AC49" s="171"/>
    </row>
    <row r="50" spans="1:29" x14ac:dyDescent="0.15">
      <c r="A50" s="165"/>
      <c r="B50" s="165"/>
      <c r="C50" s="165"/>
      <c r="D50" s="166"/>
      <c r="E50" s="165"/>
      <c r="F50" s="165"/>
      <c r="G50" s="165"/>
      <c r="H50" s="167"/>
      <c r="I50" s="167"/>
      <c r="J50" s="165"/>
      <c r="K50" s="167"/>
      <c r="L50" s="167"/>
      <c r="M50" s="167"/>
      <c r="N50" s="167"/>
      <c r="O50" s="167"/>
      <c r="P50" s="167"/>
      <c r="Q50" s="168" t="str">
        <f t="shared" si="0"/>
        <v/>
      </c>
      <c r="R50" s="167"/>
      <c r="S50" s="167"/>
      <c r="T50" s="169" t="str">
        <f t="shared" si="1"/>
        <v/>
      </c>
      <c r="U50" s="167"/>
      <c r="V50" s="170" t="str">
        <f t="shared" si="2"/>
        <v/>
      </c>
      <c r="W50" s="167"/>
      <c r="X50" s="165"/>
      <c r="Y50" s="167"/>
      <c r="Z50" s="167"/>
      <c r="AA50" s="167"/>
      <c r="AB50" s="165"/>
      <c r="AC50" s="171"/>
    </row>
    <row r="51" spans="1:29" x14ac:dyDescent="0.15">
      <c r="A51" s="165"/>
      <c r="B51" s="165"/>
      <c r="C51" s="165"/>
      <c r="D51" s="166"/>
      <c r="E51" s="165"/>
      <c r="F51" s="165"/>
      <c r="G51" s="165"/>
      <c r="H51" s="167"/>
      <c r="I51" s="167"/>
      <c r="J51" s="165"/>
      <c r="K51" s="167"/>
      <c r="L51" s="167"/>
      <c r="M51" s="167"/>
      <c r="N51" s="167"/>
      <c r="O51" s="167"/>
      <c r="P51" s="167"/>
      <c r="Q51" s="168" t="str">
        <f t="shared" si="0"/>
        <v/>
      </c>
      <c r="R51" s="167"/>
      <c r="S51" s="167"/>
      <c r="T51" s="169" t="str">
        <f t="shared" si="1"/>
        <v/>
      </c>
      <c r="U51" s="167"/>
      <c r="V51" s="170" t="str">
        <f t="shared" si="2"/>
        <v/>
      </c>
      <c r="W51" s="167"/>
      <c r="X51" s="165"/>
      <c r="Y51" s="167"/>
      <c r="Z51" s="167"/>
      <c r="AA51" s="167"/>
      <c r="AB51" s="165"/>
      <c r="AC51" s="171"/>
    </row>
    <row r="52" spans="1:29" x14ac:dyDescent="0.15">
      <c r="A52" s="165"/>
      <c r="B52" s="165"/>
      <c r="C52" s="165"/>
      <c r="D52" s="166"/>
      <c r="E52" s="165"/>
      <c r="F52" s="165"/>
      <c r="G52" s="165"/>
      <c r="H52" s="167"/>
      <c r="I52" s="167"/>
      <c r="J52" s="165"/>
      <c r="K52" s="167"/>
      <c r="L52" s="167"/>
      <c r="M52" s="167"/>
      <c r="N52" s="167"/>
      <c r="O52" s="167"/>
      <c r="P52" s="167"/>
      <c r="Q52" s="168" t="str">
        <f t="shared" si="0"/>
        <v/>
      </c>
      <c r="R52" s="167"/>
      <c r="S52" s="167"/>
      <c r="T52" s="169" t="str">
        <f t="shared" si="1"/>
        <v/>
      </c>
      <c r="U52" s="167"/>
      <c r="V52" s="170" t="str">
        <f t="shared" si="2"/>
        <v/>
      </c>
      <c r="W52" s="167"/>
      <c r="X52" s="165"/>
      <c r="Y52" s="167"/>
      <c r="Z52" s="167"/>
      <c r="AA52" s="167"/>
      <c r="AB52" s="165"/>
      <c r="AC52" s="171"/>
    </row>
    <row r="53" spans="1:29" x14ac:dyDescent="0.15">
      <c r="A53" s="165"/>
      <c r="B53" s="165"/>
      <c r="C53" s="165"/>
      <c r="D53" s="166"/>
      <c r="E53" s="165"/>
      <c r="F53" s="165"/>
      <c r="G53" s="165"/>
      <c r="H53" s="167"/>
      <c r="I53" s="167"/>
      <c r="J53" s="165"/>
      <c r="K53" s="167"/>
      <c r="L53" s="167"/>
      <c r="M53" s="167"/>
      <c r="N53" s="167"/>
      <c r="O53" s="167"/>
      <c r="P53" s="167"/>
      <c r="Q53" s="168" t="str">
        <f t="shared" si="0"/>
        <v/>
      </c>
      <c r="R53" s="167"/>
      <c r="S53" s="167"/>
      <c r="T53" s="169" t="str">
        <f t="shared" si="1"/>
        <v/>
      </c>
      <c r="U53" s="167"/>
      <c r="V53" s="170" t="str">
        <f t="shared" si="2"/>
        <v/>
      </c>
      <c r="W53" s="167"/>
      <c r="X53" s="165"/>
      <c r="Y53" s="167"/>
      <c r="Z53" s="167"/>
      <c r="AA53" s="167"/>
      <c r="AB53" s="165"/>
      <c r="AC53" s="167"/>
    </row>
    <row r="54" spans="1:29" x14ac:dyDescent="0.15">
      <c r="A54" s="165"/>
      <c r="B54" s="165"/>
      <c r="C54" s="165"/>
      <c r="D54" s="166"/>
      <c r="E54" s="165"/>
      <c r="F54" s="165"/>
      <c r="G54" s="165"/>
      <c r="H54" s="167"/>
      <c r="I54" s="167"/>
      <c r="J54" s="165"/>
      <c r="K54" s="167"/>
      <c r="L54" s="167"/>
      <c r="M54" s="167"/>
      <c r="N54" s="167"/>
      <c r="O54" s="167"/>
      <c r="P54" s="167"/>
      <c r="Q54" s="168" t="str">
        <f t="shared" si="0"/>
        <v/>
      </c>
      <c r="R54" s="167"/>
      <c r="S54" s="167"/>
      <c r="T54" s="169" t="str">
        <f t="shared" si="1"/>
        <v/>
      </c>
      <c r="U54" s="167"/>
      <c r="V54" s="170" t="str">
        <f t="shared" si="2"/>
        <v/>
      </c>
      <c r="W54" s="167"/>
      <c r="X54" s="165"/>
      <c r="Y54" s="167"/>
      <c r="Z54" s="167"/>
      <c r="AA54" s="167"/>
      <c r="AB54" s="165"/>
      <c r="AC54" s="167"/>
    </row>
    <row r="55" spans="1:29" x14ac:dyDescent="0.15">
      <c r="A55" s="165"/>
      <c r="B55" s="165"/>
      <c r="C55" s="165"/>
      <c r="D55" s="166"/>
      <c r="E55" s="165"/>
      <c r="F55" s="165"/>
      <c r="G55" s="165"/>
      <c r="H55" s="167"/>
      <c r="I55" s="167"/>
      <c r="J55" s="165"/>
      <c r="K55" s="167"/>
      <c r="L55" s="167"/>
      <c r="M55" s="167"/>
      <c r="N55" s="167"/>
      <c r="O55" s="167"/>
      <c r="P55" s="167"/>
      <c r="Q55" s="168" t="str">
        <f t="shared" si="0"/>
        <v/>
      </c>
      <c r="R55" s="167"/>
      <c r="S55" s="167"/>
      <c r="T55" s="169" t="str">
        <f t="shared" si="1"/>
        <v/>
      </c>
      <c r="U55" s="167"/>
      <c r="V55" s="170" t="str">
        <f t="shared" si="2"/>
        <v/>
      </c>
      <c r="W55" s="167"/>
      <c r="X55" s="165"/>
      <c r="Y55" s="167"/>
      <c r="Z55" s="167"/>
      <c r="AA55" s="167"/>
      <c r="AB55" s="165"/>
      <c r="AC55" s="167"/>
    </row>
    <row r="56" spans="1:29" x14ac:dyDescent="0.15">
      <c r="A56" s="165"/>
      <c r="B56" s="165"/>
      <c r="C56" s="165"/>
      <c r="D56" s="166"/>
      <c r="E56" s="165"/>
      <c r="F56" s="165"/>
      <c r="G56" s="165"/>
      <c r="H56" s="167"/>
      <c r="I56" s="167"/>
      <c r="J56" s="165"/>
      <c r="K56" s="167"/>
      <c r="L56" s="167"/>
      <c r="M56" s="167"/>
      <c r="N56" s="167"/>
      <c r="O56" s="167"/>
      <c r="P56" s="167"/>
      <c r="Q56" s="168" t="str">
        <f t="shared" si="0"/>
        <v/>
      </c>
      <c r="R56" s="167"/>
      <c r="S56" s="167"/>
      <c r="T56" s="169" t="str">
        <f t="shared" si="1"/>
        <v/>
      </c>
      <c r="U56" s="167"/>
      <c r="V56" s="170" t="str">
        <f t="shared" si="2"/>
        <v/>
      </c>
      <c r="W56" s="167"/>
      <c r="X56" s="165"/>
      <c r="Y56" s="167"/>
      <c r="Z56" s="167"/>
      <c r="AA56" s="167"/>
      <c r="AB56" s="165"/>
      <c r="AC56" s="167"/>
    </row>
    <row r="57" spans="1:29" x14ac:dyDescent="0.15">
      <c r="A57" s="165"/>
      <c r="B57" s="165"/>
      <c r="C57" s="165"/>
      <c r="D57" s="166"/>
      <c r="E57" s="165"/>
      <c r="F57" s="165"/>
      <c r="G57" s="165"/>
      <c r="H57" s="167"/>
      <c r="I57" s="167"/>
      <c r="J57" s="165"/>
      <c r="K57" s="167"/>
      <c r="L57" s="167"/>
      <c r="M57" s="167"/>
      <c r="N57" s="167"/>
      <c r="O57" s="167"/>
      <c r="P57" s="167"/>
      <c r="Q57" s="168" t="str">
        <f t="shared" si="0"/>
        <v/>
      </c>
      <c r="R57" s="167"/>
      <c r="S57" s="167"/>
      <c r="T57" s="169" t="str">
        <f t="shared" si="1"/>
        <v/>
      </c>
      <c r="U57" s="167"/>
      <c r="V57" s="170" t="str">
        <f t="shared" si="2"/>
        <v/>
      </c>
      <c r="W57" s="167"/>
      <c r="X57" s="165"/>
      <c r="Y57" s="167"/>
      <c r="Z57" s="167"/>
      <c r="AA57" s="167"/>
      <c r="AB57" s="165"/>
      <c r="AC57" s="167"/>
    </row>
    <row r="58" spans="1:29" x14ac:dyDescent="0.15">
      <c r="A58" s="165"/>
      <c r="B58" s="165"/>
      <c r="C58" s="165"/>
      <c r="D58" s="166"/>
      <c r="E58" s="165"/>
      <c r="F58" s="165"/>
      <c r="G58" s="165"/>
      <c r="H58" s="167"/>
      <c r="I58" s="167"/>
      <c r="J58" s="165"/>
      <c r="K58" s="167"/>
      <c r="L58" s="167"/>
      <c r="M58" s="167"/>
      <c r="N58" s="167"/>
      <c r="O58" s="167"/>
      <c r="P58" s="167"/>
      <c r="Q58" s="168" t="str">
        <f t="shared" si="0"/>
        <v/>
      </c>
      <c r="R58" s="167"/>
      <c r="S58" s="167"/>
      <c r="T58" s="169" t="str">
        <f t="shared" si="1"/>
        <v/>
      </c>
      <c r="U58" s="167"/>
      <c r="V58" s="170" t="str">
        <f t="shared" si="2"/>
        <v/>
      </c>
      <c r="W58" s="167"/>
      <c r="X58" s="165"/>
      <c r="Y58" s="167"/>
      <c r="Z58" s="167"/>
      <c r="AA58" s="167"/>
      <c r="AB58" s="165"/>
      <c r="AC58" s="167"/>
    </row>
    <row r="59" spans="1:29" x14ac:dyDescent="0.15">
      <c r="A59" s="165"/>
      <c r="B59" s="165"/>
      <c r="C59" s="165"/>
      <c r="D59" s="166"/>
      <c r="E59" s="165"/>
      <c r="F59" s="165"/>
      <c r="G59" s="165"/>
      <c r="H59" s="167"/>
      <c r="I59" s="167"/>
      <c r="J59" s="165"/>
      <c r="K59" s="167"/>
      <c r="L59" s="167"/>
      <c r="M59" s="167"/>
      <c r="N59" s="167"/>
      <c r="O59" s="167"/>
      <c r="P59" s="167"/>
      <c r="Q59" s="168" t="str">
        <f t="shared" si="0"/>
        <v/>
      </c>
      <c r="R59" s="167"/>
      <c r="S59" s="167"/>
      <c r="T59" s="169" t="str">
        <f t="shared" si="1"/>
        <v/>
      </c>
      <c r="U59" s="167"/>
      <c r="V59" s="170" t="str">
        <f t="shared" si="2"/>
        <v/>
      </c>
      <c r="W59" s="167"/>
      <c r="X59" s="165"/>
      <c r="Y59" s="167"/>
      <c r="Z59" s="167"/>
      <c r="AA59" s="167"/>
      <c r="AB59" s="165"/>
      <c r="AC59" s="171"/>
    </row>
    <row r="60" spans="1:29" x14ac:dyDescent="0.15">
      <c r="A60" s="165"/>
      <c r="B60" s="165"/>
      <c r="C60" s="165"/>
      <c r="D60" s="166"/>
      <c r="E60" s="165"/>
      <c r="F60" s="165"/>
      <c r="G60" s="165"/>
      <c r="H60" s="167"/>
      <c r="I60" s="167"/>
      <c r="J60" s="165"/>
      <c r="K60" s="167"/>
      <c r="L60" s="167"/>
      <c r="M60" s="167"/>
      <c r="N60" s="167"/>
      <c r="O60" s="167"/>
      <c r="P60" s="167"/>
      <c r="Q60" s="168" t="str">
        <f t="shared" si="0"/>
        <v/>
      </c>
      <c r="R60" s="167"/>
      <c r="S60" s="167"/>
      <c r="T60" s="169" t="str">
        <f t="shared" si="1"/>
        <v/>
      </c>
      <c r="U60" s="167"/>
      <c r="V60" s="170" t="str">
        <f t="shared" si="2"/>
        <v/>
      </c>
      <c r="W60" s="167"/>
      <c r="X60" s="165"/>
      <c r="Y60" s="167"/>
      <c r="Z60" s="167"/>
      <c r="AA60" s="167"/>
      <c r="AB60" s="165"/>
      <c r="AC60" s="171"/>
    </row>
    <row r="61" spans="1:29" x14ac:dyDescent="0.15">
      <c r="A61" s="165"/>
      <c r="B61" s="165"/>
      <c r="C61" s="165"/>
      <c r="D61" s="166"/>
      <c r="E61" s="165"/>
      <c r="F61" s="165"/>
      <c r="G61" s="165"/>
      <c r="H61" s="167"/>
      <c r="I61" s="167"/>
      <c r="J61" s="165"/>
      <c r="K61" s="167"/>
      <c r="L61" s="167"/>
      <c r="M61" s="167"/>
      <c r="N61" s="167"/>
      <c r="O61" s="167"/>
      <c r="P61" s="167"/>
      <c r="Q61" s="168" t="str">
        <f t="shared" si="0"/>
        <v/>
      </c>
      <c r="R61" s="167"/>
      <c r="S61" s="167"/>
      <c r="T61" s="169" t="str">
        <f t="shared" si="1"/>
        <v/>
      </c>
      <c r="U61" s="167"/>
      <c r="V61" s="170" t="str">
        <f t="shared" si="2"/>
        <v/>
      </c>
      <c r="W61" s="167"/>
      <c r="X61" s="165"/>
      <c r="Y61" s="167"/>
      <c r="Z61" s="167"/>
      <c r="AA61" s="167"/>
      <c r="AB61" s="165"/>
      <c r="AC61" s="171"/>
    </row>
    <row r="62" spans="1:29" x14ac:dyDescent="0.15">
      <c r="A62" s="165"/>
      <c r="B62" s="165"/>
      <c r="C62" s="165"/>
      <c r="D62" s="166"/>
      <c r="E62" s="165"/>
      <c r="F62" s="165"/>
      <c r="G62" s="165"/>
      <c r="H62" s="167"/>
      <c r="I62" s="167"/>
      <c r="J62" s="165"/>
      <c r="K62" s="167"/>
      <c r="L62" s="167"/>
      <c r="M62" s="167"/>
      <c r="N62" s="167"/>
      <c r="O62" s="167"/>
      <c r="P62" s="167"/>
      <c r="Q62" s="168" t="str">
        <f t="shared" si="0"/>
        <v/>
      </c>
      <c r="R62" s="167"/>
      <c r="S62" s="167"/>
      <c r="T62" s="169" t="str">
        <f t="shared" si="1"/>
        <v/>
      </c>
      <c r="U62" s="167"/>
      <c r="V62" s="170" t="str">
        <f t="shared" si="2"/>
        <v/>
      </c>
      <c r="W62" s="167"/>
      <c r="X62" s="165"/>
      <c r="Y62" s="167"/>
      <c r="Z62" s="167"/>
      <c r="AA62" s="167"/>
      <c r="AB62" s="165"/>
      <c r="AC62" s="171"/>
    </row>
    <row r="63" spans="1:29" x14ac:dyDescent="0.15">
      <c r="A63" s="165"/>
      <c r="B63" s="165"/>
      <c r="C63" s="165"/>
      <c r="D63" s="166"/>
      <c r="E63" s="165"/>
      <c r="F63" s="165"/>
      <c r="G63" s="165"/>
      <c r="H63" s="167"/>
      <c r="I63" s="167"/>
      <c r="J63" s="165"/>
      <c r="K63" s="167"/>
      <c r="L63" s="167"/>
      <c r="M63" s="167"/>
      <c r="N63" s="167"/>
      <c r="O63" s="167"/>
      <c r="P63" s="167"/>
      <c r="Q63" s="168" t="str">
        <f t="shared" si="0"/>
        <v/>
      </c>
      <c r="R63" s="167"/>
      <c r="S63" s="167"/>
      <c r="T63" s="169" t="str">
        <f t="shared" si="1"/>
        <v/>
      </c>
      <c r="U63" s="167"/>
      <c r="V63" s="170" t="str">
        <f t="shared" si="2"/>
        <v/>
      </c>
      <c r="W63" s="167"/>
      <c r="X63" s="165"/>
      <c r="Y63" s="167"/>
      <c r="Z63" s="167"/>
      <c r="AA63" s="167"/>
      <c r="AB63" s="165"/>
      <c r="AC63" s="171"/>
    </row>
    <row r="64" spans="1:29" x14ac:dyDescent="0.15">
      <c r="A64" s="165"/>
      <c r="B64" s="165"/>
      <c r="C64" s="165"/>
      <c r="D64" s="166"/>
      <c r="E64" s="165"/>
      <c r="F64" s="165"/>
      <c r="G64" s="165"/>
      <c r="H64" s="167"/>
      <c r="I64" s="167"/>
      <c r="J64" s="165"/>
      <c r="K64" s="167"/>
      <c r="L64" s="167"/>
      <c r="M64" s="167"/>
      <c r="N64" s="167"/>
      <c r="O64" s="167"/>
      <c r="P64" s="167"/>
      <c r="Q64" s="168" t="str">
        <f t="shared" si="0"/>
        <v/>
      </c>
      <c r="R64" s="167"/>
      <c r="S64" s="167"/>
      <c r="T64" s="169" t="str">
        <f t="shared" si="1"/>
        <v/>
      </c>
      <c r="U64" s="167"/>
      <c r="V64" s="170" t="str">
        <f t="shared" si="2"/>
        <v/>
      </c>
      <c r="W64" s="167"/>
      <c r="X64" s="165"/>
      <c r="Y64" s="167"/>
      <c r="Z64" s="167"/>
      <c r="AA64" s="167"/>
      <c r="AB64" s="165"/>
      <c r="AC64" s="171"/>
    </row>
    <row r="65" spans="1:29" x14ac:dyDescent="0.15">
      <c r="A65" s="165"/>
      <c r="B65" s="165"/>
      <c r="C65" s="165"/>
      <c r="D65" s="166"/>
      <c r="E65" s="165"/>
      <c r="F65" s="165"/>
      <c r="G65" s="165"/>
      <c r="H65" s="167"/>
      <c r="I65" s="167"/>
      <c r="J65" s="165"/>
      <c r="K65" s="167"/>
      <c r="L65" s="167"/>
      <c r="M65" s="167"/>
      <c r="N65" s="167"/>
      <c r="O65" s="167"/>
      <c r="P65" s="167"/>
      <c r="Q65" s="168" t="str">
        <f t="shared" si="0"/>
        <v/>
      </c>
      <c r="R65" s="167"/>
      <c r="S65" s="167"/>
      <c r="T65" s="169" t="str">
        <f t="shared" si="1"/>
        <v/>
      </c>
      <c r="U65" s="167"/>
      <c r="V65" s="170" t="str">
        <f t="shared" si="2"/>
        <v/>
      </c>
      <c r="W65" s="167"/>
      <c r="X65" s="165"/>
      <c r="Y65" s="167"/>
      <c r="Z65" s="167"/>
      <c r="AA65" s="167"/>
      <c r="AB65" s="165"/>
      <c r="AC65" s="171"/>
    </row>
    <row r="66" spans="1:29" x14ac:dyDescent="0.15">
      <c r="A66" s="165"/>
      <c r="B66" s="165"/>
      <c r="C66" s="165"/>
      <c r="D66" s="166"/>
      <c r="E66" s="165"/>
      <c r="F66" s="165"/>
      <c r="G66" s="165"/>
      <c r="H66" s="167"/>
      <c r="I66" s="167"/>
      <c r="J66" s="165"/>
      <c r="K66" s="167"/>
      <c r="L66" s="167"/>
      <c r="M66" s="167"/>
      <c r="N66" s="167"/>
      <c r="O66" s="167"/>
      <c r="P66" s="167"/>
      <c r="Q66" s="168" t="str">
        <f t="shared" ref="Q66:Q99" si="3">IF(OR(O66="",P66=""),"",AVERAGE(O66,P66))</f>
        <v/>
      </c>
      <c r="R66" s="167"/>
      <c r="S66" s="167"/>
      <c r="T66" s="169" t="str">
        <f t="shared" ref="T66:T99" si="4">IF(H66="","",IF(OR(H66="GREEN",H66="GK"),IF(S66&gt;=$AX$2,VLOOKUP(S66,$AX$2:$AY$15,2,1),""),IF(S66&gt;=$AZ$2,VLOOKUP(S66,$AZ$2:$BA$15,2,1),"")))</f>
        <v/>
      </c>
      <c r="U66" s="167"/>
      <c r="V66" s="170" t="str">
        <f t="shared" ref="V66:V99" si="5">IF(OR(N66="",U66="",T66=""),"",U66/N66*T66)</f>
        <v/>
      </c>
      <c r="W66" s="167"/>
      <c r="X66" s="165"/>
      <c r="Y66" s="167"/>
      <c r="Z66" s="167"/>
      <c r="AA66" s="167"/>
      <c r="AB66" s="165"/>
      <c r="AC66" s="171"/>
    </row>
    <row r="67" spans="1:29" x14ac:dyDescent="0.15">
      <c r="A67" s="165"/>
      <c r="B67" s="165"/>
      <c r="C67" s="165"/>
      <c r="D67" s="166"/>
      <c r="E67" s="165"/>
      <c r="F67" s="165"/>
      <c r="G67" s="165"/>
      <c r="H67" s="167"/>
      <c r="I67" s="167"/>
      <c r="J67" s="165"/>
      <c r="K67" s="167"/>
      <c r="L67" s="167"/>
      <c r="M67" s="167"/>
      <c r="N67" s="167"/>
      <c r="O67" s="167"/>
      <c r="P67" s="167"/>
      <c r="Q67" s="168" t="str">
        <f t="shared" si="3"/>
        <v/>
      </c>
      <c r="R67" s="167"/>
      <c r="S67" s="167"/>
      <c r="T67" s="169" t="str">
        <f t="shared" si="4"/>
        <v/>
      </c>
      <c r="U67" s="167"/>
      <c r="V67" s="170" t="str">
        <f t="shared" si="5"/>
        <v/>
      </c>
      <c r="W67" s="167"/>
      <c r="X67" s="165"/>
      <c r="Y67" s="167"/>
      <c r="Z67" s="167"/>
      <c r="AA67" s="167"/>
      <c r="AB67" s="165"/>
      <c r="AC67" s="171"/>
    </row>
    <row r="68" spans="1:29" x14ac:dyDescent="0.15">
      <c r="A68" s="165"/>
      <c r="B68" s="165"/>
      <c r="C68" s="165"/>
      <c r="D68" s="166"/>
      <c r="E68" s="165"/>
      <c r="F68" s="165"/>
      <c r="G68" s="165"/>
      <c r="H68" s="167"/>
      <c r="I68" s="167"/>
      <c r="J68" s="165"/>
      <c r="K68" s="167"/>
      <c r="L68" s="167"/>
      <c r="M68" s="167"/>
      <c r="N68" s="167"/>
      <c r="O68" s="167"/>
      <c r="P68" s="167"/>
      <c r="Q68" s="168"/>
      <c r="R68" s="167"/>
      <c r="S68" s="167"/>
      <c r="T68" s="169"/>
      <c r="U68" s="167"/>
      <c r="V68" s="170"/>
      <c r="W68" s="167"/>
      <c r="X68" s="165"/>
      <c r="Y68" s="167"/>
      <c r="Z68" s="167"/>
      <c r="AA68" s="167"/>
      <c r="AB68" s="165"/>
      <c r="AC68" s="167"/>
    </row>
    <row r="69" spans="1:29" x14ac:dyDescent="0.15">
      <c r="A69" s="165"/>
      <c r="B69" s="165"/>
      <c r="C69" s="165"/>
      <c r="D69" s="166"/>
      <c r="E69" s="165"/>
      <c r="F69" s="165"/>
      <c r="G69" s="165"/>
      <c r="H69" s="167"/>
      <c r="I69" s="167"/>
      <c r="J69" s="165"/>
      <c r="K69" s="167"/>
      <c r="L69" s="167"/>
      <c r="M69" s="167"/>
      <c r="N69" s="167"/>
      <c r="O69" s="167"/>
      <c r="P69" s="167"/>
      <c r="Q69" s="168"/>
      <c r="R69" s="167"/>
      <c r="S69" s="167"/>
      <c r="T69" s="169"/>
      <c r="U69" s="167"/>
      <c r="V69" s="170"/>
      <c r="W69" s="167"/>
      <c r="X69" s="165"/>
      <c r="Y69" s="167"/>
      <c r="Z69" s="167"/>
      <c r="AA69" s="167"/>
      <c r="AB69" s="165"/>
      <c r="AC69" s="167"/>
    </row>
    <row r="70" spans="1:29" x14ac:dyDescent="0.15">
      <c r="A70" s="165"/>
      <c r="B70" s="165"/>
      <c r="C70" s="165"/>
      <c r="D70" s="166"/>
      <c r="E70" s="165"/>
      <c r="F70" s="165"/>
      <c r="G70" s="165"/>
      <c r="H70" s="167"/>
      <c r="I70" s="167"/>
      <c r="J70" s="165"/>
      <c r="K70" s="167"/>
      <c r="L70" s="167"/>
      <c r="M70" s="167"/>
      <c r="N70" s="167"/>
      <c r="O70" s="167"/>
      <c r="P70" s="167"/>
      <c r="Q70" s="168"/>
      <c r="R70" s="167"/>
      <c r="S70" s="167"/>
      <c r="T70" s="169"/>
      <c r="U70" s="167"/>
      <c r="V70" s="170"/>
      <c r="W70" s="167"/>
      <c r="X70" s="165"/>
      <c r="Y70" s="167"/>
      <c r="Z70" s="167"/>
      <c r="AA70" s="167"/>
      <c r="AB70" s="165"/>
      <c r="AC70" s="167"/>
    </row>
    <row r="71" spans="1:29" x14ac:dyDescent="0.15">
      <c r="A71" s="165"/>
      <c r="B71" s="165"/>
      <c r="C71" s="165"/>
      <c r="D71" s="166"/>
      <c r="E71" s="165"/>
      <c r="F71" s="165"/>
      <c r="G71" s="165"/>
      <c r="H71" s="167"/>
      <c r="I71" s="167"/>
      <c r="J71" s="165"/>
      <c r="K71" s="167"/>
      <c r="L71" s="167"/>
      <c r="M71" s="167"/>
      <c r="N71" s="167"/>
      <c r="O71" s="167"/>
      <c r="P71" s="167"/>
      <c r="Q71" s="168"/>
      <c r="R71" s="167"/>
      <c r="S71" s="167"/>
      <c r="T71" s="169"/>
      <c r="U71" s="167"/>
      <c r="V71" s="170"/>
      <c r="W71" s="167"/>
      <c r="X71" s="165"/>
      <c r="Y71" s="167"/>
      <c r="Z71" s="167"/>
      <c r="AA71" s="167"/>
      <c r="AB71" s="165"/>
      <c r="AC71" s="167"/>
    </row>
    <row r="72" spans="1:29" x14ac:dyDescent="0.15">
      <c r="A72" s="165"/>
      <c r="B72" s="165"/>
      <c r="C72" s="165"/>
      <c r="D72" s="166"/>
      <c r="E72" s="165"/>
      <c r="F72" s="165"/>
      <c r="G72" s="165"/>
      <c r="H72" s="167"/>
      <c r="I72" s="167"/>
      <c r="J72" s="165"/>
      <c r="K72" s="167"/>
      <c r="L72" s="167"/>
      <c r="M72" s="167"/>
      <c r="N72" s="167"/>
      <c r="O72" s="167"/>
      <c r="P72" s="167"/>
      <c r="Q72" s="168"/>
      <c r="R72" s="167"/>
      <c r="S72" s="167"/>
      <c r="T72" s="169"/>
      <c r="U72" s="167"/>
      <c r="V72" s="170"/>
      <c r="W72" s="167"/>
      <c r="X72" s="165"/>
      <c r="Y72" s="167"/>
      <c r="Z72" s="167"/>
      <c r="AA72" s="167"/>
      <c r="AB72" s="165"/>
      <c r="AC72" s="167"/>
    </row>
    <row r="73" spans="1:29" x14ac:dyDescent="0.15">
      <c r="A73" s="165"/>
      <c r="B73" s="165"/>
      <c r="C73" s="165"/>
      <c r="D73" s="166"/>
      <c r="E73" s="165"/>
      <c r="F73" s="165"/>
      <c r="G73" s="165"/>
      <c r="H73" s="167"/>
      <c r="I73" s="167"/>
      <c r="J73" s="165"/>
      <c r="K73" s="167"/>
      <c r="L73" s="167"/>
      <c r="M73" s="167"/>
      <c r="N73" s="167"/>
      <c r="O73" s="167"/>
      <c r="P73" s="167"/>
      <c r="Q73" s="168"/>
      <c r="R73" s="167"/>
      <c r="S73" s="167"/>
      <c r="T73" s="169"/>
      <c r="U73" s="167"/>
      <c r="V73" s="170"/>
      <c r="W73" s="167"/>
      <c r="X73" s="165"/>
      <c r="Y73" s="167"/>
      <c r="Z73" s="167"/>
      <c r="AA73" s="167"/>
      <c r="AB73" s="165"/>
      <c r="AC73" s="167"/>
    </row>
    <row r="74" spans="1:29" x14ac:dyDescent="0.15">
      <c r="A74" s="165"/>
      <c r="B74" s="165"/>
      <c r="C74" s="165"/>
      <c r="D74" s="166"/>
      <c r="E74" s="165"/>
      <c r="F74" s="165"/>
      <c r="G74" s="165"/>
      <c r="H74" s="167"/>
      <c r="I74" s="167"/>
      <c r="J74" s="165"/>
      <c r="K74" s="167"/>
      <c r="L74" s="167"/>
      <c r="M74" s="167"/>
      <c r="N74" s="167"/>
      <c r="O74" s="167"/>
      <c r="P74" s="167"/>
      <c r="Q74" s="168"/>
      <c r="R74" s="167"/>
      <c r="S74" s="167"/>
      <c r="T74" s="169"/>
      <c r="U74" s="167"/>
      <c r="V74" s="170"/>
      <c r="W74" s="167"/>
      <c r="X74" s="165"/>
      <c r="Y74" s="167"/>
      <c r="Z74" s="167"/>
      <c r="AA74" s="167"/>
      <c r="AB74" s="165"/>
      <c r="AC74" s="167"/>
    </row>
    <row r="75" spans="1:29" x14ac:dyDescent="0.15">
      <c r="A75" s="165"/>
      <c r="B75" s="165"/>
      <c r="C75" s="165"/>
      <c r="D75" s="166"/>
      <c r="E75" s="165"/>
      <c r="F75" s="165"/>
      <c r="G75" s="165"/>
      <c r="H75" s="167"/>
      <c r="I75" s="167"/>
      <c r="J75" s="165"/>
      <c r="K75" s="167"/>
      <c r="L75" s="167"/>
      <c r="M75" s="167"/>
      <c r="N75" s="167"/>
      <c r="O75" s="167"/>
      <c r="P75" s="167"/>
      <c r="Q75" s="168"/>
      <c r="R75" s="167"/>
      <c r="S75" s="167"/>
      <c r="T75" s="169"/>
      <c r="U75" s="167"/>
      <c r="V75" s="170"/>
      <c r="W75" s="167"/>
      <c r="X75" s="165"/>
      <c r="Y75" s="167"/>
      <c r="Z75" s="167"/>
      <c r="AA75" s="167"/>
      <c r="AB75" s="165"/>
      <c r="AC75" s="167"/>
    </row>
    <row r="76" spans="1:29" x14ac:dyDescent="0.15">
      <c r="A76" s="165"/>
      <c r="B76" s="165"/>
      <c r="C76" s="165"/>
      <c r="D76" s="166"/>
      <c r="E76" s="165"/>
      <c r="F76" s="165"/>
      <c r="G76" s="165"/>
      <c r="H76" s="167"/>
      <c r="I76" s="167"/>
      <c r="J76" s="165"/>
      <c r="K76" s="167"/>
      <c r="L76" s="167"/>
      <c r="M76" s="167"/>
      <c r="N76" s="167"/>
      <c r="O76" s="167"/>
      <c r="P76" s="167"/>
      <c r="Q76" s="168"/>
      <c r="R76" s="167"/>
      <c r="S76" s="167"/>
      <c r="T76" s="169"/>
      <c r="U76" s="167"/>
      <c r="V76" s="170"/>
      <c r="W76" s="167"/>
      <c r="X76" s="165"/>
      <c r="Y76" s="167"/>
      <c r="Z76" s="167"/>
      <c r="AA76" s="167"/>
      <c r="AB76" s="165"/>
      <c r="AC76" s="167"/>
    </row>
    <row r="77" spans="1:29" x14ac:dyDescent="0.15">
      <c r="A77" s="165"/>
      <c r="B77" s="165"/>
      <c r="C77" s="165"/>
      <c r="D77" s="166"/>
      <c r="E77" s="165"/>
      <c r="F77" s="165"/>
      <c r="G77" s="165"/>
      <c r="H77" s="167"/>
      <c r="I77" s="167"/>
      <c r="J77" s="165"/>
      <c r="K77" s="167"/>
      <c r="L77" s="167"/>
      <c r="M77" s="167"/>
      <c r="N77" s="167"/>
      <c r="O77" s="167"/>
      <c r="P77" s="167"/>
      <c r="Q77" s="168"/>
      <c r="R77" s="167"/>
      <c r="S77" s="167"/>
      <c r="T77" s="169"/>
      <c r="U77" s="167"/>
      <c r="V77" s="170"/>
      <c r="W77" s="167"/>
      <c r="X77" s="165"/>
      <c r="Y77" s="167"/>
      <c r="Z77" s="167"/>
      <c r="AA77" s="167"/>
      <c r="AB77" s="165"/>
      <c r="AC77" s="167"/>
    </row>
    <row r="78" spans="1:29" x14ac:dyDescent="0.15">
      <c r="A78" s="165"/>
      <c r="B78" s="165"/>
      <c r="C78" s="165"/>
      <c r="D78" s="166"/>
      <c r="E78" s="165"/>
      <c r="F78" s="165"/>
      <c r="G78" s="165"/>
      <c r="H78" s="167"/>
      <c r="I78" s="167"/>
      <c r="J78" s="165"/>
      <c r="K78" s="167"/>
      <c r="L78" s="167"/>
      <c r="M78" s="167"/>
      <c r="N78" s="167"/>
      <c r="O78" s="167"/>
      <c r="P78" s="167"/>
      <c r="Q78" s="168"/>
      <c r="R78" s="167"/>
      <c r="S78" s="167"/>
      <c r="T78" s="169"/>
      <c r="U78" s="167"/>
      <c r="V78" s="170"/>
      <c r="W78" s="167"/>
      <c r="X78" s="165"/>
      <c r="Y78" s="167"/>
      <c r="Z78" s="167"/>
      <c r="AA78" s="167"/>
      <c r="AB78" s="165"/>
      <c r="AC78" s="167"/>
    </row>
    <row r="79" spans="1:29" x14ac:dyDescent="0.15">
      <c r="A79" s="165"/>
      <c r="B79" s="165"/>
      <c r="C79" s="165"/>
      <c r="D79" s="166"/>
      <c r="E79" s="165"/>
      <c r="F79" s="165"/>
      <c r="G79" s="165"/>
      <c r="H79" s="167"/>
      <c r="I79" s="167"/>
      <c r="J79" s="165"/>
      <c r="K79" s="167"/>
      <c r="L79" s="167"/>
      <c r="M79" s="167"/>
      <c r="N79" s="167"/>
      <c r="O79" s="167"/>
      <c r="P79" s="167"/>
      <c r="Q79" s="168"/>
      <c r="R79" s="167"/>
      <c r="S79" s="167"/>
      <c r="T79" s="169"/>
      <c r="U79" s="167"/>
      <c r="V79" s="170"/>
      <c r="W79" s="167"/>
      <c r="X79" s="165"/>
      <c r="Y79" s="167"/>
      <c r="Z79" s="167"/>
      <c r="AA79" s="167"/>
      <c r="AB79" s="165"/>
      <c r="AC79" s="167"/>
    </row>
    <row r="80" spans="1:29" x14ac:dyDescent="0.15">
      <c r="A80" s="165"/>
      <c r="B80" s="165"/>
      <c r="C80" s="165"/>
      <c r="D80" s="166"/>
      <c r="E80" s="165"/>
      <c r="F80" s="165"/>
      <c r="G80" s="165"/>
      <c r="H80" s="167"/>
      <c r="I80" s="167"/>
      <c r="J80" s="165"/>
      <c r="K80" s="167"/>
      <c r="L80" s="167"/>
      <c r="M80" s="167"/>
      <c r="N80" s="167"/>
      <c r="O80" s="167"/>
      <c r="P80" s="167"/>
      <c r="Q80" s="168"/>
      <c r="R80" s="167"/>
      <c r="S80" s="167"/>
      <c r="T80" s="169"/>
      <c r="U80" s="167"/>
      <c r="V80" s="170"/>
      <c r="W80" s="167"/>
      <c r="X80" s="165"/>
      <c r="Y80" s="167"/>
      <c r="Z80" s="167"/>
      <c r="AA80" s="167"/>
      <c r="AB80" s="165"/>
      <c r="AC80" s="167"/>
    </row>
    <row r="81" spans="1:29" x14ac:dyDescent="0.15">
      <c r="A81" s="165"/>
      <c r="B81" s="165"/>
      <c r="C81" s="165"/>
      <c r="D81" s="166"/>
      <c r="E81" s="165"/>
      <c r="F81" s="165"/>
      <c r="G81" s="165"/>
      <c r="H81" s="167"/>
      <c r="I81" s="167"/>
      <c r="J81" s="165"/>
      <c r="K81" s="167"/>
      <c r="L81" s="167"/>
      <c r="M81" s="167"/>
      <c r="N81" s="167"/>
      <c r="O81" s="167"/>
      <c r="P81" s="167"/>
      <c r="Q81" s="168"/>
      <c r="R81" s="167"/>
      <c r="S81" s="167"/>
      <c r="T81" s="169"/>
      <c r="U81" s="167"/>
      <c r="V81" s="170"/>
      <c r="W81" s="167"/>
      <c r="X81" s="165"/>
      <c r="Y81" s="167"/>
      <c r="Z81" s="167"/>
      <c r="AA81" s="167"/>
      <c r="AB81" s="165"/>
      <c r="AC81" s="167"/>
    </row>
    <row r="82" spans="1:29" x14ac:dyDescent="0.15">
      <c r="A82" s="165"/>
      <c r="B82" s="165"/>
      <c r="C82" s="165"/>
      <c r="D82" s="166"/>
      <c r="E82" s="165"/>
      <c r="F82" s="165"/>
      <c r="G82" s="165"/>
      <c r="H82" s="167"/>
      <c r="I82" s="167"/>
      <c r="J82" s="165"/>
      <c r="K82" s="167"/>
      <c r="L82" s="167"/>
      <c r="M82" s="167"/>
      <c r="N82" s="167"/>
      <c r="O82" s="167"/>
      <c r="P82" s="167"/>
      <c r="Q82" s="168"/>
      <c r="R82" s="167"/>
      <c r="S82" s="167"/>
      <c r="T82" s="169"/>
      <c r="U82" s="167"/>
      <c r="V82" s="170"/>
      <c r="W82" s="167"/>
      <c r="X82" s="165"/>
      <c r="Y82" s="167"/>
      <c r="Z82" s="167"/>
      <c r="AA82" s="167"/>
      <c r="AB82" s="165"/>
      <c r="AC82" s="167"/>
    </row>
    <row r="83" spans="1:29" x14ac:dyDescent="0.15">
      <c r="A83" s="165"/>
      <c r="B83" s="165"/>
      <c r="C83" s="165"/>
      <c r="D83" s="166"/>
      <c r="E83" s="167"/>
      <c r="F83" s="167"/>
      <c r="G83" s="165"/>
      <c r="H83" s="167"/>
      <c r="I83" s="167"/>
      <c r="J83" s="165"/>
      <c r="K83" s="167"/>
      <c r="L83" s="167"/>
      <c r="M83" s="167"/>
      <c r="N83" s="167"/>
      <c r="O83" s="167"/>
      <c r="P83" s="167"/>
      <c r="Q83" s="168"/>
      <c r="R83" s="167"/>
      <c r="S83" s="167"/>
      <c r="T83" s="169"/>
      <c r="U83" s="167"/>
      <c r="V83" s="170"/>
      <c r="W83" s="167"/>
      <c r="X83" s="165"/>
      <c r="Y83" s="167"/>
      <c r="Z83" s="167"/>
      <c r="AA83" s="167"/>
      <c r="AB83" s="165"/>
      <c r="AC83" s="167"/>
    </row>
    <row r="84" spans="1:29" x14ac:dyDescent="0.15">
      <c r="A84" s="165"/>
      <c r="B84" s="165"/>
      <c r="C84" s="165"/>
      <c r="D84" s="166"/>
      <c r="E84" s="167"/>
      <c r="F84" s="167"/>
      <c r="G84" s="165"/>
      <c r="H84" s="167"/>
      <c r="I84" s="167"/>
      <c r="J84" s="165"/>
      <c r="K84" s="167"/>
      <c r="L84" s="167"/>
      <c r="M84" s="167"/>
      <c r="N84" s="167"/>
      <c r="O84" s="167"/>
      <c r="P84" s="167"/>
      <c r="Q84" s="168"/>
      <c r="R84" s="167"/>
      <c r="S84" s="167"/>
      <c r="T84" s="169"/>
      <c r="U84" s="167"/>
      <c r="V84" s="170"/>
      <c r="W84" s="167"/>
      <c r="X84" s="165"/>
      <c r="Y84" s="167"/>
      <c r="Z84" s="167"/>
      <c r="AA84" s="167"/>
      <c r="AB84" s="165"/>
      <c r="AC84" s="167"/>
    </row>
    <row r="85" spans="1:29" x14ac:dyDescent="0.15">
      <c r="A85" s="165"/>
      <c r="B85" s="165"/>
      <c r="C85" s="165"/>
      <c r="D85" s="166"/>
      <c r="E85" s="167"/>
      <c r="F85" s="167"/>
      <c r="G85" s="165"/>
      <c r="H85" s="167"/>
      <c r="I85" s="167"/>
      <c r="J85" s="165"/>
      <c r="K85" s="167"/>
      <c r="L85" s="167"/>
      <c r="M85" s="167"/>
      <c r="N85" s="167"/>
      <c r="O85" s="167"/>
      <c r="P85" s="167"/>
      <c r="Q85" s="168"/>
      <c r="R85" s="167"/>
      <c r="S85" s="167"/>
      <c r="T85" s="169"/>
      <c r="U85" s="167"/>
      <c r="V85" s="170"/>
      <c r="W85" s="167"/>
      <c r="X85" s="165"/>
      <c r="Y85" s="167"/>
      <c r="Z85" s="167"/>
      <c r="AA85" s="167"/>
      <c r="AB85" s="165"/>
      <c r="AC85" s="167"/>
    </row>
    <row r="86" spans="1:29" x14ac:dyDescent="0.15">
      <c r="A86" s="165"/>
      <c r="B86" s="165"/>
      <c r="C86" s="165"/>
      <c r="D86" s="166"/>
      <c r="E86" s="167"/>
      <c r="F86" s="167"/>
      <c r="G86" s="165"/>
      <c r="H86" s="167"/>
      <c r="I86" s="167"/>
      <c r="J86" s="165"/>
      <c r="K86" s="167"/>
      <c r="L86" s="167"/>
      <c r="M86" s="167"/>
      <c r="N86" s="167"/>
      <c r="O86" s="167"/>
      <c r="P86" s="167"/>
      <c r="Q86" s="168"/>
      <c r="R86" s="167"/>
      <c r="S86" s="167"/>
      <c r="T86" s="169"/>
      <c r="U86" s="167"/>
      <c r="V86" s="170"/>
      <c r="W86" s="167"/>
      <c r="X86" s="165"/>
      <c r="Y86" s="167"/>
      <c r="Z86" s="167"/>
      <c r="AA86" s="167"/>
      <c r="AB86" s="165"/>
      <c r="AC86" s="167"/>
    </row>
    <row r="87" spans="1:29" x14ac:dyDescent="0.15">
      <c r="A87" s="165"/>
      <c r="B87" s="165"/>
      <c r="C87" s="165"/>
      <c r="D87" s="166"/>
      <c r="E87" s="167"/>
      <c r="F87" s="167"/>
      <c r="G87" s="165"/>
      <c r="H87" s="167"/>
      <c r="I87" s="167"/>
      <c r="J87" s="165"/>
      <c r="K87" s="167"/>
      <c r="L87" s="167"/>
      <c r="M87" s="167"/>
      <c r="N87" s="167"/>
      <c r="O87" s="167"/>
      <c r="P87" s="167"/>
      <c r="Q87" s="168"/>
      <c r="R87" s="167"/>
      <c r="S87" s="167"/>
      <c r="T87" s="169"/>
      <c r="U87" s="167"/>
      <c r="V87" s="170"/>
      <c r="W87" s="167"/>
      <c r="X87" s="165"/>
      <c r="Y87" s="167"/>
      <c r="Z87" s="167"/>
      <c r="AA87" s="167"/>
      <c r="AB87" s="165"/>
      <c r="AC87" s="167"/>
    </row>
    <row r="88" spans="1:29" x14ac:dyDescent="0.15">
      <c r="A88" s="165"/>
      <c r="B88" s="165"/>
      <c r="C88" s="165"/>
      <c r="D88" s="166"/>
      <c r="E88" s="167"/>
      <c r="F88" s="167"/>
      <c r="G88" s="165"/>
      <c r="H88" s="167"/>
      <c r="I88" s="167"/>
      <c r="J88" s="165"/>
      <c r="K88" s="167"/>
      <c r="L88" s="167"/>
      <c r="M88" s="167"/>
      <c r="N88" s="167"/>
      <c r="O88" s="167"/>
      <c r="P88" s="167"/>
      <c r="Q88" s="168"/>
      <c r="R88" s="167"/>
      <c r="S88" s="167"/>
      <c r="T88" s="169"/>
      <c r="U88" s="167"/>
      <c r="V88" s="170"/>
      <c r="W88" s="167"/>
      <c r="X88" s="165"/>
      <c r="Y88" s="167"/>
      <c r="Z88" s="167"/>
      <c r="AA88" s="167"/>
      <c r="AB88" s="165"/>
      <c r="AC88" s="167"/>
    </row>
    <row r="89" spans="1:29" x14ac:dyDescent="0.15">
      <c r="K89" s="167"/>
      <c r="AC89" s="167"/>
    </row>
    <row r="90" spans="1:29" x14ac:dyDescent="0.15">
      <c r="A90" s="165"/>
      <c r="B90" s="165"/>
      <c r="C90" s="165"/>
      <c r="D90" s="166"/>
      <c r="E90" s="167"/>
      <c r="F90" s="167"/>
      <c r="G90" s="165"/>
      <c r="H90" s="167"/>
      <c r="I90" s="167"/>
      <c r="J90" s="165"/>
      <c r="K90" s="167"/>
      <c r="L90" s="167"/>
      <c r="M90" s="167"/>
      <c r="N90" s="167"/>
      <c r="O90" s="167"/>
      <c r="P90" s="167"/>
      <c r="Q90" s="168"/>
      <c r="R90" s="167"/>
      <c r="S90" s="167"/>
      <c r="T90" s="169"/>
      <c r="U90" s="167"/>
      <c r="V90" s="170"/>
      <c r="W90" s="167"/>
      <c r="X90" s="165"/>
      <c r="Y90" s="167"/>
      <c r="Z90" s="167"/>
      <c r="AA90" s="167"/>
      <c r="AB90" s="165"/>
      <c r="AC90" s="167"/>
    </row>
    <row r="91" spans="1:29" x14ac:dyDescent="0.15">
      <c r="A91" s="165"/>
      <c r="B91" s="165"/>
      <c r="C91" s="165"/>
      <c r="D91" s="166"/>
      <c r="E91" s="167"/>
      <c r="F91" s="167"/>
      <c r="G91" s="165"/>
      <c r="H91" s="167"/>
      <c r="I91" s="167"/>
      <c r="J91" s="165"/>
      <c r="K91" s="167"/>
      <c r="L91" s="167"/>
      <c r="M91" s="167"/>
      <c r="N91" s="167"/>
      <c r="O91" s="167"/>
      <c r="P91" s="167"/>
      <c r="Q91" s="168"/>
      <c r="R91" s="167"/>
      <c r="S91" s="167"/>
      <c r="T91" s="169"/>
      <c r="U91" s="167"/>
      <c r="V91" s="170"/>
      <c r="W91" s="167"/>
      <c r="X91" s="165"/>
      <c r="Y91" s="167"/>
      <c r="Z91" s="167"/>
      <c r="AA91" s="167"/>
      <c r="AB91" s="165"/>
      <c r="AC91" s="167"/>
    </row>
    <row r="92" spans="1:29" x14ac:dyDescent="0.15">
      <c r="A92" s="165"/>
      <c r="B92" s="165"/>
      <c r="C92" s="165"/>
      <c r="D92" s="166"/>
      <c r="E92" s="167"/>
      <c r="F92" s="167"/>
      <c r="G92" s="165"/>
      <c r="H92" s="167"/>
      <c r="I92" s="167"/>
      <c r="J92" s="165"/>
      <c r="K92" s="167"/>
      <c r="L92" s="167"/>
      <c r="M92" s="167"/>
      <c r="N92" s="167"/>
      <c r="O92" s="167"/>
      <c r="P92" s="167"/>
      <c r="Q92" s="168"/>
      <c r="R92" s="167"/>
      <c r="S92" s="167"/>
      <c r="T92" s="169"/>
      <c r="U92" s="167"/>
      <c r="V92" s="170"/>
      <c r="W92" s="167"/>
      <c r="X92" s="165"/>
      <c r="Y92" s="167"/>
      <c r="Z92" s="167"/>
      <c r="AA92" s="167"/>
      <c r="AB92" s="165"/>
      <c r="AC92" s="167"/>
    </row>
    <row r="93" spans="1:29" x14ac:dyDescent="0.15">
      <c r="A93" s="165"/>
      <c r="B93" s="165"/>
      <c r="C93" s="165"/>
      <c r="D93" s="166"/>
      <c r="E93" s="167"/>
      <c r="F93" s="167"/>
      <c r="G93" s="165"/>
      <c r="H93" s="167"/>
      <c r="I93" s="167"/>
      <c r="J93" s="165"/>
      <c r="K93" s="167"/>
      <c r="L93" s="167"/>
      <c r="M93" s="167"/>
      <c r="N93" s="167"/>
      <c r="O93" s="167"/>
      <c r="P93" s="167"/>
      <c r="Q93" s="168"/>
      <c r="R93" s="167"/>
      <c r="S93" s="167"/>
      <c r="T93" s="169"/>
      <c r="U93" s="167"/>
      <c r="V93" s="170"/>
      <c r="W93" s="167"/>
      <c r="X93" s="165"/>
      <c r="Y93" s="167"/>
      <c r="Z93" s="167"/>
      <c r="AA93" s="167"/>
      <c r="AB93" s="165"/>
      <c r="AC93" s="167"/>
    </row>
    <row r="94" spans="1:29" x14ac:dyDescent="0.15">
      <c r="A94" s="165"/>
      <c r="B94" s="165"/>
      <c r="C94" s="165"/>
      <c r="D94" s="166"/>
      <c r="E94" s="167"/>
      <c r="F94" s="167"/>
      <c r="G94" s="165"/>
      <c r="H94" s="167"/>
      <c r="I94" s="167"/>
      <c r="J94" s="165"/>
      <c r="K94" s="167"/>
      <c r="L94" s="167"/>
      <c r="M94" s="167"/>
      <c r="N94" s="167"/>
      <c r="O94" s="167"/>
      <c r="P94" s="167"/>
      <c r="Q94" s="168"/>
      <c r="R94" s="167"/>
      <c r="S94" s="167"/>
      <c r="T94" s="169"/>
      <c r="U94" s="167"/>
      <c r="V94" s="170"/>
      <c r="W94" s="167"/>
      <c r="X94" s="165"/>
      <c r="Y94" s="167"/>
      <c r="Z94" s="167"/>
      <c r="AA94" s="167"/>
      <c r="AB94" s="165"/>
      <c r="AC94" s="167"/>
    </row>
    <row r="95" spans="1:29" x14ac:dyDescent="0.15">
      <c r="A95" s="165"/>
      <c r="B95" s="165"/>
      <c r="C95" s="165"/>
      <c r="D95" s="166"/>
      <c r="E95" s="167"/>
      <c r="F95" s="167"/>
      <c r="G95" s="165"/>
      <c r="H95" s="167"/>
      <c r="I95" s="167"/>
      <c r="J95" s="165"/>
      <c r="K95" s="167"/>
      <c r="L95" s="167"/>
      <c r="M95" s="167"/>
      <c r="N95" s="167"/>
      <c r="O95" s="167"/>
      <c r="P95" s="167"/>
      <c r="Q95" s="168"/>
      <c r="R95" s="167"/>
      <c r="S95" s="167"/>
      <c r="T95" s="169"/>
      <c r="U95" s="167"/>
      <c r="V95" s="170"/>
      <c r="W95" s="167"/>
      <c r="X95" s="165"/>
      <c r="Y95" s="167"/>
      <c r="Z95" s="167"/>
      <c r="AA95" s="167"/>
      <c r="AB95" s="165"/>
      <c r="AC95" s="167"/>
    </row>
    <row r="96" spans="1:29" x14ac:dyDescent="0.15">
      <c r="A96" s="165"/>
      <c r="B96" s="165"/>
      <c r="C96" s="165"/>
      <c r="D96" s="166"/>
      <c r="E96" s="167"/>
      <c r="F96" s="167"/>
      <c r="G96" s="165"/>
      <c r="H96" s="167"/>
      <c r="I96" s="167"/>
      <c r="J96" s="165"/>
      <c r="K96" s="167"/>
      <c r="L96" s="167"/>
      <c r="M96" s="167"/>
      <c r="N96" s="167"/>
      <c r="O96" s="167"/>
      <c r="P96" s="167"/>
      <c r="Q96" s="168"/>
      <c r="R96" s="167"/>
      <c r="S96" s="167"/>
      <c r="T96" s="169"/>
      <c r="U96" s="167"/>
      <c r="V96" s="170"/>
      <c r="W96" s="167"/>
      <c r="X96" s="165"/>
      <c r="Y96" s="167"/>
      <c r="Z96" s="167"/>
      <c r="AA96" s="167"/>
      <c r="AB96" s="165"/>
      <c r="AC96" s="167"/>
    </row>
    <row r="97" spans="1:29" x14ac:dyDescent="0.15">
      <c r="A97" s="165"/>
      <c r="B97" s="165"/>
      <c r="C97" s="165"/>
      <c r="D97" s="166"/>
      <c r="E97" s="167"/>
      <c r="F97" s="167"/>
      <c r="G97" s="165"/>
      <c r="H97" s="167"/>
      <c r="I97" s="167"/>
      <c r="J97" s="165"/>
      <c r="K97" s="167"/>
      <c r="L97" s="167"/>
      <c r="M97" s="167"/>
      <c r="N97" s="167"/>
      <c r="O97" s="167"/>
      <c r="P97" s="167"/>
      <c r="Q97" s="168"/>
      <c r="R97" s="167"/>
      <c r="S97" s="167"/>
      <c r="T97" s="169"/>
      <c r="U97" s="167"/>
      <c r="V97" s="170"/>
      <c r="W97" s="167"/>
      <c r="X97" s="165"/>
      <c r="Y97" s="167"/>
      <c r="Z97" s="167"/>
      <c r="AA97" s="167"/>
      <c r="AB97" s="165"/>
      <c r="AC97" s="167"/>
    </row>
    <row r="98" spans="1:29" x14ac:dyDescent="0.15">
      <c r="A98" s="165"/>
      <c r="B98" s="165"/>
      <c r="C98" s="165"/>
      <c r="D98" s="166"/>
      <c r="E98" s="167"/>
      <c r="F98" s="167"/>
      <c r="G98" s="165"/>
      <c r="H98" s="167"/>
      <c r="I98" s="167"/>
      <c r="J98" s="165"/>
      <c r="K98" s="167"/>
      <c r="L98" s="167"/>
      <c r="M98" s="167"/>
      <c r="N98" s="167"/>
      <c r="O98" s="167"/>
      <c r="P98" s="167"/>
      <c r="Q98" s="168"/>
      <c r="R98" s="167"/>
      <c r="S98" s="167"/>
      <c r="T98" s="169"/>
      <c r="U98" s="167"/>
      <c r="V98" s="170"/>
      <c r="W98" s="167"/>
      <c r="X98" s="165"/>
      <c r="Y98" s="167"/>
      <c r="Z98" s="167"/>
      <c r="AA98" s="167"/>
      <c r="AB98" s="165"/>
      <c r="AC98" s="167"/>
    </row>
    <row r="99" spans="1:29" x14ac:dyDescent="0.15">
      <c r="A99" s="165"/>
      <c r="B99" s="165"/>
      <c r="C99" s="165"/>
      <c r="D99" s="166"/>
      <c r="E99" s="167"/>
      <c r="F99" s="167"/>
      <c r="G99" s="165"/>
      <c r="H99" s="167"/>
      <c r="I99" s="167"/>
      <c r="J99" s="165"/>
      <c r="K99" s="167"/>
      <c r="L99" s="167"/>
      <c r="M99" s="167"/>
      <c r="N99" s="167"/>
      <c r="O99" s="167"/>
      <c r="P99" s="167"/>
      <c r="Q99" s="168"/>
      <c r="R99" s="167"/>
      <c r="S99" s="167"/>
      <c r="T99" s="169"/>
      <c r="U99" s="167"/>
      <c r="V99" s="170"/>
      <c r="W99" s="167"/>
      <c r="X99" s="165"/>
      <c r="Y99" s="167"/>
      <c r="Z99" s="167"/>
      <c r="AA99" s="167"/>
      <c r="AB99" s="165"/>
      <c r="AC99" s="167"/>
    </row>
    <row r="100" spans="1:29" x14ac:dyDescent="0.15">
      <c r="A100" s="165"/>
      <c r="B100" s="165"/>
      <c r="C100" s="165"/>
      <c r="D100" s="166"/>
      <c r="E100" s="167"/>
      <c r="F100" s="167"/>
      <c r="G100" s="165"/>
      <c r="H100" s="167"/>
      <c r="I100" s="167"/>
      <c r="J100" s="165"/>
      <c r="K100" s="167"/>
      <c r="L100" s="167"/>
      <c r="M100" s="167"/>
      <c r="N100" s="167"/>
      <c r="O100" s="167"/>
      <c r="P100" s="167"/>
      <c r="Q100" s="168"/>
      <c r="R100" s="167"/>
      <c r="S100" s="167"/>
      <c r="T100" s="169"/>
      <c r="U100" s="167"/>
      <c r="V100" s="170"/>
      <c r="W100" s="167"/>
      <c r="X100" s="165"/>
      <c r="Y100" s="167"/>
      <c r="Z100" s="167"/>
      <c r="AA100" s="167"/>
      <c r="AB100" s="165"/>
      <c r="AC100" s="167"/>
    </row>
    <row r="101" spans="1:29" x14ac:dyDescent="0.15">
      <c r="A101" s="165"/>
      <c r="B101" s="165"/>
      <c r="C101" s="165"/>
      <c r="D101" s="166"/>
      <c r="E101" s="167"/>
      <c r="F101" s="167"/>
      <c r="G101" s="165"/>
      <c r="H101" s="167"/>
      <c r="I101" s="167"/>
      <c r="J101" s="165"/>
      <c r="K101" s="167"/>
      <c r="L101" s="167"/>
      <c r="M101" s="167"/>
      <c r="N101" s="167"/>
      <c r="O101" s="167"/>
      <c r="P101" s="167"/>
      <c r="Q101" s="168"/>
      <c r="R101" s="167"/>
      <c r="S101" s="167"/>
      <c r="T101" s="169"/>
      <c r="U101" s="167"/>
      <c r="V101" s="170"/>
      <c r="W101" s="167"/>
      <c r="X101" s="165"/>
      <c r="Y101" s="167"/>
      <c r="Z101" s="167"/>
      <c r="AA101" s="167"/>
      <c r="AB101" s="165"/>
      <c r="AC101" s="167"/>
    </row>
    <row r="102" spans="1:29" x14ac:dyDescent="0.15">
      <c r="A102" s="165"/>
      <c r="B102" s="165"/>
      <c r="C102" s="165"/>
      <c r="D102" s="166"/>
      <c r="E102" s="167"/>
      <c r="F102" s="167"/>
      <c r="G102" s="165"/>
      <c r="H102" s="167"/>
      <c r="I102" s="167"/>
      <c r="J102" s="165"/>
      <c r="K102" s="167"/>
      <c r="L102" s="167"/>
      <c r="M102" s="167"/>
      <c r="N102" s="167"/>
      <c r="O102" s="167"/>
      <c r="P102" s="167"/>
      <c r="Q102" s="168"/>
      <c r="R102" s="167"/>
      <c r="S102" s="167"/>
      <c r="T102" s="169"/>
      <c r="U102" s="167"/>
      <c r="V102" s="170"/>
      <c r="W102" s="167"/>
      <c r="X102" s="165"/>
      <c r="Y102" s="167"/>
      <c r="Z102" s="167"/>
      <c r="AA102" s="167"/>
      <c r="AB102" s="165"/>
      <c r="AC102" s="167"/>
    </row>
    <row r="103" spans="1:29" x14ac:dyDescent="0.15">
      <c r="A103" s="165"/>
      <c r="B103" s="165"/>
      <c r="C103" s="165"/>
      <c r="D103" s="166"/>
      <c r="E103" s="167"/>
      <c r="F103" s="167"/>
      <c r="G103" s="165"/>
      <c r="H103" s="167"/>
      <c r="I103" s="167"/>
      <c r="J103" s="165"/>
      <c r="K103" s="167"/>
      <c r="L103" s="167"/>
      <c r="M103" s="167"/>
      <c r="N103" s="167"/>
      <c r="O103" s="167"/>
      <c r="P103" s="167"/>
      <c r="Q103" s="168"/>
      <c r="R103" s="167"/>
      <c r="S103" s="167"/>
      <c r="T103" s="169"/>
      <c r="U103" s="167"/>
      <c r="V103" s="170"/>
      <c r="W103" s="167"/>
      <c r="X103" s="165"/>
      <c r="Y103" s="167"/>
      <c r="Z103" s="167"/>
      <c r="AA103" s="167"/>
      <c r="AB103" s="165"/>
      <c r="AC103" s="167"/>
    </row>
    <row r="104" spans="1:29" x14ac:dyDescent="0.15">
      <c r="A104" s="165"/>
      <c r="B104" s="165"/>
      <c r="C104" s="165"/>
      <c r="D104" s="166"/>
      <c r="E104" s="167"/>
      <c r="F104" s="167"/>
      <c r="G104" s="165"/>
      <c r="H104" s="167"/>
      <c r="I104" s="167"/>
      <c r="J104" s="165"/>
      <c r="K104" s="167"/>
      <c r="L104" s="167"/>
      <c r="M104" s="167"/>
      <c r="N104" s="167"/>
      <c r="O104" s="167"/>
      <c r="P104" s="167"/>
      <c r="Q104" s="168"/>
      <c r="R104" s="167"/>
      <c r="S104" s="167"/>
      <c r="T104" s="169"/>
      <c r="U104" s="167"/>
      <c r="V104" s="170"/>
      <c r="W104" s="167"/>
      <c r="X104" s="165"/>
      <c r="Y104" s="167"/>
      <c r="Z104" s="167"/>
      <c r="AA104" s="167"/>
      <c r="AB104" s="165"/>
      <c r="AC104" s="167"/>
    </row>
    <row r="105" spans="1:29" x14ac:dyDescent="0.15">
      <c r="A105" s="165"/>
      <c r="B105" s="165"/>
      <c r="C105" s="165"/>
      <c r="D105" s="166"/>
      <c r="E105" s="167"/>
      <c r="F105" s="167"/>
      <c r="G105" s="165"/>
      <c r="H105" s="167"/>
      <c r="I105" s="167"/>
      <c r="J105" s="165"/>
      <c r="K105" s="167"/>
      <c r="L105" s="167"/>
      <c r="M105" s="167"/>
      <c r="N105" s="167"/>
      <c r="O105" s="167"/>
      <c r="P105" s="167"/>
      <c r="Q105" s="168"/>
      <c r="R105" s="167"/>
      <c r="S105" s="167"/>
      <c r="T105" s="169"/>
      <c r="U105" s="167"/>
      <c r="V105" s="170"/>
      <c r="W105" s="167"/>
      <c r="X105" s="165"/>
      <c r="Y105" s="167"/>
      <c r="Z105" s="167"/>
      <c r="AA105" s="167"/>
      <c r="AB105" s="165"/>
      <c r="AC105" s="167"/>
    </row>
    <row r="106" spans="1:29" x14ac:dyDescent="0.15">
      <c r="A106" s="165"/>
      <c r="B106" s="165"/>
      <c r="C106" s="165"/>
      <c r="D106" s="166"/>
      <c r="E106" s="167"/>
      <c r="F106" s="167"/>
      <c r="G106" s="165"/>
      <c r="H106" s="167"/>
      <c r="I106" s="167"/>
      <c r="J106" s="165"/>
      <c r="K106" s="167"/>
      <c r="L106" s="167"/>
      <c r="M106" s="167"/>
      <c r="N106" s="167"/>
      <c r="O106" s="167"/>
      <c r="P106" s="167"/>
      <c r="Q106" s="168"/>
      <c r="R106" s="167"/>
      <c r="S106" s="167"/>
      <c r="T106" s="169"/>
      <c r="U106" s="167"/>
      <c r="V106" s="170"/>
      <c r="W106" s="167"/>
      <c r="X106" s="165"/>
      <c r="Y106" s="167"/>
      <c r="Z106" s="167"/>
      <c r="AA106" s="167"/>
      <c r="AB106" s="165"/>
      <c r="AC106" s="167"/>
    </row>
    <row r="107" spans="1:29" x14ac:dyDescent="0.15">
      <c r="A107" s="167"/>
      <c r="B107" s="167"/>
      <c r="C107" s="167"/>
      <c r="D107" s="167"/>
      <c r="E107" s="167"/>
      <c r="F107" s="167"/>
      <c r="G107" s="167"/>
      <c r="H107" s="167"/>
      <c r="I107" s="167"/>
      <c r="J107" s="167"/>
      <c r="K107" s="167"/>
      <c r="L107" s="167"/>
      <c r="M107" s="167"/>
      <c r="N107" s="167"/>
      <c r="O107" s="167"/>
      <c r="P107" s="167"/>
      <c r="Q107" s="169"/>
      <c r="R107" s="167"/>
      <c r="S107" s="167"/>
      <c r="T107" s="169"/>
      <c r="U107" s="167"/>
      <c r="V107" s="169"/>
      <c r="W107" s="167"/>
      <c r="X107" s="167"/>
      <c r="Y107" s="167"/>
      <c r="Z107" s="167"/>
      <c r="AA107" s="167"/>
      <c r="AB107" s="167"/>
      <c r="AC107" s="167"/>
    </row>
    <row r="108" spans="1:29" x14ac:dyDescent="0.15">
      <c r="A108" s="167"/>
      <c r="B108" s="167"/>
      <c r="C108" s="167"/>
      <c r="D108" s="167"/>
      <c r="E108" s="167"/>
      <c r="F108" s="167"/>
      <c r="G108" s="167"/>
      <c r="H108" s="167"/>
      <c r="I108" s="167"/>
      <c r="J108" s="167"/>
      <c r="K108" s="167"/>
      <c r="L108" s="167" t="s">
        <v>395</v>
      </c>
      <c r="M108" s="167"/>
      <c r="N108" s="167"/>
      <c r="O108" s="167"/>
      <c r="P108" s="167"/>
      <c r="Q108" s="169"/>
      <c r="R108" s="167"/>
      <c r="S108" s="167"/>
      <c r="T108" s="169"/>
      <c r="U108" s="167"/>
      <c r="V108" s="169"/>
      <c r="W108" s="167"/>
      <c r="X108" s="167"/>
      <c r="Y108" s="167"/>
      <c r="Z108" s="167"/>
      <c r="AA108" s="167"/>
      <c r="AB108" s="167"/>
      <c r="AC108" s="167"/>
    </row>
    <row r="109" spans="1:29" x14ac:dyDescent="0.15">
      <c r="K109" s="167"/>
    </row>
    <row r="110" spans="1:29" x14ac:dyDescent="0.15">
      <c r="K110" s="167"/>
    </row>
    <row r="111" spans="1:29" x14ac:dyDescent="0.15">
      <c r="K111" s="167"/>
    </row>
    <row r="112" spans="1:29" x14ac:dyDescent="0.15">
      <c r="K112" s="167"/>
    </row>
    <row r="113" spans="11:11" x14ac:dyDescent="0.15">
      <c r="K113" s="167"/>
    </row>
    <row r="114" spans="11:11" x14ac:dyDescent="0.15">
      <c r="K114" s="167"/>
    </row>
  </sheetData>
  <autoFilter ref="A1:BA1">
    <sortState ref="A2:BA64">
      <sortCondition ref="X1"/>
    </sortState>
  </autoFilter>
  <phoneticPr fontId="3"/>
  <dataValidations count="21">
    <dataValidation type="list" allowBlank="1" showInputMessage="1" showErrorMessage="1" sqref="K2:K114">
      <formula1>$AR$2:$AR$26</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JF2:JF67 TB2:TB67 ACX2:ACX67 AMT2:AMT67 AWP2:AWP67 BGL2:BGL67 BQH2:BQH67 CAD2:CAD67 CJZ2:CJZ67 CTV2:CTV67 DDR2:DDR67 DNN2:DNN67 DXJ2:DXJ67 EHF2:EHF67 ERB2:ERB67 FAX2:FAX67 FKT2:FKT67 FUP2:FUP67 GEL2:GEL67 GOH2:GOH67 GYD2:GYD67 HHZ2:HHZ67 HRV2:HRV67 IBR2:IBR67 ILN2:ILN67 IVJ2:IVJ67 JFF2:JFF67 JPB2:JPB67 JYX2:JYX67 KIT2:KIT67 KSP2:KSP67 LCL2:LCL67 LMH2:LMH67 LWD2:LWD67 MFZ2:MFZ67 MPV2:MPV67 MZR2:MZR67 NJN2:NJN67 NTJ2:NTJ67 ODF2:ODF67 ONB2:ONB67 OWX2:OWX67 PGT2:PGT67 PQP2:PQP67 QAL2:QAL67 QKH2:QKH67 QUD2:QUD67 RDZ2:RDZ67 RNV2:RNV67 RXR2:RXR67 SHN2:SHN67 SRJ2:SRJ67 TBF2:TBF67 TLB2:TLB67 TUX2:TUX67 UET2:UET67 UOP2:UOP67 UYL2:UYL67 VIH2:VIH67 VSD2:VSD67 WBZ2:WBZ67 WLV2:WLV67 WVR2:WVR67">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08:F981897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2:F916361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6:F850825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0:F785289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4:F719753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28:F654217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2:F588681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6:F523145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0:F457609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4:F392073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48:F326537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2:F261001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6:F195465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0:F129929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4:F64393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08:E981897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2:E916361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6:E850825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0:E785289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4:E719753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28:E654217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2:E588681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6:E523145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0:E457609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4:E392073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48:E326537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2:E261001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6:E195465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0:E129929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4:E64393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IX2:IX67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B2:B88"/>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IW2:IW67 SS2:SS67 ACO2:ACO67 AMK2:AMK67 AWG2:AWG67 BGC2:BGC67 BPY2:BPY67 BZU2:BZU67 CJQ2:CJQ67 CTM2:CTM67 DDI2:DDI67 DNE2:DNE67 DXA2:DXA67 EGW2:EGW67 EQS2:EQS67 FAO2:FAO67 FKK2:FKK67 FUG2:FUG67 GEC2:GEC67 GNY2:GNY67 GXU2:GXU67 HHQ2:HHQ67 HRM2:HRM67 IBI2:IBI67 ILE2:ILE67 IVA2:IVA67 JEW2:JEW67 JOS2:JOS67 JYO2:JYO67 KIK2:KIK67 KSG2:KSG67 LCC2:LCC67 LLY2:LLY67 LVU2:LVU67 MFQ2:MFQ67 MPM2:MPM67 MZI2:MZI67 NJE2:NJE67 NTA2:NTA67 OCW2:OCW67 OMS2:OMS67 OWO2:OWO67 PGK2:PGK67 PQG2:PQG67 QAC2:QAC67 QJY2:QJY67 QTU2:QTU67 RDQ2:RDQ67 RNM2:RNM67 RXI2:RXI67 SHE2:SHE67 SRA2:SRA67 TAW2:TAW67 TKS2:TKS67 TUO2:TUO67 UEK2:UEK67 UOG2:UOG67 UYC2:UYC67 VHY2:VHY67 VRU2:VRU67 WBQ2:WBQ67 WLM2:WLM67 WVI2:WVI67">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JC2:JC67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G2:G88">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JE2:JE67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I2:I88">
      <formula1>$AN$5:$AN$6</formula1>
    </dataValidation>
    <dataValidation type="list" allowBlank="1" showInputMessage="1" showErrorMessage="1" sqref="WWG981799:WWI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WCO981799:WCQ981882 WWG2:WWI67 WMK2:WMM67 WCO2:WCQ67 VSS2:VSU67 VIW2:VIY67 UZA2:UZC67 UPE2:UPG67 UFI2:UFK67 TVM2:TVO67 TLQ2:TLS67 TBU2:TBW67 SRY2:SSA67 SIC2:SIE67 RYG2:RYI67 ROK2:ROM67 REO2:REQ67 QUS2:QUU67 QKW2:QKY67 QBA2:QBC67 PRE2:PRG67 PHI2:PHK67 OXM2:OXO67 ONQ2:ONS67 ODU2:ODW67 NTY2:NUA67 NKC2:NKE67 NAG2:NAI67 MQK2:MQM67 MGO2:MGQ67 LWS2:LWU67 LMW2:LMY67 LDA2:LDC67 KTE2:KTG67 KJI2:KJK67 JZM2:JZO67 JPQ2:JPS67 JFU2:JFW67 IVY2:IWA67 IMC2:IME67 ICG2:ICI67 HSK2:HSM67 HIO2:HIQ67 GYS2:GYU67 GOW2:GOY67 GFA2:GFC67 FVE2:FVG67 FLI2:FLK67 FBM2:FBO67 ERQ2:ERS67 EHU2:EHW67 DXY2:DYA67 DOC2:DOE67 DEG2:DEI67 CUK2:CUM67 CKO2:CKQ67 CAS2:CAU67 BQW2:BQY67 BHA2:BHC67 AXE2:AXG67 ANI2:ANK67 ADM2:ADO67 TQ2:TS67 JU2:JW67">
      <formula1>$AV$2:$AV$22</formula1>
    </dataValidation>
    <dataValidation type="list" allowBlank="1" showInputMessage="1" showErrorMessage="1" sqref="K115:K494">
      <formula1>$AR$2:$AR$25</formula1>
    </dataValidation>
    <dataValidation type="list" allowBlank="1" showInputMessage="1" showErrorMessage="1" sqref="J90:J494 J2:J88">
      <formula1>$AP$2:$AP$27</formula1>
    </dataValidation>
    <dataValidation type="list" allowBlank="1" showInputMessage="1" showErrorMessage="1" sqref="F90:F494 F2:F88">
      <formula1>$AH$2:$AH$10</formula1>
    </dataValidation>
    <dataValidation type="list" allowBlank="1" showInputMessage="1" showErrorMessage="1" sqref="E90:E494 E2:E88">
      <formula1>$AG$2:$AG$11</formula1>
    </dataValidation>
    <dataValidation type="list" allowBlank="1" showInputMessage="1" showErrorMessage="1" sqref="A90:A494 A2:A88">
      <formula1>$AE$2:$AE$19</formula1>
    </dataValidation>
    <dataValidation type="list" allowBlank="1" showInputMessage="1" showErrorMessage="1" sqref="H90:H494 H2:H88">
      <formula1>$AL$2:$AL$8</formula1>
    </dataValidation>
    <dataValidation type="list" allowBlank="1" showInputMessage="1" showErrorMessage="1" sqref="Y90:AA494 Y2:AA88">
      <formula1>$AV$2:$AV$21</formula1>
    </dataValidation>
    <dataValidation type="decimal" allowBlank="1" showInputMessage="1" showErrorMessage="1" error="硬度を正しく入力して下さい。" sqref="O90:P494 N38:N66 P8:P37 O14:O22 N68:N72 N11:N13 N17:N22 O38:P88">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6"/>
  <sheetViews>
    <sheetView topLeftCell="A16" zoomScale="85" zoomScaleNormal="85" workbookViewId="0">
      <selection activeCell="K37" sqref="K37"/>
    </sheetView>
  </sheetViews>
  <sheetFormatPr defaultColWidth="8.875" defaultRowHeight="13.5" x14ac:dyDescent="0.15"/>
  <cols>
    <col min="1" max="3" width="8.875" style="87"/>
    <col min="4" max="4" width="13.5" style="87" bestFit="1" customWidth="1"/>
    <col min="5" max="5" width="9.625" style="87" bestFit="1" customWidth="1"/>
    <col min="6" max="16" width="8.875" style="87"/>
    <col min="17" max="17" width="8.875" style="16"/>
    <col min="18" max="19" width="8.875" style="87"/>
    <col min="20" max="20" width="8.875" style="16"/>
    <col min="21" max="21" width="8.875" style="87"/>
    <col min="22" max="22" width="8.875" style="16"/>
    <col min="23" max="32" width="8.875" style="87"/>
    <col min="33" max="33" width="19.625" style="87" bestFit="1" customWidth="1"/>
    <col min="34" max="259" width="8.875" style="87"/>
    <col min="260" max="260" width="10.5" style="87" bestFit="1" customWidth="1"/>
    <col min="261" max="261" width="9.625" style="87" bestFit="1" customWidth="1"/>
    <col min="262" max="515" width="8.875" style="87"/>
    <col min="516" max="516" width="10.5" style="87" bestFit="1" customWidth="1"/>
    <col min="517" max="517" width="9.625" style="87" bestFit="1" customWidth="1"/>
    <col min="518" max="771" width="8.875" style="87"/>
    <col min="772" max="772" width="10.5" style="87" bestFit="1" customWidth="1"/>
    <col min="773" max="773" width="9.625" style="87" bestFit="1" customWidth="1"/>
    <col min="774" max="1027" width="8.875" style="87"/>
    <col min="1028" max="1028" width="10.5" style="87" bestFit="1" customWidth="1"/>
    <col min="1029" max="1029" width="9.625" style="87" bestFit="1" customWidth="1"/>
    <col min="1030" max="1283" width="8.875" style="87"/>
    <col min="1284" max="1284" width="10.5" style="87" bestFit="1" customWidth="1"/>
    <col min="1285" max="1285" width="9.625" style="87" bestFit="1" customWidth="1"/>
    <col min="1286" max="1539" width="8.875" style="87"/>
    <col min="1540" max="1540" width="10.5" style="87" bestFit="1" customWidth="1"/>
    <col min="1541" max="1541" width="9.625" style="87" bestFit="1" customWidth="1"/>
    <col min="1542" max="1795" width="8.875" style="87"/>
    <col min="1796" max="1796" width="10.5" style="87" bestFit="1" customWidth="1"/>
    <col min="1797" max="1797" width="9.625" style="87" bestFit="1" customWidth="1"/>
    <col min="1798" max="2051" width="8.875" style="87"/>
    <col min="2052" max="2052" width="10.5" style="87" bestFit="1" customWidth="1"/>
    <col min="2053" max="2053" width="9.625" style="87" bestFit="1" customWidth="1"/>
    <col min="2054" max="2307" width="8.875" style="87"/>
    <col min="2308" max="2308" width="10.5" style="87" bestFit="1" customWidth="1"/>
    <col min="2309" max="2309" width="9.625" style="87" bestFit="1" customWidth="1"/>
    <col min="2310" max="2563" width="8.875" style="87"/>
    <col min="2564" max="2564" width="10.5" style="87" bestFit="1" customWidth="1"/>
    <col min="2565" max="2565" width="9.625" style="87" bestFit="1" customWidth="1"/>
    <col min="2566" max="2819" width="8.875" style="87"/>
    <col min="2820" max="2820" width="10.5" style="87" bestFit="1" customWidth="1"/>
    <col min="2821" max="2821" width="9.625" style="87" bestFit="1" customWidth="1"/>
    <col min="2822" max="3075" width="8.875" style="87"/>
    <col min="3076" max="3076" width="10.5" style="87" bestFit="1" customWidth="1"/>
    <col min="3077" max="3077" width="9.625" style="87" bestFit="1" customWidth="1"/>
    <col min="3078" max="3331" width="8.875" style="87"/>
    <col min="3332" max="3332" width="10.5" style="87" bestFit="1" customWidth="1"/>
    <col min="3333" max="3333" width="9.625" style="87" bestFit="1" customWidth="1"/>
    <col min="3334" max="3587" width="8.875" style="87"/>
    <col min="3588" max="3588" width="10.5" style="87" bestFit="1" customWidth="1"/>
    <col min="3589" max="3589" width="9.625" style="87" bestFit="1" customWidth="1"/>
    <col min="3590" max="3843" width="8.875" style="87"/>
    <col min="3844" max="3844" width="10.5" style="87" bestFit="1" customWidth="1"/>
    <col min="3845" max="3845" width="9.625" style="87" bestFit="1" customWidth="1"/>
    <col min="3846" max="4099" width="8.875" style="87"/>
    <col min="4100" max="4100" width="10.5" style="87" bestFit="1" customWidth="1"/>
    <col min="4101" max="4101" width="9.625" style="87" bestFit="1" customWidth="1"/>
    <col min="4102" max="4355" width="8.875" style="87"/>
    <col min="4356" max="4356" width="10.5" style="87" bestFit="1" customWidth="1"/>
    <col min="4357" max="4357" width="9.625" style="87" bestFit="1" customWidth="1"/>
    <col min="4358" max="4611" width="8.875" style="87"/>
    <col min="4612" max="4612" width="10.5" style="87" bestFit="1" customWidth="1"/>
    <col min="4613" max="4613" width="9.625" style="87" bestFit="1" customWidth="1"/>
    <col min="4614" max="4867" width="8.875" style="87"/>
    <col min="4868" max="4868" width="10.5" style="87" bestFit="1" customWidth="1"/>
    <col min="4869" max="4869" width="9.625" style="87" bestFit="1" customWidth="1"/>
    <col min="4870" max="5123" width="8.875" style="87"/>
    <col min="5124" max="5124" width="10.5" style="87" bestFit="1" customWidth="1"/>
    <col min="5125" max="5125" width="9.625" style="87" bestFit="1" customWidth="1"/>
    <col min="5126" max="5379" width="8.875" style="87"/>
    <col min="5380" max="5380" width="10.5" style="87" bestFit="1" customWidth="1"/>
    <col min="5381" max="5381" width="9.625" style="87" bestFit="1" customWidth="1"/>
    <col min="5382" max="5635" width="8.875" style="87"/>
    <col min="5636" max="5636" width="10.5" style="87" bestFit="1" customWidth="1"/>
    <col min="5637" max="5637" width="9.625" style="87" bestFit="1" customWidth="1"/>
    <col min="5638" max="5891" width="8.875" style="87"/>
    <col min="5892" max="5892" width="10.5" style="87" bestFit="1" customWidth="1"/>
    <col min="5893" max="5893" width="9.625" style="87" bestFit="1" customWidth="1"/>
    <col min="5894" max="6147" width="8.875" style="87"/>
    <col min="6148" max="6148" width="10.5" style="87" bestFit="1" customWidth="1"/>
    <col min="6149" max="6149" width="9.625" style="87" bestFit="1" customWidth="1"/>
    <col min="6150" max="6403" width="8.875" style="87"/>
    <col min="6404" max="6404" width="10.5" style="87" bestFit="1" customWidth="1"/>
    <col min="6405" max="6405" width="9.625" style="87" bestFit="1" customWidth="1"/>
    <col min="6406" max="6659" width="8.875" style="87"/>
    <col min="6660" max="6660" width="10.5" style="87" bestFit="1" customWidth="1"/>
    <col min="6661" max="6661" width="9.625" style="87" bestFit="1" customWidth="1"/>
    <col min="6662" max="6915" width="8.875" style="87"/>
    <col min="6916" max="6916" width="10.5" style="87" bestFit="1" customWidth="1"/>
    <col min="6917" max="6917" width="9.625" style="87" bestFit="1" customWidth="1"/>
    <col min="6918" max="7171" width="8.875" style="87"/>
    <col min="7172" max="7172" width="10.5" style="87" bestFit="1" customWidth="1"/>
    <col min="7173" max="7173" width="9.625" style="87" bestFit="1" customWidth="1"/>
    <col min="7174" max="7427" width="8.875" style="87"/>
    <col min="7428" max="7428" width="10.5" style="87" bestFit="1" customWidth="1"/>
    <col min="7429" max="7429" width="9.625" style="87" bestFit="1" customWidth="1"/>
    <col min="7430" max="7683" width="8.875" style="87"/>
    <col min="7684" max="7684" width="10.5" style="87" bestFit="1" customWidth="1"/>
    <col min="7685" max="7685" width="9.625" style="87" bestFit="1" customWidth="1"/>
    <col min="7686" max="7939" width="8.875" style="87"/>
    <col min="7940" max="7940" width="10.5" style="87" bestFit="1" customWidth="1"/>
    <col min="7941" max="7941" width="9.625" style="87" bestFit="1" customWidth="1"/>
    <col min="7942" max="8195" width="8.875" style="87"/>
    <col min="8196" max="8196" width="10.5" style="87" bestFit="1" customWidth="1"/>
    <col min="8197" max="8197" width="9.625" style="87" bestFit="1" customWidth="1"/>
    <col min="8198" max="8451" width="8.875" style="87"/>
    <col min="8452" max="8452" width="10.5" style="87" bestFit="1" customWidth="1"/>
    <col min="8453" max="8453" width="9.625" style="87" bestFit="1" customWidth="1"/>
    <col min="8454" max="8707" width="8.875" style="87"/>
    <col min="8708" max="8708" width="10.5" style="87" bestFit="1" customWidth="1"/>
    <col min="8709" max="8709" width="9.625" style="87" bestFit="1" customWidth="1"/>
    <col min="8710" max="8963" width="8.875" style="87"/>
    <col min="8964" max="8964" width="10.5" style="87" bestFit="1" customWidth="1"/>
    <col min="8965" max="8965" width="9.625" style="87" bestFit="1" customWidth="1"/>
    <col min="8966" max="9219" width="8.875" style="87"/>
    <col min="9220" max="9220" width="10.5" style="87" bestFit="1" customWidth="1"/>
    <col min="9221" max="9221" width="9.625" style="87" bestFit="1" customWidth="1"/>
    <col min="9222" max="9475" width="8.875" style="87"/>
    <col min="9476" max="9476" width="10.5" style="87" bestFit="1" customWidth="1"/>
    <col min="9477" max="9477" width="9.625" style="87" bestFit="1" customWidth="1"/>
    <col min="9478" max="9731" width="8.875" style="87"/>
    <col min="9732" max="9732" width="10.5" style="87" bestFit="1" customWidth="1"/>
    <col min="9733" max="9733" width="9.625" style="87" bestFit="1" customWidth="1"/>
    <col min="9734" max="9987" width="8.875" style="87"/>
    <col min="9988" max="9988" width="10.5" style="87" bestFit="1" customWidth="1"/>
    <col min="9989" max="9989" width="9.625" style="87" bestFit="1" customWidth="1"/>
    <col min="9990" max="10243" width="8.875" style="87"/>
    <col min="10244" max="10244" width="10.5" style="87" bestFit="1" customWidth="1"/>
    <col min="10245" max="10245" width="9.625" style="87" bestFit="1" customWidth="1"/>
    <col min="10246" max="10499" width="8.875" style="87"/>
    <col min="10500" max="10500" width="10.5" style="87" bestFit="1" customWidth="1"/>
    <col min="10501" max="10501" width="9.625" style="87" bestFit="1" customWidth="1"/>
    <col min="10502" max="10755" width="8.875" style="87"/>
    <col min="10756" max="10756" width="10.5" style="87" bestFit="1" customWidth="1"/>
    <col min="10757" max="10757" width="9.625" style="87" bestFit="1" customWidth="1"/>
    <col min="10758" max="11011" width="8.875" style="87"/>
    <col min="11012" max="11012" width="10.5" style="87" bestFit="1" customWidth="1"/>
    <col min="11013" max="11013" width="9.625" style="87" bestFit="1" customWidth="1"/>
    <col min="11014" max="11267" width="8.875" style="87"/>
    <col min="11268" max="11268" width="10.5" style="87" bestFit="1" customWidth="1"/>
    <col min="11269" max="11269" width="9.625" style="87" bestFit="1" customWidth="1"/>
    <col min="11270" max="11523" width="8.875" style="87"/>
    <col min="11524" max="11524" width="10.5" style="87" bestFit="1" customWidth="1"/>
    <col min="11525" max="11525" width="9.625" style="87" bestFit="1" customWidth="1"/>
    <col min="11526" max="11779" width="8.875" style="87"/>
    <col min="11780" max="11780" width="10.5" style="87" bestFit="1" customWidth="1"/>
    <col min="11781" max="11781" width="9.625" style="87" bestFit="1" customWidth="1"/>
    <col min="11782" max="12035" width="8.875" style="87"/>
    <col min="12036" max="12036" width="10.5" style="87" bestFit="1" customWidth="1"/>
    <col min="12037" max="12037" width="9.625" style="87" bestFit="1" customWidth="1"/>
    <col min="12038" max="12291" width="8.875" style="87"/>
    <col min="12292" max="12292" width="10.5" style="87" bestFit="1" customWidth="1"/>
    <col min="12293" max="12293" width="9.625" style="87" bestFit="1" customWidth="1"/>
    <col min="12294" max="12547" width="8.875" style="87"/>
    <col min="12548" max="12548" width="10.5" style="87" bestFit="1" customWidth="1"/>
    <col min="12549" max="12549" width="9.625" style="87" bestFit="1" customWidth="1"/>
    <col min="12550" max="12803" width="8.875" style="87"/>
    <col min="12804" max="12804" width="10.5" style="87" bestFit="1" customWidth="1"/>
    <col min="12805" max="12805" width="9.625" style="87" bestFit="1" customWidth="1"/>
    <col min="12806" max="13059" width="8.875" style="87"/>
    <col min="13060" max="13060" width="10.5" style="87" bestFit="1" customWidth="1"/>
    <col min="13061" max="13061" width="9.625" style="87" bestFit="1" customWidth="1"/>
    <col min="13062" max="13315" width="8.875" style="87"/>
    <col min="13316" max="13316" width="10.5" style="87" bestFit="1" customWidth="1"/>
    <col min="13317" max="13317" width="9.625" style="87" bestFit="1" customWidth="1"/>
    <col min="13318" max="13571" width="8.875" style="87"/>
    <col min="13572" max="13572" width="10.5" style="87" bestFit="1" customWidth="1"/>
    <col min="13573" max="13573" width="9.625" style="87" bestFit="1" customWidth="1"/>
    <col min="13574" max="13827" width="8.875" style="87"/>
    <col min="13828" max="13828" width="10.5" style="87" bestFit="1" customWidth="1"/>
    <col min="13829" max="13829" width="9.625" style="87" bestFit="1" customWidth="1"/>
    <col min="13830" max="14083" width="8.875" style="87"/>
    <col min="14084" max="14084" width="10.5" style="87" bestFit="1" customWidth="1"/>
    <col min="14085" max="14085" width="9.625" style="87" bestFit="1" customWidth="1"/>
    <col min="14086" max="14339" width="8.875" style="87"/>
    <col min="14340" max="14340" width="10.5" style="87" bestFit="1" customWidth="1"/>
    <col min="14341" max="14341" width="9.625" style="87" bestFit="1" customWidth="1"/>
    <col min="14342" max="14595" width="8.875" style="87"/>
    <col min="14596" max="14596" width="10.5" style="87" bestFit="1" customWidth="1"/>
    <col min="14597" max="14597" width="9.625" style="87" bestFit="1" customWidth="1"/>
    <col min="14598" max="14851" width="8.875" style="87"/>
    <col min="14852" max="14852" width="10.5" style="87" bestFit="1" customWidth="1"/>
    <col min="14853" max="14853" width="9.625" style="87" bestFit="1" customWidth="1"/>
    <col min="14854" max="15107" width="8.875" style="87"/>
    <col min="15108" max="15108" width="10.5" style="87" bestFit="1" customWidth="1"/>
    <col min="15109" max="15109" width="9.625" style="87" bestFit="1" customWidth="1"/>
    <col min="15110" max="15363" width="8.875" style="87"/>
    <col min="15364" max="15364" width="10.5" style="87" bestFit="1" customWidth="1"/>
    <col min="15365" max="15365" width="9.625" style="87" bestFit="1" customWidth="1"/>
    <col min="15366" max="15619" width="8.875" style="87"/>
    <col min="15620" max="15620" width="10.5" style="87" bestFit="1" customWidth="1"/>
    <col min="15621" max="15621" width="9.625" style="87" bestFit="1" customWidth="1"/>
    <col min="15622" max="15875" width="8.875" style="87"/>
    <col min="15876" max="15876" width="10.5" style="87" bestFit="1" customWidth="1"/>
    <col min="15877" max="15877" width="9.625" style="87" bestFit="1" customWidth="1"/>
    <col min="15878" max="16131" width="8.875" style="87"/>
    <col min="16132" max="16132" width="10.5" style="87" bestFit="1" customWidth="1"/>
    <col min="16133" max="16133" width="9.625" style="87" bestFit="1" customWidth="1"/>
    <col min="16134" max="16384" width="8.875" style="87"/>
  </cols>
  <sheetData>
    <row r="1" spans="1:53" ht="45" x14ac:dyDescent="0.15">
      <c r="A1" s="102" t="s">
        <v>0</v>
      </c>
      <c r="B1" s="84" t="s">
        <v>1</v>
      </c>
      <c r="C1" s="84" t="s">
        <v>156</v>
      </c>
      <c r="D1" s="85" t="s">
        <v>3</v>
      </c>
      <c r="E1" s="103" t="s">
        <v>4</v>
      </c>
      <c r="F1" s="103" t="s">
        <v>5</v>
      </c>
      <c r="G1" s="103" t="s">
        <v>6</v>
      </c>
      <c r="H1" s="103" t="s">
        <v>7</v>
      </c>
      <c r="I1" s="103" t="s">
        <v>8</v>
      </c>
      <c r="J1" s="103" t="s">
        <v>9</v>
      </c>
      <c r="K1" s="103" t="s">
        <v>10</v>
      </c>
      <c r="L1" s="85" t="s">
        <v>205</v>
      </c>
      <c r="M1" s="85" t="s">
        <v>12</v>
      </c>
      <c r="N1" s="85" t="s">
        <v>396</v>
      </c>
      <c r="O1" s="85" t="s">
        <v>163</v>
      </c>
      <c r="P1" s="85" t="s">
        <v>15</v>
      </c>
      <c r="Q1" s="3" t="s">
        <v>16</v>
      </c>
      <c r="R1" s="85" t="s">
        <v>17</v>
      </c>
      <c r="S1" s="85" t="s">
        <v>18</v>
      </c>
      <c r="T1" s="3" t="s">
        <v>19</v>
      </c>
      <c r="U1" s="86" t="s">
        <v>397</v>
      </c>
      <c r="V1" s="5" t="s">
        <v>20</v>
      </c>
      <c r="W1" s="85" t="s">
        <v>21</v>
      </c>
      <c r="X1" s="103" t="s">
        <v>22</v>
      </c>
      <c r="Y1" s="103" t="s">
        <v>23</v>
      </c>
      <c r="Z1" s="103" t="s">
        <v>24</v>
      </c>
      <c r="AA1" s="104" t="s">
        <v>25</v>
      </c>
      <c r="AB1" s="6" t="s">
        <v>206</v>
      </c>
      <c r="AE1" s="88" t="s">
        <v>0</v>
      </c>
      <c r="AF1" s="89"/>
      <c r="AG1" s="88" t="s">
        <v>4</v>
      </c>
      <c r="AH1" s="88" t="s">
        <v>5</v>
      </c>
      <c r="AI1" s="89"/>
      <c r="AJ1" s="88" t="s">
        <v>6</v>
      </c>
      <c r="AK1" s="89"/>
      <c r="AL1" s="90" t="s">
        <v>7</v>
      </c>
      <c r="AM1" s="89"/>
      <c r="AN1" s="90" t="s">
        <v>8</v>
      </c>
      <c r="AO1" s="89"/>
      <c r="AP1" s="90" t="s">
        <v>27</v>
      </c>
      <c r="AQ1" s="89"/>
      <c r="AR1" s="90" t="s">
        <v>10</v>
      </c>
      <c r="AS1" s="89"/>
      <c r="AT1" s="91" t="s">
        <v>28</v>
      </c>
      <c r="AU1" s="89"/>
      <c r="AV1" s="90" t="s">
        <v>29</v>
      </c>
      <c r="AX1" s="92" t="s">
        <v>207</v>
      </c>
      <c r="AY1" s="93" t="s">
        <v>158</v>
      </c>
      <c r="AZ1" s="93" t="s">
        <v>164</v>
      </c>
      <c r="BA1" s="94" t="s">
        <v>165</v>
      </c>
    </row>
    <row r="2" spans="1:53" x14ac:dyDescent="0.15">
      <c r="A2" s="87" t="s">
        <v>59</v>
      </c>
      <c r="B2" s="100" t="s">
        <v>182</v>
      </c>
      <c r="C2" s="83">
        <v>2018</v>
      </c>
      <c r="D2" s="181" t="s">
        <v>398</v>
      </c>
      <c r="E2" s="87" t="s">
        <v>399</v>
      </c>
      <c r="F2" s="87" t="s">
        <v>400</v>
      </c>
      <c r="G2" s="87" t="s">
        <v>36</v>
      </c>
      <c r="H2" s="87" t="s">
        <v>155</v>
      </c>
      <c r="I2" s="87" t="s">
        <v>153</v>
      </c>
      <c r="J2" s="87" t="s">
        <v>38</v>
      </c>
      <c r="K2" s="87" t="s">
        <v>154</v>
      </c>
      <c r="L2" s="87">
        <v>1</v>
      </c>
      <c r="N2" s="87">
        <v>4</v>
      </c>
      <c r="O2" s="87">
        <v>0.85</v>
      </c>
      <c r="P2" s="87">
        <v>0.73</v>
      </c>
      <c r="Q2" s="113">
        <f>IF(OR(O2="",P2=""),"",AVERAGE(O2,P2))</f>
        <v>0.79</v>
      </c>
      <c r="R2" s="87">
        <v>13.9</v>
      </c>
      <c r="S2" s="87">
        <v>136</v>
      </c>
      <c r="T2" s="16">
        <f t="shared" ref="T2:T55" si="0">IF(H2="","",IF(OR(H2="GREEN",H2="GK"),IF(S2&gt;=$AX$2,VLOOKUP(S2,$AX$2:$AY$12,2,1),""),IF(S2&gt;=$AZ$2,VLOOKUP(S2,$AZ$2:$BA$12,2,1),"")))</f>
        <v>30</v>
      </c>
      <c r="U2" s="87">
        <v>298</v>
      </c>
      <c r="V2" s="16">
        <f t="shared" ref="V2:V55" si="1">IF(J2="","",IF(OR(J2="GREEN",J2="GK"),IF(U2&gt;=$AX$2,VLOOKUP(U2,$AX$2:$AY$12,2,1),""),IF(U2&gt;=$AZ$2,VLOOKUP(U2,$AZ$2:$BA$12,2,1),"")))</f>
        <v>16</v>
      </c>
      <c r="W2" s="87">
        <v>4</v>
      </c>
      <c r="X2" s="87" t="s">
        <v>39</v>
      </c>
      <c r="Y2" s="87" t="s">
        <v>90</v>
      </c>
      <c r="Z2" s="87" t="s">
        <v>84</v>
      </c>
      <c r="AA2" s="87" t="s">
        <v>69</v>
      </c>
      <c r="AB2" s="100" t="s">
        <v>401</v>
      </c>
      <c r="AE2" s="96" t="s">
        <v>35</v>
      </c>
      <c r="AG2" s="182" t="s">
        <v>402</v>
      </c>
      <c r="AH2" s="183" t="s">
        <v>403</v>
      </c>
      <c r="AJ2" s="184" t="s">
        <v>36</v>
      </c>
      <c r="AL2" s="18" t="s">
        <v>127</v>
      </c>
      <c r="AN2" s="185" t="s">
        <v>404</v>
      </c>
      <c r="AP2" s="18" t="s">
        <v>38</v>
      </c>
      <c r="AR2" s="18" t="s">
        <v>405</v>
      </c>
      <c r="AT2" s="184" t="s">
        <v>39</v>
      </c>
      <c r="AV2" s="23" t="s">
        <v>55</v>
      </c>
      <c r="AX2" s="186">
        <v>1</v>
      </c>
      <c r="AY2" s="187">
        <v>50</v>
      </c>
      <c r="AZ2" s="187">
        <v>1</v>
      </c>
      <c r="BA2" s="188">
        <v>50</v>
      </c>
    </row>
    <row r="3" spans="1:53" x14ac:dyDescent="0.15">
      <c r="A3" s="87" t="s">
        <v>59</v>
      </c>
      <c r="B3" s="100" t="s">
        <v>406</v>
      </c>
      <c r="C3" s="83">
        <v>2018</v>
      </c>
      <c r="D3" s="181" t="s">
        <v>407</v>
      </c>
      <c r="E3" s="87" t="s">
        <v>408</v>
      </c>
      <c r="F3" s="87" t="s">
        <v>400</v>
      </c>
      <c r="G3" s="87" t="s">
        <v>36</v>
      </c>
      <c r="H3" s="87" t="s">
        <v>155</v>
      </c>
      <c r="I3" s="87" t="s">
        <v>153</v>
      </c>
      <c r="J3" s="87" t="s">
        <v>38</v>
      </c>
      <c r="K3" s="87" t="s">
        <v>154</v>
      </c>
      <c r="L3" s="87">
        <v>2</v>
      </c>
      <c r="N3" s="87">
        <v>4</v>
      </c>
      <c r="O3" s="87">
        <v>0.6</v>
      </c>
      <c r="P3" s="87">
        <v>0.56999999999999995</v>
      </c>
      <c r="Q3" s="113">
        <f t="shared" ref="Q3:Q55" si="2">IF(OR(O3="",P3=""),"",AVERAGE(O3,P3))</f>
        <v>0.58499999999999996</v>
      </c>
      <c r="R3" s="87">
        <v>15.2</v>
      </c>
      <c r="S3" s="87">
        <v>135</v>
      </c>
      <c r="T3" s="16">
        <f t="shared" si="0"/>
        <v>30</v>
      </c>
      <c r="U3" s="87">
        <v>298</v>
      </c>
      <c r="V3" s="16">
        <f t="shared" si="1"/>
        <v>16</v>
      </c>
      <c r="W3" s="87">
        <v>4</v>
      </c>
      <c r="X3" s="87" t="s">
        <v>39</v>
      </c>
      <c r="Y3" s="87" t="s">
        <v>90</v>
      </c>
      <c r="Z3" s="87" t="s">
        <v>84</v>
      </c>
      <c r="AA3" s="87" t="s">
        <v>69</v>
      </c>
      <c r="AB3" s="100" t="s">
        <v>409</v>
      </c>
      <c r="AE3" s="97" t="s">
        <v>41</v>
      </c>
      <c r="AG3" s="182" t="s">
        <v>410</v>
      </c>
      <c r="AH3" s="183" t="s">
        <v>400</v>
      </c>
      <c r="AJ3" s="23" t="s">
        <v>42</v>
      </c>
      <c r="AL3" s="23" t="s">
        <v>128</v>
      </c>
      <c r="AN3" s="23" t="s">
        <v>43</v>
      </c>
      <c r="AP3" s="23" t="s">
        <v>44</v>
      </c>
      <c r="AR3" s="41" t="s">
        <v>45</v>
      </c>
      <c r="AT3" s="23" t="s">
        <v>46</v>
      </c>
      <c r="AV3" s="23" t="s">
        <v>411</v>
      </c>
      <c r="AX3" s="24">
        <v>72</v>
      </c>
      <c r="AY3" s="25">
        <v>46</v>
      </c>
      <c r="AZ3" s="25">
        <v>71</v>
      </c>
      <c r="BA3" s="26">
        <v>42</v>
      </c>
    </row>
    <row r="4" spans="1:53" x14ac:dyDescent="0.15">
      <c r="A4" s="87" t="s">
        <v>59</v>
      </c>
      <c r="B4" s="100" t="s">
        <v>406</v>
      </c>
      <c r="C4" s="83">
        <v>2018</v>
      </c>
      <c r="D4" s="181" t="s">
        <v>407</v>
      </c>
      <c r="E4" s="87" t="s">
        <v>408</v>
      </c>
      <c r="F4" s="87" t="s">
        <v>400</v>
      </c>
      <c r="G4" s="87" t="s">
        <v>36</v>
      </c>
      <c r="H4" s="87" t="s">
        <v>412</v>
      </c>
      <c r="I4" s="87" t="s">
        <v>413</v>
      </c>
      <c r="J4" s="87" t="s">
        <v>38</v>
      </c>
      <c r="K4" s="87" t="s">
        <v>154</v>
      </c>
      <c r="L4" s="87">
        <v>3</v>
      </c>
      <c r="N4" s="87">
        <v>4</v>
      </c>
      <c r="O4" s="87">
        <v>0.77</v>
      </c>
      <c r="P4" s="87">
        <v>0.8</v>
      </c>
      <c r="Q4" s="113">
        <f t="shared" si="2"/>
        <v>0.78500000000000003</v>
      </c>
      <c r="R4" s="87">
        <v>15.3</v>
      </c>
      <c r="S4" s="87">
        <v>133</v>
      </c>
      <c r="T4" s="16">
        <f t="shared" si="0"/>
        <v>30</v>
      </c>
      <c r="U4" s="87">
        <v>298</v>
      </c>
      <c r="V4" s="16">
        <f t="shared" si="1"/>
        <v>16</v>
      </c>
      <c r="W4" s="87">
        <v>4</v>
      </c>
      <c r="X4" s="87" t="s">
        <v>39</v>
      </c>
      <c r="Y4" s="87" t="s">
        <v>90</v>
      </c>
      <c r="Z4" s="87" t="s">
        <v>84</v>
      </c>
      <c r="AA4" s="87" t="s">
        <v>69</v>
      </c>
      <c r="AB4" s="100" t="s">
        <v>409</v>
      </c>
      <c r="AE4" s="97" t="s">
        <v>34</v>
      </c>
      <c r="AG4" s="182" t="s">
        <v>414</v>
      </c>
      <c r="AH4" s="183" t="s">
        <v>415</v>
      </c>
      <c r="AJ4" s="27" t="s">
        <v>48</v>
      </c>
      <c r="AL4" s="27" t="s">
        <v>129</v>
      </c>
      <c r="AN4" s="28" t="s">
        <v>49</v>
      </c>
      <c r="AP4" s="23" t="s">
        <v>416</v>
      </c>
      <c r="AR4" s="41" t="s">
        <v>417</v>
      </c>
      <c r="AT4" s="28"/>
      <c r="AV4" s="23" t="s">
        <v>418</v>
      </c>
      <c r="AX4" s="24">
        <v>75</v>
      </c>
      <c r="AY4" s="25">
        <v>42</v>
      </c>
      <c r="AZ4" s="25">
        <v>76</v>
      </c>
      <c r="BA4" s="26">
        <v>39</v>
      </c>
    </row>
    <row r="5" spans="1:53" x14ac:dyDescent="0.15">
      <c r="A5" s="87" t="s">
        <v>59</v>
      </c>
      <c r="B5" s="100" t="s">
        <v>406</v>
      </c>
      <c r="C5" s="83">
        <v>2018</v>
      </c>
      <c r="D5" s="181" t="s">
        <v>407</v>
      </c>
      <c r="E5" s="87" t="s">
        <v>408</v>
      </c>
      <c r="F5" s="87" t="s">
        <v>400</v>
      </c>
      <c r="G5" s="87" t="s">
        <v>36</v>
      </c>
      <c r="H5" s="87" t="s">
        <v>128</v>
      </c>
      <c r="I5" s="87" t="s">
        <v>153</v>
      </c>
      <c r="J5" s="87" t="s">
        <v>419</v>
      </c>
      <c r="K5" s="87" t="s">
        <v>417</v>
      </c>
      <c r="L5" s="87">
        <v>1</v>
      </c>
      <c r="N5" s="87">
        <v>4</v>
      </c>
      <c r="O5" s="87">
        <v>0.65</v>
      </c>
      <c r="P5" s="87">
        <v>0.56000000000000005</v>
      </c>
      <c r="Q5" s="113">
        <f t="shared" si="2"/>
        <v>0.60499999999999998</v>
      </c>
      <c r="R5" s="87">
        <v>14.8</v>
      </c>
      <c r="S5" s="87">
        <v>123</v>
      </c>
      <c r="T5" s="16">
        <f t="shared" si="0"/>
        <v>30</v>
      </c>
      <c r="U5" s="87">
        <v>398</v>
      </c>
      <c r="V5" s="16">
        <f t="shared" si="1"/>
        <v>16</v>
      </c>
      <c r="W5" s="87">
        <v>1</v>
      </c>
      <c r="X5" s="87" t="s">
        <v>39</v>
      </c>
      <c r="Y5" s="87" t="s">
        <v>90</v>
      </c>
      <c r="Z5" s="87" t="s">
        <v>84</v>
      </c>
      <c r="AA5" s="87" t="s">
        <v>69</v>
      </c>
      <c r="AB5" s="100" t="s">
        <v>409</v>
      </c>
      <c r="AE5" s="97" t="s">
        <v>51</v>
      </c>
      <c r="AG5" s="182" t="s">
        <v>420</v>
      </c>
      <c r="AH5" s="183" t="s">
        <v>421</v>
      </c>
      <c r="AJ5" s="28"/>
      <c r="AL5" s="29" t="s">
        <v>422</v>
      </c>
      <c r="AN5" s="72" t="s">
        <v>423</v>
      </c>
      <c r="AP5" s="23" t="s">
        <v>424</v>
      </c>
      <c r="AR5" s="41" t="s">
        <v>54</v>
      </c>
      <c r="AV5" s="23" t="s">
        <v>425</v>
      </c>
      <c r="AX5" s="24">
        <v>84</v>
      </c>
      <c r="AY5" s="25">
        <v>39</v>
      </c>
      <c r="AZ5" s="25">
        <v>84</v>
      </c>
      <c r="BA5" s="26">
        <v>36</v>
      </c>
    </row>
    <row r="6" spans="1:53" x14ac:dyDescent="0.15">
      <c r="A6" s="87" t="s">
        <v>59</v>
      </c>
      <c r="B6" s="100" t="s">
        <v>406</v>
      </c>
      <c r="C6" s="83">
        <v>2018</v>
      </c>
      <c r="D6" s="181" t="s">
        <v>407</v>
      </c>
      <c r="E6" s="87" t="s">
        <v>408</v>
      </c>
      <c r="F6" s="87" t="s">
        <v>400</v>
      </c>
      <c r="G6" s="87" t="s">
        <v>36</v>
      </c>
      <c r="H6" s="87" t="s">
        <v>128</v>
      </c>
      <c r="I6" s="87" t="s">
        <v>153</v>
      </c>
      <c r="J6" s="87" t="s">
        <v>419</v>
      </c>
      <c r="K6" s="87" t="s">
        <v>417</v>
      </c>
      <c r="L6" s="87">
        <v>2</v>
      </c>
      <c r="N6" s="87">
        <v>4</v>
      </c>
      <c r="O6" s="87">
        <v>0.35</v>
      </c>
      <c r="P6" s="87">
        <v>0.35</v>
      </c>
      <c r="Q6" s="113">
        <f t="shared" si="2"/>
        <v>0.35</v>
      </c>
      <c r="R6" s="87">
        <v>15.7</v>
      </c>
      <c r="S6" s="87">
        <v>116</v>
      </c>
      <c r="T6" s="16">
        <f t="shared" si="0"/>
        <v>30</v>
      </c>
      <c r="U6" s="87">
        <v>398</v>
      </c>
      <c r="V6" s="16">
        <f t="shared" si="1"/>
        <v>16</v>
      </c>
      <c r="W6" s="87">
        <v>1</v>
      </c>
      <c r="X6" s="87" t="s">
        <v>39</v>
      </c>
      <c r="Y6" s="87" t="s">
        <v>90</v>
      </c>
      <c r="Z6" s="87" t="s">
        <v>84</v>
      </c>
      <c r="AA6" s="87" t="s">
        <v>69</v>
      </c>
      <c r="AB6" s="100" t="s">
        <v>409</v>
      </c>
      <c r="AE6" s="97" t="s">
        <v>56</v>
      </c>
      <c r="AG6" s="182" t="s">
        <v>426</v>
      </c>
      <c r="AH6" s="183" t="s">
        <v>427</v>
      </c>
      <c r="AL6" s="29" t="s">
        <v>428</v>
      </c>
      <c r="AN6" s="29" t="s">
        <v>429</v>
      </c>
      <c r="AP6" s="23" t="s">
        <v>53</v>
      </c>
      <c r="AR6" s="41" t="s">
        <v>430</v>
      </c>
      <c r="AV6" s="23" t="s">
        <v>60</v>
      </c>
      <c r="AX6" s="24">
        <v>97</v>
      </c>
      <c r="AY6" s="25">
        <v>36</v>
      </c>
      <c r="AZ6" s="25">
        <v>99</v>
      </c>
      <c r="BA6" s="26">
        <v>33</v>
      </c>
    </row>
    <row r="7" spans="1:53" x14ac:dyDescent="0.15">
      <c r="A7" s="87" t="s">
        <v>59</v>
      </c>
      <c r="B7" s="100" t="s">
        <v>234</v>
      </c>
      <c r="C7" s="83">
        <v>2018</v>
      </c>
      <c r="D7" s="181" t="s">
        <v>431</v>
      </c>
      <c r="E7" s="87" t="s">
        <v>432</v>
      </c>
      <c r="F7" s="87" t="s">
        <v>400</v>
      </c>
      <c r="G7" s="87" t="s">
        <v>36</v>
      </c>
      <c r="H7" s="87" t="s">
        <v>128</v>
      </c>
      <c r="I7" s="87" t="s">
        <v>153</v>
      </c>
      <c r="J7" s="87" t="s">
        <v>419</v>
      </c>
      <c r="K7" s="87" t="s">
        <v>417</v>
      </c>
      <c r="L7" s="87">
        <v>3</v>
      </c>
      <c r="N7" s="87">
        <v>4</v>
      </c>
      <c r="O7" s="87">
        <v>0.44</v>
      </c>
      <c r="P7" s="87">
        <v>0.4</v>
      </c>
      <c r="Q7" s="113">
        <f t="shared" si="2"/>
        <v>0.42000000000000004</v>
      </c>
      <c r="R7" s="87">
        <v>15.6</v>
      </c>
      <c r="S7" s="87">
        <v>118</v>
      </c>
      <c r="T7" s="16">
        <f t="shared" si="0"/>
        <v>30</v>
      </c>
      <c r="U7" s="87">
        <v>398</v>
      </c>
      <c r="V7" s="16">
        <f t="shared" si="1"/>
        <v>16</v>
      </c>
      <c r="W7" s="87">
        <v>1</v>
      </c>
      <c r="X7" s="87" t="s">
        <v>39</v>
      </c>
      <c r="Y7" s="87" t="s">
        <v>90</v>
      </c>
      <c r="Z7" s="87" t="s">
        <v>84</v>
      </c>
      <c r="AA7" s="87" t="s">
        <v>69</v>
      </c>
      <c r="AB7" s="100" t="s">
        <v>433</v>
      </c>
      <c r="AE7" s="97" t="s">
        <v>61</v>
      </c>
      <c r="AG7" s="182" t="s">
        <v>434</v>
      </c>
      <c r="AH7" s="183" t="s">
        <v>435</v>
      </c>
      <c r="AL7" s="34" t="s">
        <v>436</v>
      </c>
      <c r="AP7" s="23" t="s">
        <v>58</v>
      </c>
      <c r="AR7" s="98" t="s">
        <v>437</v>
      </c>
      <c r="AV7" s="23" t="s">
        <v>64</v>
      </c>
      <c r="AX7" s="24">
        <v>109</v>
      </c>
      <c r="AY7" s="25">
        <v>33</v>
      </c>
      <c r="AZ7" s="25">
        <v>113</v>
      </c>
      <c r="BA7" s="26">
        <v>30</v>
      </c>
    </row>
    <row r="8" spans="1:53" x14ac:dyDescent="0.15">
      <c r="A8" s="87" t="s">
        <v>59</v>
      </c>
      <c r="B8" s="100" t="s">
        <v>438</v>
      </c>
      <c r="C8" s="83">
        <v>2018</v>
      </c>
      <c r="D8" s="181" t="s">
        <v>439</v>
      </c>
      <c r="E8" s="87" t="s">
        <v>402</v>
      </c>
      <c r="F8" s="87" t="s">
        <v>403</v>
      </c>
      <c r="G8" s="87" t="s">
        <v>36</v>
      </c>
      <c r="H8" s="87" t="s">
        <v>159</v>
      </c>
      <c r="I8" s="87" t="s">
        <v>153</v>
      </c>
      <c r="J8" s="87" t="s">
        <v>38</v>
      </c>
      <c r="K8" s="87" t="s">
        <v>430</v>
      </c>
      <c r="L8" s="87">
        <v>1</v>
      </c>
      <c r="N8" s="87">
        <v>4</v>
      </c>
      <c r="O8" s="87">
        <v>0.28000000000000003</v>
      </c>
      <c r="P8" s="87">
        <v>0.25</v>
      </c>
      <c r="Q8" s="113">
        <f t="shared" si="2"/>
        <v>0.26500000000000001</v>
      </c>
      <c r="R8" s="87">
        <v>16.399999999999999</v>
      </c>
      <c r="S8" s="87">
        <v>77</v>
      </c>
      <c r="T8" s="16">
        <f t="shared" si="0"/>
        <v>39</v>
      </c>
      <c r="U8" s="87">
        <v>457</v>
      </c>
      <c r="V8" s="16">
        <f t="shared" si="1"/>
        <v>16</v>
      </c>
      <c r="W8" s="87">
        <v>3</v>
      </c>
      <c r="X8" s="87" t="s">
        <v>39</v>
      </c>
      <c r="Y8" s="87" t="s">
        <v>90</v>
      </c>
      <c r="Z8" s="87" t="s">
        <v>84</v>
      </c>
      <c r="AA8" s="87" t="s">
        <v>69</v>
      </c>
      <c r="AB8" s="100" t="s">
        <v>433</v>
      </c>
      <c r="AE8" s="97" t="s">
        <v>51</v>
      </c>
      <c r="AG8" s="182" t="s">
        <v>420</v>
      </c>
      <c r="AH8" s="183" t="s">
        <v>421</v>
      </c>
      <c r="AJ8" s="28"/>
      <c r="AL8" s="29" t="s">
        <v>440</v>
      </c>
      <c r="AN8" s="72" t="s">
        <v>441</v>
      </c>
      <c r="AP8" s="23" t="s">
        <v>442</v>
      </c>
      <c r="AR8" s="41" t="s">
        <v>54</v>
      </c>
      <c r="AV8" s="23" t="s">
        <v>443</v>
      </c>
      <c r="AX8" s="24">
        <v>84</v>
      </c>
      <c r="AY8" s="25">
        <v>39</v>
      </c>
      <c r="AZ8" s="25">
        <v>84</v>
      </c>
      <c r="BA8" s="26">
        <v>36</v>
      </c>
    </row>
    <row r="9" spans="1:53" x14ac:dyDescent="0.15">
      <c r="A9" s="87" t="s">
        <v>59</v>
      </c>
      <c r="B9" s="100" t="s">
        <v>234</v>
      </c>
      <c r="C9" s="83">
        <v>2018</v>
      </c>
      <c r="D9" s="181" t="s">
        <v>431</v>
      </c>
      <c r="E9" s="87" t="s">
        <v>402</v>
      </c>
      <c r="F9" s="87" t="s">
        <v>403</v>
      </c>
      <c r="G9" s="87" t="s">
        <v>36</v>
      </c>
      <c r="H9" s="87" t="s">
        <v>159</v>
      </c>
      <c r="I9" s="87" t="s">
        <v>153</v>
      </c>
      <c r="J9" s="87" t="s">
        <v>38</v>
      </c>
      <c r="K9" s="87" t="s">
        <v>430</v>
      </c>
      <c r="L9" s="87">
        <v>2</v>
      </c>
      <c r="N9" s="87">
        <v>4</v>
      </c>
      <c r="O9" s="87">
        <v>0.23</v>
      </c>
      <c r="P9" s="87">
        <v>0.3</v>
      </c>
      <c r="Q9" s="113">
        <f t="shared" si="2"/>
        <v>0.26500000000000001</v>
      </c>
      <c r="R9" s="87">
        <v>15.7</v>
      </c>
      <c r="S9" s="87">
        <v>76</v>
      </c>
      <c r="T9" s="16">
        <f t="shared" si="0"/>
        <v>39</v>
      </c>
      <c r="U9" s="87">
        <v>457</v>
      </c>
      <c r="V9" s="16">
        <f t="shared" si="1"/>
        <v>16</v>
      </c>
      <c r="W9" s="87">
        <v>3</v>
      </c>
      <c r="X9" s="87" t="s">
        <v>39</v>
      </c>
      <c r="Y9" s="87" t="s">
        <v>90</v>
      </c>
      <c r="Z9" s="87" t="s">
        <v>84</v>
      </c>
      <c r="AA9" s="87" t="s">
        <v>69</v>
      </c>
      <c r="AB9" s="100" t="s">
        <v>433</v>
      </c>
      <c r="AE9" s="97" t="s">
        <v>56</v>
      </c>
      <c r="AG9" s="182" t="s">
        <v>426</v>
      </c>
      <c r="AH9" s="183" t="s">
        <v>427</v>
      </c>
      <c r="AL9" s="29" t="s">
        <v>444</v>
      </c>
      <c r="AN9" s="29" t="s">
        <v>445</v>
      </c>
      <c r="AP9" s="23" t="s">
        <v>53</v>
      </c>
      <c r="AR9" s="41" t="s">
        <v>430</v>
      </c>
      <c r="AV9" s="23" t="s">
        <v>60</v>
      </c>
      <c r="AX9" s="24">
        <v>97</v>
      </c>
      <c r="AY9" s="25">
        <v>36</v>
      </c>
      <c r="AZ9" s="25">
        <v>99</v>
      </c>
      <c r="BA9" s="26">
        <v>33</v>
      </c>
    </row>
    <row r="10" spans="1:53" x14ac:dyDescent="0.15">
      <c r="A10" s="87" t="s">
        <v>59</v>
      </c>
      <c r="B10" s="100" t="s">
        <v>234</v>
      </c>
      <c r="C10" s="83">
        <v>2018</v>
      </c>
      <c r="D10" s="181" t="s">
        <v>431</v>
      </c>
      <c r="E10" s="87" t="s">
        <v>402</v>
      </c>
      <c r="F10" s="87" t="s">
        <v>403</v>
      </c>
      <c r="G10" s="87" t="s">
        <v>36</v>
      </c>
      <c r="H10" s="87" t="s">
        <v>159</v>
      </c>
      <c r="I10" s="87" t="s">
        <v>153</v>
      </c>
      <c r="J10" s="87" t="s">
        <v>38</v>
      </c>
      <c r="K10" s="87" t="s">
        <v>430</v>
      </c>
      <c r="L10" s="87">
        <v>3</v>
      </c>
      <c r="N10" s="87">
        <v>4</v>
      </c>
      <c r="O10" s="87">
        <v>0.35</v>
      </c>
      <c r="P10" s="87">
        <v>0.32</v>
      </c>
      <c r="Q10" s="113">
        <f t="shared" si="2"/>
        <v>0.33499999999999996</v>
      </c>
      <c r="R10" s="87">
        <v>14.9</v>
      </c>
      <c r="S10" s="87">
        <v>87</v>
      </c>
      <c r="T10" s="16">
        <f t="shared" si="0"/>
        <v>36</v>
      </c>
      <c r="U10" s="87">
        <v>457</v>
      </c>
      <c r="V10" s="16">
        <f t="shared" si="1"/>
        <v>16</v>
      </c>
      <c r="W10" s="87">
        <v>3</v>
      </c>
      <c r="X10" s="87" t="s">
        <v>39</v>
      </c>
      <c r="Y10" s="87" t="s">
        <v>90</v>
      </c>
      <c r="Z10" s="87" t="s">
        <v>84</v>
      </c>
      <c r="AA10" s="87" t="s">
        <v>69</v>
      </c>
      <c r="AB10" s="100" t="s">
        <v>433</v>
      </c>
      <c r="AE10" s="97" t="s">
        <v>61</v>
      </c>
      <c r="AG10" s="182" t="s">
        <v>434</v>
      </c>
      <c r="AH10" s="183" t="s">
        <v>435</v>
      </c>
      <c r="AL10" s="34" t="s">
        <v>436</v>
      </c>
      <c r="AP10" s="23" t="s">
        <v>58</v>
      </c>
      <c r="AR10" s="98" t="s">
        <v>437</v>
      </c>
      <c r="AV10" s="23" t="s">
        <v>64</v>
      </c>
      <c r="AX10" s="24">
        <v>109</v>
      </c>
      <c r="AY10" s="25">
        <v>33</v>
      </c>
      <c r="AZ10" s="25">
        <v>113</v>
      </c>
      <c r="BA10" s="26">
        <v>30</v>
      </c>
    </row>
    <row r="11" spans="1:53" x14ac:dyDescent="0.15">
      <c r="A11" s="87" t="s">
        <v>59</v>
      </c>
      <c r="B11" s="100" t="s">
        <v>438</v>
      </c>
      <c r="C11" s="83">
        <v>2018</v>
      </c>
      <c r="D11" s="181" t="s">
        <v>439</v>
      </c>
      <c r="E11" s="87" t="s">
        <v>402</v>
      </c>
      <c r="F11" s="87" t="s">
        <v>403</v>
      </c>
      <c r="G11" s="87" t="s">
        <v>36</v>
      </c>
      <c r="H11" s="87" t="s">
        <v>155</v>
      </c>
      <c r="I11" s="87" t="s">
        <v>153</v>
      </c>
      <c r="J11" s="87" t="s">
        <v>38</v>
      </c>
      <c r="K11" s="87" t="s">
        <v>154</v>
      </c>
      <c r="L11" s="87">
        <v>1</v>
      </c>
      <c r="N11" s="87">
        <v>4</v>
      </c>
      <c r="O11" s="87">
        <v>0.73</v>
      </c>
      <c r="P11" s="87">
        <v>0.6</v>
      </c>
      <c r="Q11" s="113">
        <f t="shared" si="2"/>
        <v>0.66500000000000004</v>
      </c>
      <c r="R11" s="87">
        <v>13.1</v>
      </c>
      <c r="S11" s="87">
        <v>105</v>
      </c>
      <c r="T11" s="16">
        <f t="shared" si="0"/>
        <v>33</v>
      </c>
      <c r="U11" s="87">
        <v>297</v>
      </c>
      <c r="V11" s="16">
        <f t="shared" si="1"/>
        <v>16</v>
      </c>
      <c r="W11" s="87">
        <v>6</v>
      </c>
      <c r="X11" s="87" t="s">
        <v>39</v>
      </c>
      <c r="Y11" s="87" t="s">
        <v>90</v>
      </c>
      <c r="Z11" s="87" t="s">
        <v>84</v>
      </c>
      <c r="AA11" s="87" t="s">
        <v>69</v>
      </c>
      <c r="AB11" s="100" t="s">
        <v>409</v>
      </c>
      <c r="AE11" s="97" t="s">
        <v>65</v>
      </c>
      <c r="AG11" s="189" t="s">
        <v>446</v>
      </c>
      <c r="AH11" s="183" t="s">
        <v>447</v>
      </c>
      <c r="AL11" s="115"/>
      <c r="AP11" s="23" t="s">
        <v>419</v>
      </c>
      <c r="AR11" s="98" t="s">
        <v>448</v>
      </c>
      <c r="AV11" s="23" t="s">
        <v>449</v>
      </c>
      <c r="AX11" s="24">
        <v>151</v>
      </c>
      <c r="AY11" s="25">
        <v>22</v>
      </c>
      <c r="AZ11" s="25">
        <v>152</v>
      </c>
      <c r="BA11" s="26">
        <v>18</v>
      </c>
    </row>
    <row r="12" spans="1:53" x14ac:dyDescent="0.15">
      <c r="A12" s="87" t="s">
        <v>59</v>
      </c>
      <c r="B12" s="100" t="s">
        <v>450</v>
      </c>
      <c r="C12" s="83">
        <v>2018</v>
      </c>
      <c r="D12" s="181" t="s">
        <v>451</v>
      </c>
      <c r="E12" s="87" t="s">
        <v>402</v>
      </c>
      <c r="F12" s="87" t="s">
        <v>403</v>
      </c>
      <c r="G12" s="87" t="s">
        <v>36</v>
      </c>
      <c r="H12" s="87" t="s">
        <v>155</v>
      </c>
      <c r="I12" s="87" t="s">
        <v>153</v>
      </c>
      <c r="J12" s="87" t="s">
        <v>38</v>
      </c>
      <c r="K12" s="87" t="s">
        <v>154</v>
      </c>
      <c r="L12" s="87">
        <v>2</v>
      </c>
      <c r="N12" s="87">
        <v>4</v>
      </c>
      <c r="O12" s="87">
        <v>0.78</v>
      </c>
      <c r="P12" s="87">
        <v>0.76</v>
      </c>
      <c r="Q12" s="113">
        <f t="shared" si="2"/>
        <v>0.77</v>
      </c>
      <c r="R12" s="87">
        <v>14.3</v>
      </c>
      <c r="S12" s="87">
        <v>107</v>
      </c>
      <c r="T12" s="16">
        <f t="shared" si="0"/>
        <v>33</v>
      </c>
      <c r="U12" s="87">
        <v>297</v>
      </c>
      <c r="V12" s="16">
        <f t="shared" si="1"/>
        <v>16</v>
      </c>
      <c r="W12" s="87">
        <v>6</v>
      </c>
      <c r="X12" s="87" t="s">
        <v>39</v>
      </c>
      <c r="Y12" s="87" t="s">
        <v>90</v>
      </c>
      <c r="Z12" s="87" t="s">
        <v>84</v>
      </c>
      <c r="AA12" s="87" t="s">
        <v>69</v>
      </c>
      <c r="AB12" s="100" t="s">
        <v>409</v>
      </c>
      <c r="AE12" s="97" t="s">
        <v>70</v>
      </c>
      <c r="AG12" s="98"/>
      <c r="AH12" s="190"/>
      <c r="AL12" s="115"/>
      <c r="AP12" s="23" t="s">
        <v>67</v>
      </c>
      <c r="AR12" s="98" t="s">
        <v>124</v>
      </c>
      <c r="AV12" s="23" t="s">
        <v>72</v>
      </c>
      <c r="AX12" s="31">
        <v>180</v>
      </c>
      <c r="AY12" s="32">
        <v>18</v>
      </c>
      <c r="AZ12" s="32">
        <v>181</v>
      </c>
      <c r="BA12" s="33">
        <v>16</v>
      </c>
    </row>
    <row r="13" spans="1:53" x14ac:dyDescent="0.15">
      <c r="A13" s="87" t="s">
        <v>59</v>
      </c>
      <c r="B13" s="100" t="s">
        <v>238</v>
      </c>
      <c r="C13" s="83">
        <v>2018</v>
      </c>
      <c r="D13" s="181" t="s">
        <v>452</v>
      </c>
      <c r="E13" s="87" t="s">
        <v>402</v>
      </c>
      <c r="F13" s="87" t="s">
        <v>403</v>
      </c>
      <c r="G13" s="87" t="s">
        <v>36</v>
      </c>
      <c r="H13" s="87" t="s">
        <v>155</v>
      </c>
      <c r="I13" s="87" t="s">
        <v>153</v>
      </c>
      <c r="J13" s="87" t="s">
        <v>38</v>
      </c>
      <c r="K13" s="87" t="s">
        <v>154</v>
      </c>
      <c r="L13" s="87">
        <v>3</v>
      </c>
      <c r="N13" s="87">
        <v>4</v>
      </c>
      <c r="O13" s="87">
        <v>0.7</v>
      </c>
      <c r="P13" s="87">
        <v>0.65</v>
      </c>
      <c r="Q13" s="113">
        <f t="shared" si="2"/>
        <v>0.67500000000000004</v>
      </c>
      <c r="R13" s="87">
        <v>14.4</v>
      </c>
      <c r="S13" s="87">
        <v>104</v>
      </c>
      <c r="T13" s="16">
        <f t="shared" si="0"/>
        <v>33</v>
      </c>
      <c r="U13" s="87">
        <v>297</v>
      </c>
      <c r="V13" s="16">
        <f t="shared" si="1"/>
        <v>16</v>
      </c>
      <c r="W13" s="87">
        <v>6</v>
      </c>
      <c r="X13" s="87" t="s">
        <v>39</v>
      </c>
      <c r="Y13" s="87" t="s">
        <v>90</v>
      </c>
      <c r="Z13" s="87" t="s">
        <v>84</v>
      </c>
      <c r="AA13" s="87" t="s">
        <v>69</v>
      </c>
      <c r="AB13" s="100" t="s">
        <v>409</v>
      </c>
      <c r="AE13" s="97" t="s">
        <v>73</v>
      </c>
      <c r="AG13" s="23"/>
      <c r="AH13" s="23"/>
      <c r="AP13" s="23" t="s">
        <v>71</v>
      </c>
      <c r="AR13" s="98" t="s">
        <v>103</v>
      </c>
      <c r="AV13" s="23" t="s">
        <v>75</v>
      </c>
    </row>
    <row r="14" spans="1:53" x14ac:dyDescent="0.15">
      <c r="A14" s="87" t="s">
        <v>59</v>
      </c>
      <c r="B14" s="100" t="s">
        <v>240</v>
      </c>
      <c r="C14" s="83">
        <v>2018</v>
      </c>
      <c r="D14" s="181" t="s">
        <v>453</v>
      </c>
      <c r="E14" s="87" t="s">
        <v>402</v>
      </c>
      <c r="F14" s="87" t="s">
        <v>403</v>
      </c>
      <c r="G14" s="87" t="s">
        <v>36</v>
      </c>
      <c r="H14" s="87" t="s">
        <v>128</v>
      </c>
      <c r="I14" s="87" t="s">
        <v>153</v>
      </c>
      <c r="J14" s="87" t="s">
        <v>80</v>
      </c>
      <c r="K14" s="87" t="s">
        <v>126</v>
      </c>
      <c r="L14" s="87">
        <v>1</v>
      </c>
      <c r="N14" s="87">
        <v>6</v>
      </c>
      <c r="O14" s="87">
        <v>0.24</v>
      </c>
      <c r="P14" s="87">
        <v>0.22</v>
      </c>
      <c r="Q14" s="113">
        <f t="shared" si="2"/>
        <v>0.22999999999999998</v>
      </c>
      <c r="R14" s="87">
        <v>16</v>
      </c>
      <c r="S14" s="87">
        <v>80</v>
      </c>
      <c r="T14" s="16">
        <f t="shared" si="0"/>
        <v>39</v>
      </c>
      <c r="U14" s="87">
        <v>397</v>
      </c>
      <c r="V14" s="16">
        <f t="shared" si="1"/>
        <v>16</v>
      </c>
      <c r="W14" s="87">
        <v>1</v>
      </c>
      <c r="X14" s="87" t="s">
        <v>39</v>
      </c>
      <c r="Y14" s="87" t="s">
        <v>90</v>
      </c>
      <c r="Z14" s="87" t="s">
        <v>84</v>
      </c>
      <c r="AA14" s="87" t="s">
        <v>69</v>
      </c>
      <c r="AB14" s="100" t="s">
        <v>409</v>
      </c>
      <c r="AE14" s="97" t="s">
        <v>76</v>
      </c>
      <c r="AG14" s="23"/>
      <c r="AH14" s="23"/>
      <c r="AP14" s="23" t="s">
        <v>454</v>
      </c>
      <c r="AR14" s="98" t="s">
        <v>125</v>
      </c>
      <c r="AV14" s="23" t="s">
        <v>78</v>
      </c>
    </row>
    <row r="15" spans="1:53" x14ac:dyDescent="0.15">
      <c r="A15" s="87" t="s">
        <v>59</v>
      </c>
      <c r="B15" s="100" t="s">
        <v>406</v>
      </c>
      <c r="C15" s="83">
        <v>2018</v>
      </c>
      <c r="D15" s="181" t="s">
        <v>407</v>
      </c>
      <c r="E15" s="87" t="s">
        <v>402</v>
      </c>
      <c r="F15" s="87" t="s">
        <v>403</v>
      </c>
      <c r="G15" s="87" t="s">
        <v>36</v>
      </c>
      <c r="H15" s="87" t="s">
        <v>128</v>
      </c>
      <c r="I15" s="87" t="s">
        <v>153</v>
      </c>
      <c r="J15" s="87" t="s">
        <v>80</v>
      </c>
      <c r="K15" s="87" t="s">
        <v>126</v>
      </c>
      <c r="L15" s="87">
        <v>2</v>
      </c>
      <c r="N15" s="87">
        <v>6</v>
      </c>
      <c r="O15" s="87">
        <v>0.31</v>
      </c>
      <c r="P15" s="87">
        <v>0.25</v>
      </c>
      <c r="Q15" s="113">
        <f t="shared" si="2"/>
        <v>0.28000000000000003</v>
      </c>
      <c r="R15" s="87">
        <v>16.100000000000001</v>
      </c>
      <c r="S15" s="87">
        <v>85</v>
      </c>
      <c r="T15" s="16">
        <f t="shared" si="0"/>
        <v>36</v>
      </c>
      <c r="U15" s="87">
        <v>397</v>
      </c>
      <c r="V15" s="16">
        <f t="shared" si="1"/>
        <v>16</v>
      </c>
      <c r="W15" s="87">
        <v>1</v>
      </c>
      <c r="X15" s="87" t="s">
        <v>39</v>
      </c>
      <c r="Y15" s="87" t="s">
        <v>90</v>
      </c>
      <c r="Z15" s="87" t="s">
        <v>84</v>
      </c>
      <c r="AA15" s="87" t="s">
        <v>69</v>
      </c>
      <c r="AB15" s="100" t="s">
        <v>409</v>
      </c>
      <c r="AE15" s="97" t="s">
        <v>79</v>
      </c>
      <c r="AG15" s="23"/>
      <c r="AH15" s="23"/>
      <c r="AP15" s="23" t="s">
        <v>455</v>
      </c>
      <c r="AR15" s="98" t="s">
        <v>94</v>
      </c>
      <c r="AV15" s="23" t="s">
        <v>107</v>
      </c>
    </row>
    <row r="16" spans="1:53" x14ac:dyDescent="0.15">
      <c r="A16" s="87" t="s">
        <v>59</v>
      </c>
      <c r="B16" s="100" t="s">
        <v>244</v>
      </c>
      <c r="C16" s="83">
        <v>2018</v>
      </c>
      <c r="D16" s="181" t="s">
        <v>456</v>
      </c>
      <c r="E16" s="87" t="s">
        <v>402</v>
      </c>
      <c r="F16" s="87" t="s">
        <v>403</v>
      </c>
      <c r="G16" s="87" t="s">
        <v>36</v>
      </c>
      <c r="H16" s="87" t="s">
        <v>128</v>
      </c>
      <c r="I16" s="87" t="s">
        <v>153</v>
      </c>
      <c r="J16" s="87" t="s">
        <v>80</v>
      </c>
      <c r="K16" s="87" t="s">
        <v>126</v>
      </c>
      <c r="L16" s="87">
        <v>3</v>
      </c>
      <c r="N16" s="87">
        <v>6</v>
      </c>
      <c r="O16" s="87">
        <v>0.24</v>
      </c>
      <c r="P16" s="87">
        <v>0.21</v>
      </c>
      <c r="Q16" s="113">
        <f t="shared" si="2"/>
        <v>0.22499999999999998</v>
      </c>
      <c r="R16" s="87">
        <v>16.3</v>
      </c>
      <c r="S16" s="87">
        <v>85</v>
      </c>
      <c r="T16" s="16">
        <f t="shared" si="0"/>
        <v>36</v>
      </c>
      <c r="U16" s="87">
        <v>397</v>
      </c>
      <c r="V16" s="16">
        <f t="shared" si="1"/>
        <v>16</v>
      </c>
      <c r="W16" s="87">
        <v>1</v>
      </c>
      <c r="X16" s="87" t="s">
        <v>39</v>
      </c>
      <c r="Y16" s="87" t="s">
        <v>90</v>
      </c>
      <c r="Z16" s="87" t="s">
        <v>84</v>
      </c>
      <c r="AA16" s="87" t="s">
        <v>69</v>
      </c>
      <c r="AB16" s="100" t="s">
        <v>409</v>
      </c>
      <c r="AE16" s="97" t="s">
        <v>82</v>
      </c>
      <c r="AG16" s="28"/>
      <c r="AH16" s="28"/>
      <c r="AP16" s="23" t="s">
        <v>80</v>
      </c>
      <c r="AR16" s="41" t="s">
        <v>63</v>
      </c>
      <c r="AV16" s="23" t="s">
        <v>84</v>
      </c>
    </row>
    <row r="17" spans="1:48" x14ac:dyDescent="0.15">
      <c r="A17" s="87" t="s">
        <v>59</v>
      </c>
      <c r="B17" s="100" t="s">
        <v>406</v>
      </c>
      <c r="C17" s="83">
        <v>2018</v>
      </c>
      <c r="D17" s="181" t="s">
        <v>407</v>
      </c>
      <c r="E17" s="87" t="s">
        <v>420</v>
      </c>
      <c r="F17" s="87" t="s">
        <v>421</v>
      </c>
      <c r="G17" s="87" t="s">
        <v>36</v>
      </c>
      <c r="H17" s="87" t="s">
        <v>155</v>
      </c>
      <c r="I17" s="87" t="s">
        <v>153</v>
      </c>
      <c r="J17" s="87" t="s">
        <v>38</v>
      </c>
      <c r="K17" s="87" t="s">
        <v>154</v>
      </c>
      <c r="L17" s="87">
        <v>1</v>
      </c>
      <c r="N17" s="87">
        <v>4</v>
      </c>
      <c r="O17" s="87">
        <v>0.43</v>
      </c>
      <c r="P17" s="87">
        <v>0.52</v>
      </c>
      <c r="Q17" s="113">
        <f t="shared" si="2"/>
        <v>0.47499999999999998</v>
      </c>
      <c r="R17" s="87">
        <v>14</v>
      </c>
      <c r="S17" s="87">
        <v>104</v>
      </c>
      <c r="T17" s="16">
        <f t="shared" si="0"/>
        <v>33</v>
      </c>
      <c r="U17" s="87">
        <v>399</v>
      </c>
      <c r="V17" s="16">
        <f t="shared" si="1"/>
        <v>16</v>
      </c>
      <c r="W17" s="87">
        <v>4</v>
      </c>
      <c r="X17" s="87" t="s">
        <v>39</v>
      </c>
      <c r="Y17" s="87" t="s">
        <v>84</v>
      </c>
      <c r="Z17" s="87" t="s">
        <v>90</v>
      </c>
      <c r="AA17" s="87" t="s">
        <v>457</v>
      </c>
      <c r="AB17" s="100" t="s">
        <v>458</v>
      </c>
      <c r="AE17" s="97" t="s">
        <v>85</v>
      </c>
      <c r="AP17" s="101" t="s">
        <v>110</v>
      </c>
      <c r="AR17" s="41" t="s">
        <v>96</v>
      </c>
      <c r="AV17" s="23" t="s">
        <v>86</v>
      </c>
    </row>
    <row r="18" spans="1:48" x14ac:dyDescent="0.15">
      <c r="A18" s="87" t="s">
        <v>59</v>
      </c>
      <c r="B18" s="100" t="s">
        <v>459</v>
      </c>
      <c r="C18" s="83">
        <v>2018</v>
      </c>
      <c r="D18" s="181" t="s">
        <v>460</v>
      </c>
      <c r="E18" s="87" t="s">
        <v>420</v>
      </c>
      <c r="F18" s="87" t="s">
        <v>421</v>
      </c>
      <c r="G18" s="87" t="s">
        <v>36</v>
      </c>
      <c r="H18" s="87" t="s">
        <v>155</v>
      </c>
      <c r="I18" s="87" t="s">
        <v>153</v>
      </c>
      <c r="J18" s="87" t="s">
        <v>38</v>
      </c>
      <c r="K18" s="87" t="s">
        <v>154</v>
      </c>
      <c r="L18" s="87">
        <v>2</v>
      </c>
      <c r="N18" s="87">
        <v>4</v>
      </c>
      <c r="O18" s="87">
        <v>0.31</v>
      </c>
      <c r="P18" s="87">
        <v>0.4</v>
      </c>
      <c r="Q18" s="113">
        <f t="shared" si="2"/>
        <v>0.35499999999999998</v>
      </c>
      <c r="R18" s="87">
        <v>13.1</v>
      </c>
      <c r="S18" s="87">
        <v>104</v>
      </c>
      <c r="T18" s="16">
        <f t="shared" si="0"/>
        <v>33</v>
      </c>
      <c r="U18" s="87">
        <v>399</v>
      </c>
      <c r="V18" s="16">
        <f t="shared" si="1"/>
        <v>16</v>
      </c>
      <c r="W18" s="87">
        <v>4</v>
      </c>
      <c r="X18" s="87" t="s">
        <v>39</v>
      </c>
      <c r="Y18" s="87" t="s">
        <v>84</v>
      </c>
      <c r="Z18" s="87" t="s">
        <v>90</v>
      </c>
      <c r="AA18" s="87" t="s">
        <v>457</v>
      </c>
      <c r="AB18" s="100" t="s">
        <v>458</v>
      </c>
      <c r="AE18" s="97" t="s">
        <v>87</v>
      </c>
      <c r="AP18" s="101" t="s">
        <v>461</v>
      </c>
      <c r="AR18" s="41" t="s">
        <v>101</v>
      </c>
      <c r="AV18" s="23" t="s">
        <v>88</v>
      </c>
    </row>
    <row r="19" spans="1:48" x14ac:dyDescent="0.15">
      <c r="A19" s="87" t="s">
        <v>59</v>
      </c>
      <c r="B19" s="100" t="s">
        <v>234</v>
      </c>
      <c r="C19" s="83">
        <v>2018</v>
      </c>
      <c r="D19" s="181" t="s">
        <v>431</v>
      </c>
      <c r="E19" s="87" t="s">
        <v>420</v>
      </c>
      <c r="F19" s="87" t="s">
        <v>421</v>
      </c>
      <c r="G19" s="87" t="s">
        <v>36</v>
      </c>
      <c r="H19" s="87" t="s">
        <v>155</v>
      </c>
      <c r="I19" s="87" t="s">
        <v>153</v>
      </c>
      <c r="J19" s="87" t="s">
        <v>38</v>
      </c>
      <c r="K19" s="87" t="s">
        <v>154</v>
      </c>
      <c r="L19" s="87">
        <v>3</v>
      </c>
      <c r="N19" s="87">
        <v>4</v>
      </c>
      <c r="O19" s="87">
        <v>0.44</v>
      </c>
      <c r="P19" s="87">
        <v>0.31</v>
      </c>
      <c r="Q19" s="113">
        <f t="shared" si="2"/>
        <v>0.375</v>
      </c>
      <c r="R19" s="87">
        <v>13.3</v>
      </c>
      <c r="S19" s="87">
        <v>96</v>
      </c>
      <c r="T19" s="16">
        <f t="shared" si="0"/>
        <v>36</v>
      </c>
      <c r="U19" s="87">
        <v>399</v>
      </c>
      <c r="V19" s="16">
        <f t="shared" si="1"/>
        <v>16</v>
      </c>
      <c r="W19" s="87">
        <v>4</v>
      </c>
      <c r="X19" s="87" t="s">
        <v>39</v>
      </c>
      <c r="Y19" s="87" t="s">
        <v>84</v>
      </c>
      <c r="Z19" s="87" t="s">
        <v>90</v>
      </c>
      <c r="AA19" s="87" t="s">
        <v>457</v>
      </c>
      <c r="AB19" s="100" t="s">
        <v>458</v>
      </c>
      <c r="AD19" s="100"/>
      <c r="AE19" s="99" t="s">
        <v>89</v>
      </c>
      <c r="AP19" s="101" t="s">
        <v>112</v>
      </c>
      <c r="AR19" s="98" t="s">
        <v>126</v>
      </c>
      <c r="AV19" s="23" t="s">
        <v>457</v>
      </c>
    </row>
    <row r="20" spans="1:48" x14ac:dyDescent="0.15">
      <c r="A20" s="87" t="s">
        <v>59</v>
      </c>
      <c r="B20" s="100" t="s">
        <v>459</v>
      </c>
      <c r="C20" s="83">
        <v>2018</v>
      </c>
      <c r="D20" s="181" t="s">
        <v>460</v>
      </c>
      <c r="E20" s="87" t="s">
        <v>420</v>
      </c>
      <c r="F20" s="87" t="s">
        <v>421</v>
      </c>
      <c r="G20" s="87" t="s">
        <v>36</v>
      </c>
      <c r="H20" s="87" t="s">
        <v>127</v>
      </c>
      <c r="I20" s="87" t="s">
        <v>153</v>
      </c>
      <c r="J20" s="87" t="s">
        <v>80</v>
      </c>
      <c r="K20" s="87" t="s">
        <v>63</v>
      </c>
      <c r="L20" s="87">
        <v>1</v>
      </c>
      <c r="N20" s="87">
        <v>5</v>
      </c>
      <c r="O20" s="87">
        <v>0.5</v>
      </c>
      <c r="P20" s="87">
        <v>0.61</v>
      </c>
      <c r="Q20" s="113">
        <f t="shared" si="2"/>
        <v>0.55499999999999994</v>
      </c>
      <c r="R20" s="87">
        <v>13.1</v>
      </c>
      <c r="S20" s="87">
        <v>75</v>
      </c>
      <c r="T20" s="16">
        <f t="shared" si="0"/>
        <v>42</v>
      </c>
      <c r="U20" s="87">
        <v>499</v>
      </c>
      <c r="V20" s="16">
        <f t="shared" si="1"/>
        <v>16</v>
      </c>
      <c r="W20" s="87">
        <v>3</v>
      </c>
      <c r="X20" s="87" t="s">
        <v>39</v>
      </c>
      <c r="Y20" s="87" t="s">
        <v>84</v>
      </c>
      <c r="Z20" s="87" t="s">
        <v>90</v>
      </c>
      <c r="AA20" s="87" t="s">
        <v>457</v>
      </c>
      <c r="AB20" s="100" t="s">
        <v>458</v>
      </c>
      <c r="AD20" s="100"/>
      <c r="AE20" s="99"/>
      <c r="AP20" s="101" t="s">
        <v>113</v>
      </c>
      <c r="AR20" s="41" t="s">
        <v>105</v>
      </c>
      <c r="AV20" s="27" t="s">
        <v>462</v>
      </c>
    </row>
    <row r="21" spans="1:48" x14ac:dyDescent="0.15">
      <c r="A21" s="87" t="s">
        <v>59</v>
      </c>
      <c r="B21" s="100" t="s">
        <v>459</v>
      </c>
      <c r="C21" s="83">
        <v>2018</v>
      </c>
      <c r="D21" s="181" t="s">
        <v>460</v>
      </c>
      <c r="E21" s="87" t="s">
        <v>420</v>
      </c>
      <c r="F21" s="87" t="s">
        <v>421</v>
      </c>
      <c r="G21" s="87" t="s">
        <v>36</v>
      </c>
      <c r="H21" s="87" t="s">
        <v>127</v>
      </c>
      <c r="I21" s="87" t="s">
        <v>153</v>
      </c>
      <c r="J21" s="87" t="s">
        <v>80</v>
      </c>
      <c r="K21" s="87" t="s">
        <v>63</v>
      </c>
      <c r="L21" s="87">
        <v>2</v>
      </c>
      <c r="N21" s="87">
        <v>5</v>
      </c>
      <c r="O21" s="87">
        <v>0.48</v>
      </c>
      <c r="P21" s="87">
        <v>0.47</v>
      </c>
      <c r="Q21" s="113">
        <f t="shared" si="2"/>
        <v>0.47499999999999998</v>
      </c>
      <c r="R21" s="87">
        <v>16.600000000000001</v>
      </c>
      <c r="S21" s="87">
        <v>80</v>
      </c>
      <c r="T21" s="16">
        <f t="shared" si="0"/>
        <v>39</v>
      </c>
      <c r="U21" s="87">
        <v>499</v>
      </c>
      <c r="V21" s="16">
        <f t="shared" si="1"/>
        <v>16</v>
      </c>
      <c r="W21" s="87">
        <v>3</v>
      </c>
      <c r="X21" s="87" t="s">
        <v>39</v>
      </c>
      <c r="Y21" s="87" t="s">
        <v>84</v>
      </c>
      <c r="Z21" s="87" t="s">
        <v>90</v>
      </c>
      <c r="AA21" s="87" t="s">
        <v>457</v>
      </c>
      <c r="AB21" s="100" t="s">
        <v>458</v>
      </c>
      <c r="AD21" s="100"/>
      <c r="AE21" s="28"/>
      <c r="AP21" s="101" t="s">
        <v>463</v>
      </c>
      <c r="AR21" s="41" t="s">
        <v>68</v>
      </c>
      <c r="AV21" s="27" t="s">
        <v>464</v>
      </c>
    </row>
    <row r="22" spans="1:48" x14ac:dyDescent="0.15">
      <c r="A22" s="87" t="s">
        <v>59</v>
      </c>
      <c r="B22" s="100" t="s">
        <v>459</v>
      </c>
      <c r="C22" s="83">
        <v>2018</v>
      </c>
      <c r="D22" s="181" t="s">
        <v>460</v>
      </c>
      <c r="E22" s="87" t="s">
        <v>420</v>
      </c>
      <c r="F22" s="87" t="s">
        <v>421</v>
      </c>
      <c r="G22" s="87" t="s">
        <v>36</v>
      </c>
      <c r="H22" s="87" t="s">
        <v>127</v>
      </c>
      <c r="I22" s="87" t="s">
        <v>153</v>
      </c>
      <c r="J22" s="87" t="s">
        <v>80</v>
      </c>
      <c r="K22" s="87" t="s">
        <v>63</v>
      </c>
      <c r="L22" s="87">
        <v>3</v>
      </c>
      <c r="N22" s="87">
        <v>5</v>
      </c>
      <c r="O22" s="87">
        <v>0.41</v>
      </c>
      <c r="P22" s="87">
        <v>0.53</v>
      </c>
      <c r="Q22" s="113">
        <f t="shared" si="2"/>
        <v>0.47</v>
      </c>
      <c r="R22" s="87">
        <v>15.9</v>
      </c>
      <c r="S22" s="87">
        <v>80</v>
      </c>
      <c r="T22" s="16">
        <f t="shared" si="0"/>
        <v>39</v>
      </c>
      <c r="U22" s="87">
        <v>499</v>
      </c>
      <c r="V22" s="16">
        <f t="shared" si="1"/>
        <v>16</v>
      </c>
      <c r="W22" s="87">
        <v>3</v>
      </c>
      <c r="X22" s="87" t="s">
        <v>39</v>
      </c>
      <c r="Y22" s="87" t="s">
        <v>84</v>
      </c>
      <c r="Z22" s="87" t="s">
        <v>90</v>
      </c>
      <c r="AA22" s="87" t="s">
        <v>457</v>
      </c>
      <c r="AB22" s="100" t="s">
        <v>458</v>
      </c>
      <c r="AD22" s="100"/>
      <c r="AP22" s="101" t="s">
        <v>465</v>
      </c>
      <c r="AR22" s="41" t="s">
        <v>83</v>
      </c>
      <c r="AV22" s="27" t="s">
        <v>466</v>
      </c>
    </row>
    <row r="23" spans="1:48" x14ac:dyDescent="0.15">
      <c r="A23" s="87" t="s">
        <v>59</v>
      </c>
      <c r="B23" s="100" t="s">
        <v>459</v>
      </c>
      <c r="C23" s="83">
        <v>2018</v>
      </c>
      <c r="D23" s="181" t="s">
        <v>460</v>
      </c>
      <c r="E23" s="87" t="s">
        <v>467</v>
      </c>
      <c r="F23" s="87" t="s">
        <v>421</v>
      </c>
      <c r="G23" s="87" t="s">
        <v>36</v>
      </c>
      <c r="H23" s="87" t="s">
        <v>155</v>
      </c>
      <c r="I23" s="87" t="s">
        <v>153</v>
      </c>
      <c r="J23" s="87" t="s">
        <v>38</v>
      </c>
      <c r="K23" s="87" t="s">
        <v>154</v>
      </c>
      <c r="L23" s="87">
        <v>1</v>
      </c>
      <c r="N23" s="87">
        <v>4</v>
      </c>
      <c r="O23" s="87">
        <v>0.45</v>
      </c>
      <c r="P23" s="87">
        <v>0.55000000000000004</v>
      </c>
      <c r="Q23" s="113">
        <f t="shared" si="2"/>
        <v>0.5</v>
      </c>
      <c r="R23" s="87">
        <v>14</v>
      </c>
      <c r="S23" s="87">
        <v>100</v>
      </c>
      <c r="T23" s="16">
        <f t="shared" si="0"/>
        <v>33</v>
      </c>
      <c r="U23" s="87">
        <v>429</v>
      </c>
      <c r="V23" s="16">
        <f t="shared" si="1"/>
        <v>16</v>
      </c>
      <c r="W23" s="87">
        <v>3</v>
      </c>
      <c r="X23" s="87" t="s">
        <v>39</v>
      </c>
      <c r="Y23" s="87" t="s">
        <v>90</v>
      </c>
      <c r="Z23" s="87" t="s">
        <v>160</v>
      </c>
      <c r="AA23" s="87" t="s">
        <v>84</v>
      </c>
      <c r="AB23" s="100" t="s">
        <v>458</v>
      </c>
      <c r="AP23" s="101" t="s">
        <v>468</v>
      </c>
      <c r="AR23" s="41" t="s">
        <v>61</v>
      </c>
      <c r="AV23" s="27" t="s">
        <v>469</v>
      </c>
    </row>
    <row r="24" spans="1:48" x14ac:dyDescent="0.15">
      <c r="A24" s="87" t="s">
        <v>59</v>
      </c>
      <c r="B24" s="100" t="s">
        <v>459</v>
      </c>
      <c r="C24" s="83">
        <v>2018</v>
      </c>
      <c r="D24" s="181" t="s">
        <v>460</v>
      </c>
      <c r="E24" s="87" t="s">
        <v>467</v>
      </c>
      <c r="F24" s="87" t="s">
        <v>421</v>
      </c>
      <c r="G24" s="87" t="s">
        <v>36</v>
      </c>
      <c r="H24" s="87" t="s">
        <v>155</v>
      </c>
      <c r="I24" s="87" t="s">
        <v>153</v>
      </c>
      <c r="J24" s="87" t="s">
        <v>38</v>
      </c>
      <c r="K24" s="87" t="s">
        <v>154</v>
      </c>
      <c r="L24" s="87">
        <v>2</v>
      </c>
      <c r="N24" s="87">
        <v>4</v>
      </c>
      <c r="O24" s="87">
        <v>0.59</v>
      </c>
      <c r="P24" s="87">
        <v>0.64</v>
      </c>
      <c r="Q24" s="113">
        <f t="shared" si="2"/>
        <v>0.61499999999999999</v>
      </c>
      <c r="R24" s="87">
        <v>14.3</v>
      </c>
      <c r="S24" s="87">
        <v>106</v>
      </c>
      <c r="T24" s="16">
        <f t="shared" si="0"/>
        <v>33</v>
      </c>
      <c r="U24" s="87">
        <v>429</v>
      </c>
      <c r="V24" s="16">
        <f t="shared" si="1"/>
        <v>16</v>
      </c>
      <c r="W24" s="87">
        <v>3</v>
      </c>
      <c r="X24" s="87" t="s">
        <v>39</v>
      </c>
      <c r="Y24" s="87" t="s">
        <v>90</v>
      </c>
      <c r="Z24" s="87" t="s">
        <v>160</v>
      </c>
      <c r="AA24" s="87" t="s">
        <v>84</v>
      </c>
      <c r="AB24" s="100" t="s">
        <v>458</v>
      </c>
      <c r="AP24" s="101" t="s">
        <v>470</v>
      </c>
      <c r="AR24" s="41" t="s">
        <v>91</v>
      </c>
      <c r="AV24" s="27" t="s">
        <v>471</v>
      </c>
    </row>
    <row r="25" spans="1:48" x14ac:dyDescent="0.15">
      <c r="A25" s="87" t="s">
        <v>59</v>
      </c>
      <c r="B25" s="100" t="s">
        <v>459</v>
      </c>
      <c r="C25" s="83">
        <v>2018</v>
      </c>
      <c r="D25" s="181" t="s">
        <v>460</v>
      </c>
      <c r="E25" s="87" t="s">
        <v>467</v>
      </c>
      <c r="F25" s="87" t="s">
        <v>421</v>
      </c>
      <c r="G25" s="87" t="s">
        <v>36</v>
      </c>
      <c r="H25" s="87" t="s">
        <v>155</v>
      </c>
      <c r="I25" s="87" t="s">
        <v>153</v>
      </c>
      <c r="J25" s="87" t="s">
        <v>38</v>
      </c>
      <c r="K25" s="87" t="s">
        <v>154</v>
      </c>
      <c r="L25" s="87">
        <v>3</v>
      </c>
      <c r="N25" s="87">
        <v>4</v>
      </c>
      <c r="O25" s="87">
        <v>0.48</v>
      </c>
      <c r="P25" s="87">
        <v>0.45</v>
      </c>
      <c r="Q25" s="113">
        <f t="shared" si="2"/>
        <v>0.46499999999999997</v>
      </c>
      <c r="R25" s="87">
        <v>14.2</v>
      </c>
      <c r="S25" s="87">
        <v>110</v>
      </c>
      <c r="T25" s="16">
        <f t="shared" si="0"/>
        <v>33</v>
      </c>
      <c r="U25" s="87">
        <v>429</v>
      </c>
      <c r="V25" s="16">
        <f t="shared" si="1"/>
        <v>16</v>
      </c>
      <c r="W25" s="87">
        <v>3</v>
      </c>
      <c r="X25" s="87" t="s">
        <v>39</v>
      </c>
      <c r="Y25" s="87" t="s">
        <v>90</v>
      </c>
      <c r="Z25" s="87" t="s">
        <v>160</v>
      </c>
      <c r="AA25" s="87" t="s">
        <v>84</v>
      </c>
      <c r="AB25" s="100" t="s">
        <v>458</v>
      </c>
      <c r="AP25" s="101" t="s">
        <v>468</v>
      </c>
      <c r="AR25" s="41" t="s">
        <v>61</v>
      </c>
      <c r="AV25" s="27" t="s">
        <v>469</v>
      </c>
    </row>
    <row r="26" spans="1:48" x14ac:dyDescent="0.15">
      <c r="A26" s="87" t="s">
        <v>59</v>
      </c>
      <c r="B26" s="100" t="s">
        <v>459</v>
      </c>
      <c r="C26" s="83">
        <v>2018</v>
      </c>
      <c r="D26" s="181" t="s">
        <v>460</v>
      </c>
      <c r="E26" s="87" t="s">
        <v>472</v>
      </c>
      <c r="F26" s="87" t="s">
        <v>473</v>
      </c>
      <c r="G26" s="87" t="s">
        <v>36</v>
      </c>
      <c r="H26" s="87" t="s">
        <v>159</v>
      </c>
      <c r="I26" s="87" t="s">
        <v>153</v>
      </c>
      <c r="J26" s="87" t="s">
        <v>38</v>
      </c>
      <c r="K26" s="87" t="s">
        <v>154</v>
      </c>
      <c r="L26" s="87">
        <v>1</v>
      </c>
      <c r="N26" s="87">
        <v>1</v>
      </c>
      <c r="O26" s="87">
        <v>0.33</v>
      </c>
      <c r="P26" s="87">
        <v>0.3</v>
      </c>
      <c r="Q26" s="113">
        <f t="shared" si="2"/>
        <v>0.315</v>
      </c>
      <c r="R26" s="87">
        <v>15.3</v>
      </c>
      <c r="S26" s="87">
        <v>144</v>
      </c>
      <c r="T26" s="16">
        <f t="shared" si="0"/>
        <v>30</v>
      </c>
      <c r="U26" s="87">
        <v>138</v>
      </c>
      <c r="V26" s="16">
        <f t="shared" si="1"/>
        <v>30</v>
      </c>
      <c r="W26" s="87">
        <v>2</v>
      </c>
      <c r="X26" s="87" t="s">
        <v>46</v>
      </c>
      <c r="Y26" s="87" t="s">
        <v>84</v>
      </c>
      <c r="Z26" s="87" t="s">
        <v>78</v>
      </c>
      <c r="AA26" s="87" t="s">
        <v>69</v>
      </c>
      <c r="AB26" s="100" t="s">
        <v>458</v>
      </c>
      <c r="AP26" s="101" t="s">
        <v>470</v>
      </c>
      <c r="AR26" s="41" t="s">
        <v>91</v>
      </c>
      <c r="AV26" s="27" t="s">
        <v>471</v>
      </c>
    </row>
    <row r="27" spans="1:48" x14ac:dyDescent="0.15">
      <c r="A27" s="87" t="s">
        <v>59</v>
      </c>
      <c r="B27" s="100" t="s">
        <v>459</v>
      </c>
      <c r="C27" s="83">
        <v>2018</v>
      </c>
      <c r="D27" s="181" t="s">
        <v>460</v>
      </c>
      <c r="E27" s="87" t="s">
        <v>472</v>
      </c>
      <c r="F27" s="87" t="s">
        <v>473</v>
      </c>
      <c r="G27" s="87" t="s">
        <v>36</v>
      </c>
      <c r="H27" s="87" t="s">
        <v>159</v>
      </c>
      <c r="I27" s="87" t="s">
        <v>153</v>
      </c>
      <c r="J27" s="87" t="s">
        <v>38</v>
      </c>
      <c r="K27" s="87" t="s">
        <v>154</v>
      </c>
      <c r="L27" s="87">
        <v>2</v>
      </c>
      <c r="N27" s="87">
        <v>1</v>
      </c>
      <c r="O27" s="87">
        <v>0.27</v>
      </c>
      <c r="P27" s="87">
        <v>0.27</v>
      </c>
      <c r="Q27" s="113">
        <f t="shared" si="2"/>
        <v>0.27</v>
      </c>
      <c r="R27" s="87">
        <v>15.8</v>
      </c>
      <c r="S27" s="87">
        <v>140</v>
      </c>
      <c r="T27" s="16">
        <f t="shared" si="0"/>
        <v>30</v>
      </c>
      <c r="U27" s="87">
        <v>138</v>
      </c>
      <c r="V27" s="16">
        <f t="shared" si="1"/>
        <v>30</v>
      </c>
      <c r="W27" s="87">
        <v>2</v>
      </c>
      <c r="X27" s="87" t="s">
        <v>46</v>
      </c>
      <c r="Y27" s="87" t="s">
        <v>84</v>
      </c>
      <c r="Z27" s="87" t="s">
        <v>78</v>
      </c>
      <c r="AA27" s="87" t="s">
        <v>69</v>
      </c>
      <c r="AB27" s="100" t="s">
        <v>458</v>
      </c>
      <c r="AD27" s="100"/>
      <c r="AP27" s="101" t="s">
        <v>116</v>
      </c>
      <c r="AR27" s="42" t="s">
        <v>92</v>
      </c>
      <c r="AV27" s="27" t="s">
        <v>474</v>
      </c>
    </row>
    <row r="28" spans="1:48" x14ac:dyDescent="0.15">
      <c r="A28" s="87" t="s">
        <v>59</v>
      </c>
      <c r="B28" s="100" t="s">
        <v>459</v>
      </c>
      <c r="C28" s="83">
        <v>2018</v>
      </c>
      <c r="D28" s="181" t="s">
        <v>460</v>
      </c>
      <c r="E28" s="87" t="s">
        <v>472</v>
      </c>
      <c r="F28" s="87" t="s">
        <v>473</v>
      </c>
      <c r="G28" s="87" t="s">
        <v>36</v>
      </c>
      <c r="H28" s="87" t="s">
        <v>159</v>
      </c>
      <c r="I28" s="87" t="s">
        <v>153</v>
      </c>
      <c r="J28" s="87" t="s">
        <v>38</v>
      </c>
      <c r="K28" s="87" t="s">
        <v>154</v>
      </c>
      <c r="L28" s="87">
        <v>3</v>
      </c>
      <c r="N28" s="87">
        <v>1</v>
      </c>
      <c r="O28" s="87">
        <v>0.3</v>
      </c>
      <c r="P28" s="87">
        <v>0.32</v>
      </c>
      <c r="Q28" s="113">
        <f t="shared" si="2"/>
        <v>0.31</v>
      </c>
      <c r="R28" s="87">
        <v>16.2</v>
      </c>
      <c r="S28" s="87">
        <v>140</v>
      </c>
      <c r="T28" s="16">
        <f t="shared" si="0"/>
        <v>30</v>
      </c>
      <c r="U28" s="87">
        <v>138</v>
      </c>
      <c r="V28" s="16">
        <f t="shared" si="1"/>
        <v>30</v>
      </c>
      <c r="W28" s="87">
        <v>2</v>
      </c>
      <c r="X28" s="87" t="s">
        <v>46</v>
      </c>
      <c r="Y28" s="87" t="s">
        <v>84</v>
      </c>
      <c r="Z28" s="87" t="s">
        <v>78</v>
      </c>
      <c r="AA28" s="87" t="s">
        <v>69</v>
      </c>
      <c r="AB28" s="100" t="s">
        <v>458</v>
      </c>
      <c r="AD28" s="100"/>
      <c r="AR28" s="87" t="s">
        <v>166</v>
      </c>
      <c r="AV28" s="27"/>
    </row>
    <row r="29" spans="1:48" x14ac:dyDescent="0.15">
      <c r="A29" s="87" t="s">
        <v>59</v>
      </c>
      <c r="B29" s="100" t="s">
        <v>459</v>
      </c>
      <c r="C29" s="83">
        <v>2018</v>
      </c>
      <c r="D29" s="181" t="s">
        <v>460</v>
      </c>
      <c r="E29" s="87" t="s">
        <v>472</v>
      </c>
      <c r="F29" s="87" t="s">
        <v>473</v>
      </c>
      <c r="G29" s="87" t="s">
        <v>36</v>
      </c>
      <c r="H29" s="87" t="s">
        <v>155</v>
      </c>
      <c r="I29" s="87" t="s">
        <v>153</v>
      </c>
      <c r="J29" s="87" t="s">
        <v>38</v>
      </c>
      <c r="K29" s="87" t="s">
        <v>154</v>
      </c>
      <c r="L29" s="87">
        <v>1</v>
      </c>
      <c r="N29" s="87">
        <v>1</v>
      </c>
      <c r="O29" s="87">
        <v>0.22</v>
      </c>
      <c r="P29" s="87">
        <v>0.23</v>
      </c>
      <c r="Q29" s="113">
        <f t="shared" si="2"/>
        <v>0.22500000000000001</v>
      </c>
      <c r="R29" s="87">
        <v>14.5</v>
      </c>
      <c r="S29" s="87">
        <v>152</v>
      </c>
      <c r="T29" s="16">
        <f t="shared" si="0"/>
        <v>18</v>
      </c>
      <c r="U29" s="87">
        <v>138</v>
      </c>
      <c r="V29" s="16">
        <f t="shared" si="1"/>
        <v>30</v>
      </c>
      <c r="W29" s="87">
        <v>2</v>
      </c>
      <c r="X29" s="87" t="s">
        <v>46</v>
      </c>
      <c r="Y29" s="87" t="s">
        <v>84</v>
      </c>
      <c r="Z29" s="87" t="s">
        <v>78</v>
      </c>
      <c r="AA29" s="87" t="s">
        <v>69</v>
      </c>
      <c r="AB29" s="100" t="s">
        <v>458</v>
      </c>
      <c r="AV29" s="27"/>
    </row>
    <row r="30" spans="1:48" x14ac:dyDescent="0.15">
      <c r="A30" s="87" t="s">
        <v>59</v>
      </c>
      <c r="B30" s="100" t="s">
        <v>459</v>
      </c>
      <c r="C30" s="83">
        <v>2018</v>
      </c>
      <c r="D30" s="181" t="s">
        <v>460</v>
      </c>
      <c r="E30" s="87" t="s">
        <v>472</v>
      </c>
      <c r="F30" s="87" t="s">
        <v>473</v>
      </c>
      <c r="G30" s="87" t="s">
        <v>36</v>
      </c>
      <c r="H30" s="87" t="s">
        <v>155</v>
      </c>
      <c r="I30" s="87" t="s">
        <v>153</v>
      </c>
      <c r="J30" s="87" t="s">
        <v>38</v>
      </c>
      <c r="K30" s="87" t="s">
        <v>154</v>
      </c>
      <c r="L30" s="87">
        <v>2</v>
      </c>
      <c r="N30" s="87">
        <v>1</v>
      </c>
      <c r="O30" s="87">
        <v>0.25</v>
      </c>
      <c r="P30" s="87">
        <v>0.24</v>
      </c>
      <c r="Q30" s="113">
        <f t="shared" si="2"/>
        <v>0.245</v>
      </c>
      <c r="R30" s="87">
        <v>14.8</v>
      </c>
      <c r="S30" s="87">
        <v>166</v>
      </c>
      <c r="T30" s="16">
        <f t="shared" si="0"/>
        <v>18</v>
      </c>
      <c r="U30" s="87">
        <v>138</v>
      </c>
      <c r="V30" s="16">
        <f t="shared" si="1"/>
        <v>30</v>
      </c>
      <c r="W30" s="87">
        <v>2</v>
      </c>
      <c r="X30" s="87" t="s">
        <v>46</v>
      </c>
      <c r="Y30" s="87" t="s">
        <v>84</v>
      </c>
      <c r="Z30" s="87" t="s">
        <v>78</v>
      </c>
      <c r="AA30" s="87" t="s">
        <v>69</v>
      </c>
      <c r="AB30" s="100" t="s">
        <v>458</v>
      </c>
      <c r="AV30" s="27"/>
    </row>
    <row r="31" spans="1:48" x14ac:dyDescent="0.15">
      <c r="A31" s="87" t="s">
        <v>59</v>
      </c>
      <c r="B31" s="100" t="s">
        <v>459</v>
      </c>
      <c r="C31" s="83">
        <v>2018</v>
      </c>
      <c r="D31" s="181" t="s">
        <v>460</v>
      </c>
      <c r="E31" s="87" t="s">
        <v>472</v>
      </c>
      <c r="F31" s="87" t="s">
        <v>473</v>
      </c>
      <c r="G31" s="87" t="s">
        <v>36</v>
      </c>
      <c r="H31" s="87" t="s">
        <v>155</v>
      </c>
      <c r="I31" s="87" t="s">
        <v>153</v>
      </c>
      <c r="J31" s="87" t="s">
        <v>38</v>
      </c>
      <c r="K31" s="87" t="s">
        <v>154</v>
      </c>
      <c r="L31" s="87">
        <v>3</v>
      </c>
      <c r="N31" s="87">
        <v>1</v>
      </c>
      <c r="O31" s="87">
        <v>0.23</v>
      </c>
      <c r="P31" s="87">
        <v>0.28000000000000003</v>
      </c>
      <c r="Q31" s="113">
        <f t="shared" si="2"/>
        <v>0.255</v>
      </c>
      <c r="R31" s="87">
        <v>14.2</v>
      </c>
      <c r="S31" s="87">
        <v>155</v>
      </c>
      <c r="T31" s="16">
        <f t="shared" si="0"/>
        <v>18</v>
      </c>
      <c r="U31" s="87">
        <v>138</v>
      </c>
      <c r="V31" s="16">
        <f t="shared" si="1"/>
        <v>30</v>
      </c>
      <c r="W31" s="87">
        <v>2</v>
      </c>
      <c r="X31" s="87" t="s">
        <v>46</v>
      </c>
      <c r="Y31" s="87" t="s">
        <v>84</v>
      </c>
      <c r="Z31" s="87" t="s">
        <v>78</v>
      </c>
      <c r="AA31" s="87" t="s">
        <v>69</v>
      </c>
      <c r="AB31" s="100" t="s">
        <v>458</v>
      </c>
      <c r="AV31" s="27"/>
    </row>
    <row r="32" spans="1:48" x14ac:dyDescent="0.15">
      <c r="A32" s="87" t="s">
        <v>59</v>
      </c>
      <c r="B32" s="100" t="s">
        <v>459</v>
      </c>
      <c r="C32" s="83">
        <v>2018</v>
      </c>
      <c r="D32" s="181" t="s">
        <v>460</v>
      </c>
      <c r="E32" s="87" t="s">
        <v>179</v>
      </c>
      <c r="F32" s="87" t="s">
        <v>473</v>
      </c>
      <c r="G32" s="87" t="s">
        <v>36</v>
      </c>
      <c r="H32" s="87" t="s">
        <v>155</v>
      </c>
      <c r="I32" s="87" t="s">
        <v>153</v>
      </c>
      <c r="J32" s="87" t="s">
        <v>38</v>
      </c>
      <c r="K32" s="87" t="s">
        <v>154</v>
      </c>
      <c r="L32" s="87">
        <v>1</v>
      </c>
      <c r="N32" s="87">
        <v>5</v>
      </c>
      <c r="O32" s="87">
        <v>0.31</v>
      </c>
      <c r="P32" s="87">
        <v>0.28999999999999998</v>
      </c>
      <c r="Q32" s="113">
        <f t="shared" si="2"/>
        <v>0.3</v>
      </c>
      <c r="R32" s="87">
        <v>14.6</v>
      </c>
      <c r="S32" s="87">
        <v>94</v>
      </c>
      <c r="T32" s="16">
        <f t="shared" si="0"/>
        <v>36</v>
      </c>
      <c r="U32" s="87">
        <v>429</v>
      </c>
      <c r="V32" s="16">
        <f t="shared" si="1"/>
        <v>16</v>
      </c>
      <c r="W32" s="87">
        <v>4</v>
      </c>
      <c r="X32" s="87" t="s">
        <v>39</v>
      </c>
      <c r="Y32" s="87" t="s">
        <v>84</v>
      </c>
      <c r="Z32" s="87" t="s">
        <v>90</v>
      </c>
      <c r="AA32" s="87" t="s">
        <v>69</v>
      </c>
      <c r="AB32" s="100" t="s">
        <v>458</v>
      </c>
      <c r="AV32" s="27"/>
    </row>
    <row r="33" spans="1:48" x14ac:dyDescent="0.15">
      <c r="A33" s="87" t="s">
        <v>59</v>
      </c>
      <c r="B33" s="100" t="s">
        <v>459</v>
      </c>
      <c r="C33" s="83">
        <v>2018</v>
      </c>
      <c r="D33" s="181" t="s">
        <v>460</v>
      </c>
      <c r="E33" s="87" t="s">
        <v>179</v>
      </c>
      <c r="F33" s="87" t="s">
        <v>473</v>
      </c>
      <c r="G33" s="87" t="s">
        <v>36</v>
      </c>
      <c r="H33" s="87" t="s">
        <v>155</v>
      </c>
      <c r="I33" s="87" t="s">
        <v>153</v>
      </c>
      <c r="J33" s="87" t="s">
        <v>38</v>
      </c>
      <c r="K33" s="87" t="s">
        <v>154</v>
      </c>
      <c r="L33" s="87">
        <v>2</v>
      </c>
      <c r="N33" s="87">
        <v>5</v>
      </c>
      <c r="O33" s="87">
        <v>0.39</v>
      </c>
      <c r="P33" s="87">
        <v>0.32</v>
      </c>
      <c r="Q33" s="113">
        <f t="shared" si="2"/>
        <v>0.35499999999999998</v>
      </c>
      <c r="R33" s="87">
        <v>14.6</v>
      </c>
      <c r="S33" s="87">
        <v>92</v>
      </c>
      <c r="T33" s="16">
        <f t="shared" si="0"/>
        <v>36</v>
      </c>
      <c r="U33" s="87">
        <v>429</v>
      </c>
      <c r="V33" s="16">
        <f t="shared" si="1"/>
        <v>16</v>
      </c>
      <c r="W33" s="87">
        <v>4</v>
      </c>
      <c r="X33" s="87" t="s">
        <v>39</v>
      </c>
      <c r="Y33" s="87" t="s">
        <v>84</v>
      </c>
      <c r="Z33" s="87" t="s">
        <v>90</v>
      </c>
      <c r="AA33" s="87" t="s">
        <v>69</v>
      </c>
      <c r="AB33" s="100" t="s">
        <v>458</v>
      </c>
      <c r="AV33" s="27"/>
    </row>
    <row r="34" spans="1:48" x14ac:dyDescent="0.15">
      <c r="A34" s="87" t="s">
        <v>59</v>
      </c>
      <c r="B34" s="100" t="s">
        <v>459</v>
      </c>
      <c r="C34" s="83">
        <v>2018</v>
      </c>
      <c r="D34" s="181" t="s">
        <v>460</v>
      </c>
      <c r="E34" s="87" t="s">
        <v>179</v>
      </c>
      <c r="F34" s="87" t="s">
        <v>473</v>
      </c>
      <c r="G34" s="87" t="s">
        <v>36</v>
      </c>
      <c r="H34" s="87" t="s">
        <v>155</v>
      </c>
      <c r="I34" s="87" t="s">
        <v>153</v>
      </c>
      <c r="J34" s="87" t="s">
        <v>38</v>
      </c>
      <c r="K34" s="87" t="s">
        <v>154</v>
      </c>
      <c r="L34" s="87">
        <v>3</v>
      </c>
      <c r="N34" s="87">
        <v>5</v>
      </c>
      <c r="O34" s="87">
        <v>0.4</v>
      </c>
      <c r="P34" s="87">
        <v>0.48</v>
      </c>
      <c r="Q34" s="113">
        <f t="shared" si="2"/>
        <v>0.44</v>
      </c>
      <c r="R34" s="87">
        <v>14.1</v>
      </c>
      <c r="S34" s="87">
        <v>93</v>
      </c>
      <c r="T34" s="16">
        <f t="shared" si="0"/>
        <v>36</v>
      </c>
      <c r="U34" s="87">
        <v>429</v>
      </c>
      <c r="V34" s="16">
        <f t="shared" si="1"/>
        <v>16</v>
      </c>
      <c r="W34" s="87">
        <v>4</v>
      </c>
      <c r="X34" s="87" t="s">
        <v>39</v>
      </c>
      <c r="Y34" s="87" t="s">
        <v>84</v>
      </c>
      <c r="Z34" s="87" t="s">
        <v>90</v>
      </c>
      <c r="AA34" s="87" t="s">
        <v>69</v>
      </c>
      <c r="AB34" s="100" t="s">
        <v>458</v>
      </c>
      <c r="AV34" s="27"/>
    </row>
    <row r="35" spans="1:48" x14ac:dyDescent="0.15">
      <c r="A35" s="87" t="s">
        <v>59</v>
      </c>
      <c r="B35" s="100" t="s">
        <v>459</v>
      </c>
      <c r="C35" s="83">
        <v>2018</v>
      </c>
      <c r="D35" s="181" t="s">
        <v>460</v>
      </c>
      <c r="E35" s="87" t="s">
        <v>434</v>
      </c>
      <c r="F35" s="87" t="s">
        <v>435</v>
      </c>
      <c r="G35" s="87" t="s">
        <v>36</v>
      </c>
      <c r="H35" s="87" t="s">
        <v>159</v>
      </c>
      <c r="I35" s="87" t="s">
        <v>153</v>
      </c>
      <c r="J35" s="87" t="s">
        <v>38</v>
      </c>
      <c r="K35" s="87" t="s">
        <v>166</v>
      </c>
      <c r="L35" s="87">
        <v>1</v>
      </c>
      <c r="N35" s="87">
        <v>4</v>
      </c>
      <c r="O35" s="87">
        <v>0.46</v>
      </c>
      <c r="P35" s="87">
        <v>0.35</v>
      </c>
      <c r="Q35" s="113">
        <f t="shared" si="2"/>
        <v>0.40500000000000003</v>
      </c>
      <c r="R35" s="87">
        <v>16.899999999999999</v>
      </c>
      <c r="S35" s="87">
        <v>79</v>
      </c>
      <c r="T35" s="16">
        <f t="shared" si="0"/>
        <v>39</v>
      </c>
      <c r="U35" s="87">
        <v>499</v>
      </c>
      <c r="V35" s="16">
        <f t="shared" si="1"/>
        <v>16</v>
      </c>
      <c r="W35" s="87">
        <v>1</v>
      </c>
      <c r="X35" s="87" t="s">
        <v>39</v>
      </c>
      <c r="Y35" s="87" t="s">
        <v>69</v>
      </c>
      <c r="Z35" s="87" t="s">
        <v>84</v>
      </c>
      <c r="AA35" s="87" t="s">
        <v>90</v>
      </c>
      <c r="AB35" s="100" t="s">
        <v>475</v>
      </c>
      <c r="AV35" s="27"/>
    </row>
    <row r="36" spans="1:48" x14ac:dyDescent="0.15">
      <c r="A36" s="87" t="s">
        <v>59</v>
      </c>
      <c r="B36" s="100" t="s">
        <v>438</v>
      </c>
      <c r="C36" s="83">
        <v>2018</v>
      </c>
      <c r="D36" s="181" t="s">
        <v>439</v>
      </c>
      <c r="E36" s="87" t="s">
        <v>434</v>
      </c>
      <c r="F36" s="87" t="s">
        <v>435</v>
      </c>
      <c r="G36" s="87" t="s">
        <v>36</v>
      </c>
      <c r="H36" s="87" t="s">
        <v>159</v>
      </c>
      <c r="I36" s="87" t="s">
        <v>153</v>
      </c>
      <c r="J36" s="87" t="s">
        <v>38</v>
      </c>
      <c r="K36" s="87" t="s">
        <v>166</v>
      </c>
      <c r="L36" s="87">
        <v>2</v>
      </c>
      <c r="N36" s="87">
        <v>4</v>
      </c>
      <c r="O36" s="87">
        <v>0.42</v>
      </c>
      <c r="P36" s="87">
        <v>0.46</v>
      </c>
      <c r="Q36" s="113">
        <f t="shared" si="2"/>
        <v>0.44</v>
      </c>
      <c r="R36" s="87">
        <v>15.2</v>
      </c>
      <c r="S36" s="87">
        <v>84</v>
      </c>
      <c r="T36" s="16">
        <f t="shared" si="0"/>
        <v>36</v>
      </c>
      <c r="U36" s="87">
        <v>499</v>
      </c>
      <c r="V36" s="16">
        <f t="shared" si="1"/>
        <v>16</v>
      </c>
      <c r="W36" s="87">
        <v>1</v>
      </c>
      <c r="X36" s="87" t="s">
        <v>39</v>
      </c>
      <c r="Y36" s="87" t="s">
        <v>69</v>
      </c>
      <c r="Z36" s="87" t="s">
        <v>84</v>
      </c>
      <c r="AA36" s="87" t="s">
        <v>90</v>
      </c>
      <c r="AB36" s="100" t="s">
        <v>475</v>
      </c>
      <c r="AV36" s="27"/>
    </row>
    <row r="37" spans="1:48" x14ac:dyDescent="0.15">
      <c r="A37" s="87" t="s">
        <v>59</v>
      </c>
      <c r="B37" s="100" t="s">
        <v>438</v>
      </c>
      <c r="C37" s="83">
        <v>2018</v>
      </c>
      <c r="D37" s="181" t="s">
        <v>439</v>
      </c>
      <c r="E37" s="87" t="s">
        <v>434</v>
      </c>
      <c r="F37" s="87" t="s">
        <v>435</v>
      </c>
      <c r="G37" s="87" t="s">
        <v>36</v>
      </c>
      <c r="H37" s="87" t="s">
        <v>159</v>
      </c>
      <c r="I37" s="87" t="s">
        <v>153</v>
      </c>
      <c r="J37" s="87" t="s">
        <v>38</v>
      </c>
      <c r="K37" s="87" t="s">
        <v>166</v>
      </c>
      <c r="L37" s="87">
        <v>3</v>
      </c>
      <c r="N37" s="87">
        <v>4</v>
      </c>
      <c r="O37" s="87">
        <v>0.42</v>
      </c>
      <c r="P37" s="87">
        <v>0.45</v>
      </c>
      <c r="Q37" s="113">
        <f t="shared" si="2"/>
        <v>0.435</v>
      </c>
      <c r="R37" s="87">
        <v>15.6</v>
      </c>
      <c r="S37" s="87">
        <v>88</v>
      </c>
      <c r="T37" s="16">
        <f t="shared" si="0"/>
        <v>36</v>
      </c>
      <c r="U37" s="87">
        <v>499</v>
      </c>
      <c r="V37" s="16">
        <f t="shared" si="1"/>
        <v>16</v>
      </c>
      <c r="W37" s="87">
        <v>1</v>
      </c>
      <c r="X37" s="87" t="s">
        <v>39</v>
      </c>
      <c r="Y37" s="87" t="s">
        <v>69</v>
      </c>
      <c r="Z37" s="87" t="s">
        <v>84</v>
      </c>
      <c r="AA37" s="87" t="s">
        <v>90</v>
      </c>
      <c r="AB37" s="100" t="s">
        <v>475</v>
      </c>
      <c r="AV37" s="27"/>
    </row>
    <row r="38" spans="1:48" x14ac:dyDescent="0.15">
      <c r="A38" s="87" t="s">
        <v>59</v>
      </c>
      <c r="B38" s="100" t="s">
        <v>438</v>
      </c>
      <c r="C38" s="83">
        <v>2018</v>
      </c>
      <c r="D38" s="181" t="s">
        <v>439</v>
      </c>
      <c r="E38" s="87" t="s">
        <v>434</v>
      </c>
      <c r="F38" s="87" t="s">
        <v>435</v>
      </c>
      <c r="G38" s="87" t="s">
        <v>36</v>
      </c>
      <c r="H38" s="87" t="s">
        <v>155</v>
      </c>
      <c r="I38" s="87" t="s">
        <v>153</v>
      </c>
      <c r="J38" s="87" t="s">
        <v>38</v>
      </c>
      <c r="K38" s="87" t="s">
        <v>154</v>
      </c>
      <c r="L38" s="87">
        <v>1</v>
      </c>
      <c r="N38" s="87">
        <v>3</v>
      </c>
      <c r="O38" s="87">
        <v>0.51</v>
      </c>
      <c r="P38" s="87">
        <v>0.56999999999999995</v>
      </c>
      <c r="Q38" s="113">
        <f t="shared" si="2"/>
        <v>0.54</v>
      </c>
      <c r="R38" s="87">
        <v>14</v>
      </c>
      <c r="S38" s="87">
        <v>134</v>
      </c>
      <c r="T38" s="16">
        <f t="shared" si="0"/>
        <v>30</v>
      </c>
      <c r="U38" s="87">
        <v>350</v>
      </c>
      <c r="V38" s="16">
        <f t="shared" si="1"/>
        <v>16</v>
      </c>
      <c r="W38" s="87">
        <v>3</v>
      </c>
      <c r="X38" s="87" t="s">
        <v>39</v>
      </c>
      <c r="Y38" s="87" t="s">
        <v>69</v>
      </c>
      <c r="Z38" s="87" t="s">
        <v>84</v>
      </c>
      <c r="AA38" s="87" t="s">
        <v>90</v>
      </c>
      <c r="AB38" s="100" t="s">
        <v>475</v>
      </c>
      <c r="AV38" s="27"/>
    </row>
    <row r="39" spans="1:48" x14ac:dyDescent="0.15">
      <c r="A39" s="87" t="s">
        <v>59</v>
      </c>
      <c r="B39" s="100" t="s">
        <v>438</v>
      </c>
      <c r="C39" s="83">
        <v>2018</v>
      </c>
      <c r="D39" s="181" t="s">
        <v>439</v>
      </c>
      <c r="E39" s="87" t="s">
        <v>434</v>
      </c>
      <c r="F39" s="87" t="s">
        <v>435</v>
      </c>
      <c r="G39" s="87" t="s">
        <v>36</v>
      </c>
      <c r="H39" s="87" t="s">
        <v>155</v>
      </c>
      <c r="I39" s="87" t="s">
        <v>153</v>
      </c>
      <c r="J39" s="87" t="s">
        <v>38</v>
      </c>
      <c r="K39" s="87" t="s">
        <v>154</v>
      </c>
      <c r="L39" s="87">
        <v>2</v>
      </c>
      <c r="N39" s="87">
        <v>3</v>
      </c>
      <c r="O39" s="87">
        <v>0.81</v>
      </c>
      <c r="P39" s="87">
        <v>0.65</v>
      </c>
      <c r="Q39" s="113">
        <f t="shared" si="2"/>
        <v>0.73</v>
      </c>
      <c r="R39" s="87">
        <v>14.2</v>
      </c>
      <c r="S39" s="87">
        <v>136</v>
      </c>
      <c r="T39" s="16">
        <f t="shared" si="0"/>
        <v>30</v>
      </c>
      <c r="U39" s="87">
        <v>350</v>
      </c>
      <c r="V39" s="16">
        <f t="shared" si="1"/>
        <v>16</v>
      </c>
      <c r="W39" s="87">
        <v>3</v>
      </c>
      <c r="X39" s="87" t="s">
        <v>39</v>
      </c>
      <c r="Y39" s="87" t="s">
        <v>69</v>
      </c>
      <c r="Z39" s="87" t="s">
        <v>84</v>
      </c>
      <c r="AA39" s="87" t="s">
        <v>90</v>
      </c>
      <c r="AB39" s="100" t="s">
        <v>475</v>
      </c>
      <c r="AV39" s="27"/>
    </row>
    <row r="40" spans="1:48" x14ac:dyDescent="0.15">
      <c r="A40" s="87" t="s">
        <v>59</v>
      </c>
      <c r="B40" s="100" t="s">
        <v>438</v>
      </c>
      <c r="C40" s="83">
        <v>2018</v>
      </c>
      <c r="D40" s="181" t="s">
        <v>439</v>
      </c>
      <c r="E40" s="87" t="s">
        <v>434</v>
      </c>
      <c r="F40" s="87" t="s">
        <v>435</v>
      </c>
      <c r="G40" s="87" t="s">
        <v>36</v>
      </c>
      <c r="H40" s="87" t="s">
        <v>155</v>
      </c>
      <c r="I40" s="87" t="s">
        <v>153</v>
      </c>
      <c r="J40" s="87" t="s">
        <v>38</v>
      </c>
      <c r="K40" s="87" t="s">
        <v>154</v>
      </c>
      <c r="L40" s="87">
        <v>3</v>
      </c>
      <c r="N40" s="87">
        <v>3</v>
      </c>
      <c r="O40" s="87">
        <v>0.68</v>
      </c>
      <c r="P40" s="87">
        <v>0.73</v>
      </c>
      <c r="Q40" s="113">
        <f t="shared" si="2"/>
        <v>0.70500000000000007</v>
      </c>
      <c r="R40" s="87">
        <v>14.4</v>
      </c>
      <c r="S40" s="87">
        <v>134</v>
      </c>
      <c r="T40" s="16">
        <f t="shared" si="0"/>
        <v>30</v>
      </c>
      <c r="U40" s="87">
        <v>350</v>
      </c>
      <c r="V40" s="16">
        <f t="shared" si="1"/>
        <v>16</v>
      </c>
      <c r="W40" s="87">
        <v>3</v>
      </c>
      <c r="X40" s="87" t="s">
        <v>39</v>
      </c>
      <c r="Y40" s="87" t="s">
        <v>69</v>
      </c>
      <c r="Z40" s="87" t="s">
        <v>84</v>
      </c>
      <c r="AA40" s="87" t="s">
        <v>90</v>
      </c>
      <c r="AB40" s="100" t="s">
        <v>475</v>
      </c>
    </row>
    <row r="41" spans="1:48" x14ac:dyDescent="0.15">
      <c r="A41" s="87" t="s">
        <v>59</v>
      </c>
      <c r="B41" s="100" t="s">
        <v>438</v>
      </c>
      <c r="C41" s="83">
        <v>2018</v>
      </c>
      <c r="D41" s="181" t="s">
        <v>439</v>
      </c>
      <c r="E41" s="87" t="s">
        <v>414</v>
      </c>
      <c r="F41" s="87" t="s">
        <v>415</v>
      </c>
      <c r="G41" s="87" t="s">
        <v>36</v>
      </c>
      <c r="H41" s="87" t="s">
        <v>155</v>
      </c>
      <c r="I41" s="87" t="s">
        <v>153</v>
      </c>
      <c r="J41" s="87" t="s">
        <v>38</v>
      </c>
      <c r="K41" s="87" t="s">
        <v>154</v>
      </c>
      <c r="L41" s="87">
        <v>1</v>
      </c>
      <c r="N41" s="87">
        <v>5</v>
      </c>
      <c r="O41" s="87">
        <v>0.39</v>
      </c>
      <c r="P41" s="87">
        <v>0.39</v>
      </c>
      <c r="Q41" s="113">
        <f t="shared" si="2"/>
        <v>0.39</v>
      </c>
      <c r="R41" s="87">
        <v>15</v>
      </c>
      <c r="S41" s="87">
        <v>95</v>
      </c>
      <c r="T41" s="16">
        <f t="shared" si="0"/>
        <v>36</v>
      </c>
      <c r="U41" s="87">
        <v>429</v>
      </c>
      <c r="V41" s="16">
        <f t="shared" si="1"/>
        <v>16</v>
      </c>
      <c r="W41" s="87">
        <v>1</v>
      </c>
      <c r="X41" s="87" t="s">
        <v>46</v>
      </c>
      <c r="Y41" s="87" t="s">
        <v>90</v>
      </c>
      <c r="Z41" s="87" t="s">
        <v>84</v>
      </c>
      <c r="AA41" s="87" t="s">
        <v>457</v>
      </c>
      <c r="AB41" s="100" t="s">
        <v>458</v>
      </c>
    </row>
    <row r="42" spans="1:48" x14ac:dyDescent="0.15">
      <c r="A42" s="87" t="s">
        <v>59</v>
      </c>
      <c r="B42" s="100" t="s">
        <v>459</v>
      </c>
      <c r="C42" s="83">
        <v>2018</v>
      </c>
      <c r="D42" s="181" t="s">
        <v>460</v>
      </c>
      <c r="E42" s="87" t="s">
        <v>414</v>
      </c>
      <c r="F42" s="87" t="s">
        <v>415</v>
      </c>
      <c r="G42" s="87" t="s">
        <v>36</v>
      </c>
      <c r="H42" s="87" t="s">
        <v>155</v>
      </c>
      <c r="I42" s="87" t="s">
        <v>153</v>
      </c>
      <c r="J42" s="87" t="s">
        <v>38</v>
      </c>
      <c r="K42" s="87" t="s">
        <v>154</v>
      </c>
      <c r="L42" s="87">
        <v>2</v>
      </c>
      <c r="N42" s="87">
        <v>5</v>
      </c>
      <c r="O42" s="87">
        <v>0.3</v>
      </c>
      <c r="P42" s="87">
        <v>0.4</v>
      </c>
      <c r="Q42" s="113">
        <f t="shared" si="2"/>
        <v>0.35</v>
      </c>
      <c r="R42" s="87">
        <v>12.5</v>
      </c>
      <c r="S42" s="87">
        <v>97</v>
      </c>
      <c r="T42" s="16">
        <f t="shared" si="0"/>
        <v>36</v>
      </c>
      <c r="U42" s="87">
        <v>429</v>
      </c>
      <c r="V42" s="16">
        <f t="shared" si="1"/>
        <v>16</v>
      </c>
      <c r="W42" s="87">
        <v>1</v>
      </c>
      <c r="X42" s="87" t="s">
        <v>46</v>
      </c>
      <c r="Y42" s="87" t="s">
        <v>90</v>
      </c>
      <c r="Z42" s="87" t="s">
        <v>84</v>
      </c>
      <c r="AA42" s="87" t="s">
        <v>457</v>
      </c>
      <c r="AB42" s="100" t="s">
        <v>458</v>
      </c>
    </row>
    <row r="43" spans="1:48" x14ac:dyDescent="0.15">
      <c r="A43" s="87" t="s">
        <v>59</v>
      </c>
      <c r="B43" s="100" t="s">
        <v>459</v>
      </c>
      <c r="C43" s="83">
        <v>2018</v>
      </c>
      <c r="D43" s="181" t="s">
        <v>460</v>
      </c>
      <c r="E43" s="87" t="s">
        <v>414</v>
      </c>
      <c r="F43" s="87" t="s">
        <v>415</v>
      </c>
      <c r="G43" s="87" t="s">
        <v>36</v>
      </c>
      <c r="H43" s="87" t="s">
        <v>155</v>
      </c>
      <c r="I43" s="87" t="s">
        <v>153</v>
      </c>
      <c r="J43" s="87" t="s">
        <v>38</v>
      </c>
      <c r="K43" s="87" t="s">
        <v>154</v>
      </c>
      <c r="L43" s="87">
        <v>3</v>
      </c>
      <c r="N43" s="87">
        <v>5</v>
      </c>
      <c r="O43" s="87">
        <v>0.44</v>
      </c>
      <c r="P43" s="87">
        <v>0.37</v>
      </c>
      <c r="Q43" s="113">
        <f t="shared" si="2"/>
        <v>0.40500000000000003</v>
      </c>
      <c r="R43" s="87">
        <v>12.7</v>
      </c>
      <c r="S43" s="87">
        <v>94</v>
      </c>
      <c r="T43" s="16">
        <f t="shared" si="0"/>
        <v>36</v>
      </c>
      <c r="U43" s="87">
        <v>429</v>
      </c>
      <c r="V43" s="16">
        <f t="shared" si="1"/>
        <v>16</v>
      </c>
      <c r="W43" s="87">
        <v>1</v>
      </c>
      <c r="X43" s="87" t="s">
        <v>46</v>
      </c>
      <c r="Y43" s="87" t="s">
        <v>90</v>
      </c>
      <c r="Z43" s="87" t="s">
        <v>84</v>
      </c>
      <c r="AA43" s="87" t="s">
        <v>457</v>
      </c>
      <c r="AB43" s="100" t="s">
        <v>458</v>
      </c>
    </row>
    <row r="44" spans="1:48" x14ac:dyDescent="0.15">
      <c r="A44" s="87" t="s">
        <v>59</v>
      </c>
      <c r="B44" s="100" t="s">
        <v>459</v>
      </c>
      <c r="C44" s="83">
        <v>2018</v>
      </c>
      <c r="D44" s="181" t="s">
        <v>460</v>
      </c>
      <c r="E44" s="87" t="s">
        <v>414</v>
      </c>
      <c r="F44" s="87" t="s">
        <v>415</v>
      </c>
      <c r="G44" s="87" t="s">
        <v>36</v>
      </c>
      <c r="H44" s="87" t="s">
        <v>127</v>
      </c>
      <c r="I44" s="87" t="s">
        <v>153</v>
      </c>
      <c r="J44" s="87" t="s">
        <v>80</v>
      </c>
      <c r="K44" s="87" t="s">
        <v>430</v>
      </c>
      <c r="L44" s="87">
        <v>1</v>
      </c>
      <c r="N44" s="87">
        <v>5</v>
      </c>
      <c r="O44" s="87">
        <v>0.22</v>
      </c>
      <c r="P44" s="87">
        <v>0.2</v>
      </c>
      <c r="Q44" s="113">
        <f t="shared" si="2"/>
        <v>0.21000000000000002</v>
      </c>
      <c r="R44" s="87">
        <v>13.6</v>
      </c>
      <c r="S44" s="87">
        <v>95</v>
      </c>
      <c r="T44" s="16">
        <f t="shared" si="0"/>
        <v>36</v>
      </c>
      <c r="U44" s="87">
        <v>329</v>
      </c>
      <c r="V44" s="16">
        <f t="shared" si="1"/>
        <v>16</v>
      </c>
      <c r="W44" s="87">
        <v>1</v>
      </c>
      <c r="X44" s="87" t="s">
        <v>39</v>
      </c>
      <c r="Y44" s="87" t="s">
        <v>90</v>
      </c>
      <c r="Z44" s="87" t="s">
        <v>84</v>
      </c>
      <c r="AA44" s="87" t="s">
        <v>457</v>
      </c>
      <c r="AB44" s="100" t="s">
        <v>458</v>
      </c>
    </row>
    <row r="45" spans="1:48" x14ac:dyDescent="0.15">
      <c r="A45" s="87" t="s">
        <v>59</v>
      </c>
      <c r="B45" s="100" t="s">
        <v>459</v>
      </c>
      <c r="C45" s="83">
        <v>2018</v>
      </c>
      <c r="D45" s="181" t="s">
        <v>460</v>
      </c>
      <c r="E45" s="87" t="s">
        <v>414</v>
      </c>
      <c r="F45" s="87" t="s">
        <v>415</v>
      </c>
      <c r="G45" s="87" t="s">
        <v>36</v>
      </c>
      <c r="H45" s="87" t="s">
        <v>127</v>
      </c>
      <c r="I45" s="87" t="s">
        <v>153</v>
      </c>
      <c r="J45" s="87" t="s">
        <v>80</v>
      </c>
      <c r="K45" s="87" t="s">
        <v>430</v>
      </c>
      <c r="L45" s="87">
        <v>2</v>
      </c>
      <c r="N45" s="87">
        <v>5</v>
      </c>
      <c r="O45" s="87">
        <v>0.23</v>
      </c>
      <c r="P45" s="87">
        <v>0.24</v>
      </c>
      <c r="Q45" s="113">
        <f t="shared" si="2"/>
        <v>0.23499999999999999</v>
      </c>
      <c r="R45" s="87">
        <v>14.2</v>
      </c>
      <c r="S45" s="87">
        <v>90</v>
      </c>
      <c r="T45" s="16">
        <f t="shared" si="0"/>
        <v>36</v>
      </c>
      <c r="U45" s="87">
        <v>329</v>
      </c>
      <c r="V45" s="16">
        <f t="shared" si="1"/>
        <v>16</v>
      </c>
      <c r="W45" s="87">
        <v>1</v>
      </c>
      <c r="X45" s="87" t="s">
        <v>39</v>
      </c>
      <c r="Y45" s="87" t="s">
        <v>90</v>
      </c>
      <c r="Z45" s="87" t="s">
        <v>84</v>
      </c>
      <c r="AA45" s="87" t="s">
        <v>457</v>
      </c>
      <c r="AB45" s="100" t="s">
        <v>458</v>
      </c>
    </row>
    <row r="46" spans="1:48" x14ac:dyDescent="0.15">
      <c r="A46" s="87" t="s">
        <v>59</v>
      </c>
      <c r="B46" s="100" t="s">
        <v>459</v>
      </c>
      <c r="C46" s="83">
        <v>2018</v>
      </c>
      <c r="D46" s="181" t="s">
        <v>460</v>
      </c>
      <c r="E46" s="87" t="s">
        <v>414</v>
      </c>
      <c r="F46" s="87" t="s">
        <v>415</v>
      </c>
      <c r="G46" s="87" t="s">
        <v>36</v>
      </c>
      <c r="H46" s="87" t="s">
        <v>127</v>
      </c>
      <c r="I46" s="87" t="s">
        <v>153</v>
      </c>
      <c r="J46" s="87" t="s">
        <v>80</v>
      </c>
      <c r="K46" s="87" t="s">
        <v>430</v>
      </c>
      <c r="L46" s="87">
        <v>3</v>
      </c>
      <c r="N46" s="87">
        <v>5</v>
      </c>
      <c r="O46" s="87">
        <v>0.22</v>
      </c>
      <c r="P46" s="87">
        <v>0.25</v>
      </c>
      <c r="Q46" s="113">
        <f t="shared" si="2"/>
        <v>0.23499999999999999</v>
      </c>
      <c r="R46" s="87">
        <v>14</v>
      </c>
      <c r="S46" s="87">
        <v>95</v>
      </c>
      <c r="T46" s="16">
        <f t="shared" si="0"/>
        <v>36</v>
      </c>
      <c r="U46" s="87">
        <v>329</v>
      </c>
      <c r="V46" s="16">
        <f t="shared" si="1"/>
        <v>16</v>
      </c>
      <c r="W46" s="87">
        <v>1</v>
      </c>
      <c r="X46" s="87" t="s">
        <v>39</v>
      </c>
      <c r="Y46" s="87" t="s">
        <v>90</v>
      </c>
      <c r="Z46" s="87" t="s">
        <v>84</v>
      </c>
      <c r="AA46" s="87" t="s">
        <v>457</v>
      </c>
      <c r="AB46" s="100" t="s">
        <v>458</v>
      </c>
    </row>
    <row r="47" spans="1:48" x14ac:dyDescent="0.15">
      <c r="A47" s="87" t="s">
        <v>59</v>
      </c>
      <c r="B47" s="100" t="s">
        <v>459</v>
      </c>
      <c r="C47" s="83">
        <v>2018</v>
      </c>
      <c r="D47" s="181" t="s">
        <v>460</v>
      </c>
      <c r="E47" s="87" t="s">
        <v>446</v>
      </c>
      <c r="F47" s="87" t="s">
        <v>447</v>
      </c>
      <c r="G47" s="87" t="s">
        <v>36</v>
      </c>
      <c r="H47" s="87" t="s">
        <v>155</v>
      </c>
      <c r="I47" s="87" t="s">
        <v>153</v>
      </c>
      <c r="J47" s="87" t="s">
        <v>38</v>
      </c>
      <c r="K47" s="87" t="s">
        <v>154</v>
      </c>
      <c r="L47" s="87">
        <v>1</v>
      </c>
      <c r="N47" s="87">
        <v>4</v>
      </c>
      <c r="O47" s="87">
        <v>0.46</v>
      </c>
      <c r="P47" s="87">
        <v>0.56000000000000005</v>
      </c>
      <c r="Q47" s="113">
        <f t="shared" si="2"/>
        <v>0.51</v>
      </c>
      <c r="R47" s="87">
        <v>15</v>
      </c>
      <c r="S47" s="87">
        <v>160</v>
      </c>
      <c r="T47" s="16">
        <f t="shared" si="0"/>
        <v>18</v>
      </c>
      <c r="U47" s="87">
        <v>348</v>
      </c>
      <c r="V47" s="16">
        <f t="shared" si="1"/>
        <v>16</v>
      </c>
      <c r="W47" s="87">
        <v>1</v>
      </c>
      <c r="X47" s="87" t="s">
        <v>39</v>
      </c>
      <c r="Y47" s="87" t="s">
        <v>84</v>
      </c>
      <c r="Z47" s="87" t="s">
        <v>90</v>
      </c>
      <c r="AA47" s="87" t="s">
        <v>69</v>
      </c>
      <c r="AB47" s="100" t="s">
        <v>458</v>
      </c>
    </row>
    <row r="48" spans="1:48" x14ac:dyDescent="0.15">
      <c r="A48" s="87" t="s">
        <v>59</v>
      </c>
      <c r="B48" s="100" t="s">
        <v>459</v>
      </c>
      <c r="C48" s="83">
        <v>2018</v>
      </c>
      <c r="D48" s="181" t="s">
        <v>460</v>
      </c>
      <c r="E48" s="87" t="s">
        <v>446</v>
      </c>
      <c r="F48" s="87" t="s">
        <v>447</v>
      </c>
      <c r="G48" s="87" t="s">
        <v>36</v>
      </c>
      <c r="H48" s="87" t="s">
        <v>155</v>
      </c>
      <c r="I48" s="87" t="s">
        <v>153</v>
      </c>
      <c r="J48" s="87" t="s">
        <v>38</v>
      </c>
      <c r="K48" s="87" t="s">
        <v>154</v>
      </c>
      <c r="L48" s="87">
        <v>2</v>
      </c>
      <c r="N48" s="87">
        <v>4</v>
      </c>
      <c r="O48" s="87">
        <v>0.72</v>
      </c>
      <c r="P48" s="87">
        <v>0.69</v>
      </c>
      <c r="Q48" s="113">
        <f t="shared" si="2"/>
        <v>0.70499999999999996</v>
      </c>
      <c r="R48" s="87">
        <v>13.4</v>
      </c>
      <c r="S48" s="87">
        <v>145</v>
      </c>
      <c r="T48" s="16">
        <f t="shared" si="0"/>
        <v>30</v>
      </c>
      <c r="U48" s="87">
        <v>348</v>
      </c>
      <c r="V48" s="16">
        <f t="shared" si="1"/>
        <v>16</v>
      </c>
      <c r="W48" s="87">
        <v>1</v>
      </c>
      <c r="X48" s="87" t="s">
        <v>39</v>
      </c>
      <c r="Y48" s="87" t="s">
        <v>84</v>
      </c>
      <c r="Z48" s="87" t="s">
        <v>90</v>
      </c>
      <c r="AA48" s="87" t="s">
        <v>69</v>
      </c>
      <c r="AB48" s="100" t="s">
        <v>458</v>
      </c>
    </row>
    <row r="49" spans="1:28" x14ac:dyDescent="0.15">
      <c r="A49" s="87" t="s">
        <v>59</v>
      </c>
      <c r="B49" s="100" t="s">
        <v>459</v>
      </c>
      <c r="C49" s="83">
        <v>2018</v>
      </c>
      <c r="D49" s="181" t="s">
        <v>460</v>
      </c>
      <c r="E49" s="87" t="s">
        <v>446</v>
      </c>
      <c r="F49" s="87" t="s">
        <v>447</v>
      </c>
      <c r="G49" s="87" t="s">
        <v>36</v>
      </c>
      <c r="H49" s="87" t="s">
        <v>155</v>
      </c>
      <c r="I49" s="87" t="s">
        <v>153</v>
      </c>
      <c r="J49" s="87" t="s">
        <v>38</v>
      </c>
      <c r="K49" s="87" t="s">
        <v>154</v>
      </c>
      <c r="L49" s="87">
        <v>3</v>
      </c>
      <c r="N49" s="87">
        <v>4</v>
      </c>
      <c r="O49" s="87">
        <v>0.77</v>
      </c>
      <c r="P49" s="87">
        <v>0.65</v>
      </c>
      <c r="Q49" s="113">
        <f t="shared" si="2"/>
        <v>0.71</v>
      </c>
      <c r="R49" s="87">
        <v>13.4</v>
      </c>
      <c r="S49" s="87">
        <v>150</v>
      </c>
      <c r="T49" s="16">
        <f t="shared" si="0"/>
        <v>30</v>
      </c>
      <c r="U49" s="87">
        <v>348</v>
      </c>
      <c r="V49" s="16">
        <f t="shared" si="1"/>
        <v>16</v>
      </c>
      <c r="W49" s="87">
        <v>1</v>
      </c>
      <c r="X49" s="87" t="s">
        <v>39</v>
      </c>
      <c r="Y49" s="87" t="s">
        <v>84</v>
      </c>
      <c r="Z49" s="87" t="s">
        <v>90</v>
      </c>
      <c r="AA49" s="87" t="s">
        <v>69</v>
      </c>
      <c r="AB49" s="100" t="s">
        <v>458</v>
      </c>
    </row>
    <row r="50" spans="1:28" x14ac:dyDescent="0.15">
      <c r="A50" s="87" t="s">
        <v>59</v>
      </c>
      <c r="B50" s="100" t="s">
        <v>459</v>
      </c>
      <c r="C50" s="83">
        <v>2018</v>
      </c>
      <c r="D50" s="181" t="s">
        <v>460</v>
      </c>
      <c r="E50" s="87" t="s">
        <v>426</v>
      </c>
      <c r="F50" s="87" t="s">
        <v>427</v>
      </c>
      <c r="G50" s="87" t="s">
        <v>36</v>
      </c>
      <c r="H50" s="87" t="s">
        <v>159</v>
      </c>
      <c r="I50" s="87" t="s">
        <v>153</v>
      </c>
      <c r="J50" s="87" t="s">
        <v>38</v>
      </c>
      <c r="K50" s="87" t="s">
        <v>154</v>
      </c>
      <c r="L50" s="87">
        <v>1</v>
      </c>
      <c r="N50" s="87">
        <v>3</v>
      </c>
      <c r="O50" s="87">
        <v>0.42</v>
      </c>
      <c r="P50" s="87">
        <v>0.35</v>
      </c>
      <c r="Q50" s="113">
        <f t="shared" si="2"/>
        <v>0.38500000000000001</v>
      </c>
      <c r="R50" s="87">
        <v>15.3</v>
      </c>
      <c r="S50" s="87">
        <v>177</v>
      </c>
      <c r="T50" s="16">
        <f t="shared" si="0"/>
        <v>18</v>
      </c>
      <c r="U50" s="87">
        <v>494</v>
      </c>
      <c r="V50" s="16">
        <f t="shared" si="1"/>
        <v>16</v>
      </c>
      <c r="W50" s="87">
        <v>1</v>
      </c>
      <c r="X50" s="87" t="s">
        <v>46</v>
      </c>
      <c r="Y50" s="87" t="s">
        <v>84</v>
      </c>
      <c r="Z50" s="87" t="s">
        <v>457</v>
      </c>
      <c r="AA50" s="87" t="s">
        <v>90</v>
      </c>
      <c r="AB50" s="100" t="s">
        <v>458</v>
      </c>
    </row>
    <row r="51" spans="1:28" x14ac:dyDescent="0.15">
      <c r="A51" s="87" t="s">
        <v>59</v>
      </c>
      <c r="B51" s="100" t="s">
        <v>459</v>
      </c>
      <c r="C51" s="83">
        <v>2018</v>
      </c>
      <c r="D51" s="181" t="s">
        <v>460</v>
      </c>
      <c r="E51" s="87" t="s">
        <v>426</v>
      </c>
      <c r="F51" s="87" t="s">
        <v>427</v>
      </c>
      <c r="G51" s="87" t="s">
        <v>36</v>
      </c>
      <c r="H51" s="87" t="s">
        <v>159</v>
      </c>
      <c r="I51" s="87" t="s">
        <v>153</v>
      </c>
      <c r="J51" s="87" t="s">
        <v>38</v>
      </c>
      <c r="K51" s="87" t="s">
        <v>154</v>
      </c>
      <c r="L51" s="87">
        <v>2</v>
      </c>
      <c r="N51" s="87">
        <v>3</v>
      </c>
      <c r="O51" s="87">
        <v>0.37</v>
      </c>
      <c r="P51" s="87">
        <v>0.48</v>
      </c>
      <c r="Q51" s="113">
        <f t="shared" si="2"/>
        <v>0.42499999999999999</v>
      </c>
      <c r="R51" s="87">
        <v>14.7</v>
      </c>
      <c r="S51" s="87">
        <v>158</v>
      </c>
      <c r="T51" s="16">
        <f t="shared" si="0"/>
        <v>18</v>
      </c>
      <c r="U51" s="87">
        <v>494</v>
      </c>
      <c r="V51" s="16">
        <f t="shared" si="1"/>
        <v>16</v>
      </c>
      <c r="W51" s="87">
        <v>1</v>
      </c>
      <c r="X51" s="87" t="s">
        <v>46</v>
      </c>
      <c r="Y51" s="87" t="s">
        <v>84</v>
      </c>
      <c r="Z51" s="87" t="s">
        <v>457</v>
      </c>
      <c r="AA51" s="87" t="s">
        <v>90</v>
      </c>
      <c r="AB51" s="100" t="s">
        <v>458</v>
      </c>
    </row>
    <row r="52" spans="1:28" x14ac:dyDescent="0.15">
      <c r="A52" s="87" t="s">
        <v>59</v>
      </c>
      <c r="B52" s="100" t="s">
        <v>459</v>
      </c>
      <c r="C52" s="83">
        <v>2018</v>
      </c>
      <c r="D52" s="181" t="s">
        <v>460</v>
      </c>
      <c r="E52" s="87" t="s">
        <v>426</v>
      </c>
      <c r="F52" s="87" t="s">
        <v>427</v>
      </c>
      <c r="G52" s="87" t="s">
        <v>36</v>
      </c>
      <c r="H52" s="87" t="s">
        <v>159</v>
      </c>
      <c r="I52" s="87" t="s">
        <v>153</v>
      </c>
      <c r="J52" s="87" t="s">
        <v>38</v>
      </c>
      <c r="K52" s="87" t="s">
        <v>154</v>
      </c>
      <c r="L52" s="87">
        <v>3</v>
      </c>
      <c r="N52" s="87">
        <v>3</v>
      </c>
      <c r="O52" s="87">
        <v>0.44</v>
      </c>
      <c r="P52" s="87">
        <v>0.4</v>
      </c>
      <c r="Q52" s="113">
        <f t="shared" si="2"/>
        <v>0.42000000000000004</v>
      </c>
      <c r="R52" s="87">
        <v>15.6</v>
      </c>
      <c r="S52" s="87">
        <v>166</v>
      </c>
      <c r="T52" s="16">
        <f t="shared" si="0"/>
        <v>18</v>
      </c>
      <c r="U52" s="87">
        <v>494</v>
      </c>
      <c r="V52" s="16">
        <f t="shared" si="1"/>
        <v>16</v>
      </c>
      <c r="W52" s="87">
        <v>1</v>
      </c>
      <c r="X52" s="87" t="s">
        <v>46</v>
      </c>
      <c r="Y52" s="87" t="s">
        <v>84</v>
      </c>
      <c r="Z52" s="87" t="s">
        <v>457</v>
      </c>
      <c r="AA52" s="87" t="s">
        <v>90</v>
      </c>
      <c r="AB52" s="100" t="s">
        <v>458</v>
      </c>
    </row>
    <row r="53" spans="1:28" x14ac:dyDescent="0.15">
      <c r="A53" s="87" t="s">
        <v>59</v>
      </c>
      <c r="B53" s="100" t="s">
        <v>459</v>
      </c>
      <c r="C53" s="83">
        <v>2018</v>
      </c>
      <c r="D53" s="181" t="s">
        <v>460</v>
      </c>
      <c r="E53" s="87" t="s">
        <v>426</v>
      </c>
      <c r="F53" s="87" t="s">
        <v>427</v>
      </c>
      <c r="G53" s="87" t="s">
        <v>36</v>
      </c>
      <c r="H53" s="87" t="s">
        <v>155</v>
      </c>
      <c r="I53" s="87" t="s">
        <v>153</v>
      </c>
      <c r="J53" s="87" t="s">
        <v>38</v>
      </c>
      <c r="K53" s="87" t="s">
        <v>154</v>
      </c>
      <c r="L53" s="87">
        <v>1</v>
      </c>
      <c r="N53" s="87">
        <v>4</v>
      </c>
      <c r="O53" s="87">
        <v>0.73</v>
      </c>
      <c r="P53" s="87">
        <v>0.73</v>
      </c>
      <c r="Q53" s="113">
        <f t="shared" si="2"/>
        <v>0.73</v>
      </c>
      <c r="R53" s="87">
        <v>14.5</v>
      </c>
      <c r="S53" s="87">
        <v>105</v>
      </c>
      <c r="T53" s="16">
        <f t="shared" si="0"/>
        <v>33</v>
      </c>
      <c r="U53" s="87">
        <v>386</v>
      </c>
      <c r="V53" s="16">
        <f t="shared" si="1"/>
        <v>16</v>
      </c>
      <c r="W53" s="87">
        <v>3</v>
      </c>
      <c r="X53" s="87" t="s">
        <v>46</v>
      </c>
      <c r="Y53" s="87" t="s">
        <v>84</v>
      </c>
      <c r="Z53" s="87" t="s">
        <v>457</v>
      </c>
      <c r="AA53" s="87" t="s">
        <v>90</v>
      </c>
      <c r="AB53" s="100" t="s">
        <v>458</v>
      </c>
    </row>
    <row r="54" spans="1:28" x14ac:dyDescent="0.15">
      <c r="A54" s="87" t="s">
        <v>59</v>
      </c>
      <c r="B54" s="100" t="s">
        <v>459</v>
      </c>
      <c r="C54" s="83">
        <v>2018</v>
      </c>
      <c r="D54" s="181" t="s">
        <v>460</v>
      </c>
      <c r="E54" s="87" t="s">
        <v>426</v>
      </c>
      <c r="F54" s="87" t="s">
        <v>427</v>
      </c>
      <c r="G54" s="87" t="s">
        <v>36</v>
      </c>
      <c r="H54" s="87" t="s">
        <v>155</v>
      </c>
      <c r="I54" s="87" t="s">
        <v>153</v>
      </c>
      <c r="J54" s="87" t="s">
        <v>38</v>
      </c>
      <c r="K54" s="87" t="s">
        <v>154</v>
      </c>
      <c r="L54" s="87">
        <v>2</v>
      </c>
      <c r="N54" s="87">
        <v>4</v>
      </c>
      <c r="O54" s="87">
        <v>0.5</v>
      </c>
      <c r="P54" s="87">
        <v>0.57999999999999996</v>
      </c>
      <c r="Q54" s="113">
        <f t="shared" si="2"/>
        <v>0.54</v>
      </c>
      <c r="R54" s="87">
        <v>14.2</v>
      </c>
      <c r="S54" s="87">
        <v>100</v>
      </c>
      <c r="T54" s="16">
        <f t="shared" si="0"/>
        <v>33</v>
      </c>
      <c r="U54" s="87">
        <v>386</v>
      </c>
      <c r="V54" s="16">
        <f t="shared" si="1"/>
        <v>16</v>
      </c>
      <c r="W54" s="87">
        <v>3</v>
      </c>
      <c r="X54" s="87" t="s">
        <v>46</v>
      </c>
      <c r="Y54" s="87" t="s">
        <v>84</v>
      </c>
      <c r="Z54" s="87" t="s">
        <v>457</v>
      </c>
      <c r="AA54" s="87" t="s">
        <v>90</v>
      </c>
      <c r="AB54" s="100" t="s">
        <v>458</v>
      </c>
    </row>
    <row r="55" spans="1:28" x14ac:dyDescent="0.15">
      <c r="A55" s="87" t="s">
        <v>59</v>
      </c>
      <c r="B55" s="100" t="s">
        <v>459</v>
      </c>
      <c r="C55" s="83">
        <v>2018</v>
      </c>
      <c r="D55" s="181" t="s">
        <v>460</v>
      </c>
      <c r="E55" s="87" t="s">
        <v>426</v>
      </c>
      <c r="F55" s="87" t="s">
        <v>427</v>
      </c>
      <c r="G55" s="87" t="s">
        <v>36</v>
      </c>
      <c r="H55" s="87" t="s">
        <v>155</v>
      </c>
      <c r="I55" s="87" t="s">
        <v>153</v>
      </c>
      <c r="J55" s="87" t="s">
        <v>38</v>
      </c>
      <c r="K55" s="87" t="s">
        <v>154</v>
      </c>
      <c r="L55" s="87">
        <v>3</v>
      </c>
      <c r="N55" s="87">
        <v>4</v>
      </c>
      <c r="O55" s="87">
        <v>0.7</v>
      </c>
      <c r="P55" s="87">
        <v>0.62</v>
      </c>
      <c r="Q55" s="113">
        <f t="shared" si="2"/>
        <v>0.65999999999999992</v>
      </c>
      <c r="R55" s="87">
        <v>14.1</v>
      </c>
      <c r="S55" s="87">
        <v>95</v>
      </c>
      <c r="T55" s="16">
        <f t="shared" si="0"/>
        <v>36</v>
      </c>
      <c r="U55" s="87">
        <v>386</v>
      </c>
      <c r="V55" s="16">
        <f t="shared" si="1"/>
        <v>16</v>
      </c>
      <c r="W55" s="87">
        <v>3</v>
      </c>
      <c r="X55" s="87" t="s">
        <v>46</v>
      </c>
      <c r="Y55" s="87" t="s">
        <v>84</v>
      </c>
      <c r="Z55" s="87" t="s">
        <v>457</v>
      </c>
      <c r="AA55" s="87" t="s">
        <v>90</v>
      </c>
      <c r="AB55" s="100" t="s">
        <v>458</v>
      </c>
    </row>
    <row r="56" spans="1:28" x14ac:dyDescent="0.15">
      <c r="B56" s="100"/>
      <c r="C56" s="83"/>
      <c r="D56" s="181"/>
      <c r="Q56" s="113"/>
      <c r="AB56" s="100"/>
    </row>
    <row r="57" spans="1:28" x14ac:dyDescent="0.15">
      <c r="B57" s="100"/>
      <c r="C57" s="83"/>
      <c r="D57" s="181"/>
      <c r="Q57" s="113"/>
      <c r="AB57" s="100"/>
    </row>
    <row r="58" spans="1:28" x14ac:dyDescent="0.15">
      <c r="B58" s="100"/>
      <c r="C58" s="83"/>
      <c r="D58" s="181"/>
      <c r="Q58" s="113"/>
      <c r="AB58" s="100"/>
    </row>
    <row r="59" spans="1:28" x14ac:dyDescent="0.15">
      <c r="B59" s="100"/>
      <c r="C59" s="83"/>
      <c r="D59" s="181"/>
      <c r="Q59" s="113"/>
      <c r="AB59" s="100"/>
    </row>
    <row r="60" spans="1:28" x14ac:dyDescent="0.15">
      <c r="B60" s="100"/>
      <c r="C60" s="83"/>
      <c r="D60" s="181"/>
      <c r="Q60" s="113"/>
      <c r="AB60" s="100"/>
    </row>
    <row r="61" spans="1:28" x14ac:dyDescent="0.15">
      <c r="B61" s="100"/>
      <c r="C61" s="83"/>
      <c r="D61" s="181"/>
      <c r="Q61" s="113"/>
      <c r="AB61" s="100"/>
    </row>
    <row r="62" spans="1:28" x14ac:dyDescent="0.15">
      <c r="B62" s="100"/>
      <c r="C62" s="83"/>
      <c r="D62" s="181"/>
      <c r="Q62" s="113"/>
      <c r="AB62" s="100"/>
    </row>
    <row r="63" spans="1:28" x14ac:dyDescent="0.15">
      <c r="B63" s="100"/>
      <c r="C63" s="83"/>
      <c r="D63" s="181"/>
      <c r="Q63" s="113"/>
      <c r="AB63" s="100"/>
    </row>
    <row r="64" spans="1:28" x14ac:dyDescent="0.15">
      <c r="B64" s="100"/>
      <c r="C64" s="83"/>
      <c r="D64" s="181"/>
      <c r="Q64" s="113"/>
      <c r="AB64" s="100"/>
    </row>
    <row r="65" spans="2:28" x14ac:dyDescent="0.15">
      <c r="B65" s="100"/>
      <c r="C65" s="83"/>
      <c r="D65" s="181"/>
      <c r="Q65" s="113"/>
      <c r="AB65" s="100"/>
    </row>
    <row r="66" spans="2:28" x14ac:dyDescent="0.15">
      <c r="B66" s="100"/>
      <c r="C66" s="83"/>
      <c r="D66" s="181"/>
      <c r="Q66" s="113"/>
      <c r="AB66" s="100"/>
    </row>
    <row r="67" spans="2:28" x14ac:dyDescent="0.15">
      <c r="B67" s="100"/>
      <c r="C67" s="83"/>
      <c r="D67" s="181"/>
      <c r="Q67" s="113"/>
      <c r="AB67" s="100"/>
    </row>
    <row r="68" spans="2:28" x14ac:dyDescent="0.15">
      <c r="B68" s="100"/>
      <c r="C68" s="83"/>
      <c r="D68" s="181"/>
      <c r="Q68" s="113"/>
      <c r="AB68" s="100"/>
    </row>
    <row r="69" spans="2:28" x14ac:dyDescent="0.15">
      <c r="B69" s="100"/>
      <c r="C69" s="83"/>
      <c r="D69" s="181"/>
      <c r="Q69" s="113"/>
      <c r="AB69" s="100"/>
    </row>
    <row r="70" spans="2:28" x14ac:dyDescent="0.15">
      <c r="B70" s="100"/>
      <c r="C70" s="83"/>
      <c r="D70" s="181"/>
      <c r="Q70" s="113"/>
      <c r="AB70" s="100"/>
    </row>
    <row r="71" spans="2:28" x14ac:dyDescent="0.15">
      <c r="B71" s="100"/>
      <c r="C71" s="83"/>
      <c r="D71" s="181"/>
      <c r="Q71" s="113"/>
      <c r="AB71" s="100"/>
    </row>
    <row r="72" spans="2:28" x14ac:dyDescent="0.15">
      <c r="B72" s="100"/>
      <c r="C72" s="83"/>
      <c r="D72" s="181"/>
      <c r="Q72" s="113"/>
      <c r="AB72" s="100"/>
    </row>
    <row r="73" spans="2:28" x14ac:dyDescent="0.15">
      <c r="B73" s="100"/>
      <c r="C73" s="83"/>
      <c r="D73" s="181"/>
      <c r="Q73" s="113"/>
      <c r="AB73" s="100"/>
    </row>
    <row r="74" spans="2:28" x14ac:dyDescent="0.15">
      <c r="B74" s="100"/>
      <c r="C74" s="83"/>
      <c r="D74" s="181"/>
      <c r="Q74" s="113"/>
      <c r="AB74" s="100"/>
    </row>
    <row r="75" spans="2:28" x14ac:dyDescent="0.15">
      <c r="B75" s="100"/>
      <c r="C75" s="83"/>
      <c r="D75" s="181"/>
      <c r="Q75" s="113"/>
      <c r="AB75" s="100"/>
    </row>
    <row r="76" spans="2:28" x14ac:dyDescent="0.15">
      <c r="B76" s="100"/>
      <c r="C76" s="83"/>
      <c r="D76" s="181"/>
      <c r="Q76" s="113"/>
      <c r="AB76" s="100"/>
    </row>
    <row r="77" spans="2:28" x14ac:dyDescent="0.15">
      <c r="B77" s="100"/>
      <c r="C77" s="83"/>
      <c r="Q77" s="113"/>
      <c r="AB77" s="100"/>
    </row>
    <row r="78" spans="2:28" x14ac:dyDescent="0.15">
      <c r="B78" s="100"/>
      <c r="C78" s="83"/>
      <c r="Q78" s="113"/>
      <c r="AB78" s="100"/>
    </row>
    <row r="79" spans="2:28" x14ac:dyDescent="0.15">
      <c r="B79" s="100"/>
      <c r="C79" s="83"/>
      <c r="Q79" s="113"/>
      <c r="AB79" s="100"/>
    </row>
    <row r="80" spans="2:28" x14ac:dyDescent="0.15">
      <c r="B80" s="100"/>
      <c r="C80" s="83"/>
      <c r="Q80" s="113"/>
      <c r="AB80" s="100"/>
    </row>
    <row r="81" spans="2:28" x14ac:dyDescent="0.15">
      <c r="B81" s="100"/>
      <c r="C81" s="83"/>
      <c r="Q81" s="113"/>
      <c r="AB81" s="100"/>
    </row>
    <row r="82" spans="2:28" x14ac:dyDescent="0.15">
      <c r="B82" s="100"/>
      <c r="C82" s="83"/>
      <c r="Q82" s="113"/>
      <c r="AB82" s="100"/>
    </row>
    <row r="83" spans="2:28" x14ac:dyDescent="0.15">
      <c r="B83" s="100"/>
      <c r="C83" s="83"/>
      <c r="Q83" s="113"/>
      <c r="AB83" s="100"/>
    </row>
    <row r="84" spans="2:28" x14ac:dyDescent="0.15">
      <c r="B84" s="100"/>
      <c r="C84" s="83"/>
      <c r="Q84" s="113"/>
      <c r="AB84" s="100"/>
    </row>
    <row r="85" spans="2:28" x14ac:dyDescent="0.15">
      <c r="B85" s="100"/>
      <c r="C85" s="83"/>
      <c r="Q85" s="113"/>
      <c r="AB85" s="100"/>
    </row>
    <row r="86" spans="2:28" x14ac:dyDescent="0.15">
      <c r="B86" s="100"/>
      <c r="C86" s="83"/>
      <c r="Q86" s="113"/>
      <c r="AB86" s="100"/>
    </row>
    <row r="87" spans="2:28" x14ac:dyDescent="0.15">
      <c r="B87" s="100"/>
      <c r="C87" s="83"/>
      <c r="Q87" s="113"/>
      <c r="AB87" s="100"/>
    </row>
    <row r="88" spans="2:28" x14ac:dyDescent="0.15">
      <c r="B88" s="100"/>
      <c r="C88" s="83"/>
      <c r="Q88" s="113"/>
      <c r="AB88" s="100"/>
    </row>
    <row r="89" spans="2:28" x14ac:dyDescent="0.15">
      <c r="B89" s="100"/>
      <c r="C89" s="83"/>
      <c r="Q89" s="113"/>
      <c r="AB89" s="100"/>
    </row>
    <row r="90" spans="2:28" x14ac:dyDescent="0.15">
      <c r="B90" s="100"/>
      <c r="C90" s="83"/>
      <c r="Q90" s="113"/>
      <c r="AB90" s="100"/>
    </row>
    <row r="91" spans="2:28" x14ac:dyDescent="0.15">
      <c r="B91" s="100"/>
      <c r="C91" s="83"/>
      <c r="Q91" s="113"/>
      <c r="AB91" s="100"/>
    </row>
    <row r="92" spans="2:28" x14ac:dyDescent="0.15">
      <c r="B92" s="100"/>
      <c r="C92" s="83"/>
      <c r="Q92" s="113"/>
      <c r="AB92" s="100"/>
    </row>
    <row r="93" spans="2:28" x14ac:dyDescent="0.15">
      <c r="B93" s="100"/>
      <c r="C93" s="83"/>
      <c r="AB93" s="100"/>
    </row>
    <row r="94" spans="2:28" x14ac:dyDescent="0.15">
      <c r="B94" s="100"/>
      <c r="C94" s="83"/>
      <c r="AB94" s="100"/>
    </row>
    <row r="95" spans="2:28" x14ac:dyDescent="0.15">
      <c r="Q95" s="16" t="str">
        <f t="shared" ref="Q95:Q146" si="3">IF(OR(O95="",P95=""),"",AVERAGE(O95,P95))</f>
        <v/>
      </c>
      <c r="T95" s="16" t="str">
        <f t="shared" ref="T95:T146" si="4">IF(H95="","",IF(OR(H95="GREEN",H95="GK"),IF(S95&gt;=$AX$2,VLOOKUP(S95,$AX$2:$AY$12,2,1),""),IF(S95&gt;=$AZ$2,VLOOKUP(S95,$AZ$2:$BA$12,2,1),"")))</f>
        <v/>
      </c>
      <c r="V95" s="16" t="str">
        <f t="shared" ref="V95:V146" si="5">IF(J95="","",IF(OR(J95="GREEN",J95="GK"),IF(U95&gt;=$AX$2,VLOOKUP(U95,$AX$2:$AY$12,2,1),""),IF(U95&gt;=$AZ$2,VLOOKUP(U95,$AZ$2:$BA$12,2,1),"")))</f>
        <v/>
      </c>
      <c r="AB95" s="100"/>
    </row>
    <row r="96" spans="2:28"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row r="146" spans="17:22" x14ac:dyDescent="0.15">
      <c r="Q146" s="16" t="str">
        <f t="shared" si="3"/>
        <v/>
      </c>
      <c r="T146" s="16" t="str">
        <f t="shared" si="4"/>
        <v/>
      </c>
      <c r="V146" s="16" t="str">
        <f t="shared" si="5"/>
        <v/>
      </c>
    </row>
  </sheetData>
  <autoFilter ref="A1:BA146"/>
  <phoneticPr fontId="3"/>
  <dataValidations count="20">
    <dataValidation type="list" allowBlank="1" showInputMessage="1" showErrorMessage="1" sqref="K2:K34 K38:K428">
      <formula1>$AR$2:$AR$27</formula1>
    </dataValidation>
    <dataValidation type="list" allowBlank="1" showInputMessage="1" showErrorMessage="1" sqref="E2:E486">
      <formula1>$AG$2:$AG$11</formula1>
    </dataValidation>
    <dataValidation type="list" allowBlank="1" showInputMessage="1" showErrorMessage="1" sqref="H2:H486">
      <formula1>$AL$2:$AL$8</formula1>
    </dataValidation>
    <dataValidation type="decimal" allowBlank="1" showInputMessage="1" showErrorMessage="1" error="硬度を正しく入力して下さい。" sqref="O2:P486">
      <formula1>0</formula1>
      <formula2>7</formula2>
    </dataValidation>
    <dataValidation type="list" allowBlank="1" showInputMessage="1" showErrorMessage="1" sqref="F2:F1440">
      <formula1>$AH$2:$AH$11</formula1>
    </dataValidation>
    <dataValidation type="list" allowBlank="1" showInputMessage="1" showErrorMessage="1" sqref="Y2:AA577">
      <formula1>$AV$2:$AV$38</formula1>
    </dataValidation>
    <dataValidation type="list" allowBlank="1" showInputMessage="1" showErrorMessage="1" sqref="J2:J49">
      <formula1>$AP$2:$AP$38</formula1>
    </dataValidation>
    <dataValidation type="list" allowBlank="1" showInputMessage="1" showErrorMessage="1" sqref="WVS983028:WVS983093 TC2:TC70 AMU2:AMU70 AWQ2:AWQ70 BGM2:BGM70 BQI2:BQI70 CAE2:CAE70 CKA2:CKA70 CTW2:CTW70 DDS2:DDS70 DNO2:DNO70 DXK2:DXK70 EHG2:EHG70 ERC2:ERC70 FAY2:FAY70 FKU2:FKU70 FUQ2:FUQ70 GEM2:GEM70 GOI2:GOI70 GYE2:GYE70 HIA2:HIA70 HRW2:HRW70 IBS2:IBS70 ILO2:ILO70 IVK2:IVK70 JFG2:JFG70 JPC2:JPC70 JYY2:JYY70 KIU2:KIU70 KSQ2:KSQ70 LCM2:LCM70 LMI2:LMI70 LWE2:LWE70 MGA2:MGA70 MPW2:MPW70 MZS2:MZS70 NJO2:NJO70 NTK2:NTK70 ODG2:ODG70 ONC2:ONC70 OWY2:OWY70 PGU2:PGU70 PQQ2:PQQ70 QAM2:QAM70 QKI2:QKI70 QUE2:QUE70 REA2:REA70 RNW2:RNW70 RXS2:RXS70 SHO2:SHO70 SRK2:SRK70 TBG2:TBG70 TLC2:TLC70 TUY2:TUY70 UEU2:UEU70 UOQ2:UOQ70 UYM2:UYM70 VII2:VII70 VSE2:VSE70 WCA2:WCA70 WLW2:WLW70 WVS2:WVS70 JG2:JG70 ACY2:ACY70 JG65524:JG65589 TC65524:TC65589 ACY65524:ACY65589 AMU65524:AMU65589 AWQ65524:AWQ65589 BGM65524:BGM65589 BQI65524:BQI65589 CAE65524:CAE65589 CKA65524:CKA65589 CTW65524:CTW65589 DDS65524:DDS65589 DNO65524:DNO65589 DXK65524:DXK65589 EHG65524:EHG65589 ERC65524:ERC65589 FAY65524:FAY65589 FKU65524:FKU65589 FUQ65524:FUQ65589 GEM65524:GEM65589 GOI65524:GOI65589 GYE65524:GYE65589 HIA65524:HIA65589 HRW65524:HRW65589 IBS65524:IBS65589 ILO65524:ILO65589 IVK65524:IVK65589 JFG65524:JFG65589 JPC65524:JPC65589 JYY65524:JYY65589 KIU65524:KIU65589 KSQ65524:KSQ65589 LCM65524:LCM65589 LMI65524:LMI65589 LWE65524:LWE65589 MGA65524:MGA65589 MPW65524:MPW65589 MZS65524:MZS65589 NJO65524:NJO65589 NTK65524:NTK65589 ODG65524:ODG65589 ONC65524:ONC65589 OWY65524:OWY65589 PGU65524:PGU65589 PQQ65524:PQQ65589 QAM65524:QAM65589 QKI65524:QKI65589 QUE65524:QUE65589 REA65524:REA65589 RNW65524:RNW65589 RXS65524:RXS65589 SHO65524:SHO65589 SRK65524:SRK65589 TBG65524:TBG65589 TLC65524:TLC65589 TUY65524:TUY65589 UEU65524:UEU65589 UOQ65524:UOQ65589 UYM65524:UYM65589 VII65524:VII65589 VSE65524:VSE65589 WCA65524:WCA65589 WLW65524:WLW65589 WVS65524:WVS65589 K131060:K131125 JG131060:JG131125 TC131060:TC131125 ACY131060:ACY131125 AMU131060:AMU131125 AWQ131060:AWQ131125 BGM131060:BGM131125 BQI131060:BQI131125 CAE131060:CAE131125 CKA131060:CKA131125 CTW131060:CTW131125 DDS131060:DDS131125 DNO131060:DNO131125 DXK131060:DXK131125 EHG131060:EHG131125 ERC131060:ERC131125 FAY131060:FAY131125 FKU131060:FKU131125 FUQ131060:FUQ131125 GEM131060:GEM131125 GOI131060:GOI131125 GYE131060:GYE131125 HIA131060:HIA131125 HRW131060:HRW131125 IBS131060:IBS131125 ILO131060:ILO131125 IVK131060:IVK131125 JFG131060:JFG131125 JPC131060:JPC131125 JYY131060:JYY131125 KIU131060:KIU131125 KSQ131060:KSQ131125 LCM131060:LCM131125 LMI131060:LMI131125 LWE131060:LWE131125 MGA131060:MGA131125 MPW131060:MPW131125 MZS131060:MZS131125 NJO131060:NJO131125 NTK131060:NTK131125 ODG131060:ODG131125 ONC131060:ONC131125 OWY131060:OWY131125 PGU131060:PGU131125 PQQ131060:PQQ131125 QAM131060:QAM131125 QKI131060:QKI131125 QUE131060:QUE131125 REA131060:REA131125 RNW131060:RNW131125 RXS131060:RXS131125 SHO131060:SHO131125 SRK131060:SRK131125 TBG131060:TBG131125 TLC131060:TLC131125 TUY131060:TUY131125 UEU131060:UEU131125 UOQ131060:UOQ131125 UYM131060:UYM131125 VII131060:VII131125 VSE131060:VSE131125 WCA131060:WCA131125 WLW131060:WLW131125 WVS131060:WVS131125 K196596:K196661 JG196596:JG196661 TC196596:TC196661 ACY196596:ACY196661 AMU196596:AMU196661 AWQ196596:AWQ196661 BGM196596:BGM196661 BQI196596:BQI196661 CAE196596:CAE196661 CKA196596:CKA196661 CTW196596:CTW196661 DDS196596:DDS196661 DNO196596:DNO196661 DXK196596:DXK196661 EHG196596:EHG196661 ERC196596:ERC196661 FAY196596:FAY196661 FKU196596:FKU196661 FUQ196596:FUQ196661 GEM196596:GEM196661 GOI196596:GOI196661 GYE196596:GYE196661 HIA196596:HIA196661 HRW196596:HRW196661 IBS196596:IBS196661 ILO196596:ILO196661 IVK196596:IVK196661 JFG196596:JFG196661 JPC196596:JPC196661 JYY196596:JYY196661 KIU196596:KIU196661 KSQ196596:KSQ196661 LCM196596:LCM196661 LMI196596:LMI196661 LWE196596:LWE196661 MGA196596:MGA196661 MPW196596:MPW196661 MZS196596:MZS196661 NJO196596:NJO196661 NTK196596:NTK196661 ODG196596:ODG196661 ONC196596:ONC196661 OWY196596:OWY196661 PGU196596:PGU196661 PQQ196596:PQQ196661 QAM196596:QAM196661 QKI196596:QKI196661 QUE196596:QUE196661 REA196596:REA196661 RNW196596:RNW196661 RXS196596:RXS196661 SHO196596:SHO196661 SRK196596:SRK196661 TBG196596:TBG196661 TLC196596:TLC196661 TUY196596:TUY196661 UEU196596:UEU196661 UOQ196596:UOQ196661 UYM196596:UYM196661 VII196596:VII196661 VSE196596:VSE196661 WCA196596:WCA196661 WLW196596:WLW196661 WVS196596:WVS196661 K262132:K262197 JG262132:JG262197 TC262132:TC262197 ACY262132:ACY262197 AMU262132:AMU262197 AWQ262132:AWQ262197 BGM262132:BGM262197 BQI262132:BQI262197 CAE262132:CAE262197 CKA262132:CKA262197 CTW262132:CTW262197 DDS262132:DDS262197 DNO262132:DNO262197 DXK262132:DXK262197 EHG262132:EHG262197 ERC262132:ERC262197 FAY262132:FAY262197 FKU262132:FKU262197 FUQ262132:FUQ262197 GEM262132:GEM262197 GOI262132:GOI262197 GYE262132:GYE262197 HIA262132:HIA262197 HRW262132:HRW262197 IBS262132:IBS262197 ILO262132:ILO262197 IVK262132:IVK262197 JFG262132:JFG262197 JPC262132:JPC262197 JYY262132:JYY262197 KIU262132:KIU262197 KSQ262132:KSQ262197 LCM262132:LCM262197 LMI262132:LMI262197 LWE262132:LWE262197 MGA262132:MGA262197 MPW262132:MPW262197 MZS262132:MZS262197 NJO262132:NJO262197 NTK262132:NTK262197 ODG262132:ODG262197 ONC262132:ONC262197 OWY262132:OWY262197 PGU262132:PGU262197 PQQ262132:PQQ262197 QAM262132:QAM262197 QKI262132:QKI262197 QUE262132:QUE262197 REA262132:REA262197 RNW262132:RNW262197 RXS262132:RXS262197 SHO262132:SHO262197 SRK262132:SRK262197 TBG262132:TBG262197 TLC262132:TLC262197 TUY262132:TUY262197 UEU262132:UEU262197 UOQ262132:UOQ262197 UYM262132:UYM262197 VII262132:VII262197 VSE262132:VSE262197 WCA262132:WCA262197 WLW262132:WLW262197 WVS262132:WVS262197 K327668:K327733 JG327668:JG327733 TC327668:TC327733 ACY327668:ACY327733 AMU327668:AMU327733 AWQ327668:AWQ327733 BGM327668:BGM327733 BQI327668:BQI327733 CAE327668:CAE327733 CKA327668:CKA327733 CTW327668:CTW327733 DDS327668:DDS327733 DNO327668:DNO327733 DXK327668:DXK327733 EHG327668:EHG327733 ERC327668:ERC327733 FAY327668:FAY327733 FKU327668:FKU327733 FUQ327668:FUQ327733 GEM327668:GEM327733 GOI327668:GOI327733 GYE327668:GYE327733 HIA327668:HIA327733 HRW327668:HRW327733 IBS327668:IBS327733 ILO327668:ILO327733 IVK327668:IVK327733 JFG327668:JFG327733 JPC327668:JPC327733 JYY327668:JYY327733 KIU327668:KIU327733 KSQ327668:KSQ327733 LCM327668:LCM327733 LMI327668:LMI327733 LWE327668:LWE327733 MGA327668:MGA327733 MPW327668:MPW327733 MZS327668:MZS327733 NJO327668:NJO327733 NTK327668:NTK327733 ODG327668:ODG327733 ONC327668:ONC327733 OWY327668:OWY327733 PGU327668:PGU327733 PQQ327668:PQQ327733 QAM327668:QAM327733 QKI327668:QKI327733 QUE327668:QUE327733 REA327668:REA327733 RNW327668:RNW327733 RXS327668:RXS327733 SHO327668:SHO327733 SRK327668:SRK327733 TBG327668:TBG327733 TLC327668:TLC327733 TUY327668:TUY327733 UEU327668:UEU327733 UOQ327668:UOQ327733 UYM327668:UYM327733 VII327668:VII327733 VSE327668:VSE327733 WCA327668:WCA327733 WLW327668:WLW327733 WVS327668:WVS327733 K393204:K393269 JG393204:JG393269 TC393204:TC393269 ACY393204:ACY393269 AMU393204:AMU393269 AWQ393204:AWQ393269 BGM393204:BGM393269 BQI393204:BQI393269 CAE393204:CAE393269 CKA393204:CKA393269 CTW393204:CTW393269 DDS393204:DDS393269 DNO393204:DNO393269 DXK393204:DXK393269 EHG393204:EHG393269 ERC393204:ERC393269 FAY393204:FAY393269 FKU393204:FKU393269 FUQ393204:FUQ393269 GEM393204:GEM393269 GOI393204:GOI393269 GYE393204:GYE393269 HIA393204:HIA393269 HRW393204:HRW393269 IBS393204:IBS393269 ILO393204:ILO393269 IVK393204:IVK393269 JFG393204:JFG393269 JPC393204:JPC393269 JYY393204:JYY393269 KIU393204:KIU393269 KSQ393204:KSQ393269 LCM393204:LCM393269 LMI393204:LMI393269 LWE393204:LWE393269 MGA393204:MGA393269 MPW393204:MPW393269 MZS393204:MZS393269 NJO393204:NJO393269 NTK393204:NTK393269 ODG393204:ODG393269 ONC393204:ONC393269 OWY393204:OWY393269 PGU393204:PGU393269 PQQ393204:PQQ393269 QAM393204:QAM393269 QKI393204:QKI393269 QUE393204:QUE393269 REA393204:REA393269 RNW393204:RNW393269 RXS393204:RXS393269 SHO393204:SHO393269 SRK393204:SRK393269 TBG393204:TBG393269 TLC393204:TLC393269 TUY393204:TUY393269 UEU393204:UEU393269 UOQ393204:UOQ393269 UYM393204:UYM393269 VII393204:VII393269 VSE393204:VSE393269 WCA393204:WCA393269 WLW393204:WLW393269 WVS393204:WVS393269 K458740:K458805 JG458740:JG458805 TC458740:TC458805 ACY458740:ACY458805 AMU458740:AMU458805 AWQ458740:AWQ458805 BGM458740:BGM458805 BQI458740:BQI458805 CAE458740:CAE458805 CKA458740:CKA458805 CTW458740:CTW458805 DDS458740:DDS458805 DNO458740:DNO458805 DXK458740:DXK458805 EHG458740:EHG458805 ERC458740:ERC458805 FAY458740:FAY458805 FKU458740:FKU458805 FUQ458740:FUQ458805 GEM458740:GEM458805 GOI458740:GOI458805 GYE458740:GYE458805 HIA458740:HIA458805 HRW458740:HRW458805 IBS458740:IBS458805 ILO458740:ILO458805 IVK458740:IVK458805 JFG458740:JFG458805 JPC458740:JPC458805 JYY458740:JYY458805 KIU458740:KIU458805 KSQ458740:KSQ458805 LCM458740:LCM458805 LMI458740:LMI458805 LWE458740:LWE458805 MGA458740:MGA458805 MPW458740:MPW458805 MZS458740:MZS458805 NJO458740:NJO458805 NTK458740:NTK458805 ODG458740:ODG458805 ONC458740:ONC458805 OWY458740:OWY458805 PGU458740:PGU458805 PQQ458740:PQQ458805 QAM458740:QAM458805 QKI458740:QKI458805 QUE458740:QUE458805 REA458740:REA458805 RNW458740:RNW458805 RXS458740:RXS458805 SHO458740:SHO458805 SRK458740:SRK458805 TBG458740:TBG458805 TLC458740:TLC458805 TUY458740:TUY458805 UEU458740:UEU458805 UOQ458740:UOQ458805 UYM458740:UYM458805 VII458740:VII458805 VSE458740:VSE458805 WCA458740:WCA458805 WLW458740:WLW458805 WVS458740:WVS458805 K524276:K524341 JG524276:JG524341 TC524276:TC524341 ACY524276:ACY524341 AMU524276:AMU524341 AWQ524276:AWQ524341 BGM524276:BGM524341 BQI524276:BQI524341 CAE524276:CAE524341 CKA524276:CKA524341 CTW524276:CTW524341 DDS524276:DDS524341 DNO524276:DNO524341 DXK524276:DXK524341 EHG524276:EHG524341 ERC524276:ERC524341 FAY524276:FAY524341 FKU524276:FKU524341 FUQ524276:FUQ524341 GEM524276:GEM524341 GOI524276:GOI524341 GYE524276:GYE524341 HIA524276:HIA524341 HRW524276:HRW524341 IBS524276:IBS524341 ILO524276:ILO524341 IVK524276:IVK524341 JFG524276:JFG524341 JPC524276:JPC524341 JYY524276:JYY524341 KIU524276:KIU524341 KSQ524276:KSQ524341 LCM524276:LCM524341 LMI524276:LMI524341 LWE524276:LWE524341 MGA524276:MGA524341 MPW524276:MPW524341 MZS524276:MZS524341 NJO524276:NJO524341 NTK524276:NTK524341 ODG524276:ODG524341 ONC524276:ONC524341 OWY524276:OWY524341 PGU524276:PGU524341 PQQ524276:PQQ524341 QAM524276:QAM524341 QKI524276:QKI524341 QUE524276:QUE524341 REA524276:REA524341 RNW524276:RNW524341 RXS524276:RXS524341 SHO524276:SHO524341 SRK524276:SRK524341 TBG524276:TBG524341 TLC524276:TLC524341 TUY524276:TUY524341 UEU524276:UEU524341 UOQ524276:UOQ524341 UYM524276:UYM524341 VII524276:VII524341 VSE524276:VSE524341 WCA524276:WCA524341 WLW524276:WLW524341 WVS524276:WVS524341 K589812:K589877 JG589812:JG589877 TC589812:TC589877 ACY589812:ACY589877 AMU589812:AMU589877 AWQ589812:AWQ589877 BGM589812:BGM589877 BQI589812:BQI589877 CAE589812:CAE589877 CKA589812:CKA589877 CTW589812:CTW589877 DDS589812:DDS589877 DNO589812:DNO589877 DXK589812:DXK589877 EHG589812:EHG589877 ERC589812:ERC589877 FAY589812:FAY589877 FKU589812:FKU589877 FUQ589812:FUQ589877 GEM589812:GEM589877 GOI589812:GOI589877 GYE589812:GYE589877 HIA589812:HIA589877 HRW589812:HRW589877 IBS589812:IBS589877 ILO589812:ILO589877 IVK589812:IVK589877 JFG589812:JFG589877 JPC589812:JPC589877 JYY589812:JYY589877 KIU589812:KIU589877 KSQ589812:KSQ589877 LCM589812:LCM589877 LMI589812:LMI589877 LWE589812:LWE589877 MGA589812:MGA589877 MPW589812:MPW589877 MZS589812:MZS589877 NJO589812:NJO589877 NTK589812:NTK589877 ODG589812:ODG589877 ONC589812:ONC589877 OWY589812:OWY589877 PGU589812:PGU589877 PQQ589812:PQQ589877 QAM589812:QAM589877 QKI589812:QKI589877 QUE589812:QUE589877 REA589812:REA589877 RNW589812:RNW589877 RXS589812:RXS589877 SHO589812:SHO589877 SRK589812:SRK589877 TBG589812:TBG589877 TLC589812:TLC589877 TUY589812:TUY589877 UEU589812:UEU589877 UOQ589812:UOQ589877 UYM589812:UYM589877 VII589812:VII589877 VSE589812:VSE589877 WCA589812:WCA589877 WLW589812:WLW589877 WVS589812:WVS589877 K655348:K655413 JG655348:JG655413 TC655348:TC655413 ACY655348:ACY655413 AMU655348:AMU655413 AWQ655348:AWQ655413 BGM655348:BGM655413 BQI655348:BQI655413 CAE655348:CAE655413 CKA655348:CKA655413 CTW655348:CTW655413 DDS655348:DDS655413 DNO655348:DNO655413 DXK655348:DXK655413 EHG655348:EHG655413 ERC655348:ERC655413 FAY655348:FAY655413 FKU655348:FKU655413 FUQ655348:FUQ655413 GEM655348:GEM655413 GOI655348:GOI655413 GYE655348:GYE655413 HIA655348:HIA655413 HRW655348:HRW655413 IBS655348:IBS655413 ILO655348:ILO655413 IVK655348:IVK655413 JFG655348:JFG655413 JPC655348:JPC655413 JYY655348:JYY655413 KIU655348:KIU655413 KSQ655348:KSQ655413 LCM655348:LCM655413 LMI655348:LMI655413 LWE655348:LWE655413 MGA655348:MGA655413 MPW655348:MPW655413 MZS655348:MZS655413 NJO655348:NJO655413 NTK655348:NTK655413 ODG655348:ODG655413 ONC655348:ONC655413 OWY655348:OWY655413 PGU655348:PGU655413 PQQ655348:PQQ655413 QAM655348:QAM655413 QKI655348:QKI655413 QUE655348:QUE655413 REA655348:REA655413 RNW655348:RNW655413 RXS655348:RXS655413 SHO655348:SHO655413 SRK655348:SRK655413 TBG655348:TBG655413 TLC655348:TLC655413 TUY655348:TUY655413 UEU655348:UEU655413 UOQ655348:UOQ655413 UYM655348:UYM655413 VII655348:VII655413 VSE655348:VSE655413 WCA655348:WCA655413 WLW655348:WLW655413 WVS655348:WVS655413 K720884:K720949 JG720884:JG720949 TC720884:TC720949 ACY720884:ACY720949 AMU720884:AMU720949 AWQ720884:AWQ720949 BGM720884:BGM720949 BQI720884:BQI720949 CAE720884:CAE720949 CKA720884:CKA720949 CTW720884:CTW720949 DDS720884:DDS720949 DNO720884:DNO720949 DXK720884:DXK720949 EHG720884:EHG720949 ERC720884:ERC720949 FAY720884:FAY720949 FKU720884:FKU720949 FUQ720884:FUQ720949 GEM720884:GEM720949 GOI720884:GOI720949 GYE720884:GYE720949 HIA720884:HIA720949 HRW720884:HRW720949 IBS720884:IBS720949 ILO720884:ILO720949 IVK720884:IVK720949 JFG720884:JFG720949 JPC720884:JPC720949 JYY720884:JYY720949 KIU720884:KIU720949 KSQ720884:KSQ720949 LCM720884:LCM720949 LMI720884:LMI720949 LWE720884:LWE720949 MGA720884:MGA720949 MPW720884:MPW720949 MZS720884:MZS720949 NJO720884:NJO720949 NTK720884:NTK720949 ODG720884:ODG720949 ONC720884:ONC720949 OWY720884:OWY720949 PGU720884:PGU720949 PQQ720884:PQQ720949 QAM720884:QAM720949 QKI720884:QKI720949 QUE720884:QUE720949 REA720884:REA720949 RNW720884:RNW720949 RXS720884:RXS720949 SHO720884:SHO720949 SRK720884:SRK720949 TBG720884:TBG720949 TLC720884:TLC720949 TUY720884:TUY720949 UEU720884:UEU720949 UOQ720884:UOQ720949 UYM720884:UYM720949 VII720884:VII720949 VSE720884:VSE720949 WCA720884:WCA720949 WLW720884:WLW720949 WVS720884:WVS720949 K786420:K786485 JG786420:JG786485 TC786420:TC786485 ACY786420:ACY786485 AMU786420:AMU786485 AWQ786420:AWQ786485 BGM786420:BGM786485 BQI786420:BQI786485 CAE786420:CAE786485 CKA786420:CKA786485 CTW786420:CTW786485 DDS786420:DDS786485 DNO786420:DNO786485 DXK786420:DXK786485 EHG786420:EHG786485 ERC786420:ERC786485 FAY786420:FAY786485 FKU786420:FKU786485 FUQ786420:FUQ786485 GEM786420:GEM786485 GOI786420:GOI786485 GYE786420:GYE786485 HIA786420:HIA786485 HRW786420:HRW786485 IBS786420:IBS786485 ILO786420:ILO786485 IVK786420:IVK786485 JFG786420:JFG786485 JPC786420:JPC786485 JYY786420:JYY786485 KIU786420:KIU786485 KSQ786420:KSQ786485 LCM786420:LCM786485 LMI786420:LMI786485 LWE786420:LWE786485 MGA786420:MGA786485 MPW786420:MPW786485 MZS786420:MZS786485 NJO786420:NJO786485 NTK786420:NTK786485 ODG786420:ODG786485 ONC786420:ONC786485 OWY786420:OWY786485 PGU786420:PGU786485 PQQ786420:PQQ786485 QAM786420:QAM786485 QKI786420:QKI786485 QUE786420:QUE786485 REA786420:REA786485 RNW786420:RNW786485 RXS786420:RXS786485 SHO786420:SHO786485 SRK786420:SRK786485 TBG786420:TBG786485 TLC786420:TLC786485 TUY786420:TUY786485 UEU786420:UEU786485 UOQ786420:UOQ786485 UYM786420:UYM786485 VII786420:VII786485 VSE786420:VSE786485 WCA786420:WCA786485 WLW786420:WLW786485 WVS786420:WVS786485 K851956:K852021 JG851956:JG852021 TC851956:TC852021 ACY851956:ACY852021 AMU851956:AMU852021 AWQ851956:AWQ852021 BGM851956:BGM852021 BQI851956:BQI852021 CAE851956:CAE852021 CKA851956:CKA852021 CTW851956:CTW852021 DDS851956:DDS852021 DNO851956:DNO852021 DXK851956:DXK852021 EHG851956:EHG852021 ERC851956:ERC852021 FAY851956:FAY852021 FKU851956:FKU852021 FUQ851956:FUQ852021 GEM851956:GEM852021 GOI851956:GOI852021 GYE851956:GYE852021 HIA851956:HIA852021 HRW851956:HRW852021 IBS851956:IBS852021 ILO851956:ILO852021 IVK851956:IVK852021 JFG851956:JFG852021 JPC851956:JPC852021 JYY851956:JYY852021 KIU851956:KIU852021 KSQ851956:KSQ852021 LCM851956:LCM852021 LMI851956:LMI852021 LWE851956:LWE852021 MGA851956:MGA852021 MPW851956:MPW852021 MZS851956:MZS852021 NJO851956:NJO852021 NTK851956:NTK852021 ODG851956:ODG852021 ONC851956:ONC852021 OWY851956:OWY852021 PGU851956:PGU852021 PQQ851956:PQQ852021 QAM851956:QAM852021 QKI851956:QKI852021 QUE851956:QUE852021 REA851956:REA852021 RNW851956:RNW852021 RXS851956:RXS852021 SHO851956:SHO852021 SRK851956:SRK852021 TBG851956:TBG852021 TLC851956:TLC852021 TUY851956:TUY852021 UEU851956:UEU852021 UOQ851956:UOQ852021 UYM851956:UYM852021 VII851956:VII852021 VSE851956:VSE852021 WCA851956:WCA852021 WLW851956:WLW852021 WVS851956:WVS852021 K917492:K917557 JG917492:JG917557 TC917492:TC917557 ACY917492:ACY917557 AMU917492:AMU917557 AWQ917492:AWQ917557 BGM917492:BGM917557 BQI917492:BQI917557 CAE917492:CAE917557 CKA917492:CKA917557 CTW917492:CTW917557 DDS917492:DDS917557 DNO917492:DNO917557 DXK917492:DXK917557 EHG917492:EHG917557 ERC917492:ERC917557 FAY917492:FAY917557 FKU917492:FKU917557 FUQ917492:FUQ917557 GEM917492:GEM917557 GOI917492:GOI917557 GYE917492:GYE917557 HIA917492:HIA917557 HRW917492:HRW917557 IBS917492:IBS917557 ILO917492:ILO917557 IVK917492:IVK917557 JFG917492:JFG917557 JPC917492:JPC917557 JYY917492:JYY917557 KIU917492:KIU917557 KSQ917492:KSQ917557 LCM917492:LCM917557 LMI917492:LMI917557 LWE917492:LWE917557 MGA917492:MGA917557 MPW917492:MPW917557 MZS917492:MZS917557 NJO917492:NJO917557 NTK917492:NTK917557 ODG917492:ODG917557 ONC917492:ONC917557 OWY917492:OWY917557 PGU917492:PGU917557 PQQ917492:PQQ917557 QAM917492:QAM917557 QKI917492:QKI917557 QUE917492:QUE917557 REA917492:REA917557 RNW917492:RNW917557 RXS917492:RXS917557 SHO917492:SHO917557 SRK917492:SRK917557 TBG917492:TBG917557 TLC917492:TLC917557 TUY917492:TUY917557 UEU917492:UEU917557 UOQ917492:UOQ917557 UYM917492:UYM917557 VII917492:VII917557 VSE917492:VSE917557 WCA917492:WCA917557 WLW917492:WLW917557 WVS917492:WVS917557 K983028:K983093 JG983028:JG983093 TC983028:TC983093 ACY983028:ACY983093 AMU983028:AMU983093 AWQ983028:AWQ983093 BGM983028:BGM983093 BQI983028:BQI983093 CAE983028:CAE983093 CKA983028:CKA983093 CTW983028:CTW983093 DDS983028:DDS983093 DNO983028:DNO983093 DXK983028:DXK983093 EHG983028:EHG983093 ERC983028:ERC983093 FAY983028:FAY983093 FKU983028:FKU983093 FUQ983028:FUQ983093 GEM983028:GEM983093 GOI983028:GOI983093 GYE983028:GYE983093 HIA983028:HIA983093 HRW983028:HRW983093 IBS983028:IBS983093 ILO983028:ILO983093 IVK983028:IVK983093 JFG983028:JFG983093 JPC983028:JPC983093 JYY983028:JYY983093 KIU983028:KIU983093 KSQ983028:KSQ983093 LCM983028:LCM983093 LMI983028:LMI983093 LWE983028:LWE983093 MGA983028:MGA983093 MPW983028:MPW983093 MZS983028:MZS983093 NJO983028:NJO983093 NTK983028:NTK983093 ODG983028:ODG983093 ONC983028:ONC983093 OWY983028:OWY983093 PGU983028:PGU983093 PQQ983028:PQQ983093 QAM983028:QAM983093 QKI983028:QKI983093 QUE983028:QUE983093 REA983028:REA983093 RNW983028:RNW983093 RXS983028:RXS983093 SHO983028:SHO983093 SRK983028:SRK983093 TBG983028:TBG983093 TLC983028:TLC983093 TUY983028:TUY983093 UEU983028:UEU983093 UOQ983028:UOQ983093 UYM983028:UYM983093 VII983028:VII983093 VSE983028:VSE983093 WCA983028:WCA983093 WLW983028:WLW983093 K65524:K65589 K429:K486">
      <formula1>$AR$2:$AR$25</formula1>
    </dataValidation>
    <dataValidation type="list" allowBlank="1" showInputMessage="1" showErrorMessage="1" sqref="WVR983028:WVR983093 J65524:J65589 AWP2:AWP70 BGL2:BGL70 BQH2:BQH70 CAD2:CAD70 CJZ2:CJZ70 CTV2:CTV70 DDR2:DDR70 DNN2:DNN70 DXJ2:DXJ70 EHF2:EHF70 ERB2:ERB70 FAX2:FAX70 FKT2:FKT70 FUP2:FUP70 GEL2:GEL70 GOH2:GOH70 GYD2:GYD70 HHZ2:HHZ70 HRV2:HRV70 IBR2:IBR70 ILN2:ILN70 IVJ2:IVJ70 JFF2:JFF70 JPB2:JPB70 JYX2:JYX70 KIT2:KIT70 KSP2:KSP70 LCL2:LCL70 LMH2:LMH70 LWD2:LWD70 MFZ2:MFZ70 MPV2:MPV70 MZR2:MZR70 NJN2:NJN70 NTJ2:NTJ70 ODF2:ODF70 ONB2:ONB70 OWX2:OWX70 PGT2:PGT70 PQP2:PQP70 QAL2:QAL70 QKH2:QKH70 QUD2:QUD70 RDZ2:RDZ70 RNV2:RNV70 RXR2:RXR70 SHN2:SHN70 SRJ2:SRJ70 TBF2:TBF70 TLB2:TLB70 TUX2:TUX70 UET2:UET70 UOP2:UOP70 UYL2:UYL70 VIH2:VIH70 VSD2:VSD70 WBZ2:WBZ70 WLV2:WLV70 WVR2:WVR70 JF2:JF70 ACX2:ACX70 AMT2:AMT70 TB2:TB70 JF65524:JF65589 TB65524:TB65589 ACX65524:ACX65589 AMT65524:AMT65589 AWP65524:AWP65589 BGL65524:BGL65589 BQH65524:BQH65589 CAD65524:CAD65589 CJZ65524:CJZ65589 CTV65524:CTV65589 DDR65524:DDR65589 DNN65524:DNN65589 DXJ65524:DXJ65589 EHF65524:EHF65589 ERB65524:ERB65589 FAX65524:FAX65589 FKT65524:FKT65589 FUP65524:FUP65589 GEL65524:GEL65589 GOH65524:GOH65589 GYD65524:GYD65589 HHZ65524:HHZ65589 HRV65524:HRV65589 IBR65524:IBR65589 ILN65524:ILN65589 IVJ65524:IVJ65589 JFF65524:JFF65589 JPB65524:JPB65589 JYX65524:JYX65589 KIT65524:KIT65589 KSP65524:KSP65589 LCL65524:LCL65589 LMH65524:LMH65589 LWD65524:LWD65589 MFZ65524:MFZ65589 MPV65524:MPV65589 MZR65524:MZR65589 NJN65524:NJN65589 NTJ65524:NTJ65589 ODF65524:ODF65589 ONB65524:ONB65589 OWX65524:OWX65589 PGT65524:PGT65589 PQP65524:PQP65589 QAL65524:QAL65589 QKH65524:QKH65589 QUD65524:QUD65589 RDZ65524:RDZ65589 RNV65524:RNV65589 RXR65524:RXR65589 SHN65524:SHN65589 SRJ65524:SRJ65589 TBF65524:TBF65589 TLB65524:TLB65589 TUX65524:TUX65589 UET65524:UET65589 UOP65524:UOP65589 UYL65524:UYL65589 VIH65524:VIH65589 VSD65524:VSD65589 WBZ65524:WBZ65589 WLV65524:WLV65589 WVR65524:WVR65589 J131060:J131125 JF131060:JF131125 TB131060:TB131125 ACX131060:ACX131125 AMT131060:AMT131125 AWP131060:AWP131125 BGL131060:BGL131125 BQH131060:BQH131125 CAD131060:CAD131125 CJZ131060:CJZ131125 CTV131060:CTV131125 DDR131060:DDR131125 DNN131060:DNN131125 DXJ131060:DXJ131125 EHF131060:EHF131125 ERB131060:ERB131125 FAX131060:FAX131125 FKT131060:FKT131125 FUP131060:FUP131125 GEL131060:GEL131125 GOH131060:GOH131125 GYD131060:GYD131125 HHZ131060:HHZ131125 HRV131060:HRV131125 IBR131060:IBR131125 ILN131060:ILN131125 IVJ131060:IVJ131125 JFF131060:JFF131125 JPB131060:JPB131125 JYX131060:JYX131125 KIT131060:KIT131125 KSP131060:KSP131125 LCL131060:LCL131125 LMH131060:LMH131125 LWD131060:LWD131125 MFZ131060:MFZ131125 MPV131060:MPV131125 MZR131060:MZR131125 NJN131060:NJN131125 NTJ131060:NTJ131125 ODF131060:ODF131125 ONB131060:ONB131125 OWX131060:OWX131125 PGT131060:PGT131125 PQP131060:PQP131125 QAL131060:QAL131125 QKH131060:QKH131125 QUD131060:QUD131125 RDZ131060:RDZ131125 RNV131060:RNV131125 RXR131060:RXR131125 SHN131060:SHN131125 SRJ131060:SRJ131125 TBF131060:TBF131125 TLB131060:TLB131125 TUX131060:TUX131125 UET131060:UET131125 UOP131060:UOP131125 UYL131060:UYL131125 VIH131060:VIH131125 VSD131060:VSD131125 WBZ131060:WBZ131125 WLV131060:WLV131125 WVR131060:WVR131125 J196596:J196661 JF196596:JF196661 TB196596:TB196661 ACX196596:ACX196661 AMT196596:AMT196661 AWP196596:AWP196661 BGL196596:BGL196661 BQH196596:BQH196661 CAD196596:CAD196661 CJZ196596:CJZ196661 CTV196596:CTV196661 DDR196596:DDR196661 DNN196596:DNN196661 DXJ196596:DXJ196661 EHF196596:EHF196661 ERB196596:ERB196661 FAX196596:FAX196661 FKT196596:FKT196661 FUP196596:FUP196661 GEL196596:GEL196661 GOH196596:GOH196661 GYD196596:GYD196661 HHZ196596:HHZ196661 HRV196596:HRV196661 IBR196596:IBR196661 ILN196596:ILN196661 IVJ196596:IVJ196661 JFF196596:JFF196661 JPB196596:JPB196661 JYX196596:JYX196661 KIT196596:KIT196661 KSP196596:KSP196661 LCL196596:LCL196661 LMH196596:LMH196661 LWD196596:LWD196661 MFZ196596:MFZ196661 MPV196596:MPV196661 MZR196596:MZR196661 NJN196596:NJN196661 NTJ196596:NTJ196661 ODF196596:ODF196661 ONB196596:ONB196661 OWX196596:OWX196661 PGT196596:PGT196661 PQP196596:PQP196661 QAL196596:QAL196661 QKH196596:QKH196661 QUD196596:QUD196661 RDZ196596:RDZ196661 RNV196596:RNV196661 RXR196596:RXR196661 SHN196596:SHN196661 SRJ196596:SRJ196661 TBF196596:TBF196661 TLB196596:TLB196661 TUX196596:TUX196661 UET196596:UET196661 UOP196596:UOP196661 UYL196596:UYL196661 VIH196596:VIH196661 VSD196596:VSD196661 WBZ196596:WBZ196661 WLV196596:WLV196661 WVR196596:WVR196661 J262132:J262197 JF262132:JF262197 TB262132:TB262197 ACX262132:ACX262197 AMT262132:AMT262197 AWP262132:AWP262197 BGL262132:BGL262197 BQH262132:BQH262197 CAD262132:CAD262197 CJZ262132:CJZ262197 CTV262132:CTV262197 DDR262132:DDR262197 DNN262132:DNN262197 DXJ262132:DXJ262197 EHF262132:EHF262197 ERB262132:ERB262197 FAX262132:FAX262197 FKT262132:FKT262197 FUP262132:FUP262197 GEL262132:GEL262197 GOH262132:GOH262197 GYD262132:GYD262197 HHZ262132:HHZ262197 HRV262132:HRV262197 IBR262132:IBR262197 ILN262132:ILN262197 IVJ262132:IVJ262197 JFF262132:JFF262197 JPB262132:JPB262197 JYX262132:JYX262197 KIT262132:KIT262197 KSP262132:KSP262197 LCL262132:LCL262197 LMH262132:LMH262197 LWD262132:LWD262197 MFZ262132:MFZ262197 MPV262132:MPV262197 MZR262132:MZR262197 NJN262132:NJN262197 NTJ262132:NTJ262197 ODF262132:ODF262197 ONB262132:ONB262197 OWX262132:OWX262197 PGT262132:PGT262197 PQP262132:PQP262197 QAL262132:QAL262197 QKH262132:QKH262197 QUD262132:QUD262197 RDZ262132:RDZ262197 RNV262132:RNV262197 RXR262132:RXR262197 SHN262132:SHN262197 SRJ262132:SRJ262197 TBF262132:TBF262197 TLB262132:TLB262197 TUX262132:TUX262197 UET262132:UET262197 UOP262132:UOP262197 UYL262132:UYL262197 VIH262132:VIH262197 VSD262132:VSD262197 WBZ262132:WBZ262197 WLV262132:WLV262197 WVR262132:WVR262197 J327668:J327733 JF327668:JF327733 TB327668:TB327733 ACX327668:ACX327733 AMT327668:AMT327733 AWP327668:AWP327733 BGL327668:BGL327733 BQH327668:BQH327733 CAD327668:CAD327733 CJZ327668:CJZ327733 CTV327668:CTV327733 DDR327668:DDR327733 DNN327668:DNN327733 DXJ327668:DXJ327733 EHF327668:EHF327733 ERB327668:ERB327733 FAX327668:FAX327733 FKT327668:FKT327733 FUP327668:FUP327733 GEL327668:GEL327733 GOH327668:GOH327733 GYD327668:GYD327733 HHZ327668:HHZ327733 HRV327668:HRV327733 IBR327668:IBR327733 ILN327668:ILN327733 IVJ327668:IVJ327733 JFF327668:JFF327733 JPB327668:JPB327733 JYX327668:JYX327733 KIT327668:KIT327733 KSP327668:KSP327733 LCL327668:LCL327733 LMH327668:LMH327733 LWD327668:LWD327733 MFZ327668:MFZ327733 MPV327668:MPV327733 MZR327668:MZR327733 NJN327668:NJN327733 NTJ327668:NTJ327733 ODF327668:ODF327733 ONB327668:ONB327733 OWX327668:OWX327733 PGT327668:PGT327733 PQP327668:PQP327733 QAL327668:QAL327733 QKH327668:QKH327733 QUD327668:QUD327733 RDZ327668:RDZ327733 RNV327668:RNV327733 RXR327668:RXR327733 SHN327668:SHN327733 SRJ327668:SRJ327733 TBF327668:TBF327733 TLB327668:TLB327733 TUX327668:TUX327733 UET327668:UET327733 UOP327668:UOP327733 UYL327668:UYL327733 VIH327668:VIH327733 VSD327668:VSD327733 WBZ327668:WBZ327733 WLV327668:WLV327733 WVR327668:WVR327733 J393204:J393269 JF393204:JF393269 TB393204:TB393269 ACX393204:ACX393269 AMT393204:AMT393269 AWP393204:AWP393269 BGL393204:BGL393269 BQH393204:BQH393269 CAD393204:CAD393269 CJZ393204:CJZ393269 CTV393204:CTV393269 DDR393204:DDR393269 DNN393204:DNN393269 DXJ393204:DXJ393269 EHF393204:EHF393269 ERB393204:ERB393269 FAX393204:FAX393269 FKT393204:FKT393269 FUP393204:FUP393269 GEL393204:GEL393269 GOH393204:GOH393269 GYD393204:GYD393269 HHZ393204:HHZ393269 HRV393204:HRV393269 IBR393204:IBR393269 ILN393204:ILN393269 IVJ393204:IVJ393269 JFF393204:JFF393269 JPB393204:JPB393269 JYX393204:JYX393269 KIT393204:KIT393269 KSP393204:KSP393269 LCL393204:LCL393269 LMH393204:LMH393269 LWD393204:LWD393269 MFZ393204:MFZ393269 MPV393204:MPV393269 MZR393204:MZR393269 NJN393204:NJN393269 NTJ393204:NTJ393269 ODF393204:ODF393269 ONB393204:ONB393269 OWX393204:OWX393269 PGT393204:PGT393269 PQP393204:PQP393269 QAL393204:QAL393269 QKH393204:QKH393269 QUD393204:QUD393269 RDZ393204:RDZ393269 RNV393204:RNV393269 RXR393204:RXR393269 SHN393204:SHN393269 SRJ393204:SRJ393269 TBF393204:TBF393269 TLB393204:TLB393269 TUX393204:TUX393269 UET393204:UET393269 UOP393204:UOP393269 UYL393204:UYL393269 VIH393204:VIH393269 VSD393204:VSD393269 WBZ393204:WBZ393269 WLV393204:WLV393269 WVR393204:WVR393269 J458740:J458805 JF458740:JF458805 TB458740:TB458805 ACX458740:ACX458805 AMT458740:AMT458805 AWP458740:AWP458805 BGL458740:BGL458805 BQH458740:BQH458805 CAD458740:CAD458805 CJZ458740:CJZ458805 CTV458740:CTV458805 DDR458740:DDR458805 DNN458740:DNN458805 DXJ458740:DXJ458805 EHF458740:EHF458805 ERB458740:ERB458805 FAX458740:FAX458805 FKT458740:FKT458805 FUP458740:FUP458805 GEL458740:GEL458805 GOH458740:GOH458805 GYD458740:GYD458805 HHZ458740:HHZ458805 HRV458740:HRV458805 IBR458740:IBR458805 ILN458740:ILN458805 IVJ458740:IVJ458805 JFF458740:JFF458805 JPB458740:JPB458805 JYX458740:JYX458805 KIT458740:KIT458805 KSP458740:KSP458805 LCL458740:LCL458805 LMH458740:LMH458805 LWD458740:LWD458805 MFZ458740:MFZ458805 MPV458740:MPV458805 MZR458740:MZR458805 NJN458740:NJN458805 NTJ458740:NTJ458805 ODF458740:ODF458805 ONB458740:ONB458805 OWX458740:OWX458805 PGT458740:PGT458805 PQP458740:PQP458805 QAL458740:QAL458805 QKH458740:QKH458805 QUD458740:QUD458805 RDZ458740:RDZ458805 RNV458740:RNV458805 RXR458740:RXR458805 SHN458740:SHN458805 SRJ458740:SRJ458805 TBF458740:TBF458805 TLB458740:TLB458805 TUX458740:TUX458805 UET458740:UET458805 UOP458740:UOP458805 UYL458740:UYL458805 VIH458740:VIH458805 VSD458740:VSD458805 WBZ458740:WBZ458805 WLV458740:WLV458805 WVR458740:WVR458805 J524276:J524341 JF524276:JF524341 TB524276:TB524341 ACX524276:ACX524341 AMT524276:AMT524341 AWP524276:AWP524341 BGL524276:BGL524341 BQH524276:BQH524341 CAD524276:CAD524341 CJZ524276:CJZ524341 CTV524276:CTV524341 DDR524276:DDR524341 DNN524276:DNN524341 DXJ524276:DXJ524341 EHF524276:EHF524341 ERB524276:ERB524341 FAX524276:FAX524341 FKT524276:FKT524341 FUP524276:FUP524341 GEL524276:GEL524341 GOH524276:GOH524341 GYD524276:GYD524341 HHZ524276:HHZ524341 HRV524276:HRV524341 IBR524276:IBR524341 ILN524276:ILN524341 IVJ524276:IVJ524341 JFF524276:JFF524341 JPB524276:JPB524341 JYX524276:JYX524341 KIT524276:KIT524341 KSP524276:KSP524341 LCL524276:LCL524341 LMH524276:LMH524341 LWD524276:LWD524341 MFZ524276:MFZ524341 MPV524276:MPV524341 MZR524276:MZR524341 NJN524276:NJN524341 NTJ524276:NTJ524341 ODF524276:ODF524341 ONB524276:ONB524341 OWX524276:OWX524341 PGT524276:PGT524341 PQP524276:PQP524341 QAL524276:QAL524341 QKH524276:QKH524341 QUD524276:QUD524341 RDZ524276:RDZ524341 RNV524276:RNV524341 RXR524276:RXR524341 SHN524276:SHN524341 SRJ524276:SRJ524341 TBF524276:TBF524341 TLB524276:TLB524341 TUX524276:TUX524341 UET524276:UET524341 UOP524276:UOP524341 UYL524276:UYL524341 VIH524276:VIH524341 VSD524276:VSD524341 WBZ524276:WBZ524341 WLV524276:WLV524341 WVR524276:WVR524341 J589812:J589877 JF589812:JF589877 TB589812:TB589877 ACX589812:ACX589877 AMT589812:AMT589877 AWP589812:AWP589877 BGL589812:BGL589877 BQH589812:BQH589877 CAD589812:CAD589877 CJZ589812:CJZ589877 CTV589812:CTV589877 DDR589812:DDR589877 DNN589812:DNN589877 DXJ589812:DXJ589877 EHF589812:EHF589877 ERB589812:ERB589877 FAX589812:FAX589877 FKT589812:FKT589877 FUP589812:FUP589877 GEL589812:GEL589877 GOH589812:GOH589877 GYD589812:GYD589877 HHZ589812:HHZ589877 HRV589812:HRV589877 IBR589812:IBR589877 ILN589812:ILN589877 IVJ589812:IVJ589877 JFF589812:JFF589877 JPB589812:JPB589877 JYX589812:JYX589877 KIT589812:KIT589877 KSP589812:KSP589877 LCL589812:LCL589877 LMH589812:LMH589877 LWD589812:LWD589877 MFZ589812:MFZ589877 MPV589812:MPV589877 MZR589812:MZR589877 NJN589812:NJN589877 NTJ589812:NTJ589877 ODF589812:ODF589877 ONB589812:ONB589877 OWX589812:OWX589877 PGT589812:PGT589877 PQP589812:PQP589877 QAL589812:QAL589877 QKH589812:QKH589877 QUD589812:QUD589877 RDZ589812:RDZ589877 RNV589812:RNV589877 RXR589812:RXR589877 SHN589812:SHN589877 SRJ589812:SRJ589877 TBF589812:TBF589877 TLB589812:TLB589877 TUX589812:TUX589877 UET589812:UET589877 UOP589812:UOP589877 UYL589812:UYL589877 VIH589812:VIH589877 VSD589812:VSD589877 WBZ589812:WBZ589877 WLV589812:WLV589877 WVR589812:WVR589877 J655348:J655413 JF655348:JF655413 TB655348:TB655413 ACX655348:ACX655413 AMT655348:AMT655413 AWP655348:AWP655413 BGL655348:BGL655413 BQH655348:BQH655413 CAD655348:CAD655413 CJZ655348:CJZ655413 CTV655348:CTV655413 DDR655348:DDR655413 DNN655348:DNN655413 DXJ655348:DXJ655413 EHF655348:EHF655413 ERB655348:ERB655413 FAX655348:FAX655413 FKT655348:FKT655413 FUP655348:FUP655413 GEL655348:GEL655413 GOH655348:GOH655413 GYD655348:GYD655413 HHZ655348:HHZ655413 HRV655348:HRV655413 IBR655348:IBR655413 ILN655348:ILN655413 IVJ655348:IVJ655413 JFF655348:JFF655413 JPB655348:JPB655413 JYX655348:JYX655413 KIT655348:KIT655413 KSP655348:KSP655413 LCL655348:LCL655413 LMH655348:LMH655413 LWD655348:LWD655413 MFZ655348:MFZ655413 MPV655348:MPV655413 MZR655348:MZR655413 NJN655348:NJN655413 NTJ655348:NTJ655413 ODF655348:ODF655413 ONB655348:ONB655413 OWX655348:OWX655413 PGT655348:PGT655413 PQP655348:PQP655413 QAL655348:QAL655413 QKH655348:QKH655413 QUD655348:QUD655413 RDZ655348:RDZ655413 RNV655348:RNV655413 RXR655348:RXR655413 SHN655348:SHN655413 SRJ655348:SRJ655413 TBF655348:TBF655413 TLB655348:TLB655413 TUX655348:TUX655413 UET655348:UET655413 UOP655348:UOP655413 UYL655348:UYL655413 VIH655348:VIH655413 VSD655348:VSD655413 WBZ655348:WBZ655413 WLV655348:WLV655413 WVR655348:WVR655413 J720884:J720949 JF720884:JF720949 TB720884:TB720949 ACX720884:ACX720949 AMT720884:AMT720949 AWP720884:AWP720949 BGL720884:BGL720949 BQH720884:BQH720949 CAD720884:CAD720949 CJZ720884:CJZ720949 CTV720884:CTV720949 DDR720884:DDR720949 DNN720884:DNN720949 DXJ720884:DXJ720949 EHF720884:EHF720949 ERB720884:ERB720949 FAX720884:FAX720949 FKT720884:FKT720949 FUP720884:FUP720949 GEL720884:GEL720949 GOH720884:GOH720949 GYD720884:GYD720949 HHZ720884:HHZ720949 HRV720884:HRV720949 IBR720884:IBR720949 ILN720884:ILN720949 IVJ720884:IVJ720949 JFF720884:JFF720949 JPB720884:JPB720949 JYX720884:JYX720949 KIT720884:KIT720949 KSP720884:KSP720949 LCL720884:LCL720949 LMH720884:LMH720949 LWD720884:LWD720949 MFZ720884:MFZ720949 MPV720884:MPV720949 MZR720884:MZR720949 NJN720884:NJN720949 NTJ720884:NTJ720949 ODF720884:ODF720949 ONB720884:ONB720949 OWX720884:OWX720949 PGT720884:PGT720949 PQP720884:PQP720949 QAL720884:QAL720949 QKH720884:QKH720949 QUD720884:QUD720949 RDZ720884:RDZ720949 RNV720884:RNV720949 RXR720884:RXR720949 SHN720884:SHN720949 SRJ720884:SRJ720949 TBF720884:TBF720949 TLB720884:TLB720949 TUX720884:TUX720949 UET720884:UET720949 UOP720884:UOP720949 UYL720884:UYL720949 VIH720884:VIH720949 VSD720884:VSD720949 WBZ720884:WBZ720949 WLV720884:WLV720949 WVR720884:WVR720949 J786420:J786485 JF786420:JF786485 TB786420:TB786485 ACX786420:ACX786485 AMT786420:AMT786485 AWP786420:AWP786485 BGL786420:BGL786485 BQH786420:BQH786485 CAD786420:CAD786485 CJZ786420:CJZ786485 CTV786420:CTV786485 DDR786420:DDR786485 DNN786420:DNN786485 DXJ786420:DXJ786485 EHF786420:EHF786485 ERB786420:ERB786485 FAX786420:FAX786485 FKT786420:FKT786485 FUP786420:FUP786485 GEL786420:GEL786485 GOH786420:GOH786485 GYD786420:GYD786485 HHZ786420:HHZ786485 HRV786420:HRV786485 IBR786420:IBR786485 ILN786420:ILN786485 IVJ786420:IVJ786485 JFF786420:JFF786485 JPB786420:JPB786485 JYX786420:JYX786485 KIT786420:KIT786485 KSP786420:KSP786485 LCL786420:LCL786485 LMH786420:LMH786485 LWD786420:LWD786485 MFZ786420:MFZ786485 MPV786420:MPV786485 MZR786420:MZR786485 NJN786420:NJN786485 NTJ786420:NTJ786485 ODF786420:ODF786485 ONB786420:ONB786485 OWX786420:OWX786485 PGT786420:PGT786485 PQP786420:PQP786485 QAL786420:QAL786485 QKH786420:QKH786485 QUD786420:QUD786485 RDZ786420:RDZ786485 RNV786420:RNV786485 RXR786420:RXR786485 SHN786420:SHN786485 SRJ786420:SRJ786485 TBF786420:TBF786485 TLB786420:TLB786485 TUX786420:TUX786485 UET786420:UET786485 UOP786420:UOP786485 UYL786420:UYL786485 VIH786420:VIH786485 VSD786420:VSD786485 WBZ786420:WBZ786485 WLV786420:WLV786485 WVR786420:WVR786485 J851956:J852021 JF851956:JF852021 TB851956:TB852021 ACX851956:ACX852021 AMT851956:AMT852021 AWP851956:AWP852021 BGL851956:BGL852021 BQH851956:BQH852021 CAD851956:CAD852021 CJZ851956:CJZ852021 CTV851956:CTV852021 DDR851956:DDR852021 DNN851956:DNN852021 DXJ851956:DXJ852021 EHF851956:EHF852021 ERB851956:ERB852021 FAX851956:FAX852021 FKT851956:FKT852021 FUP851956:FUP852021 GEL851956:GEL852021 GOH851956:GOH852021 GYD851956:GYD852021 HHZ851956:HHZ852021 HRV851956:HRV852021 IBR851956:IBR852021 ILN851956:ILN852021 IVJ851956:IVJ852021 JFF851956:JFF852021 JPB851956:JPB852021 JYX851956:JYX852021 KIT851956:KIT852021 KSP851956:KSP852021 LCL851956:LCL852021 LMH851956:LMH852021 LWD851956:LWD852021 MFZ851956:MFZ852021 MPV851956:MPV852021 MZR851956:MZR852021 NJN851956:NJN852021 NTJ851956:NTJ852021 ODF851956:ODF852021 ONB851956:ONB852021 OWX851956:OWX852021 PGT851956:PGT852021 PQP851956:PQP852021 QAL851956:QAL852021 QKH851956:QKH852021 QUD851956:QUD852021 RDZ851956:RDZ852021 RNV851956:RNV852021 RXR851956:RXR852021 SHN851956:SHN852021 SRJ851956:SRJ852021 TBF851956:TBF852021 TLB851956:TLB852021 TUX851956:TUX852021 UET851956:UET852021 UOP851956:UOP852021 UYL851956:UYL852021 VIH851956:VIH852021 VSD851956:VSD852021 WBZ851956:WBZ852021 WLV851956:WLV852021 WVR851956:WVR852021 J917492:J917557 JF917492:JF917557 TB917492:TB917557 ACX917492:ACX917557 AMT917492:AMT917557 AWP917492:AWP917557 BGL917492:BGL917557 BQH917492:BQH917557 CAD917492:CAD917557 CJZ917492:CJZ917557 CTV917492:CTV917557 DDR917492:DDR917557 DNN917492:DNN917557 DXJ917492:DXJ917557 EHF917492:EHF917557 ERB917492:ERB917557 FAX917492:FAX917557 FKT917492:FKT917557 FUP917492:FUP917557 GEL917492:GEL917557 GOH917492:GOH917557 GYD917492:GYD917557 HHZ917492:HHZ917557 HRV917492:HRV917557 IBR917492:IBR917557 ILN917492:ILN917557 IVJ917492:IVJ917557 JFF917492:JFF917557 JPB917492:JPB917557 JYX917492:JYX917557 KIT917492:KIT917557 KSP917492:KSP917557 LCL917492:LCL917557 LMH917492:LMH917557 LWD917492:LWD917557 MFZ917492:MFZ917557 MPV917492:MPV917557 MZR917492:MZR917557 NJN917492:NJN917557 NTJ917492:NTJ917557 ODF917492:ODF917557 ONB917492:ONB917557 OWX917492:OWX917557 PGT917492:PGT917557 PQP917492:PQP917557 QAL917492:QAL917557 QKH917492:QKH917557 QUD917492:QUD917557 RDZ917492:RDZ917557 RNV917492:RNV917557 RXR917492:RXR917557 SHN917492:SHN917557 SRJ917492:SRJ917557 TBF917492:TBF917557 TLB917492:TLB917557 TUX917492:TUX917557 UET917492:UET917557 UOP917492:UOP917557 UYL917492:UYL917557 VIH917492:VIH917557 VSD917492:VSD917557 WBZ917492:WBZ917557 WLV917492:WLV917557 WVR917492:WVR917557 J983028:J983093 JF983028:JF983093 TB983028:TB983093 ACX983028:ACX983093 AMT983028:AMT983093 AWP983028:AWP983093 BGL983028:BGL983093 BQH983028:BQH983093 CAD983028:CAD983093 CJZ983028:CJZ983093 CTV983028:CTV983093 DDR983028:DDR983093 DNN983028:DNN983093 DXJ983028:DXJ983093 EHF983028:EHF983093 ERB983028:ERB983093 FAX983028:FAX983093 FKT983028:FKT983093 FUP983028:FUP983093 GEL983028:GEL983093 GOH983028:GOH983093 GYD983028:GYD983093 HHZ983028:HHZ983093 HRV983028:HRV983093 IBR983028:IBR983093 ILN983028:ILN983093 IVJ983028:IVJ983093 JFF983028:JFF983093 JPB983028:JPB983093 JYX983028:JYX983093 KIT983028:KIT983093 KSP983028:KSP983093 LCL983028:LCL983093 LMH983028:LMH983093 LWD983028:LWD983093 MFZ983028:MFZ983093 MPV983028:MPV983093 MZR983028:MZR983093 NJN983028:NJN983093 NTJ983028:NTJ983093 ODF983028:ODF983093 ONB983028:ONB983093 OWX983028:OWX983093 PGT983028:PGT983093 PQP983028:PQP983093 QAL983028:QAL983093 QKH983028:QKH983093 QUD983028:QUD983093 RDZ983028:RDZ983093 RNV983028:RNV983093 RXR983028:RXR983093 SHN983028:SHN983093 SRJ983028:SRJ983093 TBF983028:TBF983093 TLB983028:TLB983093 TUX983028:TUX983093 UET983028:UET983093 UOP983028:UOP983093 UYL983028:UYL983093 VIH983028:VIH983093 VSD983028:VSD983093 WBZ983028:WBZ983093 WLV983028:WLV983093 J50:J486">
      <formula1>$AP$2:$AP$27</formula1>
    </dataValidation>
    <dataValidation type="list" allowBlank="1" showInputMessage="1" showErrorMessage="1" sqref="WVP983028:WVP983093 JD2:JD70 ACV2:ACV70 AMR2:AMR70 AWN2:AWN70 BGJ2:BGJ70 BQF2:BQF70 CAB2:CAB70 CJX2:CJX70 CTT2:CTT70 DDP2:DDP70 DNL2:DNL70 DXH2:DXH70 EHD2:EHD70 EQZ2:EQZ70 FAV2:FAV70 FKR2:FKR70 FUN2:FUN70 GEJ2:GEJ70 GOF2:GOF70 GYB2:GYB70 HHX2:HHX70 HRT2:HRT70 IBP2:IBP70 ILL2:ILL70 IVH2:IVH70 JFD2:JFD70 JOZ2:JOZ70 JYV2:JYV70 KIR2:KIR70 KSN2:KSN70 LCJ2:LCJ70 LMF2:LMF70 LWB2:LWB70 MFX2:MFX70 MPT2:MPT70 MZP2:MZP70 NJL2:NJL70 NTH2:NTH70 ODD2:ODD70 OMZ2:OMZ70 OWV2:OWV70 PGR2:PGR70 PQN2:PQN70 QAJ2:QAJ70 QKF2:QKF70 QUB2:QUB70 RDX2:RDX70 RNT2:RNT70 RXP2:RXP70 SHL2:SHL70 SRH2:SRH70 TBD2:TBD70 TKZ2:TKZ70 TUV2:TUV70 UER2:UER70 UON2:UON70 UYJ2:UYJ70 VIF2:VIF70 VSB2:VSB70 WBX2:WBX70 WLT2:WLT70 WVP2:WVP70 SZ2:SZ70 JD65524:JD65589 SZ65524:SZ65589 ACV65524:ACV65589 AMR65524:AMR65589 AWN65524:AWN65589 BGJ65524:BGJ65589 BQF65524:BQF65589 CAB65524:CAB65589 CJX65524:CJX65589 CTT65524:CTT65589 DDP65524:DDP65589 DNL65524:DNL65589 DXH65524:DXH65589 EHD65524:EHD65589 EQZ65524:EQZ65589 FAV65524:FAV65589 FKR65524:FKR65589 FUN65524:FUN65589 GEJ65524:GEJ65589 GOF65524:GOF65589 GYB65524:GYB65589 HHX65524:HHX65589 HRT65524:HRT65589 IBP65524:IBP65589 ILL65524:ILL65589 IVH65524:IVH65589 JFD65524:JFD65589 JOZ65524:JOZ65589 JYV65524:JYV65589 KIR65524:KIR65589 KSN65524:KSN65589 LCJ65524:LCJ65589 LMF65524:LMF65589 LWB65524:LWB65589 MFX65524:MFX65589 MPT65524:MPT65589 MZP65524:MZP65589 NJL65524:NJL65589 NTH65524:NTH65589 ODD65524:ODD65589 OMZ65524:OMZ65589 OWV65524:OWV65589 PGR65524:PGR65589 PQN65524:PQN65589 QAJ65524:QAJ65589 QKF65524:QKF65589 QUB65524:QUB65589 RDX65524:RDX65589 RNT65524:RNT65589 RXP65524:RXP65589 SHL65524:SHL65589 SRH65524:SRH65589 TBD65524:TBD65589 TKZ65524:TKZ65589 TUV65524:TUV65589 UER65524:UER65589 UON65524:UON65589 UYJ65524:UYJ65589 VIF65524:VIF65589 VSB65524:VSB65589 WBX65524:WBX65589 WLT65524:WLT65589 WVP65524:WVP65589 H131060:H131125 JD131060:JD131125 SZ131060:SZ131125 ACV131060:ACV131125 AMR131060:AMR131125 AWN131060:AWN131125 BGJ131060:BGJ131125 BQF131060:BQF131125 CAB131060:CAB131125 CJX131060:CJX131125 CTT131060:CTT131125 DDP131060:DDP131125 DNL131060:DNL131125 DXH131060:DXH131125 EHD131060:EHD131125 EQZ131060:EQZ131125 FAV131060:FAV131125 FKR131060:FKR131125 FUN131060:FUN131125 GEJ131060:GEJ131125 GOF131060:GOF131125 GYB131060:GYB131125 HHX131060:HHX131125 HRT131060:HRT131125 IBP131060:IBP131125 ILL131060:ILL131125 IVH131060:IVH131125 JFD131060:JFD131125 JOZ131060:JOZ131125 JYV131060:JYV131125 KIR131060:KIR131125 KSN131060:KSN131125 LCJ131060:LCJ131125 LMF131060:LMF131125 LWB131060:LWB131125 MFX131060:MFX131125 MPT131060:MPT131125 MZP131060:MZP131125 NJL131060:NJL131125 NTH131060:NTH131125 ODD131060:ODD131125 OMZ131060:OMZ131125 OWV131060:OWV131125 PGR131060:PGR131125 PQN131060:PQN131125 QAJ131060:QAJ131125 QKF131060:QKF131125 QUB131060:QUB131125 RDX131060:RDX131125 RNT131060:RNT131125 RXP131060:RXP131125 SHL131060:SHL131125 SRH131060:SRH131125 TBD131060:TBD131125 TKZ131060:TKZ131125 TUV131060:TUV131125 UER131060:UER131125 UON131060:UON131125 UYJ131060:UYJ131125 VIF131060:VIF131125 VSB131060:VSB131125 WBX131060:WBX131125 WLT131060:WLT131125 WVP131060:WVP131125 H196596:H196661 JD196596:JD196661 SZ196596:SZ196661 ACV196596:ACV196661 AMR196596:AMR196661 AWN196596:AWN196661 BGJ196596:BGJ196661 BQF196596:BQF196661 CAB196596:CAB196661 CJX196596:CJX196661 CTT196596:CTT196661 DDP196596:DDP196661 DNL196596:DNL196661 DXH196596:DXH196661 EHD196596:EHD196661 EQZ196596:EQZ196661 FAV196596:FAV196661 FKR196596:FKR196661 FUN196596:FUN196661 GEJ196596:GEJ196661 GOF196596:GOF196661 GYB196596:GYB196661 HHX196596:HHX196661 HRT196596:HRT196661 IBP196596:IBP196661 ILL196596:ILL196661 IVH196596:IVH196661 JFD196596:JFD196661 JOZ196596:JOZ196661 JYV196596:JYV196661 KIR196596:KIR196661 KSN196596:KSN196661 LCJ196596:LCJ196661 LMF196596:LMF196661 LWB196596:LWB196661 MFX196596:MFX196661 MPT196596:MPT196661 MZP196596:MZP196661 NJL196596:NJL196661 NTH196596:NTH196661 ODD196596:ODD196661 OMZ196596:OMZ196661 OWV196596:OWV196661 PGR196596:PGR196661 PQN196596:PQN196661 QAJ196596:QAJ196661 QKF196596:QKF196661 QUB196596:QUB196661 RDX196596:RDX196661 RNT196596:RNT196661 RXP196596:RXP196661 SHL196596:SHL196661 SRH196596:SRH196661 TBD196596:TBD196661 TKZ196596:TKZ196661 TUV196596:TUV196661 UER196596:UER196661 UON196596:UON196661 UYJ196596:UYJ196661 VIF196596:VIF196661 VSB196596:VSB196661 WBX196596:WBX196661 WLT196596:WLT196661 WVP196596:WVP196661 H262132:H262197 JD262132:JD262197 SZ262132:SZ262197 ACV262132:ACV262197 AMR262132:AMR262197 AWN262132:AWN262197 BGJ262132:BGJ262197 BQF262132:BQF262197 CAB262132:CAB262197 CJX262132:CJX262197 CTT262132:CTT262197 DDP262132:DDP262197 DNL262132:DNL262197 DXH262132:DXH262197 EHD262132:EHD262197 EQZ262132:EQZ262197 FAV262132:FAV262197 FKR262132:FKR262197 FUN262132:FUN262197 GEJ262132:GEJ262197 GOF262132:GOF262197 GYB262132:GYB262197 HHX262132:HHX262197 HRT262132:HRT262197 IBP262132:IBP262197 ILL262132:ILL262197 IVH262132:IVH262197 JFD262132:JFD262197 JOZ262132:JOZ262197 JYV262132:JYV262197 KIR262132:KIR262197 KSN262132:KSN262197 LCJ262132:LCJ262197 LMF262132:LMF262197 LWB262132:LWB262197 MFX262132:MFX262197 MPT262132:MPT262197 MZP262132:MZP262197 NJL262132:NJL262197 NTH262132:NTH262197 ODD262132:ODD262197 OMZ262132:OMZ262197 OWV262132:OWV262197 PGR262132:PGR262197 PQN262132:PQN262197 QAJ262132:QAJ262197 QKF262132:QKF262197 QUB262132:QUB262197 RDX262132:RDX262197 RNT262132:RNT262197 RXP262132:RXP262197 SHL262132:SHL262197 SRH262132:SRH262197 TBD262132:TBD262197 TKZ262132:TKZ262197 TUV262132:TUV262197 UER262132:UER262197 UON262132:UON262197 UYJ262132:UYJ262197 VIF262132:VIF262197 VSB262132:VSB262197 WBX262132:WBX262197 WLT262132:WLT262197 WVP262132:WVP262197 H327668:H327733 JD327668:JD327733 SZ327668:SZ327733 ACV327668:ACV327733 AMR327668:AMR327733 AWN327668:AWN327733 BGJ327668:BGJ327733 BQF327668:BQF327733 CAB327668:CAB327733 CJX327668:CJX327733 CTT327668:CTT327733 DDP327668:DDP327733 DNL327668:DNL327733 DXH327668:DXH327733 EHD327668:EHD327733 EQZ327668:EQZ327733 FAV327668:FAV327733 FKR327668:FKR327733 FUN327668:FUN327733 GEJ327668:GEJ327733 GOF327668:GOF327733 GYB327668:GYB327733 HHX327668:HHX327733 HRT327668:HRT327733 IBP327668:IBP327733 ILL327668:ILL327733 IVH327668:IVH327733 JFD327668:JFD327733 JOZ327668:JOZ327733 JYV327668:JYV327733 KIR327668:KIR327733 KSN327668:KSN327733 LCJ327668:LCJ327733 LMF327668:LMF327733 LWB327668:LWB327733 MFX327668:MFX327733 MPT327668:MPT327733 MZP327668:MZP327733 NJL327668:NJL327733 NTH327668:NTH327733 ODD327668:ODD327733 OMZ327668:OMZ327733 OWV327668:OWV327733 PGR327668:PGR327733 PQN327668:PQN327733 QAJ327668:QAJ327733 QKF327668:QKF327733 QUB327668:QUB327733 RDX327668:RDX327733 RNT327668:RNT327733 RXP327668:RXP327733 SHL327668:SHL327733 SRH327668:SRH327733 TBD327668:TBD327733 TKZ327668:TKZ327733 TUV327668:TUV327733 UER327668:UER327733 UON327668:UON327733 UYJ327668:UYJ327733 VIF327668:VIF327733 VSB327668:VSB327733 WBX327668:WBX327733 WLT327668:WLT327733 WVP327668:WVP327733 H393204:H393269 JD393204:JD393269 SZ393204:SZ393269 ACV393204:ACV393269 AMR393204:AMR393269 AWN393204:AWN393269 BGJ393204:BGJ393269 BQF393204:BQF393269 CAB393204:CAB393269 CJX393204:CJX393269 CTT393204:CTT393269 DDP393204:DDP393269 DNL393204:DNL393269 DXH393204:DXH393269 EHD393204:EHD393269 EQZ393204:EQZ393269 FAV393204:FAV393269 FKR393204:FKR393269 FUN393204:FUN393269 GEJ393204:GEJ393269 GOF393204:GOF393269 GYB393204:GYB393269 HHX393204:HHX393269 HRT393204:HRT393269 IBP393204:IBP393269 ILL393204:ILL393269 IVH393204:IVH393269 JFD393204:JFD393269 JOZ393204:JOZ393269 JYV393204:JYV393269 KIR393204:KIR393269 KSN393204:KSN393269 LCJ393204:LCJ393269 LMF393204:LMF393269 LWB393204:LWB393269 MFX393204:MFX393269 MPT393204:MPT393269 MZP393204:MZP393269 NJL393204:NJL393269 NTH393204:NTH393269 ODD393204:ODD393269 OMZ393204:OMZ393269 OWV393204:OWV393269 PGR393204:PGR393269 PQN393204:PQN393269 QAJ393204:QAJ393269 QKF393204:QKF393269 QUB393204:QUB393269 RDX393204:RDX393269 RNT393204:RNT393269 RXP393204:RXP393269 SHL393204:SHL393269 SRH393204:SRH393269 TBD393204:TBD393269 TKZ393204:TKZ393269 TUV393204:TUV393269 UER393204:UER393269 UON393204:UON393269 UYJ393204:UYJ393269 VIF393204:VIF393269 VSB393204:VSB393269 WBX393204:WBX393269 WLT393204:WLT393269 WVP393204:WVP393269 H458740:H458805 JD458740:JD458805 SZ458740:SZ458805 ACV458740:ACV458805 AMR458740:AMR458805 AWN458740:AWN458805 BGJ458740:BGJ458805 BQF458740:BQF458805 CAB458740:CAB458805 CJX458740:CJX458805 CTT458740:CTT458805 DDP458740:DDP458805 DNL458740:DNL458805 DXH458740:DXH458805 EHD458740:EHD458805 EQZ458740:EQZ458805 FAV458740:FAV458805 FKR458740:FKR458805 FUN458740:FUN458805 GEJ458740:GEJ458805 GOF458740:GOF458805 GYB458740:GYB458805 HHX458740:HHX458805 HRT458740:HRT458805 IBP458740:IBP458805 ILL458740:ILL458805 IVH458740:IVH458805 JFD458740:JFD458805 JOZ458740:JOZ458805 JYV458740:JYV458805 KIR458740:KIR458805 KSN458740:KSN458805 LCJ458740:LCJ458805 LMF458740:LMF458805 LWB458740:LWB458805 MFX458740:MFX458805 MPT458740:MPT458805 MZP458740:MZP458805 NJL458740:NJL458805 NTH458740:NTH458805 ODD458740:ODD458805 OMZ458740:OMZ458805 OWV458740:OWV458805 PGR458740:PGR458805 PQN458740:PQN458805 QAJ458740:QAJ458805 QKF458740:QKF458805 QUB458740:QUB458805 RDX458740:RDX458805 RNT458740:RNT458805 RXP458740:RXP458805 SHL458740:SHL458805 SRH458740:SRH458805 TBD458740:TBD458805 TKZ458740:TKZ458805 TUV458740:TUV458805 UER458740:UER458805 UON458740:UON458805 UYJ458740:UYJ458805 VIF458740:VIF458805 VSB458740:VSB458805 WBX458740:WBX458805 WLT458740:WLT458805 WVP458740:WVP458805 H524276:H524341 JD524276:JD524341 SZ524276:SZ524341 ACV524276:ACV524341 AMR524276:AMR524341 AWN524276:AWN524341 BGJ524276:BGJ524341 BQF524276:BQF524341 CAB524276:CAB524341 CJX524276:CJX524341 CTT524276:CTT524341 DDP524276:DDP524341 DNL524276:DNL524341 DXH524276:DXH524341 EHD524276:EHD524341 EQZ524276:EQZ524341 FAV524276:FAV524341 FKR524276:FKR524341 FUN524276:FUN524341 GEJ524276:GEJ524341 GOF524276:GOF524341 GYB524276:GYB524341 HHX524276:HHX524341 HRT524276:HRT524341 IBP524276:IBP524341 ILL524276:ILL524341 IVH524276:IVH524341 JFD524276:JFD524341 JOZ524276:JOZ524341 JYV524276:JYV524341 KIR524276:KIR524341 KSN524276:KSN524341 LCJ524276:LCJ524341 LMF524276:LMF524341 LWB524276:LWB524341 MFX524276:MFX524341 MPT524276:MPT524341 MZP524276:MZP524341 NJL524276:NJL524341 NTH524276:NTH524341 ODD524276:ODD524341 OMZ524276:OMZ524341 OWV524276:OWV524341 PGR524276:PGR524341 PQN524276:PQN524341 QAJ524276:QAJ524341 QKF524276:QKF524341 QUB524276:QUB524341 RDX524276:RDX524341 RNT524276:RNT524341 RXP524276:RXP524341 SHL524276:SHL524341 SRH524276:SRH524341 TBD524276:TBD524341 TKZ524276:TKZ524341 TUV524276:TUV524341 UER524276:UER524341 UON524276:UON524341 UYJ524276:UYJ524341 VIF524276:VIF524341 VSB524276:VSB524341 WBX524276:WBX524341 WLT524276:WLT524341 WVP524276:WVP524341 H589812:H589877 JD589812:JD589877 SZ589812:SZ589877 ACV589812:ACV589877 AMR589812:AMR589877 AWN589812:AWN589877 BGJ589812:BGJ589877 BQF589812:BQF589877 CAB589812:CAB589877 CJX589812:CJX589877 CTT589812:CTT589877 DDP589812:DDP589877 DNL589812:DNL589877 DXH589812:DXH589877 EHD589812:EHD589877 EQZ589812:EQZ589877 FAV589812:FAV589877 FKR589812:FKR589877 FUN589812:FUN589877 GEJ589812:GEJ589877 GOF589812:GOF589877 GYB589812:GYB589877 HHX589812:HHX589877 HRT589812:HRT589877 IBP589812:IBP589877 ILL589812:ILL589877 IVH589812:IVH589877 JFD589812:JFD589877 JOZ589812:JOZ589877 JYV589812:JYV589877 KIR589812:KIR589877 KSN589812:KSN589877 LCJ589812:LCJ589877 LMF589812:LMF589877 LWB589812:LWB589877 MFX589812:MFX589877 MPT589812:MPT589877 MZP589812:MZP589877 NJL589812:NJL589877 NTH589812:NTH589877 ODD589812:ODD589877 OMZ589812:OMZ589877 OWV589812:OWV589877 PGR589812:PGR589877 PQN589812:PQN589877 QAJ589812:QAJ589877 QKF589812:QKF589877 QUB589812:QUB589877 RDX589812:RDX589877 RNT589812:RNT589877 RXP589812:RXP589877 SHL589812:SHL589877 SRH589812:SRH589877 TBD589812:TBD589877 TKZ589812:TKZ589877 TUV589812:TUV589877 UER589812:UER589877 UON589812:UON589877 UYJ589812:UYJ589877 VIF589812:VIF589877 VSB589812:VSB589877 WBX589812:WBX589877 WLT589812:WLT589877 WVP589812:WVP589877 H655348:H655413 JD655348:JD655413 SZ655348:SZ655413 ACV655348:ACV655413 AMR655348:AMR655413 AWN655348:AWN655413 BGJ655348:BGJ655413 BQF655348:BQF655413 CAB655348:CAB655413 CJX655348:CJX655413 CTT655348:CTT655413 DDP655348:DDP655413 DNL655348:DNL655413 DXH655348:DXH655413 EHD655348:EHD655413 EQZ655348:EQZ655413 FAV655348:FAV655413 FKR655348:FKR655413 FUN655348:FUN655413 GEJ655348:GEJ655413 GOF655348:GOF655413 GYB655348:GYB655413 HHX655348:HHX655413 HRT655348:HRT655413 IBP655348:IBP655413 ILL655348:ILL655413 IVH655348:IVH655413 JFD655348:JFD655413 JOZ655348:JOZ655413 JYV655348:JYV655413 KIR655348:KIR655413 KSN655348:KSN655413 LCJ655348:LCJ655413 LMF655348:LMF655413 LWB655348:LWB655413 MFX655348:MFX655413 MPT655348:MPT655413 MZP655348:MZP655413 NJL655348:NJL655413 NTH655348:NTH655413 ODD655348:ODD655413 OMZ655348:OMZ655413 OWV655348:OWV655413 PGR655348:PGR655413 PQN655348:PQN655413 QAJ655348:QAJ655413 QKF655348:QKF655413 QUB655348:QUB655413 RDX655348:RDX655413 RNT655348:RNT655413 RXP655348:RXP655413 SHL655348:SHL655413 SRH655348:SRH655413 TBD655348:TBD655413 TKZ655348:TKZ655413 TUV655348:TUV655413 UER655348:UER655413 UON655348:UON655413 UYJ655348:UYJ655413 VIF655348:VIF655413 VSB655348:VSB655413 WBX655348:WBX655413 WLT655348:WLT655413 WVP655348:WVP655413 H720884:H720949 JD720884:JD720949 SZ720884:SZ720949 ACV720884:ACV720949 AMR720884:AMR720949 AWN720884:AWN720949 BGJ720884:BGJ720949 BQF720884:BQF720949 CAB720884:CAB720949 CJX720884:CJX720949 CTT720884:CTT720949 DDP720884:DDP720949 DNL720884:DNL720949 DXH720884:DXH720949 EHD720884:EHD720949 EQZ720884:EQZ720949 FAV720884:FAV720949 FKR720884:FKR720949 FUN720884:FUN720949 GEJ720884:GEJ720949 GOF720884:GOF720949 GYB720884:GYB720949 HHX720884:HHX720949 HRT720884:HRT720949 IBP720884:IBP720949 ILL720884:ILL720949 IVH720884:IVH720949 JFD720884:JFD720949 JOZ720884:JOZ720949 JYV720884:JYV720949 KIR720884:KIR720949 KSN720884:KSN720949 LCJ720884:LCJ720949 LMF720884:LMF720949 LWB720884:LWB720949 MFX720884:MFX720949 MPT720884:MPT720949 MZP720884:MZP720949 NJL720884:NJL720949 NTH720884:NTH720949 ODD720884:ODD720949 OMZ720884:OMZ720949 OWV720884:OWV720949 PGR720884:PGR720949 PQN720884:PQN720949 QAJ720884:QAJ720949 QKF720884:QKF720949 QUB720884:QUB720949 RDX720884:RDX720949 RNT720884:RNT720949 RXP720884:RXP720949 SHL720884:SHL720949 SRH720884:SRH720949 TBD720884:TBD720949 TKZ720884:TKZ720949 TUV720884:TUV720949 UER720884:UER720949 UON720884:UON720949 UYJ720884:UYJ720949 VIF720884:VIF720949 VSB720884:VSB720949 WBX720884:WBX720949 WLT720884:WLT720949 WVP720884:WVP720949 H786420:H786485 JD786420:JD786485 SZ786420:SZ786485 ACV786420:ACV786485 AMR786420:AMR786485 AWN786420:AWN786485 BGJ786420:BGJ786485 BQF786420:BQF786485 CAB786420:CAB786485 CJX786420:CJX786485 CTT786420:CTT786485 DDP786420:DDP786485 DNL786420:DNL786485 DXH786420:DXH786485 EHD786420:EHD786485 EQZ786420:EQZ786485 FAV786420:FAV786485 FKR786420:FKR786485 FUN786420:FUN786485 GEJ786420:GEJ786485 GOF786420:GOF786485 GYB786420:GYB786485 HHX786420:HHX786485 HRT786420:HRT786485 IBP786420:IBP786485 ILL786420:ILL786485 IVH786420:IVH786485 JFD786420:JFD786485 JOZ786420:JOZ786485 JYV786420:JYV786485 KIR786420:KIR786485 KSN786420:KSN786485 LCJ786420:LCJ786485 LMF786420:LMF786485 LWB786420:LWB786485 MFX786420:MFX786485 MPT786420:MPT786485 MZP786420:MZP786485 NJL786420:NJL786485 NTH786420:NTH786485 ODD786420:ODD786485 OMZ786420:OMZ786485 OWV786420:OWV786485 PGR786420:PGR786485 PQN786420:PQN786485 QAJ786420:QAJ786485 QKF786420:QKF786485 QUB786420:QUB786485 RDX786420:RDX786485 RNT786420:RNT786485 RXP786420:RXP786485 SHL786420:SHL786485 SRH786420:SRH786485 TBD786420:TBD786485 TKZ786420:TKZ786485 TUV786420:TUV786485 UER786420:UER786485 UON786420:UON786485 UYJ786420:UYJ786485 VIF786420:VIF786485 VSB786420:VSB786485 WBX786420:WBX786485 WLT786420:WLT786485 WVP786420:WVP786485 H851956:H852021 JD851956:JD852021 SZ851956:SZ852021 ACV851956:ACV852021 AMR851956:AMR852021 AWN851956:AWN852021 BGJ851956:BGJ852021 BQF851956:BQF852021 CAB851956:CAB852021 CJX851956:CJX852021 CTT851956:CTT852021 DDP851956:DDP852021 DNL851956:DNL852021 DXH851956:DXH852021 EHD851956:EHD852021 EQZ851956:EQZ852021 FAV851956:FAV852021 FKR851956:FKR852021 FUN851956:FUN852021 GEJ851956:GEJ852021 GOF851956:GOF852021 GYB851956:GYB852021 HHX851956:HHX852021 HRT851956:HRT852021 IBP851956:IBP852021 ILL851956:ILL852021 IVH851956:IVH852021 JFD851956:JFD852021 JOZ851956:JOZ852021 JYV851956:JYV852021 KIR851956:KIR852021 KSN851956:KSN852021 LCJ851956:LCJ852021 LMF851956:LMF852021 LWB851956:LWB852021 MFX851956:MFX852021 MPT851956:MPT852021 MZP851956:MZP852021 NJL851956:NJL852021 NTH851956:NTH852021 ODD851956:ODD852021 OMZ851956:OMZ852021 OWV851956:OWV852021 PGR851956:PGR852021 PQN851956:PQN852021 QAJ851956:QAJ852021 QKF851956:QKF852021 QUB851956:QUB852021 RDX851956:RDX852021 RNT851956:RNT852021 RXP851956:RXP852021 SHL851956:SHL852021 SRH851956:SRH852021 TBD851956:TBD852021 TKZ851956:TKZ852021 TUV851956:TUV852021 UER851956:UER852021 UON851956:UON852021 UYJ851956:UYJ852021 VIF851956:VIF852021 VSB851956:VSB852021 WBX851956:WBX852021 WLT851956:WLT852021 WVP851956:WVP852021 H917492:H917557 JD917492:JD917557 SZ917492:SZ917557 ACV917492:ACV917557 AMR917492:AMR917557 AWN917492:AWN917557 BGJ917492:BGJ917557 BQF917492:BQF917557 CAB917492:CAB917557 CJX917492:CJX917557 CTT917492:CTT917557 DDP917492:DDP917557 DNL917492:DNL917557 DXH917492:DXH917557 EHD917492:EHD917557 EQZ917492:EQZ917557 FAV917492:FAV917557 FKR917492:FKR917557 FUN917492:FUN917557 GEJ917492:GEJ917557 GOF917492:GOF917557 GYB917492:GYB917557 HHX917492:HHX917557 HRT917492:HRT917557 IBP917492:IBP917557 ILL917492:ILL917557 IVH917492:IVH917557 JFD917492:JFD917557 JOZ917492:JOZ917557 JYV917492:JYV917557 KIR917492:KIR917557 KSN917492:KSN917557 LCJ917492:LCJ917557 LMF917492:LMF917557 LWB917492:LWB917557 MFX917492:MFX917557 MPT917492:MPT917557 MZP917492:MZP917557 NJL917492:NJL917557 NTH917492:NTH917557 ODD917492:ODD917557 OMZ917492:OMZ917557 OWV917492:OWV917557 PGR917492:PGR917557 PQN917492:PQN917557 QAJ917492:QAJ917557 QKF917492:QKF917557 QUB917492:QUB917557 RDX917492:RDX917557 RNT917492:RNT917557 RXP917492:RXP917557 SHL917492:SHL917557 SRH917492:SRH917557 TBD917492:TBD917557 TKZ917492:TKZ917557 TUV917492:TUV917557 UER917492:UER917557 UON917492:UON917557 UYJ917492:UYJ917557 VIF917492:VIF917557 VSB917492:VSB917557 WBX917492:WBX917557 WLT917492:WLT917557 WVP917492:WVP917557 H983028:H983093 JD983028:JD983093 SZ983028:SZ983093 ACV983028:ACV983093 AMR983028:AMR983093 AWN983028:AWN983093 BGJ983028:BGJ983093 BQF983028:BQF983093 CAB983028:CAB983093 CJX983028:CJX983093 CTT983028:CTT983093 DDP983028:DDP983093 DNL983028:DNL983093 DXH983028:DXH983093 EHD983028:EHD983093 EQZ983028:EQZ983093 FAV983028:FAV983093 FKR983028:FKR983093 FUN983028:FUN983093 GEJ983028:GEJ983093 GOF983028:GOF983093 GYB983028:GYB983093 HHX983028:HHX983093 HRT983028:HRT983093 IBP983028:IBP983093 ILL983028:ILL983093 IVH983028:IVH983093 JFD983028:JFD983093 JOZ983028:JOZ983093 JYV983028:JYV983093 KIR983028:KIR983093 KSN983028:KSN983093 LCJ983028:LCJ983093 LMF983028:LMF983093 LWB983028:LWB983093 MFX983028:MFX983093 MPT983028:MPT983093 MZP983028:MZP983093 NJL983028:NJL983093 NTH983028:NTH983093 ODD983028:ODD983093 OMZ983028:OMZ983093 OWV983028:OWV983093 PGR983028:PGR983093 PQN983028:PQN983093 QAJ983028:QAJ983093 QKF983028:QKF983093 QUB983028:QUB983093 RDX983028:RDX983093 RNT983028:RNT983093 RXP983028:RXP983093 SHL983028:SHL983093 SRH983028:SRH983093 TBD983028:TBD983093 TKZ983028:TKZ983093 TUV983028:TUV983093 UER983028:UER983093 UON983028:UON983093 UYJ983028:UYJ983093 VIF983028:VIF983093 VSB983028:VSB983093 WBX983028:WBX983093 WLT983028:WLT983093 H65524:H65589">
      <formula1>$AL$4:$AL$12</formula1>
    </dataValidation>
    <dataValidation type="list" allowBlank="1" showInputMessage="1" showErrorMessage="1" sqref="A64349:A64414 A2:A486 SS2:SS70 WLM2:WLM70 WBQ2:WBQ70 VRU2:VRU70 VHY2:VHY70 UYC2:UYC70 UOG2:UOG70 UEK2:UEK70 TUO2:TUO70 TKS2:TKS70 TAW2:TAW70 SRA2:SRA70 SHE2:SHE70 RXI2:RXI70 RNM2:RNM70 RDQ2:RDQ70 QTU2:QTU70 QJY2:QJY70 QAC2:QAC70 PQG2:PQG70 PGK2:PGK70 OWO2:OWO70 OMS2:OMS70 OCW2:OCW70 NTA2:NTA70 NJE2:NJE70 MZI2:MZI70 MPM2:MPM70 MFQ2:MFQ70 LVU2:LVU70 LLY2:LLY70 LCC2:LCC70 KSG2:KSG70 KIK2:KIK70 JYO2:JYO70 JOS2:JOS70 JEW2:JEW70 IVA2:IVA70 ILE2:ILE70 IBI2:IBI70 HRM2:HRM70 HHQ2:HHQ70 GXU2:GXU70 GNY2:GNY70 GEC2:GEC70 FUG2:FUG70 FKK2:FKK70 FAO2:FAO70 EQS2:EQS70 EGW2:EGW70 DXA2:DXA70 DNE2:DNE70 DDI2:DDI70 CTM2:CTM70 CJQ2:CJQ70 BZU2:BZU70 BPY2:BPY70 BGC2:BGC70 AWG2:AWG70 AMK2:AMK70 ACO2:ACO70 IW2:IW70 WVI2:WVI70 SS64349:SS64414 ACO64349:ACO64414 AMK64349:AMK64414 AWG64349:AWG64414 BGC64349:BGC64414 BPY64349:BPY64414 BZU64349:BZU64414 CJQ64349:CJQ64414 CTM64349:CTM64414 DDI64349:DDI64414 DNE64349:DNE64414 DXA64349:DXA64414 EGW64349:EGW64414 EQS64349:EQS64414 FAO64349:FAO64414 FKK64349:FKK64414 FUG64349:FUG64414 GEC64349:GEC64414 GNY64349:GNY64414 GXU64349:GXU64414 HHQ64349:HHQ64414 HRM64349:HRM64414 IBI64349:IBI64414 ILE64349:ILE64414 IVA64349:IVA64414 JEW64349:JEW64414 JOS64349:JOS64414 JYO64349:JYO64414 KIK64349:KIK64414 KSG64349:KSG64414 LCC64349:LCC64414 LLY64349:LLY64414 LVU64349:LVU64414 MFQ64349:MFQ64414 MPM64349:MPM64414 MZI64349:MZI64414 NJE64349:NJE64414 NTA64349:NTA64414 OCW64349:OCW64414 OMS64349:OMS64414 OWO64349:OWO64414 PGK64349:PGK64414 PQG64349:PQG64414 QAC64349:QAC64414 QJY64349:QJY64414 QTU64349:QTU64414 RDQ64349:RDQ64414 RNM64349:RNM64414 RXI64349:RXI64414 SHE64349:SHE64414 SRA64349:SRA64414 TAW64349:TAW64414 TKS64349:TKS64414 TUO64349:TUO64414 UEK64349:UEK64414 UOG64349:UOG64414 UYC64349:UYC64414 VHY64349:VHY64414 VRU64349:VRU64414 WBQ64349:WBQ64414 WLM64349:WLM64414 WVI64349:WVI64414 A129885:A129950 IW129885:IW129950 SS129885:SS129950 ACO129885:ACO129950 AMK129885:AMK129950 AWG129885:AWG129950 BGC129885:BGC129950 BPY129885:BPY129950 BZU129885:BZU129950 CJQ129885:CJQ129950 CTM129885:CTM129950 DDI129885:DDI129950 DNE129885:DNE129950 DXA129885:DXA129950 EGW129885:EGW129950 EQS129885:EQS129950 FAO129885:FAO129950 FKK129885:FKK129950 FUG129885:FUG129950 GEC129885:GEC129950 GNY129885:GNY129950 GXU129885:GXU129950 HHQ129885:HHQ129950 HRM129885:HRM129950 IBI129885:IBI129950 ILE129885:ILE129950 IVA129885:IVA129950 JEW129885:JEW129950 JOS129885:JOS129950 JYO129885:JYO129950 KIK129885:KIK129950 KSG129885:KSG129950 LCC129885:LCC129950 LLY129885:LLY129950 LVU129885:LVU129950 MFQ129885:MFQ129950 MPM129885:MPM129950 MZI129885:MZI129950 NJE129885:NJE129950 NTA129885:NTA129950 OCW129885:OCW129950 OMS129885:OMS129950 OWO129885:OWO129950 PGK129885:PGK129950 PQG129885:PQG129950 QAC129885:QAC129950 QJY129885:QJY129950 QTU129885:QTU129950 RDQ129885:RDQ129950 RNM129885:RNM129950 RXI129885:RXI129950 SHE129885:SHE129950 SRA129885:SRA129950 TAW129885:TAW129950 TKS129885:TKS129950 TUO129885:TUO129950 UEK129885:UEK129950 UOG129885:UOG129950 UYC129885:UYC129950 VHY129885:VHY129950 VRU129885:VRU129950 WBQ129885:WBQ129950 WLM129885:WLM129950 WVI129885:WVI129950 A195421:A195486 IW195421:IW195486 SS195421:SS195486 ACO195421:ACO195486 AMK195421:AMK195486 AWG195421:AWG195486 BGC195421:BGC195486 BPY195421:BPY195486 BZU195421:BZU195486 CJQ195421:CJQ195486 CTM195421:CTM195486 DDI195421:DDI195486 DNE195421:DNE195486 DXA195421:DXA195486 EGW195421:EGW195486 EQS195421:EQS195486 FAO195421:FAO195486 FKK195421:FKK195486 FUG195421:FUG195486 GEC195421:GEC195486 GNY195421:GNY195486 GXU195421:GXU195486 HHQ195421:HHQ195486 HRM195421:HRM195486 IBI195421:IBI195486 ILE195421:ILE195486 IVA195421:IVA195486 JEW195421:JEW195486 JOS195421:JOS195486 JYO195421:JYO195486 KIK195421:KIK195486 KSG195421:KSG195486 LCC195421:LCC195486 LLY195421:LLY195486 LVU195421:LVU195486 MFQ195421:MFQ195486 MPM195421:MPM195486 MZI195421:MZI195486 NJE195421:NJE195486 NTA195421:NTA195486 OCW195421:OCW195486 OMS195421:OMS195486 OWO195421:OWO195486 PGK195421:PGK195486 PQG195421:PQG195486 QAC195421:QAC195486 QJY195421:QJY195486 QTU195421:QTU195486 RDQ195421:RDQ195486 RNM195421:RNM195486 RXI195421:RXI195486 SHE195421:SHE195486 SRA195421:SRA195486 TAW195421:TAW195486 TKS195421:TKS195486 TUO195421:TUO195486 UEK195421:UEK195486 UOG195421:UOG195486 UYC195421:UYC195486 VHY195421:VHY195486 VRU195421:VRU195486 WBQ195421:WBQ195486 WLM195421:WLM195486 WVI195421:WVI195486 A260957:A261022 IW260957:IW261022 SS260957:SS261022 ACO260957:ACO261022 AMK260957:AMK261022 AWG260957:AWG261022 BGC260957:BGC261022 BPY260957:BPY261022 BZU260957:BZU261022 CJQ260957:CJQ261022 CTM260957:CTM261022 DDI260957:DDI261022 DNE260957:DNE261022 DXA260957:DXA261022 EGW260957:EGW261022 EQS260957:EQS261022 FAO260957:FAO261022 FKK260957:FKK261022 FUG260957:FUG261022 GEC260957:GEC261022 GNY260957:GNY261022 GXU260957:GXU261022 HHQ260957:HHQ261022 HRM260957:HRM261022 IBI260957:IBI261022 ILE260957:ILE261022 IVA260957:IVA261022 JEW260957:JEW261022 JOS260957:JOS261022 JYO260957:JYO261022 KIK260957:KIK261022 KSG260957:KSG261022 LCC260957:LCC261022 LLY260957:LLY261022 LVU260957:LVU261022 MFQ260957:MFQ261022 MPM260957:MPM261022 MZI260957:MZI261022 NJE260957:NJE261022 NTA260957:NTA261022 OCW260957:OCW261022 OMS260957:OMS261022 OWO260957:OWO261022 PGK260957:PGK261022 PQG260957:PQG261022 QAC260957:QAC261022 QJY260957:QJY261022 QTU260957:QTU261022 RDQ260957:RDQ261022 RNM260957:RNM261022 RXI260957:RXI261022 SHE260957:SHE261022 SRA260957:SRA261022 TAW260957:TAW261022 TKS260957:TKS261022 TUO260957:TUO261022 UEK260957:UEK261022 UOG260957:UOG261022 UYC260957:UYC261022 VHY260957:VHY261022 VRU260957:VRU261022 WBQ260957:WBQ261022 WLM260957:WLM261022 WVI260957:WVI261022 A326493:A326558 IW326493:IW326558 SS326493:SS326558 ACO326493:ACO326558 AMK326493:AMK326558 AWG326493:AWG326558 BGC326493:BGC326558 BPY326493:BPY326558 BZU326493:BZU326558 CJQ326493:CJQ326558 CTM326493:CTM326558 DDI326493:DDI326558 DNE326493:DNE326558 DXA326493:DXA326558 EGW326493:EGW326558 EQS326493:EQS326558 FAO326493:FAO326558 FKK326493:FKK326558 FUG326493:FUG326558 GEC326493:GEC326558 GNY326493:GNY326558 GXU326493:GXU326558 HHQ326493:HHQ326558 HRM326493:HRM326558 IBI326493:IBI326558 ILE326493:ILE326558 IVA326493:IVA326558 JEW326493:JEW326558 JOS326493:JOS326558 JYO326493:JYO326558 KIK326493:KIK326558 KSG326493:KSG326558 LCC326493:LCC326558 LLY326493:LLY326558 LVU326493:LVU326558 MFQ326493:MFQ326558 MPM326493:MPM326558 MZI326493:MZI326558 NJE326493:NJE326558 NTA326493:NTA326558 OCW326493:OCW326558 OMS326493:OMS326558 OWO326493:OWO326558 PGK326493:PGK326558 PQG326493:PQG326558 QAC326493:QAC326558 QJY326493:QJY326558 QTU326493:QTU326558 RDQ326493:RDQ326558 RNM326493:RNM326558 RXI326493:RXI326558 SHE326493:SHE326558 SRA326493:SRA326558 TAW326493:TAW326558 TKS326493:TKS326558 TUO326493:TUO326558 UEK326493:UEK326558 UOG326493:UOG326558 UYC326493:UYC326558 VHY326493:VHY326558 VRU326493:VRU326558 WBQ326493:WBQ326558 WLM326493:WLM326558 WVI326493:WVI326558 A392029:A392094 IW392029:IW392094 SS392029:SS392094 ACO392029:ACO392094 AMK392029:AMK392094 AWG392029:AWG392094 BGC392029:BGC392094 BPY392029:BPY392094 BZU392029:BZU392094 CJQ392029:CJQ392094 CTM392029:CTM392094 DDI392029:DDI392094 DNE392029:DNE392094 DXA392029:DXA392094 EGW392029:EGW392094 EQS392029:EQS392094 FAO392029:FAO392094 FKK392029:FKK392094 FUG392029:FUG392094 GEC392029:GEC392094 GNY392029:GNY392094 GXU392029:GXU392094 HHQ392029:HHQ392094 HRM392029:HRM392094 IBI392029:IBI392094 ILE392029:ILE392094 IVA392029:IVA392094 JEW392029:JEW392094 JOS392029:JOS392094 JYO392029:JYO392094 KIK392029:KIK392094 KSG392029:KSG392094 LCC392029:LCC392094 LLY392029:LLY392094 LVU392029:LVU392094 MFQ392029:MFQ392094 MPM392029:MPM392094 MZI392029:MZI392094 NJE392029:NJE392094 NTA392029:NTA392094 OCW392029:OCW392094 OMS392029:OMS392094 OWO392029:OWO392094 PGK392029:PGK392094 PQG392029:PQG392094 QAC392029:QAC392094 QJY392029:QJY392094 QTU392029:QTU392094 RDQ392029:RDQ392094 RNM392029:RNM392094 RXI392029:RXI392094 SHE392029:SHE392094 SRA392029:SRA392094 TAW392029:TAW392094 TKS392029:TKS392094 TUO392029:TUO392094 UEK392029:UEK392094 UOG392029:UOG392094 UYC392029:UYC392094 VHY392029:VHY392094 VRU392029:VRU392094 WBQ392029:WBQ392094 WLM392029:WLM392094 WVI392029:WVI392094 A457565:A457630 IW457565:IW457630 SS457565:SS457630 ACO457565:ACO457630 AMK457565:AMK457630 AWG457565:AWG457630 BGC457565:BGC457630 BPY457565:BPY457630 BZU457565:BZU457630 CJQ457565:CJQ457630 CTM457565:CTM457630 DDI457565:DDI457630 DNE457565:DNE457630 DXA457565:DXA457630 EGW457565:EGW457630 EQS457565:EQS457630 FAO457565:FAO457630 FKK457565:FKK457630 FUG457565:FUG457630 GEC457565:GEC457630 GNY457565:GNY457630 GXU457565:GXU457630 HHQ457565:HHQ457630 HRM457565:HRM457630 IBI457565:IBI457630 ILE457565:ILE457630 IVA457565:IVA457630 JEW457565:JEW457630 JOS457565:JOS457630 JYO457565:JYO457630 KIK457565:KIK457630 KSG457565:KSG457630 LCC457565:LCC457630 LLY457565:LLY457630 LVU457565:LVU457630 MFQ457565:MFQ457630 MPM457565:MPM457630 MZI457565:MZI457630 NJE457565:NJE457630 NTA457565:NTA457630 OCW457565:OCW457630 OMS457565:OMS457630 OWO457565:OWO457630 PGK457565:PGK457630 PQG457565:PQG457630 QAC457565:QAC457630 QJY457565:QJY457630 QTU457565:QTU457630 RDQ457565:RDQ457630 RNM457565:RNM457630 RXI457565:RXI457630 SHE457565:SHE457630 SRA457565:SRA457630 TAW457565:TAW457630 TKS457565:TKS457630 TUO457565:TUO457630 UEK457565:UEK457630 UOG457565:UOG457630 UYC457565:UYC457630 VHY457565:VHY457630 VRU457565:VRU457630 WBQ457565:WBQ457630 WLM457565:WLM457630 WVI457565:WVI457630 A523101:A523166 IW523101:IW523166 SS523101:SS523166 ACO523101:ACO523166 AMK523101:AMK523166 AWG523101:AWG523166 BGC523101:BGC523166 BPY523101:BPY523166 BZU523101:BZU523166 CJQ523101:CJQ523166 CTM523101:CTM523166 DDI523101:DDI523166 DNE523101:DNE523166 DXA523101:DXA523166 EGW523101:EGW523166 EQS523101:EQS523166 FAO523101:FAO523166 FKK523101:FKK523166 FUG523101:FUG523166 GEC523101:GEC523166 GNY523101:GNY523166 GXU523101:GXU523166 HHQ523101:HHQ523166 HRM523101:HRM523166 IBI523101:IBI523166 ILE523101:ILE523166 IVA523101:IVA523166 JEW523101:JEW523166 JOS523101:JOS523166 JYO523101:JYO523166 KIK523101:KIK523166 KSG523101:KSG523166 LCC523101:LCC523166 LLY523101:LLY523166 LVU523101:LVU523166 MFQ523101:MFQ523166 MPM523101:MPM523166 MZI523101:MZI523166 NJE523101:NJE523166 NTA523101:NTA523166 OCW523101:OCW523166 OMS523101:OMS523166 OWO523101:OWO523166 PGK523101:PGK523166 PQG523101:PQG523166 QAC523101:QAC523166 QJY523101:QJY523166 QTU523101:QTU523166 RDQ523101:RDQ523166 RNM523101:RNM523166 RXI523101:RXI523166 SHE523101:SHE523166 SRA523101:SRA523166 TAW523101:TAW523166 TKS523101:TKS523166 TUO523101:TUO523166 UEK523101:UEK523166 UOG523101:UOG523166 UYC523101:UYC523166 VHY523101:VHY523166 VRU523101:VRU523166 WBQ523101:WBQ523166 WLM523101:WLM523166 WVI523101:WVI523166 A588637:A588702 IW588637:IW588702 SS588637:SS588702 ACO588637:ACO588702 AMK588637:AMK588702 AWG588637:AWG588702 BGC588637:BGC588702 BPY588637:BPY588702 BZU588637:BZU588702 CJQ588637:CJQ588702 CTM588637:CTM588702 DDI588637:DDI588702 DNE588637:DNE588702 DXA588637:DXA588702 EGW588637:EGW588702 EQS588637:EQS588702 FAO588637:FAO588702 FKK588637:FKK588702 FUG588637:FUG588702 GEC588637:GEC588702 GNY588637:GNY588702 GXU588637:GXU588702 HHQ588637:HHQ588702 HRM588637:HRM588702 IBI588637:IBI588702 ILE588637:ILE588702 IVA588637:IVA588702 JEW588637:JEW588702 JOS588637:JOS588702 JYO588637:JYO588702 KIK588637:KIK588702 KSG588637:KSG588702 LCC588637:LCC588702 LLY588637:LLY588702 LVU588637:LVU588702 MFQ588637:MFQ588702 MPM588637:MPM588702 MZI588637:MZI588702 NJE588637:NJE588702 NTA588637:NTA588702 OCW588637:OCW588702 OMS588637:OMS588702 OWO588637:OWO588702 PGK588637:PGK588702 PQG588637:PQG588702 QAC588637:QAC588702 QJY588637:QJY588702 QTU588637:QTU588702 RDQ588637:RDQ588702 RNM588637:RNM588702 RXI588637:RXI588702 SHE588637:SHE588702 SRA588637:SRA588702 TAW588637:TAW588702 TKS588637:TKS588702 TUO588637:TUO588702 UEK588637:UEK588702 UOG588637:UOG588702 UYC588637:UYC588702 VHY588637:VHY588702 VRU588637:VRU588702 WBQ588637:WBQ588702 WLM588637:WLM588702 WVI588637:WVI588702 A654173:A654238 IW654173:IW654238 SS654173:SS654238 ACO654173:ACO654238 AMK654173:AMK654238 AWG654173:AWG654238 BGC654173:BGC654238 BPY654173:BPY654238 BZU654173:BZU654238 CJQ654173:CJQ654238 CTM654173:CTM654238 DDI654173:DDI654238 DNE654173:DNE654238 DXA654173:DXA654238 EGW654173:EGW654238 EQS654173:EQS654238 FAO654173:FAO654238 FKK654173:FKK654238 FUG654173:FUG654238 GEC654173:GEC654238 GNY654173:GNY654238 GXU654173:GXU654238 HHQ654173:HHQ654238 HRM654173:HRM654238 IBI654173:IBI654238 ILE654173:ILE654238 IVA654173:IVA654238 JEW654173:JEW654238 JOS654173:JOS654238 JYO654173:JYO654238 KIK654173:KIK654238 KSG654173:KSG654238 LCC654173:LCC654238 LLY654173:LLY654238 LVU654173:LVU654238 MFQ654173:MFQ654238 MPM654173:MPM654238 MZI654173:MZI654238 NJE654173:NJE654238 NTA654173:NTA654238 OCW654173:OCW654238 OMS654173:OMS654238 OWO654173:OWO654238 PGK654173:PGK654238 PQG654173:PQG654238 QAC654173:QAC654238 QJY654173:QJY654238 QTU654173:QTU654238 RDQ654173:RDQ654238 RNM654173:RNM654238 RXI654173:RXI654238 SHE654173:SHE654238 SRA654173:SRA654238 TAW654173:TAW654238 TKS654173:TKS654238 TUO654173:TUO654238 UEK654173:UEK654238 UOG654173:UOG654238 UYC654173:UYC654238 VHY654173:VHY654238 VRU654173:VRU654238 WBQ654173:WBQ654238 WLM654173:WLM654238 WVI654173:WVI654238 A719709:A719774 IW719709:IW719774 SS719709:SS719774 ACO719709:ACO719774 AMK719709:AMK719774 AWG719709:AWG719774 BGC719709:BGC719774 BPY719709:BPY719774 BZU719709:BZU719774 CJQ719709:CJQ719774 CTM719709:CTM719774 DDI719709:DDI719774 DNE719709:DNE719774 DXA719709:DXA719774 EGW719709:EGW719774 EQS719709:EQS719774 FAO719709:FAO719774 FKK719709:FKK719774 FUG719709:FUG719774 GEC719709:GEC719774 GNY719709:GNY719774 GXU719709:GXU719774 HHQ719709:HHQ719774 HRM719709:HRM719774 IBI719709:IBI719774 ILE719709:ILE719774 IVA719709:IVA719774 JEW719709:JEW719774 JOS719709:JOS719774 JYO719709:JYO719774 KIK719709:KIK719774 KSG719709:KSG719774 LCC719709:LCC719774 LLY719709:LLY719774 LVU719709:LVU719774 MFQ719709:MFQ719774 MPM719709:MPM719774 MZI719709:MZI719774 NJE719709:NJE719774 NTA719709:NTA719774 OCW719709:OCW719774 OMS719709:OMS719774 OWO719709:OWO719774 PGK719709:PGK719774 PQG719709:PQG719774 QAC719709:QAC719774 QJY719709:QJY719774 QTU719709:QTU719774 RDQ719709:RDQ719774 RNM719709:RNM719774 RXI719709:RXI719774 SHE719709:SHE719774 SRA719709:SRA719774 TAW719709:TAW719774 TKS719709:TKS719774 TUO719709:TUO719774 UEK719709:UEK719774 UOG719709:UOG719774 UYC719709:UYC719774 VHY719709:VHY719774 VRU719709:VRU719774 WBQ719709:WBQ719774 WLM719709:WLM719774 WVI719709:WVI719774 A785245:A785310 IW785245:IW785310 SS785245:SS785310 ACO785245:ACO785310 AMK785245:AMK785310 AWG785245:AWG785310 BGC785245:BGC785310 BPY785245:BPY785310 BZU785245:BZU785310 CJQ785245:CJQ785310 CTM785245:CTM785310 DDI785245:DDI785310 DNE785245:DNE785310 DXA785245:DXA785310 EGW785245:EGW785310 EQS785245:EQS785310 FAO785245:FAO785310 FKK785245:FKK785310 FUG785245:FUG785310 GEC785245:GEC785310 GNY785245:GNY785310 GXU785245:GXU785310 HHQ785245:HHQ785310 HRM785245:HRM785310 IBI785245:IBI785310 ILE785245:ILE785310 IVA785245:IVA785310 JEW785245:JEW785310 JOS785245:JOS785310 JYO785245:JYO785310 KIK785245:KIK785310 KSG785245:KSG785310 LCC785245:LCC785310 LLY785245:LLY785310 LVU785245:LVU785310 MFQ785245:MFQ785310 MPM785245:MPM785310 MZI785245:MZI785310 NJE785245:NJE785310 NTA785245:NTA785310 OCW785245:OCW785310 OMS785245:OMS785310 OWO785245:OWO785310 PGK785245:PGK785310 PQG785245:PQG785310 QAC785245:QAC785310 QJY785245:QJY785310 QTU785245:QTU785310 RDQ785245:RDQ785310 RNM785245:RNM785310 RXI785245:RXI785310 SHE785245:SHE785310 SRA785245:SRA785310 TAW785245:TAW785310 TKS785245:TKS785310 TUO785245:TUO785310 UEK785245:UEK785310 UOG785245:UOG785310 UYC785245:UYC785310 VHY785245:VHY785310 VRU785245:VRU785310 WBQ785245:WBQ785310 WLM785245:WLM785310 WVI785245:WVI785310 A850781:A850846 IW850781:IW850846 SS850781:SS850846 ACO850781:ACO850846 AMK850781:AMK850846 AWG850781:AWG850846 BGC850781:BGC850846 BPY850781:BPY850846 BZU850781:BZU850846 CJQ850781:CJQ850846 CTM850781:CTM850846 DDI850781:DDI850846 DNE850781:DNE850846 DXA850781:DXA850846 EGW850781:EGW850846 EQS850781:EQS850846 FAO850781:FAO850846 FKK850781:FKK850846 FUG850781:FUG850846 GEC850781:GEC850846 GNY850781:GNY850846 GXU850781:GXU850846 HHQ850781:HHQ850846 HRM850781:HRM850846 IBI850781:IBI850846 ILE850781:ILE850846 IVA850781:IVA850846 JEW850781:JEW850846 JOS850781:JOS850846 JYO850781:JYO850846 KIK850781:KIK850846 KSG850781:KSG850846 LCC850781:LCC850846 LLY850781:LLY850846 LVU850781:LVU850846 MFQ850781:MFQ850846 MPM850781:MPM850846 MZI850781:MZI850846 NJE850781:NJE850846 NTA850781:NTA850846 OCW850781:OCW850846 OMS850781:OMS850846 OWO850781:OWO850846 PGK850781:PGK850846 PQG850781:PQG850846 QAC850781:QAC850846 QJY850781:QJY850846 QTU850781:QTU850846 RDQ850781:RDQ850846 RNM850781:RNM850846 RXI850781:RXI850846 SHE850781:SHE850846 SRA850781:SRA850846 TAW850781:TAW850846 TKS850781:TKS850846 TUO850781:TUO850846 UEK850781:UEK850846 UOG850781:UOG850846 UYC850781:UYC850846 VHY850781:VHY850846 VRU850781:VRU850846 WBQ850781:WBQ850846 WLM850781:WLM850846 WVI850781:WVI850846 A916317:A916382 IW916317:IW916382 SS916317:SS916382 ACO916317:ACO916382 AMK916317:AMK916382 AWG916317:AWG916382 BGC916317:BGC916382 BPY916317:BPY916382 BZU916317:BZU916382 CJQ916317:CJQ916382 CTM916317:CTM916382 DDI916317:DDI916382 DNE916317:DNE916382 DXA916317:DXA916382 EGW916317:EGW916382 EQS916317:EQS916382 FAO916317:FAO916382 FKK916317:FKK916382 FUG916317:FUG916382 GEC916317:GEC916382 GNY916317:GNY916382 GXU916317:GXU916382 HHQ916317:HHQ916382 HRM916317:HRM916382 IBI916317:IBI916382 ILE916317:ILE916382 IVA916317:IVA916382 JEW916317:JEW916382 JOS916317:JOS916382 JYO916317:JYO916382 KIK916317:KIK916382 KSG916317:KSG916382 LCC916317:LCC916382 LLY916317:LLY916382 LVU916317:LVU916382 MFQ916317:MFQ916382 MPM916317:MPM916382 MZI916317:MZI916382 NJE916317:NJE916382 NTA916317:NTA916382 OCW916317:OCW916382 OMS916317:OMS916382 OWO916317:OWO916382 PGK916317:PGK916382 PQG916317:PQG916382 QAC916317:QAC916382 QJY916317:QJY916382 QTU916317:QTU916382 RDQ916317:RDQ916382 RNM916317:RNM916382 RXI916317:RXI916382 SHE916317:SHE916382 SRA916317:SRA916382 TAW916317:TAW916382 TKS916317:TKS916382 TUO916317:TUO916382 UEK916317:UEK916382 UOG916317:UOG916382 UYC916317:UYC916382 VHY916317:VHY916382 VRU916317:VRU916382 WBQ916317:WBQ916382 WLM916317:WLM916382 WVI916317:WVI916382 A981853:A981918 IW981853:IW981918 SS981853:SS981918 ACO981853:ACO981918 AMK981853:AMK981918 AWG981853:AWG981918 BGC981853:BGC981918 BPY981853:BPY981918 BZU981853:BZU981918 CJQ981853:CJQ981918 CTM981853:CTM981918 DDI981853:DDI981918 DNE981853:DNE981918 DXA981853:DXA981918 EGW981853:EGW981918 EQS981853:EQS981918 FAO981853:FAO981918 FKK981853:FKK981918 FUG981853:FUG981918 GEC981853:GEC981918 GNY981853:GNY981918 GXU981853:GXU981918 HHQ981853:HHQ981918 HRM981853:HRM981918 IBI981853:IBI981918 ILE981853:ILE981918 IVA981853:IVA981918 JEW981853:JEW981918 JOS981853:JOS981918 JYO981853:JYO981918 KIK981853:KIK981918 KSG981853:KSG981918 LCC981853:LCC981918 LLY981853:LLY981918 LVU981853:LVU981918 MFQ981853:MFQ981918 MPM981853:MPM981918 MZI981853:MZI981918 NJE981853:NJE981918 NTA981853:NTA981918 OCW981853:OCW981918 OMS981853:OMS981918 OWO981853:OWO981918 PGK981853:PGK981918 PQG981853:PQG981918 QAC981853:QAC981918 QJY981853:QJY981918 QTU981853:QTU981918 RDQ981853:RDQ981918 RNM981853:RNM981918 RXI981853:RXI981918 SHE981853:SHE981918 SRA981853:SRA981918 TAW981853:TAW981918 TKS981853:TKS981918 TUO981853:TUO981918 UEK981853:UEK981918 UOG981853:UOG981918 UYC981853:UYC981918 VHY981853:VHY981918 VRU981853:VRU981918 WBQ981853:WBQ981918 WLM981853:WLM981918 WVI981853:WVI981918 A1047389:A1047454 IW1047389:IW1047454 SS1047389:SS1047454 ACO1047389:ACO1047454 AMK1047389:AMK1047454 AWG1047389:AWG1047454 BGC1047389:BGC1047454 BPY1047389:BPY1047454 BZU1047389:BZU1047454 CJQ1047389:CJQ1047454 CTM1047389:CTM1047454 DDI1047389:DDI1047454 DNE1047389:DNE1047454 DXA1047389:DXA1047454 EGW1047389:EGW1047454 EQS1047389:EQS1047454 FAO1047389:FAO1047454 FKK1047389:FKK1047454 FUG1047389:FUG1047454 GEC1047389:GEC1047454 GNY1047389:GNY1047454 GXU1047389:GXU1047454 HHQ1047389:HHQ1047454 HRM1047389:HRM1047454 IBI1047389:IBI1047454 ILE1047389:ILE1047454 IVA1047389:IVA1047454 JEW1047389:JEW1047454 JOS1047389:JOS1047454 JYO1047389:JYO1047454 KIK1047389:KIK1047454 KSG1047389:KSG1047454 LCC1047389:LCC1047454 LLY1047389:LLY1047454 LVU1047389:LVU1047454 MFQ1047389:MFQ1047454 MPM1047389:MPM1047454 MZI1047389:MZI1047454 NJE1047389:NJE1047454 NTA1047389:NTA1047454 OCW1047389:OCW1047454 OMS1047389:OMS1047454 OWO1047389:OWO1047454 PGK1047389:PGK1047454 PQG1047389:PQG1047454 QAC1047389:QAC1047454 QJY1047389:QJY1047454 QTU1047389:QTU1047454 RDQ1047389:RDQ1047454 RNM1047389:RNM1047454 RXI1047389:RXI1047454 SHE1047389:SHE1047454 SRA1047389:SRA1047454 TAW1047389:TAW1047454 TKS1047389:TKS1047454 TUO1047389:TUO1047454 UEK1047389:UEK1047454 UOG1047389:UOG1047454 UYC1047389:UYC1047454 VHY1047389:VHY1047454 VRU1047389:VRU1047454 WBQ1047389:WBQ1047454 WLM1047389:WLM1047454 WVI1047389:WVI1047454 WVI983028:WVI983099 A65524:A65595 IW65524:IW65595 SS65524:SS65595 ACO65524:ACO65595 AMK65524:AMK65595 AWG65524:AWG65595 BGC65524:BGC65595 BPY65524:BPY65595 BZU65524:BZU65595 CJQ65524:CJQ65595 CTM65524:CTM65595 DDI65524:DDI65595 DNE65524:DNE65595 DXA65524:DXA65595 EGW65524:EGW65595 EQS65524:EQS65595 FAO65524:FAO65595 FKK65524:FKK65595 FUG65524:FUG65595 GEC65524:GEC65595 GNY65524:GNY65595 GXU65524:GXU65595 HHQ65524:HHQ65595 HRM65524:HRM65595 IBI65524:IBI65595 ILE65524:ILE65595 IVA65524:IVA65595 JEW65524:JEW65595 JOS65524:JOS65595 JYO65524:JYO65595 KIK65524:KIK65595 KSG65524:KSG65595 LCC65524:LCC65595 LLY65524:LLY65595 LVU65524:LVU65595 MFQ65524:MFQ65595 MPM65524:MPM65595 MZI65524:MZI65595 NJE65524:NJE65595 NTA65524:NTA65595 OCW65524:OCW65595 OMS65524:OMS65595 OWO65524:OWO65595 PGK65524:PGK65595 PQG65524:PQG65595 QAC65524:QAC65595 QJY65524:QJY65595 QTU65524:QTU65595 RDQ65524:RDQ65595 RNM65524:RNM65595 RXI65524:RXI65595 SHE65524:SHE65595 SRA65524:SRA65595 TAW65524:TAW65595 TKS65524:TKS65595 TUO65524:TUO65595 UEK65524:UEK65595 UOG65524:UOG65595 UYC65524:UYC65595 VHY65524:VHY65595 VRU65524:VRU65595 WBQ65524:WBQ65595 WLM65524:WLM65595 WVI65524:WVI65595 A131060:A131131 IW131060:IW131131 SS131060:SS131131 ACO131060:ACO131131 AMK131060:AMK131131 AWG131060:AWG131131 BGC131060:BGC131131 BPY131060:BPY131131 BZU131060:BZU131131 CJQ131060:CJQ131131 CTM131060:CTM131131 DDI131060:DDI131131 DNE131060:DNE131131 DXA131060:DXA131131 EGW131060:EGW131131 EQS131060:EQS131131 FAO131060:FAO131131 FKK131060:FKK131131 FUG131060:FUG131131 GEC131060:GEC131131 GNY131060:GNY131131 GXU131060:GXU131131 HHQ131060:HHQ131131 HRM131060:HRM131131 IBI131060:IBI131131 ILE131060:ILE131131 IVA131060:IVA131131 JEW131060:JEW131131 JOS131060:JOS131131 JYO131060:JYO131131 KIK131060:KIK131131 KSG131060:KSG131131 LCC131060:LCC131131 LLY131060:LLY131131 LVU131060:LVU131131 MFQ131060:MFQ131131 MPM131060:MPM131131 MZI131060:MZI131131 NJE131060:NJE131131 NTA131060:NTA131131 OCW131060:OCW131131 OMS131060:OMS131131 OWO131060:OWO131131 PGK131060:PGK131131 PQG131060:PQG131131 QAC131060:QAC131131 QJY131060:QJY131131 QTU131060:QTU131131 RDQ131060:RDQ131131 RNM131060:RNM131131 RXI131060:RXI131131 SHE131060:SHE131131 SRA131060:SRA131131 TAW131060:TAW131131 TKS131060:TKS131131 TUO131060:TUO131131 UEK131060:UEK131131 UOG131060:UOG131131 UYC131060:UYC131131 VHY131060:VHY131131 VRU131060:VRU131131 WBQ131060:WBQ131131 WLM131060:WLM131131 WVI131060:WVI131131 A196596:A196667 IW196596:IW196667 SS196596:SS196667 ACO196596:ACO196667 AMK196596:AMK196667 AWG196596:AWG196667 BGC196596:BGC196667 BPY196596:BPY196667 BZU196596:BZU196667 CJQ196596:CJQ196667 CTM196596:CTM196667 DDI196596:DDI196667 DNE196596:DNE196667 DXA196596:DXA196667 EGW196596:EGW196667 EQS196596:EQS196667 FAO196596:FAO196667 FKK196596:FKK196667 FUG196596:FUG196667 GEC196596:GEC196667 GNY196596:GNY196667 GXU196596:GXU196667 HHQ196596:HHQ196667 HRM196596:HRM196667 IBI196596:IBI196667 ILE196596:ILE196667 IVA196596:IVA196667 JEW196596:JEW196667 JOS196596:JOS196667 JYO196596:JYO196667 KIK196596:KIK196667 KSG196596:KSG196667 LCC196596:LCC196667 LLY196596:LLY196667 LVU196596:LVU196667 MFQ196596:MFQ196667 MPM196596:MPM196667 MZI196596:MZI196667 NJE196596:NJE196667 NTA196596:NTA196667 OCW196596:OCW196667 OMS196596:OMS196667 OWO196596:OWO196667 PGK196596:PGK196667 PQG196596:PQG196667 QAC196596:QAC196667 QJY196596:QJY196667 QTU196596:QTU196667 RDQ196596:RDQ196667 RNM196596:RNM196667 RXI196596:RXI196667 SHE196596:SHE196667 SRA196596:SRA196667 TAW196596:TAW196667 TKS196596:TKS196667 TUO196596:TUO196667 UEK196596:UEK196667 UOG196596:UOG196667 UYC196596:UYC196667 VHY196596:VHY196667 VRU196596:VRU196667 WBQ196596:WBQ196667 WLM196596:WLM196667 WVI196596:WVI196667 A262132:A262203 IW262132:IW262203 SS262132:SS262203 ACO262132:ACO262203 AMK262132:AMK262203 AWG262132:AWG262203 BGC262132:BGC262203 BPY262132:BPY262203 BZU262132:BZU262203 CJQ262132:CJQ262203 CTM262132:CTM262203 DDI262132:DDI262203 DNE262132:DNE262203 DXA262132:DXA262203 EGW262132:EGW262203 EQS262132:EQS262203 FAO262132:FAO262203 FKK262132:FKK262203 FUG262132:FUG262203 GEC262132:GEC262203 GNY262132:GNY262203 GXU262132:GXU262203 HHQ262132:HHQ262203 HRM262132:HRM262203 IBI262132:IBI262203 ILE262132:ILE262203 IVA262132:IVA262203 JEW262132:JEW262203 JOS262132:JOS262203 JYO262132:JYO262203 KIK262132:KIK262203 KSG262132:KSG262203 LCC262132:LCC262203 LLY262132:LLY262203 LVU262132:LVU262203 MFQ262132:MFQ262203 MPM262132:MPM262203 MZI262132:MZI262203 NJE262132:NJE262203 NTA262132:NTA262203 OCW262132:OCW262203 OMS262132:OMS262203 OWO262132:OWO262203 PGK262132:PGK262203 PQG262132:PQG262203 QAC262132:QAC262203 QJY262132:QJY262203 QTU262132:QTU262203 RDQ262132:RDQ262203 RNM262132:RNM262203 RXI262132:RXI262203 SHE262132:SHE262203 SRA262132:SRA262203 TAW262132:TAW262203 TKS262132:TKS262203 TUO262132:TUO262203 UEK262132:UEK262203 UOG262132:UOG262203 UYC262132:UYC262203 VHY262132:VHY262203 VRU262132:VRU262203 WBQ262132:WBQ262203 WLM262132:WLM262203 WVI262132:WVI262203 A327668:A327739 IW327668:IW327739 SS327668:SS327739 ACO327668:ACO327739 AMK327668:AMK327739 AWG327668:AWG327739 BGC327668:BGC327739 BPY327668:BPY327739 BZU327668:BZU327739 CJQ327668:CJQ327739 CTM327668:CTM327739 DDI327668:DDI327739 DNE327668:DNE327739 DXA327668:DXA327739 EGW327668:EGW327739 EQS327668:EQS327739 FAO327668:FAO327739 FKK327668:FKK327739 FUG327668:FUG327739 GEC327668:GEC327739 GNY327668:GNY327739 GXU327668:GXU327739 HHQ327668:HHQ327739 HRM327668:HRM327739 IBI327668:IBI327739 ILE327668:ILE327739 IVA327668:IVA327739 JEW327668:JEW327739 JOS327668:JOS327739 JYO327668:JYO327739 KIK327668:KIK327739 KSG327668:KSG327739 LCC327668:LCC327739 LLY327668:LLY327739 LVU327668:LVU327739 MFQ327668:MFQ327739 MPM327668:MPM327739 MZI327668:MZI327739 NJE327668:NJE327739 NTA327668:NTA327739 OCW327668:OCW327739 OMS327668:OMS327739 OWO327668:OWO327739 PGK327668:PGK327739 PQG327668:PQG327739 QAC327668:QAC327739 QJY327668:QJY327739 QTU327668:QTU327739 RDQ327668:RDQ327739 RNM327668:RNM327739 RXI327668:RXI327739 SHE327668:SHE327739 SRA327668:SRA327739 TAW327668:TAW327739 TKS327668:TKS327739 TUO327668:TUO327739 UEK327668:UEK327739 UOG327668:UOG327739 UYC327668:UYC327739 VHY327668:VHY327739 VRU327668:VRU327739 WBQ327668:WBQ327739 WLM327668:WLM327739 WVI327668:WVI327739 A393204:A393275 IW393204:IW393275 SS393204:SS393275 ACO393204:ACO393275 AMK393204:AMK393275 AWG393204:AWG393275 BGC393204:BGC393275 BPY393204:BPY393275 BZU393204:BZU393275 CJQ393204:CJQ393275 CTM393204:CTM393275 DDI393204:DDI393275 DNE393204:DNE393275 DXA393204:DXA393275 EGW393204:EGW393275 EQS393204:EQS393275 FAO393204:FAO393275 FKK393204:FKK393275 FUG393204:FUG393275 GEC393204:GEC393275 GNY393204:GNY393275 GXU393204:GXU393275 HHQ393204:HHQ393275 HRM393204:HRM393275 IBI393204:IBI393275 ILE393204:ILE393275 IVA393204:IVA393275 JEW393204:JEW393275 JOS393204:JOS393275 JYO393204:JYO393275 KIK393204:KIK393275 KSG393204:KSG393275 LCC393204:LCC393275 LLY393204:LLY393275 LVU393204:LVU393275 MFQ393204:MFQ393275 MPM393204:MPM393275 MZI393204:MZI393275 NJE393204:NJE393275 NTA393204:NTA393275 OCW393204:OCW393275 OMS393204:OMS393275 OWO393204:OWO393275 PGK393204:PGK393275 PQG393204:PQG393275 QAC393204:QAC393275 QJY393204:QJY393275 QTU393204:QTU393275 RDQ393204:RDQ393275 RNM393204:RNM393275 RXI393204:RXI393275 SHE393204:SHE393275 SRA393204:SRA393275 TAW393204:TAW393275 TKS393204:TKS393275 TUO393204:TUO393275 UEK393204:UEK393275 UOG393204:UOG393275 UYC393204:UYC393275 VHY393204:VHY393275 VRU393204:VRU393275 WBQ393204:WBQ393275 WLM393204:WLM393275 WVI393204:WVI393275 A458740:A458811 IW458740:IW458811 SS458740:SS458811 ACO458740:ACO458811 AMK458740:AMK458811 AWG458740:AWG458811 BGC458740:BGC458811 BPY458740:BPY458811 BZU458740:BZU458811 CJQ458740:CJQ458811 CTM458740:CTM458811 DDI458740:DDI458811 DNE458740:DNE458811 DXA458740:DXA458811 EGW458740:EGW458811 EQS458740:EQS458811 FAO458740:FAO458811 FKK458740:FKK458811 FUG458740:FUG458811 GEC458740:GEC458811 GNY458740:GNY458811 GXU458740:GXU458811 HHQ458740:HHQ458811 HRM458740:HRM458811 IBI458740:IBI458811 ILE458740:ILE458811 IVA458740:IVA458811 JEW458740:JEW458811 JOS458740:JOS458811 JYO458740:JYO458811 KIK458740:KIK458811 KSG458740:KSG458811 LCC458740:LCC458811 LLY458740:LLY458811 LVU458740:LVU458811 MFQ458740:MFQ458811 MPM458740:MPM458811 MZI458740:MZI458811 NJE458740:NJE458811 NTA458740:NTA458811 OCW458740:OCW458811 OMS458740:OMS458811 OWO458740:OWO458811 PGK458740:PGK458811 PQG458740:PQG458811 QAC458740:QAC458811 QJY458740:QJY458811 QTU458740:QTU458811 RDQ458740:RDQ458811 RNM458740:RNM458811 RXI458740:RXI458811 SHE458740:SHE458811 SRA458740:SRA458811 TAW458740:TAW458811 TKS458740:TKS458811 TUO458740:TUO458811 UEK458740:UEK458811 UOG458740:UOG458811 UYC458740:UYC458811 VHY458740:VHY458811 VRU458740:VRU458811 WBQ458740:WBQ458811 WLM458740:WLM458811 WVI458740:WVI458811 A524276:A524347 IW524276:IW524347 SS524276:SS524347 ACO524276:ACO524347 AMK524276:AMK524347 AWG524276:AWG524347 BGC524276:BGC524347 BPY524276:BPY524347 BZU524276:BZU524347 CJQ524276:CJQ524347 CTM524276:CTM524347 DDI524276:DDI524347 DNE524276:DNE524347 DXA524276:DXA524347 EGW524276:EGW524347 EQS524276:EQS524347 FAO524276:FAO524347 FKK524276:FKK524347 FUG524276:FUG524347 GEC524276:GEC524347 GNY524276:GNY524347 GXU524276:GXU524347 HHQ524276:HHQ524347 HRM524276:HRM524347 IBI524276:IBI524347 ILE524276:ILE524347 IVA524276:IVA524347 JEW524276:JEW524347 JOS524276:JOS524347 JYO524276:JYO524347 KIK524276:KIK524347 KSG524276:KSG524347 LCC524276:LCC524347 LLY524276:LLY524347 LVU524276:LVU524347 MFQ524276:MFQ524347 MPM524276:MPM524347 MZI524276:MZI524347 NJE524276:NJE524347 NTA524276:NTA524347 OCW524276:OCW524347 OMS524276:OMS524347 OWO524276:OWO524347 PGK524276:PGK524347 PQG524276:PQG524347 QAC524276:QAC524347 QJY524276:QJY524347 QTU524276:QTU524347 RDQ524276:RDQ524347 RNM524276:RNM524347 RXI524276:RXI524347 SHE524276:SHE524347 SRA524276:SRA524347 TAW524276:TAW524347 TKS524276:TKS524347 TUO524276:TUO524347 UEK524276:UEK524347 UOG524276:UOG524347 UYC524276:UYC524347 VHY524276:VHY524347 VRU524276:VRU524347 WBQ524276:WBQ524347 WLM524276:WLM524347 WVI524276:WVI524347 A589812:A589883 IW589812:IW589883 SS589812:SS589883 ACO589812:ACO589883 AMK589812:AMK589883 AWG589812:AWG589883 BGC589812:BGC589883 BPY589812:BPY589883 BZU589812:BZU589883 CJQ589812:CJQ589883 CTM589812:CTM589883 DDI589812:DDI589883 DNE589812:DNE589883 DXA589812:DXA589883 EGW589812:EGW589883 EQS589812:EQS589883 FAO589812:FAO589883 FKK589812:FKK589883 FUG589812:FUG589883 GEC589812:GEC589883 GNY589812:GNY589883 GXU589812:GXU589883 HHQ589812:HHQ589883 HRM589812:HRM589883 IBI589812:IBI589883 ILE589812:ILE589883 IVA589812:IVA589883 JEW589812:JEW589883 JOS589812:JOS589883 JYO589812:JYO589883 KIK589812:KIK589883 KSG589812:KSG589883 LCC589812:LCC589883 LLY589812:LLY589883 LVU589812:LVU589883 MFQ589812:MFQ589883 MPM589812:MPM589883 MZI589812:MZI589883 NJE589812:NJE589883 NTA589812:NTA589883 OCW589812:OCW589883 OMS589812:OMS589883 OWO589812:OWO589883 PGK589812:PGK589883 PQG589812:PQG589883 QAC589812:QAC589883 QJY589812:QJY589883 QTU589812:QTU589883 RDQ589812:RDQ589883 RNM589812:RNM589883 RXI589812:RXI589883 SHE589812:SHE589883 SRA589812:SRA589883 TAW589812:TAW589883 TKS589812:TKS589883 TUO589812:TUO589883 UEK589812:UEK589883 UOG589812:UOG589883 UYC589812:UYC589883 VHY589812:VHY589883 VRU589812:VRU589883 WBQ589812:WBQ589883 WLM589812:WLM589883 WVI589812:WVI589883 A655348:A655419 IW655348:IW655419 SS655348:SS655419 ACO655348:ACO655419 AMK655348:AMK655419 AWG655348:AWG655419 BGC655348:BGC655419 BPY655348:BPY655419 BZU655348:BZU655419 CJQ655348:CJQ655419 CTM655348:CTM655419 DDI655348:DDI655419 DNE655348:DNE655419 DXA655348:DXA655419 EGW655348:EGW655419 EQS655348:EQS655419 FAO655348:FAO655419 FKK655348:FKK655419 FUG655348:FUG655419 GEC655348:GEC655419 GNY655348:GNY655419 GXU655348:GXU655419 HHQ655348:HHQ655419 HRM655348:HRM655419 IBI655348:IBI655419 ILE655348:ILE655419 IVA655348:IVA655419 JEW655348:JEW655419 JOS655348:JOS655419 JYO655348:JYO655419 KIK655348:KIK655419 KSG655348:KSG655419 LCC655348:LCC655419 LLY655348:LLY655419 LVU655348:LVU655419 MFQ655348:MFQ655419 MPM655348:MPM655419 MZI655348:MZI655419 NJE655348:NJE655419 NTA655348:NTA655419 OCW655348:OCW655419 OMS655348:OMS655419 OWO655348:OWO655419 PGK655348:PGK655419 PQG655348:PQG655419 QAC655348:QAC655419 QJY655348:QJY655419 QTU655348:QTU655419 RDQ655348:RDQ655419 RNM655348:RNM655419 RXI655348:RXI655419 SHE655348:SHE655419 SRA655348:SRA655419 TAW655348:TAW655419 TKS655348:TKS655419 TUO655348:TUO655419 UEK655348:UEK655419 UOG655348:UOG655419 UYC655348:UYC655419 VHY655348:VHY655419 VRU655348:VRU655419 WBQ655348:WBQ655419 WLM655348:WLM655419 WVI655348:WVI655419 A720884:A720955 IW720884:IW720955 SS720884:SS720955 ACO720884:ACO720955 AMK720884:AMK720955 AWG720884:AWG720955 BGC720884:BGC720955 BPY720884:BPY720955 BZU720884:BZU720955 CJQ720884:CJQ720955 CTM720884:CTM720955 DDI720884:DDI720955 DNE720884:DNE720955 DXA720884:DXA720955 EGW720884:EGW720955 EQS720884:EQS720955 FAO720884:FAO720955 FKK720884:FKK720955 FUG720884:FUG720955 GEC720884:GEC720955 GNY720884:GNY720955 GXU720884:GXU720955 HHQ720884:HHQ720955 HRM720884:HRM720955 IBI720884:IBI720955 ILE720884:ILE720955 IVA720884:IVA720955 JEW720884:JEW720955 JOS720884:JOS720955 JYO720884:JYO720955 KIK720884:KIK720955 KSG720884:KSG720955 LCC720884:LCC720955 LLY720884:LLY720955 LVU720884:LVU720955 MFQ720884:MFQ720955 MPM720884:MPM720955 MZI720884:MZI720955 NJE720884:NJE720955 NTA720884:NTA720955 OCW720884:OCW720955 OMS720884:OMS720955 OWO720884:OWO720955 PGK720884:PGK720955 PQG720884:PQG720955 QAC720884:QAC720955 QJY720884:QJY720955 QTU720884:QTU720955 RDQ720884:RDQ720955 RNM720884:RNM720955 RXI720884:RXI720955 SHE720884:SHE720955 SRA720884:SRA720955 TAW720884:TAW720955 TKS720884:TKS720955 TUO720884:TUO720955 UEK720884:UEK720955 UOG720884:UOG720955 UYC720884:UYC720955 VHY720884:VHY720955 VRU720884:VRU720955 WBQ720884:WBQ720955 WLM720884:WLM720955 WVI720884:WVI720955 A786420:A786491 IW786420:IW786491 SS786420:SS786491 ACO786420:ACO786491 AMK786420:AMK786491 AWG786420:AWG786491 BGC786420:BGC786491 BPY786420:BPY786491 BZU786420:BZU786491 CJQ786420:CJQ786491 CTM786420:CTM786491 DDI786420:DDI786491 DNE786420:DNE786491 DXA786420:DXA786491 EGW786420:EGW786491 EQS786420:EQS786491 FAO786420:FAO786491 FKK786420:FKK786491 FUG786420:FUG786491 GEC786420:GEC786491 GNY786420:GNY786491 GXU786420:GXU786491 HHQ786420:HHQ786491 HRM786420:HRM786491 IBI786420:IBI786491 ILE786420:ILE786491 IVA786420:IVA786491 JEW786420:JEW786491 JOS786420:JOS786491 JYO786420:JYO786491 KIK786420:KIK786491 KSG786420:KSG786491 LCC786420:LCC786491 LLY786420:LLY786491 LVU786420:LVU786491 MFQ786420:MFQ786491 MPM786420:MPM786491 MZI786420:MZI786491 NJE786420:NJE786491 NTA786420:NTA786491 OCW786420:OCW786491 OMS786420:OMS786491 OWO786420:OWO786491 PGK786420:PGK786491 PQG786420:PQG786491 QAC786420:QAC786491 QJY786420:QJY786491 QTU786420:QTU786491 RDQ786420:RDQ786491 RNM786420:RNM786491 RXI786420:RXI786491 SHE786420:SHE786491 SRA786420:SRA786491 TAW786420:TAW786491 TKS786420:TKS786491 TUO786420:TUO786491 UEK786420:UEK786491 UOG786420:UOG786491 UYC786420:UYC786491 VHY786420:VHY786491 VRU786420:VRU786491 WBQ786420:WBQ786491 WLM786420:WLM786491 WVI786420:WVI786491 A851956:A852027 IW851956:IW852027 SS851956:SS852027 ACO851956:ACO852027 AMK851956:AMK852027 AWG851956:AWG852027 BGC851956:BGC852027 BPY851956:BPY852027 BZU851956:BZU852027 CJQ851956:CJQ852027 CTM851956:CTM852027 DDI851956:DDI852027 DNE851956:DNE852027 DXA851956:DXA852027 EGW851956:EGW852027 EQS851956:EQS852027 FAO851956:FAO852027 FKK851956:FKK852027 FUG851956:FUG852027 GEC851956:GEC852027 GNY851956:GNY852027 GXU851956:GXU852027 HHQ851956:HHQ852027 HRM851956:HRM852027 IBI851956:IBI852027 ILE851956:ILE852027 IVA851956:IVA852027 JEW851956:JEW852027 JOS851956:JOS852027 JYO851956:JYO852027 KIK851956:KIK852027 KSG851956:KSG852027 LCC851956:LCC852027 LLY851956:LLY852027 LVU851956:LVU852027 MFQ851956:MFQ852027 MPM851956:MPM852027 MZI851956:MZI852027 NJE851956:NJE852027 NTA851956:NTA852027 OCW851956:OCW852027 OMS851956:OMS852027 OWO851956:OWO852027 PGK851956:PGK852027 PQG851956:PQG852027 QAC851956:QAC852027 QJY851956:QJY852027 QTU851956:QTU852027 RDQ851956:RDQ852027 RNM851956:RNM852027 RXI851956:RXI852027 SHE851956:SHE852027 SRA851956:SRA852027 TAW851956:TAW852027 TKS851956:TKS852027 TUO851956:TUO852027 UEK851956:UEK852027 UOG851956:UOG852027 UYC851956:UYC852027 VHY851956:VHY852027 VRU851956:VRU852027 WBQ851956:WBQ852027 WLM851956:WLM852027 WVI851956:WVI852027 A917492:A917563 IW917492:IW917563 SS917492:SS917563 ACO917492:ACO917563 AMK917492:AMK917563 AWG917492:AWG917563 BGC917492:BGC917563 BPY917492:BPY917563 BZU917492:BZU917563 CJQ917492:CJQ917563 CTM917492:CTM917563 DDI917492:DDI917563 DNE917492:DNE917563 DXA917492:DXA917563 EGW917492:EGW917563 EQS917492:EQS917563 FAO917492:FAO917563 FKK917492:FKK917563 FUG917492:FUG917563 GEC917492:GEC917563 GNY917492:GNY917563 GXU917492:GXU917563 HHQ917492:HHQ917563 HRM917492:HRM917563 IBI917492:IBI917563 ILE917492:ILE917563 IVA917492:IVA917563 JEW917492:JEW917563 JOS917492:JOS917563 JYO917492:JYO917563 KIK917492:KIK917563 KSG917492:KSG917563 LCC917492:LCC917563 LLY917492:LLY917563 LVU917492:LVU917563 MFQ917492:MFQ917563 MPM917492:MPM917563 MZI917492:MZI917563 NJE917492:NJE917563 NTA917492:NTA917563 OCW917492:OCW917563 OMS917492:OMS917563 OWO917492:OWO917563 PGK917492:PGK917563 PQG917492:PQG917563 QAC917492:QAC917563 QJY917492:QJY917563 QTU917492:QTU917563 RDQ917492:RDQ917563 RNM917492:RNM917563 RXI917492:RXI917563 SHE917492:SHE917563 SRA917492:SRA917563 TAW917492:TAW917563 TKS917492:TKS917563 TUO917492:TUO917563 UEK917492:UEK917563 UOG917492:UOG917563 UYC917492:UYC917563 VHY917492:VHY917563 VRU917492:VRU917563 WBQ917492:WBQ917563 WLM917492:WLM917563 WVI917492:WVI917563 A983028:A983099 IW983028:IW983099 SS983028:SS983099 ACO983028:ACO983099 AMK983028:AMK983099 AWG983028:AWG983099 BGC983028:BGC983099 BPY983028:BPY983099 BZU983028:BZU983099 CJQ983028:CJQ983099 CTM983028:CTM983099 DDI983028:DDI983099 DNE983028:DNE983099 DXA983028:DXA983099 EGW983028:EGW983099 EQS983028:EQS983099 FAO983028:FAO983099 FKK983028:FKK983099 FUG983028:FUG983099 GEC983028:GEC983099 GNY983028:GNY983099 GXU983028:GXU983099 HHQ983028:HHQ983099 HRM983028:HRM983099 IBI983028:IBI983099 ILE983028:ILE983099 IVA983028:IVA983099 JEW983028:JEW983099 JOS983028:JOS983099 JYO983028:JYO983099 KIK983028:KIK983099 KSG983028:KSG983099 LCC983028:LCC983099 LLY983028:LLY983099 LVU983028:LVU983099 MFQ983028:MFQ983099 MPM983028:MPM983099 MZI983028:MZI983099 NJE983028:NJE983099 NTA983028:NTA983099 OCW983028:OCW983099 OMS983028:OMS983099 OWO983028:OWO983099 PGK983028:PGK983099 PQG983028:PQG983099 QAC983028:QAC983099 QJY983028:QJY983099 QTU983028:QTU983099 RDQ983028:RDQ983099 RNM983028:RNM983099 RXI983028:RXI983099 SHE983028:SHE983099 SRA983028:SRA983099 TAW983028:TAW983099 TKS983028:TKS983099 TUO983028:TUO983099 UEK983028:UEK983099 UOG983028:UOG983099 UYC983028:UYC983099 VHY983028:VHY983099 VRU983028:VRU983099 WBQ983028:WBQ983099 WLM983028:WLM983099 IW64349:IW64414">
      <formula1>$AE$2:$AE$19</formula1>
    </dataValidation>
    <dataValidation type="list" allowBlank="1" showInputMessage="1" showErrorMessage="1" sqref="X64349:X64414 JT64349:JT64414 ADL2:ADL70 AXD2:AXD70 BGZ2:BGZ70 BQV2:BQV70 CAR2:CAR70 CKN2:CKN70 CUJ2:CUJ70 DEF2:DEF70 DOB2:DOB70 DXX2:DXX70 EHT2:EHT70 ERP2:ERP70 FBL2:FBL70 FLH2:FLH70 FVD2:FVD70 GEZ2:GEZ70 GOV2:GOV70 GYR2:GYR70 HIN2:HIN70 HSJ2:HSJ70 ICF2:ICF70 IMB2:IMB70 IVX2:IVX70 JFT2:JFT70 JPP2:JPP70 JZL2:JZL70 KJH2:KJH70 KTD2:KTD70 LCZ2:LCZ70 LMV2:LMV70 LWR2:LWR70 MGN2:MGN70 MQJ2:MQJ70 NAF2:NAF70 NKB2:NKB70 NTX2:NTX70 ODT2:ODT70 ONP2:ONP70 OXL2:OXL70 PHH2:PHH70 PRD2:PRD70 QAZ2:QAZ70 QKV2:QKV70 QUR2:QUR70 REN2:REN70 ROJ2:ROJ70 RYF2:RYF70 SIB2:SIB70 SRX2:SRX70 TBT2:TBT70 TLP2:TLP70 TVL2:TVL70 UFH2:UFH70 UPD2:UPD70 UYZ2:UYZ70 VIV2:VIV70 VSR2:VSR70 WCN2:WCN70 WMJ2:WMJ70 WWF2:WWF70 JT2:JT70 TP2:TP70 ANH2:ANH70 TP64349:TP64414 ADL64349:ADL64414 ANH64349:ANH64414 AXD64349:AXD64414 BGZ64349:BGZ64414 BQV64349:BQV64414 CAR64349:CAR64414 CKN64349:CKN64414 CUJ64349:CUJ64414 DEF64349:DEF64414 DOB64349:DOB64414 DXX64349:DXX64414 EHT64349:EHT64414 ERP64349:ERP64414 FBL64349:FBL64414 FLH64349:FLH64414 FVD64349:FVD64414 GEZ64349:GEZ64414 GOV64349:GOV64414 GYR64349:GYR64414 HIN64349:HIN64414 HSJ64349:HSJ64414 ICF64349:ICF64414 IMB64349:IMB64414 IVX64349:IVX64414 JFT64349:JFT64414 JPP64349:JPP64414 JZL64349:JZL64414 KJH64349:KJH64414 KTD64349:KTD64414 LCZ64349:LCZ64414 LMV64349:LMV64414 LWR64349:LWR64414 MGN64349:MGN64414 MQJ64349:MQJ64414 NAF64349:NAF64414 NKB64349:NKB64414 NTX64349:NTX64414 ODT64349:ODT64414 ONP64349:ONP64414 OXL64349:OXL64414 PHH64349:PHH64414 PRD64349:PRD64414 QAZ64349:QAZ64414 QKV64349:QKV64414 QUR64349:QUR64414 REN64349:REN64414 ROJ64349:ROJ64414 RYF64349:RYF64414 SIB64349:SIB64414 SRX64349:SRX64414 TBT64349:TBT64414 TLP64349:TLP64414 TVL64349:TVL64414 UFH64349:UFH64414 UPD64349:UPD64414 UYZ64349:UYZ64414 VIV64349:VIV64414 VSR64349:VSR64414 WCN64349:WCN64414 WMJ64349:WMJ64414 WWF64349:WWF64414 X129885:X129950 JT129885:JT129950 TP129885:TP129950 ADL129885:ADL129950 ANH129885:ANH129950 AXD129885:AXD129950 BGZ129885:BGZ129950 BQV129885:BQV129950 CAR129885:CAR129950 CKN129885:CKN129950 CUJ129885:CUJ129950 DEF129885:DEF129950 DOB129885:DOB129950 DXX129885:DXX129950 EHT129885:EHT129950 ERP129885:ERP129950 FBL129885:FBL129950 FLH129885:FLH129950 FVD129885:FVD129950 GEZ129885:GEZ129950 GOV129885:GOV129950 GYR129885:GYR129950 HIN129885:HIN129950 HSJ129885:HSJ129950 ICF129885:ICF129950 IMB129885:IMB129950 IVX129885:IVX129950 JFT129885:JFT129950 JPP129885:JPP129950 JZL129885:JZL129950 KJH129885:KJH129950 KTD129885:KTD129950 LCZ129885:LCZ129950 LMV129885:LMV129950 LWR129885:LWR129950 MGN129885:MGN129950 MQJ129885:MQJ129950 NAF129885:NAF129950 NKB129885:NKB129950 NTX129885:NTX129950 ODT129885:ODT129950 ONP129885:ONP129950 OXL129885:OXL129950 PHH129885:PHH129950 PRD129885:PRD129950 QAZ129885:QAZ129950 QKV129885:QKV129950 QUR129885:QUR129950 REN129885:REN129950 ROJ129885:ROJ129950 RYF129885:RYF129950 SIB129885:SIB129950 SRX129885:SRX129950 TBT129885:TBT129950 TLP129885:TLP129950 TVL129885:TVL129950 UFH129885:UFH129950 UPD129885:UPD129950 UYZ129885:UYZ129950 VIV129885:VIV129950 VSR129885:VSR129950 WCN129885:WCN129950 WMJ129885:WMJ129950 WWF129885:WWF129950 X195421:X195486 JT195421:JT195486 TP195421:TP195486 ADL195421:ADL195486 ANH195421:ANH195486 AXD195421:AXD195486 BGZ195421:BGZ195486 BQV195421:BQV195486 CAR195421:CAR195486 CKN195421:CKN195486 CUJ195421:CUJ195486 DEF195421:DEF195486 DOB195421:DOB195486 DXX195421:DXX195486 EHT195421:EHT195486 ERP195421:ERP195486 FBL195421:FBL195486 FLH195421:FLH195486 FVD195421:FVD195486 GEZ195421:GEZ195486 GOV195421:GOV195486 GYR195421:GYR195486 HIN195421:HIN195486 HSJ195421:HSJ195486 ICF195421:ICF195486 IMB195421:IMB195486 IVX195421:IVX195486 JFT195421:JFT195486 JPP195421:JPP195486 JZL195421:JZL195486 KJH195421:KJH195486 KTD195421:KTD195486 LCZ195421:LCZ195486 LMV195421:LMV195486 LWR195421:LWR195486 MGN195421:MGN195486 MQJ195421:MQJ195486 NAF195421:NAF195486 NKB195421:NKB195486 NTX195421:NTX195486 ODT195421:ODT195486 ONP195421:ONP195486 OXL195421:OXL195486 PHH195421:PHH195486 PRD195421:PRD195486 QAZ195421:QAZ195486 QKV195421:QKV195486 QUR195421:QUR195486 REN195421:REN195486 ROJ195421:ROJ195486 RYF195421:RYF195486 SIB195421:SIB195486 SRX195421:SRX195486 TBT195421:TBT195486 TLP195421:TLP195486 TVL195421:TVL195486 UFH195421:UFH195486 UPD195421:UPD195486 UYZ195421:UYZ195486 VIV195421:VIV195486 VSR195421:VSR195486 WCN195421:WCN195486 WMJ195421:WMJ195486 WWF195421:WWF195486 X260957:X261022 JT260957:JT261022 TP260957:TP261022 ADL260957:ADL261022 ANH260957:ANH261022 AXD260957:AXD261022 BGZ260957:BGZ261022 BQV260957:BQV261022 CAR260957:CAR261022 CKN260957:CKN261022 CUJ260957:CUJ261022 DEF260957:DEF261022 DOB260957:DOB261022 DXX260957:DXX261022 EHT260957:EHT261022 ERP260957:ERP261022 FBL260957:FBL261022 FLH260957:FLH261022 FVD260957:FVD261022 GEZ260957:GEZ261022 GOV260957:GOV261022 GYR260957:GYR261022 HIN260957:HIN261022 HSJ260957:HSJ261022 ICF260957:ICF261022 IMB260957:IMB261022 IVX260957:IVX261022 JFT260957:JFT261022 JPP260957:JPP261022 JZL260957:JZL261022 KJH260957:KJH261022 KTD260957:KTD261022 LCZ260957:LCZ261022 LMV260957:LMV261022 LWR260957:LWR261022 MGN260957:MGN261022 MQJ260957:MQJ261022 NAF260957:NAF261022 NKB260957:NKB261022 NTX260957:NTX261022 ODT260957:ODT261022 ONP260957:ONP261022 OXL260957:OXL261022 PHH260957:PHH261022 PRD260957:PRD261022 QAZ260957:QAZ261022 QKV260957:QKV261022 QUR260957:QUR261022 REN260957:REN261022 ROJ260957:ROJ261022 RYF260957:RYF261022 SIB260957:SIB261022 SRX260957:SRX261022 TBT260957:TBT261022 TLP260957:TLP261022 TVL260957:TVL261022 UFH260957:UFH261022 UPD260957:UPD261022 UYZ260957:UYZ261022 VIV260957:VIV261022 VSR260957:VSR261022 WCN260957:WCN261022 WMJ260957:WMJ261022 WWF260957:WWF261022 X326493:X326558 JT326493:JT326558 TP326493:TP326558 ADL326493:ADL326558 ANH326493:ANH326558 AXD326493:AXD326558 BGZ326493:BGZ326558 BQV326493:BQV326558 CAR326493:CAR326558 CKN326493:CKN326558 CUJ326493:CUJ326558 DEF326493:DEF326558 DOB326493:DOB326558 DXX326493:DXX326558 EHT326493:EHT326558 ERP326493:ERP326558 FBL326493:FBL326558 FLH326493:FLH326558 FVD326493:FVD326558 GEZ326493:GEZ326558 GOV326493:GOV326558 GYR326493:GYR326558 HIN326493:HIN326558 HSJ326493:HSJ326558 ICF326493:ICF326558 IMB326493:IMB326558 IVX326493:IVX326558 JFT326493:JFT326558 JPP326493:JPP326558 JZL326493:JZL326558 KJH326493:KJH326558 KTD326493:KTD326558 LCZ326493:LCZ326558 LMV326493:LMV326558 LWR326493:LWR326558 MGN326493:MGN326558 MQJ326493:MQJ326558 NAF326493:NAF326558 NKB326493:NKB326558 NTX326493:NTX326558 ODT326493:ODT326558 ONP326493:ONP326558 OXL326493:OXL326558 PHH326493:PHH326558 PRD326493:PRD326558 QAZ326493:QAZ326558 QKV326493:QKV326558 QUR326493:QUR326558 REN326493:REN326558 ROJ326493:ROJ326558 RYF326493:RYF326558 SIB326493:SIB326558 SRX326493:SRX326558 TBT326493:TBT326558 TLP326493:TLP326558 TVL326493:TVL326558 UFH326493:UFH326558 UPD326493:UPD326558 UYZ326493:UYZ326558 VIV326493:VIV326558 VSR326493:VSR326558 WCN326493:WCN326558 WMJ326493:WMJ326558 WWF326493:WWF326558 X392029:X392094 JT392029:JT392094 TP392029:TP392094 ADL392029:ADL392094 ANH392029:ANH392094 AXD392029:AXD392094 BGZ392029:BGZ392094 BQV392029:BQV392094 CAR392029:CAR392094 CKN392029:CKN392094 CUJ392029:CUJ392094 DEF392029:DEF392094 DOB392029:DOB392094 DXX392029:DXX392094 EHT392029:EHT392094 ERP392029:ERP392094 FBL392029:FBL392094 FLH392029:FLH392094 FVD392029:FVD392094 GEZ392029:GEZ392094 GOV392029:GOV392094 GYR392029:GYR392094 HIN392029:HIN392094 HSJ392029:HSJ392094 ICF392029:ICF392094 IMB392029:IMB392094 IVX392029:IVX392094 JFT392029:JFT392094 JPP392029:JPP392094 JZL392029:JZL392094 KJH392029:KJH392094 KTD392029:KTD392094 LCZ392029:LCZ392094 LMV392029:LMV392094 LWR392029:LWR392094 MGN392029:MGN392094 MQJ392029:MQJ392094 NAF392029:NAF392094 NKB392029:NKB392094 NTX392029:NTX392094 ODT392029:ODT392094 ONP392029:ONP392094 OXL392029:OXL392094 PHH392029:PHH392094 PRD392029:PRD392094 QAZ392029:QAZ392094 QKV392029:QKV392094 QUR392029:QUR392094 REN392029:REN392094 ROJ392029:ROJ392094 RYF392029:RYF392094 SIB392029:SIB392094 SRX392029:SRX392094 TBT392029:TBT392094 TLP392029:TLP392094 TVL392029:TVL392094 UFH392029:UFH392094 UPD392029:UPD392094 UYZ392029:UYZ392094 VIV392029:VIV392094 VSR392029:VSR392094 WCN392029:WCN392094 WMJ392029:WMJ392094 WWF392029:WWF392094 X457565:X457630 JT457565:JT457630 TP457565:TP457630 ADL457565:ADL457630 ANH457565:ANH457630 AXD457565:AXD457630 BGZ457565:BGZ457630 BQV457565:BQV457630 CAR457565:CAR457630 CKN457565:CKN457630 CUJ457565:CUJ457630 DEF457565:DEF457630 DOB457565:DOB457630 DXX457565:DXX457630 EHT457565:EHT457630 ERP457565:ERP457630 FBL457565:FBL457630 FLH457565:FLH457630 FVD457565:FVD457630 GEZ457565:GEZ457630 GOV457565:GOV457630 GYR457565:GYR457630 HIN457565:HIN457630 HSJ457565:HSJ457630 ICF457565:ICF457630 IMB457565:IMB457630 IVX457565:IVX457630 JFT457565:JFT457630 JPP457565:JPP457630 JZL457565:JZL457630 KJH457565:KJH457630 KTD457565:KTD457630 LCZ457565:LCZ457630 LMV457565:LMV457630 LWR457565:LWR457630 MGN457565:MGN457630 MQJ457565:MQJ457630 NAF457565:NAF457630 NKB457565:NKB457630 NTX457565:NTX457630 ODT457565:ODT457630 ONP457565:ONP457630 OXL457565:OXL457630 PHH457565:PHH457630 PRD457565:PRD457630 QAZ457565:QAZ457630 QKV457565:QKV457630 QUR457565:QUR457630 REN457565:REN457630 ROJ457565:ROJ457630 RYF457565:RYF457630 SIB457565:SIB457630 SRX457565:SRX457630 TBT457565:TBT457630 TLP457565:TLP457630 TVL457565:TVL457630 UFH457565:UFH457630 UPD457565:UPD457630 UYZ457565:UYZ457630 VIV457565:VIV457630 VSR457565:VSR457630 WCN457565:WCN457630 WMJ457565:WMJ457630 WWF457565:WWF457630 X523101:X523166 JT523101:JT523166 TP523101:TP523166 ADL523101:ADL523166 ANH523101:ANH523166 AXD523101:AXD523166 BGZ523101:BGZ523166 BQV523101:BQV523166 CAR523101:CAR523166 CKN523101:CKN523166 CUJ523101:CUJ523166 DEF523101:DEF523166 DOB523101:DOB523166 DXX523101:DXX523166 EHT523101:EHT523166 ERP523101:ERP523166 FBL523101:FBL523166 FLH523101:FLH523166 FVD523101:FVD523166 GEZ523101:GEZ523166 GOV523101:GOV523166 GYR523101:GYR523166 HIN523101:HIN523166 HSJ523101:HSJ523166 ICF523101:ICF523166 IMB523101:IMB523166 IVX523101:IVX523166 JFT523101:JFT523166 JPP523101:JPP523166 JZL523101:JZL523166 KJH523101:KJH523166 KTD523101:KTD523166 LCZ523101:LCZ523166 LMV523101:LMV523166 LWR523101:LWR523166 MGN523101:MGN523166 MQJ523101:MQJ523166 NAF523101:NAF523166 NKB523101:NKB523166 NTX523101:NTX523166 ODT523101:ODT523166 ONP523101:ONP523166 OXL523101:OXL523166 PHH523101:PHH523166 PRD523101:PRD523166 QAZ523101:QAZ523166 QKV523101:QKV523166 QUR523101:QUR523166 REN523101:REN523166 ROJ523101:ROJ523166 RYF523101:RYF523166 SIB523101:SIB523166 SRX523101:SRX523166 TBT523101:TBT523166 TLP523101:TLP523166 TVL523101:TVL523166 UFH523101:UFH523166 UPD523101:UPD523166 UYZ523101:UYZ523166 VIV523101:VIV523166 VSR523101:VSR523166 WCN523101:WCN523166 WMJ523101:WMJ523166 WWF523101:WWF523166 X588637:X588702 JT588637:JT588702 TP588637:TP588702 ADL588637:ADL588702 ANH588637:ANH588702 AXD588637:AXD588702 BGZ588637:BGZ588702 BQV588637:BQV588702 CAR588637:CAR588702 CKN588637:CKN588702 CUJ588637:CUJ588702 DEF588637:DEF588702 DOB588637:DOB588702 DXX588637:DXX588702 EHT588637:EHT588702 ERP588637:ERP588702 FBL588637:FBL588702 FLH588637:FLH588702 FVD588637:FVD588702 GEZ588637:GEZ588702 GOV588637:GOV588702 GYR588637:GYR588702 HIN588637:HIN588702 HSJ588637:HSJ588702 ICF588637:ICF588702 IMB588637:IMB588702 IVX588637:IVX588702 JFT588637:JFT588702 JPP588637:JPP588702 JZL588637:JZL588702 KJH588637:KJH588702 KTD588637:KTD588702 LCZ588637:LCZ588702 LMV588637:LMV588702 LWR588637:LWR588702 MGN588637:MGN588702 MQJ588637:MQJ588702 NAF588637:NAF588702 NKB588637:NKB588702 NTX588637:NTX588702 ODT588637:ODT588702 ONP588637:ONP588702 OXL588637:OXL588702 PHH588637:PHH588702 PRD588637:PRD588702 QAZ588637:QAZ588702 QKV588637:QKV588702 QUR588637:QUR588702 REN588637:REN588702 ROJ588637:ROJ588702 RYF588637:RYF588702 SIB588637:SIB588702 SRX588637:SRX588702 TBT588637:TBT588702 TLP588637:TLP588702 TVL588637:TVL588702 UFH588637:UFH588702 UPD588637:UPD588702 UYZ588637:UYZ588702 VIV588637:VIV588702 VSR588637:VSR588702 WCN588637:WCN588702 WMJ588637:WMJ588702 WWF588637:WWF588702 X654173:X654238 JT654173:JT654238 TP654173:TP654238 ADL654173:ADL654238 ANH654173:ANH654238 AXD654173:AXD654238 BGZ654173:BGZ654238 BQV654173:BQV654238 CAR654173:CAR654238 CKN654173:CKN654238 CUJ654173:CUJ654238 DEF654173:DEF654238 DOB654173:DOB654238 DXX654173:DXX654238 EHT654173:EHT654238 ERP654173:ERP654238 FBL654173:FBL654238 FLH654173:FLH654238 FVD654173:FVD654238 GEZ654173:GEZ654238 GOV654173:GOV654238 GYR654173:GYR654238 HIN654173:HIN654238 HSJ654173:HSJ654238 ICF654173:ICF654238 IMB654173:IMB654238 IVX654173:IVX654238 JFT654173:JFT654238 JPP654173:JPP654238 JZL654173:JZL654238 KJH654173:KJH654238 KTD654173:KTD654238 LCZ654173:LCZ654238 LMV654173:LMV654238 LWR654173:LWR654238 MGN654173:MGN654238 MQJ654173:MQJ654238 NAF654173:NAF654238 NKB654173:NKB654238 NTX654173:NTX654238 ODT654173:ODT654238 ONP654173:ONP654238 OXL654173:OXL654238 PHH654173:PHH654238 PRD654173:PRD654238 QAZ654173:QAZ654238 QKV654173:QKV654238 QUR654173:QUR654238 REN654173:REN654238 ROJ654173:ROJ654238 RYF654173:RYF654238 SIB654173:SIB654238 SRX654173:SRX654238 TBT654173:TBT654238 TLP654173:TLP654238 TVL654173:TVL654238 UFH654173:UFH654238 UPD654173:UPD654238 UYZ654173:UYZ654238 VIV654173:VIV654238 VSR654173:VSR654238 WCN654173:WCN654238 WMJ654173:WMJ654238 WWF654173:WWF654238 X719709:X719774 JT719709:JT719774 TP719709:TP719774 ADL719709:ADL719774 ANH719709:ANH719774 AXD719709:AXD719774 BGZ719709:BGZ719774 BQV719709:BQV719774 CAR719709:CAR719774 CKN719709:CKN719774 CUJ719709:CUJ719774 DEF719709:DEF719774 DOB719709:DOB719774 DXX719709:DXX719774 EHT719709:EHT719774 ERP719709:ERP719774 FBL719709:FBL719774 FLH719709:FLH719774 FVD719709:FVD719774 GEZ719709:GEZ719774 GOV719709:GOV719774 GYR719709:GYR719774 HIN719709:HIN719774 HSJ719709:HSJ719774 ICF719709:ICF719774 IMB719709:IMB719774 IVX719709:IVX719774 JFT719709:JFT719774 JPP719709:JPP719774 JZL719709:JZL719774 KJH719709:KJH719774 KTD719709:KTD719774 LCZ719709:LCZ719774 LMV719709:LMV719774 LWR719709:LWR719774 MGN719709:MGN719774 MQJ719709:MQJ719774 NAF719709:NAF719774 NKB719709:NKB719774 NTX719709:NTX719774 ODT719709:ODT719774 ONP719709:ONP719774 OXL719709:OXL719774 PHH719709:PHH719774 PRD719709:PRD719774 QAZ719709:QAZ719774 QKV719709:QKV719774 QUR719709:QUR719774 REN719709:REN719774 ROJ719709:ROJ719774 RYF719709:RYF719774 SIB719709:SIB719774 SRX719709:SRX719774 TBT719709:TBT719774 TLP719709:TLP719774 TVL719709:TVL719774 UFH719709:UFH719774 UPD719709:UPD719774 UYZ719709:UYZ719774 VIV719709:VIV719774 VSR719709:VSR719774 WCN719709:WCN719774 WMJ719709:WMJ719774 WWF719709:WWF719774 X785245:X785310 JT785245:JT785310 TP785245:TP785310 ADL785245:ADL785310 ANH785245:ANH785310 AXD785245:AXD785310 BGZ785245:BGZ785310 BQV785245:BQV785310 CAR785245:CAR785310 CKN785245:CKN785310 CUJ785245:CUJ785310 DEF785245:DEF785310 DOB785245:DOB785310 DXX785245:DXX785310 EHT785245:EHT785310 ERP785245:ERP785310 FBL785245:FBL785310 FLH785245:FLH785310 FVD785245:FVD785310 GEZ785245:GEZ785310 GOV785245:GOV785310 GYR785245:GYR785310 HIN785245:HIN785310 HSJ785245:HSJ785310 ICF785245:ICF785310 IMB785245:IMB785310 IVX785245:IVX785310 JFT785245:JFT785310 JPP785245:JPP785310 JZL785245:JZL785310 KJH785245:KJH785310 KTD785245:KTD785310 LCZ785245:LCZ785310 LMV785245:LMV785310 LWR785245:LWR785310 MGN785245:MGN785310 MQJ785245:MQJ785310 NAF785245:NAF785310 NKB785245:NKB785310 NTX785245:NTX785310 ODT785245:ODT785310 ONP785245:ONP785310 OXL785245:OXL785310 PHH785245:PHH785310 PRD785245:PRD785310 QAZ785245:QAZ785310 QKV785245:QKV785310 QUR785245:QUR785310 REN785245:REN785310 ROJ785245:ROJ785310 RYF785245:RYF785310 SIB785245:SIB785310 SRX785245:SRX785310 TBT785245:TBT785310 TLP785245:TLP785310 TVL785245:TVL785310 UFH785245:UFH785310 UPD785245:UPD785310 UYZ785245:UYZ785310 VIV785245:VIV785310 VSR785245:VSR785310 WCN785245:WCN785310 WMJ785245:WMJ785310 WWF785245:WWF785310 X850781:X850846 JT850781:JT850846 TP850781:TP850846 ADL850781:ADL850846 ANH850781:ANH850846 AXD850781:AXD850846 BGZ850781:BGZ850846 BQV850781:BQV850846 CAR850781:CAR850846 CKN850781:CKN850846 CUJ850781:CUJ850846 DEF850781:DEF850846 DOB850781:DOB850846 DXX850781:DXX850846 EHT850781:EHT850846 ERP850781:ERP850846 FBL850781:FBL850846 FLH850781:FLH850846 FVD850781:FVD850846 GEZ850781:GEZ850846 GOV850781:GOV850846 GYR850781:GYR850846 HIN850781:HIN850846 HSJ850781:HSJ850846 ICF850781:ICF850846 IMB850781:IMB850846 IVX850781:IVX850846 JFT850781:JFT850846 JPP850781:JPP850846 JZL850781:JZL850846 KJH850781:KJH850846 KTD850781:KTD850846 LCZ850781:LCZ850846 LMV850781:LMV850846 LWR850781:LWR850846 MGN850781:MGN850846 MQJ850781:MQJ850846 NAF850781:NAF850846 NKB850781:NKB850846 NTX850781:NTX850846 ODT850781:ODT850846 ONP850781:ONP850846 OXL850781:OXL850846 PHH850781:PHH850846 PRD850781:PRD850846 QAZ850781:QAZ850846 QKV850781:QKV850846 QUR850781:QUR850846 REN850781:REN850846 ROJ850781:ROJ850846 RYF850781:RYF850846 SIB850781:SIB850846 SRX850781:SRX850846 TBT850781:TBT850846 TLP850781:TLP850846 TVL850781:TVL850846 UFH850781:UFH850846 UPD850781:UPD850846 UYZ850781:UYZ850846 VIV850781:VIV850846 VSR850781:VSR850846 WCN850781:WCN850846 WMJ850781:WMJ850846 WWF850781:WWF850846 X916317:X916382 JT916317:JT916382 TP916317:TP916382 ADL916317:ADL916382 ANH916317:ANH916382 AXD916317:AXD916382 BGZ916317:BGZ916382 BQV916317:BQV916382 CAR916317:CAR916382 CKN916317:CKN916382 CUJ916317:CUJ916382 DEF916317:DEF916382 DOB916317:DOB916382 DXX916317:DXX916382 EHT916317:EHT916382 ERP916317:ERP916382 FBL916317:FBL916382 FLH916317:FLH916382 FVD916317:FVD916382 GEZ916317:GEZ916382 GOV916317:GOV916382 GYR916317:GYR916382 HIN916317:HIN916382 HSJ916317:HSJ916382 ICF916317:ICF916382 IMB916317:IMB916382 IVX916317:IVX916382 JFT916317:JFT916382 JPP916317:JPP916382 JZL916317:JZL916382 KJH916317:KJH916382 KTD916317:KTD916382 LCZ916317:LCZ916382 LMV916317:LMV916382 LWR916317:LWR916382 MGN916317:MGN916382 MQJ916317:MQJ916382 NAF916317:NAF916382 NKB916317:NKB916382 NTX916317:NTX916382 ODT916317:ODT916382 ONP916317:ONP916382 OXL916317:OXL916382 PHH916317:PHH916382 PRD916317:PRD916382 QAZ916317:QAZ916382 QKV916317:QKV916382 QUR916317:QUR916382 REN916317:REN916382 ROJ916317:ROJ916382 RYF916317:RYF916382 SIB916317:SIB916382 SRX916317:SRX916382 TBT916317:TBT916382 TLP916317:TLP916382 TVL916317:TVL916382 UFH916317:UFH916382 UPD916317:UPD916382 UYZ916317:UYZ916382 VIV916317:VIV916382 VSR916317:VSR916382 WCN916317:WCN916382 WMJ916317:WMJ916382 WWF916317:WWF916382 X981853:X981918 JT981853:JT981918 TP981853:TP981918 ADL981853:ADL981918 ANH981853:ANH981918 AXD981853:AXD981918 BGZ981853:BGZ981918 BQV981853:BQV981918 CAR981853:CAR981918 CKN981853:CKN981918 CUJ981853:CUJ981918 DEF981853:DEF981918 DOB981853:DOB981918 DXX981853:DXX981918 EHT981853:EHT981918 ERP981853:ERP981918 FBL981853:FBL981918 FLH981853:FLH981918 FVD981853:FVD981918 GEZ981853:GEZ981918 GOV981853:GOV981918 GYR981853:GYR981918 HIN981853:HIN981918 HSJ981853:HSJ981918 ICF981853:ICF981918 IMB981853:IMB981918 IVX981853:IVX981918 JFT981853:JFT981918 JPP981853:JPP981918 JZL981853:JZL981918 KJH981853:KJH981918 KTD981853:KTD981918 LCZ981853:LCZ981918 LMV981853:LMV981918 LWR981853:LWR981918 MGN981853:MGN981918 MQJ981853:MQJ981918 NAF981853:NAF981918 NKB981853:NKB981918 NTX981853:NTX981918 ODT981853:ODT981918 ONP981853:ONP981918 OXL981853:OXL981918 PHH981853:PHH981918 PRD981853:PRD981918 QAZ981853:QAZ981918 QKV981853:QKV981918 QUR981853:QUR981918 REN981853:REN981918 ROJ981853:ROJ981918 RYF981853:RYF981918 SIB981853:SIB981918 SRX981853:SRX981918 TBT981853:TBT981918 TLP981853:TLP981918 TVL981853:TVL981918 UFH981853:UFH981918 UPD981853:UPD981918 UYZ981853:UYZ981918 VIV981853:VIV981918 VSR981853:VSR981918 WCN981853:WCN981918 WMJ981853:WMJ981918 WWF981853:WWF981918 X1047389:X1047454 JT1047389:JT1047454 TP1047389:TP1047454 ADL1047389:ADL1047454 ANH1047389:ANH1047454 AXD1047389:AXD1047454 BGZ1047389:BGZ1047454 BQV1047389:BQV1047454 CAR1047389:CAR1047454 CKN1047389:CKN1047454 CUJ1047389:CUJ1047454 DEF1047389:DEF1047454 DOB1047389:DOB1047454 DXX1047389:DXX1047454 EHT1047389:EHT1047454 ERP1047389:ERP1047454 FBL1047389:FBL1047454 FLH1047389:FLH1047454 FVD1047389:FVD1047454 GEZ1047389:GEZ1047454 GOV1047389:GOV1047454 GYR1047389:GYR1047454 HIN1047389:HIN1047454 HSJ1047389:HSJ1047454 ICF1047389:ICF1047454 IMB1047389:IMB1047454 IVX1047389:IVX1047454 JFT1047389:JFT1047454 JPP1047389:JPP1047454 JZL1047389:JZL1047454 KJH1047389:KJH1047454 KTD1047389:KTD1047454 LCZ1047389:LCZ1047454 LMV1047389:LMV1047454 LWR1047389:LWR1047454 MGN1047389:MGN1047454 MQJ1047389:MQJ1047454 NAF1047389:NAF1047454 NKB1047389:NKB1047454 NTX1047389:NTX1047454 ODT1047389:ODT1047454 ONP1047389:ONP1047454 OXL1047389:OXL1047454 PHH1047389:PHH1047454 PRD1047389:PRD1047454 QAZ1047389:QAZ1047454 QKV1047389:QKV1047454 QUR1047389:QUR1047454 REN1047389:REN1047454 ROJ1047389:ROJ1047454 RYF1047389:RYF1047454 SIB1047389:SIB1047454 SRX1047389:SRX1047454 TBT1047389:TBT1047454 TLP1047389:TLP1047454 TVL1047389:TVL1047454 UFH1047389:UFH1047454 UPD1047389:UPD1047454 UYZ1047389:UYZ1047454 VIV1047389:VIV1047454 VSR1047389:VSR1047454 WCN1047389:WCN1047454 WMJ1047389:WMJ1047454 WWF1047389:WWF1047454 WWF983028:WWF983093 X65524:X65589 JT65524:JT65589 TP65524:TP65589 ADL65524:ADL65589 ANH65524:ANH65589 AXD65524:AXD65589 BGZ65524:BGZ65589 BQV65524:BQV65589 CAR65524:CAR65589 CKN65524:CKN65589 CUJ65524:CUJ65589 DEF65524:DEF65589 DOB65524:DOB65589 DXX65524:DXX65589 EHT65524:EHT65589 ERP65524:ERP65589 FBL65524:FBL65589 FLH65524:FLH65589 FVD65524:FVD65589 GEZ65524:GEZ65589 GOV65524:GOV65589 GYR65524:GYR65589 HIN65524:HIN65589 HSJ65524:HSJ65589 ICF65524:ICF65589 IMB65524:IMB65589 IVX65524:IVX65589 JFT65524:JFT65589 JPP65524:JPP65589 JZL65524:JZL65589 KJH65524:KJH65589 KTD65524:KTD65589 LCZ65524:LCZ65589 LMV65524:LMV65589 LWR65524:LWR65589 MGN65524:MGN65589 MQJ65524:MQJ65589 NAF65524:NAF65589 NKB65524:NKB65589 NTX65524:NTX65589 ODT65524:ODT65589 ONP65524:ONP65589 OXL65524:OXL65589 PHH65524:PHH65589 PRD65524:PRD65589 QAZ65524:QAZ65589 QKV65524:QKV65589 QUR65524:QUR65589 REN65524:REN65589 ROJ65524:ROJ65589 RYF65524:RYF65589 SIB65524:SIB65589 SRX65524:SRX65589 TBT65524:TBT65589 TLP65524:TLP65589 TVL65524:TVL65589 UFH65524:UFH65589 UPD65524:UPD65589 UYZ65524:UYZ65589 VIV65524:VIV65589 VSR65524:VSR65589 WCN65524:WCN65589 WMJ65524:WMJ65589 WWF65524:WWF65589 X131060:X131125 JT131060:JT131125 TP131060:TP131125 ADL131060:ADL131125 ANH131060:ANH131125 AXD131060:AXD131125 BGZ131060:BGZ131125 BQV131060:BQV131125 CAR131060:CAR131125 CKN131060:CKN131125 CUJ131060:CUJ131125 DEF131060:DEF131125 DOB131060:DOB131125 DXX131060:DXX131125 EHT131060:EHT131125 ERP131060:ERP131125 FBL131060:FBL131125 FLH131060:FLH131125 FVD131060:FVD131125 GEZ131060:GEZ131125 GOV131060:GOV131125 GYR131060:GYR131125 HIN131060:HIN131125 HSJ131060:HSJ131125 ICF131060:ICF131125 IMB131060:IMB131125 IVX131060:IVX131125 JFT131060:JFT131125 JPP131060:JPP131125 JZL131060:JZL131125 KJH131060:KJH131125 KTD131060:KTD131125 LCZ131060:LCZ131125 LMV131060:LMV131125 LWR131060:LWR131125 MGN131060:MGN131125 MQJ131060:MQJ131125 NAF131060:NAF131125 NKB131060:NKB131125 NTX131060:NTX131125 ODT131060:ODT131125 ONP131060:ONP131125 OXL131060:OXL131125 PHH131060:PHH131125 PRD131060:PRD131125 QAZ131060:QAZ131125 QKV131060:QKV131125 QUR131060:QUR131125 REN131060:REN131125 ROJ131060:ROJ131125 RYF131060:RYF131125 SIB131060:SIB131125 SRX131060:SRX131125 TBT131060:TBT131125 TLP131060:TLP131125 TVL131060:TVL131125 UFH131060:UFH131125 UPD131060:UPD131125 UYZ131060:UYZ131125 VIV131060:VIV131125 VSR131060:VSR131125 WCN131060:WCN131125 WMJ131060:WMJ131125 WWF131060:WWF131125 X196596:X196661 JT196596:JT196661 TP196596:TP196661 ADL196596:ADL196661 ANH196596:ANH196661 AXD196596:AXD196661 BGZ196596:BGZ196661 BQV196596:BQV196661 CAR196596:CAR196661 CKN196596:CKN196661 CUJ196596:CUJ196661 DEF196596:DEF196661 DOB196596:DOB196661 DXX196596:DXX196661 EHT196596:EHT196661 ERP196596:ERP196661 FBL196596:FBL196661 FLH196596:FLH196661 FVD196596:FVD196661 GEZ196596:GEZ196661 GOV196596:GOV196661 GYR196596:GYR196661 HIN196596:HIN196661 HSJ196596:HSJ196661 ICF196596:ICF196661 IMB196596:IMB196661 IVX196596:IVX196661 JFT196596:JFT196661 JPP196596:JPP196661 JZL196596:JZL196661 KJH196596:KJH196661 KTD196596:KTD196661 LCZ196596:LCZ196661 LMV196596:LMV196661 LWR196596:LWR196661 MGN196596:MGN196661 MQJ196596:MQJ196661 NAF196596:NAF196661 NKB196596:NKB196661 NTX196596:NTX196661 ODT196596:ODT196661 ONP196596:ONP196661 OXL196596:OXL196661 PHH196596:PHH196661 PRD196596:PRD196661 QAZ196596:QAZ196661 QKV196596:QKV196661 QUR196596:QUR196661 REN196596:REN196661 ROJ196596:ROJ196661 RYF196596:RYF196661 SIB196596:SIB196661 SRX196596:SRX196661 TBT196596:TBT196661 TLP196596:TLP196661 TVL196596:TVL196661 UFH196596:UFH196661 UPD196596:UPD196661 UYZ196596:UYZ196661 VIV196596:VIV196661 VSR196596:VSR196661 WCN196596:WCN196661 WMJ196596:WMJ196661 WWF196596:WWF196661 X262132:X262197 JT262132:JT262197 TP262132:TP262197 ADL262132:ADL262197 ANH262132:ANH262197 AXD262132:AXD262197 BGZ262132:BGZ262197 BQV262132:BQV262197 CAR262132:CAR262197 CKN262132:CKN262197 CUJ262132:CUJ262197 DEF262132:DEF262197 DOB262132:DOB262197 DXX262132:DXX262197 EHT262132:EHT262197 ERP262132:ERP262197 FBL262132:FBL262197 FLH262132:FLH262197 FVD262132:FVD262197 GEZ262132:GEZ262197 GOV262132:GOV262197 GYR262132:GYR262197 HIN262132:HIN262197 HSJ262132:HSJ262197 ICF262132:ICF262197 IMB262132:IMB262197 IVX262132:IVX262197 JFT262132:JFT262197 JPP262132:JPP262197 JZL262132:JZL262197 KJH262132:KJH262197 KTD262132:KTD262197 LCZ262132:LCZ262197 LMV262132:LMV262197 LWR262132:LWR262197 MGN262132:MGN262197 MQJ262132:MQJ262197 NAF262132:NAF262197 NKB262132:NKB262197 NTX262132:NTX262197 ODT262132:ODT262197 ONP262132:ONP262197 OXL262132:OXL262197 PHH262132:PHH262197 PRD262132:PRD262197 QAZ262132:QAZ262197 QKV262132:QKV262197 QUR262132:QUR262197 REN262132:REN262197 ROJ262132:ROJ262197 RYF262132:RYF262197 SIB262132:SIB262197 SRX262132:SRX262197 TBT262132:TBT262197 TLP262132:TLP262197 TVL262132:TVL262197 UFH262132:UFH262197 UPD262132:UPD262197 UYZ262132:UYZ262197 VIV262132:VIV262197 VSR262132:VSR262197 WCN262132:WCN262197 WMJ262132:WMJ262197 WWF262132:WWF262197 X327668:X327733 JT327668:JT327733 TP327668:TP327733 ADL327668:ADL327733 ANH327668:ANH327733 AXD327668:AXD327733 BGZ327668:BGZ327733 BQV327668:BQV327733 CAR327668:CAR327733 CKN327668:CKN327733 CUJ327668:CUJ327733 DEF327668:DEF327733 DOB327668:DOB327733 DXX327668:DXX327733 EHT327668:EHT327733 ERP327668:ERP327733 FBL327668:FBL327733 FLH327668:FLH327733 FVD327668:FVD327733 GEZ327668:GEZ327733 GOV327668:GOV327733 GYR327668:GYR327733 HIN327668:HIN327733 HSJ327668:HSJ327733 ICF327668:ICF327733 IMB327668:IMB327733 IVX327668:IVX327733 JFT327668:JFT327733 JPP327668:JPP327733 JZL327668:JZL327733 KJH327668:KJH327733 KTD327668:KTD327733 LCZ327668:LCZ327733 LMV327668:LMV327733 LWR327668:LWR327733 MGN327668:MGN327733 MQJ327668:MQJ327733 NAF327668:NAF327733 NKB327668:NKB327733 NTX327668:NTX327733 ODT327668:ODT327733 ONP327668:ONP327733 OXL327668:OXL327733 PHH327668:PHH327733 PRD327668:PRD327733 QAZ327668:QAZ327733 QKV327668:QKV327733 QUR327668:QUR327733 REN327668:REN327733 ROJ327668:ROJ327733 RYF327668:RYF327733 SIB327668:SIB327733 SRX327668:SRX327733 TBT327668:TBT327733 TLP327668:TLP327733 TVL327668:TVL327733 UFH327668:UFH327733 UPD327668:UPD327733 UYZ327668:UYZ327733 VIV327668:VIV327733 VSR327668:VSR327733 WCN327668:WCN327733 WMJ327668:WMJ327733 WWF327668:WWF327733 X393204:X393269 JT393204:JT393269 TP393204:TP393269 ADL393204:ADL393269 ANH393204:ANH393269 AXD393204:AXD393269 BGZ393204:BGZ393269 BQV393204:BQV393269 CAR393204:CAR393269 CKN393204:CKN393269 CUJ393204:CUJ393269 DEF393204:DEF393269 DOB393204:DOB393269 DXX393204:DXX393269 EHT393204:EHT393269 ERP393204:ERP393269 FBL393204:FBL393269 FLH393204:FLH393269 FVD393204:FVD393269 GEZ393204:GEZ393269 GOV393204:GOV393269 GYR393204:GYR393269 HIN393204:HIN393269 HSJ393204:HSJ393269 ICF393204:ICF393269 IMB393204:IMB393269 IVX393204:IVX393269 JFT393204:JFT393269 JPP393204:JPP393269 JZL393204:JZL393269 KJH393204:KJH393269 KTD393204:KTD393269 LCZ393204:LCZ393269 LMV393204:LMV393269 LWR393204:LWR393269 MGN393204:MGN393269 MQJ393204:MQJ393269 NAF393204:NAF393269 NKB393204:NKB393269 NTX393204:NTX393269 ODT393204:ODT393269 ONP393204:ONP393269 OXL393204:OXL393269 PHH393204:PHH393269 PRD393204:PRD393269 QAZ393204:QAZ393269 QKV393204:QKV393269 QUR393204:QUR393269 REN393204:REN393269 ROJ393204:ROJ393269 RYF393204:RYF393269 SIB393204:SIB393269 SRX393204:SRX393269 TBT393204:TBT393269 TLP393204:TLP393269 TVL393204:TVL393269 UFH393204:UFH393269 UPD393204:UPD393269 UYZ393204:UYZ393269 VIV393204:VIV393269 VSR393204:VSR393269 WCN393204:WCN393269 WMJ393204:WMJ393269 WWF393204:WWF393269 X458740:X458805 JT458740:JT458805 TP458740:TP458805 ADL458740:ADL458805 ANH458740:ANH458805 AXD458740:AXD458805 BGZ458740:BGZ458805 BQV458740:BQV458805 CAR458740:CAR458805 CKN458740:CKN458805 CUJ458740:CUJ458805 DEF458740:DEF458805 DOB458740:DOB458805 DXX458740:DXX458805 EHT458740:EHT458805 ERP458740:ERP458805 FBL458740:FBL458805 FLH458740:FLH458805 FVD458740:FVD458805 GEZ458740:GEZ458805 GOV458740:GOV458805 GYR458740:GYR458805 HIN458740:HIN458805 HSJ458740:HSJ458805 ICF458740:ICF458805 IMB458740:IMB458805 IVX458740:IVX458805 JFT458740:JFT458805 JPP458740:JPP458805 JZL458740:JZL458805 KJH458740:KJH458805 KTD458740:KTD458805 LCZ458740:LCZ458805 LMV458740:LMV458805 LWR458740:LWR458805 MGN458740:MGN458805 MQJ458740:MQJ458805 NAF458740:NAF458805 NKB458740:NKB458805 NTX458740:NTX458805 ODT458740:ODT458805 ONP458740:ONP458805 OXL458740:OXL458805 PHH458740:PHH458805 PRD458740:PRD458805 QAZ458740:QAZ458805 QKV458740:QKV458805 QUR458740:QUR458805 REN458740:REN458805 ROJ458740:ROJ458805 RYF458740:RYF458805 SIB458740:SIB458805 SRX458740:SRX458805 TBT458740:TBT458805 TLP458740:TLP458805 TVL458740:TVL458805 UFH458740:UFH458805 UPD458740:UPD458805 UYZ458740:UYZ458805 VIV458740:VIV458805 VSR458740:VSR458805 WCN458740:WCN458805 WMJ458740:WMJ458805 WWF458740:WWF458805 X524276:X524341 JT524276:JT524341 TP524276:TP524341 ADL524276:ADL524341 ANH524276:ANH524341 AXD524276:AXD524341 BGZ524276:BGZ524341 BQV524276:BQV524341 CAR524276:CAR524341 CKN524276:CKN524341 CUJ524276:CUJ524341 DEF524276:DEF524341 DOB524276:DOB524341 DXX524276:DXX524341 EHT524276:EHT524341 ERP524276:ERP524341 FBL524276:FBL524341 FLH524276:FLH524341 FVD524276:FVD524341 GEZ524276:GEZ524341 GOV524276:GOV524341 GYR524276:GYR524341 HIN524276:HIN524341 HSJ524276:HSJ524341 ICF524276:ICF524341 IMB524276:IMB524341 IVX524276:IVX524341 JFT524276:JFT524341 JPP524276:JPP524341 JZL524276:JZL524341 KJH524276:KJH524341 KTD524276:KTD524341 LCZ524276:LCZ524341 LMV524276:LMV524341 LWR524276:LWR524341 MGN524276:MGN524341 MQJ524276:MQJ524341 NAF524276:NAF524341 NKB524276:NKB524341 NTX524276:NTX524341 ODT524276:ODT524341 ONP524276:ONP524341 OXL524276:OXL524341 PHH524276:PHH524341 PRD524276:PRD524341 QAZ524276:QAZ524341 QKV524276:QKV524341 QUR524276:QUR524341 REN524276:REN524341 ROJ524276:ROJ524341 RYF524276:RYF524341 SIB524276:SIB524341 SRX524276:SRX524341 TBT524276:TBT524341 TLP524276:TLP524341 TVL524276:TVL524341 UFH524276:UFH524341 UPD524276:UPD524341 UYZ524276:UYZ524341 VIV524276:VIV524341 VSR524276:VSR524341 WCN524276:WCN524341 WMJ524276:WMJ524341 WWF524276:WWF524341 X589812:X589877 JT589812:JT589877 TP589812:TP589877 ADL589812:ADL589877 ANH589812:ANH589877 AXD589812:AXD589877 BGZ589812:BGZ589877 BQV589812:BQV589877 CAR589812:CAR589877 CKN589812:CKN589877 CUJ589812:CUJ589877 DEF589812:DEF589877 DOB589812:DOB589877 DXX589812:DXX589877 EHT589812:EHT589877 ERP589812:ERP589877 FBL589812:FBL589877 FLH589812:FLH589877 FVD589812:FVD589877 GEZ589812:GEZ589877 GOV589812:GOV589877 GYR589812:GYR589877 HIN589812:HIN589877 HSJ589812:HSJ589877 ICF589812:ICF589877 IMB589812:IMB589877 IVX589812:IVX589877 JFT589812:JFT589877 JPP589812:JPP589877 JZL589812:JZL589877 KJH589812:KJH589877 KTD589812:KTD589877 LCZ589812:LCZ589877 LMV589812:LMV589877 LWR589812:LWR589877 MGN589812:MGN589877 MQJ589812:MQJ589877 NAF589812:NAF589877 NKB589812:NKB589877 NTX589812:NTX589877 ODT589812:ODT589877 ONP589812:ONP589877 OXL589812:OXL589877 PHH589812:PHH589877 PRD589812:PRD589877 QAZ589812:QAZ589877 QKV589812:QKV589877 QUR589812:QUR589877 REN589812:REN589877 ROJ589812:ROJ589877 RYF589812:RYF589877 SIB589812:SIB589877 SRX589812:SRX589877 TBT589812:TBT589877 TLP589812:TLP589877 TVL589812:TVL589877 UFH589812:UFH589877 UPD589812:UPD589877 UYZ589812:UYZ589877 VIV589812:VIV589877 VSR589812:VSR589877 WCN589812:WCN589877 WMJ589812:WMJ589877 WWF589812:WWF589877 X655348:X655413 JT655348:JT655413 TP655348:TP655413 ADL655348:ADL655413 ANH655348:ANH655413 AXD655348:AXD655413 BGZ655348:BGZ655413 BQV655348:BQV655413 CAR655348:CAR655413 CKN655348:CKN655413 CUJ655348:CUJ655413 DEF655348:DEF655413 DOB655348:DOB655413 DXX655348:DXX655413 EHT655348:EHT655413 ERP655348:ERP655413 FBL655348:FBL655413 FLH655348:FLH655413 FVD655348:FVD655413 GEZ655348:GEZ655413 GOV655348:GOV655413 GYR655348:GYR655413 HIN655348:HIN655413 HSJ655348:HSJ655413 ICF655348:ICF655413 IMB655348:IMB655413 IVX655348:IVX655413 JFT655348:JFT655413 JPP655348:JPP655413 JZL655348:JZL655413 KJH655348:KJH655413 KTD655348:KTD655413 LCZ655348:LCZ655413 LMV655348:LMV655413 LWR655348:LWR655413 MGN655348:MGN655413 MQJ655348:MQJ655413 NAF655348:NAF655413 NKB655348:NKB655413 NTX655348:NTX655413 ODT655348:ODT655413 ONP655348:ONP655413 OXL655348:OXL655413 PHH655348:PHH655413 PRD655348:PRD655413 QAZ655348:QAZ655413 QKV655348:QKV655413 QUR655348:QUR655413 REN655348:REN655413 ROJ655348:ROJ655413 RYF655348:RYF655413 SIB655348:SIB655413 SRX655348:SRX655413 TBT655348:TBT655413 TLP655348:TLP655413 TVL655348:TVL655413 UFH655348:UFH655413 UPD655348:UPD655413 UYZ655348:UYZ655413 VIV655348:VIV655413 VSR655348:VSR655413 WCN655348:WCN655413 WMJ655348:WMJ655413 WWF655348:WWF655413 X720884:X720949 JT720884:JT720949 TP720884:TP720949 ADL720884:ADL720949 ANH720884:ANH720949 AXD720884:AXD720949 BGZ720884:BGZ720949 BQV720884:BQV720949 CAR720884:CAR720949 CKN720884:CKN720949 CUJ720884:CUJ720949 DEF720884:DEF720949 DOB720884:DOB720949 DXX720884:DXX720949 EHT720884:EHT720949 ERP720884:ERP720949 FBL720884:FBL720949 FLH720884:FLH720949 FVD720884:FVD720949 GEZ720884:GEZ720949 GOV720884:GOV720949 GYR720884:GYR720949 HIN720884:HIN720949 HSJ720884:HSJ720949 ICF720884:ICF720949 IMB720884:IMB720949 IVX720884:IVX720949 JFT720884:JFT720949 JPP720884:JPP720949 JZL720884:JZL720949 KJH720884:KJH720949 KTD720884:KTD720949 LCZ720884:LCZ720949 LMV720884:LMV720949 LWR720884:LWR720949 MGN720884:MGN720949 MQJ720884:MQJ720949 NAF720884:NAF720949 NKB720884:NKB720949 NTX720884:NTX720949 ODT720884:ODT720949 ONP720884:ONP720949 OXL720884:OXL720949 PHH720884:PHH720949 PRD720884:PRD720949 QAZ720884:QAZ720949 QKV720884:QKV720949 QUR720884:QUR720949 REN720884:REN720949 ROJ720884:ROJ720949 RYF720884:RYF720949 SIB720884:SIB720949 SRX720884:SRX720949 TBT720884:TBT720949 TLP720884:TLP720949 TVL720884:TVL720949 UFH720884:UFH720949 UPD720884:UPD720949 UYZ720884:UYZ720949 VIV720884:VIV720949 VSR720884:VSR720949 WCN720884:WCN720949 WMJ720884:WMJ720949 WWF720884:WWF720949 X786420:X786485 JT786420:JT786485 TP786420:TP786485 ADL786420:ADL786485 ANH786420:ANH786485 AXD786420:AXD786485 BGZ786420:BGZ786485 BQV786420:BQV786485 CAR786420:CAR786485 CKN786420:CKN786485 CUJ786420:CUJ786485 DEF786420:DEF786485 DOB786420:DOB786485 DXX786420:DXX786485 EHT786420:EHT786485 ERP786420:ERP786485 FBL786420:FBL786485 FLH786420:FLH786485 FVD786420:FVD786485 GEZ786420:GEZ786485 GOV786420:GOV786485 GYR786420:GYR786485 HIN786420:HIN786485 HSJ786420:HSJ786485 ICF786420:ICF786485 IMB786420:IMB786485 IVX786420:IVX786485 JFT786420:JFT786485 JPP786420:JPP786485 JZL786420:JZL786485 KJH786420:KJH786485 KTD786420:KTD786485 LCZ786420:LCZ786485 LMV786420:LMV786485 LWR786420:LWR786485 MGN786420:MGN786485 MQJ786420:MQJ786485 NAF786420:NAF786485 NKB786420:NKB786485 NTX786420:NTX786485 ODT786420:ODT786485 ONP786420:ONP786485 OXL786420:OXL786485 PHH786420:PHH786485 PRD786420:PRD786485 QAZ786420:QAZ786485 QKV786420:QKV786485 QUR786420:QUR786485 REN786420:REN786485 ROJ786420:ROJ786485 RYF786420:RYF786485 SIB786420:SIB786485 SRX786420:SRX786485 TBT786420:TBT786485 TLP786420:TLP786485 TVL786420:TVL786485 UFH786420:UFH786485 UPD786420:UPD786485 UYZ786420:UYZ786485 VIV786420:VIV786485 VSR786420:VSR786485 WCN786420:WCN786485 WMJ786420:WMJ786485 WWF786420:WWF786485 X851956:X852021 JT851956:JT852021 TP851956:TP852021 ADL851956:ADL852021 ANH851956:ANH852021 AXD851956:AXD852021 BGZ851956:BGZ852021 BQV851956:BQV852021 CAR851956:CAR852021 CKN851956:CKN852021 CUJ851956:CUJ852021 DEF851956:DEF852021 DOB851956:DOB852021 DXX851956:DXX852021 EHT851956:EHT852021 ERP851956:ERP852021 FBL851956:FBL852021 FLH851956:FLH852021 FVD851956:FVD852021 GEZ851956:GEZ852021 GOV851956:GOV852021 GYR851956:GYR852021 HIN851956:HIN852021 HSJ851956:HSJ852021 ICF851956:ICF852021 IMB851956:IMB852021 IVX851956:IVX852021 JFT851956:JFT852021 JPP851956:JPP852021 JZL851956:JZL852021 KJH851956:KJH852021 KTD851956:KTD852021 LCZ851956:LCZ852021 LMV851956:LMV852021 LWR851956:LWR852021 MGN851956:MGN852021 MQJ851956:MQJ852021 NAF851956:NAF852021 NKB851956:NKB852021 NTX851956:NTX852021 ODT851956:ODT852021 ONP851956:ONP852021 OXL851956:OXL852021 PHH851956:PHH852021 PRD851956:PRD852021 QAZ851956:QAZ852021 QKV851956:QKV852021 QUR851956:QUR852021 REN851956:REN852021 ROJ851956:ROJ852021 RYF851956:RYF852021 SIB851956:SIB852021 SRX851956:SRX852021 TBT851956:TBT852021 TLP851956:TLP852021 TVL851956:TVL852021 UFH851956:UFH852021 UPD851956:UPD852021 UYZ851956:UYZ852021 VIV851956:VIV852021 VSR851956:VSR852021 WCN851956:WCN852021 WMJ851956:WMJ852021 WWF851956:WWF852021 X917492:X917557 JT917492:JT917557 TP917492:TP917557 ADL917492:ADL917557 ANH917492:ANH917557 AXD917492:AXD917557 BGZ917492:BGZ917557 BQV917492:BQV917557 CAR917492:CAR917557 CKN917492:CKN917557 CUJ917492:CUJ917557 DEF917492:DEF917557 DOB917492:DOB917557 DXX917492:DXX917557 EHT917492:EHT917557 ERP917492:ERP917557 FBL917492:FBL917557 FLH917492:FLH917557 FVD917492:FVD917557 GEZ917492:GEZ917557 GOV917492:GOV917557 GYR917492:GYR917557 HIN917492:HIN917557 HSJ917492:HSJ917557 ICF917492:ICF917557 IMB917492:IMB917557 IVX917492:IVX917557 JFT917492:JFT917557 JPP917492:JPP917557 JZL917492:JZL917557 KJH917492:KJH917557 KTD917492:KTD917557 LCZ917492:LCZ917557 LMV917492:LMV917557 LWR917492:LWR917557 MGN917492:MGN917557 MQJ917492:MQJ917557 NAF917492:NAF917557 NKB917492:NKB917557 NTX917492:NTX917557 ODT917492:ODT917557 ONP917492:ONP917557 OXL917492:OXL917557 PHH917492:PHH917557 PRD917492:PRD917557 QAZ917492:QAZ917557 QKV917492:QKV917557 QUR917492:QUR917557 REN917492:REN917557 ROJ917492:ROJ917557 RYF917492:RYF917557 SIB917492:SIB917557 SRX917492:SRX917557 TBT917492:TBT917557 TLP917492:TLP917557 TVL917492:TVL917557 UFH917492:UFH917557 UPD917492:UPD917557 UYZ917492:UYZ917557 VIV917492:VIV917557 VSR917492:VSR917557 WCN917492:WCN917557 WMJ917492:WMJ917557 WWF917492:WWF917557 X983028:X983093 JT983028:JT983093 TP983028:TP983093 ADL983028:ADL983093 ANH983028:ANH983093 AXD983028:AXD983093 BGZ983028:BGZ983093 BQV983028:BQV983093 CAR983028:CAR983093 CKN983028:CKN983093 CUJ983028:CUJ983093 DEF983028:DEF983093 DOB983028:DOB983093 DXX983028:DXX983093 EHT983028:EHT983093 ERP983028:ERP983093 FBL983028:FBL983093 FLH983028:FLH983093 FVD983028:FVD983093 GEZ983028:GEZ983093 GOV983028:GOV983093 GYR983028:GYR983093 HIN983028:HIN983093 HSJ983028:HSJ983093 ICF983028:ICF983093 IMB983028:IMB983093 IVX983028:IVX983093 JFT983028:JFT983093 JPP983028:JPP983093 JZL983028:JZL983093 KJH983028:KJH983093 KTD983028:KTD983093 LCZ983028:LCZ983093 LMV983028:LMV983093 LWR983028:LWR983093 MGN983028:MGN983093 MQJ983028:MQJ983093 NAF983028:NAF983093 NKB983028:NKB983093 NTX983028:NTX983093 ODT983028:ODT983093 ONP983028:ONP983093 OXL983028:OXL983093 PHH983028:PHH983093 PRD983028:PRD983093 QAZ983028:QAZ983093 QKV983028:QKV983093 QUR983028:QUR983093 REN983028:REN983093 ROJ983028:ROJ983093 RYF983028:RYF983093 SIB983028:SIB983093 SRX983028:SRX983093 TBT983028:TBT983093 TLP983028:TLP983093 TVL983028:TVL983093 UFH983028:UFH983093 UPD983028:UPD983093 UYZ983028:UYZ983093 VIV983028:VIV983093 VSR983028:VSR983093 WCN983028:WCN983093 WMJ983028:WMJ983093 X2:X486">
      <formula1>$AT$2:$AT$3</formula1>
    </dataValidation>
    <dataValidation type="list" allowBlank="1" showInputMessage="1" showErrorMessage="1" sqref="G64349:G64416 G2:G486 SY2:SY70 WLS2:WLS70 WBW2:WBW70 VSA2:VSA70 VIE2:VIE70 UYI2:UYI70 UOM2:UOM70 UEQ2:UEQ70 TUU2:TUU70 TKY2:TKY70 TBC2:TBC70 SRG2:SRG70 SHK2:SHK70 RXO2:RXO70 RNS2:RNS70 RDW2:RDW70 QUA2:QUA70 QKE2:QKE70 QAI2:QAI70 PQM2:PQM70 PGQ2:PGQ70 OWU2:OWU70 OMY2:OMY70 ODC2:ODC70 NTG2:NTG70 NJK2:NJK70 MZO2:MZO70 MPS2:MPS70 MFW2:MFW70 LWA2:LWA70 LME2:LME70 LCI2:LCI70 KSM2:KSM70 KIQ2:KIQ70 JYU2:JYU70 JOY2:JOY70 JFC2:JFC70 IVG2:IVG70 ILK2:ILK70 IBO2:IBO70 HRS2:HRS70 HHW2:HHW70 GYA2:GYA70 GOE2:GOE70 GEI2:GEI70 FUM2:FUM70 FKQ2:FKQ70 FAU2:FAU70 EQY2:EQY70 EHC2:EHC70 DXG2:DXG70 DNK2:DNK70 DDO2:DDO70 CTS2:CTS70 CJW2:CJW70 CAA2:CAA70 BQE2:BQE70 BGI2:BGI70 AWM2:AWM70 AMQ2:AMQ70 ACU2:ACU70 JC2:JC70 WVO2:WVO70 SY64349:SY64416 ACU64349:ACU64416 AMQ64349:AMQ64416 AWM64349:AWM64416 BGI64349:BGI64416 BQE64349:BQE64416 CAA64349:CAA64416 CJW64349:CJW64416 CTS64349:CTS64416 DDO64349:DDO64416 DNK64349:DNK64416 DXG64349:DXG64416 EHC64349:EHC64416 EQY64349:EQY64416 FAU64349:FAU64416 FKQ64349:FKQ64416 FUM64349:FUM64416 GEI64349:GEI64416 GOE64349:GOE64416 GYA64349:GYA64416 HHW64349:HHW64416 HRS64349:HRS64416 IBO64349:IBO64416 ILK64349:ILK64416 IVG64349:IVG64416 JFC64349:JFC64416 JOY64349:JOY64416 JYU64349:JYU64416 KIQ64349:KIQ64416 KSM64349:KSM64416 LCI64349:LCI64416 LME64349:LME64416 LWA64349:LWA64416 MFW64349:MFW64416 MPS64349:MPS64416 MZO64349:MZO64416 NJK64349:NJK64416 NTG64349:NTG64416 ODC64349:ODC64416 OMY64349:OMY64416 OWU64349:OWU64416 PGQ64349:PGQ64416 PQM64349:PQM64416 QAI64349:QAI64416 QKE64349:QKE64416 QUA64349:QUA64416 RDW64349:RDW64416 RNS64349:RNS64416 RXO64349:RXO64416 SHK64349:SHK64416 SRG64349:SRG64416 TBC64349:TBC64416 TKY64349:TKY64416 TUU64349:TUU64416 UEQ64349:UEQ64416 UOM64349:UOM64416 UYI64349:UYI64416 VIE64349:VIE64416 VSA64349:VSA64416 WBW64349:WBW64416 WLS64349:WLS64416 WVO64349:WVO64416 G129885:G129952 JC129885:JC129952 SY129885:SY129952 ACU129885:ACU129952 AMQ129885:AMQ129952 AWM129885:AWM129952 BGI129885:BGI129952 BQE129885:BQE129952 CAA129885:CAA129952 CJW129885:CJW129952 CTS129885:CTS129952 DDO129885:DDO129952 DNK129885:DNK129952 DXG129885:DXG129952 EHC129885:EHC129952 EQY129885:EQY129952 FAU129885:FAU129952 FKQ129885:FKQ129952 FUM129885:FUM129952 GEI129885:GEI129952 GOE129885:GOE129952 GYA129885:GYA129952 HHW129885:HHW129952 HRS129885:HRS129952 IBO129885:IBO129952 ILK129885:ILK129952 IVG129885:IVG129952 JFC129885:JFC129952 JOY129885:JOY129952 JYU129885:JYU129952 KIQ129885:KIQ129952 KSM129885:KSM129952 LCI129885:LCI129952 LME129885:LME129952 LWA129885:LWA129952 MFW129885:MFW129952 MPS129885:MPS129952 MZO129885:MZO129952 NJK129885:NJK129952 NTG129885:NTG129952 ODC129885:ODC129952 OMY129885:OMY129952 OWU129885:OWU129952 PGQ129885:PGQ129952 PQM129885:PQM129952 QAI129885:QAI129952 QKE129885:QKE129952 QUA129885:QUA129952 RDW129885:RDW129952 RNS129885:RNS129952 RXO129885:RXO129952 SHK129885:SHK129952 SRG129885:SRG129952 TBC129885:TBC129952 TKY129885:TKY129952 TUU129885:TUU129952 UEQ129885:UEQ129952 UOM129885:UOM129952 UYI129885:UYI129952 VIE129885:VIE129952 VSA129885:VSA129952 WBW129885:WBW129952 WLS129885:WLS129952 WVO129885:WVO129952 G195421:G195488 JC195421:JC195488 SY195421:SY195488 ACU195421:ACU195488 AMQ195421:AMQ195488 AWM195421:AWM195488 BGI195421:BGI195488 BQE195421:BQE195488 CAA195421:CAA195488 CJW195421:CJW195488 CTS195421:CTS195488 DDO195421:DDO195488 DNK195421:DNK195488 DXG195421:DXG195488 EHC195421:EHC195488 EQY195421:EQY195488 FAU195421:FAU195488 FKQ195421:FKQ195488 FUM195421:FUM195488 GEI195421:GEI195488 GOE195421:GOE195488 GYA195421:GYA195488 HHW195421:HHW195488 HRS195421:HRS195488 IBO195421:IBO195488 ILK195421:ILK195488 IVG195421:IVG195488 JFC195421:JFC195488 JOY195421:JOY195488 JYU195421:JYU195488 KIQ195421:KIQ195488 KSM195421:KSM195488 LCI195421:LCI195488 LME195421:LME195488 LWA195421:LWA195488 MFW195421:MFW195488 MPS195421:MPS195488 MZO195421:MZO195488 NJK195421:NJK195488 NTG195421:NTG195488 ODC195421:ODC195488 OMY195421:OMY195488 OWU195421:OWU195488 PGQ195421:PGQ195488 PQM195421:PQM195488 QAI195421:QAI195488 QKE195421:QKE195488 QUA195421:QUA195488 RDW195421:RDW195488 RNS195421:RNS195488 RXO195421:RXO195488 SHK195421:SHK195488 SRG195421:SRG195488 TBC195421:TBC195488 TKY195421:TKY195488 TUU195421:TUU195488 UEQ195421:UEQ195488 UOM195421:UOM195488 UYI195421:UYI195488 VIE195421:VIE195488 VSA195421:VSA195488 WBW195421:WBW195488 WLS195421:WLS195488 WVO195421:WVO195488 G260957:G261024 JC260957:JC261024 SY260957:SY261024 ACU260957:ACU261024 AMQ260957:AMQ261024 AWM260957:AWM261024 BGI260957:BGI261024 BQE260957:BQE261024 CAA260957:CAA261024 CJW260957:CJW261024 CTS260957:CTS261024 DDO260957:DDO261024 DNK260957:DNK261024 DXG260957:DXG261024 EHC260957:EHC261024 EQY260957:EQY261024 FAU260957:FAU261024 FKQ260957:FKQ261024 FUM260957:FUM261024 GEI260957:GEI261024 GOE260957:GOE261024 GYA260957:GYA261024 HHW260957:HHW261024 HRS260957:HRS261024 IBO260957:IBO261024 ILK260957:ILK261024 IVG260957:IVG261024 JFC260957:JFC261024 JOY260957:JOY261024 JYU260957:JYU261024 KIQ260957:KIQ261024 KSM260957:KSM261024 LCI260957:LCI261024 LME260957:LME261024 LWA260957:LWA261024 MFW260957:MFW261024 MPS260957:MPS261024 MZO260957:MZO261024 NJK260957:NJK261024 NTG260957:NTG261024 ODC260957:ODC261024 OMY260957:OMY261024 OWU260957:OWU261024 PGQ260957:PGQ261024 PQM260957:PQM261024 QAI260957:QAI261024 QKE260957:QKE261024 QUA260957:QUA261024 RDW260957:RDW261024 RNS260957:RNS261024 RXO260957:RXO261024 SHK260957:SHK261024 SRG260957:SRG261024 TBC260957:TBC261024 TKY260957:TKY261024 TUU260957:TUU261024 UEQ260957:UEQ261024 UOM260957:UOM261024 UYI260957:UYI261024 VIE260957:VIE261024 VSA260957:VSA261024 WBW260957:WBW261024 WLS260957:WLS261024 WVO260957:WVO261024 G326493:G326560 JC326493:JC326560 SY326493:SY326560 ACU326493:ACU326560 AMQ326493:AMQ326560 AWM326493:AWM326560 BGI326493:BGI326560 BQE326493:BQE326560 CAA326493:CAA326560 CJW326493:CJW326560 CTS326493:CTS326560 DDO326493:DDO326560 DNK326493:DNK326560 DXG326493:DXG326560 EHC326493:EHC326560 EQY326493:EQY326560 FAU326493:FAU326560 FKQ326493:FKQ326560 FUM326493:FUM326560 GEI326493:GEI326560 GOE326493:GOE326560 GYA326493:GYA326560 HHW326493:HHW326560 HRS326493:HRS326560 IBO326493:IBO326560 ILK326493:ILK326560 IVG326493:IVG326560 JFC326493:JFC326560 JOY326493:JOY326560 JYU326493:JYU326560 KIQ326493:KIQ326560 KSM326493:KSM326560 LCI326493:LCI326560 LME326493:LME326560 LWA326493:LWA326560 MFW326493:MFW326560 MPS326493:MPS326560 MZO326493:MZO326560 NJK326493:NJK326560 NTG326493:NTG326560 ODC326493:ODC326560 OMY326493:OMY326560 OWU326493:OWU326560 PGQ326493:PGQ326560 PQM326493:PQM326560 QAI326493:QAI326560 QKE326493:QKE326560 QUA326493:QUA326560 RDW326493:RDW326560 RNS326493:RNS326560 RXO326493:RXO326560 SHK326493:SHK326560 SRG326493:SRG326560 TBC326493:TBC326560 TKY326493:TKY326560 TUU326493:TUU326560 UEQ326493:UEQ326560 UOM326493:UOM326560 UYI326493:UYI326560 VIE326493:VIE326560 VSA326493:VSA326560 WBW326493:WBW326560 WLS326493:WLS326560 WVO326493:WVO326560 G392029:G392096 JC392029:JC392096 SY392029:SY392096 ACU392029:ACU392096 AMQ392029:AMQ392096 AWM392029:AWM392096 BGI392029:BGI392096 BQE392029:BQE392096 CAA392029:CAA392096 CJW392029:CJW392096 CTS392029:CTS392096 DDO392029:DDO392096 DNK392029:DNK392096 DXG392029:DXG392096 EHC392029:EHC392096 EQY392029:EQY392096 FAU392029:FAU392096 FKQ392029:FKQ392096 FUM392029:FUM392096 GEI392029:GEI392096 GOE392029:GOE392096 GYA392029:GYA392096 HHW392029:HHW392096 HRS392029:HRS392096 IBO392029:IBO392096 ILK392029:ILK392096 IVG392029:IVG392096 JFC392029:JFC392096 JOY392029:JOY392096 JYU392029:JYU392096 KIQ392029:KIQ392096 KSM392029:KSM392096 LCI392029:LCI392096 LME392029:LME392096 LWA392029:LWA392096 MFW392029:MFW392096 MPS392029:MPS392096 MZO392029:MZO392096 NJK392029:NJK392096 NTG392029:NTG392096 ODC392029:ODC392096 OMY392029:OMY392096 OWU392029:OWU392096 PGQ392029:PGQ392096 PQM392029:PQM392096 QAI392029:QAI392096 QKE392029:QKE392096 QUA392029:QUA392096 RDW392029:RDW392096 RNS392029:RNS392096 RXO392029:RXO392096 SHK392029:SHK392096 SRG392029:SRG392096 TBC392029:TBC392096 TKY392029:TKY392096 TUU392029:TUU392096 UEQ392029:UEQ392096 UOM392029:UOM392096 UYI392029:UYI392096 VIE392029:VIE392096 VSA392029:VSA392096 WBW392029:WBW392096 WLS392029:WLS392096 WVO392029:WVO392096 G457565:G457632 JC457565:JC457632 SY457565:SY457632 ACU457565:ACU457632 AMQ457565:AMQ457632 AWM457565:AWM457632 BGI457565:BGI457632 BQE457565:BQE457632 CAA457565:CAA457632 CJW457565:CJW457632 CTS457565:CTS457632 DDO457565:DDO457632 DNK457565:DNK457632 DXG457565:DXG457632 EHC457565:EHC457632 EQY457565:EQY457632 FAU457565:FAU457632 FKQ457565:FKQ457632 FUM457565:FUM457632 GEI457565:GEI457632 GOE457565:GOE457632 GYA457565:GYA457632 HHW457565:HHW457632 HRS457565:HRS457632 IBO457565:IBO457632 ILK457565:ILK457632 IVG457565:IVG457632 JFC457565:JFC457632 JOY457565:JOY457632 JYU457565:JYU457632 KIQ457565:KIQ457632 KSM457565:KSM457632 LCI457565:LCI457632 LME457565:LME457632 LWA457565:LWA457632 MFW457565:MFW457632 MPS457565:MPS457632 MZO457565:MZO457632 NJK457565:NJK457632 NTG457565:NTG457632 ODC457565:ODC457632 OMY457565:OMY457632 OWU457565:OWU457632 PGQ457565:PGQ457632 PQM457565:PQM457632 QAI457565:QAI457632 QKE457565:QKE457632 QUA457565:QUA457632 RDW457565:RDW457632 RNS457565:RNS457632 RXO457565:RXO457632 SHK457565:SHK457632 SRG457565:SRG457632 TBC457565:TBC457632 TKY457565:TKY457632 TUU457565:TUU457632 UEQ457565:UEQ457632 UOM457565:UOM457632 UYI457565:UYI457632 VIE457565:VIE457632 VSA457565:VSA457632 WBW457565:WBW457632 WLS457565:WLS457632 WVO457565:WVO457632 G523101:G523168 JC523101:JC523168 SY523101:SY523168 ACU523101:ACU523168 AMQ523101:AMQ523168 AWM523101:AWM523168 BGI523101:BGI523168 BQE523101:BQE523168 CAA523101:CAA523168 CJW523101:CJW523168 CTS523101:CTS523168 DDO523101:DDO523168 DNK523101:DNK523168 DXG523101:DXG523168 EHC523101:EHC523168 EQY523101:EQY523168 FAU523101:FAU523168 FKQ523101:FKQ523168 FUM523101:FUM523168 GEI523101:GEI523168 GOE523101:GOE523168 GYA523101:GYA523168 HHW523101:HHW523168 HRS523101:HRS523168 IBO523101:IBO523168 ILK523101:ILK523168 IVG523101:IVG523168 JFC523101:JFC523168 JOY523101:JOY523168 JYU523101:JYU523168 KIQ523101:KIQ523168 KSM523101:KSM523168 LCI523101:LCI523168 LME523101:LME523168 LWA523101:LWA523168 MFW523101:MFW523168 MPS523101:MPS523168 MZO523101:MZO523168 NJK523101:NJK523168 NTG523101:NTG523168 ODC523101:ODC523168 OMY523101:OMY523168 OWU523101:OWU523168 PGQ523101:PGQ523168 PQM523101:PQM523168 QAI523101:QAI523168 QKE523101:QKE523168 QUA523101:QUA523168 RDW523101:RDW523168 RNS523101:RNS523168 RXO523101:RXO523168 SHK523101:SHK523168 SRG523101:SRG523168 TBC523101:TBC523168 TKY523101:TKY523168 TUU523101:TUU523168 UEQ523101:UEQ523168 UOM523101:UOM523168 UYI523101:UYI523168 VIE523101:VIE523168 VSA523101:VSA523168 WBW523101:WBW523168 WLS523101:WLS523168 WVO523101:WVO523168 G588637:G588704 JC588637:JC588704 SY588637:SY588704 ACU588637:ACU588704 AMQ588637:AMQ588704 AWM588637:AWM588704 BGI588637:BGI588704 BQE588637:BQE588704 CAA588637:CAA588704 CJW588637:CJW588704 CTS588637:CTS588704 DDO588637:DDO588704 DNK588637:DNK588704 DXG588637:DXG588704 EHC588637:EHC588704 EQY588637:EQY588704 FAU588637:FAU588704 FKQ588637:FKQ588704 FUM588637:FUM588704 GEI588637:GEI588704 GOE588637:GOE588704 GYA588637:GYA588704 HHW588637:HHW588704 HRS588637:HRS588704 IBO588637:IBO588704 ILK588637:ILK588704 IVG588637:IVG588704 JFC588637:JFC588704 JOY588637:JOY588704 JYU588637:JYU588704 KIQ588637:KIQ588704 KSM588637:KSM588704 LCI588637:LCI588704 LME588637:LME588704 LWA588637:LWA588704 MFW588637:MFW588704 MPS588637:MPS588704 MZO588637:MZO588704 NJK588637:NJK588704 NTG588637:NTG588704 ODC588637:ODC588704 OMY588637:OMY588704 OWU588637:OWU588704 PGQ588637:PGQ588704 PQM588637:PQM588704 QAI588637:QAI588704 QKE588637:QKE588704 QUA588637:QUA588704 RDW588637:RDW588704 RNS588637:RNS588704 RXO588637:RXO588704 SHK588637:SHK588704 SRG588637:SRG588704 TBC588637:TBC588704 TKY588637:TKY588704 TUU588637:TUU588704 UEQ588637:UEQ588704 UOM588637:UOM588704 UYI588637:UYI588704 VIE588637:VIE588704 VSA588637:VSA588704 WBW588637:WBW588704 WLS588637:WLS588704 WVO588637:WVO588704 G654173:G654240 JC654173:JC654240 SY654173:SY654240 ACU654173:ACU654240 AMQ654173:AMQ654240 AWM654173:AWM654240 BGI654173:BGI654240 BQE654173:BQE654240 CAA654173:CAA654240 CJW654173:CJW654240 CTS654173:CTS654240 DDO654173:DDO654240 DNK654173:DNK654240 DXG654173:DXG654240 EHC654173:EHC654240 EQY654173:EQY654240 FAU654173:FAU654240 FKQ654173:FKQ654240 FUM654173:FUM654240 GEI654173:GEI654240 GOE654173:GOE654240 GYA654173:GYA654240 HHW654173:HHW654240 HRS654173:HRS654240 IBO654173:IBO654240 ILK654173:ILK654240 IVG654173:IVG654240 JFC654173:JFC654240 JOY654173:JOY654240 JYU654173:JYU654240 KIQ654173:KIQ654240 KSM654173:KSM654240 LCI654173:LCI654240 LME654173:LME654240 LWA654173:LWA654240 MFW654173:MFW654240 MPS654173:MPS654240 MZO654173:MZO654240 NJK654173:NJK654240 NTG654173:NTG654240 ODC654173:ODC654240 OMY654173:OMY654240 OWU654173:OWU654240 PGQ654173:PGQ654240 PQM654173:PQM654240 QAI654173:QAI654240 QKE654173:QKE654240 QUA654173:QUA654240 RDW654173:RDW654240 RNS654173:RNS654240 RXO654173:RXO654240 SHK654173:SHK654240 SRG654173:SRG654240 TBC654173:TBC654240 TKY654173:TKY654240 TUU654173:TUU654240 UEQ654173:UEQ654240 UOM654173:UOM654240 UYI654173:UYI654240 VIE654173:VIE654240 VSA654173:VSA654240 WBW654173:WBW654240 WLS654173:WLS654240 WVO654173:WVO654240 G719709:G719776 JC719709:JC719776 SY719709:SY719776 ACU719709:ACU719776 AMQ719709:AMQ719776 AWM719709:AWM719776 BGI719709:BGI719776 BQE719709:BQE719776 CAA719709:CAA719776 CJW719709:CJW719776 CTS719709:CTS719776 DDO719709:DDO719776 DNK719709:DNK719776 DXG719709:DXG719776 EHC719709:EHC719776 EQY719709:EQY719776 FAU719709:FAU719776 FKQ719709:FKQ719776 FUM719709:FUM719776 GEI719709:GEI719776 GOE719709:GOE719776 GYA719709:GYA719776 HHW719709:HHW719776 HRS719709:HRS719776 IBO719709:IBO719776 ILK719709:ILK719776 IVG719709:IVG719776 JFC719709:JFC719776 JOY719709:JOY719776 JYU719709:JYU719776 KIQ719709:KIQ719776 KSM719709:KSM719776 LCI719709:LCI719776 LME719709:LME719776 LWA719709:LWA719776 MFW719709:MFW719776 MPS719709:MPS719776 MZO719709:MZO719776 NJK719709:NJK719776 NTG719709:NTG719776 ODC719709:ODC719776 OMY719709:OMY719776 OWU719709:OWU719776 PGQ719709:PGQ719776 PQM719709:PQM719776 QAI719709:QAI719776 QKE719709:QKE719776 QUA719709:QUA719776 RDW719709:RDW719776 RNS719709:RNS719776 RXO719709:RXO719776 SHK719709:SHK719776 SRG719709:SRG719776 TBC719709:TBC719776 TKY719709:TKY719776 TUU719709:TUU719776 UEQ719709:UEQ719776 UOM719709:UOM719776 UYI719709:UYI719776 VIE719709:VIE719776 VSA719709:VSA719776 WBW719709:WBW719776 WLS719709:WLS719776 WVO719709:WVO719776 G785245:G785312 JC785245:JC785312 SY785245:SY785312 ACU785245:ACU785312 AMQ785245:AMQ785312 AWM785245:AWM785312 BGI785245:BGI785312 BQE785245:BQE785312 CAA785245:CAA785312 CJW785245:CJW785312 CTS785245:CTS785312 DDO785245:DDO785312 DNK785245:DNK785312 DXG785245:DXG785312 EHC785245:EHC785312 EQY785245:EQY785312 FAU785245:FAU785312 FKQ785245:FKQ785312 FUM785245:FUM785312 GEI785245:GEI785312 GOE785245:GOE785312 GYA785245:GYA785312 HHW785245:HHW785312 HRS785245:HRS785312 IBO785245:IBO785312 ILK785245:ILK785312 IVG785245:IVG785312 JFC785245:JFC785312 JOY785245:JOY785312 JYU785245:JYU785312 KIQ785245:KIQ785312 KSM785245:KSM785312 LCI785245:LCI785312 LME785245:LME785312 LWA785245:LWA785312 MFW785245:MFW785312 MPS785245:MPS785312 MZO785245:MZO785312 NJK785245:NJK785312 NTG785245:NTG785312 ODC785245:ODC785312 OMY785245:OMY785312 OWU785245:OWU785312 PGQ785245:PGQ785312 PQM785245:PQM785312 QAI785245:QAI785312 QKE785245:QKE785312 QUA785245:QUA785312 RDW785245:RDW785312 RNS785245:RNS785312 RXO785245:RXO785312 SHK785245:SHK785312 SRG785245:SRG785312 TBC785245:TBC785312 TKY785245:TKY785312 TUU785245:TUU785312 UEQ785245:UEQ785312 UOM785245:UOM785312 UYI785245:UYI785312 VIE785245:VIE785312 VSA785245:VSA785312 WBW785245:WBW785312 WLS785245:WLS785312 WVO785245:WVO785312 G850781:G850848 JC850781:JC850848 SY850781:SY850848 ACU850781:ACU850848 AMQ850781:AMQ850848 AWM850781:AWM850848 BGI850781:BGI850848 BQE850781:BQE850848 CAA850781:CAA850848 CJW850781:CJW850848 CTS850781:CTS850848 DDO850781:DDO850848 DNK850781:DNK850848 DXG850781:DXG850848 EHC850781:EHC850848 EQY850781:EQY850848 FAU850781:FAU850848 FKQ850781:FKQ850848 FUM850781:FUM850848 GEI850781:GEI850848 GOE850781:GOE850848 GYA850781:GYA850848 HHW850781:HHW850848 HRS850781:HRS850848 IBO850781:IBO850848 ILK850781:ILK850848 IVG850781:IVG850848 JFC850781:JFC850848 JOY850781:JOY850848 JYU850781:JYU850848 KIQ850781:KIQ850848 KSM850781:KSM850848 LCI850781:LCI850848 LME850781:LME850848 LWA850781:LWA850848 MFW850781:MFW850848 MPS850781:MPS850848 MZO850781:MZO850848 NJK850781:NJK850848 NTG850781:NTG850848 ODC850781:ODC850848 OMY850781:OMY850848 OWU850781:OWU850848 PGQ850781:PGQ850848 PQM850781:PQM850848 QAI850781:QAI850848 QKE850781:QKE850848 QUA850781:QUA850848 RDW850781:RDW850848 RNS850781:RNS850848 RXO850781:RXO850848 SHK850781:SHK850848 SRG850781:SRG850848 TBC850781:TBC850848 TKY850781:TKY850848 TUU850781:TUU850848 UEQ850781:UEQ850848 UOM850781:UOM850848 UYI850781:UYI850848 VIE850781:VIE850848 VSA850781:VSA850848 WBW850781:WBW850848 WLS850781:WLS850848 WVO850781:WVO850848 G916317:G916384 JC916317:JC916384 SY916317:SY916384 ACU916317:ACU916384 AMQ916317:AMQ916384 AWM916317:AWM916384 BGI916317:BGI916384 BQE916317:BQE916384 CAA916317:CAA916384 CJW916317:CJW916384 CTS916317:CTS916384 DDO916317:DDO916384 DNK916317:DNK916384 DXG916317:DXG916384 EHC916317:EHC916384 EQY916317:EQY916384 FAU916317:FAU916384 FKQ916317:FKQ916384 FUM916317:FUM916384 GEI916317:GEI916384 GOE916317:GOE916384 GYA916317:GYA916384 HHW916317:HHW916384 HRS916317:HRS916384 IBO916317:IBO916384 ILK916317:ILK916384 IVG916317:IVG916384 JFC916317:JFC916384 JOY916317:JOY916384 JYU916317:JYU916384 KIQ916317:KIQ916384 KSM916317:KSM916384 LCI916317:LCI916384 LME916317:LME916384 LWA916317:LWA916384 MFW916317:MFW916384 MPS916317:MPS916384 MZO916317:MZO916384 NJK916317:NJK916384 NTG916317:NTG916384 ODC916317:ODC916384 OMY916317:OMY916384 OWU916317:OWU916384 PGQ916317:PGQ916384 PQM916317:PQM916384 QAI916317:QAI916384 QKE916317:QKE916384 QUA916317:QUA916384 RDW916317:RDW916384 RNS916317:RNS916384 RXO916317:RXO916384 SHK916317:SHK916384 SRG916317:SRG916384 TBC916317:TBC916384 TKY916317:TKY916384 TUU916317:TUU916384 UEQ916317:UEQ916384 UOM916317:UOM916384 UYI916317:UYI916384 VIE916317:VIE916384 VSA916317:VSA916384 WBW916317:WBW916384 WLS916317:WLS916384 WVO916317:WVO916384 G981853:G981920 JC981853:JC981920 SY981853:SY981920 ACU981853:ACU981920 AMQ981853:AMQ981920 AWM981853:AWM981920 BGI981853:BGI981920 BQE981853:BQE981920 CAA981853:CAA981920 CJW981853:CJW981920 CTS981853:CTS981920 DDO981853:DDO981920 DNK981853:DNK981920 DXG981853:DXG981920 EHC981853:EHC981920 EQY981853:EQY981920 FAU981853:FAU981920 FKQ981853:FKQ981920 FUM981853:FUM981920 GEI981853:GEI981920 GOE981853:GOE981920 GYA981853:GYA981920 HHW981853:HHW981920 HRS981853:HRS981920 IBO981853:IBO981920 ILK981853:ILK981920 IVG981853:IVG981920 JFC981853:JFC981920 JOY981853:JOY981920 JYU981853:JYU981920 KIQ981853:KIQ981920 KSM981853:KSM981920 LCI981853:LCI981920 LME981853:LME981920 LWA981853:LWA981920 MFW981853:MFW981920 MPS981853:MPS981920 MZO981853:MZO981920 NJK981853:NJK981920 NTG981853:NTG981920 ODC981853:ODC981920 OMY981853:OMY981920 OWU981853:OWU981920 PGQ981853:PGQ981920 PQM981853:PQM981920 QAI981853:QAI981920 QKE981853:QKE981920 QUA981853:QUA981920 RDW981853:RDW981920 RNS981853:RNS981920 RXO981853:RXO981920 SHK981853:SHK981920 SRG981853:SRG981920 TBC981853:TBC981920 TKY981853:TKY981920 TUU981853:TUU981920 UEQ981853:UEQ981920 UOM981853:UOM981920 UYI981853:UYI981920 VIE981853:VIE981920 VSA981853:VSA981920 WBW981853:WBW981920 WLS981853:WLS981920 WVO981853:WVO981920 G1047389:G1047456 JC1047389:JC1047456 SY1047389:SY1047456 ACU1047389:ACU1047456 AMQ1047389:AMQ1047456 AWM1047389:AWM1047456 BGI1047389:BGI1047456 BQE1047389:BQE1047456 CAA1047389:CAA1047456 CJW1047389:CJW1047456 CTS1047389:CTS1047456 DDO1047389:DDO1047456 DNK1047389:DNK1047456 DXG1047389:DXG1047456 EHC1047389:EHC1047456 EQY1047389:EQY1047456 FAU1047389:FAU1047456 FKQ1047389:FKQ1047456 FUM1047389:FUM1047456 GEI1047389:GEI1047456 GOE1047389:GOE1047456 GYA1047389:GYA1047456 HHW1047389:HHW1047456 HRS1047389:HRS1047456 IBO1047389:IBO1047456 ILK1047389:ILK1047456 IVG1047389:IVG1047456 JFC1047389:JFC1047456 JOY1047389:JOY1047456 JYU1047389:JYU1047456 KIQ1047389:KIQ1047456 KSM1047389:KSM1047456 LCI1047389:LCI1047456 LME1047389:LME1047456 LWA1047389:LWA1047456 MFW1047389:MFW1047456 MPS1047389:MPS1047456 MZO1047389:MZO1047456 NJK1047389:NJK1047456 NTG1047389:NTG1047456 ODC1047389:ODC1047456 OMY1047389:OMY1047456 OWU1047389:OWU1047456 PGQ1047389:PGQ1047456 PQM1047389:PQM1047456 QAI1047389:QAI1047456 QKE1047389:QKE1047456 QUA1047389:QUA1047456 RDW1047389:RDW1047456 RNS1047389:RNS1047456 RXO1047389:RXO1047456 SHK1047389:SHK1047456 SRG1047389:SRG1047456 TBC1047389:TBC1047456 TKY1047389:TKY1047456 TUU1047389:TUU1047456 UEQ1047389:UEQ1047456 UOM1047389:UOM1047456 UYI1047389:UYI1047456 VIE1047389:VIE1047456 VSA1047389:VSA1047456 WBW1047389:WBW1047456 WLS1047389:WLS1047456 WVO1047389:WVO1047456 WVO983028:WVO983099 G65524:G65595 JC65524:JC65595 SY65524:SY65595 ACU65524:ACU65595 AMQ65524:AMQ65595 AWM65524:AWM65595 BGI65524:BGI65595 BQE65524:BQE65595 CAA65524:CAA65595 CJW65524:CJW65595 CTS65524:CTS65595 DDO65524:DDO65595 DNK65524:DNK65595 DXG65524:DXG65595 EHC65524:EHC65595 EQY65524:EQY65595 FAU65524:FAU65595 FKQ65524:FKQ65595 FUM65524:FUM65595 GEI65524:GEI65595 GOE65524:GOE65595 GYA65524:GYA65595 HHW65524:HHW65595 HRS65524:HRS65595 IBO65524:IBO65595 ILK65524:ILK65595 IVG65524:IVG65595 JFC65524:JFC65595 JOY65524:JOY65595 JYU65524:JYU65595 KIQ65524:KIQ65595 KSM65524:KSM65595 LCI65524:LCI65595 LME65524:LME65595 LWA65524:LWA65595 MFW65524:MFW65595 MPS65524:MPS65595 MZO65524:MZO65595 NJK65524:NJK65595 NTG65524:NTG65595 ODC65524:ODC65595 OMY65524:OMY65595 OWU65524:OWU65595 PGQ65524:PGQ65595 PQM65524:PQM65595 QAI65524:QAI65595 QKE65524:QKE65595 QUA65524:QUA65595 RDW65524:RDW65595 RNS65524:RNS65595 RXO65524:RXO65595 SHK65524:SHK65595 SRG65524:SRG65595 TBC65524:TBC65595 TKY65524:TKY65595 TUU65524:TUU65595 UEQ65524:UEQ65595 UOM65524:UOM65595 UYI65524:UYI65595 VIE65524:VIE65595 VSA65524:VSA65595 WBW65524:WBW65595 WLS65524:WLS65595 WVO65524:WVO65595 G131060:G131131 JC131060:JC131131 SY131060:SY131131 ACU131060:ACU131131 AMQ131060:AMQ131131 AWM131060:AWM131131 BGI131060:BGI131131 BQE131060:BQE131131 CAA131060:CAA131131 CJW131060:CJW131131 CTS131060:CTS131131 DDO131060:DDO131131 DNK131060:DNK131131 DXG131060:DXG131131 EHC131060:EHC131131 EQY131060:EQY131131 FAU131060:FAU131131 FKQ131060:FKQ131131 FUM131060:FUM131131 GEI131060:GEI131131 GOE131060:GOE131131 GYA131060:GYA131131 HHW131060:HHW131131 HRS131060:HRS131131 IBO131060:IBO131131 ILK131060:ILK131131 IVG131060:IVG131131 JFC131060:JFC131131 JOY131060:JOY131131 JYU131060:JYU131131 KIQ131060:KIQ131131 KSM131060:KSM131131 LCI131060:LCI131131 LME131060:LME131131 LWA131060:LWA131131 MFW131060:MFW131131 MPS131060:MPS131131 MZO131060:MZO131131 NJK131060:NJK131131 NTG131060:NTG131131 ODC131060:ODC131131 OMY131060:OMY131131 OWU131060:OWU131131 PGQ131060:PGQ131131 PQM131060:PQM131131 QAI131060:QAI131131 QKE131060:QKE131131 QUA131060:QUA131131 RDW131060:RDW131131 RNS131060:RNS131131 RXO131060:RXO131131 SHK131060:SHK131131 SRG131060:SRG131131 TBC131060:TBC131131 TKY131060:TKY131131 TUU131060:TUU131131 UEQ131060:UEQ131131 UOM131060:UOM131131 UYI131060:UYI131131 VIE131060:VIE131131 VSA131060:VSA131131 WBW131060:WBW131131 WLS131060:WLS131131 WVO131060:WVO131131 G196596:G196667 JC196596:JC196667 SY196596:SY196667 ACU196596:ACU196667 AMQ196596:AMQ196667 AWM196596:AWM196667 BGI196596:BGI196667 BQE196596:BQE196667 CAA196596:CAA196667 CJW196596:CJW196667 CTS196596:CTS196667 DDO196596:DDO196667 DNK196596:DNK196667 DXG196596:DXG196667 EHC196596:EHC196667 EQY196596:EQY196667 FAU196596:FAU196667 FKQ196596:FKQ196667 FUM196596:FUM196667 GEI196596:GEI196667 GOE196596:GOE196667 GYA196596:GYA196667 HHW196596:HHW196667 HRS196596:HRS196667 IBO196596:IBO196667 ILK196596:ILK196667 IVG196596:IVG196667 JFC196596:JFC196667 JOY196596:JOY196667 JYU196596:JYU196667 KIQ196596:KIQ196667 KSM196596:KSM196667 LCI196596:LCI196667 LME196596:LME196667 LWA196596:LWA196667 MFW196596:MFW196667 MPS196596:MPS196667 MZO196596:MZO196667 NJK196596:NJK196667 NTG196596:NTG196667 ODC196596:ODC196667 OMY196596:OMY196667 OWU196596:OWU196667 PGQ196596:PGQ196667 PQM196596:PQM196667 QAI196596:QAI196667 QKE196596:QKE196667 QUA196596:QUA196667 RDW196596:RDW196667 RNS196596:RNS196667 RXO196596:RXO196667 SHK196596:SHK196667 SRG196596:SRG196667 TBC196596:TBC196667 TKY196596:TKY196667 TUU196596:TUU196667 UEQ196596:UEQ196667 UOM196596:UOM196667 UYI196596:UYI196667 VIE196596:VIE196667 VSA196596:VSA196667 WBW196596:WBW196667 WLS196596:WLS196667 WVO196596:WVO196667 G262132:G262203 JC262132:JC262203 SY262132:SY262203 ACU262132:ACU262203 AMQ262132:AMQ262203 AWM262132:AWM262203 BGI262132:BGI262203 BQE262132:BQE262203 CAA262132:CAA262203 CJW262132:CJW262203 CTS262132:CTS262203 DDO262132:DDO262203 DNK262132:DNK262203 DXG262132:DXG262203 EHC262132:EHC262203 EQY262132:EQY262203 FAU262132:FAU262203 FKQ262132:FKQ262203 FUM262132:FUM262203 GEI262132:GEI262203 GOE262132:GOE262203 GYA262132:GYA262203 HHW262132:HHW262203 HRS262132:HRS262203 IBO262132:IBO262203 ILK262132:ILK262203 IVG262132:IVG262203 JFC262132:JFC262203 JOY262132:JOY262203 JYU262132:JYU262203 KIQ262132:KIQ262203 KSM262132:KSM262203 LCI262132:LCI262203 LME262132:LME262203 LWA262132:LWA262203 MFW262132:MFW262203 MPS262132:MPS262203 MZO262132:MZO262203 NJK262132:NJK262203 NTG262132:NTG262203 ODC262132:ODC262203 OMY262132:OMY262203 OWU262132:OWU262203 PGQ262132:PGQ262203 PQM262132:PQM262203 QAI262132:QAI262203 QKE262132:QKE262203 QUA262132:QUA262203 RDW262132:RDW262203 RNS262132:RNS262203 RXO262132:RXO262203 SHK262132:SHK262203 SRG262132:SRG262203 TBC262132:TBC262203 TKY262132:TKY262203 TUU262132:TUU262203 UEQ262132:UEQ262203 UOM262132:UOM262203 UYI262132:UYI262203 VIE262132:VIE262203 VSA262132:VSA262203 WBW262132:WBW262203 WLS262132:WLS262203 WVO262132:WVO262203 G327668:G327739 JC327668:JC327739 SY327668:SY327739 ACU327668:ACU327739 AMQ327668:AMQ327739 AWM327668:AWM327739 BGI327668:BGI327739 BQE327668:BQE327739 CAA327668:CAA327739 CJW327668:CJW327739 CTS327668:CTS327739 DDO327668:DDO327739 DNK327668:DNK327739 DXG327668:DXG327739 EHC327668:EHC327739 EQY327668:EQY327739 FAU327668:FAU327739 FKQ327668:FKQ327739 FUM327668:FUM327739 GEI327668:GEI327739 GOE327668:GOE327739 GYA327668:GYA327739 HHW327668:HHW327739 HRS327668:HRS327739 IBO327668:IBO327739 ILK327668:ILK327739 IVG327668:IVG327739 JFC327668:JFC327739 JOY327668:JOY327739 JYU327668:JYU327739 KIQ327668:KIQ327739 KSM327668:KSM327739 LCI327668:LCI327739 LME327668:LME327739 LWA327668:LWA327739 MFW327668:MFW327739 MPS327668:MPS327739 MZO327668:MZO327739 NJK327668:NJK327739 NTG327668:NTG327739 ODC327668:ODC327739 OMY327668:OMY327739 OWU327668:OWU327739 PGQ327668:PGQ327739 PQM327668:PQM327739 QAI327668:QAI327739 QKE327668:QKE327739 QUA327668:QUA327739 RDW327668:RDW327739 RNS327668:RNS327739 RXO327668:RXO327739 SHK327668:SHK327739 SRG327668:SRG327739 TBC327668:TBC327739 TKY327668:TKY327739 TUU327668:TUU327739 UEQ327668:UEQ327739 UOM327668:UOM327739 UYI327668:UYI327739 VIE327668:VIE327739 VSA327668:VSA327739 WBW327668:WBW327739 WLS327668:WLS327739 WVO327668:WVO327739 G393204:G393275 JC393204:JC393275 SY393204:SY393275 ACU393204:ACU393275 AMQ393204:AMQ393275 AWM393204:AWM393275 BGI393204:BGI393275 BQE393204:BQE393275 CAA393204:CAA393275 CJW393204:CJW393275 CTS393204:CTS393275 DDO393204:DDO393275 DNK393204:DNK393275 DXG393204:DXG393275 EHC393204:EHC393275 EQY393204:EQY393275 FAU393204:FAU393275 FKQ393204:FKQ393275 FUM393204:FUM393275 GEI393204:GEI393275 GOE393204:GOE393275 GYA393204:GYA393275 HHW393204:HHW393275 HRS393204:HRS393275 IBO393204:IBO393275 ILK393204:ILK393275 IVG393204:IVG393275 JFC393204:JFC393275 JOY393204:JOY393275 JYU393204:JYU393275 KIQ393204:KIQ393275 KSM393204:KSM393275 LCI393204:LCI393275 LME393204:LME393275 LWA393204:LWA393275 MFW393204:MFW393275 MPS393204:MPS393275 MZO393204:MZO393275 NJK393204:NJK393275 NTG393204:NTG393275 ODC393204:ODC393275 OMY393204:OMY393275 OWU393204:OWU393275 PGQ393204:PGQ393275 PQM393204:PQM393275 QAI393204:QAI393275 QKE393204:QKE393275 QUA393204:QUA393275 RDW393204:RDW393275 RNS393204:RNS393275 RXO393204:RXO393275 SHK393204:SHK393275 SRG393204:SRG393275 TBC393204:TBC393275 TKY393204:TKY393275 TUU393204:TUU393275 UEQ393204:UEQ393275 UOM393204:UOM393275 UYI393204:UYI393275 VIE393204:VIE393275 VSA393204:VSA393275 WBW393204:WBW393275 WLS393204:WLS393275 WVO393204:WVO393275 G458740:G458811 JC458740:JC458811 SY458740:SY458811 ACU458740:ACU458811 AMQ458740:AMQ458811 AWM458740:AWM458811 BGI458740:BGI458811 BQE458740:BQE458811 CAA458740:CAA458811 CJW458740:CJW458811 CTS458740:CTS458811 DDO458740:DDO458811 DNK458740:DNK458811 DXG458740:DXG458811 EHC458740:EHC458811 EQY458740:EQY458811 FAU458740:FAU458811 FKQ458740:FKQ458811 FUM458740:FUM458811 GEI458740:GEI458811 GOE458740:GOE458811 GYA458740:GYA458811 HHW458740:HHW458811 HRS458740:HRS458811 IBO458740:IBO458811 ILK458740:ILK458811 IVG458740:IVG458811 JFC458740:JFC458811 JOY458740:JOY458811 JYU458740:JYU458811 KIQ458740:KIQ458811 KSM458740:KSM458811 LCI458740:LCI458811 LME458740:LME458811 LWA458740:LWA458811 MFW458740:MFW458811 MPS458740:MPS458811 MZO458740:MZO458811 NJK458740:NJK458811 NTG458740:NTG458811 ODC458740:ODC458811 OMY458740:OMY458811 OWU458740:OWU458811 PGQ458740:PGQ458811 PQM458740:PQM458811 QAI458740:QAI458811 QKE458740:QKE458811 QUA458740:QUA458811 RDW458740:RDW458811 RNS458740:RNS458811 RXO458740:RXO458811 SHK458740:SHK458811 SRG458740:SRG458811 TBC458740:TBC458811 TKY458740:TKY458811 TUU458740:TUU458811 UEQ458740:UEQ458811 UOM458740:UOM458811 UYI458740:UYI458811 VIE458740:VIE458811 VSA458740:VSA458811 WBW458740:WBW458811 WLS458740:WLS458811 WVO458740:WVO458811 G524276:G524347 JC524276:JC524347 SY524276:SY524347 ACU524276:ACU524347 AMQ524276:AMQ524347 AWM524276:AWM524347 BGI524276:BGI524347 BQE524276:BQE524347 CAA524276:CAA524347 CJW524276:CJW524347 CTS524276:CTS524347 DDO524276:DDO524347 DNK524276:DNK524347 DXG524276:DXG524347 EHC524276:EHC524347 EQY524276:EQY524347 FAU524276:FAU524347 FKQ524276:FKQ524347 FUM524276:FUM524347 GEI524276:GEI524347 GOE524276:GOE524347 GYA524276:GYA524347 HHW524276:HHW524347 HRS524276:HRS524347 IBO524276:IBO524347 ILK524276:ILK524347 IVG524276:IVG524347 JFC524276:JFC524347 JOY524276:JOY524347 JYU524276:JYU524347 KIQ524276:KIQ524347 KSM524276:KSM524347 LCI524276:LCI524347 LME524276:LME524347 LWA524276:LWA524347 MFW524276:MFW524347 MPS524276:MPS524347 MZO524276:MZO524347 NJK524276:NJK524347 NTG524276:NTG524347 ODC524276:ODC524347 OMY524276:OMY524347 OWU524276:OWU524347 PGQ524276:PGQ524347 PQM524276:PQM524347 QAI524276:QAI524347 QKE524276:QKE524347 QUA524276:QUA524347 RDW524276:RDW524347 RNS524276:RNS524347 RXO524276:RXO524347 SHK524276:SHK524347 SRG524276:SRG524347 TBC524276:TBC524347 TKY524276:TKY524347 TUU524276:TUU524347 UEQ524276:UEQ524347 UOM524276:UOM524347 UYI524276:UYI524347 VIE524276:VIE524347 VSA524276:VSA524347 WBW524276:WBW524347 WLS524276:WLS524347 WVO524276:WVO524347 G589812:G589883 JC589812:JC589883 SY589812:SY589883 ACU589812:ACU589883 AMQ589812:AMQ589883 AWM589812:AWM589883 BGI589812:BGI589883 BQE589812:BQE589883 CAA589812:CAA589883 CJW589812:CJW589883 CTS589812:CTS589883 DDO589812:DDO589883 DNK589812:DNK589883 DXG589812:DXG589883 EHC589812:EHC589883 EQY589812:EQY589883 FAU589812:FAU589883 FKQ589812:FKQ589883 FUM589812:FUM589883 GEI589812:GEI589883 GOE589812:GOE589883 GYA589812:GYA589883 HHW589812:HHW589883 HRS589812:HRS589883 IBO589812:IBO589883 ILK589812:ILK589883 IVG589812:IVG589883 JFC589812:JFC589883 JOY589812:JOY589883 JYU589812:JYU589883 KIQ589812:KIQ589883 KSM589812:KSM589883 LCI589812:LCI589883 LME589812:LME589883 LWA589812:LWA589883 MFW589812:MFW589883 MPS589812:MPS589883 MZO589812:MZO589883 NJK589812:NJK589883 NTG589812:NTG589883 ODC589812:ODC589883 OMY589812:OMY589883 OWU589812:OWU589883 PGQ589812:PGQ589883 PQM589812:PQM589883 QAI589812:QAI589883 QKE589812:QKE589883 QUA589812:QUA589883 RDW589812:RDW589883 RNS589812:RNS589883 RXO589812:RXO589883 SHK589812:SHK589883 SRG589812:SRG589883 TBC589812:TBC589883 TKY589812:TKY589883 TUU589812:TUU589883 UEQ589812:UEQ589883 UOM589812:UOM589883 UYI589812:UYI589883 VIE589812:VIE589883 VSA589812:VSA589883 WBW589812:WBW589883 WLS589812:WLS589883 WVO589812:WVO589883 G655348:G655419 JC655348:JC655419 SY655348:SY655419 ACU655348:ACU655419 AMQ655348:AMQ655419 AWM655348:AWM655419 BGI655348:BGI655419 BQE655348:BQE655419 CAA655348:CAA655419 CJW655348:CJW655419 CTS655348:CTS655419 DDO655348:DDO655419 DNK655348:DNK655419 DXG655348:DXG655419 EHC655348:EHC655419 EQY655348:EQY655419 FAU655348:FAU655419 FKQ655348:FKQ655419 FUM655348:FUM655419 GEI655348:GEI655419 GOE655348:GOE655419 GYA655348:GYA655419 HHW655348:HHW655419 HRS655348:HRS655419 IBO655348:IBO655419 ILK655348:ILK655419 IVG655348:IVG655419 JFC655348:JFC655419 JOY655348:JOY655419 JYU655348:JYU655419 KIQ655348:KIQ655419 KSM655348:KSM655419 LCI655348:LCI655419 LME655348:LME655419 LWA655348:LWA655419 MFW655348:MFW655419 MPS655348:MPS655419 MZO655348:MZO655419 NJK655348:NJK655419 NTG655348:NTG655419 ODC655348:ODC655419 OMY655348:OMY655419 OWU655348:OWU655419 PGQ655348:PGQ655419 PQM655348:PQM655419 QAI655348:QAI655419 QKE655348:QKE655419 QUA655348:QUA655419 RDW655348:RDW655419 RNS655348:RNS655419 RXO655348:RXO655419 SHK655348:SHK655419 SRG655348:SRG655419 TBC655348:TBC655419 TKY655348:TKY655419 TUU655348:TUU655419 UEQ655348:UEQ655419 UOM655348:UOM655419 UYI655348:UYI655419 VIE655348:VIE655419 VSA655348:VSA655419 WBW655348:WBW655419 WLS655348:WLS655419 WVO655348:WVO655419 G720884:G720955 JC720884:JC720955 SY720884:SY720955 ACU720884:ACU720955 AMQ720884:AMQ720955 AWM720884:AWM720955 BGI720884:BGI720955 BQE720884:BQE720955 CAA720884:CAA720955 CJW720884:CJW720955 CTS720884:CTS720955 DDO720884:DDO720955 DNK720884:DNK720955 DXG720884:DXG720955 EHC720884:EHC720955 EQY720884:EQY720955 FAU720884:FAU720955 FKQ720884:FKQ720955 FUM720884:FUM720955 GEI720884:GEI720955 GOE720884:GOE720955 GYA720884:GYA720955 HHW720884:HHW720955 HRS720884:HRS720955 IBO720884:IBO720955 ILK720884:ILK720955 IVG720884:IVG720955 JFC720884:JFC720955 JOY720884:JOY720955 JYU720884:JYU720955 KIQ720884:KIQ720955 KSM720884:KSM720955 LCI720884:LCI720955 LME720884:LME720955 LWA720884:LWA720955 MFW720884:MFW720955 MPS720884:MPS720955 MZO720884:MZO720955 NJK720884:NJK720955 NTG720884:NTG720955 ODC720884:ODC720955 OMY720884:OMY720955 OWU720884:OWU720955 PGQ720884:PGQ720955 PQM720884:PQM720955 QAI720884:QAI720955 QKE720884:QKE720955 QUA720884:QUA720955 RDW720884:RDW720955 RNS720884:RNS720955 RXO720884:RXO720955 SHK720884:SHK720955 SRG720884:SRG720955 TBC720884:TBC720955 TKY720884:TKY720955 TUU720884:TUU720955 UEQ720884:UEQ720955 UOM720884:UOM720955 UYI720884:UYI720955 VIE720884:VIE720955 VSA720884:VSA720955 WBW720884:WBW720955 WLS720884:WLS720955 WVO720884:WVO720955 G786420:G786491 JC786420:JC786491 SY786420:SY786491 ACU786420:ACU786491 AMQ786420:AMQ786491 AWM786420:AWM786491 BGI786420:BGI786491 BQE786420:BQE786491 CAA786420:CAA786491 CJW786420:CJW786491 CTS786420:CTS786491 DDO786420:DDO786491 DNK786420:DNK786491 DXG786420:DXG786491 EHC786420:EHC786491 EQY786420:EQY786491 FAU786420:FAU786491 FKQ786420:FKQ786491 FUM786420:FUM786491 GEI786420:GEI786491 GOE786420:GOE786491 GYA786420:GYA786491 HHW786420:HHW786491 HRS786420:HRS786491 IBO786420:IBO786491 ILK786420:ILK786491 IVG786420:IVG786491 JFC786420:JFC786491 JOY786420:JOY786491 JYU786420:JYU786491 KIQ786420:KIQ786491 KSM786420:KSM786491 LCI786420:LCI786491 LME786420:LME786491 LWA786420:LWA786491 MFW786420:MFW786491 MPS786420:MPS786491 MZO786420:MZO786491 NJK786420:NJK786491 NTG786420:NTG786491 ODC786420:ODC786491 OMY786420:OMY786491 OWU786420:OWU786491 PGQ786420:PGQ786491 PQM786420:PQM786491 QAI786420:QAI786491 QKE786420:QKE786491 QUA786420:QUA786491 RDW786420:RDW786491 RNS786420:RNS786491 RXO786420:RXO786491 SHK786420:SHK786491 SRG786420:SRG786491 TBC786420:TBC786491 TKY786420:TKY786491 TUU786420:TUU786491 UEQ786420:UEQ786491 UOM786420:UOM786491 UYI786420:UYI786491 VIE786420:VIE786491 VSA786420:VSA786491 WBW786420:WBW786491 WLS786420:WLS786491 WVO786420:WVO786491 G851956:G852027 JC851956:JC852027 SY851956:SY852027 ACU851956:ACU852027 AMQ851956:AMQ852027 AWM851956:AWM852027 BGI851956:BGI852027 BQE851956:BQE852027 CAA851956:CAA852027 CJW851956:CJW852027 CTS851956:CTS852027 DDO851956:DDO852027 DNK851956:DNK852027 DXG851956:DXG852027 EHC851956:EHC852027 EQY851956:EQY852027 FAU851956:FAU852027 FKQ851956:FKQ852027 FUM851956:FUM852027 GEI851956:GEI852027 GOE851956:GOE852027 GYA851956:GYA852027 HHW851956:HHW852027 HRS851956:HRS852027 IBO851956:IBO852027 ILK851956:ILK852027 IVG851956:IVG852027 JFC851956:JFC852027 JOY851956:JOY852027 JYU851956:JYU852027 KIQ851956:KIQ852027 KSM851956:KSM852027 LCI851956:LCI852027 LME851956:LME852027 LWA851956:LWA852027 MFW851956:MFW852027 MPS851956:MPS852027 MZO851956:MZO852027 NJK851956:NJK852027 NTG851956:NTG852027 ODC851956:ODC852027 OMY851956:OMY852027 OWU851956:OWU852027 PGQ851956:PGQ852027 PQM851956:PQM852027 QAI851956:QAI852027 QKE851956:QKE852027 QUA851956:QUA852027 RDW851956:RDW852027 RNS851956:RNS852027 RXO851956:RXO852027 SHK851956:SHK852027 SRG851956:SRG852027 TBC851956:TBC852027 TKY851956:TKY852027 TUU851956:TUU852027 UEQ851956:UEQ852027 UOM851956:UOM852027 UYI851956:UYI852027 VIE851956:VIE852027 VSA851956:VSA852027 WBW851956:WBW852027 WLS851956:WLS852027 WVO851956:WVO852027 G917492:G917563 JC917492:JC917563 SY917492:SY917563 ACU917492:ACU917563 AMQ917492:AMQ917563 AWM917492:AWM917563 BGI917492:BGI917563 BQE917492:BQE917563 CAA917492:CAA917563 CJW917492:CJW917563 CTS917492:CTS917563 DDO917492:DDO917563 DNK917492:DNK917563 DXG917492:DXG917563 EHC917492:EHC917563 EQY917492:EQY917563 FAU917492:FAU917563 FKQ917492:FKQ917563 FUM917492:FUM917563 GEI917492:GEI917563 GOE917492:GOE917563 GYA917492:GYA917563 HHW917492:HHW917563 HRS917492:HRS917563 IBO917492:IBO917563 ILK917492:ILK917563 IVG917492:IVG917563 JFC917492:JFC917563 JOY917492:JOY917563 JYU917492:JYU917563 KIQ917492:KIQ917563 KSM917492:KSM917563 LCI917492:LCI917563 LME917492:LME917563 LWA917492:LWA917563 MFW917492:MFW917563 MPS917492:MPS917563 MZO917492:MZO917563 NJK917492:NJK917563 NTG917492:NTG917563 ODC917492:ODC917563 OMY917492:OMY917563 OWU917492:OWU917563 PGQ917492:PGQ917563 PQM917492:PQM917563 QAI917492:QAI917563 QKE917492:QKE917563 QUA917492:QUA917563 RDW917492:RDW917563 RNS917492:RNS917563 RXO917492:RXO917563 SHK917492:SHK917563 SRG917492:SRG917563 TBC917492:TBC917563 TKY917492:TKY917563 TUU917492:TUU917563 UEQ917492:UEQ917563 UOM917492:UOM917563 UYI917492:UYI917563 VIE917492:VIE917563 VSA917492:VSA917563 WBW917492:WBW917563 WLS917492:WLS917563 WVO917492:WVO917563 G983028:G983099 JC983028:JC983099 SY983028:SY983099 ACU983028:ACU983099 AMQ983028:AMQ983099 AWM983028:AWM983099 BGI983028:BGI983099 BQE983028:BQE983099 CAA983028:CAA983099 CJW983028:CJW983099 CTS983028:CTS983099 DDO983028:DDO983099 DNK983028:DNK983099 DXG983028:DXG983099 EHC983028:EHC983099 EQY983028:EQY983099 FAU983028:FAU983099 FKQ983028:FKQ983099 FUM983028:FUM983099 GEI983028:GEI983099 GOE983028:GOE983099 GYA983028:GYA983099 HHW983028:HHW983099 HRS983028:HRS983099 IBO983028:IBO983099 ILK983028:ILK983099 IVG983028:IVG983099 JFC983028:JFC983099 JOY983028:JOY983099 JYU983028:JYU983099 KIQ983028:KIQ983099 KSM983028:KSM983099 LCI983028:LCI983099 LME983028:LME983099 LWA983028:LWA983099 MFW983028:MFW983099 MPS983028:MPS983099 MZO983028:MZO983099 NJK983028:NJK983099 NTG983028:NTG983099 ODC983028:ODC983099 OMY983028:OMY983099 OWU983028:OWU983099 PGQ983028:PGQ983099 PQM983028:PQM983099 QAI983028:QAI983099 QKE983028:QKE983099 QUA983028:QUA983099 RDW983028:RDW983099 RNS983028:RNS983099 RXO983028:RXO983099 SHK983028:SHK983099 SRG983028:SRG983099 TBC983028:TBC983099 TKY983028:TKY983099 TUU983028:TUU983099 UEQ983028:UEQ983099 UOM983028:UOM983099 UYI983028:UYI983099 VIE983028:VIE983099 VSA983028:VSA983099 WBW983028:WBW983099 WLS983028:WLS983099 JC64349:JC64416">
      <formula1>$AJ$2:$AJ$4</formula1>
    </dataValidation>
    <dataValidation type="list" allowBlank="1" showInputMessage="1" showErrorMessage="1" sqref="I64349:I64414 I2:I486 ACW2:ACW70 AWO2:AWO70 BGK2:BGK70 BQG2:BQG70 CAC2:CAC70 CJY2:CJY70 CTU2:CTU70 DDQ2:DDQ70 DNM2:DNM70 DXI2:DXI70 EHE2:EHE70 ERA2:ERA70 FAW2:FAW70 FKS2:FKS70 FUO2:FUO70 GEK2:GEK70 GOG2:GOG70 GYC2:GYC70 HHY2:HHY70 HRU2:HRU70 IBQ2:IBQ70 ILM2:ILM70 IVI2:IVI70 JFE2:JFE70 JPA2:JPA70 JYW2:JYW70 KIS2:KIS70 KSO2:KSO70 LCK2:LCK70 LMG2:LMG70 LWC2:LWC70 MFY2:MFY70 MPU2:MPU70 MZQ2:MZQ70 NJM2:NJM70 NTI2:NTI70 ODE2:ODE70 ONA2:ONA70 OWW2:OWW70 PGS2:PGS70 PQO2:PQO70 QAK2:QAK70 QKG2:QKG70 QUC2:QUC70 RDY2:RDY70 RNU2:RNU70 RXQ2:RXQ70 SHM2:SHM70 SRI2:SRI70 TBE2:TBE70 TLA2:TLA70 TUW2:TUW70 UES2:UES70 UOO2:UOO70 UYK2:UYK70 VIG2:VIG70 VSC2:VSC70 WBY2:WBY70 WLU2:WLU70 WVQ2:WVQ70 JE2:JE70 TA2:TA70 AMS2:AMS70 TA64349:TA64414 ACW64349:ACW64414 AMS64349:AMS64414 AWO64349:AWO64414 BGK64349:BGK64414 BQG64349:BQG64414 CAC64349:CAC64414 CJY64349:CJY64414 CTU64349:CTU64414 DDQ64349:DDQ64414 DNM64349:DNM64414 DXI64349:DXI64414 EHE64349:EHE64414 ERA64349:ERA64414 FAW64349:FAW64414 FKS64349:FKS64414 FUO64349:FUO64414 GEK64349:GEK64414 GOG64349:GOG64414 GYC64349:GYC64414 HHY64349:HHY64414 HRU64349:HRU64414 IBQ64349:IBQ64414 ILM64349:ILM64414 IVI64349:IVI64414 JFE64349:JFE64414 JPA64349:JPA64414 JYW64349:JYW64414 KIS64349:KIS64414 KSO64349:KSO64414 LCK64349:LCK64414 LMG64349:LMG64414 LWC64349:LWC64414 MFY64349:MFY64414 MPU64349:MPU64414 MZQ64349:MZQ64414 NJM64349:NJM64414 NTI64349:NTI64414 ODE64349:ODE64414 ONA64349:ONA64414 OWW64349:OWW64414 PGS64349:PGS64414 PQO64349:PQO64414 QAK64349:QAK64414 QKG64349:QKG64414 QUC64349:QUC64414 RDY64349:RDY64414 RNU64349:RNU64414 RXQ64349:RXQ64414 SHM64349:SHM64414 SRI64349:SRI64414 TBE64349:TBE64414 TLA64349:TLA64414 TUW64349:TUW64414 UES64349:UES64414 UOO64349:UOO64414 UYK64349:UYK64414 VIG64349:VIG64414 VSC64349:VSC64414 WBY64349:WBY64414 WLU64349:WLU64414 WVQ64349:WVQ64414 I129885:I129950 JE129885:JE129950 TA129885:TA129950 ACW129885:ACW129950 AMS129885:AMS129950 AWO129885:AWO129950 BGK129885:BGK129950 BQG129885:BQG129950 CAC129885:CAC129950 CJY129885:CJY129950 CTU129885:CTU129950 DDQ129885:DDQ129950 DNM129885:DNM129950 DXI129885:DXI129950 EHE129885:EHE129950 ERA129885:ERA129950 FAW129885:FAW129950 FKS129885:FKS129950 FUO129885:FUO129950 GEK129885:GEK129950 GOG129885:GOG129950 GYC129885:GYC129950 HHY129885:HHY129950 HRU129885:HRU129950 IBQ129885:IBQ129950 ILM129885:ILM129950 IVI129885:IVI129950 JFE129885:JFE129950 JPA129885:JPA129950 JYW129885:JYW129950 KIS129885:KIS129950 KSO129885:KSO129950 LCK129885:LCK129950 LMG129885:LMG129950 LWC129885:LWC129950 MFY129885:MFY129950 MPU129885:MPU129950 MZQ129885:MZQ129950 NJM129885:NJM129950 NTI129885:NTI129950 ODE129885:ODE129950 ONA129885:ONA129950 OWW129885:OWW129950 PGS129885:PGS129950 PQO129885:PQO129950 QAK129885:QAK129950 QKG129885:QKG129950 QUC129885:QUC129950 RDY129885:RDY129950 RNU129885:RNU129950 RXQ129885:RXQ129950 SHM129885:SHM129950 SRI129885:SRI129950 TBE129885:TBE129950 TLA129885:TLA129950 TUW129885:TUW129950 UES129885:UES129950 UOO129885:UOO129950 UYK129885:UYK129950 VIG129885:VIG129950 VSC129885:VSC129950 WBY129885:WBY129950 WLU129885:WLU129950 WVQ129885:WVQ129950 I195421:I195486 JE195421:JE195486 TA195421:TA195486 ACW195421:ACW195486 AMS195421:AMS195486 AWO195421:AWO195486 BGK195421:BGK195486 BQG195421:BQG195486 CAC195421:CAC195486 CJY195421:CJY195486 CTU195421:CTU195486 DDQ195421:DDQ195486 DNM195421:DNM195486 DXI195421:DXI195486 EHE195421:EHE195486 ERA195421:ERA195486 FAW195421:FAW195486 FKS195421:FKS195486 FUO195421:FUO195486 GEK195421:GEK195486 GOG195421:GOG195486 GYC195421:GYC195486 HHY195421:HHY195486 HRU195421:HRU195486 IBQ195421:IBQ195486 ILM195421:ILM195486 IVI195421:IVI195486 JFE195421:JFE195486 JPA195421:JPA195486 JYW195421:JYW195486 KIS195421:KIS195486 KSO195421:KSO195486 LCK195421:LCK195486 LMG195421:LMG195486 LWC195421:LWC195486 MFY195421:MFY195486 MPU195421:MPU195486 MZQ195421:MZQ195486 NJM195421:NJM195486 NTI195421:NTI195486 ODE195421:ODE195486 ONA195421:ONA195486 OWW195421:OWW195486 PGS195421:PGS195486 PQO195421:PQO195486 QAK195421:QAK195486 QKG195421:QKG195486 QUC195421:QUC195486 RDY195421:RDY195486 RNU195421:RNU195486 RXQ195421:RXQ195486 SHM195421:SHM195486 SRI195421:SRI195486 TBE195421:TBE195486 TLA195421:TLA195486 TUW195421:TUW195486 UES195421:UES195486 UOO195421:UOO195486 UYK195421:UYK195486 VIG195421:VIG195486 VSC195421:VSC195486 WBY195421:WBY195486 WLU195421:WLU195486 WVQ195421:WVQ195486 I260957:I261022 JE260957:JE261022 TA260957:TA261022 ACW260957:ACW261022 AMS260957:AMS261022 AWO260957:AWO261022 BGK260957:BGK261022 BQG260957:BQG261022 CAC260957:CAC261022 CJY260957:CJY261022 CTU260957:CTU261022 DDQ260957:DDQ261022 DNM260957:DNM261022 DXI260957:DXI261022 EHE260957:EHE261022 ERA260957:ERA261022 FAW260957:FAW261022 FKS260957:FKS261022 FUO260957:FUO261022 GEK260957:GEK261022 GOG260957:GOG261022 GYC260957:GYC261022 HHY260957:HHY261022 HRU260957:HRU261022 IBQ260957:IBQ261022 ILM260957:ILM261022 IVI260957:IVI261022 JFE260957:JFE261022 JPA260957:JPA261022 JYW260957:JYW261022 KIS260957:KIS261022 KSO260957:KSO261022 LCK260957:LCK261022 LMG260957:LMG261022 LWC260957:LWC261022 MFY260957:MFY261022 MPU260957:MPU261022 MZQ260957:MZQ261022 NJM260957:NJM261022 NTI260957:NTI261022 ODE260957:ODE261022 ONA260957:ONA261022 OWW260957:OWW261022 PGS260957:PGS261022 PQO260957:PQO261022 QAK260957:QAK261022 QKG260957:QKG261022 QUC260957:QUC261022 RDY260957:RDY261022 RNU260957:RNU261022 RXQ260957:RXQ261022 SHM260957:SHM261022 SRI260957:SRI261022 TBE260957:TBE261022 TLA260957:TLA261022 TUW260957:TUW261022 UES260957:UES261022 UOO260957:UOO261022 UYK260957:UYK261022 VIG260957:VIG261022 VSC260957:VSC261022 WBY260957:WBY261022 WLU260957:WLU261022 WVQ260957:WVQ261022 I326493:I326558 JE326493:JE326558 TA326493:TA326558 ACW326493:ACW326558 AMS326493:AMS326558 AWO326493:AWO326558 BGK326493:BGK326558 BQG326493:BQG326558 CAC326493:CAC326558 CJY326493:CJY326558 CTU326493:CTU326558 DDQ326493:DDQ326558 DNM326493:DNM326558 DXI326493:DXI326558 EHE326493:EHE326558 ERA326493:ERA326558 FAW326493:FAW326558 FKS326493:FKS326558 FUO326493:FUO326558 GEK326493:GEK326558 GOG326493:GOG326558 GYC326493:GYC326558 HHY326493:HHY326558 HRU326493:HRU326558 IBQ326493:IBQ326558 ILM326493:ILM326558 IVI326493:IVI326558 JFE326493:JFE326558 JPA326493:JPA326558 JYW326493:JYW326558 KIS326493:KIS326558 KSO326493:KSO326558 LCK326493:LCK326558 LMG326493:LMG326558 LWC326493:LWC326558 MFY326493:MFY326558 MPU326493:MPU326558 MZQ326493:MZQ326558 NJM326493:NJM326558 NTI326493:NTI326558 ODE326493:ODE326558 ONA326493:ONA326558 OWW326493:OWW326558 PGS326493:PGS326558 PQO326493:PQO326558 QAK326493:QAK326558 QKG326493:QKG326558 QUC326493:QUC326558 RDY326493:RDY326558 RNU326493:RNU326558 RXQ326493:RXQ326558 SHM326493:SHM326558 SRI326493:SRI326558 TBE326493:TBE326558 TLA326493:TLA326558 TUW326493:TUW326558 UES326493:UES326558 UOO326493:UOO326558 UYK326493:UYK326558 VIG326493:VIG326558 VSC326493:VSC326558 WBY326493:WBY326558 WLU326493:WLU326558 WVQ326493:WVQ326558 I392029:I392094 JE392029:JE392094 TA392029:TA392094 ACW392029:ACW392094 AMS392029:AMS392094 AWO392029:AWO392094 BGK392029:BGK392094 BQG392029:BQG392094 CAC392029:CAC392094 CJY392029:CJY392094 CTU392029:CTU392094 DDQ392029:DDQ392094 DNM392029:DNM392094 DXI392029:DXI392094 EHE392029:EHE392094 ERA392029:ERA392094 FAW392029:FAW392094 FKS392029:FKS392094 FUO392029:FUO392094 GEK392029:GEK392094 GOG392029:GOG392094 GYC392029:GYC392094 HHY392029:HHY392094 HRU392029:HRU392094 IBQ392029:IBQ392094 ILM392029:ILM392094 IVI392029:IVI392094 JFE392029:JFE392094 JPA392029:JPA392094 JYW392029:JYW392094 KIS392029:KIS392094 KSO392029:KSO392094 LCK392029:LCK392094 LMG392029:LMG392094 LWC392029:LWC392094 MFY392029:MFY392094 MPU392029:MPU392094 MZQ392029:MZQ392094 NJM392029:NJM392094 NTI392029:NTI392094 ODE392029:ODE392094 ONA392029:ONA392094 OWW392029:OWW392094 PGS392029:PGS392094 PQO392029:PQO392094 QAK392029:QAK392094 QKG392029:QKG392094 QUC392029:QUC392094 RDY392029:RDY392094 RNU392029:RNU392094 RXQ392029:RXQ392094 SHM392029:SHM392094 SRI392029:SRI392094 TBE392029:TBE392094 TLA392029:TLA392094 TUW392029:TUW392094 UES392029:UES392094 UOO392029:UOO392094 UYK392029:UYK392094 VIG392029:VIG392094 VSC392029:VSC392094 WBY392029:WBY392094 WLU392029:WLU392094 WVQ392029:WVQ392094 I457565:I457630 JE457565:JE457630 TA457565:TA457630 ACW457565:ACW457630 AMS457565:AMS457630 AWO457565:AWO457630 BGK457565:BGK457630 BQG457565:BQG457630 CAC457565:CAC457630 CJY457565:CJY457630 CTU457565:CTU457630 DDQ457565:DDQ457630 DNM457565:DNM457630 DXI457565:DXI457630 EHE457565:EHE457630 ERA457565:ERA457630 FAW457565:FAW457630 FKS457565:FKS457630 FUO457565:FUO457630 GEK457565:GEK457630 GOG457565:GOG457630 GYC457565:GYC457630 HHY457565:HHY457630 HRU457565:HRU457630 IBQ457565:IBQ457630 ILM457565:ILM457630 IVI457565:IVI457630 JFE457565:JFE457630 JPA457565:JPA457630 JYW457565:JYW457630 KIS457565:KIS457630 KSO457565:KSO457630 LCK457565:LCK457630 LMG457565:LMG457630 LWC457565:LWC457630 MFY457565:MFY457630 MPU457565:MPU457630 MZQ457565:MZQ457630 NJM457565:NJM457630 NTI457565:NTI457630 ODE457565:ODE457630 ONA457565:ONA457630 OWW457565:OWW457630 PGS457565:PGS457630 PQO457565:PQO457630 QAK457565:QAK457630 QKG457565:QKG457630 QUC457565:QUC457630 RDY457565:RDY457630 RNU457565:RNU457630 RXQ457565:RXQ457630 SHM457565:SHM457630 SRI457565:SRI457630 TBE457565:TBE457630 TLA457565:TLA457630 TUW457565:TUW457630 UES457565:UES457630 UOO457565:UOO457630 UYK457565:UYK457630 VIG457565:VIG457630 VSC457565:VSC457630 WBY457565:WBY457630 WLU457565:WLU457630 WVQ457565:WVQ457630 I523101:I523166 JE523101:JE523166 TA523101:TA523166 ACW523101:ACW523166 AMS523101:AMS523166 AWO523101:AWO523166 BGK523101:BGK523166 BQG523101:BQG523166 CAC523101:CAC523166 CJY523101:CJY523166 CTU523101:CTU523166 DDQ523101:DDQ523166 DNM523101:DNM523166 DXI523101:DXI523166 EHE523101:EHE523166 ERA523101:ERA523166 FAW523101:FAW523166 FKS523101:FKS523166 FUO523101:FUO523166 GEK523101:GEK523166 GOG523101:GOG523166 GYC523101:GYC523166 HHY523101:HHY523166 HRU523101:HRU523166 IBQ523101:IBQ523166 ILM523101:ILM523166 IVI523101:IVI523166 JFE523101:JFE523166 JPA523101:JPA523166 JYW523101:JYW523166 KIS523101:KIS523166 KSO523101:KSO523166 LCK523101:LCK523166 LMG523101:LMG523166 LWC523101:LWC523166 MFY523101:MFY523166 MPU523101:MPU523166 MZQ523101:MZQ523166 NJM523101:NJM523166 NTI523101:NTI523166 ODE523101:ODE523166 ONA523101:ONA523166 OWW523101:OWW523166 PGS523101:PGS523166 PQO523101:PQO523166 QAK523101:QAK523166 QKG523101:QKG523166 QUC523101:QUC523166 RDY523101:RDY523166 RNU523101:RNU523166 RXQ523101:RXQ523166 SHM523101:SHM523166 SRI523101:SRI523166 TBE523101:TBE523166 TLA523101:TLA523166 TUW523101:TUW523166 UES523101:UES523166 UOO523101:UOO523166 UYK523101:UYK523166 VIG523101:VIG523166 VSC523101:VSC523166 WBY523101:WBY523166 WLU523101:WLU523166 WVQ523101:WVQ523166 I588637:I588702 JE588637:JE588702 TA588637:TA588702 ACW588637:ACW588702 AMS588637:AMS588702 AWO588637:AWO588702 BGK588637:BGK588702 BQG588637:BQG588702 CAC588637:CAC588702 CJY588637:CJY588702 CTU588637:CTU588702 DDQ588637:DDQ588702 DNM588637:DNM588702 DXI588637:DXI588702 EHE588637:EHE588702 ERA588637:ERA588702 FAW588637:FAW588702 FKS588637:FKS588702 FUO588637:FUO588702 GEK588637:GEK588702 GOG588637:GOG588702 GYC588637:GYC588702 HHY588637:HHY588702 HRU588637:HRU588702 IBQ588637:IBQ588702 ILM588637:ILM588702 IVI588637:IVI588702 JFE588637:JFE588702 JPA588637:JPA588702 JYW588637:JYW588702 KIS588637:KIS588702 KSO588637:KSO588702 LCK588637:LCK588702 LMG588637:LMG588702 LWC588637:LWC588702 MFY588637:MFY588702 MPU588637:MPU588702 MZQ588637:MZQ588702 NJM588637:NJM588702 NTI588637:NTI588702 ODE588637:ODE588702 ONA588637:ONA588702 OWW588637:OWW588702 PGS588637:PGS588702 PQO588637:PQO588702 QAK588637:QAK588702 QKG588637:QKG588702 QUC588637:QUC588702 RDY588637:RDY588702 RNU588637:RNU588702 RXQ588637:RXQ588702 SHM588637:SHM588702 SRI588637:SRI588702 TBE588637:TBE588702 TLA588637:TLA588702 TUW588637:TUW588702 UES588637:UES588702 UOO588637:UOO588702 UYK588637:UYK588702 VIG588637:VIG588702 VSC588637:VSC588702 WBY588637:WBY588702 WLU588637:WLU588702 WVQ588637:WVQ588702 I654173:I654238 JE654173:JE654238 TA654173:TA654238 ACW654173:ACW654238 AMS654173:AMS654238 AWO654173:AWO654238 BGK654173:BGK654238 BQG654173:BQG654238 CAC654173:CAC654238 CJY654173:CJY654238 CTU654173:CTU654238 DDQ654173:DDQ654238 DNM654173:DNM654238 DXI654173:DXI654238 EHE654173:EHE654238 ERA654173:ERA654238 FAW654173:FAW654238 FKS654173:FKS654238 FUO654173:FUO654238 GEK654173:GEK654238 GOG654173:GOG654238 GYC654173:GYC654238 HHY654173:HHY654238 HRU654173:HRU654238 IBQ654173:IBQ654238 ILM654173:ILM654238 IVI654173:IVI654238 JFE654173:JFE654238 JPA654173:JPA654238 JYW654173:JYW654238 KIS654173:KIS654238 KSO654173:KSO654238 LCK654173:LCK654238 LMG654173:LMG654238 LWC654173:LWC654238 MFY654173:MFY654238 MPU654173:MPU654238 MZQ654173:MZQ654238 NJM654173:NJM654238 NTI654173:NTI654238 ODE654173:ODE654238 ONA654173:ONA654238 OWW654173:OWW654238 PGS654173:PGS654238 PQO654173:PQO654238 QAK654173:QAK654238 QKG654173:QKG654238 QUC654173:QUC654238 RDY654173:RDY654238 RNU654173:RNU654238 RXQ654173:RXQ654238 SHM654173:SHM654238 SRI654173:SRI654238 TBE654173:TBE654238 TLA654173:TLA654238 TUW654173:TUW654238 UES654173:UES654238 UOO654173:UOO654238 UYK654173:UYK654238 VIG654173:VIG654238 VSC654173:VSC654238 WBY654173:WBY654238 WLU654173:WLU654238 WVQ654173:WVQ654238 I719709:I719774 JE719709:JE719774 TA719709:TA719774 ACW719709:ACW719774 AMS719709:AMS719774 AWO719709:AWO719774 BGK719709:BGK719774 BQG719709:BQG719774 CAC719709:CAC719774 CJY719709:CJY719774 CTU719709:CTU719774 DDQ719709:DDQ719774 DNM719709:DNM719774 DXI719709:DXI719774 EHE719709:EHE719774 ERA719709:ERA719774 FAW719709:FAW719774 FKS719709:FKS719774 FUO719709:FUO719774 GEK719709:GEK719774 GOG719709:GOG719774 GYC719709:GYC719774 HHY719709:HHY719774 HRU719709:HRU719774 IBQ719709:IBQ719774 ILM719709:ILM719774 IVI719709:IVI719774 JFE719709:JFE719774 JPA719709:JPA719774 JYW719709:JYW719774 KIS719709:KIS719774 KSO719709:KSO719774 LCK719709:LCK719774 LMG719709:LMG719774 LWC719709:LWC719774 MFY719709:MFY719774 MPU719709:MPU719774 MZQ719709:MZQ719774 NJM719709:NJM719774 NTI719709:NTI719774 ODE719709:ODE719774 ONA719709:ONA719774 OWW719709:OWW719774 PGS719709:PGS719774 PQO719709:PQO719774 QAK719709:QAK719774 QKG719709:QKG719774 QUC719709:QUC719774 RDY719709:RDY719774 RNU719709:RNU719774 RXQ719709:RXQ719774 SHM719709:SHM719774 SRI719709:SRI719774 TBE719709:TBE719774 TLA719709:TLA719774 TUW719709:TUW719774 UES719709:UES719774 UOO719709:UOO719774 UYK719709:UYK719774 VIG719709:VIG719774 VSC719709:VSC719774 WBY719709:WBY719774 WLU719709:WLU719774 WVQ719709:WVQ719774 I785245:I785310 JE785245:JE785310 TA785245:TA785310 ACW785245:ACW785310 AMS785245:AMS785310 AWO785245:AWO785310 BGK785245:BGK785310 BQG785245:BQG785310 CAC785245:CAC785310 CJY785245:CJY785310 CTU785245:CTU785310 DDQ785245:DDQ785310 DNM785245:DNM785310 DXI785245:DXI785310 EHE785245:EHE785310 ERA785245:ERA785310 FAW785245:FAW785310 FKS785245:FKS785310 FUO785245:FUO785310 GEK785245:GEK785310 GOG785245:GOG785310 GYC785245:GYC785310 HHY785245:HHY785310 HRU785245:HRU785310 IBQ785245:IBQ785310 ILM785245:ILM785310 IVI785245:IVI785310 JFE785245:JFE785310 JPA785245:JPA785310 JYW785245:JYW785310 KIS785245:KIS785310 KSO785245:KSO785310 LCK785245:LCK785310 LMG785245:LMG785310 LWC785245:LWC785310 MFY785245:MFY785310 MPU785245:MPU785310 MZQ785245:MZQ785310 NJM785245:NJM785310 NTI785245:NTI785310 ODE785245:ODE785310 ONA785245:ONA785310 OWW785245:OWW785310 PGS785245:PGS785310 PQO785245:PQO785310 QAK785245:QAK785310 QKG785245:QKG785310 QUC785245:QUC785310 RDY785245:RDY785310 RNU785245:RNU785310 RXQ785245:RXQ785310 SHM785245:SHM785310 SRI785245:SRI785310 TBE785245:TBE785310 TLA785245:TLA785310 TUW785245:TUW785310 UES785245:UES785310 UOO785245:UOO785310 UYK785245:UYK785310 VIG785245:VIG785310 VSC785245:VSC785310 WBY785245:WBY785310 WLU785245:WLU785310 WVQ785245:WVQ785310 I850781:I850846 JE850781:JE850846 TA850781:TA850846 ACW850781:ACW850846 AMS850781:AMS850846 AWO850781:AWO850846 BGK850781:BGK850846 BQG850781:BQG850846 CAC850781:CAC850846 CJY850781:CJY850846 CTU850781:CTU850846 DDQ850781:DDQ850846 DNM850781:DNM850846 DXI850781:DXI850846 EHE850781:EHE850846 ERA850781:ERA850846 FAW850781:FAW850846 FKS850781:FKS850846 FUO850781:FUO850846 GEK850781:GEK850846 GOG850781:GOG850846 GYC850781:GYC850846 HHY850781:HHY850846 HRU850781:HRU850846 IBQ850781:IBQ850846 ILM850781:ILM850846 IVI850781:IVI850846 JFE850781:JFE850846 JPA850781:JPA850846 JYW850781:JYW850846 KIS850781:KIS850846 KSO850781:KSO850846 LCK850781:LCK850846 LMG850781:LMG850846 LWC850781:LWC850846 MFY850781:MFY850846 MPU850781:MPU850846 MZQ850781:MZQ850846 NJM850781:NJM850846 NTI850781:NTI850846 ODE850781:ODE850846 ONA850781:ONA850846 OWW850781:OWW850846 PGS850781:PGS850846 PQO850781:PQO850846 QAK850781:QAK850846 QKG850781:QKG850846 QUC850781:QUC850846 RDY850781:RDY850846 RNU850781:RNU850846 RXQ850781:RXQ850846 SHM850781:SHM850846 SRI850781:SRI850846 TBE850781:TBE850846 TLA850781:TLA850846 TUW850781:TUW850846 UES850781:UES850846 UOO850781:UOO850846 UYK850781:UYK850846 VIG850781:VIG850846 VSC850781:VSC850846 WBY850781:WBY850846 WLU850781:WLU850846 WVQ850781:WVQ850846 I916317:I916382 JE916317:JE916382 TA916317:TA916382 ACW916317:ACW916382 AMS916317:AMS916382 AWO916317:AWO916382 BGK916317:BGK916382 BQG916317:BQG916382 CAC916317:CAC916382 CJY916317:CJY916382 CTU916317:CTU916382 DDQ916317:DDQ916382 DNM916317:DNM916382 DXI916317:DXI916382 EHE916317:EHE916382 ERA916317:ERA916382 FAW916317:FAW916382 FKS916317:FKS916382 FUO916317:FUO916382 GEK916317:GEK916382 GOG916317:GOG916382 GYC916317:GYC916382 HHY916317:HHY916382 HRU916317:HRU916382 IBQ916317:IBQ916382 ILM916317:ILM916382 IVI916317:IVI916382 JFE916317:JFE916382 JPA916317:JPA916382 JYW916317:JYW916382 KIS916317:KIS916382 KSO916317:KSO916382 LCK916317:LCK916382 LMG916317:LMG916382 LWC916317:LWC916382 MFY916317:MFY916382 MPU916317:MPU916382 MZQ916317:MZQ916382 NJM916317:NJM916382 NTI916317:NTI916382 ODE916317:ODE916382 ONA916317:ONA916382 OWW916317:OWW916382 PGS916317:PGS916382 PQO916317:PQO916382 QAK916317:QAK916382 QKG916317:QKG916382 QUC916317:QUC916382 RDY916317:RDY916382 RNU916317:RNU916382 RXQ916317:RXQ916382 SHM916317:SHM916382 SRI916317:SRI916382 TBE916317:TBE916382 TLA916317:TLA916382 TUW916317:TUW916382 UES916317:UES916382 UOO916317:UOO916382 UYK916317:UYK916382 VIG916317:VIG916382 VSC916317:VSC916382 WBY916317:WBY916382 WLU916317:WLU916382 WVQ916317:WVQ916382 I981853:I981918 JE981853:JE981918 TA981853:TA981918 ACW981853:ACW981918 AMS981853:AMS981918 AWO981853:AWO981918 BGK981853:BGK981918 BQG981853:BQG981918 CAC981853:CAC981918 CJY981853:CJY981918 CTU981853:CTU981918 DDQ981853:DDQ981918 DNM981853:DNM981918 DXI981853:DXI981918 EHE981853:EHE981918 ERA981853:ERA981918 FAW981853:FAW981918 FKS981853:FKS981918 FUO981853:FUO981918 GEK981853:GEK981918 GOG981853:GOG981918 GYC981853:GYC981918 HHY981853:HHY981918 HRU981853:HRU981918 IBQ981853:IBQ981918 ILM981853:ILM981918 IVI981853:IVI981918 JFE981853:JFE981918 JPA981853:JPA981918 JYW981853:JYW981918 KIS981853:KIS981918 KSO981853:KSO981918 LCK981853:LCK981918 LMG981853:LMG981918 LWC981853:LWC981918 MFY981853:MFY981918 MPU981853:MPU981918 MZQ981853:MZQ981918 NJM981853:NJM981918 NTI981853:NTI981918 ODE981853:ODE981918 ONA981853:ONA981918 OWW981853:OWW981918 PGS981853:PGS981918 PQO981853:PQO981918 QAK981853:QAK981918 QKG981853:QKG981918 QUC981853:QUC981918 RDY981853:RDY981918 RNU981853:RNU981918 RXQ981853:RXQ981918 SHM981853:SHM981918 SRI981853:SRI981918 TBE981853:TBE981918 TLA981853:TLA981918 TUW981853:TUW981918 UES981853:UES981918 UOO981853:UOO981918 UYK981853:UYK981918 VIG981853:VIG981918 VSC981853:VSC981918 WBY981853:WBY981918 WLU981853:WLU981918 WVQ981853:WVQ981918 I1047389:I1047454 JE1047389:JE1047454 TA1047389:TA1047454 ACW1047389:ACW1047454 AMS1047389:AMS1047454 AWO1047389:AWO1047454 BGK1047389:BGK1047454 BQG1047389:BQG1047454 CAC1047389:CAC1047454 CJY1047389:CJY1047454 CTU1047389:CTU1047454 DDQ1047389:DDQ1047454 DNM1047389:DNM1047454 DXI1047389:DXI1047454 EHE1047389:EHE1047454 ERA1047389:ERA1047454 FAW1047389:FAW1047454 FKS1047389:FKS1047454 FUO1047389:FUO1047454 GEK1047389:GEK1047454 GOG1047389:GOG1047454 GYC1047389:GYC1047454 HHY1047389:HHY1047454 HRU1047389:HRU1047454 IBQ1047389:IBQ1047454 ILM1047389:ILM1047454 IVI1047389:IVI1047454 JFE1047389:JFE1047454 JPA1047389:JPA1047454 JYW1047389:JYW1047454 KIS1047389:KIS1047454 KSO1047389:KSO1047454 LCK1047389:LCK1047454 LMG1047389:LMG1047454 LWC1047389:LWC1047454 MFY1047389:MFY1047454 MPU1047389:MPU1047454 MZQ1047389:MZQ1047454 NJM1047389:NJM1047454 NTI1047389:NTI1047454 ODE1047389:ODE1047454 ONA1047389:ONA1047454 OWW1047389:OWW1047454 PGS1047389:PGS1047454 PQO1047389:PQO1047454 QAK1047389:QAK1047454 QKG1047389:QKG1047454 QUC1047389:QUC1047454 RDY1047389:RDY1047454 RNU1047389:RNU1047454 RXQ1047389:RXQ1047454 SHM1047389:SHM1047454 SRI1047389:SRI1047454 TBE1047389:TBE1047454 TLA1047389:TLA1047454 TUW1047389:TUW1047454 UES1047389:UES1047454 UOO1047389:UOO1047454 UYK1047389:UYK1047454 VIG1047389:VIG1047454 VSC1047389:VSC1047454 WBY1047389:WBY1047454 WLU1047389:WLU1047454 WVQ1047389:WVQ1047454 WVQ983028:WVQ983093 I65524:I65589 JE65524:JE65589 TA65524:TA65589 ACW65524:ACW65589 AMS65524:AMS65589 AWO65524:AWO65589 BGK65524:BGK65589 BQG65524:BQG65589 CAC65524:CAC65589 CJY65524:CJY65589 CTU65524:CTU65589 DDQ65524:DDQ65589 DNM65524:DNM65589 DXI65524:DXI65589 EHE65524:EHE65589 ERA65524:ERA65589 FAW65524:FAW65589 FKS65524:FKS65589 FUO65524:FUO65589 GEK65524:GEK65589 GOG65524:GOG65589 GYC65524:GYC65589 HHY65524:HHY65589 HRU65524:HRU65589 IBQ65524:IBQ65589 ILM65524:ILM65589 IVI65524:IVI65589 JFE65524:JFE65589 JPA65524:JPA65589 JYW65524:JYW65589 KIS65524:KIS65589 KSO65524:KSO65589 LCK65524:LCK65589 LMG65524:LMG65589 LWC65524:LWC65589 MFY65524:MFY65589 MPU65524:MPU65589 MZQ65524:MZQ65589 NJM65524:NJM65589 NTI65524:NTI65589 ODE65524:ODE65589 ONA65524:ONA65589 OWW65524:OWW65589 PGS65524:PGS65589 PQO65524:PQO65589 QAK65524:QAK65589 QKG65524:QKG65589 QUC65524:QUC65589 RDY65524:RDY65589 RNU65524:RNU65589 RXQ65524:RXQ65589 SHM65524:SHM65589 SRI65524:SRI65589 TBE65524:TBE65589 TLA65524:TLA65589 TUW65524:TUW65589 UES65524:UES65589 UOO65524:UOO65589 UYK65524:UYK65589 VIG65524:VIG65589 VSC65524:VSC65589 WBY65524:WBY65589 WLU65524:WLU65589 WVQ65524:WVQ65589 I131060:I131125 JE131060:JE131125 TA131060:TA131125 ACW131060:ACW131125 AMS131060:AMS131125 AWO131060:AWO131125 BGK131060:BGK131125 BQG131060:BQG131125 CAC131060:CAC131125 CJY131060:CJY131125 CTU131060:CTU131125 DDQ131060:DDQ131125 DNM131060:DNM131125 DXI131060:DXI131125 EHE131060:EHE131125 ERA131060:ERA131125 FAW131060:FAW131125 FKS131060:FKS131125 FUO131060:FUO131125 GEK131060:GEK131125 GOG131060:GOG131125 GYC131060:GYC131125 HHY131060:HHY131125 HRU131060:HRU131125 IBQ131060:IBQ131125 ILM131060:ILM131125 IVI131060:IVI131125 JFE131060:JFE131125 JPA131060:JPA131125 JYW131060:JYW131125 KIS131060:KIS131125 KSO131060:KSO131125 LCK131060:LCK131125 LMG131060:LMG131125 LWC131060:LWC131125 MFY131060:MFY131125 MPU131060:MPU131125 MZQ131060:MZQ131125 NJM131060:NJM131125 NTI131060:NTI131125 ODE131060:ODE131125 ONA131060:ONA131125 OWW131060:OWW131125 PGS131060:PGS131125 PQO131060:PQO131125 QAK131060:QAK131125 QKG131060:QKG131125 QUC131060:QUC131125 RDY131060:RDY131125 RNU131060:RNU131125 RXQ131060:RXQ131125 SHM131060:SHM131125 SRI131060:SRI131125 TBE131060:TBE131125 TLA131060:TLA131125 TUW131060:TUW131125 UES131060:UES131125 UOO131060:UOO131125 UYK131060:UYK131125 VIG131060:VIG131125 VSC131060:VSC131125 WBY131060:WBY131125 WLU131060:WLU131125 WVQ131060:WVQ131125 I196596:I196661 JE196596:JE196661 TA196596:TA196661 ACW196596:ACW196661 AMS196596:AMS196661 AWO196596:AWO196661 BGK196596:BGK196661 BQG196596:BQG196661 CAC196596:CAC196661 CJY196596:CJY196661 CTU196596:CTU196661 DDQ196596:DDQ196661 DNM196596:DNM196661 DXI196596:DXI196661 EHE196596:EHE196661 ERA196596:ERA196661 FAW196596:FAW196661 FKS196596:FKS196661 FUO196596:FUO196661 GEK196596:GEK196661 GOG196596:GOG196661 GYC196596:GYC196661 HHY196596:HHY196661 HRU196596:HRU196661 IBQ196596:IBQ196661 ILM196596:ILM196661 IVI196596:IVI196661 JFE196596:JFE196661 JPA196596:JPA196661 JYW196596:JYW196661 KIS196596:KIS196661 KSO196596:KSO196661 LCK196596:LCK196661 LMG196596:LMG196661 LWC196596:LWC196661 MFY196596:MFY196661 MPU196596:MPU196661 MZQ196596:MZQ196661 NJM196596:NJM196661 NTI196596:NTI196661 ODE196596:ODE196661 ONA196596:ONA196661 OWW196596:OWW196661 PGS196596:PGS196661 PQO196596:PQO196661 QAK196596:QAK196661 QKG196596:QKG196661 QUC196596:QUC196661 RDY196596:RDY196661 RNU196596:RNU196661 RXQ196596:RXQ196661 SHM196596:SHM196661 SRI196596:SRI196661 TBE196596:TBE196661 TLA196596:TLA196661 TUW196596:TUW196661 UES196596:UES196661 UOO196596:UOO196661 UYK196596:UYK196661 VIG196596:VIG196661 VSC196596:VSC196661 WBY196596:WBY196661 WLU196596:WLU196661 WVQ196596:WVQ196661 I262132:I262197 JE262132:JE262197 TA262132:TA262197 ACW262132:ACW262197 AMS262132:AMS262197 AWO262132:AWO262197 BGK262132:BGK262197 BQG262132:BQG262197 CAC262132:CAC262197 CJY262132:CJY262197 CTU262132:CTU262197 DDQ262132:DDQ262197 DNM262132:DNM262197 DXI262132:DXI262197 EHE262132:EHE262197 ERA262132:ERA262197 FAW262132:FAW262197 FKS262132:FKS262197 FUO262132:FUO262197 GEK262132:GEK262197 GOG262132:GOG262197 GYC262132:GYC262197 HHY262132:HHY262197 HRU262132:HRU262197 IBQ262132:IBQ262197 ILM262132:ILM262197 IVI262132:IVI262197 JFE262132:JFE262197 JPA262132:JPA262197 JYW262132:JYW262197 KIS262132:KIS262197 KSO262132:KSO262197 LCK262132:LCK262197 LMG262132:LMG262197 LWC262132:LWC262197 MFY262132:MFY262197 MPU262132:MPU262197 MZQ262132:MZQ262197 NJM262132:NJM262197 NTI262132:NTI262197 ODE262132:ODE262197 ONA262132:ONA262197 OWW262132:OWW262197 PGS262132:PGS262197 PQO262132:PQO262197 QAK262132:QAK262197 QKG262132:QKG262197 QUC262132:QUC262197 RDY262132:RDY262197 RNU262132:RNU262197 RXQ262132:RXQ262197 SHM262132:SHM262197 SRI262132:SRI262197 TBE262132:TBE262197 TLA262132:TLA262197 TUW262132:TUW262197 UES262132:UES262197 UOO262132:UOO262197 UYK262132:UYK262197 VIG262132:VIG262197 VSC262132:VSC262197 WBY262132:WBY262197 WLU262132:WLU262197 WVQ262132:WVQ262197 I327668:I327733 JE327668:JE327733 TA327668:TA327733 ACW327668:ACW327733 AMS327668:AMS327733 AWO327668:AWO327733 BGK327668:BGK327733 BQG327668:BQG327733 CAC327668:CAC327733 CJY327668:CJY327733 CTU327668:CTU327733 DDQ327668:DDQ327733 DNM327668:DNM327733 DXI327668:DXI327733 EHE327668:EHE327733 ERA327668:ERA327733 FAW327668:FAW327733 FKS327668:FKS327733 FUO327668:FUO327733 GEK327668:GEK327733 GOG327668:GOG327733 GYC327668:GYC327733 HHY327668:HHY327733 HRU327668:HRU327733 IBQ327668:IBQ327733 ILM327668:ILM327733 IVI327668:IVI327733 JFE327668:JFE327733 JPA327668:JPA327733 JYW327668:JYW327733 KIS327668:KIS327733 KSO327668:KSO327733 LCK327668:LCK327733 LMG327668:LMG327733 LWC327668:LWC327733 MFY327668:MFY327733 MPU327668:MPU327733 MZQ327668:MZQ327733 NJM327668:NJM327733 NTI327668:NTI327733 ODE327668:ODE327733 ONA327668:ONA327733 OWW327668:OWW327733 PGS327668:PGS327733 PQO327668:PQO327733 QAK327668:QAK327733 QKG327668:QKG327733 QUC327668:QUC327733 RDY327668:RDY327733 RNU327668:RNU327733 RXQ327668:RXQ327733 SHM327668:SHM327733 SRI327668:SRI327733 TBE327668:TBE327733 TLA327668:TLA327733 TUW327668:TUW327733 UES327668:UES327733 UOO327668:UOO327733 UYK327668:UYK327733 VIG327668:VIG327733 VSC327668:VSC327733 WBY327668:WBY327733 WLU327668:WLU327733 WVQ327668:WVQ327733 I393204:I393269 JE393204:JE393269 TA393204:TA393269 ACW393204:ACW393269 AMS393204:AMS393269 AWO393204:AWO393269 BGK393204:BGK393269 BQG393204:BQG393269 CAC393204:CAC393269 CJY393204:CJY393269 CTU393204:CTU393269 DDQ393204:DDQ393269 DNM393204:DNM393269 DXI393204:DXI393269 EHE393204:EHE393269 ERA393204:ERA393269 FAW393204:FAW393269 FKS393204:FKS393269 FUO393204:FUO393269 GEK393204:GEK393269 GOG393204:GOG393269 GYC393204:GYC393269 HHY393204:HHY393269 HRU393204:HRU393269 IBQ393204:IBQ393269 ILM393204:ILM393269 IVI393204:IVI393269 JFE393204:JFE393269 JPA393204:JPA393269 JYW393204:JYW393269 KIS393204:KIS393269 KSO393204:KSO393269 LCK393204:LCK393269 LMG393204:LMG393269 LWC393204:LWC393269 MFY393204:MFY393269 MPU393204:MPU393269 MZQ393204:MZQ393269 NJM393204:NJM393269 NTI393204:NTI393269 ODE393204:ODE393269 ONA393204:ONA393269 OWW393204:OWW393269 PGS393204:PGS393269 PQO393204:PQO393269 QAK393204:QAK393269 QKG393204:QKG393269 QUC393204:QUC393269 RDY393204:RDY393269 RNU393204:RNU393269 RXQ393204:RXQ393269 SHM393204:SHM393269 SRI393204:SRI393269 TBE393204:TBE393269 TLA393204:TLA393269 TUW393204:TUW393269 UES393204:UES393269 UOO393204:UOO393269 UYK393204:UYK393269 VIG393204:VIG393269 VSC393204:VSC393269 WBY393204:WBY393269 WLU393204:WLU393269 WVQ393204:WVQ393269 I458740:I458805 JE458740:JE458805 TA458740:TA458805 ACW458740:ACW458805 AMS458740:AMS458805 AWO458740:AWO458805 BGK458740:BGK458805 BQG458740:BQG458805 CAC458740:CAC458805 CJY458740:CJY458805 CTU458740:CTU458805 DDQ458740:DDQ458805 DNM458740:DNM458805 DXI458740:DXI458805 EHE458740:EHE458805 ERA458740:ERA458805 FAW458740:FAW458805 FKS458740:FKS458805 FUO458740:FUO458805 GEK458740:GEK458805 GOG458740:GOG458805 GYC458740:GYC458805 HHY458740:HHY458805 HRU458740:HRU458805 IBQ458740:IBQ458805 ILM458740:ILM458805 IVI458740:IVI458805 JFE458740:JFE458805 JPA458740:JPA458805 JYW458740:JYW458805 KIS458740:KIS458805 KSO458740:KSO458805 LCK458740:LCK458805 LMG458740:LMG458805 LWC458740:LWC458805 MFY458740:MFY458805 MPU458740:MPU458805 MZQ458740:MZQ458805 NJM458740:NJM458805 NTI458740:NTI458805 ODE458740:ODE458805 ONA458740:ONA458805 OWW458740:OWW458805 PGS458740:PGS458805 PQO458740:PQO458805 QAK458740:QAK458805 QKG458740:QKG458805 QUC458740:QUC458805 RDY458740:RDY458805 RNU458740:RNU458805 RXQ458740:RXQ458805 SHM458740:SHM458805 SRI458740:SRI458805 TBE458740:TBE458805 TLA458740:TLA458805 TUW458740:TUW458805 UES458740:UES458805 UOO458740:UOO458805 UYK458740:UYK458805 VIG458740:VIG458805 VSC458740:VSC458805 WBY458740:WBY458805 WLU458740:WLU458805 WVQ458740:WVQ458805 I524276:I524341 JE524276:JE524341 TA524276:TA524341 ACW524276:ACW524341 AMS524276:AMS524341 AWO524276:AWO524341 BGK524276:BGK524341 BQG524276:BQG524341 CAC524276:CAC524341 CJY524276:CJY524341 CTU524276:CTU524341 DDQ524276:DDQ524341 DNM524276:DNM524341 DXI524276:DXI524341 EHE524276:EHE524341 ERA524276:ERA524341 FAW524276:FAW524341 FKS524276:FKS524341 FUO524276:FUO524341 GEK524276:GEK524341 GOG524276:GOG524341 GYC524276:GYC524341 HHY524276:HHY524341 HRU524276:HRU524341 IBQ524276:IBQ524341 ILM524276:ILM524341 IVI524276:IVI524341 JFE524276:JFE524341 JPA524276:JPA524341 JYW524276:JYW524341 KIS524276:KIS524341 KSO524276:KSO524341 LCK524276:LCK524341 LMG524276:LMG524341 LWC524276:LWC524341 MFY524276:MFY524341 MPU524276:MPU524341 MZQ524276:MZQ524341 NJM524276:NJM524341 NTI524276:NTI524341 ODE524276:ODE524341 ONA524276:ONA524341 OWW524276:OWW524341 PGS524276:PGS524341 PQO524276:PQO524341 QAK524276:QAK524341 QKG524276:QKG524341 QUC524276:QUC524341 RDY524276:RDY524341 RNU524276:RNU524341 RXQ524276:RXQ524341 SHM524276:SHM524341 SRI524276:SRI524341 TBE524276:TBE524341 TLA524276:TLA524341 TUW524276:TUW524341 UES524276:UES524341 UOO524276:UOO524341 UYK524276:UYK524341 VIG524276:VIG524341 VSC524276:VSC524341 WBY524276:WBY524341 WLU524276:WLU524341 WVQ524276:WVQ524341 I589812:I589877 JE589812:JE589877 TA589812:TA589877 ACW589812:ACW589877 AMS589812:AMS589877 AWO589812:AWO589877 BGK589812:BGK589877 BQG589812:BQG589877 CAC589812:CAC589877 CJY589812:CJY589877 CTU589812:CTU589877 DDQ589812:DDQ589877 DNM589812:DNM589877 DXI589812:DXI589877 EHE589812:EHE589877 ERA589812:ERA589877 FAW589812:FAW589877 FKS589812:FKS589877 FUO589812:FUO589877 GEK589812:GEK589877 GOG589812:GOG589877 GYC589812:GYC589877 HHY589812:HHY589877 HRU589812:HRU589877 IBQ589812:IBQ589877 ILM589812:ILM589877 IVI589812:IVI589877 JFE589812:JFE589877 JPA589812:JPA589877 JYW589812:JYW589877 KIS589812:KIS589877 KSO589812:KSO589877 LCK589812:LCK589877 LMG589812:LMG589877 LWC589812:LWC589877 MFY589812:MFY589877 MPU589812:MPU589877 MZQ589812:MZQ589877 NJM589812:NJM589877 NTI589812:NTI589877 ODE589812:ODE589877 ONA589812:ONA589877 OWW589812:OWW589877 PGS589812:PGS589877 PQO589812:PQO589877 QAK589812:QAK589877 QKG589812:QKG589877 QUC589812:QUC589877 RDY589812:RDY589877 RNU589812:RNU589877 RXQ589812:RXQ589877 SHM589812:SHM589877 SRI589812:SRI589877 TBE589812:TBE589877 TLA589812:TLA589877 TUW589812:TUW589877 UES589812:UES589877 UOO589812:UOO589877 UYK589812:UYK589877 VIG589812:VIG589877 VSC589812:VSC589877 WBY589812:WBY589877 WLU589812:WLU589877 WVQ589812:WVQ589877 I655348:I655413 JE655348:JE655413 TA655348:TA655413 ACW655348:ACW655413 AMS655348:AMS655413 AWO655348:AWO655413 BGK655348:BGK655413 BQG655348:BQG655413 CAC655348:CAC655413 CJY655348:CJY655413 CTU655348:CTU655413 DDQ655348:DDQ655413 DNM655348:DNM655413 DXI655348:DXI655413 EHE655348:EHE655413 ERA655348:ERA655413 FAW655348:FAW655413 FKS655348:FKS655413 FUO655348:FUO655413 GEK655348:GEK655413 GOG655348:GOG655413 GYC655348:GYC655413 HHY655348:HHY655413 HRU655348:HRU655413 IBQ655348:IBQ655413 ILM655348:ILM655413 IVI655348:IVI655413 JFE655348:JFE655413 JPA655348:JPA655413 JYW655348:JYW655413 KIS655348:KIS655413 KSO655348:KSO655413 LCK655348:LCK655413 LMG655348:LMG655413 LWC655348:LWC655413 MFY655348:MFY655413 MPU655348:MPU655413 MZQ655348:MZQ655413 NJM655348:NJM655413 NTI655348:NTI655413 ODE655348:ODE655413 ONA655348:ONA655413 OWW655348:OWW655413 PGS655348:PGS655413 PQO655348:PQO655413 QAK655348:QAK655413 QKG655348:QKG655413 QUC655348:QUC655413 RDY655348:RDY655413 RNU655348:RNU655413 RXQ655348:RXQ655413 SHM655348:SHM655413 SRI655348:SRI655413 TBE655348:TBE655413 TLA655348:TLA655413 TUW655348:TUW655413 UES655348:UES655413 UOO655348:UOO655413 UYK655348:UYK655413 VIG655348:VIG655413 VSC655348:VSC655413 WBY655348:WBY655413 WLU655348:WLU655413 WVQ655348:WVQ655413 I720884:I720949 JE720884:JE720949 TA720884:TA720949 ACW720884:ACW720949 AMS720884:AMS720949 AWO720884:AWO720949 BGK720884:BGK720949 BQG720884:BQG720949 CAC720884:CAC720949 CJY720884:CJY720949 CTU720884:CTU720949 DDQ720884:DDQ720949 DNM720884:DNM720949 DXI720884:DXI720949 EHE720884:EHE720949 ERA720884:ERA720949 FAW720884:FAW720949 FKS720884:FKS720949 FUO720884:FUO720949 GEK720884:GEK720949 GOG720884:GOG720949 GYC720884:GYC720949 HHY720884:HHY720949 HRU720884:HRU720949 IBQ720884:IBQ720949 ILM720884:ILM720949 IVI720884:IVI720949 JFE720884:JFE720949 JPA720884:JPA720949 JYW720884:JYW720949 KIS720884:KIS720949 KSO720884:KSO720949 LCK720884:LCK720949 LMG720884:LMG720949 LWC720884:LWC720949 MFY720884:MFY720949 MPU720884:MPU720949 MZQ720884:MZQ720949 NJM720884:NJM720949 NTI720884:NTI720949 ODE720884:ODE720949 ONA720884:ONA720949 OWW720884:OWW720949 PGS720884:PGS720949 PQO720884:PQO720949 QAK720884:QAK720949 QKG720884:QKG720949 QUC720884:QUC720949 RDY720884:RDY720949 RNU720884:RNU720949 RXQ720884:RXQ720949 SHM720884:SHM720949 SRI720884:SRI720949 TBE720884:TBE720949 TLA720884:TLA720949 TUW720884:TUW720949 UES720884:UES720949 UOO720884:UOO720949 UYK720884:UYK720949 VIG720884:VIG720949 VSC720884:VSC720949 WBY720884:WBY720949 WLU720884:WLU720949 WVQ720884:WVQ720949 I786420:I786485 JE786420:JE786485 TA786420:TA786485 ACW786420:ACW786485 AMS786420:AMS786485 AWO786420:AWO786485 BGK786420:BGK786485 BQG786420:BQG786485 CAC786420:CAC786485 CJY786420:CJY786485 CTU786420:CTU786485 DDQ786420:DDQ786485 DNM786420:DNM786485 DXI786420:DXI786485 EHE786420:EHE786485 ERA786420:ERA786485 FAW786420:FAW786485 FKS786420:FKS786485 FUO786420:FUO786485 GEK786420:GEK786485 GOG786420:GOG786485 GYC786420:GYC786485 HHY786420:HHY786485 HRU786420:HRU786485 IBQ786420:IBQ786485 ILM786420:ILM786485 IVI786420:IVI786485 JFE786420:JFE786485 JPA786420:JPA786485 JYW786420:JYW786485 KIS786420:KIS786485 KSO786420:KSO786485 LCK786420:LCK786485 LMG786420:LMG786485 LWC786420:LWC786485 MFY786420:MFY786485 MPU786420:MPU786485 MZQ786420:MZQ786485 NJM786420:NJM786485 NTI786420:NTI786485 ODE786420:ODE786485 ONA786420:ONA786485 OWW786420:OWW786485 PGS786420:PGS786485 PQO786420:PQO786485 QAK786420:QAK786485 QKG786420:QKG786485 QUC786420:QUC786485 RDY786420:RDY786485 RNU786420:RNU786485 RXQ786420:RXQ786485 SHM786420:SHM786485 SRI786420:SRI786485 TBE786420:TBE786485 TLA786420:TLA786485 TUW786420:TUW786485 UES786420:UES786485 UOO786420:UOO786485 UYK786420:UYK786485 VIG786420:VIG786485 VSC786420:VSC786485 WBY786420:WBY786485 WLU786420:WLU786485 WVQ786420:WVQ786485 I851956:I852021 JE851956:JE852021 TA851956:TA852021 ACW851956:ACW852021 AMS851956:AMS852021 AWO851956:AWO852021 BGK851956:BGK852021 BQG851956:BQG852021 CAC851956:CAC852021 CJY851956:CJY852021 CTU851956:CTU852021 DDQ851956:DDQ852021 DNM851956:DNM852021 DXI851956:DXI852021 EHE851956:EHE852021 ERA851956:ERA852021 FAW851956:FAW852021 FKS851956:FKS852021 FUO851956:FUO852021 GEK851956:GEK852021 GOG851956:GOG852021 GYC851956:GYC852021 HHY851956:HHY852021 HRU851956:HRU852021 IBQ851956:IBQ852021 ILM851956:ILM852021 IVI851956:IVI852021 JFE851956:JFE852021 JPA851956:JPA852021 JYW851956:JYW852021 KIS851956:KIS852021 KSO851956:KSO852021 LCK851956:LCK852021 LMG851956:LMG852021 LWC851956:LWC852021 MFY851956:MFY852021 MPU851956:MPU852021 MZQ851956:MZQ852021 NJM851956:NJM852021 NTI851956:NTI852021 ODE851956:ODE852021 ONA851956:ONA852021 OWW851956:OWW852021 PGS851956:PGS852021 PQO851956:PQO852021 QAK851956:QAK852021 QKG851956:QKG852021 QUC851956:QUC852021 RDY851956:RDY852021 RNU851956:RNU852021 RXQ851956:RXQ852021 SHM851956:SHM852021 SRI851956:SRI852021 TBE851956:TBE852021 TLA851956:TLA852021 TUW851956:TUW852021 UES851956:UES852021 UOO851956:UOO852021 UYK851956:UYK852021 VIG851956:VIG852021 VSC851956:VSC852021 WBY851956:WBY852021 WLU851956:WLU852021 WVQ851956:WVQ852021 I917492:I917557 JE917492:JE917557 TA917492:TA917557 ACW917492:ACW917557 AMS917492:AMS917557 AWO917492:AWO917557 BGK917492:BGK917557 BQG917492:BQG917557 CAC917492:CAC917557 CJY917492:CJY917557 CTU917492:CTU917557 DDQ917492:DDQ917557 DNM917492:DNM917557 DXI917492:DXI917557 EHE917492:EHE917557 ERA917492:ERA917557 FAW917492:FAW917557 FKS917492:FKS917557 FUO917492:FUO917557 GEK917492:GEK917557 GOG917492:GOG917557 GYC917492:GYC917557 HHY917492:HHY917557 HRU917492:HRU917557 IBQ917492:IBQ917557 ILM917492:ILM917557 IVI917492:IVI917557 JFE917492:JFE917557 JPA917492:JPA917557 JYW917492:JYW917557 KIS917492:KIS917557 KSO917492:KSO917557 LCK917492:LCK917557 LMG917492:LMG917557 LWC917492:LWC917557 MFY917492:MFY917557 MPU917492:MPU917557 MZQ917492:MZQ917557 NJM917492:NJM917557 NTI917492:NTI917557 ODE917492:ODE917557 ONA917492:ONA917557 OWW917492:OWW917557 PGS917492:PGS917557 PQO917492:PQO917557 QAK917492:QAK917557 QKG917492:QKG917557 QUC917492:QUC917557 RDY917492:RDY917557 RNU917492:RNU917557 RXQ917492:RXQ917557 SHM917492:SHM917557 SRI917492:SRI917557 TBE917492:TBE917557 TLA917492:TLA917557 TUW917492:TUW917557 UES917492:UES917557 UOO917492:UOO917557 UYK917492:UYK917557 VIG917492:VIG917557 VSC917492:VSC917557 WBY917492:WBY917557 WLU917492:WLU917557 WVQ917492:WVQ917557 I983028:I983093 JE983028:JE983093 TA983028:TA983093 ACW983028:ACW983093 AMS983028:AMS983093 AWO983028:AWO983093 BGK983028:BGK983093 BQG983028:BQG983093 CAC983028:CAC983093 CJY983028:CJY983093 CTU983028:CTU983093 DDQ983028:DDQ983093 DNM983028:DNM983093 DXI983028:DXI983093 EHE983028:EHE983093 ERA983028:ERA983093 FAW983028:FAW983093 FKS983028:FKS983093 FUO983028:FUO983093 GEK983028:GEK983093 GOG983028:GOG983093 GYC983028:GYC983093 HHY983028:HHY983093 HRU983028:HRU983093 IBQ983028:IBQ983093 ILM983028:ILM983093 IVI983028:IVI983093 JFE983028:JFE983093 JPA983028:JPA983093 JYW983028:JYW983093 KIS983028:KIS983093 KSO983028:KSO983093 LCK983028:LCK983093 LMG983028:LMG983093 LWC983028:LWC983093 MFY983028:MFY983093 MPU983028:MPU983093 MZQ983028:MZQ983093 NJM983028:NJM983093 NTI983028:NTI983093 ODE983028:ODE983093 ONA983028:ONA983093 OWW983028:OWW983093 PGS983028:PGS983093 PQO983028:PQO983093 QAK983028:QAK983093 QKG983028:QKG983093 QUC983028:QUC983093 RDY983028:RDY983093 RNU983028:RNU983093 RXQ983028:RXQ983093 SHM983028:SHM983093 SRI983028:SRI983093 TBE983028:TBE983093 TLA983028:TLA983093 TUW983028:TUW983093 UES983028:UES983093 UOO983028:UOO983093 UYK983028:UYK983093 VIG983028:VIG983093 VSC983028:VSC983093 WBY983028:WBY983093 WLU983028:WLU983093 JE64349:JE64414">
      <formula1>$AN$5:$AN$6</formula1>
    </dataValidation>
    <dataValidation type="list" allowBlank="1" showInputMessage="1" showErrorMessage="1" sqref="J64349:J64414 JF64349:JF64414 TB64349:TB64414 ACX64349:ACX64414 AMT64349:AMT64414 AWP64349:AWP64414 BGL64349:BGL64414 BQH64349:BQH64414 CAD64349:CAD64414 CJZ64349:CJZ64414 CTV64349:CTV64414 DDR64349:DDR64414 DNN64349:DNN64414 DXJ64349:DXJ64414 EHF64349:EHF64414 ERB64349:ERB64414 FAX64349:FAX64414 FKT64349:FKT64414 FUP64349:FUP64414 GEL64349:GEL64414 GOH64349:GOH64414 GYD64349:GYD64414 HHZ64349:HHZ64414 HRV64349:HRV64414 IBR64349:IBR64414 ILN64349:ILN64414 IVJ64349:IVJ64414 JFF64349:JFF64414 JPB64349:JPB64414 JYX64349:JYX64414 KIT64349:KIT64414 KSP64349:KSP64414 LCL64349:LCL64414 LMH64349:LMH64414 LWD64349:LWD64414 MFZ64349:MFZ64414 MPV64349:MPV64414 MZR64349:MZR64414 NJN64349:NJN64414 NTJ64349:NTJ64414 ODF64349:ODF64414 ONB64349:ONB64414 OWX64349:OWX64414 PGT64349:PGT64414 PQP64349:PQP64414 QAL64349:QAL64414 QKH64349:QKH64414 QUD64349:QUD64414 RDZ64349:RDZ64414 RNV64349:RNV64414 RXR64349:RXR64414 SHN64349:SHN64414 SRJ64349:SRJ64414 TBF64349:TBF64414 TLB64349:TLB64414 TUX64349:TUX64414 UET64349:UET64414 UOP64349:UOP64414 UYL64349:UYL64414 VIH64349:VIH64414 VSD64349:VSD64414 WBZ64349:WBZ64414 WLV64349:WLV64414 WVR64349:WVR64414 J129885:J129950 JF129885:JF129950 TB129885:TB129950 ACX129885:ACX129950 AMT129885:AMT129950 AWP129885:AWP129950 BGL129885:BGL129950 BQH129885:BQH129950 CAD129885:CAD129950 CJZ129885:CJZ129950 CTV129885:CTV129950 DDR129885:DDR129950 DNN129885:DNN129950 DXJ129885:DXJ129950 EHF129885:EHF129950 ERB129885:ERB129950 FAX129885:FAX129950 FKT129885:FKT129950 FUP129885:FUP129950 GEL129885:GEL129950 GOH129885:GOH129950 GYD129885:GYD129950 HHZ129885:HHZ129950 HRV129885:HRV129950 IBR129885:IBR129950 ILN129885:ILN129950 IVJ129885:IVJ129950 JFF129885:JFF129950 JPB129885:JPB129950 JYX129885:JYX129950 KIT129885:KIT129950 KSP129885:KSP129950 LCL129885:LCL129950 LMH129885:LMH129950 LWD129885:LWD129950 MFZ129885:MFZ129950 MPV129885:MPV129950 MZR129885:MZR129950 NJN129885:NJN129950 NTJ129885:NTJ129950 ODF129885:ODF129950 ONB129885:ONB129950 OWX129885:OWX129950 PGT129885:PGT129950 PQP129885:PQP129950 QAL129885:QAL129950 QKH129885:QKH129950 QUD129885:QUD129950 RDZ129885:RDZ129950 RNV129885:RNV129950 RXR129885:RXR129950 SHN129885:SHN129950 SRJ129885:SRJ129950 TBF129885:TBF129950 TLB129885:TLB129950 TUX129885:TUX129950 UET129885:UET129950 UOP129885:UOP129950 UYL129885:UYL129950 VIH129885:VIH129950 VSD129885:VSD129950 WBZ129885:WBZ129950 WLV129885:WLV129950 WVR129885:WVR129950 J195421:J195486 JF195421:JF195486 TB195421:TB195486 ACX195421:ACX195486 AMT195421:AMT195486 AWP195421:AWP195486 BGL195421:BGL195486 BQH195421:BQH195486 CAD195421:CAD195486 CJZ195421:CJZ195486 CTV195421:CTV195486 DDR195421:DDR195486 DNN195421:DNN195486 DXJ195421:DXJ195486 EHF195421:EHF195486 ERB195421:ERB195486 FAX195421:FAX195486 FKT195421:FKT195486 FUP195421:FUP195486 GEL195421:GEL195486 GOH195421:GOH195486 GYD195421:GYD195486 HHZ195421:HHZ195486 HRV195421:HRV195486 IBR195421:IBR195486 ILN195421:ILN195486 IVJ195421:IVJ195486 JFF195421:JFF195486 JPB195421:JPB195486 JYX195421:JYX195486 KIT195421:KIT195486 KSP195421:KSP195486 LCL195421:LCL195486 LMH195421:LMH195486 LWD195421:LWD195486 MFZ195421:MFZ195486 MPV195421:MPV195486 MZR195421:MZR195486 NJN195421:NJN195486 NTJ195421:NTJ195486 ODF195421:ODF195486 ONB195421:ONB195486 OWX195421:OWX195486 PGT195421:PGT195486 PQP195421:PQP195486 QAL195421:QAL195486 QKH195421:QKH195486 QUD195421:QUD195486 RDZ195421:RDZ195486 RNV195421:RNV195486 RXR195421:RXR195486 SHN195421:SHN195486 SRJ195421:SRJ195486 TBF195421:TBF195486 TLB195421:TLB195486 TUX195421:TUX195486 UET195421:UET195486 UOP195421:UOP195486 UYL195421:UYL195486 VIH195421:VIH195486 VSD195421:VSD195486 WBZ195421:WBZ195486 WLV195421:WLV195486 WVR195421:WVR195486 J260957:J261022 JF260957:JF261022 TB260957:TB261022 ACX260957:ACX261022 AMT260957:AMT261022 AWP260957:AWP261022 BGL260957:BGL261022 BQH260957:BQH261022 CAD260957:CAD261022 CJZ260957:CJZ261022 CTV260957:CTV261022 DDR260957:DDR261022 DNN260957:DNN261022 DXJ260957:DXJ261022 EHF260957:EHF261022 ERB260957:ERB261022 FAX260957:FAX261022 FKT260957:FKT261022 FUP260957:FUP261022 GEL260957:GEL261022 GOH260957:GOH261022 GYD260957:GYD261022 HHZ260957:HHZ261022 HRV260957:HRV261022 IBR260957:IBR261022 ILN260957:ILN261022 IVJ260957:IVJ261022 JFF260957:JFF261022 JPB260957:JPB261022 JYX260957:JYX261022 KIT260957:KIT261022 KSP260957:KSP261022 LCL260957:LCL261022 LMH260957:LMH261022 LWD260957:LWD261022 MFZ260957:MFZ261022 MPV260957:MPV261022 MZR260957:MZR261022 NJN260957:NJN261022 NTJ260957:NTJ261022 ODF260957:ODF261022 ONB260957:ONB261022 OWX260957:OWX261022 PGT260957:PGT261022 PQP260957:PQP261022 QAL260957:QAL261022 QKH260957:QKH261022 QUD260957:QUD261022 RDZ260957:RDZ261022 RNV260957:RNV261022 RXR260957:RXR261022 SHN260957:SHN261022 SRJ260957:SRJ261022 TBF260957:TBF261022 TLB260957:TLB261022 TUX260957:TUX261022 UET260957:UET261022 UOP260957:UOP261022 UYL260957:UYL261022 VIH260957:VIH261022 VSD260957:VSD261022 WBZ260957:WBZ261022 WLV260957:WLV261022 WVR260957:WVR261022 J326493:J326558 JF326493:JF326558 TB326493:TB326558 ACX326493:ACX326558 AMT326493:AMT326558 AWP326493:AWP326558 BGL326493:BGL326558 BQH326493:BQH326558 CAD326493:CAD326558 CJZ326493:CJZ326558 CTV326493:CTV326558 DDR326493:DDR326558 DNN326493:DNN326558 DXJ326493:DXJ326558 EHF326493:EHF326558 ERB326493:ERB326558 FAX326493:FAX326558 FKT326493:FKT326558 FUP326493:FUP326558 GEL326493:GEL326558 GOH326493:GOH326558 GYD326493:GYD326558 HHZ326493:HHZ326558 HRV326493:HRV326558 IBR326493:IBR326558 ILN326493:ILN326558 IVJ326493:IVJ326558 JFF326493:JFF326558 JPB326493:JPB326558 JYX326493:JYX326558 KIT326493:KIT326558 KSP326493:KSP326558 LCL326493:LCL326558 LMH326493:LMH326558 LWD326493:LWD326558 MFZ326493:MFZ326558 MPV326493:MPV326558 MZR326493:MZR326558 NJN326493:NJN326558 NTJ326493:NTJ326558 ODF326493:ODF326558 ONB326493:ONB326558 OWX326493:OWX326558 PGT326493:PGT326558 PQP326493:PQP326558 QAL326493:QAL326558 QKH326493:QKH326558 QUD326493:QUD326558 RDZ326493:RDZ326558 RNV326493:RNV326558 RXR326493:RXR326558 SHN326493:SHN326558 SRJ326493:SRJ326558 TBF326493:TBF326558 TLB326493:TLB326558 TUX326493:TUX326558 UET326493:UET326558 UOP326493:UOP326558 UYL326493:UYL326558 VIH326493:VIH326558 VSD326493:VSD326558 WBZ326493:WBZ326558 WLV326493:WLV326558 WVR326493:WVR326558 J392029:J392094 JF392029:JF392094 TB392029:TB392094 ACX392029:ACX392094 AMT392029:AMT392094 AWP392029:AWP392094 BGL392029:BGL392094 BQH392029:BQH392094 CAD392029:CAD392094 CJZ392029:CJZ392094 CTV392029:CTV392094 DDR392029:DDR392094 DNN392029:DNN392094 DXJ392029:DXJ392094 EHF392029:EHF392094 ERB392029:ERB392094 FAX392029:FAX392094 FKT392029:FKT392094 FUP392029:FUP392094 GEL392029:GEL392094 GOH392029:GOH392094 GYD392029:GYD392094 HHZ392029:HHZ392094 HRV392029:HRV392094 IBR392029:IBR392094 ILN392029:ILN392094 IVJ392029:IVJ392094 JFF392029:JFF392094 JPB392029:JPB392094 JYX392029:JYX392094 KIT392029:KIT392094 KSP392029:KSP392094 LCL392029:LCL392094 LMH392029:LMH392094 LWD392029:LWD392094 MFZ392029:MFZ392094 MPV392029:MPV392094 MZR392029:MZR392094 NJN392029:NJN392094 NTJ392029:NTJ392094 ODF392029:ODF392094 ONB392029:ONB392094 OWX392029:OWX392094 PGT392029:PGT392094 PQP392029:PQP392094 QAL392029:QAL392094 QKH392029:QKH392094 QUD392029:QUD392094 RDZ392029:RDZ392094 RNV392029:RNV392094 RXR392029:RXR392094 SHN392029:SHN392094 SRJ392029:SRJ392094 TBF392029:TBF392094 TLB392029:TLB392094 TUX392029:TUX392094 UET392029:UET392094 UOP392029:UOP392094 UYL392029:UYL392094 VIH392029:VIH392094 VSD392029:VSD392094 WBZ392029:WBZ392094 WLV392029:WLV392094 WVR392029:WVR392094 J457565:J457630 JF457565:JF457630 TB457565:TB457630 ACX457565:ACX457630 AMT457565:AMT457630 AWP457565:AWP457630 BGL457565:BGL457630 BQH457565:BQH457630 CAD457565:CAD457630 CJZ457565:CJZ457630 CTV457565:CTV457630 DDR457565:DDR457630 DNN457565:DNN457630 DXJ457565:DXJ457630 EHF457565:EHF457630 ERB457565:ERB457630 FAX457565:FAX457630 FKT457565:FKT457630 FUP457565:FUP457630 GEL457565:GEL457630 GOH457565:GOH457630 GYD457565:GYD457630 HHZ457565:HHZ457630 HRV457565:HRV457630 IBR457565:IBR457630 ILN457565:ILN457630 IVJ457565:IVJ457630 JFF457565:JFF457630 JPB457565:JPB457630 JYX457565:JYX457630 KIT457565:KIT457630 KSP457565:KSP457630 LCL457565:LCL457630 LMH457565:LMH457630 LWD457565:LWD457630 MFZ457565:MFZ457630 MPV457565:MPV457630 MZR457565:MZR457630 NJN457565:NJN457630 NTJ457565:NTJ457630 ODF457565:ODF457630 ONB457565:ONB457630 OWX457565:OWX457630 PGT457565:PGT457630 PQP457565:PQP457630 QAL457565:QAL457630 QKH457565:QKH457630 QUD457565:QUD457630 RDZ457565:RDZ457630 RNV457565:RNV457630 RXR457565:RXR457630 SHN457565:SHN457630 SRJ457565:SRJ457630 TBF457565:TBF457630 TLB457565:TLB457630 TUX457565:TUX457630 UET457565:UET457630 UOP457565:UOP457630 UYL457565:UYL457630 VIH457565:VIH457630 VSD457565:VSD457630 WBZ457565:WBZ457630 WLV457565:WLV457630 WVR457565:WVR457630 J523101:J523166 JF523101:JF523166 TB523101:TB523166 ACX523101:ACX523166 AMT523101:AMT523166 AWP523101:AWP523166 BGL523101:BGL523166 BQH523101:BQH523166 CAD523101:CAD523166 CJZ523101:CJZ523166 CTV523101:CTV523166 DDR523101:DDR523166 DNN523101:DNN523166 DXJ523101:DXJ523166 EHF523101:EHF523166 ERB523101:ERB523166 FAX523101:FAX523166 FKT523101:FKT523166 FUP523101:FUP523166 GEL523101:GEL523166 GOH523101:GOH523166 GYD523101:GYD523166 HHZ523101:HHZ523166 HRV523101:HRV523166 IBR523101:IBR523166 ILN523101:ILN523166 IVJ523101:IVJ523166 JFF523101:JFF523166 JPB523101:JPB523166 JYX523101:JYX523166 KIT523101:KIT523166 KSP523101:KSP523166 LCL523101:LCL523166 LMH523101:LMH523166 LWD523101:LWD523166 MFZ523101:MFZ523166 MPV523101:MPV523166 MZR523101:MZR523166 NJN523101:NJN523166 NTJ523101:NTJ523166 ODF523101:ODF523166 ONB523101:ONB523166 OWX523101:OWX523166 PGT523101:PGT523166 PQP523101:PQP523166 QAL523101:QAL523166 QKH523101:QKH523166 QUD523101:QUD523166 RDZ523101:RDZ523166 RNV523101:RNV523166 RXR523101:RXR523166 SHN523101:SHN523166 SRJ523101:SRJ523166 TBF523101:TBF523166 TLB523101:TLB523166 TUX523101:TUX523166 UET523101:UET523166 UOP523101:UOP523166 UYL523101:UYL523166 VIH523101:VIH523166 VSD523101:VSD523166 WBZ523101:WBZ523166 WLV523101:WLV523166 WVR523101:WVR523166 J588637:J588702 JF588637:JF588702 TB588637:TB588702 ACX588637:ACX588702 AMT588637:AMT588702 AWP588637:AWP588702 BGL588637:BGL588702 BQH588637:BQH588702 CAD588637:CAD588702 CJZ588637:CJZ588702 CTV588637:CTV588702 DDR588637:DDR588702 DNN588637:DNN588702 DXJ588637:DXJ588702 EHF588637:EHF588702 ERB588637:ERB588702 FAX588637:FAX588702 FKT588637:FKT588702 FUP588637:FUP588702 GEL588637:GEL588702 GOH588637:GOH588702 GYD588637:GYD588702 HHZ588637:HHZ588702 HRV588637:HRV588702 IBR588637:IBR588702 ILN588637:ILN588702 IVJ588637:IVJ588702 JFF588637:JFF588702 JPB588637:JPB588702 JYX588637:JYX588702 KIT588637:KIT588702 KSP588637:KSP588702 LCL588637:LCL588702 LMH588637:LMH588702 LWD588637:LWD588702 MFZ588637:MFZ588702 MPV588637:MPV588702 MZR588637:MZR588702 NJN588637:NJN588702 NTJ588637:NTJ588702 ODF588637:ODF588702 ONB588637:ONB588702 OWX588637:OWX588702 PGT588637:PGT588702 PQP588637:PQP588702 QAL588637:QAL588702 QKH588637:QKH588702 QUD588637:QUD588702 RDZ588637:RDZ588702 RNV588637:RNV588702 RXR588637:RXR588702 SHN588637:SHN588702 SRJ588637:SRJ588702 TBF588637:TBF588702 TLB588637:TLB588702 TUX588637:TUX588702 UET588637:UET588702 UOP588637:UOP588702 UYL588637:UYL588702 VIH588637:VIH588702 VSD588637:VSD588702 WBZ588637:WBZ588702 WLV588637:WLV588702 WVR588637:WVR588702 J654173:J654238 JF654173:JF654238 TB654173:TB654238 ACX654173:ACX654238 AMT654173:AMT654238 AWP654173:AWP654238 BGL654173:BGL654238 BQH654173:BQH654238 CAD654173:CAD654238 CJZ654173:CJZ654238 CTV654173:CTV654238 DDR654173:DDR654238 DNN654173:DNN654238 DXJ654173:DXJ654238 EHF654173:EHF654238 ERB654173:ERB654238 FAX654173:FAX654238 FKT654173:FKT654238 FUP654173:FUP654238 GEL654173:GEL654238 GOH654173:GOH654238 GYD654173:GYD654238 HHZ654173:HHZ654238 HRV654173:HRV654238 IBR654173:IBR654238 ILN654173:ILN654238 IVJ654173:IVJ654238 JFF654173:JFF654238 JPB654173:JPB654238 JYX654173:JYX654238 KIT654173:KIT654238 KSP654173:KSP654238 LCL654173:LCL654238 LMH654173:LMH654238 LWD654173:LWD654238 MFZ654173:MFZ654238 MPV654173:MPV654238 MZR654173:MZR654238 NJN654173:NJN654238 NTJ654173:NTJ654238 ODF654173:ODF654238 ONB654173:ONB654238 OWX654173:OWX654238 PGT654173:PGT654238 PQP654173:PQP654238 QAL654173:QAL654238 QKH654173:QKH654238 QUD654173:QUD654238 RDZ654173:RDZ654238 RNV654173:RNV654238 RXR654173:RXR654238 SHN654173:SHN654238 SRJ654173:SRJ654238 TBF654173:TBF654238 TLB654173:TLB654238 TUX654173:TUX654238 UET654173:UET654238 UOP654173:UOP654238 UYL654173:UYL654238 VIH654173:VIH654238 VSD654173:VSD654238 WBZ654173:WBZ654238 WLV654173:WLV654238 WVR654173:WVR654238 J719709:J719774 JF719709:JF719774 TB719709:TB719774 ACX719709:ACX719774 AMT719709:AMT719774 AWP719709:AWP719774 BGL719709:BGL719774 BQH719709:BQH719774 CAD719709:CAD719774 CJZ719709:CJZ719774 CTV719709:CTV719774 DDR719709:DDR719774 DNN719709:DNN719774 DXJ719709:DXJ719774 EHF719709:EHF719774 ERB719709:ERB719774 FAX719709:FAX719774 FKT719709:FKT719774 FUP719709:FUP719774 GEL719709:GEL719774 GOH719709:GOH719774 GYD719709:GYD719774 HHZ719709:HHZ719774 HRV719709:HRV719774 IBR719709:IBR719774 ILN719709:ILN719774 IVJ719709:IVJ719774 JFF719709:JFF719774 JPB719709:JPB719774 JYX719709:JYX719774 KIT719709:KIT719774 KSP719709:KSP719774 LCL719709:LCL719774 LMH719709:LMH719774 LWD719709:LWD719774 MFZ719709:MFZ719774 MPV719709:MPV719774 MZR719709:MZR719774 NJN719709:NJN719774 NTJ719709:NTJ719774 ODF719709:ODF719774 ONB719709:ONB719774 OWX719709:OWX719774 PGT719709:PGT719774 PQP719709:PQP719774 QAL719709:QAL719774 QKH719709:QKH719774 QUD719709:QUD719774 RDZ719709:RDZ719774 RNV719709:RNV719774 RXR719709:RXR719774 SHN719709:SHN719774 SRJ719709:SRJ719774 TBF719709:TBF719774 TLB719709:TLB719774 TUX719709:TUX719774 UET719709:UET719774 UOP719709:UOP719774 UYL719709:UYL719774 VIH719709:VIH719774 VSD719709:VSD719774 WBZ719709:WBZ719774 WLV719709:WLV719774 WVR719709:WVR719774 J785245:J785310 JF785245:JF785310 TB785245:TB785310 ACX785245:ACX785310 AMT785245:AMT785310 AWP785245:AWP785310 BGL785245:BGL785310 BQH785245:BQH785310 CAD785245:CAD785310 CJZ785245:CJZ785310 CTV785245:CTV785310 DDR785245:DDR785310 DNN785245:DNN785310 DXJ785245:DXJ785310 EHF785245:EHF785310 ERB785245:ERB785310 FAX785245:FAX785310 FKT785245:FKT785310 FUP785245:FUP785310 GEL785245:GEL785310 GOH785245:GOH785310 GYD785245:GYD785310 HHZ785245:HHZ785310 HRV785245:HRV785310 IBR785245:IBR785310 ILN785245:ILN785310 IVJ785245:IVJ785310 JFF785245:JFF785310 JPB785245:JPB785310 JYX785245:JYX785310 KIT785245:KIT785310 KSP785245:KSP785310 LCL785245:LCL785310 LMH785245:LMH785310 LWD785245:LWD785310 MFZ785245:MFZ785310 MPV785245:MPV785310 MZR785245:MZR785310 NJN785245:NJN785310 NTJ785245:NTJ785310 ODF785245:ODF785310 ONB785245:ONB785310 OWX785245:OWX785310 PGT785245:PGT785310 PQP785245:PQP785310 QAL785245:QAL785310 QKH785245:QKH785310 QUD785245:QUD785310 RDZ785245:RDZ785310 RNV785245:RNV785310 RXR785245:RXR785310 SHN785245:SHN785310 SRJ785245:SRJ785310 TBF785245:TBF785310 TLB785245:TLB785310 TUX785245:TUX785310 UET785245:UET785310 UOP785245:UOP785310 UYL785245:UYL785310 VIH785245:VIH785310 VSD785245:VSD785310 WBZ785245:WBZ785310 WLV785245:WLV785310 WVR785245:WVR785310 J850781:J850846 JF850781:JF850846 TB850781:TB850846 ACX850781:ACX850846 AMT850781:AMT850846 AWP850781:AWP850846 BGL850781:BGL850846 BQH850781:BQH850846 CAD850781:CAD850846 CJZ850781:CJZ850846 CTV850781:CTV850846 DDR850781:DDR850846 DNN850781:DNN850846 DXJ850781:DXJ850846 EHF850781:EHF850846 ERB850781:ERB850846 FAX850781:FAX850846 FKT850781:FKT850846 FUP850781:FUP850846 GEL850781:GEL850846 GOH850781:GOH850846 GYD850781:GYD850846 HHZ850781:HHZ850846 HRV850781:HRV850846 IBR850781:IBR850846 ILN850781:ILN850846 IVJ850781:IVJ850846 JFF850781:JFF850846 JPB850781:JPB850846 JYX850781:JYX850846 KIT850781:KIT850846 KSP850781:KSP850846 LCL850781:LCL850846 LMH850781:LMH850846 LWD850781:LWD850846 MFZ850781:MFZ850846 MPV850781:MPV850846 MZR850781:MZR850846 NJN850781:NJN850846 NTJ850781:NTJ850846 ODF850781:ODF850846 ONB850781:ONB850846 OWX850781:OWX850846 PGT850781:PGT850846 PQP850781:PQP850846 QAL850781:QAL850846 QKH850781:QKH850846 QUD850781:QUD850846 RDZ850781:RDZ850846 RNV850781:RNV850846 RXR850781:RXR850846 SHN850781:SHN850846 SRJ850781:SRJ850846 TBF850781:TBF850846 TLB850781:TLB850846 TUX850781:TUX850846 UET850781:UET850846 UOP850781:UOP850846 UYL850781:UYL850846 VIH850781:VIH850846 VSD850781:VSD850846 WBZ850781:WBZ850846 WLV850781:WLV850846 WVR850781:WVR850846 J916317:J916382 JF916317:JF916382 TB916317:TB916382 ACX916317:ACX916382 AMT916317:AMT916382 AWP916317:AWP916382 BGL916317:BGL916382 BQH916317:BQH916382 CAD916317:CAD916382 CJZ916317:CJZ916382 CTV916317:CTV916382 DDR916317:DDR916382 DNN916317:DNN916382 DXJ916317:DXJ916382 EHF916317:EHF916382 ERB916317:ERB916382 FAX916317:FAX916382 FKT916317:FKT916382 FUP916317:FUP916382 GEL916317:GEL916382 GOH916317:GOH916382 GYD916317:GYD916382 HHZ916317:HHZ916382 HRV916317:HRV916382 IBR916317:IBR916382 ILN916317:ILN916382 IVJ916317:IVJ916382 JFF916317:JFF916382 JPB916317:JPB916382 JYX916317:JYX916382 KIT916317:KIT916382 KSP916317:KSP916382 LCL916317:LCL916382 LMH916317:LMH916382 LWD916317:LWD916382 MFZ916317:MFZ916382 MPV916317:MPV916382 MZR916317:MZR916382 NJN916317:NJN916382 NTJ916317:NTJ916382 ODF916317:ODF916382 ONB916317:ONB916382 OWX916317:OWX916382 PGT916317:PGT916382 PQP916317:PQP916382 QAL916317:QAL916382 QKH916317:QKH916382 QUD916317:QUD916382 RDZ916317:RDZ916382 RNV916317:RNV916382 RXR916317:RXR916382 SHN916317:SHN916382 SRJ916317:SRJ916382 TBF916317:TBF916382 TLB916317:TLB916382 TUX916317:TUX916382 UET916317:UET916382 UOP916317:UOP916382 UYL916317:UYL916382 VIH916317:VIH916382 VSD916317:VSD916382 WBZ916317:WBZ916382 WLV916317:WLV916382 WVR916317:WVR916382 J981853:J981918 JF981853:JF981918 TB981853:TB981918 ACX981853:ACX981918 AMT981853:AMT981918 AWP981853:AWP981918 BGL981853:BGL981918 BQH981853:BQH981918 CAD981853:CAD981918 CJZ981853:CJZ981918 CTV981853:CTV981918 DDR981853:DDR981918 DNN981853:DNN981918 DXJ981853:DXJ981918 EHF981853:EHF981918 ERB981853:ERB981918 FAX981853:FAX981918 FKT981853:FKT981918 FUP981853:FUP981918 GEL981853:GEL981918 GOH981853:GOH981918 GYD981853:GYD981918 HHZ981853:HHZ981918 HRV981853:HRV981918 IBR981853:IBR981918 ILN981853:ILN981918 IVJ981853:IVJ981918 JFF981853:JFF981918 JPB981853:JPB981918 JYX981853:JYX981918 KIT981853:KIT981918 KSP981853:KSP981918 LCL981853:LCL981918 LMH981853:LMH981918 LWD981853:LWD981918 MFZ981853:MFZ981918 MPV981853:MPV981918 MZR981853:MZR981918 NJN981853:NJN981918 NTJ981853:NTJ981918 ODF981853:ODF981918 ONB981853:ONB981918 OWX981853:OWX981918 PGT981853:PGT981918 PQP981853:PQP981918 QAL981853:QAL981918 QKH981853:QKH981918 QUD981853:QUD981918 RDZ981853:RDZ981918 RNV981853:RNV981918 RXR981853:RXR981918 SHN981853:SHN981918 SRJ981853:SRJ981918 TBF981853:TBF981918 TLB981853:TLB981918 TUX981853:TUX981918 UET981853:UET981918 UOP981853:UOP981918 UYL981853:UYL981918 VIH981853:VIH981918 VSD981853:VSD981918 WBZ981853:WBZ981918 WLV981853:WLV981918 WVR981853:WVR981918 J1047389:J1047454 JF1047389:JF1047454 TB1047389:TB1047454 ACX1047389:ACX1047454 AMT1047389:AMT1047454 AWP1047389:AWP1047454 BGL1047389:BGL1047454 BQH1047389:BQH1047454 CAD1047389:CAD1047454 CJZ1047389:CJZ1047454 CTV1047389:CTV1047454 DDR1047389:DDR1047454 DNN1047389:DNN1047454 DXJ1047389:DXJ1047454 EHF1047389:EHF1047454 ERB1047389:ERB1047454 FAX1047389:FAX1047454 FKT1047389:FKT1047454 FUP1047389:FUP1047454 GEL1047389:GEL1047454 GOH1047389:GOH1047454 GYD1047389:GYD1047454 HHZ1047389:HHZ1047454 HRV1047389:HRV1047454 IBR1047389:IBR1047454 ILN1047389:ILN1047454 IVJ1047389:IVJ1047454 JFF1047389:JFF1047454 JPB1047389:JPB1047454 JYX1047389:JYX1047454 KIT1047389:KIT1047454 KSP1047389:KSP1047454 LCL1047389:LCL1047454 LMH1047389:LMH1047454 LWD1047389:LWD1047454 MFZ1047389:MFZ1047454 MPV1047389:MPV1047454 MZR1047389:MZR1047454 NJN1047389:NJN1047454 NTJ1047389:NTJ1047454 ODF1047389:ODF1047454 ONB1047389:ONB1047454 OWX1047389:OWX1047454 PGT1047389:PGT1047454 PQP1047389:PQP1047454 QAL1047389:QAL1047454 QKH1047389:QKH1047454 QUD1047389:QUD1047454 RDZ1047389:RDZ1047454 RNV1047389:RNV1047454 RXR1047389:RXR1047454 SHN1047389:SHN1047454 SRJ1047389:SRJ1047454 TBF1047389:TBF1047454 TLB1047389:TLB1047454 TUX1047389:TUX1047454 UET1047389:UET1047454 UOP1047389:UOP1047454 UYL1047389:UYL1047454 VIH1047389:VIH1047454 VSD1047389:VSD1047454 WBZ1047389:WBZ1047454 WLV1047389:WLV1047454 WVR1047389:WVR1047454">
      <formula1>$AP$2:$AP$15</formula1>
    </dataValidation>
    <dataValidation type="list" allowBlank="1" showInputMessage="1" showErrorMessage="1" sqref="K64349:K64414 JG64349:JG64414 TC64349:TC64414 ACY64349:ACY64414 AMU64349:AMU64414 AWQ64349:AWQ64414 BGM64349:BGM64414 BQI64349:BQI64414 CAE64349:CAE64414 CKA64349:CKA64414 CTW64349:CTW64414 DDS64349:DDS64414 DNO64349:DNO64414 DXK64349:DXK64414 EHG64349:EHG64414 ERC64349:ERC64414 FAY64349:FAY64414 FKU64349:FKU64414 FUQ64349:FUQ64414 GEM64349:GEM64414 GOI64349:GOI64414 GYE64349:GYE64414 HIA64349:HIA64414 HRW64349:HRW64414 IBS64349:IBS64414 ILO64349:ILO64414 IVK64349:IVK64414 JFG64349:JFG64414 JPC64349:JPC64414 JYY64349:JYY64414 KIU64349:KIU64414 KSQ64349:KSQ64414 LCM64349:LCM64414 LMI64349:LMI64414 LWE64349:LWE64414 MGA64349:MGA64414 MPW64349:MPW64414 MZS64349:MZS64414 NJO64349:NJO64414 NTK64349:NTK64414 ODG64349:ODG64414 ONC64349:ONC64414 OWY64349:OWY64414 PGU64349:PGU64414 PQQ64349:PQQ64414 QAM64349:QAM64414 QKI64349:QKI64414 QUE64349:QUE64414 REA64349:REA64414 RNW64349:RNW64414 RXS64349:RXS64414 SHO64349:SHO64414 SRK64349:SRK64414 TBG64349:TBG64414 TLC64349:TLC64414 TUY64349:TUY64414 UEU64349:UEU64414 UOQ64349:UOQ64414 UYM64349:UYM64414 VII64349:VII64414 VSE64349:VSE64414 WCA64349:WCA64414 WLW64349:WLW64414 WVS64349:WVS64414 K129885:K129950 JG129885:JG129950 TC129885:TC129950 ACY129885:ACY129950 AMU129885:AMU129950 AWQ129885:AWQ129950 BGM129885:BGM129950 BQI129885:BQI129950 CAE129885:CAE129950 CKA129885:CKA129950 CTW129885:CTW129950 DDS129885:DDS129950 DNO129885:DNO129950 DXK129885:DXK129950 EHG129885:EHG129950 ERC129885:ERC129950 FAY129885:FAY129950 FKU129885:FKU129950 FUQ129885:FUQ129950 GEM129885:GEM129950 GOI129885:GOI129950 GYE129885:GYE129950 HIA129885:HIA129950 HRW129885:HRW129950 IBS129885:IBS129950 ILO129885:ILO129950 IVK129885:IVK129950 JFG129885:JFG129950 JPC129885:JPC129950 JYY129885:JYY129950 KIU129885:KIU129950 KSQ129885:KSQ129950 LCM129885:LCM129950 LMI129885:LMI129950 LWE129885:LWE129950 MGA129885:MGA129950 MPW129885:MPW129950 MZS129885:MZS129950 NJO129885:NJO129950 NTK129885:NTK129950 ODG129885:ODG129950 ONC129885:ONC129950 OWY129885:OWY129950 PGU129885:PGU129950 PQQ129885:PQQ129950 QAM129885:QAM129950 QKI129885:QKI129950 QUE129885:QUE129950 REA129885:REA129950 RNW129885:RNW129950 RXS129885:RXS129950 SHO129885:SHO129950 SRK129885:SRK129950 TBG129885:TBG129950 TLC129885:TLC129950 TUY129885:TUY129950 UEU129885:UEU129950 UOQ129885:UOQ129950 UYM129885:UYM129950 VII129885:VII129950 VSE129885:VSE129950 WCA129885:WCA129950 WLW129885:WLW129950 WVS129885:WVS129950 K195421:K195486 JG195421:JG195486 TC195421:TC195486 ACY195421:ACY195486 AMU195421:AMU195486 AWQ195421:AWQ195486 BGM195421:BGM195486 BQI195421:BQI195486 CAE195421:CAE195486 CKA195421:CKA195486 CTW195421:CTW195486 DDS195421:DDS195486 DNO195421:DNO195486 DXK195421:DXK195486 EHG195421:EHG195486 ERC195421:ERC195486 FAY195421:FAY195486 FKU195421:FKU195486 FUQ195421:FUQ195486 GEM195421:GEM195486 GOI195421:GOI195486 GYE195421:GYE195486 HIA195421:HIA195486 HRW195421:HRW195486 IBS195421:IBS195486 ILO195421:ILO195486 IVK195421:IVK195486 JFG195421:JFG195486 JPC195421:JPC195486 JYY195421:JYY195486 KIU195421:KIU195486 KSQ195421:KSQ195486 LCM195421:LCM195486 LMI195421:LMI195486 LWE195421:LWE195486 MGA195421:MGA195486 MPW195421:MPW195486 MZS195421:MZS195486 NJO195421:NJO195486 NTK195421:NTK195486 ODG195421:ODG195486 ONC195421:ONC195486 OWY195421:OWY195486 PGU195421:PGU195486 PQQ195421:PQQ195486 QAM195421:QAM195486 QKI195421:QKI195486 QUE195421:QUE195486 REA195421:REA195486 RNW195421:RNW195486 RXS195421:RXS195486 SHO195421:SHO195486 SRK195421:SRK195486 TBG195421:TBG195486 TLC195421:TLC195486 TUY195421:TUY195486 UEU195421:UEU195486 UOQ195421:UOQ195486 UYM195421:UYM195486 VII195421:VII195486 VSE195421:VSE195486 WCA195421:WCA195486 WLW195421:WLW195486 WVS195421:WVS195486 K260957:K261022 JG260957:JG261022 TC260957:TC261022 ACY260957:ACY261022 AMU260957:AMU261022 AWQ260957:AWQ261022 BGM260957:BGM261022 BQI260957:BQI261022 CAE260957:CAE261022 CKA260957:CKA261022 CTW260957:CTW261022 DDS260957:DDS261022 DNO260957:DNO261022 DXK260957:DXK261022 EHG260957:EHG261022 ERC260957:ERC261022 FAY260957:FAY261022 FKU260957:FKU261022 FUQ260957:FUQ261022 GEM260957:GEM261022 GOI260957:GOI261022 GYE260957:GYE261022 HIA260957:HIA261022 HRW260957:HRW261022 IBS260957:IBS261022 ILO260957:ILO261022 IVK260957:IVK261022 JFG260957:JFG261022 JPC260957:JPC261022 JYY260957:JYY261022 KIU260957:KIU261022 KSQ260957:KSQ261022 LCM260957:LCM261022 LMI260957:LMI261022 LWE260957:LWE261022 MGA260957:MGA261022 MPW260957:MPW261022 MZS260957:MZS261022 NJO260957:NJO261022 NTK260957:NTK261022 ODG260957:ODG261022 ONC260957:ONC261022 OWY260957:OWY261022 PGU260957:PGU261022 PQQ260957:PQQ261022 QAM260957:QAM261022 QKI260957:QKI261022 QUE260957:QUE261022 REA260957:REA261022 RNW260957:RNW261022 RXS260957:RXS261022 SHO260957:SHO261022 SRK260957:SRK261022 TBG260957:TBG261022 TLC260957:TLC261022 TUY260957:TUY261022 UEU260957:UEU261022 UOQ260957:UOQ261022 UYM260957:UYM261022 VII260957:VII261022 VSE260957:VSE261022 WCA260957:WCA261022 WLW260957:WLW261022 WVS260957:WVS261022 K326493:K326558 JG326493:JG326558 TC326493:TC326558 ACY326493:ACY326558 AMU326493:AMU326558 AWQ326493:AWQ326558 BGM326493:BGM326558 BQI326493:BQI326558 CAE326493:CAE326558 CKA326493:CKA326558 CTW326493:CTW326558 DDS326493:DDS326558 DNO326493:DNO326558 DXK326493:DXK326558 EHG326493:EHG326558 ERC326493:ERC326558 FAY326493:FAY326558 FKU326493:FKU326558 FUQ326493:FUQ326558 GEM326493:GEM326558 GOI326493:GOI326558 GYE326493:GYE326558 HIA326493:HIA326558 HRW326493:HRW326558 IBS326493:IBS326558 ILO326493:ILO326558 IVK326493:IVK326558 JFG326493:JFG326558 JPC326493:JPC326558 JYY326493:JYY326558 KIU326493:KIU326558 KSQ326493:KSQ326558 LCM326493:LCM326558 LMI326493:LMI326558 LWE326493:LWE326558 MGA326493:MGA326558 MPW326493:MPW326558 MZS326493:MZS326558 NJO326493:NJO326558 NTK326493:NTK326558 ODG326493:ODG326558 ONC326493:ONC326558 OWY326493:OWY326558 PGU326493:PGU326558 PQQ326493:PQQ326558 QAM326493:QAM326558 QKI326493:QKI326558 QUE326493:QUE326558 REA326493:REA326558 RNW326493:RNW326558 RXS326493:RXS326558 SHO326493:SHO326558 SRK326493:SRK326558 TBG326493:TBG326558 TLC326493:TLC326558 TUY326493:TUY326558 UEU326493:UEU326558 UOQ326493:UOQ326558 UYM326493:UYM326558 VII326493:VII326558 VSE326493:VSE326558 WCA326493:WCA326558 WLW326493:WLW326558 WVS326493:WVS326558 K392029:K392094 JG392029:JG392094 TC392029:TC392094 ACY392029:ACY392094 AMU392029:AMU392094 AWQ392029:AWQ392094 BGM392029:BGM392094 BQI392029:BQI392094 CAE392029:CAE392094 CKA392029:CKA392094 CTW392029:CTW392094 DDS392029:DDS392094 DNO392029:DNO392094 DXK392029:DXK392094 EHG392029:EHG392094 ERC392029:ERC392094 FAY392029:FAY392094 FKU392029:FKU392094 FUQ392029:FUQ392094 GEM392029:GEM392094 GOI392029:GOI392094 GYE392029:GYE392094 HIA392029:HIA392094 HRW392029:HRW392094 IBS392029:IBS392094 ILO392029:ILO392094 IVK392029:IVK392094 JFG392029:JFG392094 JPC392029:JPC392094 JYY392029:JYY392094 KIU392029:KIU392094 KSQ392029:KSQ392094 LCM392029:LCM392094 LMI392029:LMI392094 LWE392029:LWE392094 MGA392029:MGA392094 MPW392029:MPW392094 MZS392029:MZS392094 NJO392029:NJO392094 NTK392029:NTK392094 ODG392029:ODG392094 ONC392029:ONC392094 OWY392029:OWY392094 PGU392029:PGU392094 PQQ392029:PQQ392094 QAM392029:QAM392094 QKI392029:QKI392094 QUE392029:QUE392094 REA392029:REA392094 RNW392029:RNW392094 RXS392029:RXS392094 SHO392029:SHO392094 SRK392029:SRK392094 TBG392029:TBG392094 TLC392029:TLC392094 TUY392029:TUY392094 UEU392029:UEU392094 UOQ392029:UOQ392094 UYM392029:UYM392094 VII392029:VII392094 VSE392029:VSE392094 WCA392029:WCA392094 WLW392029:WLW392094 WVS392029:WVS392094 K457565:K457630 JG457565:JG457630 TC457565:TC457630 ACY457565:ACY457630 AMU457565:AMU457630 AWQ457565:AWQ457630 BGM457565:BGM457630 BQI457565:BQI457630 CAE457565:CAE457630 CKA457565:CKA457630 CTW457565:CTW457630 DDS457565:DDS457630 DNO457565:DNO457630 DXK457565:DXK457630 EHG457565:EHG457630 ERC457565:ERC457630 FAY457565:FAY457630 FKU457565:FKU457630 FUQ457565:FUQ457630 GEM457565:GEM457630 GOI457565:GOI457630 GYE457565:GYE457630 HIA457565:HIA457630 HRW457565:HRW457630 IBS457565:IBS457630 ILO457565:ILO457630 IVK457565:IVK457630 JFG457565:JFG457630 JPC457565:JPC457630 JYY457565:JYY457630 KIU457565:KIU457630 KSQ457565:KSQ457630 LCM457565:LCM457630 LMI457565:LMI457630 LWE457565:LWE457630 MGA457565:MGA457630 MPW457565:MPW457630 MZS457565:MZS457630 NJO457565:NJO457630 NTK457565:NTK457630 ODG457565:ODG457630 ONC457565:ONC457630 OWY457565:OWY457630 PGU457565:PGU457630 PQQ457565:PQQ457630 QAM457565:QAM457630 QKI457565:QKI457630 QUE457565:QUE457630 REA457565:REA457630 RNW457565:RNW457630 RXS457565:RXS457630 SHO457565:SHO457630 SRK457565:SRK457630 TBG457565:TBG457630 TLC457565:TLC457630 TUY457565:TUY457630 UEU457565:UEU457630 UOQ457565:UOQ457630 UYM457565:UYM457630 VII457565:VII457630 VSE457565:VSE457630 WCA457565:WCA457630 WLW457565:WLW457630 WVS457565:WVS457630 K523101:K523166 JG523101:JG523166 TC523101:TC523166 ACY523101:ACY523166 AMU523101:AMU523166 AWQ523101:AWQ523166 BGM523101:BGM523166 BQI523101:BQI523166 CAE523101:CAE523166 CKA523101:CKA523166 CTW523101:CTW523166 DDS523101:DDS523166 DNO523101:DNO523166 DXK523101:DXK523166 EHG523101:EHG523166 ERC523101:ERC523166 FAY523101:FAY523166 FKU523101:FKU523166 FUQ523101:FUQ523166 GEM523101:GEM523166 GOI523101:GOI523166 GYE523101:GYE523166 HIA523101:HIA523166 HRW523101:HRW523166 IBS523101:IBS523166 ILO523101:ILO523166 IVK523101:IVK523166 JFG523101:JFG523166 JPC523101:JPC523166 JYY523101:JYY523166 KIU523101:KIU523166 KSQ523101:KSQ523166 LCM523101:LCM523166 LMI523101:LMI523166 LWE523101:LWE523166 MGA523101:MGA523166 MPW523101:MPW523166 MZS523101:MZS523166 NJO523101:NJO523166 NTK523101:NTK523166 ODG523101:ODG523166 ONC523101:ONC523166 OWY523101:OWY523166 PGU523101:PGU523166 PQQ523101:PQQ523166 QAM523101:QAM523166 QKI523101:QKI523166 QUE523101:QUE523166 REA523101:REA523166 RNW523101:RNW523166 RXS523101:RXS523166 SHO523101:SHO523166 SRK523101:SRK523166 TBG523101:TBG523166 TLC523101:TLC523166 TUY523101:TUY523166 UEU523101:UEU523166 UOQ523101:UOQ523166 UYM523101:UYM523166 VII523101:VII523166 VSE523101:VSE523166 WCA523101:WCA523166 WLW523101:WLW523166 WVS523101:WVS523166 K588637:K588702 JG588637:JG588702 TC588637:TC588702 ACY588637:ACY588702 AMU588637:AMU588702 AWQ588637:AWQ588702 BGM588637:BGM588702 BQI588637:BQI588702 CAE588637:CAE588702 CKA588637:CKA588702 CTW588637:CTW588702 DDS588637:DDS588702 DNO588637:DNO588702 DXK588637:DXK588702 EHG588637:EHG588702 ERC588637:ERC588702 FAY588637:FAY588702 FKU588637:FKU588702 FUQ588637:FUQ588702 GEM588637:GEM588702 GOI588637:GOI588702 GYE588637:GYE588702 HIA588637:HIA588702 HRW588637:HRW588702 IBS588637:IBS588702 ILO588637:ILO588702 IVK588637:IVK588702 JFG588637:JFG588702 JPC588637:JPC588702 JYY588637:JYY588702 KIU588637:KIU588702 KSQ588637:KSQ588702 LCM588637:LCM588702 LMI588637:LMI588702 LWE588637:LWE588702 MGA588637:MGA588702 MPW588637:MPW588702 MZS588637:MZS588702 NJO588637:NJO588702 NTK588637:NTK588702 ODG588637:ODG588702 ONC588637:ONC588702 OWY588637:OWY588702 PGU588637:PGU588702 PQQ588637:PQQ588702 QAM588637:QAM588702 QKI588637:QKI588702 QUE588637:QUE588702 REA588637:REA588702 RNW588637:RNW588702 RXS588637:RXS588702 SHO588637:SHO588702 SRK588637:SRK588702 TBG588637:TBG588702 TLC588637:TLC588702 TUY588637:TUY588702 UEU588637:UEU588702 UOQ588637:UOQ588702 UYM588637:UYM588702 VII588637:VII588702 VSE588637:VSE588702 WCA588637:WCA588702 WLW588637:WLW588702 WVS588637:WVS588702 K654173:K654238 JG654173:JG654238 TC654173:TC654238 ACY654173:ACY654238 AMU654173:AMU654238 AWQ654173:AWQ654238 BGM654173:BGM654238 BQI654173:BQI654238 CAE654173:CAE654238 CKA654173:CKA654238 CTW654173:CTW654238 DDS654173:DDS654238 DNO654173:DNO654238 DXK654173:DXK654238 EHG654173:EHG654238 ERC654173:ERC654238 FAY654173:FAY654238 FKU654173:FKU654238 FUQ654173:FUQ654238 GEM654173:GEM654238 GOI654173:GOI654238 GYE654173:GYE654238 HIA654173:HIA654238 HRW654173:HRW654238 IBS654173:IBS654238 ILO654173:ILO654238 IVK654173:IVK654238 JFG654173:JFG654238 JPC654173:JPC654238 JYY654173:JYY654238 KIU654173:KIU654238 KSQ654173:KSQ654238 LCM654173:LCM654238 LMI654173:LMI654238 LWE654173:LWE654238 MGA654173:MGA654238 MPW654173:MPW654238 MZS654173:MZS654238 NJO654173:NJO654238 NTK654173:NTK654238 ODG654173:ODG654238 ONC654173:ONC654238 OWY654173:OWY654238 PGU654173:PGU654238 PQQ654173:PQQ654238 QAM654173:QAM654238 QKI654173:QKI654238 QUE654173:QUE654238 REA654173:REA654238 RNW654173:RNW654238 RXS654173:RXS654238 SHO654173:SHO654238 SRK654173:SRK654238 TBG654173:TBG654238 TLC654173:TLC654238 TUY654173:TUY654238 UEU654173:UEU654238 UOQ654173:UOQ654238 UYM654173:UYM654238 VII654173:VII654238 VSE654173:VSE654238 WCA654173:WCA654238 WLW654173:WLW654238 WVS654173:WVS654238 K719709:K719774 JG719709:JG719774 TC719709:TC719774 ACY719709:ACY719774 AMU719709:AMU719774 AWQ719709:AWQ719774 BGM719709:BGM719774 BQI719709:BQI719774 CAE719709:CAE719774 CKA719709:CKA719774 CTW719709:CTW719774 DDS719709:DDS719774 DNO719709:DNO719774 DXK719709:DXK719774 EHG719709:EHG719774 ERC719709:ERC719774 FAY719709:FAY719774 FKU719709:FKU719774 FUQ719709:FUQ719774 GEM719709:GEM719774 GOI719709:GOI719774 GYE719709:GYE719774 HIA719709:HIA719774 HRW719709:HRW719774 IBS719709:IBS719774 ILO719709:ILO719774 IVK719709:IVK719774 JFG719709:JFG719774 JPC719709:JPC719774 JYY719709:JYY719774 KIU719709:KIU719774 KSQ719709:KSQ719774 LCM719709:LCM719774 LMI719709:LMI719774 LWE719709:LWE719774 MGA719709:MGA719774 MPW719709:MPW719774 MZS719709:MZS719774 NJO719709:NJO719774 NTK719709:NTK719774 ODG719709:ODG719774 ONC719709:ONC719774 OWY719709:OWY719774 PGU719709:PGU719774 PQQ719709:PQQ719774 QAM719709:QAM719774 QKI719709:QKI719774 QUE719709:QUE719774 REA719709:REA719774 RNW719709:RNW719774 RXS719709:RXS719774 SHO719709:SHO719774 SRK719709:SRK719774 TBG719709:TBG719774 TLC719709:TLC719774 TUY719709:TUY719774 UEU719709:UEU719774 UOQ719709:UOQ719774 UYM719709:UYM719774 VII719709:VII719774 VSE719709:VSE719774 WCA719709:WCA719774 WLW719709:WLW719774 WVS719709:WVS719774 K785245:K785310 JG785245:JG785310 TC785245:TC785310 ACY785245:ACY785310 AMU785245:AMU785310 AWQ785245:AWQ785310 BGM785245:BGM785310 BQI785245:BQI785310 CAE785245:CAE785310 CKA785245:CKA785310 CTW785245:CTW785310 DDS785245:DDS785310 DNO785245:DNO785310 DXK785245:DXK785310 EHG785245:EHG785310 ERC785245:ERC785310 FAY785245:FAY785310 FKU785245:FKU785310 FUQ785245:FUQ785310 GEM785245:GEM785310 GOI785245:GOI785310 GYE785245:GYE785310 HIA785245:HIA785310 HRW785245:HRW785310 IBS785245:IBS785310 ILO785245:ILO785310 IVK785245:IVK785310 JFG785245:JFG785310 JPC785245:JPC785310 JYY785245:JYY785310 KIU785245:KIU785310 KSQ785245:KSQ785310 LCM785245:LCM785310 LMI785245:LMI785310 LWE785245:LWE785310 MGA785245:MGA785310 MPW785245:MPW785310 MZS785245:MZS785310 NJO785245:NJO785310 NTK785245:NTK785310 ODG785245:ODG785310 ONC785245:ONC785310 OWY785245:OWY785310 PGU785245:PGU785310 PQQ785245:PQQ785310 QAM785245:QAM785310 QKI785245:QKI785310 QUE785245:QUE785310 REA785245:REA785310 RNW785245:RNW785310 RXS785245:RXS785310 SHO785245:SHO785310 SRK785245:SRK785310 TBG785245:TBG785310 TLC785245:TLC785310 TUY785245:TUY785310 UEU785245:UEU785310 UOQ785245:UOQ785310 UYM785245:UYM785310 VII785245:VII785310 VSE785245:VSE785310 WCA785245:WCA785310 WLW785245:WLW785310 WVS785245:WVS785310 K850781:K850846 JG850781:JG850846 TC850781:TC850846 ACY850781:ACY850846 AMU850781:AMU850846 AWQ850781:AWQ850846 BGM850781:BGM850846 BQI850781:BQI850846 CAE850781:CAE850846 CKA850781:CKA850846 CTW850781:CTW850846 DDS850781:DDS850846 DNO850781:DNO850846 DXK850781:DXK850846 EHG850781:EHG850846 ERC850781:ERC850846 FAY850781:FAY850846 FKU850781:FKU850846 FUQ850781:FUQ850846 GEM850781:GEM850846 GOI850781:GOI850846 GYE850781:GYE850846 HIA850781:HIA850846 HRW850781:HRW850846 IBS850781:IBS850846 ILO850781:ILO850846 IVK850781:IVK850846 JFG850781:JFG850846 JPC850781:JPC850846 JYY850781:JYY850846 KIU850781:KIU850846 KSQ850781:KSQ850846 LCM850781:LCM850846 LMI850781:LMI850846 LWE850781:LWE850846 MGA850781:MGA850846 MPW850781:MPW850846 MZS850781:MZS850846 NJO850781:NJO850846 NTK850781:NTK850846 ODG850781:ODG850846 ONC850781:ONC850846 OWY850781:OWY850846 PGU850781:PGU850846 PQQ850781:PQQ850846 QAM850781:QAM850846 QKI850781:QKI850846 QUE850781:QUE850846 REA850781:REA850846 RNW850781:RNW850846 RXS850781:RXS850846 SHO850781:SHO850846 SRK850781:SRK850846 TBG850781:TBG850846 TLC850781:TLC850846 TUY850781:TUY850846 UEU850781:UEU850846 UOQ850781:UOQ850846 UYM850781:UYM850846 VII850781:VII850846 VSE850781:VSE850846 WCA850781:WCA850846 WLW850781:WLW850846 WVS850781:WVS850846 K916317:K916382 JG916317:JG916382 TC916317:TC916382 ACY916317:ACY916382 AMU916317:AMU916382 AWQ916317:AWQ916382 BGM916317:BGM916382 BQI916317:BQI916382 CAE916317:CAE916382 CKA916317:CKA916382 CTW916317:CTW916382 DDS916317:DDS916382 DNO916317:DNO916382 DXK916317:DXK916382 EHG916317:EHG916382 ERC916317:ERC916382 FAY916317:FAY916382 FKU916317:FKU916382 FUQ916317:FUQ916382 GEM916317:GEM916382 GOI916317:GOI916382 GYE916317:GYE916382 HIA916317:HIA916382 HRW916317:HRW916382 IBS916317:IBS916382 ILO916317:ILO916382 IVK916317:IVK916382 JFG916317:JFG916382 JPC916317:JPC916382 JYY916317:JYY916382 KIU916317:KIU916382 KSQ916317:KSQ916382 LCM916317:LCM916382 LMI916317:LMI916382 LWE916317:LWE916382 MGA916317:MGA916382 MPW916317:MPW916382 MZS916317:MZS916382 NJO916317:NJO916382 NTK916317:NTK916382 ODG916317:ODG916382 ONC916317:ONC916382 OWY916317:OWY916382 PGU916317:PGU916382 PQQ916317:PQQ916382 QAM916317:QAM916382 QKI916317:QKI916382 QUE916317:QUE916382 REA916317:REA916382 RNW916317:RNW916382 RXS916317:RXS916382 SHO916317:SHO916382 SRK916317:SRK916382 TBG916317:TBG916382 TLC916317:TLC916382 TUY916317:TUY916382 UEU916317:UEU916382 UOQ916317:UOQ916382 UYM916317:UYM916382 VII916317:VII916382 VSE916317:VSE916382 WCA916317:WCA916382 WLW916317:WLW916382 WVS916317:WVS916382 K981853:K981918 JG981853:JG981918 TC981853:TC981918 ACY981853:ACY981918 AMU981853:AMU981918 AWQ981853:AWQ981918 BGM981853:BGM981918 BQI981853:BQI981918 CAE981853:CAE981918 CKA981853:CKA981918 CTW981853:CTW981918 DDS981853:DDS981918 DNO981853:DNO981918 DXK981853:DXK981918 EHG981853:EHG981918 ERC981853:ERC981918 FAY981853:FAY981918 FKU981853:FKU981918 FUQ981853:FUQ981918 GEM981853:GEM981918 GOI981853:GOI981918 GYE981853:GYE981918 HIA981853:HIA981918 HRW981853:HRW981918 IBS981853:IBS981918 ILO981853:ILO981918 IVK981853:IVK981918 JFG981853:JFG981918 JPC981853:JPC981918 JYY981853:JYY981918 KIU981853:KIU981918 KSQ981853:KSQ981918 LCM981853:LCM981918 LMI981853:LMI981918 LWE981853:LWE981918 MGA981853:MGA981918 MPW981853:MPW981918 MZS981853:MZS981918 NJO981853:NJO981918 NTK981853:NTK981918 ODG981853:ODG981918 ONC981853:ONC981918 OWY981853:OWY981918 PGU981853:PGU981918 PQQ981853:PQQ981918 QAM981853:QAM981918 QKI981853:QKI981918 QUE981853:QUE981918 REA981853:REA981918 RNW981853:RNW981918 RXS981853:RXS981918 SHO981853:SHO981918 SRK981853:SRK981918 TBG981853:TBG981918 TLC981853:TLC981918 TUY981853:TUY981918 UEU981853:UEU981918 UOQ981853:UOQ981918 UYM981853:UYM981918 VII981853:VII981918 VSE981853:VSE981918 WCA981853:WCA981918 WLW981853:WLW981918 WVS981853:WVS981918 K1047389:K1047454 JG1047389:JG1047454 TC1047389:TC1047454 ACY1047389:ACY1047454 AMU1047389:AMU1047454 AWQ1047389:AWQ1047454 BGM1047389:BGM1047454 BQI1047389:BQI1047454 CAE1047389:CAE1047454 CKA1047389:CKA1047454 CTW1047389:CTW1047454 DDS1047389:DDS1047454 DNO1047389:DNO1047454 DXK1047389:DXK1047454 EHG1047389:EHG1047454 ERC1047389:ERC1047454 FAY1047389:FAY1047454 FKU1047389:FKU1047454 FUQ1047389:FUQ1047454 GEM1047389:GEM1047454 GOI1047389:GOI1047454 GYE1047389:GYE1047454 HIA1047389:HIA1047454 HRW1047389:HRW1047454 IBS1047389:IBS1047454 ILO1047389:ILO1047454 IVK1047389:IVK1047454 JFG1047389:JFG1047454 JPC1047389:JPC1047454 JYY1047389:JYY1047454 KIU1047389:KIU1047454 KSQ1047389:KSQ1047454 LCM1047389:LCM1047454 LMI1047389:LMI1047454 LWE1047389:LWE1047454 MGA1047389:MGA1047454 MPW1047389:MPW1047454 MZS1047389:MZS1047454 NJO1047389:NJO1047454 NTK1047389:NTK1047454 ODG1047389:ODG1047454 ONC1047389:ONC1047454 OWY1047389:OWY1047454 PGU1047389:PGU1047454 PQQ1047389:PQQ1047454 QAM1047389:QAM1047454 QKI1047389:QKI1047454 QUE1047389:QUE1047454 REA1047389:REA1047454 RNW1047389:RNW1047454 RXS1047389:RXS1047454 SHO1047389:SHO1047454 SRK1047389:SRK1047454 TBG1047389:TBG1047454 TLC1047389:TLC1047454 TUY1047389:TUY1047454 UEU1047389:UEU1047454 UOQ1047389:UOQ1047454 UYM1047389:UYM1047454 VII1047389:VII1047454 VSE1047389:VSE1047454 WCA1047389:WCA1047454 WLW1047389:WLW1047454 WVS1047389:WVS1047454">
      <formula1>$AR$2:$AR$24</formula1>
    </dataValidation>
    <dataValidation type="list" allowBlank="1" showInputMessage="1" showErrorMessage="1" sqref="Y64349:AA64414 JU2:JW70 ADM2:ADO70 ANI2:ANK70 AXE2:AXG70 BHA2:BHC70 BQW2:BQY70 CAS2:CAU70 CKO2:CKQ70 CUK2:CUM70 DEG2:DEI70 DOC2:DOE70 DXY2:DYA70 EHU2:EHW70 ERQ2:ERS70 FBM2:FBO70 FLI2:FLK70 FVE2:FVG70 GFA2:GFC70 GOW2:GOY70 GYS2:GYU70 HIO2:HIQ70 HSK2:HSM70 ICG2:ICI70 IMC2:IME70 IVY2:IWA70 JFU2:JFW70 JPQ2:JPS70 JZM2:JZO70 KJI2:KJK70 KTE2:KTG70 LDA2:LDC70 LMW2:LMY70 LWS2:LWU70 MGO2:MGQ70 MQK2:MQM70 NAG2:NAI70 NKC2:NKE70 NTY2:NUA70 ODU2:ODW70 ONQ2:ONS70 OXM2:OXO70 PHI2:PHK70 PRE2:PRG70 QBA2:QBC70 QKW2:QKY70 QUS2:QUU70 REO2:REQ70 ROK2:ROM70 RYG2:RYI70 SIC2:SIE70 SRY2:SSA70 TBU2:TBW70 TLQ2:TLS70 TVM2:TVO70 UFI2:UFK70 UPE2:UPG70 UZA2:UZC70 VIW2:VIY70 VSS2:VSU70 WCO2:WCQ70 WMK2:WMM70 WWG2:WWI70 TQ2:TS70 TQ64349:TS64414 ADM64349:ADO64414 ANI64349:ANK64414 AXE64349:AXG64414 BHA64349:BHC64414 BQW64349:BQY64414 CAS64349:CAU64414 CKO64349:CKQ64414 CUK64349:CUM64414 DEG64349:DEI64414 DOC64349:DOE64414 DXY64349:DYA64414 EHU64349:EHW64414 ERQ64349:ERS64414 FBM64349:FBO64414 FLI64349:FLK64414 FVE64349:FVG64414 GFA64349:GFC64414 GOW64349:GOY64414 GYS64349:GYU64414 HIO64349:HIQ64414 HSK64349:HSM64414 ICG64349:ICI64414 IMC64349:IME64414 IVY64349:IWA64414 JFU64349:JFW64414 JPQ64349:JPS64414 JZM64349:JZO64414 KJI64349:KJK64414 KTE64349:KTG64414 LDA64349:LDC64414 LMW64349:LMY64414 LWS64349:LWU64414 MGO64349:MGQ64414 MQK64349:MQM64414 NAG64349:NAI64414 NKC64349:NKE64414 NTY64349:NUA64414 ODU64349:ODW64414 ONQ64349:ONS64414 OXM64349:OXO64414 PHI64349:PHK64414 PRE64349:PRG64414 QBA64349:QBC64414 QKW64349:QKY64414 QUS64349:QUU64414 REO64349:REQ64414 ROK64349:ROM64414 RYG64349:RYI64414 SIC64349:SIE64414 SRY64349:SSA64414 TBU64349:TBW64414 TLQ64349:TLS64414 TVM64349:TVO64414 UFI64349:UFK64414 UPE64349:UPG64414 UZA64349:UZC64414 VIW64349:VIY64414 VSS64349:VSU64414 WCO64349:WCQ64414 WMK64349:WMM64414 WWG64349:WWI64414 Y129885:AA129950 JU129885:JW129950 TQ129885:TS129950 ADM129885:ADO129950 ANI129885:ANK129950 AXE129885:AXG129950 BHA129885:BHC129950 BQW129885:BQY129950 CAS129885:CAU129950 CKO129885:CKQ129950 CUK129885:CUM129950 DEG129885:DEI129950 DOC129885:DOE129950 DXY129885:DYA129950 EHU129885:EHW129950 ERQ129885:ERS129950 FBM129885:FBO129950 FLI129885:FLK129950 FVE129885:FVG129950 GFA129885:GFC129950 GOW129885:GOY129950 GYS129885:GYU129950 HIO129885:HIQ129950 HSK129885:HSM129950 ICG129885:ICI129950 IMC129885:IME129950 IVY129885:IWA129950 JFU129885:JFW129950 JPQ129885:JPS129950 JZM129885:JZO129950 KJI129885:KJK129950 KTE129885:KTG129950 LDA129885:LDC129950 LMW129885:LMY129950 LWS129885:LWU129950 MGO129885:MGQ129950 MQK129885:MQM129950 NAG129885:NAI129950 NKC129885:NKE129950 NTY129885:NUA129950 ODU129885:ODW129950 ONQ129885:ONS129950 OXM129885:OXO129950 PHI129885:PHK129950 PRE129885:PRG129950 QBA129885:QBC129950 QKW129885:QKY129950 QUS129885:QUU129950 REO129885:REQ129950 ROK129885:ROM129950 RYG129885:RYI129950 SIC129885:SIE129950 SRY129885:SSA129950 TBU129885:TBW129950 TLQ129885:TLS129950 TVM129885:TVO129950 UFI129885:UFK129950 UPE129885:UPG129950 UZA129885:UZC129950 VIW129885:VIY129950 VSS129885:VSU129950 WCO129885:WCQ129950 WMK129885:WMM129950 WWG129885:WWI129950 Y195421:AA195486 JU195421:JW195486 TQ195421:TS195486 ADM195421:ADO195486 ANI195421:ANK195486 AXE195421:AXG195486 BHA195421:BHC195486 BQW195421:BQY195486 CAS195421:CAU195486 CKO195421:CKQ195486 CUK195421:CUM195486 DEG195421:DEI195486 DOC195421:DOE195486 DXY195421:DYA195486 EHU195421:EHW195486 ERQ195421:ERS195486 FBM195421:FBO195486 FLI195421:FLK195486 FVE195421:FVG195486 GFA195421:GFC195486 GOW195421:GOY195486 GYS195421:GYU195486 HIO195421:HIQ195486 HSK195421:HSM195486 ICG195421:ICI195486 IMC195421:IME195486 IVY195421:IWA195486 JFU195421:JFW195486 JPQ195421:JPS195486 JZM195421:JZO195486 KJI195421:KJK195486 KTE195421:KTG195486 LDA195421:LDC195486 LMW195421:LMY195486 LWS195421:LWU195486 MGO195421:MGQ195486 MQK195421:MQM195486 NAG195421:NAI195486 NKC195421:NKE195486 NTY195421:NUA195486 ODU195421:ODW195486 ONQ195421:ONS195486 OXM195421:OXO195486 PHI195421:PHK195486 PRE195421:PRG195486 QBA195421:QBC195486 QKW195421:QKY195486 QUS195421:QUU195486 REO195421:REQ195486 ROK195421:ROM195486 RYG195421:RYI195486 SIC195421:SIE195486 SRY195421:SSA195486 TBU195421:TBW195486 TLQ195421:TLS195486 TVM195421:TVO195486 UFI195421:UFK195486 UPE195421:UPG195486 UZA195421:UZC195486 VIW195421:VIY195486 VSS195421:VSU195486 WCO195421:WCQ195486 WMK195421:WMM195486 WWG195421:WWI195486 Y260957:AA261022 JU260957:JW261022 TQ260957:TS261022 ADM260957:ADO261022 ANI260957:ANK261022 AXE260957:AXG261022 BHA260957:BHC261022 BQW260957:BQY261022 CAS260957:CAU261022 CKO260957:CKQ261022 CUK260957:CUM261022 DEG260957:DEI261022 DOC260957:DOE261022 DXY260957:DYA261022 EHU260957:EHW261022 ERQ260957:ERS261022 FBM260957:FBO261022 FLI260957:FLK261022 FVE260957:FVG261022 GFA260957:GFC261022 GOW260957:GOY261022 GYS260957:GYU261022 HIO260957:HIQ261022 HSK260957:HSM261022 ICG260957:ICI261022 IMC260957:IME261022 IVY260957:IWA261022 JFU260957:JFW261022 JPQ260957:JPS261022 JZM260957:JZO261022 KJI260957:KJK261022 KTE260957:KTG261022 LDA260957:LDC261022 LMW260957:LMY261022 LWS260957:LWU261022 MGO260957:MGQ261022 MQK260957:MQM261022 NAG260957:NAI261022 NKC260957:NKE261022 NTY260957:NUA261022 ODU260957:ODW261022 ONQ260957:ONS261022 OXM260957:OXO261022 PHI260957:PHK261022 PRE260957:PRG261022 QBA260957:QBC261022 QKW260957:QKY261022 QUS260957:QUU261022 REO260957:REQ261022 ROK260957:ROM261022 RYG260957:RYI261022 SIC260957:SIE261022 SRY260957:SSA261022 TBU260957:TBW261022 TLQ260957:TLS261022 TVM260957:TVO261022 UFI260957:UFK261022 UPE260957:UPG261022 UZA260957:UZC261022 VIW260957:VIY261022 VSS260957:VSU261022 WCO260957:WCQ261022 WMK260957:WMM261022 WWG260957:WWI261022 Y326493:AA326558 JU326493:JW326558 TQ326493:TS326558 ADM326493:ADO326558 ANI326493:ANK326558 AXE326493:AXG326558 BHA326493:BHC326558 BQW326493:BQY326558 CAS326493:CAU326558 CKO326493:CKQ326558 CUK326493:CUM326558 DEG326493:DEI326558 DOC326493:DOE326558 DXY326493:DYA326558 EHU326493:EHW326558 ERQ326493:ERS326558 FBM326493:FBO326558 FLI326493:FLK326558 FVE326493:FVG326558 GFA326493:GFC326558 GOW326493:GOY326558 GYS326493:GYU326558 HIO326493:HIQ326558 HSK326493:HSM326558 ICG326493:ICI326558 IMC326493:IME326558 IVY326493:IWA326558 JFU326493:JFW326558 JPQ326493:JPS326558 JZM326493:JZO326558 KJI326493:KJK326558 KTE326493:KTG326558 LDA326493:LDC326558 LMW326493:LMY326558 LWS326493:LWU326558 MGO326493:MGQ326558 MQK326493:MQM326558 NAG326493:NAI326558 NKC326493:NKE326558 NTY326493:NUA326558 ODU326493:ODW326558 ONQ326493:ONS326558 OXM326493:OXO326558 PHI326493:PHK326558 PRE326493:PRG326558 QBA326493:QBC326558 QKW326493:QKY326558 QUS326493:QUU326558 REO326493:REQ326558 ROK326493:ROM326558 RYG326493:RYI326558 SIC326493:SIE326558 SRY326493:SSA326558 TBU326493:TBW326558 TLQ326493:TLS326558 TVM326493:TVO326558 UFI326493:UFK326558 UPE326493:UPG326558 UZA326493:UZC326558 VIW326493:VIY326558 VSS326493:VSU326558 WCO326493:WCQ326558 WMK326493:WMM326558 WWG326493:WWI326558 Y392029:AA392094 JU392029:JW392094 TQ392029:TS392094 ADM392029:ADO392094 ANI392029:ANK392094 AXE392029:AXG392094 BHA392029:BHC392094 BQW392029:BQY392094 CAS392029:CAU392094 CKO392029:CKQ392094 CUK392029:CUM392094 DEG392029:DEI392094 DOC392029:DOE392094 DXY392029:DYA392094 EHU392029:EHW392094 ERQ392029:ERS392094 FBM392029:FBO392094 FLI392029:FLK392094 FVE392029:FVG392094 GFA392029:GFC392094 GOW392029:GOY392094 GYS392029:GYU392094 HIO392029:HIQ392094 HSK392029:HSM392094 ICG392029:ICI392094 IMC392029:IME392094 IVY392029:IWA392094 JFU392029:JFW392094 JPQ392029:JPS392094 JZM392029:JZO392094 KJI392029:KJK392094 KTE392029:KTG392094 LDA392029:LDC392094 LMW392029:LMY392094 LWS392029:LWU392094 MGO392029:MGQ392094 MQK392029:MQM392094 NAG392029:NAI392094 NKC392029:NKE392094 NTY392029:NUA392094 ODU392029:ODW392094 ONQ392029:ONS392094 OXM392029:OXO392094 PHI392029:PHK392094 PRE392029:PRG392094 QBA392029:QBC392094 QKW392029:QKY392094 QUS392029:QUU392094 REO392029:REQ392094 ROK392029:ROM392094 RYG392029:RYI392094 SIC392029:SIE392094 SRY392029:SSA392094 TBU392029:TBW392094 TLQ392029:TLS392094 TVM392029:TVO392094 UFI392029:UFK392094 UPE392029:UPG392094 UZA392029:UZC392094 VIW392029:VIY392094 VSS392029:VSU392094 WCO392029:WCQ392094 WMK392029:WMM392094 WWG392029:WWI392094 Y457565:AA457630 JU457565:JW457630 TQ457565:TS457630 ADM457565:ADO457630 ANI457565:ANK457630 AXE457565:AXG457630 BHA457565:BHC457630 BQW457565:BQY457630 CAS457565:CAU457630 CKO457565:CKQ457630 CUK457565:CUM457630 DEG457565:DEI457630 DOC457565:DOE457630 DXY457565:DYA457630 EHU457565:EHW457630 ERQ457565:ERS457630 FBM457565:FBO457630 FLI457565:FLK457630 FVE457565:FVG457630 GFA457565:GFC457630 GOW457565:GOY457630 GYS457565:GYU457630 HIO457565:HIQ457630 HSK457565:HSM457630 ICG457565:ICI457630 IMC457565:IME457630 IVY457565:IWA457630 JFU457565:JFW457630 JPQ457565:JPS457630 JZM457565:JZO457630 KJI457565:KJK457630 KTE457565:KTG457630 LDA457565:LDC457630 LMW457565:LMY457630 LWS457565:LWU457630 MGO457565:MGQ457630 MQK457565:MQM457630 NAG457565:NAI457630 NKC457565:NKE457630 NTY457565:NUA457630 ODU457565:ODW457630 ONQ457565:ONS457630 OXM457565:OXO457630 PHI457565:PHK457630 PRE457565:PRG457630 QBA457565:QBC457630 QKW457565:QKY457630 QUS457565:QUU457630 REO457565:REQ457630 ROK457565:ROM457630 RYG457565:RYI457630 SIC457565:SIE457630 SRY457565:SSA457630 TBU457565:TBW457630 TLQ457565:TLS457630 TVM457565:TVO457630 UFI457565:UFK457630 UPE457565:UPG457630 UZA457565:UZC457630 VIW457565:VIY457630 VSS457565:VSU457630 WCO457565:WCQ457630 WMK457565:WMM457630 WWG457565:WWI457630 Y523101:AA523166 JU523101:JW523166 TQ523101:TS523166 ADM523101:ADO523166 ANI523101:ANK523166 AXE523101:AXG523166 BHA523101:BHC523166 BQW523101:BQY523166 CAS523101:CAU523166 CKO523101:CKQ523166 CUK523101:CUM523166 DEG523101:DEI523166 DOC523101:DOE523166 DXY523101:DYA523166 EHU523101:EHW523166 ERQ523101:ERS523166 FBM523101:FBO523166 FLI523101:FLK523166 FVE523101:FVG523166 GFA523101:GFC523166 GOW523101:GOY523166 GYS523101:GYU523166 HIO523101:HIQ523166 HSK523101:HSM523166 ICG523101:ICI523166 IMC523101:IME523166 IVY523101:IWA523166 JFU523101:JFW523166 JPQ523101:JPS523166 JZM523101:JZO523166 KJI523101:KJK523166 KTE523101:KTG523166 LDA523101:LDC523166 LMW523101:LMY523166 LWS523101:LWU523166 MGO523101:MGQ523166 MQK523101:MQM523166 NAG523101:NAI523166 NKC523101:NKE523166 NTY523101:NUA523166 ODU523101:ODW523166 ONQ523101:ONS523166 OXM523101:OXO523166 PHI523101:PHK523166 PRE523101:PRG523166 QBA523101:QBC523166 QKW523101:QKY523166 QUS523101:QUU523166 REO523101:REQ523166 ROK523101:ROM523166 RYG523101:RYI523166 SIC523101:SIE523166 SRY523101:SSA523166 TBU523101:TBW523166 TLQ523101:TLS523166 TVM523101:TVO523166 UFI523101:UFK523166 UPE523101:UPG523166 UZA523101:UZC523166 VIW523101:VIY523166 VSS523101:VSU523166 WCO523101:WCQ523166 WMK523101:WMM523166 WWG523101:WWI523166 Y588637:AA588702 JU588637:JW588702 TQ588637:TS588702 ADM588637:ADO588702 ANI588637:ANK588702 AXE588637:AXG588702 BHA588637:BHC588702 BQW588637:BQY588702 CAS588637:CAU588702 CKO588637:CKQ588702 CUK588637:CUM588702 DEG588637:DEI588702 DOC588637:DOE588702 DXY588637:DYA588702 EHU588637:EHW588702 ERQ588637:ERS588702 FBM588637:FBO588702 FLI588637:FLK588702 FVE588637:FVG588702 GFA588637:GFC588702 GOW588637:GOY588702 GYS588637:GYU588702 HIO588637:HIQ588702 HSK588637:HSM588702 ICG588637:ICI588702 IMC588637:IME588702 IVY588637:IWA588702 JFU588637:JFW588702 JPQ588637:JPS588702 JZM588637:JZO588702 KJI588637:KJK588702 KTE588637:KTG588702 LDA588637:LDC588702 LMW588637:LMY588702 LWS588637:LWU588702 MGO588637:MGQ588702 MQK588637:MQM588702 NAG588637:NAI588702 NKC588637:NKE588702 NTY588637:NUA588702 ODU588637:ODW588702 ONQ588637:ONS588702 OXM588637:OXO588702 PHI588637:PHK588702 PRE588637:PRG588702 QBA588637:QBC588702 QKW588637:QKY588702 QUS588637:QUU588702 REO588637:REQ588702 ROK588637:ROM588702 RYG588637:RYI588702 SIC588637:SIE588702 SRY588637:SSA588702 TBU588637:TBW588702 TLQ588637:TLS588702 TVM588637:TVO588702 UFI588637:UFK588702 UPE588637:UPG588702 UZA588637:UZC588702 VIW588637:VIY588702 VSS588637:VSU588702 WCO588637:WCQ588702 WMK588637:WMM588702 WWG588637:WWI588702 Y654173:AA654238 JU654173:JW654238 TQ654173:TS654238 ADM654173:ADO654238 ANI654173:ANK654238 AXE654173:AXG654238 BHA654173:BHC654238 BQW654173:BQY654238 CAS654173:CAU654238 CKO654173:CKQ654238 CUK654173:CUM654238 DEG654173:DEI654238 DOC654173:DOE654238 DXY654173:DYA654238 EHU654173:EHW654238 ERQ654173:ERS654238 FBM654173:FBO654238 FLI654173:FLK654238 FVE654173:FVG654238 GFA654173:GFC654238 GOW654173:GOY654238 GYS654173:GYU654238 HIO654173:HIQ654238 HSK654173:HSM654238 ICG654173:ICI654238 IMC654173:IME654238 IVY654173:IWA654238 JFU654173:JFW654238 JPQ654173:JPS654238 JZM654173:JZO654238 KJI654173:KJK654238 KTE654173:KTG654238 LDA654173:LDC654238 LMW654173:LMY654238 LWS654173:LWU654238 MGO654173:MGQ654238 MQK654173:MQM654238 NAG654173:NAI654238 NKC654173:NKE654238 NTY654173:NUA654238 ODU654173:ODW654238 ONQ654173:ONS654238 OXM654173:OXO654238 PHI654173:PHK654238 PRE654173:PRG654238 QBA654173:QBC654238 QKW654173:QKY654238 QUS654173:QUU654238 REO654173:REQ654238 ROK654173:ROM654238 RYG654173:RYI654238 SIC654173:SIE654238 SRY654173:SSA654238 TBU654173:TBW654238 TLQ654173:TLS654238 TVM654173:TVO654238 UFI654173:UFK654238 UPE654173:UPG654238 UZA654173:UZC654238 VIW654173:VIY654238 VSS654173:VSU654238 WCO654173:WCQ654238 WMK654173:WMM654238 WWG654173:WWI654238 Y719709:AA719774 JU719709:JW719774 TQ719709:TS719774 ADM719709:ADO719774 ANI719709:ANK719774 AXE719709:AXG719774 BHA719709:BHC719774 BQW719709:BQY719774 CAS719709:CAU719774 CKO719709:CKQ719774 CUK719709:CUM719774 DEG719709:DEI719774 DOC719709:DOE719774 DXY719709:DYA719774 EHU719709:EHW719774 ERQ719709:ERS719774 FBM719709:FBO719774 FLI719709:FLK719774 FVE719709:FVG719774 GFA719709:GFC719774 GOW719709:GOY719774 GYS719709:GYU719774 HIO719709:HIQ719774 HSK719709:HSM719774 ICG719709:ICI719774 IMC719709:IME719774 IVY719709:IWA719774 JFU719709:JFW719774 JPQ719709:JPS719774 JZM719709:JZO719774 KJI719709:KJK719774 KTE719709:KTG719774 LDA719709:LDC719774 LMW719709:LMY719774 LWS719709:LWU719774 MGO719709:MGQ719774 MQK719709:MQM719774 NAG719709:NAI719774 NKC719709:NKE719774 NTY719709:NUA719774 ODU719709:ODW719774 ONQ719709:ONS719774 OXM719709:OXO719774 PHI719709:PHK719774 PRE719709:PRG719774 QBA719709:QBC719774 QKW719709:QKY719774 QUS719709:QUU719774 REO719709:REQ719774 ROK719709:ROM719774 RYG719709:RYI719774 SIC719709:SIE719774 SRY719709:SSA719774 TBU719709:TBW719774 TLQ719709:TLS719774 TVM719709:TVO719774 UFI719709:UFK719774 UPE719709:UPG719774 UZA719709:UZC719774 VIW719709:VIY719774 VSS719709:VSU719774 WCO719709:WCQ719774 WMK719709:WMM719774 WWG719709:WWI719774 Y785245:AA785310 JU785245:JW785310 TQ785245:TS785310 ADM785245:ADO785310 ANI785245:ANK785310 AXE785245:AXG785310 BHA785245:BHC785310 BQW785245:BQY785310 CAS785245:CAU785310 CKO785245:CKQ785310 CUK785245:CUM785310 DEG785245:DEI785310 DOC785245:DOE785310 DXY785245:DYA785310 EHU785245:EHW785310 ERQ785245:ERS785310 FBM785245:FBO785310 FLI785245:FLK785310 FVE785245:FVG785310 GFA785245:GFC785310 GOW785245:GOY785310 GYS785245:GYU785310 HIO785245:HIQ785310 HSK785245:HSM785310 ICG785245:ICI785310 IMC785245:IME785310 IVY785245:IWA785310 JFU785245:JFW785310 JPQ785245:JPS785310 JZM785245:JZO785310 KJI785245:KJK785310 KTE785245:KTG785310 LDA785245:LDC785310 LMW785245:LMY785310 LWS785245:LWU785310 MGO785245:MGQ785310 MQK785245:MQM785310 NAG785245:NAI785310 NKC785245:NKE785310 NTY785245:NUA785310 ODU785245:ODW785310 ONQ785245:ONS785310 OXM785245:OXO785310 PHI785245:PHK785310 PRE785245:PRG785310 QBA785245:QBC785310 QKW785245:QKY785310 QUS785245:QUU785310 REO785245:REQ785310 ROK785245:ROM785310 RYG785245:RYI785310 SIC785245:SIE785310 SRY785245:SSA785310 TBU785245:TBW785310 TLQ785245:TLS785310 TVM785245:TVO785310 UFI785245:UFK785310 UPE785245:UPG785310 UZA785245:UZC785310 VIW785245:VIY785310 VSS785245:VSU785310 WCO785245:WCQ785310 WMK785245:WMM785310 WWG785245:WWI785310 Y850781:AA850846 JU850781:JW850846 TQ850781:TS850846 ADM850781:ADO850846 ANI850781:ANK850846 AXE850781:AXG850846 BHA850781:BHC850846 BQW850781:BQY850846 CAS850781:CAU850846 CKO850781:CKQ850846 CUK850781:CUM850846 DEG850781:DEI850846 DOC850781:DOE850846 DXY850781:DYA850846 EHU850781:EHW850846 ERQ850781:ERS850846 FBM850781:FBO850846 FLI850781:FLK850846 FVE850781:FVG850846 GFA850781:GFC850846 GOW850781:GOY850846 GYS850781:GYU850846 HIO850781:HIQ850846 HSK850781:HSM850846 ICG850781:ICI850846 IMC850781:IME850846 IVY850781:IWA850846 JFU850781:JFW850846 JPQ850781:JPS850846 JZM850781:JZO850846 KJI850781:KJK850846 KTE850781:KTG850846 LDA850781:LDC850846 LMW850781:LMY850846 LWS850781:LWU850846 MGO850781:MGQ850846 MQK850781:MQM850846 NAG850781:NAI850846 NKC850781:NKE850846 NTY850781:NUA850846 ODU850781:ODW850846 ONQ850781:ONS850846 OXM850781:OXO850846 PHI850781:PHK850846 PRE850781:PRG850846 QBA850781:QBC850846 QKW850781:QKY850846 QUS850781:QUU850846 REO850781:REQ850846 ROK850781:ROM850846 RYG850781:RYI850846 SIC850781:SIE850846 SRY850781:SSA850846 TBU850781:TBW850846 TLQ850781:TLS850846 TVM850781:TVO850846 UFI850781:UFK850846 UPE850781:UPG850846 UZA850781:UZC850846 VIW850781:VIY850846 VSS850781:VSU850846 WCO850781:WCQ850846 WMK850781:WMM850846 WWG850781:WWI850846 Y916317:AA916382 JU916317:JW916382 TQ916317:TS916382 ADM916317:ADO916382 ANI916317:ANK916382 AXE916317:AXG916382 BHA916317:BHC916382 BQW916317:BQY916382 CAS916317:CAU916382 CKO916317:CKQ916382 CUK916317:CUM916382 DEG916317:DEI916382 DOC916317:DOE916382 DXY916317:DYA916382 EHU916317:EHW916382 ERQ916317:ERS916382 FBM916317:FBO916382 FLI916317:FLK916382 FVE916317:FVG916382 GFA916317:GFC916382 GOW916317:GOY916382 GYS916317:GYU916382 HIO916317:HIQ916382 HSK916317:HSM916382 ICG916317:ICI916382 IMC916317:IME916382 IVY916317:IWA916382 JFU916317:JFW916382 JPQ916317:JPS916382 JZM916317:JZO916382 KJI916317:KJK916382 KTE916317:KTG916382 LDA916317:LDC916382 LMW916317:LMY916382 LWS916317:LWU916382 MGO916317:MGQ916382 MQK916317:MQM916382 NAG916317:NAI916382 NKC916317:NKE916382 NTY916317:NUA916382 ODU916317:ODW916382 ONQ916317:ONS916382 OXM916317:OXO916382 PHI916317:PHK916382 PRE916317:PRG916382 QBA916317:QBC916382 QKW916317:QKY916382 QUS916317:QUU916382 REO916317:REQ916382 ROK916317:ROM916382 RYG916317:RYI916382 SIC916317:SIE916382 SRY916317:SSA916382 TBU916317:TBW916382 TLQ916317:TLS916382 TVM916317:TVO916382 UFI916317:UFK916382 UPE916317:UPG916382 UZA916317:UZC916382 VIW916317:VIY916382 VSS916317:VSU916382 WCO916317:WCQ916382 WMK916317:WMM916382 WWG916317:WWI916382 Y981853:AA981918 JU981853:JW981918 TQ981853:TS981918 ADM981853:ADO981918 ANI981853:ANK981918 AXE981853:AXG981918 BHA981853:BHC981918 BQW981853:BQY981918 CAS981853:CAU981918 CKO981853:CKQ981918 CUK981853:CUM981918 DEG981853:DEI981918 DOC981853:DOE981918 DXY981853:DYA981918 EHU981853:EHW981918 ERQ981853:ERS981918 FBM981853:FBO981918 FLI981853:FLK981918 FVE981853:FVG981918 GFA981853:GFC981918 GOW981853:GOY981918 GYS981853:GYU981918 HIO981853:HIQ981918 HSK981853:HSM981918 ICG981853:ICI981918 IMC981853:IME981918 IVY981853:IWA981918 JFU981853:JFW981918 JPQ981853:JPS981918 JZM981853:JZO981918 KJI981853:KJK981918 KTE981853:KTG981918 LDA981853:LDC981918 LMW981853:LMY981918 LWS981853:LWU981918 MGO981853:MGQ981918 MQK981853:MQM981918 NAG981853:NAI981918 NKC981853:NKE981918 NTY981853:NUA981918 ODU981853:ODW981918 ONQ981853:ONS981918 OXM981853:OXO981918 PHI981853:PHK981918 PRE981853:PRG981918 QBA981853:QBC981918 QKW981853:QKY981918 QUS981853:QUU981918 REO981853:REQ981918 ROK981853:ROM981918 RYG981853:RYI981918 SIC981853:SIE981918 SRY981853:SSA981918 TBU981853:TBW981918 TLQ981853:TLS981918 TVM981853:TVO981918 UFI981853:UFK981918 UPE981853:UPG981918 UZA981853:UZC981918 VIW981853:VIY981918 VSS981853:VSU981918 WCO981853:WCQ981918 WMK981853:WMM981918 WWG981853:WWI981918 Y1047389:AA1047454 JU1047389:JW1047454 TQ1047389:TS1047454 ADM1047389:ADO1047454 ANI1047389:ANK1047454 AXE1047389:AXG1047454 BHA1047389:BHC1047454 BQW1047389:BQY1047454 CAS1047389:CAU1047454 CKO1047389:CKQ1047454 CUK1047389:CUM1047454 DEG1047389:DEI1047454 DOC1047389:DOE1047454 DXY1047389:DYA1047454 EHU1047389:EHW1047454 ERQ1047389:ERS1047454 FBM1047389:FBO1047454 FLI1047389:FLK1047454 FVE1047389:FVG1047454 GFA1047389:GFC1047454 GOW1047389:GOY1047454 GYS1047389:GYU1047454 HIO1047389:HIQ1047454 HSK1047389:HSM1047454 ICG1047389:ICI1047454 IMC1047389:IME1047454 IVY1047389:IWA1047454 JFU1047389:JFW1047454 JPQ1047389:JPS1047454 JZM1047389:JZO1047454 KJI1047389:KJK1047454 KTE1047389:KTG1047454 LDA1047389:LDC1047454 LMW1047389:LMY1047454 LWS1047389:LWU1047454 MGO1047389:MGQ1047454 MQK1047389:MQM1047454 NAG1047389:NAI1047454 NKC1047389:NKE1047454 NTY1047389:NUA1047454 ODU1047389:ODW1047454 ONQ1047389:ONS1047454 OXM1047389:OXO1047454 PHI1047389:PHK1047454 PRE1047389:PRG1047454 QBA1047389:QBC1047454 QKW1047389:QKY1047454 QUS1047389:QUU1047454 REO1047389:REQ1047454 ROK1047389:ROM1047454 RYG1047389:RYI1047454 SIC1047389:SIE1047454 SRY1047389:SSA1047454 TBU1047389:TBW1047454 TLQ1047389:TLS1047454 TVM1047389:TVO1047454 UFI1047389:UFK1047454 UPE1047389:UPG1047454 UZA1047389:UZC1047454 VIW1047389:VIY1047454 VSS1047389:VSU1047454 WCO1047389:WCQ1047454 WMK1047389:WMM1047454 WWG1047389:WWI1047454 WWG983028:WWI983093 Y65524:AA65589 JU65524:JW65589 TQ65524:TS65589 ADM65524:ADO65589 ANI65524:ANK65589 AXE65524:AXG65589 BHA65524:BHC65589 BQW65524:BQY65589 CAS65524:CAU65589 CKO65524:CKQ65589 CUK65524:CUM65589 DEG65524:DEI65589 DOC65524:DOE65589 DXY65524:DYA65589 EHU65524:EHW65589 ERQ65524:ERS65589 FBM65524:FBO65589 FLI65524:FLK65589 FVE65524:FVG65589 GFA65524:GFC65589 GOW65524:GOY65589 GYS65524:GYU65589 HIO65524:HIQ65589 HSK65524:HSM65589 ICG65524:ICI65589 IMC65524:IME65589 IVY65524:IWA65589 JFU65524:JFW65589 JPQ65524:JPS65589 JZM65524:JZO65589 KJI65524:KJK65589 KTE65524:KTG65589 LDA65524:LDC65589 LMW65524:LMY65589 LWS65524:LWU65589 MGO65524:MGQ65589 MQK65524:MQM65589 NAG65524:NAI65589 NKC65524:NKE65589 NTY65524:NUA65589 ODU65524:ODW65589 ONQ65524:ONS65589 OXM65524:OXO65589 PHI65524:PHK65589 PRE65524:PRG65589 QBA65524:QBC65589 QKW65524:QKY65589 QUS65524:QUU65589 REO65524:REQ65589 ROK65524:ROM65589 RYG65524:RYI65589 SIC65524:SIE65589 SRY65524:SSA65589 TBU65524:TBW65589 TLQ65524:TLS65589 TVM65524:TVO65589 UFI65524:UFK65589 UPE65524:UPG65589 UZA65524:UZC65589 VIW65524:VIY65589 VSS65524:VSU65589 WCO65524:WCQ65589 WMK65524:WMM65589 WWG65524:WWI65589 Y131060:AA131125 JU131060:JW131125 TQ131060:TS131125 ADM131060:ADO131125 ANI131060:ANK131125 AXE131060:AXG131125 BHA131060:BHC131125 BQW131060:BQY131125 CAS131060:CAU131125 CKO131060:CKQ131125 CUK131060:CUM131125 DEG131060:DEI131125 DOC131060:DOE131125 DXY131060:DYA131125 EHU131060:EHW131125 ERQ131060:ERS131125 FBM131060:FBO131125 FLI131060:FLK131125 FVE131060:FVG131125 GFA131060:GFC131125 GOW131060:GOY131125 GYS131060:GYU131125 HIO131060:HIQ131125 HSK131060:HSM131125 ICG131060:ICI131125 IMC131060:IME131125 IVY131060:IWA131125 JFU131060:JFW131125 JPQ131060:JPS131125 JZM131060:JZO131125 KJI131060:KJK131125 KTE131060:KTG131125 LDA131060:LDC131125 LMW131060:LMY131125 LWS131060:LWU131125 MGO131060:MGQ131125 MQK131060:MQM131125 NAG131060:NAI131125 NKC131060:NKE131125 NTY131060:NUA131125 ODU131060:ODW131125 ONQ131060:ONS131125 OXM131060:OXO131125 PHI131060:PHK131125 PRE131060:PRG131125 QBA131060:QBC131125 QKW131060:QKY131125 QUS131060:QUU131125 REO131060:REQ131125 ROK131060:ROM131125 RYG131060:RYI131125 SIC131060:SIE131125 SRY131060:SSA131125 TBU131060:TBW131125 TLQ131060:TLS131125 TVM131060:TVO131125 UFI131060:UFK131125 UPE131060:UPG131125 UZA131060:UZC131125 VIW131060:VIY131125 VSS131060:VSU131125 WCO131060:WCQ131125 WMK131060:WMM131125 WWG131060:WWI131125 Y196596:AA196661 JU196596:JW196661 TQ196596:TS196661 ADM196596:ADO196661 ANI196596:ANK196661 AXE196596:AXG196661 BHA196596:BHC196661 BQW196596:BQY196661 CAS196596:CAU196661 CKO196596:CKQ196661 CUK196596:CUM196661 DEG196596:DEI196661 DOC196596:DOE196661 DXY196596:DYA196661 EHU196596:EHW196661 ERQ196596:ERS196661 FBM196596:FBO196661 FLI196596:FLK196661 FVE196596:FVG196661 GFA196596:GFC196661 GOW196596:GOY196661 GYS196596:GYU196661 HIO196596:HIQ196661 HSK196596:HSM196661 ICG196596:ICI196661 IMC196596:IME196661 IVY196596:IWA196661 JFU196596:JFW196661 JPQ196596:JPS196661 JZM196596:JZO196661 KJI196596:KJK196661 KTE196596:KTG196661 LDA196596:LDC196661 LMW196596:LMY196661 LWS196596:LWU196661 MGO196596:MGQ196661 MQK196596:MQM196661 NAG196596:NAI196661 NKC196596:NKE196661 NTY196596:NUA196661 ODU196596:ODW196661 ONQ196596:ONS196661 OXM196596:OXO196661 PHI196596:PHK196661 PRE196596:PRG196661 QBA196596:QBC196661 QKW196596:QKY196661 QUS196596:QUU196661 REO196596:REQ196661 ROK196596:ROM196661 RYG196596:RYI196661 SIC196596:SIE196661 SRY196596:SSA196661 TBU196596:TBW196661 TLQ196596:TLS196661 TVM196596:TVO196661 UFI196596:UFK196661 UPE196596:UPG196661 UZA196596:UZC196661 VIW196596:VIY196661 VSS196596:VSU196661 WCO196596:WCQ196661 WMK196596:WMM196661 WWG196596:WWI196661 Y262132:AA262197 JU262132:JW262197 TQ262132:TS262197 ADM262132:ADO262197 ANI262132:ANK262197 AXE262132:AXG262197 BHA262132:BHC262197 BQW262132:BQY262197 CAS262132:CAU262197 CKO262132:CKQ262197 CUK262132:CUM262197 DEG262132:DEI262197 DOC262132:DOE262197 DXY262132:DYA262197 EHU262132:EHW262197 ERQ262132:ERS262197 FBM262132:FBO262197 FLI262132:FLK262197 FVE262132:FVG262197 GFA262132:GFC262197 GOW262132:GOY262197 GYS262132:GYU262197 HIO262132:HIQ262197 HSK262132:HSM262197 ICG262132:ICI262197 IMC262132:IME262197 IVY262132:IWA262197 JFU262132:JFW262197 JPQ262132:JPS262197 JZM262132:JZO262197 KJI262132:KJK262197 KTE262132:KTG262197 LDA262132:LDC262197 LMW262132:LMY262197 LWS262132:LWU262197 MGO262132:MGQ262197 MQK262132:MQM262197 NAG262132:NAI262197 NKC262132:NKE262197 NTY262132:NUA262197 ODU262132:ODW262197 ONQ262132:ONS262197 OXM262132:OXO262197 PHI262132:PHK262197 PRE262132:PRG262197 QBA262132:QBC262197 QKW262132:QKY262197 QUS262132:QUU262197 REO262132:REQ262197 ROK262132:ROM262197 RYG262132:RYI262197 SIC262132:SIE262197 SRY262132:SSA262197 TBU262132:TBW262197 TLQ262132:TLS262197 TVM262132:TVO262197 UFI262132:UFK262197 UPE262132:UPG262197 UZA262132:UZC262197 VIW262132:VIY262197 VSS262132:VSU262197 WCO262132:WCQ262197 WMK262132:WMM262197 WWG262132:WWI262197 Y327668:AA327733 JU327668:JW327733 TQ327668:TS327733 ADM327668:ADO327733 ANI327668:ANK327733 AXE327668:AXG327733 BHA327668:BHC327733 BQW327668:BQY327733 CAS327668:CAU327733 CKO327668:CKQ327733 CUK327668:CUM327733 DEG327668:DEI327733 DOC327668:DOE327733 DXY327668:DYA327733 EHU327668:EHW327733 ERQ327668:ERS327733 FBM327668:FBO327733 FLI327668:FLK327733 FVE327668:FVG327733 GFA327668:GFC327733 GOW327668:GOY327733 GYS327668:GYU327733 HIO327668:HIQ327733 HSK327668:HSM327733 ICG327668:ICI327733 IMC327668:IME327733 IVY327668:IWA327733 JFU327668:JFW327733 JPQ327668:JPS327733 JZM327668:JZO327733 KJI327668:KJK327733 KTE327668:KTG327733 LDA327668:LDC327733 LMW327668:LMY327733 LWS327668:LWU327733 MGO327668:MGQ327733 MQK327668:MQM327733 NAG327668:NAI327733 NKC327668:NKE327733 NTY327668:NUA327733 ODU327668:ODW327733 ONQ327668:ONS327733 OXM327668:OXO327733 PHI327668:PHK327733 PRE327668:PRG327733 QBA327668:QBC327733 QKW327668:QKY327733 QUS327668:QUU327733 REO327668:REQ327733 ROK327668:ROM327733 RYG327668:RYI327733 SIC327668:SIE327733 SRY327668:SSA327733 TBU327668:TBW327733 TLQ327668:TLS327733 TVM327668:TVO327733 UFI327668:UFK327733 UPE327668:UPG327733 UZA327668:UZC327733 VIW327668:VIY327733 VSS327668:VSU327733 WCO327668:WCQ327733 WMK327668:WMM327733 WWG327668:WWI327733 Y393204:AA393269 JU393204:JW393269 TQ393204:TS393269 ADM393204:ADO393269 ANI393204:ANK393269 AXE393204:AXG393269 BHA393204:BHC393269 BQW393204:BQY393269 CAS393204:CAU393269 CKO393204:CKQ393269 CUK393204:CUM393269 DEG393204:DEI393269 DOC393204:DOE393269 DXY393204:DYA393269 EHU393204:EHW393269 ERQ393204:ERS393269 FBM393204:FBO393269 FLI393204:FLK393269 FVE393204:FVG393269 GFA393204:GFC393269 GOW393204:GOY393269 GYS393204:GYU393269 HIO393204:HIQ393269 HSK393204:HSM393269 ICG393204:ICI393269 IMC393204:IME393269 IVY393204:IWA393269 JFU393204:JFW393269 JPQ393204:JPS393269 JZM393204:JZO393269 KJI393204:KJK393269 KTE393204:KTG393269 LDA393204:LDC393269 LMW393204:LMY393269 LWS393204:LWU393269 MGO393204:MGQ393269 MQK393204:MQM393269 NAG393204:NAI393269 NKC393204:NKE393269 NTY393204:NUA393269 ODU393204:ODW393269 ONQ393204:ONS393269 OXM393204:OXO393269 PHI393204:PHK393269 PRE393204:PRG393269 QBA393204:QBC393269 QKW393204:QKY393269 QUS393204:QUU393269 REO393204:REQ393269 ROK393204:ROM393269 RYG393204:RYI393269 SIC393204:SIE393269 SRY393204:SSA393269 TBU393204:TBW393269 TLQ393204:TLS393269 TVM393204:TVO393269 UFI393204:UFK393269 UPE393204:UPG393269 UZA393204:UZC393269 VIW393204:VIY393269 VSS393204:VSU393269 WCO393204:WCQ393269 WMK393204:WMM393269 WWG393204:WWI393269 Y458740:AA458805 JU458740:JW458805 TQ458740:TS458805 ADM458740:ADO458805 ANI458740:ANK458805 AXE458740:AXG458805 BHA458740:BHC458805 BQW458740:BQY458805 CAS458740:CAU458805 CKO458740:CKQ458805 CUK458740:CUM458805 DEG458740:DEI458805 DOC458740:DOE458805 DXY458740:DYA458805 EHU458740:EHW458805 ERQ458740:ERS458805 FBM458740:FBO458805 FLI458740:FLK458805 FVE458740:FVG458805 GFA458740:GFC458805 GOW458740:GOY458805 GYS458740:GYU458805 HIO458740:HIQ458805 HSK458740:HSM458805 ICG458740:ICI458805 IMC458740:IME458805 IVY458740:IWA458805 JFU458740:JFW458805 JPQ458740:JPS458805 JZM458740:JZO458805 KJI458740:KJK458805 KTE458740:KTG458805 LDA458740:LDC458805 LMW458740:LMY458805 LWS458740:LWU458805 MGO458740:MGQ458805 MQK458740:MQM458805 NAG458740:NAI458805 NKC458740:NKE458805 NTY458740:NUA458805 ODU458740:ODW458805 ONQ458740:ONS458805 OXM458740:OXO458805 PHI458740:PHK458805 PRE458740:PRG458805 QBA458740:QBC458805 QKW458740:QKY458805 QUS458740:QUU458805 REO458740:REQ458805 ROK458740:ROM458805 RYG458740:RYI458805 SIC458740:SIE458805 SRY458740:SSA458805 TBU458740:TBW458805 TLQ458740:TLS458805 TVM458740:TVO458805 UFI458740:UFK458805 UPE458740:UPG458805 UZA458740:UZC458805 VIW458740:VIY458805 VSS458740:VSU458805 WCO458740:WCQ458805 WMK458740:WMM458805 WWG458740:WWI458805 Y524276:AA524341 JU524276:JW524341 TQ524276:TS524341 ADM524276:ADO524341 ANI524276:ANK524341 AXE524276:AXG524341 BHA524276:BHC524341 BQW524276:BQY524341 CAS524276:CAU524341 CKO524276:CKQ524341 CUK524276:CUM524341 DEG524276:DEI524341 DOC524276:DOE524341 DXY524276:DYA524341 EHU524276:EHW524341 ERQ524276:ERS524341 FBM524276:FBO524341 FLI524276:FLK524341 FVE524276:FVG524341 GFA524276:GFC524341 GOW524276:GOY524341 GYS524276:GYU524341 HIO524276:HIQ524341 HSK524276:HSM524341 ICG524276:ICI524341 IMC524276:IME524341 IVY524276:IWA524341 JFU524276:JFW524341 JPQ524276:JPS524341 JZM524276:JZO524341 KJI524276:KJK524341 KTE524276:KTG524341 LDA524276:LDC524341 LMW524276:LMY524341 LWS524276:LWU524341 MGO524276:MGQ524341 MQK524276:MQM524341 NAG524276:NAI524341 NKC524276:NKE524341 NTY524276:NUA524341 ODU524276:ODW524341 ONQ524276:ONS524341 OXM524276:OXO524341 PHI524276:PHK524341 PRE524276:PRG524341 QBA524276:QBC524341 QKW524276:QKY524341 QUS524276:QUU524341 REO524276:REQ524341 ROK524276:ROM524341 RYG524276:RYI524341 SIC524276:SIE524341 SRY524276:SSA524341 TBU524276:TBW524341 TLQ524276:TLS524341 TVM524276:TVO524341 UFI524276:UFK524341 UPE524276:UPG524341 UZA524276:UZC524341 VIW524276:VIY524341 VSS524276:VSU524341 WCO524276:WCQ524341 WMK524276:WMM524341 WWG524276:WWI524341 Y589812:AA589877 JU589812:JW589877 TQ589812:TS589877 ADM589812:ADO589877 ANI589812:ANK589877 AXE589812:AXG589877 BHA589812:BHC589877 BQW589812:BQY589877 CAS589812:CAU589877 CKO589812:CKQ589877 CUK589812:CUM589877 DEG589812:DEI589877 DOC589812:DOE589877 DXY589812:DYA589877 EHU589812:EHW589877 ERQ589812:ERS589877 FBM589812:FBO589877 FLI589812:FLK589877 FVE589812:FVG589877 GFA589812:GFC589877 GOW589812:GOY589877 GYS589812:GYU589877 HIO589812:HIQ589877 HSK589812:HSM589877 ICG589812:ICI589877 IMC589812:IME589877 IVY589812:IWA589877 JFU589812:JFW589877 JPQ589812:JPS589877 JZM589812:JZO589877 KJI589812:KJK589877 KTE589812:KTG589877 LDA589812:LDC589877 LMW589812:LMY589877 LWS589812:LWU589877 MGO589812:MGQ589877 MQK589812:MQM589877 NAG589812:NAI589877 NKC589812:NKE589877 NTY589812:NUA589877 ODU589812:ODW589877 ONQ589812:ONS589877 OXM589812:OXO589877 PHI589812:PHK589877 PRE589812:PRG589877 QBA589812:QBC589877 QKW589812:QKY589877 QUS589812:QUU589877 REO589812:REQ589877 ROK589812:ROM589877 RYG589812:RYI589877 SIC589812:SIE589877 SRY589812:SSA589877 TBU589812:TBW589877 TLQ589812:TLS589877 TVM589812:TVO589877 UFI589812:UFK589877 UPE589812:UPG589877 UZA589812:UZC589877 VIW589812:VIY589877 VSS589812:VSU589877 WCO589812:WCQ589877 WMK589812:WMM589877 WWG589812:WWI589877 Y655348:AA655413 JU655348:JW655413 TQ655348:TS655413 ADM655348:ADO655413 ANI655348:ANK655413 AXE655348:AXG655413 BHA655348:BHC655413 BQW655348:BQY655413 CAS655348:CAU655413 CKO655348:CKQ655413 CUK655348:CUM655413 DEG655348:DEI655413 DOC655348:DOE655413 DXY655348:DYA655413 EHU655348:EHW655413 ERQ655348:ERS655413 FBM655348:FBO655413 FLI655348:FLK655413 FVE655348:FVG655413 GFA655348:GFC655413 GOW655348:GOY655413 GYS655348:GYU655413 HIO655348:HIQ655413 HSK655348:HSM655413 ICG655348:ICI655413 IMC655348:IME655413 IVY655348:IWA655413 JFU655348:JFW655413 JPQ655348:JPS655413 JZM655348:JZO655413 KJI655348:KJK655413 KTE655348:KTG655413 LDA655348:LDC655413 LMW655348:LMY655413 LWS655348:LWU655413 MGO655348:MGQ655413 MQK655348:MQM655413 NAG655348:NAI655413 NKC655348:NKE655413 NTY655348:NUA655413 ODU655348:ODW655413 ONQ655348:ONS655413 OXM655348:OXO655413 PHI655348:PHK655413 PRE655348:PRG655413 QBA655348:QBC655413 QKW655348:QKY655413 QUS655348:QUU655413 REO655348:REQ655413 ROK655348:ROM655413 RYG655348:RYI655413 SIC655348:SIE655413 SRY655348:SSA655413 TBU655348:TBW655413 TLQ655348:TLS655413 TVM655348:TVO655413 UFI655348:UFK655413 UPE655348:UPG655413 UZA655348:UZC655413 VIW655348:VIY655413 VSS655348:VSU655413 WCO655348:WCQ655413 WMK655348:WMM655413 WWG655348:WWI655413 Y720884:AA720949 JU720884:JW720949 TQ720884:TS720949 ADM720884:ADO720949 ANI720884:ANK720949 AXE720884:AXG720949 BHA720884:BHC720949 BQW720884:BQY720949 CAS720884:CAU720949 CKO720884:CKQ720949 CUK720884:CUM720949 DEG720884:DEI720949 DOC720884:DOE720949 DXY720884:DYA720949 EHU720884:EHW720949 ERQ720884:ERS720949 FBM720884:FBO720949 FLI720884:FLK720949 FVE720884:FVG720949 GFA720884:GFC720949 GOW720884:GOY720949 GYS720884:GYU720949 HIO720884:HIQ720949 HSK720884:HSM720949 ICG720884:ICI720949 IMC720884:IME720949 IVY720884:IWA720949 JFU720884:JFW720949 JPQ720884:JPS720949 JZM720884:JZO720949 KJI720884:KJK720949 KTE720884:KTG720949 LDA720884:LDC720949 LMW720884:LMY720949 LWS720884:LWU720949 MGO720884:MGQ720949 MQK720884:MQM720949 NAG720884:NAI720949 NKC720884:NKE720949 NTY720884:NUA720949 ODU720884:ODW720949 ONQ720884:ONS720949 OXM720884:OXO720949 PHI720884:PHK720949 PRE720884:PRG720949 QBA720884:QBC720949 QKW720884:QKY720949 QUS720884:QUU720949 REO720884:REQ720949 ROK720884:ROM720949 RYG720884:RYI720949 SIC720884:SIE720949 SRY720884:SSA720949 TBU720884:TBW720949 TLQ720884:TLS720949 TVM720884:TVO720949 UFI720884:UFK720949 UPE720884:UPG720949 UZA720884:UZC720949 VIW720884:VIY720949 VSS720884:VSU720949 WCO720884:WCQ720949 WMK720884:WMM720949 WWG720884:WWI720949 Y786420:AA786485 JU786420:JW786485 TQ786420:TS786485 ADM786420:ADO786485 ANI786420:ANK786485 AXE786420:AXG786485 BHA786420:BHC786485 BQW786420:BQY786485 CAS786420:CAU786485 CKO786420:CKQ786485 CUK786420:CUM786485 DEG786420:DEI786485 DOC786420:DOE786485 DXY786420:DYA786485 EHU786420:EHW786485 ERQ786420:ERS786485 FBM786420:FBO786485 FLI786420:FLK786485 FVE786420:FVG786485 GFA786420:GFC786485 GOW786420:GOY786485 GYS786420:GYU786485 HIO786420:HIQ786485 HSK786420:HSM786485 ICG786420:ICI786485 IMC786420:IME786485 IVY786420:IWA786485 JFU786420:JFW786485 JPQ786420:JPS786485 JZM786420:JZO786485 KJI786420:KJK786485 KTE786420:KTG786485 LDA786420:LDC786485 LMW786420:LMY786485 LWS786420:LWU786485 MGO786420:MGQ786485 MQK786420:MQM786485 NAG786420:NAI786485 NKC786420:NKE786485 NTY786420:NUA786485 ODU786420:ODW786485 ONQ786420:ONS786485 OXM786420:OXO786485 PHI786420:PHK786485 PRE786420:PRG786485 QBA786420:QBC786485 QKW786420:QKY786485 QUS786420:QUU786485 REO786420:REQ786485 ROK786420:ROM786485 RYG786420:RYI786485 SIC786420:SIE786485 SRY786420:SSA786485 TBU786420:TBW786485 TLQ786420:TLS786485 TVM786420:TVO786485 UFI786420:UFK786485 UPE786420:UPG786485 UZA786420:UZC786485 VIW786420:VIY786485 VSS786420:VSU786485 WCO786420:WCQ786485 WMK786420:WMM786485 WWG786420:WWI786485 Y851956:AA852021 JU851956:JW852021 TQ851956:TS852021 ADM851956:ADO852021 ANI851956:ANK852021 AXE851956:AXG852021 BHA851956:BHC852021 BQW851956:BQY852021 CAS851956:CAU852021 CKO851956:CKQ852021 CUK851956:CUM852021 DEG851956:DEI852021 DOC851956:DOE852021 DXY851956:DYA852021 EHU851956:EHW852021 ERQ851956:ERS852021 FBM851956:FBO852021 FLI851956:FLK852021 FVE851956:FVG852021 GFA851956:GFC852021 GOW851956:GOY852021 GYS851956:GYU852021 HIO851956:HIQ852021 HSK851956:HSM852021 ICG851956:ICI852021 IMC851956:IME852021 IVY851956:IWA852021 JFU851956:JFW852021 JPQ851956:JPS852021 JZM851956:JZO852021 KJI851956:KJK852021 KTE851956:KTG852021 LDA851956:LDC852021 LMW851956:LMY852021 LWS851956:LWU852021 MGO851956:MGQ852021 MQK851956:MQM852021 NAG851956:NAI852021 NKC851956:NKE852021 NTY851956:NUA852021 ODU851956:ODW852021 ONQ851956:ONS852021 OXM851956:OXO852021 PHI851956:PHK852021 PRE851956:PRG852021 QBA851956:QBC852021 QKW851956:QKY852021 QUS851956:QUU852021 REO851956:REQ852021 ROK851956:ROM852021 RYG851956:RYI852021 SIC851956:SIE852021 SRY851956:SSA852021 TBU851956:TBW852021 TLQ851956:TLS852021 TVM851956:TVO852021 UFI851956:UFK852021 UPE851956:UPG852021 UZA851956:UZC852021 VIW851956:VIY852021 VSS851956:VSU852021 WCO851956:WCQ852021 WMK851956:WMM852021 WWG851956:WWI852021 Y917492:AA917557 JU917492:JW917557 TQ917492:TS917557 ADM917492:ADO917557 ANI917492:ANK917557 AXE917492:AXG917557 BHA917492:BHC917557 BQW917492:BQY917557 CAS917492:CAU917557 CKO917492:CKQ917557 CUK917492:CUM917557 DEG917492:DEI917557 DOC917492:DOE917557 DXY917492:DYA917557 EHU917492:EHW917557 ERQ917492:ERS917557 FBM917492:FBO917557 FLI917492:FLK917557 FVE917492:FVG917557 GFA917492:GFC917557 GOW917492:GOY917557 GYS917492:GYU917557 HIO917492:HIQ917557 HSK917492:HSM917557 ICG917492:ICI917557 IMC917492:IME917557 IVY917492:IWA917557 JFU917492:JFW917557 JPQ917492:JPS917557 JZM917492:JZO917557 KJI917492:KJK917557 KTE917492:KTG917557 LDA917492:LDC917557 LMW917492:LMY917557 LWS917492:LWU917557 MGO917492:MGQ917557 MQK917492:MQM917557 NAG917492:NAI917557 NKC917492:NKE917557 NTY917492:NUA917557 ODU917492:ODW917557 ONQ917492:ONS917557 OXM917492:OXO917557 PHI917492:PHK917557 PRE917492:PRG917557 QBA917492:QBC917557 QKW917492:QKY917557 QUS917492:QUU917557 REO917492:REQ917557 ROK917492:ROM917557 RYG917492:RYI917557 SIC917492:SIE917557 SRY917492:SSA917557 TBU917492:TBW917557 TLQ917492:TLS917557 TVM917492:TVO917557 UFI917492:UFK917557 UPE917492:UPG917557 UZA917492:UZC917557 VIW917492:VIY917557 VSS917492:VSU917557 WCO917492:WCQ917557 WMK917492:WMM917557 WWG917492:WWI917557 Y983028:AA983093 JU983028:JW983093 TQ983028:TS983093 ADM983028:ADO983093 ANI983028:ANK983093 AXE983028:AXG983093 BHA983028:BHC983093 BQW983028:BQY983093 CAS983028:CAU983093 CKO983028:CKQ983093 CUK983028:CUM983093 DEG983028:DEI983093 DOC983028:DOE983093 DXY983028:DYA983093 EHU983028:EHW983093 ERQ983028:ERS983093 FBM983028:FBO983093 FLI983028:FLK983093 FVE983028:FVG983093 GFA983028:GFC983093 GOW983028:GOY983093 GYS983028:GYU983093 HIO983028:HIQ983093 HSK983028:HSM983093 ICG983028:ICI983093 IMC983028:IME983093 IVY983028:IWA983093 JFU983028:JFW983093 JPQ983028:JPS983093 JZM983028:JZO983093 KJI983028:KJK983093 KTE983028:KTG983093 LDA983028:LDC983093 LMW983028:LMY983093 LWS983028:LWU983093 MGO983028:MGQ983093 MQK983028:MQM983093 NAG983028:NAI983093 NKC983028:NKE983093 NTY983028:NUA983093 ODU983028:ODW983093 ONQ983028:ONS983093 OXM983028:OXO983093 PHI983028:PHK983093 PRE983028:PRG983093 QBA983028:QBC983093 QKW983028:QKY983093 QUS983028:QUU983093 REO983028:REQ983093 ROK983028:ROM983093 RYG983028:RYI983093 SIC983028:SIE983093 SRY983028:SSA983093 TBU983028:TBW983093 TLQ983028:TLS983093 TVM983028:TVO983093 UFI983028:UFK983093 UPE983028:UPG983093 UZA983028:UZC983093 VIW983028:VIY983093 VSS983028:VSU983093 WCO983028:WCQ983093 WMK983028:WMM983093 JU64349:JW64414">
      <formula1>$AV$2:$AV$20</formula1>
    </dataValidation>
    <dataValidation type="list" allowBlank="1" showInputMessage="1" showErrorMessage="1" sqref="H64349:H64414 JD64349:JD64414 SZ64349:SZ64414 ACV64349:ACV64414 AMR64349:AMR64414 AWN64349:AWN64414 BGJ64349:BGJ64414 BQF64349:BQF64414 CAB64349:CAB64414 CJX64349:CJX64414 CTT64349:CTT64414 DDP64349:DDP64414 DNL64349:DNL64414 DXH64349:DXH64414 EHD64349:EHD64414 EQZ64349:EQZ64414 FAV64349:FAV64414 FKR64349:FKR64414 FUN64349:FUN64414 GEJ64349:GEJ64414 GOF64349:GOF64414 GYB64349:GYB64414 HHX64349:HHX64414 HRT64349:HRT64414 IBP64349:IBP64414 ILL64349:ILL64414 IVH64349:IVH64414 JFD64349:JFD64414 JOZ64349:JOZ64414 JYV64349:JYV64414 KIR64349:KIR64414 KSN64349:KSN64414 LCJ64349:LCJ64414 LMF64349:LMF64414 LWB64349:LWB64414 MFX64349:MFX64414 MPT64349:MPT64414 MZP64349:MZP64414 NJL64349:NJL64414 NTH64349:NTH64414 ODD64349:ODD64414 OMZ64349:OMZ64414 OWV64349:OWV64414 PGR64349:PGR64414 PQN64349:PQN64414 QAJ64349:QAJ64414 QKF64349:QKF64414 QUB64349:QUB64414 RDX64349:RDX64414 RNT64349:RNT64414 RXP64349:RXP64414 SHL64349:SHL64414 SRH64349:SRH64414 TBD64349:TBD64414 TKZ64349:TKZ64414 TUV64349:TUV64414 UER64349:UER64414 UON64349:UON64414 UYJ64349:UYJ64414 VIF64349:VIF64414 VSB64349:VSB64414 WBX64349:WBX64414 WLT64349:WLT64414 WVP64349:WVP64414 H129885:H129950 JD129885:JD129950 SZ129885:SZ129950 ACV129885:ACV129950 AMR129885:AMR129950 AWN129885:AWN129950 BGJ129885:BGJ129950 BQF129885:BQF129950 CAB129885:CAB129950 CJX129885:CJX129950 CTT129885:CTT129950 DDP129885:DDP129950 DNL129885:DNL129950 DXH129885:DXH129950 EHD129885:EHD129950 EQZ129885:EQZ129950 FAV129885:FAV129950 FKR129885:FKR129950 FUN129885:FUN129950 GEJ129885:GEJ129950 GOF129885:GOF129950 GYB129885:GYB129950 HHX129885:HHX129950 HRT129885:HRT129950 IBP129885:IBP129950 ILL129885:ILL129950 IVH129885:IVH129950 JFD129885:JFD129950 JOZ129885:JOZ129950 JYV129885:JYV129950 KIR129885:KIR129950 KSN129885:KSN129950 LCJ129885:LCJ129950 LMF129885:LMF129950 LWB129885:LWB129950 MFX129885:MFX129950 MPT129885:MPT129950 MZP129885:MZP129950 NJL129885:NJL129950 NTH129885:NTH129950 ODD129885:ODD129950 OMZ129885:OMZ129950 OWV129885:OWV129950 PGR129885:PGR129950 PQN129885:PQN129950 QAJ129885:QAJ129950 QKF129885:QKF129950 QUB129885:QUB129950 RDX129885:RDX129950 RNT129885:RNT129950 RXP129885:RXP129950 SHL129885:SHL129950 SRH129885:SRH129950 TBD129885:TBD129950 TKZ129885:TKZ129950 TUV129885:TUV129950 UER129885:UER129950 UON129885:UON129950 UYJ129885:UYJ129950 VIF129885:VIF129950 VSB129885:VSB129950 WBX129885:WBX129950 WLT129885:WLT129950 WVP129885:WVP129950 H195421:H195486 JD195421:JD195486 SZ195421:SZ195486 ACV195421:ACV195486 AMR195421:AMR195486 AWN195421:AWN195486 BGJ195421:BGJ195486 BQF195421:BQF195486 CAB195421:CAB195486 CJX195421:CJX195486 CTT195421:CTT195486 DDP195421:DDP195486 DNL195421:DNL195486 DXH195421:DXH195486 EHD195421:EHD195486 EQZ195421:EQZ195486 FAV195421:FAV195486 FKR195421:FKR195486 FUN195421:FUN195486 GEJ195421:GEJ195486 GOF195421:GOF195486 GYB195421:GYB195486 HHX195421:HHX195486 HRT195421:HRT195486 IBP195421:IBP195486 ILL195421:ILL195486 IVH195421:IVH195486 JFD195421:JFD195486 JOZ195421:JOZ195486 JYV195421:JYV195486 KIR195421:KIR195486 KSN195421:KSN195486 LCJ195421:LCJ195486 LMF195421:LMF195486 LWB195421:LWB195486 MFX195421:MFX195486 MPT195421:MPT195486 MZP195421:MZP195486 NJL195421:NJL195486 NTH195421:NTH195486 ODD195421:ODD195486 OMZ195421:OMZ195486 OWV195421:OWV195486 PGR195421:PGR195486 PQN195421:PQN195486 QAJ195421:QAJ195486 QKF195421:QKF195486 QUB195421:QUB195486 RDX195421:RDX195486 RNT195421:RNT195486 RXP195421:RXP195486 SHL195421:SHL195486 SRH195421:SRH195486 TBD195421:TBD195486 TKZ195421:TKZ195486 TUV195421:TUV195486 UER195421:UER195486 UON195421:UON195486 UYJ195421:UYJ195486 VIF195421:VIF195486 VSB195421:VSB195486 WBX195421:WBX195486 WLT195421:WLT195486 WVP195421:WVP195486 H260957:H261022 JD260957:JD261022 SZ260957:SZ261022 ACV260957:ACV261022 AMR260957:AMR261022 AWN260957:AWN261022 BGJ260957:BGJ261022 BQF260957:BQF261022 CAB260957:CAB261022 CJX260957:CJX261022 CTT260957:CTT261022 DDP260957:DDP261022 DNL260957:DNL261022 DXH260957:DXH261022 EHD260957:EHD261022 EQZ260957:EQZ261022 FAV260957:FAV261022 FKR260957:FKR261022 FUN260957:FUN261022 GEJ260957:GEJ261022 GOF260957:GOF261022 GYB260957:GYB261022 HHX260957:HHX261022 HRT260957:HRT261022 IBP260957:IBP261022 ILL260957:ILL261022 IVH260957:IVH261022 JFD260957:JFD261022 JOZ260957:JOZ261022 JYV260957:JYV261022 KIR260957:KIR261022 KSN260957:KSN261022 LCJ260957:LCJ261022 LMF260957:LMF261022 LWB260957:LWB261022 MFX260957:MFX261022 MPT260957:MPT261022 MZP260957:MZP261022 NJL260957:NJL261022 NTH260957:NTH261022 ODD260957:ODD261022 OMZ260957:OMZ261022 OWV260957:OWV261022 PGR260957:PGR261022 PQN260957:PQN261022 QAJ260957:QAJ261022 QKF260957:QKF261022 QUB260957:QUB261022 RDX260957:RDX261022 RNT260957:RNT261022 RXP260957:RXP261022 SHL260957:SHL261022 SRH260957:SRH261022 TBD260957:TBD261022 TKZ260957:TKZ261022 TUV260957:TUV261022 UER260957:UER261022 UON260957:UON261022 UYJ260957:UYJ261022 VIF260957:VIF261022 VSB260957:VSB261022 WBX260957:WBX261022 WLT260957:WLT261022 WVP260957:WVP261022 H326493:H326558 JD326493:JD326558 SZ326493:SZ326558 ACV326493:ACV326558 AMR326493:AMR326558 AWN326493:AWN326558 BGJ326493:BGJ326558 BQF326493:BQF326558 CAB326493:CAB326558 CJX326493:CJX326558 CTT326493:CTT326558 DDP326493:DDP326558 DNL326493:DNL326558 DXH326493:DXH326558 EHD326493:EHD326558 EQZ326493:EQZ326558 FAV326493:FAV326558 FKR326493:FKR326558 FUN326493:FUN326558 GEJ326493:GEJ326558 GOF326493:GOF326558 GYB326493:GYB326558 HHX326493:HHX326558 HRT326493:HRT326558 IBP326493:IBP326558 ILL326493:ILL326558 IVH326493:IVH326558 JFD326493:JFD326558 JOZ326493:JOZ326558 JYV326493:JYV326558 KIR326493:KIR326558 KSN326493:KSN326558 LCJ326493:LCJ326558 LMF326493:LMF326558 LWB326493:LWB326558 MFX326493:MFX326558 MPT326493:MPT326558 MZP326493:MZP326558 NJL326493:NJL326558 NTH326493:NTH326558 ODD326493:ODD326558 OMZ326493:OMZ326558 OWV326493:OWV326558 PGR326493:PGR326558 PQN326493:PQN326558 QAJ326493:QAJ326558 QKF326493:QKF326558 QUB326493:QUB326558 RDX326493:RDX326558 RNT326493:RNT326558 RXP326493:RXP326558 SHL326493:SHL326558 SRH326493:SRH326558 TBD326493:TBD326558 TKZ326493:TKZ326558 TUV326493:TUV326558 UER326493:UER326558 UON326493:UON326558 UYJ326493:UYJ326558 VIF326493:VIF326558 VSB326493:VSB326558 WBX326493:WBX326558 WLT326493:WLT326558 WVP326493:WVP326558 H392029:H392094 JD392029:JD392094 SZ392029:SZ392094 ACV392029:ACV392094 AMR392029:AMR392094 AWN392029:AWN392094 BGJ392029:BGJ392094 BQF392029:BQF392094 CAB392029:CAB392094 CJX392029:CJX392094 CTT392029:CTT392094 DDP392029:DDP392094 DNL392029:DNL392094 DXH392029:DXH392094 EHD392029:EHD392094 EQZ392029:EQZ392094 FAV392029:FAV392094 FKR392029:FKR392094 FUN392029:FUN392094 GEJ392029:GEJ392094 GOF392029:GOF392094 GYB392029:GYB392094 HHX392029:HHX392094 HRT392029:HRT392094 IBP392029:IBP392094 ILL392029:ILL392094 IVH392029:IVH392094 JFD392029:JFD392094 JOZ392029:JOZ392094 JYV392029:JYV392094 KIR392029:KIR392094 KSN392029:KSN392094 LCJ392029:LCJ392094 LMF392029:LMF392094 LWB392029:LWB392094 MFX392029:MFX392094 MPT392029:MPT392094 MZP392029:MZP392094 NJL392029:NJL392094 NTH392029:NTH392094 ODD392029:ODD392094 OMZ392029:OMZ392094 OWV392029:OWV392094 PGR392029:PGR392094 PQN392029:PQN392094 QAJ392029:QAJ392094 QKF392029:QKF392094 QUB392029:QUB392094 RDX392029:RDX392094 RNT392029:RNT392094 RXP392029:RXP392094 SHL392029:SHL392094 SRH392029:SRH392094 TBD392029:TBD392094 TKZ392029:TKZ392094 TUV392029:TUV392094 UER392029:UER392094 UON392029:UON392094 UYJ392029:UYJ392094 VIF392029:VIF392094 VSB392029:VSB392094 WBX392029:WBX392094 WLT392029:WLT392094 WVP392029:WVP392094 H457565:H457630 JD457565:JD457630 SZ457565:SZ457630 ACV457565:ACV457630 AMR457565:AMR457630 AWN457565:AWN457630 BGJ457565:BGJ457630 BQF457565:BQF457630 CAB457565:CAB457630 CJX457565:CJX457630 CTT457565:CTT457630 DDP457565:DDP457630 DNL457565:DNL457630 DXH457565:DXH457630 EHD457565:EHD457630 EQZ457565:EQZ457630 FAV457565:FAV457630 FKR457565:FKR457630 FUN457565:FUN457630 GEJ457565:GEJ457630 GOF457565:GOF457630 GYB457565:GYB457630 HHX457565:HHX457630 HRT457565:HRT457630 IBP457565:IBP457630 ILL457565:ILL457630 IVH457565:IVH457630 JFD457565:JFD457630 JOZ457565:JOZ457630 JYV457565:JYV457630 KIR457565:KIR457630 KSN457565:KSN457630 LCJ457565:LCJ457630 LMF457565:LMF457630 LWB457565:LWB457630 MFX457565:MFX457630 MPT457565:MPT457630 MZP457565:MZP457630 NJL457565:NJL457630 NTH457565:NTH457630 ODD457565:ODD457630 OMZ457565:OMZ457630 OWV457565:OWV457630 PGR457565:PGR457630 PQN457565:PQN457630 QAJ457565:QAJ457630 QKF457565:QKF457630 QUB457565:QUB457630 RDX457565:RDX457630 RNT457565:RNT457630 RXP457565:RXP457630 SHL457565:SHL457630 SRH457565:SRH457630 TBD457565:TBD457630 TKZ457565:TKZ457630 TUV457565:TUV457630 UER457565:UER457630 UON457565:UON457630 UYJ457565:UYJ457630 VIF457565:VIF457630 VSB457565:VSB457630 WBX457565:WBX457630 WLT457565:WLT457630 WVP457565:WVP457630 H523101:H523166 JD523101:JD523166 SZ523101:SZ523166 ACV523101:ACV523166 AMR523101:AMR523166 AWN523101:AWN523166 BGJ523101:BGJ523166 BQF523101:BQF523166 CAB523101:CAB523166 CJX523101:CJX523166 CTT523101:CTT523166 DDP523101:DDP523166 DNL523101:DNL523166 DXH523101:DXH523166 EHD523101:EHD523166 EQZ523101:EQZ523166 FAV523101:FAV523166 FKR523101:FKR523166 FUN523101:FUN523166 GEJ523101:GEJ523166 GOF523101:GOF523166 GYB523101:GYB523166 HHX523101:HHX523166 HRT523101:HRT523166 IBP523101:IBP523166 ILL523101:ILL523166 IVH523101:IVH523166 JFD523101:JFD523166 JOZ523101:JOZ523166 JYV523101:JYV523166 KIR523101:KIR523166 KSN523101:KSN523166 LCJ523101:LCJ523166 LMF523101:LMF523166 LWB523101:LWB523166 MFX523101:MFX523166 MPT523101:MPT523166 MZP523101:MZP523166 NJL523101:NJL523166 NTH523101:NTH523166 ODD523101:ODD523166 OMZ523101:OMZ523166 OWV523101:OWV523166 PGR523101:PGR523166 PQN523101:PQN523166 QAJ523101:QAJ523166 QKF523101:QKF523166 QUB523101:QUB523166 RDX523101:RDX523166 RNT523101:RNT523166 RXP523101:RXP523166 SHL523101:SHL523166 SRH523101:SRH523166 TBD523101:TBD523166 TKZ523101:TKZ523166 TUV523101:TUV523166 UER523101:UER523166 UON523101:UON523166 UYJ523101:UYJ523166 VIF523101:VIF523166 VSB523101:VSB523166 WBX523101:WBX523166 WLT523101:WLT523166 WVP523101:WVP523166 H588637:H588702 JD588637:JD588702 SZ588637:SZ588702 ACV588637:ACV588702 AMR588637:AMR588702 AWN588637:AWN588702 BGJ588637:BGJ588702 BQF588637:BQF588702 CAB588637:CAB588702 CJX588637:CJX588702 CTT588637:CTT588702 DDP588637:DDP588702 DNL588637:DNL588702 DXH588637:DXH588702 EHD588637:EHD588702 EQZ588637:EQZ588702 FAV588637:FAV588702 FKR588637:FKR588702 FUN588637:FUN588702 GEJ588637:GEJ588702 GOF588637:GOF588702 GYB588637:GYB588702 HHX588637:HHX588702 HRT588637:HRT588702 IBP588637:IBP588702 ILL588637:ILL588702 IVH588637:IVH588702 JFD588637:JFD588702 JOZ588637:JOZ588702 JYV588637:JYV588702 KIR588637:KIR588702 KSN588637:KSN588702 LCJ588637:LCJ588702 LMF588637:LMF588702 LWB588637:LWB588702 MFX588637:MFX588702 MPT588637:MPT588702 MZP588637:MZP588702 NJL588637:NJL588702 NTH588637:NTH588702 ODD588637:ODD588702 OMZ588637:OMZ588702 OWV588637:OWV588702 PGR588637:PGR588702 PQN588637:PQN588702 QAJ588637:QAJ588702 QKF588637:QKF588702 QUB588637:QUB588702 RDX588637:RDX588702 RNT588637:RNT588702 RXP588637:RXP588702 SHL588637:SHL588702 SRH588637:SRH588702 TBD588637:TBD588702 TKZ588637:TKZ588702 TUV588637:TUV588702 UER588637:UER588702 UON588637:UON588702 UYJ588637:UYJ588702 VIF588637:VIF588702 VSB588637:VSB588702 WBX588637:WBX588702 WLT588637:WLT588702 WVP588637:WVP588702 H654173:H654238 JD654173:JD654238 SZ654173:SZ654238 ACV654173:ACV654238 AMR654173:AMR654238 AWN654173:AWN654238 BGJ654173:BGJ654238 BQF654173:BQF654238 CAB654173:CAB654238 CJX654173:CJX654238 CTT654173:CTT654238 DDP654173:DDP654238 DNL654173:DNL654238 DXH654173:DXH654238 EHD654173:EHD654238 EQZ654173:EQZ654238 FAV654173:FAV654238 FKR654173:FKR654238 FUN654173:FUN654238 GEJ654173:GEJ654238 GOF654173:GOF654238 GYB654173:GYB654238 HHX654173:HHX654238 HRT654173:HRT654238 IBP654173:IBP654238 ILL654173:ILL654238 IVH654173:IVH654238 JFD654173:JFD654238 JOZ654173:JOZ654238 JYV654173:JYV654238 KIR654173:KIR654238 KSN654173:KSN654238 LCJ654173:LCJ654238 LMF654173:LMF654238 LWB654173:LWB654238 MFX654173:MFX654238 MPT654173:MPT654238 MZP654173:MZP654238 NJL654173:NJL654238 NTH654173:NTH654238 ODD654173:ODD654238 OMZ654173:OMZ654238 OWV654173:OWV654238 PGR654173:PGR654238 PQN654173:PQN654238 QAJ654173:QAJ654238 QKF654173:QKF654238 QUB654173:QUB654238 RDX654173:RDX654238 RNT654173:RNT654238 RXP654173:RXP654238 SHL654173:SHL654238 SRH654173:SRH654238 TBD654173:TBD654238 TKZ654173:TKZ654238 TUV654173:TUV654238 UER654173:UER654238 UON654173:UON654238 UYJ654173:UYJ654238 VIF654173:VIF654238 VSB654173:VSB654238 WBX654173:WBX654238 WLT654173:WLT654238 WVP654173:WVP654238 H719709:H719774 JD719709:JD719774 SZ719709:SZ719774 ACV719709:ACV719774 AMR719709:AMR719774 AWN719709:AWN719774 BGJ719709:BGJ719774 BQF719709:BQF719774 CAB719709:CAB719774 CJX719709:CJX719774 CTT719709:CTT719774 DDP719709:DDP719774 DNL719709:DNL719774 DXH719709:DXH719774 EHD719709:EHD719774 EQZ719709:EQZ719774 FAV719709:FAV719774 FKR719709:FKR719774 FUN719709:FUN719774 GEJ719709:GEJ719774 GOF719709:GOF719774 GYB719709:GYB719774 HHX719709:HHX719774 HRT719709:HRT719774 IBP719709:IBP719774 ILL719709:ILL719774 IVH719709:IVH719774 JFD719709:JFD719774 JOZ719709:JOZ719774 JYV719709:JYV719774 KIR719709:KIR719774 KSN719709:KSN719774 LCJ719709:LCJ719774 LMF719709:LMF719774 LWB719709:LWB719774 MFX719709:MFX719774 MPT719709:MPT719774 MZP719709:MZP719774 NJL719709:NJL719774 NTH719709:NTH719774 ODD719709:ODD719774 OMZ719709:OMZ719774 OWV719709:OWV719774 PGR719709:PGR719774 PQN719709:PQN719774 QAJ719709:QAJ719774 QKF719709:QKF719774 QUB719709:QUB719774 RDX719709:RDX719774 RNT719709:RNT719774 RXP719709:RXP719774 SHL719709:SHL719774 SRH719709:SRH719774 TBD719709:TBD719774 TKZ719709:TKZ719774 TUV719709:TUV719774 UER719709:UER719774 UON719709:UON719774 UYJ719709:UYJ719774 VIF719709:VIF719774 VSB719709:VSB719774 WBX719709:WBX719774 WLT719709:WLT719774 WVP719709:WVP719774 H785245:H785310 JD785245:JD785310 SZ785245:SZ785310 ACV785245:ACV785310 AMR785245:AMR785310 AWN785245:AWN785310 BGJ785245:BGJ785310 BQF785245:BQF785310 CAB785245:CAB785310 CJX785245:CJX785310 CTT785245:CTT785310 DDP785245:DDP785310 DNL785245:DNL785310 DXH785245:DXH785310 EHD785245:EHD785310 EQZ785245:EQZ785310 FAV785245:FAV785310 FKR785245:FKR785310 FUN785245:FUN785310 GEJ785245:GEJ785310 GOF785245:GOF785310 GYB785245:GYB785310 HHX785245:HHX785310 HRT785245:HRT785310 IBP785245:IBP785310 ILL785245:ILL785310 IVH785245:IVH785310 JFD785245:JFD785310 JOZ785245:JOZ785310 JYV785245:JYV785310 KIR785245:KIR785310 KSN785245:KSN785310 LCJ785245:LCJ785310 LMF785245:LMF785310 LWB785245:LWB785310 MFX785245:MFX785310 MPT785245:MPT785310 MZP785245:MZP785310 NJL785245:NJL785310 NTH785245:NTH785310 ODD785245:ODD785310 OMZ785245:OMZ785310 OWV785245:OWV785310 PGR785245:PGR785310 PQN785245:PQN785310 QAJ785245:QAJ785310 QKF785245:QKF785310 QUB785245:QUB785310 RDX785245:RDX785310 RNT785245:RNT785310 RXP785245:RXP785310 SHL785245:SHL785310 SRH785245:SRH785310 TBD785245:TBD785310 TKZ785245:TKZ785310 TUV785245:TUV785310 UER785245:UER785310 UON785245:UON785310 UYJ785245:UYJ785310 VIF785245:VIF785310 VSB785245:VSB785310 WBX785245:WBX785310 WLT785245:WLT785310 WVP785245:WVP785310 H850781:H850846 JD850781:JD850846 SZ850781:SZ850846 ACV850781:ACV850846 AMR850781:AMR850846 AWN850781:AWN850846 BGJ850781:BGJ850846 BQF850781:BQF850846 CAB850781:CAB850846 CJX850781:CJX850846 CTT850781:CTT850846 DDP850781:DDP850846 DNL850781:DNL850846 DXH850781:DXH850846 EHD850781:EHD850846 EQZ850781:EQZ850846 FAV850781:FAV850846 FKR850781:FKR850846 FUN850781:FUN850846 GEJ850781:GEJ850846 GOF850781:GOF850846 GYB850781:GYB850846 HHX850781:HHX850846 HRT850781:HRT850846 IBP850781:IBP850846 ILL850781:ILL850846 IVH850781:IVH850846 JFD850781:JFD850846 JOZ850781:JOZ850846 JYV850781:JYV850846 KIR850781:KIR850846 KSN850781:KSN850846 LCJ850781:LCJ850846 LMF850781:LMF850846 LWB850781:LWB850846 MFX850781:MFX850846 MPT850781:MPT850846 MZP850781:MZP850846 NJL850781:NJL850846 NTH850781:NTH850846 ODD850781:ODD850846 OMZ850781:OMZ850846 OWV850781:OWV850846 PGR850781:PGR850846 PQN850781:PQN850846 QAJ850781:QAJ850846 QKF850781:QKF850846 QUB850781:QUB850846 RDX850781:RDX850846 RNT850781:RNT850846 RXP850781:RXP850846 SHL850781:SHL850846 SRH850781:SRH850846 TBD850781:TBD850846 TKZ850781:TKZ850846 TUV850781:TUV850846 UER850781:UER850846 UON850781:UON850846 UYJ850781:UYJ850846 VIF850781:VIF850846 VSB850781:VSB850846 WBX850781:WBX850846 WLT850781:WLT850846 WVP850781:WVP850846 H916317:H916382 JD916317:JD916382 SZ916317:SZ916382 ACV916317:ACV916382 AMR916317:AMR916382 AWN916317:AWN916382 BGJ916317:BGJ916382 BQF916317:BQF916382 CAB916317:CAB916382 CJX916317:CJX916382 CTT916317:CTT916382 DDP916317:DDP916382 DNL916317:DNL916382 DXH916317:DXH916382 EHD916317:EHD916382 EQZ916317:EQZ916382 FAV916317:FAV916382 FKR916317:FKR916382 FUN916317:FUN916382 GEJ916317:GEJ916382 GOF916317:GOF916382 GYB916317:GYB916382 HHX916317:HHX916382 HRT916317:HRT916382 IBP916317:IBP916382 ILL916317:ILL916382 IVH916317:IVH916382 JFD916317:JFD916382 JOZ916317:JOZ916382 JYV916317:JYV916382 KIR916317:KIR916382 KSN916317:KSN916382 LCJ916317:LCJ916382 LMF916317:LMF916382 LWB916317:LWB916382 MFX916317:MFX916382 MPT916317:MPT916382 MZP916317:MZP916382 NJL916317:NJL916382 NTH916317:NTH916382 ODD916317:ODD916382 OMZ916317:OMZ916382 OWV916317:OWV916382 PGR916317:PGR916382 PQN916317:PQN916382 QAJ916317:QAJ916382 QKF916317:QKF916382 QUB916317:QUB916382 RDX916317:RDX916382 RNT916317:RNT916382 RXP916317:RXP916382 SHL916317:SHL916382 SRH916317:SRH916382 TBD916317:TBD916382 TKZ916317:TKZ916382 TUV916317:TUV916382 UER916317:UER916382 UON916317:UON916382 UYJ916317:UYJ916382 VIF916317:VIF916382 VSB916317:VSB916382 WBX916317:WBX916382 WLT916317:WLT916382 WVP916317:WVP916382 H981853:H981918 JD981853:JD981918 SZ981853:SZ981918 ACV981853:ACV981918 AMR981853:AMR981918 AWN981853:AWN981918 BGJ981853:BGJ981918 BQF981853:BQF981918 CAB981853:CAB981918 CJX981853:CJX981918 CTT981853:CTT981918 DDP981853:DDP981918 DNL981853:DNL981918 DXH981853:DXH981918 EHD981853:EHD981918 EQZ981853:EQZ981918 FAV981853:FAV981918 FKR981853:FKR981918 FUN981853:FUN981918 GEJ981853:GEJ981918 GOF981853:GOF981918 GYB981853:GYB981918 HHX981853:HHX981918 HRT981853:HRT981918 IBP981853:IBP981918 ILL981853:ILL981918 IVH981853:IVH981918 JFD981853:JFD981918 JOZ981853:JOZ981918 JYV981853:JYV981918 KIR981853:KIR981918 KSN981853:KSN981918 LCJ981853:LCJ981918 LMF981853:LMF981918 LWB981853:LWB981918 MFX981853:MFX981918 MPT981853:MPT981918 MZP981853:MZP981918 NJL981853:NJL981918 NTH981853:NTH981918 ODD981853:ODD981918 OMZ981853:OMZ981918 OWV981853:OWV981918 PGR981853:PGR981918 PQN981853:PQN981918 QAJ981853:QAJ981918 QKF981853:QKF981918 QUB981853:QUB981918 RDX981853:RDX981918 RNT981853:RNT981918 RXP981853:RXP981918 SHL981853:SHL981918 SRH981853:SRH981918 TBD981853:TBD981918 TKZ981853:TKZ981918 TUV981853:TUV981918 UER981853:UER981918 UON981853:UON981918 UYJ981853:UYJ981918 VIF981853:VIF981918 VSB981853:VSB981918 WBX981853:WBX981918 WLT981853:WLT981918 WVP981853:WVP981918 H1047389:H1047454 JD1047389:JD1047454 SZ1047389:SZ1047454 ACV1047389:ACV1047454 AMR1047389:AMR1047454 AWN1047389:AWN1047454 BGJ1047389:BGJ1047454 BQF1047389:BQF1047454 CAB1047389:CAB1047454 CJX1047389:CJX1047454 CTT1047389:CTT1047454 DDP1047389:DDP1047454 DNL1047389:DNL1047454 DXH1047389:DXH1047454 EHD1047389:EHD1047454 EQZ1047389:EQZ1047454 FAV1047389:FAV1047454 FKR1047389:FKR1047454 FUN1047389:FUN1047454 GEJ1047389:GEJ1047454 GOF1047389:GOF1047454 GYB1047389:GYB1047454 HHX1047389:HHX1047454 HRT1047389:HRT1047454 IBP1047389:IBP1047454 ILL1047389:ILL1047454 IVH1047389:IVH1047454 JFD1047389:JFD1047454 JOZ1047389:JOZ1047454 JYV1047389:JYV1047454 KIR1047389:KIR1047454 KSN1047389:KSN1047454 LCJ1047389:LCJ1047454 LMF1047389:LMF1047454 LWB1047389:LWB1047454 MFX1047389:MFX1047454 MPT1047389:MPT1047454 MZP1047389:MZP1047454 NJL1047389:NJL1047454 NTH1047389:NTH1047454 ODD1047389:ODD1047454 OMZ1047389:OMZ1047454 OWV1047389:OWV1047454 PGR1047389:PGR1047454 PQN1047389:PQN1047454 QAJ1047389:QAJ1047454 QKF1047389:QKF1047454 QUB1047389:QUB1047454 RDX1047389:RDX1047454 RNT1047389:RNT1047454 RXP1047389:RXP1047454 SHL1047389:SHL1047454 SRH1047389:SRH1047454 TBD1047389:TBD1047454 TKZ1047389:TKZ1047454 TUV1047389:TUV1047454 UER1047389:UER1047454 UON1047389:UON1047454 UYJ1047389:UYJ1047454 VIF1047389:VIF1047454 VSB1047389:VSB1047454 WBX1047389:WBX1047454 WLT1047389:WLT1047454 WVP1047389:WVP1047454">
      <formula1>$AL$5:$AL$12</formula1>
    </dataValidation>
    <dataValidation type="list" allowBlank="1" showInputMessage="1" showErrorMessage="1" sqref="E64349:F64414 JA2:JB70 ACS2:ACT70 AMO2:AMP70 AWK2:AWL70 BGG2:BGH70 BQC2:BQD70 BZY2:BZZ70 CJU2:CJV70 CTQ2:CTR70 DDM2:DDN70 DNI2:DNJ70 DXE2:DXF70 EHA2:EHB70 EQW2:EQX70 FAS2:FAT70 FKO2:FKP70 FUK2:FUL70 GEG2:GEH70 GOC2:GOD70 GXY2:GXZ70 HHU2:HHV70 HRQ2:HRR70 IBM2:IBN70 ILI2:ILJ70 IVE2:IVF70 JFA2:JFB70 JOW2:JOX70 JYS2:JYT70 KIO2:KIP70 KSK2:KSL70 LCG2:LCH70 LMC2:LMD70 LVY2:LVZ70 MFU2:MFV70 MPQ2:MPR70 MZM2:MZN70 NJI2:NJJ70 NTE2:NTF70 ODA2:ODB70 OMW2:OMX70 OWS2:OWT70 PGO2:PGP70 PQK2:PQL70 QAG2:QAH70 QKC2:QKD70 QTY2:QTZ70 RDU2:RDV70 RNQ2:RNR70 RXM2:RXN70 SHI2:SHJ70 SRE2:SRF70 TBA2:TBB70 TKW2:TKX70 TUS2:TUT70 UEO2:UEP70 UOK2:UOL70 UYG2:UYH70 VIC2:VID70 VRY2:VRZ70 WBU2:WBV70 WLQ2:WLR70 WVM2:WVN70 SW2:SX70 WLQ983028:WLR983099 WBU983028:WBV983099 VRY983028:VRZ983099 VIC983028:VID983099 UYG983028:UYH983099 UOK983028:UOL983099 UEO983028:UEP983099 TUS983028:TUT983099 TKW983028:TKX983099 TBA983028:TBB983099 SRE983028:SRF983099 SHI983028:SHJ983099 RXM983028:RXN983099 RNQ983028:RNR983099 RDU983028:RDV983099 QTY983028:QTZ983099 QKC983028:QKD983099 QAG983028:QAH983099 PQK983028:PQL983099 PGO983028:PGP983099 OWS983028:OWT983099 OMW983028:OMX983099 ODA983028:ODB983099 NTE983028:NTF983099 NJI983028:NJJ983099 MZM983028:MZN983099 MPQ983028:MPR983099 MFU983028:MFV983099 LVY983028:LVZ983099 LMC983028:LMD983099 LCG983028:LCH983099 KSK983028:KSL983099 KIO983028:KIP983099 JYS983028:JYT983099 JOW983028:JOX983099 JFA983028:JFB983099 IVE983028:IVF983099 ILI983028:ILJ983099 IBM983028:IBN983099 HRQ983028:HRR983099 HHU983028:HHV983099 GXY983028:GXZ983099 GOC983028:GOD983099 GEG983028:GEH983099 FUK983028:FUL983099 FKO983028:FKP983099 FAS983028:FAT983099 EQW983028:EQX983099 EHA983028:EHB983099 DXE983028:DXF983099 DNI983028:DNJ983099 DDM983028:DDN983099 CTQ983028:CTR983099 CJU983028:CJV983099 BZY983028:BZZ983099 BQC983028:BQD983099 BGG983028:BGH983099 AWK983028:AWL983099 AMO983028:AMP983099 ACS983028:ACT983099 SW983028:SX983099 JA983028:JB983099 E983028:F983099 WVM917492:WVN917563 WLQ917492:WLR917563 WBU917492:WBV917563 VRY917492:VRZ917563 VIC917492:VID917563 UYG917492:UYH917563 UOK917492:UOL917563 UEO917492:UEP917563 TUS917492:TUT917563 TKW917492:TKX917563 TBA917492:TBB917563 SRE917492:SRF917563 SHI917492:SHJ917563 RXM917492:RXN917563 RNQ917492:RNR917563 RDU917492:RDV917563 QTY917492:QTZ917563 QKC917492:QKD917563 QAG917492:QAH917563 PQK917492:PQL917563 PGO917492:PGP917563 OWS917492:OWT917563 OMW917492:OMX917563 ODA917492:ODB917563 NTE917492:NTF917563 NJI917492:NJJ917563 MZM917492:MZN917563 MPQ917492:MPR917563 MFU917492:MFV917563 LVY917492:LVZ917563 LMC917492:LMD917563 LCG917492:LCH917563 KSK917492:KSL917563 KIO917492:KIP917563 JYS917492:JYT917563 JOW917492:JOX917563 JFA917492:JFB917563 IVE917492:IVF917563 ILI917492:ILJ917563 IBM917492:IBN917563 HRQ917492:HRR917563 HHU917492:HHV917563 GXY917492:GXZ917563 GOC917492:GOD917563 GEG917492:GEH917563 FUK917492:FUL917563 FKO917492:FKP917563 FAS917492:FAT917563 EQW917492:EQX917563 EHA917492:EHB917563 DXE917492:DXF917563 DNI917492:DNJ917563 DDM917492:DDN917563 CTQ917492:CTR917563 CJU917492:CJV917563 BZY917492:BZZ917563 BQC917492:BQD917563 BGG917492:BGH917563 AWK917492:AWL917563 AMO917492:AMP917563 ACS917492:ACT917563 SW917492:SX917563 JA917492:JB917563 E917492:F917563 WVM851956:WVN852027 WLQ851956:WLR852027 WBU851956:WBV852027 VRY851956:VRZ852027 VIC851956:VID852027 UYG851956:UYH852027 UOK851956:UOL852027 UEO851956:UEP852027 TUS851956:TUT852027 TKW851956:TKX852027 TBA851956:TBB852027 SRE851956:SRF852027 SHI851956:SHJ852027 RXM851956:RXN852027 RNQ851956:RNR852027 RDU851956:RDV852027 QTY851956:QTZ852027 QKC851956:QKD852027 QAG851956:QAH852027 PQK851956:PQL852027 PGO851956:PGP852027 OWS851956:OWT852027 OMW851956:OMX852027 ODA851956:ODB852027 NTE851956:NTF852027 NJI851956:NJJ852027 MZM851956:MZN852027 MPQ851956:MPR852027 MFU851956:MFV852027 LVY851956:LVZ852027 LMC851956:LMD852027 LCG851956:LCH852027 KSK851956:KSL852027 KIO851956:KIP852027 JYS851956:JYT852027 JOW851956:JOX852027 JFA851956:JFB852027 IVE851956:IVF852027 ILI851956:ILJ852027 IBM851956:IBN852027 HRQ851956:HRR852027 HHU851956:HHV852027 GXY851956:GXZ852027 GOC851956:GOD852027 GEG851956:GEH852027 FUK851956:FUL852027 FKO851956:FKP852027 FAS851956:FAT852027 EQW851956:EQX852027 EHA851956:EHB852027 DXE851956:DXF852027 DNI851956:DNJ852027 DDM851956:DDN852027 CTQ851956:CTR852027 CJU851956:CJV852027 BZY851956:BZZ852027 BQC851956:BQD852027 BGG851956:BGH852027 AWK851956:AWL852027 AMO851956:AMP852027 ACS851956:ACT852027 SW851956:SX852027 JA851956:JB852027 E851956:F852027 WVM786420:WVN786491 WLQ786420:WLR786491 WBU786420:WBV786491 VRY786420:VRZ786491 VIC786420:VID786491 UYG786420:UYH786491 UOK786420:UOL786491 UEO786420:UEP786491 TUS786420:TUT786491 TKW786420:TKX786491 TBA786420:TBB786491 SRE786420:SRF786491 SHI786420:SHJ786491 RXM786420:RXN786491 RNQ786420:RNR786491 RDU786420:RDV786491 QTY786420:QTZ786491 QKC786420:QKD786491 QAG786420:QAH786491 PQK786420:PQL786491 PGO786420:PGP786491 OWS786420:OWT786491 OMW786420:OMX786491 ODA786420:ODB786491 NTE786420:NTF786491 NJI786420:NJJ786491 MZM786420:MZN786491 MPQ786420:MPR786491 MFU786420:MFV786491 LVY786420:LVZ786491 LMC786420:LMD786491 LCG786420:LCH786491 KSK786420:KSL786491 KIO786420:KIP786491 JYS786420:JYT786491 JOW786420:JOX786491 JFA786420:JFB786491 IVE786420:IVF786491 ILI786420:ILJ786491 IBM786420:IBN786491 HRQ786420:HRR786491 HHU786420:HHV786491 GXY786420:GXZ786491 GOC786420:GOD786491 GEG786420:GEH786491 FUK786420:FUL786491 FKO786420:FKP786491 FAS786420:FAT786491 EQW786420:EQX786491 EHA786420:EHB786491 DXE786420:DXF786491 DNI786420:DNJ786491 DDM786420:DDN786491 CTQ786420:CTR786491 CJU786420:CJV786491 BZY786420:BZZ786491 BQC786420:BQD786491 BGG786420:BGH786491 AWK786420:AWL786491 AMO786420:AMP786491 ACS786420:ACT786491 SW786420:SX786491 JA786420:JB786491 E786420:F786491 WVM720884:WVN720955 WLQ720884:WLR720955 WBU720884:WBV720955 VRY720884:VRZ720955 VIC720884:VID720955 UYG720884:UYH720955 UOK720884:UOL720955 UEO720884:UEP720955 TUS720884:TUT720955 TKW720884:TKX720955 TBA720884:TBB720955 SRE720884:SRF720955 SHI720884:SHJ720955 RXM720884:RXN720955 RNQ720884:RNR720955 RDU720884:RDV720955 QTY720884:QTZ720955 QKC720884:QKD720955 QAG720884:QAH720955 PQK720884:PQL720955 PGO720884:PGP720955 OWS720884:OWT720955 OMW720884:OMX720955 ODA720884:ODB720955 NTE720884:NTF720955 NJI720884:NJJ720955 MZM720884:MZN720955 MPQ720884:MPR720955 MFU720884:MFV720955 LVY720884:LVZ720955 LMC720884:LMD720955 LCG720884:LCH720955 KSK720884:KSL720955 KIO720884:KIP720955 JYS720884:JYT720955 JOW720884:JOX720955 JFA720884:JFB720955 IVE720884:IVF720955 ILI720884:ILJ720955 IBM720884:IBN720955 HRQ720884:HRR720955 HHU720884:HHV720955 GXY720884:GXZ720955 GOC720884:GOD720955 GEG720884:GEH720955 FUK720884:FUL720955 FKO720884:FKP720955 FAS720884:FAT720955 EQW720884:EQX720955 EHA720884:EHB720955 DXE720884:DXF720955 DNI720884:DNJ720955 DDM720884:DDN720955 CTQ720884:CTR720955 CJU720884:CJV720955 BZY720884:BZZ720955 BQC720884:BQD720955 BGG720884:BGH720955 AWK720884:AWL720955 AMO720884:AMP720955 ACS720884:ACT720955 SW720884:SX720955 JA720884:JB720955 E720884:F720955 WVM655348:WVN655419 WLQ655348:WLR655419 WBU655348:WBV655419 VRY655348:VRZ655419 VIC655348:VID655419 UYG655348:UYH655419 UOK655348:UOL655419 UEO655348:UEP655419 TUS655348:TUT655419 TKW655348:TKX655419 TBA655348:TBB655419 SRE655348:SRF655419 SHI655348:SHJ655419 RXM655348:RXN655419 RNQ655348:RNR655419 RDU655348:RDV655419 QTY655348:QTZ655419 QKC655348:QKD655419 QAG655348:QAH655419 PQK655348:PQL655419 PGO655348:PGP655419 OWS655348:OWT655419 OMW655348:OMX655419 ODA655348:ODB655419 NTE655348:NTF655419 NJI655348:NJJ655419 MZM655348:MZN655419 MPQ655348:MPR655419 MFU655348:MFV655419 LVY655348:LVZ655419 LMC655348:LMD655419 LCG655348:LCH655419 KSK655348:KSL655419 KIO655348:KIP655419 JYS655348:JYT655419 JOW655348:JOX655419 JFA655348:JFB655419 IVE655348:IVF655419 ILI655348:ILJ655419 IBM655348:IBN655419 HRQ655348:HRR655419 HHU655348:HHV655419 GXY655348:GXZ655419 GOC655348:GOD655419 GEG655348:GEH655419 FUK655348:FUL655419 FKO655348:FKP655419 FAS655348:FAT655419 EQW655348:EQX655419 EHA655348:EHB655419 DXE655348:DXF655419 DNI655348:DNJ655419 DDM655348:DDN655419 CTQ655348:CTR655419 CJU655348:CJV655419 BZY655348:BZZ655419 BQC655348:BQD655419 BGG655348:BGH655419 AWK655348:AWL655419 AMO655348:AMP655419 ACS655348:ACT655419 SW655348:SX655419 JA655348:JB655419 E655348:F655419 WVM589812:WVN589883 WLQ589812:WLR589883 WBU589812:WBV589883 VRY589812:VRZ589883 VIC589812:VID589883 UYG589812:UYH589883 UOK589812:UOL589883 UEO589812:UEP589883 TUS589812:TUT589883 TKW589812:TKX589883 TBA589812:TBB589883 SRE589812:SRF589883 SHI589812:SHJ589883 RXM589812:RXN589883 RNQ589812:RNR589883 RDU589812:RDV589883 QTY589812:QTZ589883 QKC589812:QKD589883 QAG589812:QAH589883 PQK589812:PQL589883 PGO589812:PGP589883 OWS589812:OWT589883 OMW589812:OMX589883 ODA589812:ODB589883 NTE589812:NTF589883 NJI589812:NJJ589883 MZM589812:MZN589883 MPQ589812:MPR589883 MFU589812:MFV589883 LVY589812:LVZ589883 LMC589812:LMD589883 LCG589812:LCH589883 KSK589812:KSL589883 KIO589812:KIP589883 JYS589812:JYT589883 JOW589812:JOX589883 JFA589812:JFB589883 IVE589812:IVF589883 ILI589812:ILJ589883 IBM589812:IBN589883 HRQ589812:HRR589883 HHU589812:HHV589883 GXY589812:GXZ589883 GOC589812:GOD589883 GEG589812:GEH589883 FUK589812:FUL589883 FKO589812:FKP589883 FAS589812:FAT589883 EQW589812:EQX589883 EHA589812:EHB589883 DXE589812:DXF589883 DNI589812:DNJ589883 DDM589812:DDN589883 CTQ589812:CTR589883 CJU589812:CJV589883 BZY589812:BZZ589883 BQC589812:BQD589883 BGG589812:BGH589883 AWK589812:AWL589883 AMO589812:AMP589883 ACS589812:ACT589883 SW589812:SX589883 JA589812:JB589883 E589812:F589883 WVM524276:WVN524347 WLQ524276:WLR524347 WBU524276:WBV524347 VRY524276:VRZ524347 VIC524276:VID524347 UYG524276:UYH524347 UOK524276:UOL524347 UEO524276:UEP524347 TUS524276:TUT524347 TKW524276:TKX524347 TBA524276:TBB524347 SRE524276:SRF524347 SHI524276:SHJ524347 RXM524276:RXN524347 RNQ524276:RNR524347 RDU524276:RDV524347 QTY524276:QTZ524347 QKC524276:QKD524347 QAG524276:QAH524347 PQK524276:PQL524347 PGO524276:PGP524347 OWS524276:OWT524347 OMW524276:OMX524347 ODA524276:ODB524347 NTE524276:NTF524347 NJI524276:NJJ524347 MZM524276:MZN524347 MPQ524276:MPR524347 MFU524276:MFV524347 LVY524276:LVZ524347 LMC524276:LMD524347 LCG524276:LCH524347 KSK524276:KSL524347 KIO524276:KIP524347 JYS524276:JYT524347 JOW524276:JOX524347 JFA524276:JFB524347 IVE524276:IVF524347 ILI524276:ILJ524347 IBM524276:IBN524347 HRQ524276:HRR524347 HHU524276:HHV524347 GXY524276:GXZ524347 GOC524276:GOD524347 GEG524276:GEH524347 FUK524276:FUL524347 FKO524276:FKP524347 FAS524276:FAT524347 EQW524276:EQX524347 EHA524276:EHB524347 DXE524276:DXF524347 DNI524276:DNJ524347 DDM524276:DDN524347 CTQ524276:CTR524347 CJU524276:CJV524347 BZY524276:BZZ524347 BQC524276:BQD524347 BGG524276:BGH524347 AWK524276:AWL524347 AMO524276:AMP524347 ACS524276:ACT524347 SW524276:SX524347 JA524276:JB524347 E524276:F524347 WVM458740:WVN458811 WLQ458740:WLR458811 WBU458740:WBV458811 VRY458740:VRZ458811 VIC458740:VID458811 UYG458740:UYH458811 UOK458740:UOL458811 UEO458740:UEP458811 TUS458740:TUT458811 TKW458740:TKX458811 TBA458740:TBB458811 SRE458740:SRF458811 SHI458740:SHJ458811 RXM458740:RXN458811 RNQ458740:RNR458811 RDU458740:RDV458811 QTY458740:QTZ458811 QKC458740:QKD458811 QAG458740:QAH458811 PQK458740:PQL458811 PGO458740:PGP458811 OWS458740:OWT458811 OMW458740:OMX458811 ODA458740:ODB458811 NTE458740:NTF458811 NJI458740:NJJ458811 MZM458740:MZN458811 MPQ458740:MPR458811 MFU458740:MFV458811 LVY458740:LVZ458811 LMC458740:LMD458811 LCG458740:LCH458811 KSK458740:KSL458811 KIO458740:KIP458811 JYS458740:JYT458811 JOW458740:JOX458811 JFA458740:JFB458811 IVE458740:IVF458811 ILI458740:ILJ458811 IBM458740:IBN458811 HRQ458740:HRR458811 HHU458740:HHV458811 GXY458740:GXZ458811 GOC458740:GOD458811 GEG458740:GEH458811 FUK458740:FUL458811 FKO458740:FKP458811 FAS458740:FAT458811 EQW458740:EQX458811 EHA458740:EHB458811 DXE458740:DXF458811 DNI458740:DNJ458811 DDM458740:DDN458811 CTQ458740:CTR458811 CJU458740:CJV458811 BZY458740:BZZ458811 BQC458740:BQD458811 BGG458740:BGH458811 AWK458740:AWL458811 AMO458740:AMP458811 ACS458740:ACT458811 SW458740:SX458811 JA458740:JB458811 E458740:F458811 WVM393204:WVN393275 WLQ393204:WLR393275 WBU393204:WBV393275 VRY393204:VRZ393275 VIC393204:VID393275 UYG393204:UYH393275 UOK393204:UOL393275 UEO393204:UEP393275 TUS393204:TUT393275 TKW393204:TKX393275 TBA393204:TBB393275 SRE393204:SRF393275 SHI393204:SHJ393275 RXM393204:RXN393275 RNQ393204:RNR393275 RDU393204:RDV393275 QTY393204:QTZ393275 QKC393204:QKD393275 QAG393204:QAH393275 PQK393204:PQL393275 PGO393204:PGP393275 OWS393204:OWT393275 OMW393204:OMX393275 ODA393204:ODB393275 NTE393204:NTF393275 NJI393204:NJJ393275 MZM393204:MZN393275 MPQ393204:MPR393275 MFU393204:MFV393275 LVY393204:LVZ393275 LMC393204:LMD393275 LCG393204:LCH393275 KSK393204:KSL393275 KIO393204:KIP393275 JYS393204:JYT393275 JOW393204:JOX393275 JFA393204:JFB393275 IVE393204:IVF393275 ILI393204:ILJ393275 IBM393204:IBN393275 HRQ393204:HRR393275 HHU393204:HHV393275 GXY393204:GXZ393275 GOC393204:GOD393275 GEG393204:GEH393275 FUK393204:FUL393275 FKO393204:FKP393275 FAS393204:FAT393275 EQW393204:EQX393275 EHA393204:EHB393275 DXE393204:DXF393275 DNI393204:DNJ393275 DDM393204:DDN393275 CTQ393204:CTR393275 CJU393204:CJV393275 BZY393204:BZZ393275 BQC393204:BQD393275 BGG393204:BGH393275 AWK393204:AWL393275 AMO393204:AMP393275 ACS393204:ACT393275 SW393204:SX393275 JA393204:JB393275 E393204:F393275 WVM327668:WVN327739 WLQ327668:WLR327739 WBU327668:WBV327739 VRY327668:VRZ327739 VIC327668:VID327739 UYG327668:UYH327739 UOK327668:UOL327739 UEO327668:UEP327739 TUS327668:TUT327739 TKW327668:TKX327739 TBA327668:TBB327739 SRE327668:SRF327739 SHI327668:SHJ327739 RXM327668:RXN327739 RNQ327668:RNR327739 RDU327668:RDV327739 QTY327668:QTZ327739 QKC327668:QKD327739 QAG327668:QAH327739 PQK327668:PQL327739 PGO327668:PGP327739 OWS327668:OWT327739 OMW327668:OMX327739 ODA327668:ODB327739 NTE327668:NTF327739 NJI327668:NJJ327739 MZM327668:MZN327739 MPQ327668:MPR327739 MFU327668:MFV327739 LVY327668:LVZ327739 LMC327668:LMD327739 LCG327668:LCH327739 KSK327668:KSL327739 KIO327668:KIP327739 JYS327668:JYT327739 JOW327668:JOX327739 JFA327668:JFB327739 IVE327668:IVF327739 ILI327668:ILJ327739 IBM327668:IBN327739 HRQ327668:HRR327739 HHU327668:HHV327739 GXY327668:GXZ327739 GOC327668:GOD327739 GEG327668:GEH327739 FUK327668:FUL327739 FKO327668:FKP327739 FAS327668:FAT327739 EQW327668:EQX327739 EHA327668:EHB327739 DXE327668:DXF327739 DNI327668:DNJ327739 DDM327668:DDN327739 CTQ327668:CTR327739 CJU327668:CJV327739 BZY327668:BZZ327739 BQC327668:BQD327739 BGG327668:BGH327739 AWK327668:AWL327739 AMO327668:AMP327739 ACS327668:ACT327739 SW327668:SX327739 JA327668:JB327739 E327668:F327739 WVM262132:WVN262203 WLQ262132:WLR262203 WBU262132:WBV262203 VRY262132:VRZ262203 VIC262132:VID262203 UYG262132:UYH262203 UOK262132:UOL262203 UEO262132:UEP262203 TUS262132:TUT262203 TKW262132:TKX262203 TBA262132:TBB262203 SRE262132:SRF262203 SHI262132:SHJ262203 RXM262132:RXN262203 RNQ262132:RNR262203 RDU262132:RDV262203 QTY262132:QTZ262203 QKC262132:QKD262203 QAG262132:QAH262203 PQK262132:PQL262203 PGO262132:PGP262203 OWS262132:OWT262203 OMW262132:OMX262203 ODA262132:ODB262203 NTE262132:NTF262203 NJI262132:NJJ262203 MZM262132:MZN262203 MPQ262132:MPR262203 MFU262132:MFV262203 LVY262132:LVZ262203 LMC262132:LMD262203 LCG262132:LCH262203 KSK262132:KSL262203 KIO262132:KIP262203 JYS262132:JYT262203 JOW262132:JOX262203 JFA262132:JFB262203 IVE262132:IVF262203 ILI262132:ILJ262203 IBM262132:IBN262203 HRQ262132:HRR262203 HHU262132:HHV262203 GXY262132:GXZ262203 GOC262132:GOD262203 GEG262132:GEH262203 FUK262132:FUL262203 FKO262132:FKP262203 FAS262132:FAT262203 EQW262132:EQX262203 EHA262132:EHB262203 DXE262132:DXF262203 DNI262132:DNJ262203 DDM262132:DDN262203 CTQ262132:CTR262203 CJU262132:CJV262203 BZY262132:BZZ262203 BQC262132:BQD262203 BGG262132:BGH262203 AWK262132:AWL262203 AMO262132:AMP262203 ACS262132:ACT262203 SW262132:SX262203 JA262132:JB262203 E262132:F262203 WVM196596:WVN196667 WLQ196596:WLR196667 WBU196596:WBV196667 VRY196596:VRZ196667 VIC196596:VID196667 UYG196596:UYH196667 UOK196596:UOL196667 UEO196596:UEP196667 TUS196596:TUT196667 TKW196596:TKX196667 TBA196596:TBB196667 SRE196596:SRF196667 SHI196596:SHJ196667 RXM196596:RXN196667 RNQ196596:RNR196667 RDU196596:RDV196667 QTY196596:QTZ196667 QKC196596:QKD196667 QAG196596:QAH196667 PQK196596:PQL196667 PGO196596:PGP196667 OWS196596:OWT196667 OMW196596:OMX196667 ODA196596:ODB196667 NTE196596:NTF196667 NJI196596:NJJ196667 MZM196596:MZN196667 MPQ196596:MPR196667 MFU196596:MFV196667 LVY196596:LVZ196667 LMC196596:LMD196667 LCG196596:LCH196667 KSK196596:KSL196667 KIO196596:KIP196667 JYS196596:JYT196667 JOW196596:JOX196667 JFA196596:JFB196667 IVE196596:IVF196667 ILI196596:ILJ196667 IBM196596:IBN196667 HRQ196596:HRR196667 HHU196596:HHV196667 GXY196596:GXZ196667 GOC196596:GOD196667 GEG196596:GEH196667 FUK196596:FUL196667 FKO196596:FKP196667 FAS196596:FAT196667 EQW196596:EQX196667 EHA196596:EHB196667 DXE196596:DXF196667 DNI196596:DNJ196667 DDM196596:DDN196667 CTQ196596:CTR196667 CJU196596:CJV196667 BZY196596:BZZ196667 BQC196596:BQD196667 BGG196596:BGH196667 AWK196596:AWL196667 AMO196596:AMP196667 ACS196596:ACT196667 SW196596:SX196667 JA196596:JB196667 E196596:F196667 WVM131060:WVN131131 WLQ131060:WLR131131 WBU131060:WBV131131 VRY131060:VRZ131131 VIC131060:VID131131 UYG131060:UYH131131 UOK131060:UOL131131 UEO131060:UEP131131 TUS131060:TUT131131 TKW131060:TKX131131 TBA131060:TBB131131 SRE131060:SRF131131 SHI131060:SHJ131131 RXM131060:RXN131131 RNQ131060:RNR131131 RDU131060:RDV131131 QTY131060:QTZ131131 QKC131060:QKD131131 QAG131060:QAH131131 PQK131060:PQL131131 PGO131060:PGP131131 OWS131060:OWT131131 OMW131060:OMX131131 ODA131060:ODB131131 NTE131060:NTF131131 NJI131060:NJJ131131 MZM131060:MZN131131 MPQ131060:MPR131131 MFU131060:MFV131131 LVY131060:LVZ131131 LMC131060:LMD131131 LCG131060:LCH131131 KSK131060:KSL131131 KIO131060:KIP131131 JYS131060:JYT131131 JOW131060:JOX131131 JFA131060:JFB131131 IVE131060:IVF131131 ILI131060:ILJ131131 IBM131060:IBN131131 HRQ131060:HRR131131 HHU131060:HHV131131 GXY131060:GXZ131131 GOC131060:GOD131131 GEG131060:GEH131131 FUK131060:FUL131131 FKO131060:FKP131131 FAS131060:FAT131131 EQW131060:EQX131131 EHA131060:EHB131131 DXE131060:DXF131131 DNI131060:DNJ131131 DDM131060:DDN131131 CTQ131060:CTR131131 CJU131060:CJV131131 BZY131060:BZZ131131 BQC131060:BQD131131 BGG131060:BGH131131 AWK131060:AWL131131 AMO131060:AMP131131 ACS131060:ACT131131 SW131060:SX131131 JA131060:JB131131 E131060:F131131 WVM65524:WVN65595 WLQ65524:WLR65595 WBU65524:WBV65595 VRY65524:VRZ65595 VIC65524:VID65595 UYG65524:UYH65595 UOK65524:UOL65595 UEO65524:UEP65595 TUS65524:TUT65595 TKW65524:TKX65595 TBA65524:TBB65595 SRE65524:SRF65595 SHI65524:SHJ65595 RXM65524:RXN65595 RNQ65524:RNR65595 RDU65524:RDV65595 QTY65524:QTZ65595 QKC65524:QKD65595 QAG65524:QAH65595 PQK65524:PQL65595 PGO65524:PGP65595 OWS65524:OWT65595 OMW65524:OMX65595 ODA65524:ODB65595 NTE65524:NTF65595 NJI65524:NJJ65595 MZM65524:MZN65595 MPQ65524:MPR65595 MFU65524:MFV65595 LVY65524:LVZ65595 LMC65524:LMD65595 LCG65524:LCH65595 KSK65524:KSL65595 KIO65524:KIP65595 JYS65524:JYT65595 JOW65524:JOX65595 JFA65524:JFB65595 IVE65524:IVF65595 ILI65524:ILJ65595 IBM65524:IBN65595 HRQ65524:HRR65595 HHU65524:HHV65595 GXY65524:GXZ65595 GOC65524:GOD65595 GEG65524:GEH65595 FUK65524:FUL65595 FKO65524:FKP65595 FAS65524:FAT65595 EQW65524:EQX65595 EHA65524:EHB65595 DXE65524:DXF65595 DNI65524:DNJ65595 DDM65524:DDN65595 CTQ65524:CTR65595 CJU65524:CJV65595 BZY65524:BZZ65595 BQC65524:BQD65595 BGG65524:BGH65595 AWK65524:AWL65595 AMO65524:AMP65595 ACS65524:ACT65595 SW65524:SX65595 JA65524:JB65595 E65524:F65595 JA64349:JB64414 WVM1047389:WVN1047454 WLQ1047389:WLR1047454 WBU1047389:WBV1047454 VRY1047389:VRZ1047454 VIC1047389:VID1047454 UYG1047389:UYH1047454 UOK1047389:UOL1047454 UEO1047389:UEP1047454 TUS1047389:TUT1047454 TKW1047389:TKX1047454 TBA1047389:TBB1047454 SRE1047389:SRF1047454 SHI1047389:SHJ1047454 RXM1047389:RXN1047454 RNQ1047389:RNR1047454 RDU1047389:RDV1047454 QTY1047389:QTZ1047454 QKC1047389:QKD1047454 QAG1047389:QAH1047454 PQK1047389:PQL1047454 PGO1047389:PGP1047454 OWS1047389:OWT1047454 OMW1047389:OMX1047454 ODA1047389:ODB1047454 NTE1047389:NTF1047454 NJI1047389:NJJ1047454 MZM1047389:MZN1047454 MPQ1047389:MPR1047454 MFU1047389:MFV1047454 LVY1047389:LVZ1047454 LMC1047389:LMD1047454 LCG1047389:LCH1047454 KSK1047389:KSL1047454 KIO1047389:KIP1047454 JYS1047389:JYT1047454 JOW1047389:JOX1047454 JFA1047389:JFB1047454 IVE1047389:IVF1047454 ILI1047389:ILJ1047454 IBM1047389:IBN1047454 HRQ1047389:HRR1047454 HHU1047389:HHV1047454 GXY1047389:GXZ1047454 GOC1047389:GOD1047454 GEG1047389:GEH1047454 FUK1047389:FUL1047454 FKO1047389:FKP1047454 FAS1047389:FAT1047454 EQW1047389:EQX1047454 EHA1047389:EHB1047454 DXE1047389:DXF1047454 DNI1047389:DNJ1047454 DDM1047389:DDN1047454 CTQ1047389:CTR1047454 CJU1047389:CJV1047454 BZY1047389:BZZ1047454 BQC1047389:BQD1047454 BGG1047389:BGH1047454 AWK1047389:AWL1047454 AMO1047389:AMP1047454 ACS1047389:ACT1047454 SW1047389:SX1047454 JA1047389:JB1047454 E1047389:F1047454 WVM981853:WVN981918 WLQ981853:WLR981918 WBU981853:WBV981918 VRY981853:VRZ981918 VIC981853:VID981918 UYG981853:UYH981918 UOK981853:UOL981918 UEO981853:UEP981918 TUS981853:TUT981918 TKW981853:TKX981918 TBA981853:TBB981918 SRE981853:SRF981918 SHI981853:SHJ981918 RXM981853:RXN981918 RNQ981853:RNR981918 RDU981853:RDV981918 QTY981853:QTZ981918 QKC981853:QKD981918 QAG981853:QAH981918 PQK981853:PQL981918 PGO981853:PGP981918 OWS981853:OWT981918 OMW981853:OMX981918 ODA981853:ODB981918 NTE981853:NTF981918 NJI981853:NJJ981918 MZM981853:MZN981918 MPQ981853:MPR981918 MFU981853:MFV981918 LVY981853:LVZ981918 LMC981853:LMD981918 LCG981853:LCH981918 KSK981853:KSL981918 KIO981853:KIP981918 JYS981853:JYT981918 JOW981853:JOX981918 JFA981853:JFB981918 IVE981853:IVF981918 ILI981853:ILJ981918 IBM981853:IBN981918 HRQ981853:HRR981918 HHU981853:HHV981918 GXY981853:GXZ981918 GOC981853:GOD981918 GEG981853:GEH981918 FUK981853:FUL981918 FKO981853:FKP981918 FAS981853:FAT981918 EQW981853:EQX981918 EHA981853:EHB981918 DXE981853:DXF981918 DNI981853:DNJ981918 DDM981853:DDN981918 CTQ981853:CTR981918 CJU981853:CJV981918 BZY981853:BZZ981918 BQC981853:BQD981918 BGG981853:BGH981918 AWK981853:AWL981918 AMO981853:AMP981918 ACS981853:ACT981918 SW981853:SX981918 JA981853:JB981918 E981853:F981918 WVM916317:WVN916382 WLQ916317:WLR916382 WBU916317:WBV916382 VRY916317:VRZ916382 VIC916317:VID916382 UYG916317:UYH916382 UOK916317:UOL916382 UEO916317:UEP916382 TUS916317:TUT916382 TKW916317:TKX916382 TBA916317:TBB916382 SRE916317:SRF916382 SHI916317:SHJ916382 RXM916317:RXN916382 RNQ916317:RNR916382 RDU916317:RDV916382 QTY916317:QTZ916382 QKC916317:QKD916382 QAG916317:QAH916382 PQK916317:PQL916382 PGO916317:PGP916382 OWS916317:OWT916382 OMW916317:OMX916382 ODA916317:ODB916382 NTE916317:NTF916382 NJI916317:NJJ916382 MZM916317:MZN916382 MPQ916317:MPR916382 MFU916317:MFV916382 LVY916317:LVZ916382 LMC916317:LMD916382 LCG916317:LCH916382 KSK916317:KSL916382 KIO916317:KIP916382 JYS916317:JYT916382 JOW916317:JOX916382 JFA916317:JFB916382 IVE916317:IVF916382 ILI916317:ILJ916382 IBM916317:IBN916382 HRQ916317:HRR916382 HHU916317:HHV916382 GXY916317:GXZ916382 GOC916317:GOD916382 GEG916317:GEH916382 FUK916317:FUL916382 FKO916317:FKP916382 FAS916317:FAT916382 EQW916317:EQX916382 EHA916317:EHB916382 DXE916317:DXF916382 DNI916317:DNJ916382 DDM916317:DDN916382 CTQ916317:CTR916382 CJU916317:CJV916382 BZY916317:BZZ916382 BQC916317:BQD916382 BGG916317:BGH916382 AWK916317:AWL916382 AMO916317:AMP916382 ACS916317:ACT916382 SW916317:SX916382 JA916317:JB916382 E916317:F916382 WVM850781:WVN850846 WLQ850781:WLR850846 WBU850781:WBV850846 VRY850781:VRZ850846 VIC850781:VID850846 UYG850781:UYH850846 UOK850781:UOL850846 UEO850781:UEP850846 TUS850781:TUT850846 TKW850781:TKX850846 TBA850781:TBB850846 SRE850781:SRF850846 SHI850781:SHJ850846 RXM850781:RXN850846 RNQ850781:RNR850846 RDU850781:RDV850846 QTY850781:QTZ850846 QKC850781:QKD850846 QAG850781:QAH850846 PQK850781:PQL850846 PGO850781:PGP850846 OWS850781:OWT850846 OMW850781:OMX850846 ODA850781:ODB850846 NTE850781:NTF850846 NJI850781:NJJ850846 MZM850781:MZN850846 MPQ850781:MPR850846 MFU850781:MFV850846 LVY850781:LVZ850846 LMC850781:LMD850846 LCG850781:LCH850846 KSK850781:KSL850846 KIO850781:KIP850846 JYS850781:JYT850846 JOW850781:JOX850846 JFA850781:JFB850846 IVE850781:IVF850846 ILI850781:ILJ850846 IBM850781:IBN850846 HRQ850781:HRR850846 HHU850781:HHV850846 GXY850781:GXZ850846 GOC850781:GOD850846 GEG850781:GEH850846 FUK850781:FUL850846 FKO850781:FKP850846 FAS850781:FAT850846 EQW850781:EQX850846 EHA850781:EHB850846 DXE850781:DXF850846 DNI850781:DNJ850846 DDM850781:DDN850846 CTQ850781:CTR850846 CJU850781:CJV850846 BZY850781:BZZ850846 BQC850781:BQD850846 BGG850781:BGH850846 AWK850781:AWL850846 AMO850781:AMP850846 ACS850781:ACT850846 SW850781:SX850846 JA850781:JB850846 E850781:F850846 WVM785245:WVN785310 WLQ785245:WLR785310 WBU785245:WBV785310 VRY785245:VRZ785310 VIC785245:VID785310 UYG785245:UYH785310 UOK785245:UOL785310 UEO785245:UEP785310 TUS785245:TUT785310 TKW785245:TKX785310 TBA785245:TBB785310 SRE785245:SRF785310 SHI785245:SHJ785310 RXM785245:RXN785310 RNQ785245:RNR785310 RDU785245:RDV785310 QTY785245:QTZ785310 QKC785245:QKD785310 QAG785245:QAH785310 PQK785245:PQL785310 PGO785245:PGP785310 OWS785245:OWT785310 OMW785245:OMX785310 ODA785245:ODB785310 NTE785245:NTF785310 NJI785245:NJJ785310 MZM785245:MZN785310 MPQ785245:MPR785310 MFU785245:MFV785310 LVY785245:LVZ785310 LMC785245:LMD785310 LCG785245:LCH785310 KSK785245:KSL785310 KIO785245:KIP785310 JYS785245:JYT785310 JOW785245:JOX785310 JFA785245:JFB785310 IVE785245:IVF785310 ILI785245:ILJ785310 IBM785245:IBN785310 HRQ785245:HRR785310 HHU785245:HHV785310 GXY785245:GXZ785310 GOC785245:GOD785310 GEG785245:GEH785310 FUK785245:FUL785310 FKO785245:FKP785310 FAS785245:FAT785310 EQW785245:EQX785310 EHA785245:EHB785310 DXE785245:DXF785310 DNI785245:DNJ785310 DDM785245:DDN785310 CTQ785245:CTR785310 CJU785245:CJV785310 BZY785245:BZZ785310 BQC785245:BQD785310 BGG785245:BGH785310 AWK785245:AWL785310 AMO785245:AMP785310 ACS785245:ACT785310 SW785245:SX785310 JA785245:JB785310 E785245:F785310 WVM719709:WVN719774 WLQ719709:WLR719774 WBU719709:WBV719774 VRY719709:VRZ719774 VIC719709:VID719774 UYG719709:UYH719774 UOK719709:UOL719774 UEO719709:UEP719774 TUS719709:TUT719774 TKW719709:TKX719774 TBA719709:TBB719774 SRE719709:SRF719774 SHI719709:SHJ719774 RXM719709:RXN719774 RNQ719709:RNR719774 RDU719709:RDV719774 QTY719709:QTZ719774 QKC719709:QKD719774 QAG719709:QAH719774 PQK719709:PQL719774 PGO719709:PGP719774 OWS719709:OWT719774 OMW719709:OMX719774 ODA719709:ODB719774 NTE719709:NTF719774 NJI719709:NJJ719774 MZM719709:MZN719774 MPQ719709:MPR719774 MFU719709:MFV719774 LVY719709:LVZ719774 LMC719709:LMD719774 LCG719709:LCH719774 KSK719709:KSL719774 KIO719709:KIP719774 JYS719709:JYT719774 JOW719709:JOX719774 JFA719709:JFB719774 IVE719709:IVF719774 ILI719709:ILJ719774 IBM719709:IBN719774 HRQ719709:HRR719774 HHU719709:HHV719774 GXY719709:GXZ719774 GOC719709:GOD719774 GEG719709:GEH719774 FUK719709:FUL719774 FKO719709:FKP719774 FAS719709:FAT719774 EQW719709:EQX719774 EHA719709:EHB719774 DXE719709:DXF719774 DNI719709:DNJ719774 DDM719709:DDN719774 CTQ719709:CTR719774 CJU719709:CJV719774 BZY719709:BZZ719774 BQC719709:BQD719774 BGG719709:BGH719774 AWK719709:AWL719774 AMO719709:AMP719774 ACS719709:ACT719774 SW719709:SX719774 JA719709:JB719774 E719709:F719774 WVM654173:WVN654238 WLQ654173:WLR654238 WBU654173:WBV654238 VRY654173:VRZ654238 VIC654173:VID654238 UYG654173:UYH654238 UOK654173:UOL654238 UEO654173:UEP654238 TUS654173:TUT654238 TKW654173:TKX654238 TBA654173:TBB654238 SRE654173:SRF654238 SHI654173:SHJ654238 RXM654173:RXN654238 RNQ654173:RNR654238 RDU654173:RDV654238 QTY654173:QTZ654238 QKC654173:QKD654238 QAG654173:QAH654238 PQK654173:PQL654238 PGO654173:PGP654238 OWS654173:OWT654238 OMW654173:OMX654238 ODA654173:ODB654238 NTE654173:NTF654238 NJI654173:NJJ654238 MZM654173:MZN654238 MPQ654173:MPR654238 MFU654173:MFV654238 LVY654173:LVZ654238 LMC654173:LMD654238 LCG654173:LCH654238 KSK654173:KSL654238 KIO654173:KIP654238 JYS654173:JYT654238 JOW654173:JOX654238 JFA654173:JFB654238 IVE654173:IVF654238 ILI654173:ILJ654238 IBM654173:IBN654238 HRQ654173:HRR654238 HHU654173:HHV654238 GXY654173:GXZ654238 GOC654173:GOD654238 GEG654173:GEH654238 FUK654173:FUL654238 FKO654173:FKP654238 FAS654173:FAT654238 EQW654173:EQX654238 EHA654173:EHB654238 DXE654173:DXF654238 DNI654173:DNJ654238 DDM654173:DDN654238 CTQ654173:CTR654238 CJU654173:CJV654238 BZY654173:BZZ654238 BQC654173:BQD654238 BGG654173:BGH654238 AWK654173:AWL654238 AMO654173:AMP654238 ACS654173:ACT654238 SW654173:SX654238 JA654173:JB654238 E654173:F654238 WVM588637:WVN588702 WLQ588637:WLR588702 WBU588637:WBV588702 VRY588637:VRZ588702 VIC588637:VID588702 UYG588637:UYH588702 UOK588637:UOL588702 UEO588637:UEP588702 TUS588637:TUT588702 TKW588637:TKX588702 TBA588637:TBB588702 SRE588637:SRF588702 SHI588637:SHJ588702 RXM588637:RXN588702 RNQ588637:RNR588702 RDU588637:RDV588702 QTY588637:QTZ588702 QKC588637:QKD588702 QAG588637:QAH588702 PQK588637:PQL588702 PGO588637:PGP588702 OWS588637:OWT588702 OMW588637:OMX588702 ODA588637:ODB588702 NTE588637:NTF588702 NJI588637:NJJ588702 MZM588637:MZN588702 MPQ588637:MPR588702 MFU588637:MFV588702 LVY588637:LVZ588702 LMC588637:LMD588702 LCG588637:LCH588702 KSK588637:KSL588702 KIO588637:KIP588702 JYS588637:JYT588702 JOW588637:JOX588702 JFA588637:JFB588702 IVE588637:IVF588702 ILI588637:ILJ588702 IBM588637:IBN588702 HRQ588637:HRR588702 HHU588637:HHV588702 GXY588637:GXZ588702 GOC588637:GOD588702 GEG588637:GEH588702 FUK588637:FUL588702 FKO588637:FKP588702 FAS588637:FAT588702 EQW588637:EQX588702 EHA588637:EHB588702 DXE588637:DXF588702 DNI588637:DNJ588702 DDM588637:DDN588702 CTQ588637:CTR588702 CJU588637:CJV588702 BZY588637:BZZ588702 BQC588637:BQD588702 BGG588637:BGH588702 AWK588637:AWL588702 AMO588637:AMP588702 ACS588637:ACT588702 SW588637:SX588702 JA588637:JB588702 E588637:F588702 WVM523101:WVN523166 WLQ523101:WLR523166 WBU523101:WBV523166 VRY523101:VRZ523166 VIC523101:VID523166 UYG523101:UYH523166 UOK523101:UOL523166 UEO523101:UEP523166 TUS523101:TUT523166 TKW523101:TKX523166 TBA523101:TBB523166 SRE523101:SRF523166 SHI523101:SHJ523166 RXM523101:RXN523166 RNQ523101:RNR523166 RDU523101:RDV523166 QTY523101:QTZ523166 QKC523101:QKD523166 QAG523101:QAH523166 PQK523101:PQL523166 PGO523101:PGP523166 OWS523101:OWT523166 OMW523101:OMX523166 ODA523101:ODB523166 NTE523101:NTF523166 NJI523101:NJJ523166 MZM523101:MZN523166 MPQ523101:MPR523166 MFU523101:MFV523166 LVY523101:LVZ523166 LMC523101:LMD523166 LCG523101:LCH523166 KSK523101:KSL523166 KIO523101:KIP523166 JYS523101:JYT523166 JOW523101:JOX523166 JFA523101:JFB523166 IVE523101:IVF523166 ILI523101:ILJ523166 IBM523101:IBN523166 HRQ523101:HRR523166 HHU523101:HHV523166 GXY523101:GXZ523166 GOC523101:GOD523166 GEG523101:GEH523166 FUK523101:FUL523166 FKO523101:FKP523166 FAS523101:FAT523166 EQW523101:EQX523166 EHA523101:EHB523166 DXE523101:DXF523166 DNI523101:DNJ523166 DDM523101:DDN523166 CTQ523101:CTR523166 CJU523101:CJV523166 BZY523101:BZZ523166 BQC523101:BQD523166 BGG523101:BGH523166 AWK523101:AWL523166 AMO523101:AMP523166 ACS523101:ACT523166 SW523101:SX523166 JA523101:JB523166 E523101:F523166 WVM457565:WVN457630 WLQ457565:WLR457630 WBU457565:WBV457630 VRY457565:VRZ457630 VIC457565:VID457630 UYG457565:UYH457630 UOK457565:UOL457630 UEO457565:UEP457630 TUS457565:TUT457630 TKW457565:TKX457630 TBA457565:TBB457630 SRE457565:SRF457630 SHI457565:SHJ457630 RXM457565:RXN457630 RNQ457565:RNR457630 RDU457565:RDV457630 QTY457565:QTZ457630 QKC457565:QKD457630 QAG457565:QAH457630 PQK457565:PQL457630 PGO457565:PGP457630 OWS457565:OWT457630 OMW457565:OMX457630 ODA457565:ODB457630 NTE457565:NTF457630 NJI457565:NJJ457630 MZM457565:MZN457630 MPQ457565:MPR457630 MFU457565:MFV457630 LVY457565:LVZ457630 LMC457565:LMD457630 LCG457565:LCH457630 KSK457565:KSL457630 KIO457565:KIP457630 JYS457565:JYT457630 JOW457565:JOX457630 JFA457565:JFB457630 IVE457565:IVF457630 ILI457565:ILJ457630 IBM457565:IBN457630 HRQ457565:HRR457630 HHU457565:HHV457630 GXY457565:GXZ457630 GOC457565:GOD457630 GEG457565:GEH457630 FUK457565:FUL457630 FKO457565:FKP457630 FAS457565:FAT457630 EQW457565:EQX457630 EHA457565:EHB457630 DXE457565:DXF457630 DNI457565:DNJ457630 DDM457565:DDN457630 CTQ457565:CTR457630 CJU457565:CJV457630 BZY457565:BZZ457630 BQC457565:BQD457630 BGG457565:BGH457630 AWK457565:AWL457630 AMO457565:AMP457630 ACS457565:ACT457630 SW457565:SX457630 JA457565:JB457630 E457565:F457630 WVM392029:WVN392094 WLQ392029:WLR392094 WBU392029:WBV392094 VRY392029:VRZ392094 VIC392029:VID392094 UYG392029:UYH392094 UOK392029:UOL392094 UEO392029:UEP392094 TUS392029:TUT392094 TKW392029:TKX392094 TBA392029:TBB392094 SRE392029:SRF392094 SHI392029:SHJ392094 RXM392029:RXN392094 RNQ392029:RNR392094 RDU392029:RDV392094 QTY392029:QTZ392094 QKC392029:QKD392094 QAG392029:QAH392094 PQK392029:PQL392094 PGO392029:PGP392094 OWS392029:OWT392094 OMW392029:OMX392094 ODA392029:ODB392094 NTE392029:NTF392094 NJI392029:NJJ392094 MZM392029:MZN392094 MPQ392029:MPR392094 MFU392029:MFV392094 LVY392029:LVZ392094 LMC392029:LMD392094 LCG392029:LCH392094 KSK392029:KSL392094 KIO392029:KIP392094 JYS392029:JYT392094 JOW392029:JOX392094 JFA392029:JFB392094 IVE392029:IVF392094 ILI392029:ILJ392094 IBM392029:IBN392094 HRQ392029:HRR392094 HHU392029:HHV392094 GXY392029:GXZ392094 GOC392029:GOD392094 GEG392029:GEH392094 FUK392029:FUL392094 FKO392029:FKP392094 FAS392029:FAT392094 EQW392029:EQX392094 EHA392029:EHB392094 DXE392029:DXF392094 DNI392029:DNJ392094 DDM392029:DDN392094 CTQ392029:CTR392094 CJU392029:CJV392094 BZY392029:BZZ392094 BQC392029:BQD392094 BGG392029:BGH392094 AWK392029:AWL392094 AMO392029:AMP392094 ACS392029:ACT392094 SW392029:SX392094 JA392029:JB392094 E392029:F392094 WVM326493:WVN326558 WLQ326493:WLR326558 WBU326493:WBV326558 VRY326493:VRZ326558 VIC326493:VID326558 UYG326493:UYH326558 UOK326493:UOL326558 UEO326493:UEP326558 TUS326493:TUT326558 TKW326493:TKX326558 TBA326493:TBB326558 SRE326493:SRF326558 SHI326493:SHJ326558 RXM326493:RXN326558 RNQ326493:RNR326558 RDU326493:RDV326558 QTY326493:QTZ326558 QKC326493:QKD326558 QAG326493:QAH326558 PQK326493:PQL326558 PGO326493:PGP326558 OWS326493:OWT326558 OMW326493:OMX326558 ODA326493:ODB326558 NTE326493:NTF326558 NJI326493:NJJ326558 MZM326493:MZN326558 MPQ326493:MPR326558 MFU326493:MFV326558 LVY326493:LVZ326558 LMC326493:LMD326558 LCG326493:LCH326558 KSK326493:KSL326558 KIO326493:KIP326558 JYS326493:JYT326558 JOW326493:JOX326558 JFA326493:JFB326558 IVE326493:IVF326558 ILI326493:ILJ326558 IBM326493:IBN326558 HRQ326493:HRR326558 HHU326493:HHV326558 GXY326493:GXZ326558 GOC326493:GOD326558 GEG326493:GEH326558 FUK326493:FUL326558 FKO326493:FKP326558 FAS326493:FAT326558 EQW326493:EQX326558 EHA326493:EHB326558 DXE326493:DXF326558 DNI326493:DNJ326558 DDM326493:DDN326558 CTQ326493:CTR326558 CJU326493:CJV326558 BZY326493:BZZ326558 BQC326493:BQD326558 BGG326493:BGH326558 AWK326493:AWL326558 AMO326493:AMP326558 ACS326493:ACT326558 SW326493:SX326558 JA326493:JB326558 E326493:F326558 WVM260957:WVN261022 WLQ260957:WLR261022 WBU260957:WBV261022 VRY260957:VRZ261022 VIC260957:VID261022 UYG260957:UYH261022 UOK260957:UOL261022 UEO260957:UEP261022 TUS260957:TUT261022 TKW260957:TKX261022 TBA260957:TBB261022 SRE260957:SRF261022 SHI260957:SHJ261022 RXM260957:RXN261022 RNQ260957:RNR261022 RDU260957:RDV261022 QTY260957:QTZ261022 QKC260957:QKD261022 QAG260957:QAH261022 PQK260957:PQL261022 PGO260957:PGP261022 OWS260957:OWT261022 OMW260957:OMX261022 ODA260957:ODB261022 NTE260957:NTF261022 NJI260957:NJJ261022 MZM260957:MZN261022 MPQ260957:MPR261022 MFU260957:MFV261022 LVY260957:LVZ261022 LMC260957:LMD261022 LCG260957:LCH261022 KSK260957:KSL261022 KIO260957:KIP261022 JYS260957:JYT261022 JOW260957:JOX261022 JFA260957:JFB261022 IVE260957:IVF261022 ILI260957:ILJ261022 IBM260957:IBN261022 HRQ260957:HRR261022 HHU260957:HHV261022 GXY260957:GXZ261022 GOC260957:GOD261022 GEG260957:GEH261022 FUK260957:FUL261022 FKO260957:FKP261022 FAS260957:FAT261022 EQW260957:EQX261022 EHA260957:EHB261022 DXE260957:DXF261022 DNI260957:DNJ261022 DDM260957:DDN261022 CTQ260957:CTR261022 CJU260957:CJV261022 BZY260957:BZZ261022 BQC260957:BQD261022 BGG260957:BGH261022 AWK260957:AWL261022 AMO260957:AMP261022 ACS260957:ACT261022 SW260957:SX261022 JA260957:JB261022 E260957:F261022 WVM195421:WVN195486 WLQ195421:WLR195486 WBU195421:WBV195486 VRY195421:VRZ195486 VIC195421:VID195486 UYG195421:UYH195486 UOK195421:UOL195486 UEO195421:UEP195486 TUS195421:TUT195486 TKW195421:TKX195486 TBA195421:TBB195486 SRE195421:SRF195486 SHI195421:SHJ195486 RXM195421:RXN195486 RNQ195421:RNR195486 RDU195421:RDV195486 QTY195421:QTZ195486 QKC195421:QKD195486 QAG195421:QAH195486 PQK195421:PQL195486 PGO195421:PGP195486 OWS195421:OWT195486 OMW195421:OMX195486 ODA195421:ODB195486 NTE195421:NTF195486 NJI195421:NJJ195486 MZM195421:MZN195486 MPQ195421:MPR195486 MFU195421:MFV195486 LVY195421:LVZ195486 LMC195421:LMD195486 LCG195421:LCH195486 KSK195421:KSL195486 KIO195421:KIP195486 JYS195421:JYT195486 JOW195421:JOX195486 JFA195421:JFB195486 IVE195421:IVF195486 ILI195421:ILJ195486 IBM195421:IBN195486 HRQ195421:HRR195486 HHU195421:HHV195486 GXY195421:GXZ195486 GOC195421:GOD195486 GEG195421:GEH195486 FUK195421:FUL195486 FKO195421:FKP195486 FAS195421:FAT195486 EQW195421:EQX195486 EHA195421:EHB195486 DXE195421:DXF195486 DNI195421:DNJ195486 DDM195421:DDN195486 CTQ195421:CTR195486 CJU195421:CJV195486 BZY195421:BZZ195486 BQC195421:BQD195486 BGG195421:BGH195486 AWK195421:AWL195486 AMO195421:AMP195486 ACS195421:ACT195486 SW195421:SX195486 JA195421:JB195486 E195421:F195486 WVM129885:WVN129950 WLQ129885:WLR129950 WBU129885:WBV129950 VRY129885:VRZ129950 VIC129885:VID129950 UYG129885:UYH129950 UOK129885:UOL129950 UEO129885:UEP129950 TUS129885:TUT129950 TKW129885:TKX129950 TBA129885:TBB129950 SRE129885:SRF129950 SHI129885:SHJ129950 RXM129885:RXN129950 RNQ129885:RNR129950 RDU129885:RDV129950 QTY129885:QTZ129950 QKC129885:QKD129950 QAG129885:QAH129950 PQK129885:PQL129950 PGO129885:PGP129950 OWS129885:OWT129950 OMW129885:OMX129950 ODA129885:ODB129950 NTE129885:NTF129950 NJI129885:NJJ129950 MZM129885:MZN129950 MPQ129885:MPR129950 MFU129885:MFV129950 LVY129885:LVZ129950 LMC129885:LMD129950 LCG129885:LCH129950 KSK129885:KSL129950 KIO129885:KIP129950 JYS129885:JYT129950 JOW129885:JOX129950 JFA129885:JFB129950 IVE129885:IVF129950 ILI129885:ILJ129950 IBM129885:IBN129950 HRQ129885:HRR129950 HHU129885:HHV129950 GXY129885:GXZ129950 GOC129885:GOD129950 GEG129885:GEH129950 FUK129885:FUL129950 FKO129885:FKP129950 FAS129885:FAT129950 EQW129885:EQX129950 EHA129885:EHB129950 DXE129885:DXF129950 DNI129885:DNJ129950 DDM129885:DDN129950 CTQ129885:CTR129950 CJU129885:CJV129950 BZY129885:BZZ129950 BQC129885:BQD129950 BGG129885:BGH129950 AWK129885:AWL129950 AMO129885:AMP129950 ACS129885:ACT129950 SW129885:SX129950 JA129885:JB129950 E129885:F129950 WVM64349:WVN64414 WLQ64349:WLR64414 WBU64349:WBV64414 VRY64349:VRZ64414 VIC64349:VID64414 UYG64349:UYH64414 UOK64349:UOL64414 UEO64349:UEP64414 TUS64349:TUT64414 TKW64349:TKX64414 TBA64349:TBB64414 SRE64349:SRF64414 SHI64349:SHJ64414 RXM64349:RXN64414 RNQ64349:RNR64414 RDU64349:RDV64414 QTY64349:QTZ64414 QKC64349:QKD64414 QAG64349:QAH64414 PQK64349:PQL64414 PGO64349:PGP64414 OWS64349:OWT64414 OMW64349:OMX64414 ODA64349:ODB64414 NTE64349:NTF64414 NJI64349:NJJ64414 MZM64349:MZN64414 MPQ64349:MPR64414 MFU64349:MFV64414 LVY64349:LVZ64414 LMC64349:LMD64414 LCG64349:LCH64414 KSK64349:KSL64414 KIO64349:KIP64414 JYS64349:JYT64414 JOW64349:JOX64414 JFA64349:JFB64414 IVE64349:IVF64414 ILI64349:ILJ64414 IBM64349:IBN64414 HRQ64349:HRR64414 HHU64349:HHV64414 GXY64349:GXZ64414 GOC64349:GOD64414 GEG64349:GEH64414 FUK64349:FUL64414 FKO64349:FKP64414 FAS64349:FAT64414 EQW64349:EQX64414 EHA64349:EHB64414 DXE64349:DXF64414 DNI64349:DNJ64414 DDM64349:DDN64414 CTQ64349:CTR64414 CJU64349:CJV64414 BZY64349:BZZ64414 BQC64349:BQD64414 BGG64349:BGH64414 AWK64349:AWL64414 AMO64349:AMP64414 ACS64349:ACT64414 SW64349:SX64414 WVM983028:WVN983099">
      <formula1>#REF!</formula1>
    </dataValidation>
    <dataValidation type="list" allowBlank="1" showInputMessage="1" showErrorMessage="1" sqref="K35:K37">
      <formula1>$AR$2:$AR$28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85" zoomScaleNormal="85" zoomScaleSheetLayoutView="100" workbookViewId="0">
      <selection activeCell="E27" sqref="E27"/>
    </sheetView>
  </sheetViews>
  <sheetFormatPr defaultRowHeight="13.5" x14ac:dyDescent="0.15"/>
  <cols>
    <col min="1" max="3" width="9" style="87"/>
    <col min="4" max="4" width="10.5" style="87" bestFit="1" customWidth="1"/>
    <col min="5" max="16" width="9" style="87"/>
    <col min="17" max="17" width="9" style="16"/>
    <col min="18" max="19" width="9" style="87"/>
    <col min="20" max="20" width="9" style="16"/>
    <col min="21" max="21" width="9" style="87"/>
    <col min="22" max="22" width="9" style="16"/>
    <col min="23" max="32" width="9" style="87"/>
    <col min="33" max="33" width="16.875" style="87" bestFit="1" customWidth="1"/>
    <col min="34" max="34" width="15.625" style="87" customWidth="1"/>
    <col min="35" max="39" width="9" style="172"/>
    <col min="40" max="16384" width="9" style="87"/>
  </cols>
  <sheetData>
    <row r="1" spans="1:53" ht="45" x14ac:dyDescent="0.15">
      <c r="A1" s="102" t="s">
        <v>0</v>
      </c>
      <c r="B1" s="84" t="s">
        <v>1</v>
      </c>
      <c r="C1" s="84" t="s">
        <v>476</v>
      </c>
      <c r="D1" s="85" t="s">
        <v>3</v>
      </c>
      <c r="E1" s="103" t="s">
        <v>4</v>
      </c>
      <c r="F1" s="103" t="s">
        <v>5</v>
      </c>
      <c r="G1" s="103" t="s">
        <v>6</v>
      </c>
      <c r="H1" s="103" t="s">
        <v>7</v>
      </c>
      <c r="I1" s="103" t="s">
        <v>8</v>
      </c>
      <c r="J1" s="103" t="s">
        <v>9</v>
      </c>
      <c r="K1" s="191" t="s">
        <v>10</v>
      </c>
      <c r="L1" s="85" t="s">
        <v>477</v>
      </c>
      <c r="M1" s="85" t="s">
        <v>12</v>
      </c>
      <c r="N1" s="85" t="s">
        <v>13</v>
      </c>
      <c r="O1" s="85" t="s">
        <v>478</v>
      </c>
      <c r="P1" s="85" t="s">
        <v>479</v>
      </c>
      <c r="Q1" s="3" t="s">
        <v>16</v>
      </c>
      <c r="R1" s="85" t="s">
        <v>480</v>
      </c>
      <c r="S1" s="85" t="s">
        <v>481</v>
      </c>
      <c r="T1" s="3" t="s">
        <v>19</v>
      </c>
      <c r="U1" s="86" t="s">
        <v>108</v>
      </c>
      <c r="V1" s="5" t="s">
        <v>20</v>
      </c>
      <c r="W1" s="85" t="s">
        <v>21</v>
      </c>
      <c r="X1" s="103" t="s">
        <v>22</v>
      </c>
      <c r="Y1" s="103" t="s">
        <v>23</v>
      </c>
      <c r="Z1" s="103" t="s">
        <v>24</v>
      </c>
      <c r="AA1" s="104" t="s">
        <v>25</v>
      </c>
      <c r="AB1" s="6" t="s">
        <v>482</v>
      </c>
      <c r="AE1" s="88" t="s">
        <v>0</v>
      </c>
      <c r="AF1" s="89"/>
      <c r="AG1" s="88" t="s">
        <v>4</v>
      </c>
      <c r="AH1" s="88" t="s">
        <v>5</v>
      </c>
      <c r="AI1" s="192"/>
      <c r="AJ1" s="193" t="s">
        <v>6</v>
      </c>
      <c r="AK1" s="192"/>
      <c r="AL1" s="194" t="s">
        <v>7</v>
      </c>
      <c r="AM1" s="192"/>
      <c r="AN1" s="90" t="s">
        <v>8</v>
      </c>
      <c r="AO1" s="89"/>
      <c r="AP1" s="90" t="s">
        <v>27</v>
      </c>
      <c r="AQ1" s="89"/>
      <c r="AR1" s="90" t="s">
        <v>10</v>
      </c>
      <c r="AS1" s="89"/>
      <c r="AT1" s="91" t="s">
        <v>28</v>
      </c>
      <c r="AU1" s="89"/>
      <c r="AV1" s="90" t="s">
        <v>29</v>
      </c>
      <c r="AX1" s="92" t="s">
        <v>483</v>
      </c>
      <c r="AY1" s="93" t="s">
        <v>484</v>
      </c>
      <c r="AZ1" s="93" t="s">
        <v>485</v>
      </c>
      <c r="BA1" s="94" t="s">
        <v>486</v>
      </c>
    </row>
    <row r="2" spans="1:53" x14ac:dyDescent="0.15">
      <c r="A2" s="195" t="s">
        <v>34</v>
      </c>
      <c r="B2" s="195" t="s">
        <v>487</v>
      </c>
      <c r="C2" s="195">
        <v>2018</v>
      </c>
      <c r="D2" s="196" t="s">
        <v>488</v>
      </c>
      <c r="E2" s="195" t="s">
        <v>489</v>
      </c>
      <c r="F2" s="195" t="s">
        <v>490</v>
      </c>
      <c r="G2" s="197" t="s">
        <v>36</v>
      </c>
      <c r="H2" s="198" t="s">
        <v>155</v>
      </c>
      <c r="I2" s="165" t="s">
        <v>153</v>
      </c>
      <c r="J2" s="199" t="s">
        <v>38</v>
      </c>
      <c r="K2" s="165" t="s">
        <v>154</v>
      </c>
      <c r="L2" s="200">
        <v>1</v>
      </c>
      <c r="M2" s="201"/>
      <c r="N2" s="201">
        <v>5</v>
      </c>
      <c r="O2" s="201">
        <v>0.8</v>
      </c>
      <c r="P2" s="201">
        <v>0.75</v>
      </c>
      <c r="Q2" s="202">
        <f t="shared" ref="Q2:Q65" si="0">IF(OR(O2="",P2=""),"",AVERAGE(O2,P2))</f>
        <v>0.77500000000000002</v>
      </c>
      <c r="R2" s="203">
        <v>13.5</v>
      </c>
      <c r="S2" s="198">
        <v>99</v>
      </c>
      <c r="T2" s="204">
        <f t="shared" ref="T2:T65" si="1">IF(H2="","",IF(OR(H2="GREEN",H2="GK"),IF(S2&gt;=$AX$2,VLOOKUP(S2,$AX$2:$AY$7,2,1),""),IF(S2&gt;=$AZ$2,VLOOKUP(S2,$AZ$2:$BA$7,2,1),"")))</f>
        <v>33</v>
      </c>
      <c r="U2" s="165">
        <v>298</v>
      </c>
      <c r="V2" s="204">
        <f t="shared" ref="V2:V65" si="2">IF(OR(N2="",U2="",T2=""),"",U2/N2*T2)</f>
        <v>1966.8</v>
      </c>
      <c r="W2" s="205">
        <v>4</v>
      </c>
      <c r="X2" s="206" t="s">
        <v>39</v>
      </c>
      <c r="Y2" s="206" t="s">
        <v>90</v>
      </c>
      <c r="Z2" s="206" t="s">
        <v>50</v>
      </c>
      <c r="AA2" s="207" t="s">
        <v>84</v>
      </c>
      <c r="AB2" s="55" t="s">
        <v>491</v>
      </c>
      <c r="AE2" s="96" t="s">
        <v>35</v>
      </c>
      <c r="AG2" s="105" t="s">
        <v>492</v>
      </c>
      <c r="AH2" s="105" t="s">
        <v>493</v>
      </c>
      <c r="AJ2" s="173" t="s">
        <v>36</v>
      </c>
      <c r="AL2" s="18" t="s">
        <v>127</v>
      </c>
      <c r="AN2" s="18" t="s">
        <v>37</v>
      </c>
      <c r="AO2" s="95"/>
      <c r="AP2" s="18" t="s">
        <v>38</v>
      </c>
      <c r="AQ2" s="95"/>
      <c r="AR2" s="18" t="s">
        <v>494</v>
      </c>
      <c r="AS2" s="95"/>
      <c r="AT2" s="18" t="s">
        <v>39</v>
      </c>
      <c r="AU2" s="95"/>
      <c r="AV2" s="184" t="s">
        <v>40</v>
      </c>
      <c r="AW2" s="95"/>
      <c r="AX2" s="19">
        <v>1</v>
      </c>
      <c r="AY2" s="20">
        <v>50</v>
      </c>
      <c r="AZ2" s="20">
        <v>1</v>
      </c>
      <c r="BA2" s="21">
        <v>50</v>
      </c>
    </row>
    <row r="3" spans="1:53" x14ac:dyDescent="0.15">
      <c r="A3" s="208" t="s">
        <v>34</v>
      </c>
      <c r="B3" s="208" t="s">
        <v>181</v>
      </c>
      <c r="C3" s="209">
        <v>2018</v>
      </c>
      <c r="D3" s="235" t="s">
        <v>495</v>
      </c>
      <c r="E3" s="208" t="s">
        <v>489</v>
      </c>
      <c r="F3" s="208" t="s">
        <v>490</v>
      </c>
      <c r="G3" s="210" t="s">
        <v>36</v>
      </c>
      <c r="H3" s="165" t="s">
        <v>155</v>
      </c>
      <c r="I3" s="165" t="s">
        <v>153</v>
      </c>
      <c r="J3" s="165" t="s">
        <v>38</v>
      </c>
      <c r="K3" s="165" t="s">
        <v>154</v>
      </c>
      <c r="L3" s="87">
        <v>2</v>
      </c>
      <c r="N3" s="87">
        <v>5</v>
      </c>
      <c r="O3" s="87">
        <v>0.9</v>
      </c>
      <c r="P3" s="34">
        <v>1</v>
      </c>
      <c r="Q3" s="211">
        <f t="shared" si="0"/>
        <v>0.95</v>
      </c>
      <c r="R3" s="212">
        <v>13.3</v>
      </c>
      <c r="S3" s="212">
        <v>95</v>
      </c>
      <c r="T3" s="16">
        <f t="shared" si="1"/>
        <v>36</v>
      </c>
      <c r="U3" s="213">
        <v>298</v>
      </c>
      <c r="V3" s="214">
        <f t="shared" si="2"/>
        <v>2145.6</v>
      </c>
      <c r="W3" s="215">
        <v>4</v>
      </c>
      <c r="X3" s="216" t="s">
        <v>39</v>
      </c>
      <c r="Y3" s="216" t="s">
        <v>90</v>
      </c>
      <c r="Z3" s="216" t="s">
        <v>50</v>
      </c>
      <c r="AA3" s="207" t="s">
        <v>84</v>
      </c>
      <c r="AB3" s="55" t="s">
        <v>183</v>
      </c>
      <c r="AE3" s="97" t="s">
        <v>41</v>
      </c>
      <c r="AG3" s="105" t="s">
        <v>496</v>
      </c>
      <c r="AH3" s="105" t="s">
        <v>497</v>
      </c>
      <c r="AJ3" s="217" t="s">
        <v>42</v>
      </c>
      <c r="AL3" s="23" t="s">
        <v>128</v>
      </c>
      <c r="AN3" s="23" t="s">
        <v>43</v>
      </c>
      <c r="AP3" s="23" t="s">
        <v>44</v>
      </c>
      <c r="AR3" s="41" t="s">
        <v>45</v>
      </c>
      <c r="AT3" s="23" t="s">
        <v>46</v>
      </c>
      <c r="AV3" s="23" t="s">
        <v>47</v>
      </c>
      <c r="AX3" s="24">
        <v>72</v>
      </c>
      <c r="AY3" s="25">
        <v>46</v>
      </c>
      <c r="AZ3" s="25">
        <v>71</v>
      </c>
      <c r="BA3" s="26">
        <v>42</v>
      </c>
    </row>
    <row r="4" spans="1:53" x14ac:dyDescent="0.15">
      <c r="A4" s="208" t="s">
        <v>34</v>
      </c>
      <c r="B4" s="208" t="s">
        <v>181</v>
      </c>
      <c r="C4" s="208">
        <v>2018</v>
      </c>
      <c r="D4" s="236" t="s">
        <v>495</v>
      </c>
      <c r="E4" s="208" t="s">
        <v>489</v>
      </c>
      <c r="F4" s="208" t="s">
        <v>490</v>
      </c>
      <c r="G4" s="210" t="s">
        <v>36</v>
      </c>
      <c r="H4" s="165" t="s">
        <v>155</v>
      </c>
      <c r="I4" s="165" t="s">
        <v>153</v>
      </c>
      <c r="J4" s="165" t="s">
        <v>38</v>
      </c>
      <c r="K4" s="165" t="s">
        <v>154</v>
      </c>
      <c r="L4" s="87">
        <v>3</v>
      </c>
      <c r="N4" s="87">
        <v>5</v>
      </c>
      <c r="O4" s="87">
        <v>0.75</v>
      </c>
      <c r="P4" s="34">
        <v>0.65</v>
      </c>
      <c r="Q4" s="113">
        <f t="shared" si="0"/>
        <v>0.7</v>
      </c>
      <c r="R4" s="218">
        <v>14.1</v>
      </c>
      <c r="S4" s="218">
        <v>99</v>
      </c>
      <c r="T4" s="16">
        <f t="shared" si="1"/>
        <v>33</v>
      </c>
      <c r="U4" s="219">
        <v>298</v>
      </c>
      <c r="V4" s="214">
        <f t="shared" si="2"/>
        <v>1966.8</v>
      </c>
      <c r="W4" s="220">
        <v>4</v>
      </c>
      <c r="X4" s="216" t="s">
        <v>39</v>
      </c>
      <c r="Y4" s="216" t="s">
        <v>90</v>
      </c>
      <c r="Z4" s="216" t="s">
        <v>50</v>
      </c>
      <c r="AA4" s="207" t="s">
        <v>84</v>
      </c>
      <c r="AB4" s="55" t="s">
        <v>183</v>
      </c>
      <c r="AE4" s="97" t="s">
        <v>34</v>
      </c>
      <c r="AG4" s="105" t="s">
        <v>498</v>
      </c>
      <c r="AH4" s="105" t="s">
        <v>499</v>
      </c>
      <c r="AJ4" s="221" t="s">
        <v>48</v>
      </c>
      <c r="AL4" s="27" t="s">
        <v>129</v>
      </c>
      <c r="AN4" s="28" t="s">
        <v>49</v>
      </c>
      <c r="AP4" s="23" t="s">
        <v>500</v>
      </c>
      <c r="AR4" s="41" t="s">
        <v>501</v>
      </c>
      <c r="AT4" s="28"/>
      <c r="AV4" s="23" t="s">
        <v>50</v>
      </c>
      <c r="AX4" s="24">
        <v>75</v>
      </c>
      <c r="AY4" s="25">
        <v>42</v>
      </c>
      <c r="AZ4" s="25">
        <v>76</v>
      </c>
      <c r="BA4" s="26">
        <v>39</v>
      </c>
    </row>
    <row r="5" spans="1:53" x14ac:dyDescent="0.15">
      <c r="A5" s="208" t="s">
        <v>34</v>
      </c>
      <c r="B5" s="208" t="s">
        <v>181</v>
      </c>
      <c r="C5" s="209">
        <v>2018</v>
      </c>
      <c r="D5" s="236" t="s">
        <v>495</v>
      </c>
      <c r="E5" s="208" t="s">
        <v>489</v>
      </c>
      <c r="F5" s="208" t="s">
        <v>490</v>
      </c>
      <c r="G5" s="210" t="s">
        <v>36</v>
      </c>
      <c r="H5" s="165" t="s">
        <v>159</v>
      </c>
      <c r="I5" s="165" t="s">
        <v>153</v>
      </c>
      <c r="J5" s="165" t="s">
        <v>38</v>
      </c>
      <c r="K5" s="165" t="s">
        <v>154</v>
      </c>
      <c r="L5" s="87">
        <v>1</v>
      </c>
      <c r="N5" s="87">
        <v>1</v>
      </c>
      <c r="O5" s="87">
        <v>0.7</v>
      </c>
      <c r="P5" s="100">
        <v>0.6</v>
      </c>
      <c r="Q5" s="113">
        <f t="shared" si="0"/>
        <v>0.64999999999999991</v>
      </c>
      <c r="R5" s="218">
        <v>16.600000000000001</v>
      </c>
      <c r="S5" s="218">
        <v>160</v>
      </c>
      <c r="T5" s="16">
        <f t="shared" si="1"/>
        <v>30</v>
      </c>
      <c r="U5" s="219">
        <v>138</v>
      </c>
      <c r="V5" s="214">
        <f t="shared" si="2"/>
        <v>4140</v>
      </c>
      <c r="W5" s="220">
        <v>4</v>
      </c>
      <c r="X5" s="216" t="s">
        <v>39</v>
      </c>
      <c r="Y5" s="216" t="s">
        <v>90</v>
      </c>
      <c r="Z5" s="216" t="s">
        <v>50</v>
      </c>
      <c r="AA5" s="207" t="s">
        <v>84</v>
      </c>
      <c r="AB5" s="55" t="s">
        <v>183</v>
      </c>
      <c r="AE5" s="97" t="s">
        <v>51</v>
      </c>
      <c r="AG5" s="105" t="s">
        <v>502</v>
      </c>
      <c r="AH5" s="105" t="s">
        <v>503</v>
      </c>
      <c r="AJ5" s="222"/>
      <c r="AL5" s="29" t="s">
        <v>504</v>
      </c>
      <c r="AN5" s="29" t="s">
        <v>505</v>
      </c>
      <c r="AP5" s="23" t="s">
        <v>506</v>
      </c>
      <c r="AR5" s="41" t="s">
        <v>54</v>
      </c>
      <c r="AT5" s="167"/>
      <c r="AV5" s="23" t="s">
        <v>55</v>
      </c>
      <c r="AX5" s="24">
        <v>84</v>
      </c>
      <c r="AY5" s="25">
        <v>39</v>
      </c>
      <c r="AZ5" s="25">
        <v>84</v>
      </c>
      <c r="BA5" s="26">
        <v>36</v>
      </c>
    </row>
    <row r="6" spans="1:53" x14ac:dyDescent="0.15">
      <c r="A6" s="208" t="s">
        <v>34</v>
      </c>
      <c r="B6" s="208" t="s">
        <v>181</v>
      </c>
      <c r="C6" s="208">
        <v>2018</v>
      </c>
      <c r="D6" s="236" t="s">
        <v>495</v>
      </c>
      <c r="E6" s="208" t="s">
        <v>489</v>
      </c>
      <c r="F6" s="208" t="s">
        <v>490</v>
      </c>
      <c r="G6" s="210" t="s">
        <v>36</v>
      </c>
      <c r="H6" s="165" t="s">
        <v>159</v>
      </c>
      <c r="I6" s="165" t="s">
        <v>153</v>
      </c>
      <c r="J6" s="165" t="s">
        <v>38</v>
      </c>
      <c r="K6" s="165" t="s">
        <v>154</v>
      </c>
      <c r="L6" s="87">
        <v>2</v>
      </c>
      <c r="N6" s="87">
        <v>1</v>
      </c>
      <c r="O6" s="87">
        <v>0.65</v>
      </c>
      <c r="P6" s="100">
        <v>0.7</v>
      </c>
      <c r="Q6" s="113">
        <f t="shared" si="0"/>
        <v>0.67500000000000004</v>
      </c>
      <c r="R6" s="218">
        <v>17.600000000000001</v>
      </c>
      <c r="S6" s="218">
        <v>152</v>
      </c>
      <c r="T6" s="16">
        <f t="shared" si="1"/>
        <v>30</v>
      </c>
      <c r="U6" s="219">
        <v>138</v>
      </c>
      <c r="V6" s="214">
        <f t="shared" si="2"/>
        <v>4140</v>
      </c>
      <c r="W6" s="220">
        <v>4</v>
      </c>
      <c r="X6" s="216" t="s">
        <v>39</v>
      </c>
      <c r="Y6" s="216" t="s">
        <v>90</v>
      </c>
      <c r="Z6" s="216" t="s">
        <v>50</v>
      </c>
      <c r="AA6" s="207" t="s">
        <v>84</v>
      </c>
      <c r="AB6" s="55" t="s">
        <v>183</v>
      </c>
      <c r="AE6" s="97" t="s">
        <v>56</v>
      </c>
      <c r="AG6" s="105" t="s">
        <v>507</v>
      </c>
      <c r="AH6" s="105" t="s">
        <v>508</v>
      </c>
      <c r="AL6" s="29" t="s">
        <v>509</v>
      </c>
      <c r="AN6" s="29" t="s">
        <v>510</v>
      </c>
      <c r="AP6" s="23" t="s">
        <v>53</v>
      </c>
      <c r="AR6" s="41" t="s">
        <v>59</v>
      </c>
      <c r="AV6" s="23" t="s">
        <v>60</v>
      </c>
      <c r="AX6" s="24">
        <v>97</v>
      </c>
      <c r="AY6" s="25">
        <v>36</v>
      </c>
      <c r="AZ6" s="25">
        <v>99</v>
      </c>
      <c r="BA6" s="26">
        <v>33</v>
      </c>
    </row>
    <row r="7" spans="1:53" x14ac:dyDescent="0.15">
      <c r="A7" s="208" t="s">
        <v>34</v>
      </c>
      <c r="B7" s="208" t="s">
        <v>181</v>
      </c>
      <c r="C7" s="209">
        <v>2018</v>
      </c>
      <c r="D7" s="236" t="s">
        <v>495</v>
      </c>
      <c r="E7" s="208" t="s">
        <v>489</v>
      </c>
      <c r="F7" s="208" t="s">
        <v>490</v>
      </c>
      <c r="G7" s="210" t="s">
        <v>36</v>
      </c>
      <c r="H7" s="165" t="s">
        <v>159</v>
      </c>
      <c r="I7" s="165" t="s">
        <v>153</v>
      </c>
      <c r="J7" s="165" t="s">
        <v>38</v>
      </c>
      <c r="K7" s="165" t="s">
        <v>154</v>
      </c>
      <c r="L7" s="87">
        <v>3</v>
      </c>
      <c r="N7" s="87">
        <v>1</v>
      </c>
      <c r="O7" s="87">
        <v>0.7</v>
      </c>
      <c r="P7" s="100">
        <v>0.65</v>
      </c>
      <c r="Q7" s="113">
        <f t="shared" si="0"/>
        <v>0.67500000000000004</v>
      </c>
      <c r="R7" s="218">
        <v>16.8</v>
      </c>
      <c r="S7" s="218">
        <v>173</v>
      </c>
      <c r="T7" s="16">
        <f t="shared" si="1"/>
        <v>30</v>
      </c>
      <c r="U7" s="219">
        <v>138</v>
      </c>
      <c r="V7" s="214">
        <f t="shared" si="2"/>
        <v>4140</v>
      </c>
      <c r="W7" s="220">
        <v>4</v>
      </c>
      <c r="X7" s="216" t="s">
        <v>39</v>
      </c>
      <c r="Y7" s="216" t="s">
        <v>90</v>
      </c>
      <c r="Z7" s="216" t="s">
        <v>50</v>
      </c>
      <c r="AA7" s="207" t="s">
        <v>84</v>
      </c>
      <c r="AB7" s="55" t="s">
        <v>183</v>
      </c>
      <c r="AE7" s="97" t="s">
        <v>61</v>
      </c>
      <c r="AG7" s="105" t="s">
        <v>511</v>
      </c>
      <c r="AH7" s="105" t="s">
        <v>490</v>
      </c>
      <c r="AL7" s="34" t="s">
        <v>512</v>
      </c>
      <c r="AP7" s="23" t="s">
        <v>58</v>
      </c>
      <c r="AR7" s="98" t="s">
        <v>122</v>
      </c>
      <c r="AV7" s="23" t="s">
        <v>64</v>
      </c>
      <c r="AX7" s="24">
        <v>109</v>
      </c>
      <c r="AY7" s="25">
        <v>33</v>
      </c>
      <c r="AZ7" s="25">
        <v>113</v>
      </c>
      <c r="BA7" s="26">
        <v>30</v>
      </c>
    </row>
    <row r="8" spans="1:53" x14ac:dyDescent="0.15">
      <c r="A8" s="208" t="s">
        <v>34</v>
      </c>
      <c r="B8" s="208" t="s">
        <v>181</v>
      </c>
      <c r="C8" s="208">
        <v>2018</v>
      </c>
      <c r="D8" s="236" t="s">
        <v>495</v>
      </c>
      <c r="E8" s="209" t="s">
        <v>511</v>
      </c>
      <c r="F8" s="208" t="s">
        <v>508</v>
      </c>
      <c r="G8" s="210" t="s">
        <v>36</v>
      </c>
      <c r="H8" s="165" t="s">
        <v>155</v>
      </c>
      <c r="I8" s="165" t="s">
        <v>153</v>
      </c>
      <c r="J8" s="165" t="s">
        <v>38</v>
      </c>
      <c r="K8" s="165" t="s">
        <v>154</v>
      </c>
      <c r="L8" s="87">
        <v>1</v>
      </c>
      <c r="N8" s="87">
        <v>1</v>
      </c>
      <c r="O8" s="87">
        <v>0.65</v>
      </c>
      <c r="P8" s="87">
        <v>0.55000000000000004</v>
      </c>
      <c r="Q8" s="113">
        <f t="shared" si="0"/>
        <v>0.60000000000000009</v>
      </c>
      <c r="R8" s="218">
        <v>12.2</v>
      </c>
      <c r="S8" s="218">
        <v>129</v>
      </c>
      <c r="T8" s="16">
        <f t="shared" si="1"/>
        <v>30</v>
      </c>
      <c r="U8" s="223">
        <v>138</v>
      </c>
      <c r="V8" s="214">
        <f t="shared" si="2"/>
        <v>4140</v>
      </c>
      <c r="W8" s="220">
        <v>2</v>
      </c>
      <c r="X8" s="216" t="s">
        <v>46</v>
      </c>
      <c r="Y8" s="224" t="s">
        <v>84</v>
      </c>
      <c r="Z8" s="216" t="s">
        <v>40</v>
      </c>
      <c r="AA8" s="207" t="s">
        <v>50</v>
      </c>
      <c r="AB8" s="55" t="s">
        <v>183</v>
      </c>
      <c r="AE8" s="97" t="s">
        <v>59</v>
      </c>
      <c r="AG8" s="105" t="s">
        <v>513</v>
      </c>
      <c r="AH8" s="105" t="s">
        <v>514</v>
      </c>
      <c r="AL8" s="34" t="s">
        <v>226</v>
      </c>
      <c r="AP8" s="23" t="s">
        <v>62</v>
      </c>
      <c r="AR8" s="41" t="s">
        <v>81</v>
      </c>
      <c r="AV8" s="23" t="s">
        <v>97</v>
      </c>
      <c r="AX8" s="24">
        <v>151</v>
      </c>
      <c r="AY8" s="25">
        <v>22</v>
      </c>
      <c r="AZ8" s="25">
        <v>152</v>
      </c>
      <c r="BA8" s="26">
        <v>18</v>
      </c>
    </row>
    <row r="9" spans="1:53" x14ac:dyDescent="0.15">
      <c r="A9" s="208" t="s">
        <v>34</v>
      </c>
      <c r="B9" s="208" t="s">
        <v>181</v>
      </c>
      <c r="C9" s="209">
        <v>2018</v>
      </c>
      <c r="D9" s="236" t="s">
        <v>495</v>
      </c>
      <c r="E9" s="209" t="s">
        <v>511</v>
      </c>
      <c r="F9" s="208" t="s">
        <v>508</v>
      </c>
      <c r="G9" s="210" t="s">
        <v>36</v>
      </c>
      <c r="H9" s="165" t="s">
        <v>155</v>
      </c>
      <c r="I9" s="165" t="s">
        <v>153</v>
      </c>
      <c r="J9" s="165" t="s">
        <v>38</v>
      </c>
      <c r="K9" s="165" t="s">
        <v>154</v>
      </c>
      <c r="L9" s="87">
        <v>2</v>
      </c>
      <c r="N9" s="87">
        <v>1</v>
      </c>
      <c r="O9" s="87">
        <v>0.6</v>
      </c>
      <c r="P9" s="87">
        <v>0.6</v>
      </c>
      <c r="Q9" s="113">
        <f t="shared" si="0"/>
        <v>0.6</v>
      </c>
      <c r="R9" s="218">
        <v>13.3</v>
      </c>
      <c r="S9" s="218">
        <v>134</v>
      </c>
      <c r="T9" s="16">
        <f t="shared" si="1"/>
        <v>30</v>
      </c>
      <c r="U9" s="223">
        <v>138</v>
      </c>
      <c r="V9" s="214">
        <f t="shared" si="2"/>
        <v>4140</v>
      </c>
      <c r="W9" s="220">
        <v>2</v>
      </c>
      <c r="X9" s="216" t="s">
        <v>46</v>
      </c>
      <c r="Y9" s="224" t="s">
        <v>84</v>
      </c>
      <c r="Z9" s="216" t="s">
        <v>40</v>
      </c>
      <c r="AA9" s="207" t="s">
        <v>50</v>
      </c>
      <c r="AB9" s="55" t="s">
        <v>183</v>
      </c>
      <c r="AE9" s="97" t="s">
        <v>98</v>
      </c>
      <c r="AG9" s="105" t="s">
        <v>515</v>
      </c>
      <c r="AH9" s="105" t="s">
        <v>516</v>
      </c>
      <c r="AL9" s="29"/>
      <c r="AP9" s="23" t="s">
        <v>95</v>
      </c>
      <c r="AR9" s="98" t="s">
        <v>89</v>
      </c>
      <c r="AV9" s="23" t="s">
        <v>102</v>
      </c>
      <c r="AX9" s="31">
        <v>180</v>
      </c>
      <c r="AY9" s="32">
        <v>18</v>
      </c>
      <c r="AZ9" s="32">
        <v>181</v>
      </c>
      <c r="BA9" s="33">
        <v>16</v>
      </c>
    </row>
    <row r="10" spans="1:53" x14ac:dyDescent="0.15">
      <c r="A10" s="208" t="s">
        <v>34</v>
      </c>
      <c r="B10" s="208" t="s">
        <v>181</v>
      </c>
      <c r="C10" s="208">
        <v>2018</v>
      </c>
      <c r="D10" s="236" t="s">
        <v>495</v>
      </c>
      <c r="E10" s="209" t="s">
        <v>511</v>
      </c>
      <c r="F10" s="208" t="s">
        <v>508</v>
      </c>
      <c r="G10" s="210" t="s">
        <v>36</v>
      </c>
      <c r="H10" s="165" t="s">
        <v>155</v>
      </c>
      <c r="I10" s="165" t="s">
        <v>153</v>
      </c>
      <c r="J10" s="165" t="s">
        <v>38</v>
      </c>
      <c r="K10" s="165" t="s">
        <v>154</v>
      </c>
      <c r="L10" s="87">
        <v>3</v>
      </c>
      <c r="N10" s="87">
        <v>1</v>
      </c>
      <c r="O10" s="87">
        <v>0.7</v>
      </c>
      <c r="P10" s="87">
        <v>0.65</v>
      </c>
      <c r="Q10" s="113">
        <f t="shared" si="0"/>
        <v>0.67500000000000004</v>
      </c>
      <c r="R10" s="218">
        <v>12.6</v>
      </c>
      <c r="S10" s="218">
        <v>129</v>
      </c>
      <c r="T10" s="16">
        <f t="shared" si="1"/>
        <v>30</v>
      </c>
      <c r="U10" s="223">
        <v>138</v>
      </c>
      <c r="V10" s="214">
        <f t="shared" si="2"/>
        <v>4140</v>
      </c>
      <c r="W10" s="220">
        <v>2</v>
      </c>
      <c r="X10" s="216" t="s">
        <v>46</v>
      </c>
      <c r="Y10" s="224" t="s">
        <v>84</v>
      </c>
      <c r="Z10" s="216" t="s">
        <v>40</v>
      </c>
      <c r="AA10" s="207" t="s">
        <v>50</v>
      </c>
      <c r="AB10" s="55" t="s">
        <v>183</v>
      </c>
      <c r="AE10" s="97" t="s">
        <v>103</v>
      </c>
      <c r="AG10" s="105" t="s">
        <v>517</v>
      </c>
      <c r="AH10" s="105" t="s">
        <v>518</v>
      </c>
      <c r="AL10" s="34"/>
      <c r="AP10" s="23" t="s">
        <v>100</v>
      </c>
      <c r="AR10" s="98" t="s">
        <v>123</v>
      </c>
      <c r="AV10" s="23" t="s">
        <v>106</v>
      </c>
    </row>
    <row r="11" spans="1:53" x14ac:dyDescent="0.15">
      <c r="A11" s="208" t="s">
        <v>34</v>
      </c>
      <c r="B11" s="208" t="s">
        <v>228</v>
      </c>
      <c r="C11" s="209">
        <v>2018</v>
      </c>
      <c r="D11" s="236" t="s">
        <v>495</v>
      </c>
      <c r="E11" s="209" t="s">
        <v>511</v>
      </c>
      <c r="F11" s="208" t="s">
        <v>508</v>
      </c>
      <c r="G11" s="210" t="s">
        <v>36</v>
      </c>
      <c r="H11" s="165" t="s">
        <v>159</v>
      </c>
      <c r="I11" s="165" t="s">
        <v>153</v>
      </c>
      <c r="J11" s="165" t="s">
        <v>38</v>
      </c>
      <c r="K11" s="165" t="s">
        <v>54</v>
      </c>
      <c r="L11" s="87">
        <v>1</v>
      </c>
      <c r="N11" s="87">
        <v>1</v>
      </c>
      <c r="O11" s="87">
        <v>0.7</v>
      </c>
      <c r="P11" s="87">
        <v>0.6</v>
      </c>
      <c r="Q11" s="113">
        <f t="shared" si="0"/>
        <v>0.64999999999999991</v>
      </c>
      <c r="R11" s="218">
        <v>17.7</v>
      </c>
      <c r="S11" s="218">
        <v>118</v>
      </c>
      <c r="T11" s="16">
        <f t="shared" si="1"/>
        <v>30</v>
      </c>
      <c r="U11" s="223">
        <v>138</v>
      </c>
      <c r="V11" s="214">
        <f t="shared" si="2"/>
        <v>4140</v>
      </c>
      <c r="W11" s="220">
        <v>2</v>
      </c>
      <c r="X11" s="216" t="s">
        <v>46</v>
      </c>
      <c r="Y11" s="224" t="s">
        <v>84</v>
      </c>
      <c r="Z11" s="216" t="s">
        <v>40</v>
      </c>
      <c r="AA11" s="225" t="s">
        <v>50</v>
      </c>
      <c r="AB11" s="55" t="s">
        <v>183</v>
      </c>
      <c r="AE11" s="97" t="s">
        <v>65</v>
      </c>
      <c r="AG11" s="41"/>
      <c r="AH11" s="41"/>
      <c r="AL11" s="34"/>
      <c r="AP11" s="23" t="s">
        <v>104</v>
      </c>
      <c r="AR11" s="98" t="s">
        <v>87</v>
      </c>
      <c r="AV11" s="23" t="s">
        <v>69</v>
      </c>
    </row>
    <row r="12" spans="1:53" x14ac:dyDescent="0.15">
      <c r="A12" s="208" t="s">
        <v>34</v>
      </c>
      <c r="B12" s="208" t="s">
        <v>181</v>
      </c>
      <c r="C12" s="208">
        <v>2018</v>
      </c>
      <c r="D12" s="236" t="s">
        <v>495</v>
      </c>
      <c r="E12" s="209" t="s">
        <v>511</v>
      </c>
      <c r="F12" s="208" t="s">
        <v>508</v>
      </c>
      <c r="G12" s="210" t="s">
        <v>36</v>
      </c>
      <c r="H12" s="165" t="s">
        <v>159</v>
      </c>
      <c r="I12" s="165" t="s">
        <v>153</v>
      </c>
      <c r="J12" s="165" t="s">
        <v>38</v>
      </c>
      <c r="K12" s="165" t="s">
        <v>54</v>
      </c>
      <c r="L12" s="87">
        <v>2</v>
      </c>
      <c r="N12" s="87">
        <v>1</v>
      </c>
      <c r="O12" s="87">
        <v>0.85</v>
      </c>
      <c r="P12" s="87">
        <v>0.8</v>
      </c>
      <c r="Q12" s="113">
        <f t="shared" si="0"/>
        <v>0.82499999999999996</v>
      </c>
      <c r="R12" s="218">
        <v>18.600000000000001</v>
      </c>
      <c r="S12" s="218">
        <v>121</v>
      </c>
      <c r="T12" s="16">
        <f t="shared" si="1"/>
        <v>30</v>
      </c>
      <c r="U12" s="223">
        <v>138</v>
      </c>
      <c r="V12" s="214">
        <f t="shared" si="2"/>
        <v>4140</v>
      </c>
      <c r="W12" s="220">
        <v>2</v>
      </c>
      <c r="X12" s="216" t="s">
        <v>46</v>
      </c>
      <c r="Y12" s="224" t="s">
        <v>84</v>
      </c>
      <c r="Z12" s="216" t="s">
        <v>40</v>
      </c>
      <c r="AA12" s="225" t="s">
        <v>50</v>
      </c>
      <c r="AB12" s="55" t="s">
        <v>183</v>
      </c>
      <c r="AE12" s="97" t="s">
        <v>70</v>
      </c>
      <c r="AG12" s="41"/>
      <c r="AH12" s="41"/>
      <c r="AL12" s="34"/>
      <c r="AP12" s="23" t="s">
        <v>67</v>
      </c>
      <c r="AR12" s="98" t="s">
        <v>124</v>
      </c>
      <c r="AV12" s="23" t="s">
        <v>72</v>
      </c>
    </row>
    <row r="13" spans="1:53" x14ac:dyDescent="0.15">
      <c r="A13" s="208" t="s">
        <v>34</v>
      </c>
      <c r="B13" s="208" t="s">
        <v>181</v>
      </c>
      <c r="C13" s="209">
        <v>2018</v>
      </c>
      <c r="D13" s="236" t="s">
        <v>495</v>
      </c>
      <c r="E13" s="209" t="s">
        <v>511</v>
      </c>
      <c r="F13" s="208" t="s">
        <v>508</v>
      </c>
      <c r="G13" s="210" t="s">
        <v>36</v>
      </c>
      <c r="H13" s="165" t="s">
        <v>159</v>
      </c>
      <c r="I13" s="165" t="s">
        <v>153</v>
      </c>
      <c r="J13" s="165" t="s">
        <v>38</v>
      </c>
      <c r="K13" s="165" t="s">
        <v>54</v>
      </c>
      <c r="L13" s="87">
        <v>3</v>
      </c>
      <c r="N13" s="87">
        <v>1</v>
      </c>
      <c r="O13" s="87">
        <v>0.7</v>
      </c>
      <c r="P13" s="87">
        <v>0.8</v>
      </c>
      <c r="Q13" s="113">
        <f t="shared" si="0"/>
        <v>0.75</v>
      </c>
      <c r="R13" s="218">
        <v>16.600000000000001</v>
      </c>
      <c r="S13" s="218">
        <v>118</v>
      </c>
      <c r="T13" s="16">
        <f t="shared" si="1"/>
        <v>30</v>
      </c>
      <c r="U13" s="223">
        <v>138</v>
      </c>
      <c r="V13" s="214">
        <f t="shared" si="2"/>
        <v>4140</v>
      </c>
      <c r="W13" s="220">
        <v>2</v>
      </c>
      <c r="X13" s="216" t="s">
        <v>46</v>
      </c>
      <c r="Y13" s="224" t="s">
        <v>84</v>
      </c>
      <c r="Z13" s="216" t="s">
        <v>40</v>
      </c>
      <c r="AA13" s="225" t="s">
        <v>50</v>
      </c>
      <c r="AB13" s="55" t="s">
        <v>183</v>
      </c>
      <c r="AE13" s="97" t="s">
        <v>73</v>
      </c>
      <c r="AG13" s="226"/>
      <c r="AH13" s="226"/>
      <c r="AP13" s="23" t="s">
        <v>71</v>
      </c>
      <c r="AR13" s="98" t="s">
        <v>103</v>
      </c>
      <c r="AV13" s="23" t="s">
        <v>75</v>
      </c>
    </row>
    <row r="14" spans="1:53" x14ac:dyDescent="0.15">
      <c r="A14" s="208" t="s">
        <v>34</v>
      </c>
      <c r="B14" s="208" t="s">
        <v>181</v>
      </c>
      <c r="C14" s="208">
        <v>2018</v>
      </c>
      <c r="D14" s="236" t="s">
        <v>495</v>
      </c>
      <c r="E14" s="209" t="s">
        <v>519</v>
      </c>
      <c r="F14" s="208" t="s">
        <v>508</v>
      </c>
      <c r="G14" s="210" t="s">
        <v>36</v>
      </c>
      <c r="H14" s="165" t="s">
        <v>155</v>
      </c>
      <c r="I14" s="165" t="s">
        <v>153</v>
      </c>
      <c r="J14" s="165" t="s">
        <v>38</v>
      </c>
      <c r="K14" s="165" t="s">
        <v>154</v>
      </c>
      <c r="L14" s="87">
        <v>1</v>
      </c>
      <c r="N14" s="87">
        <v>1</v>
      </c>
      <c r="O14" s="87">
        <v>0.65</v>
      </c>
      <c r="P14" s="87">
        <v>0.6</v>
      </c>
      <c r="Q14" s="113">
        <f t="shared" si="0"/>
        <v>0.625</v>
      </c>
      <c r="R14" s="218">
        <v>13.1</v>
      </c>
      <c r="S14" s="218">
        <v>126</v>
      </c>
      <c r="T14" s="16">
        <f t="shared" si="1"/>
        <v>30</v>
      </c>
      <c r="U14" s="223">
        <v>98</v>
      </c>
      <c r="V14" s="214">
        <f t="shared" si="2"/>
        <v>2940</v>
      </c>
      <c r="W14" s="220">
        <v>1</v>
      </c>
      <c r="X14" s="216" t="s">
        <v>46</v>
      </c>
      <c r="Y14" s="224" t="s">
        <v>84</v>
      </c>
      <c r="Z14" s="224" t="s">
        <v>90</v>
      </c>
      <c r="AA14" s="225" t="s">
        <v>69</v>
      </c>
      <c r="AB14" s="55" t="s">
        <v>183</v>
      </c>
      <c r="AC14" s="34"/>
      <c r="AE14" s="97" t="s">
        <v>76</v>
      </c>
      <c r="AG14" s="167"/>
      <c r="AH14" s="167"/>
      <c r="AP14" s="23" t="s">
        <v>74</v>
      </c>
      <c r="AR14" s="98" t="s">
        <v>125</v>
      </c>
      <c r="AV14" s="23" t="s">
        <v>78</v>
      </c>
    </row>
    <row r="15" spans="1:53" x14ac:dyDescent="0.15">
      <c r="A15" s="208" t="s">
        <v>34</v>
      </c>
      <c r="B15" s="208" t="s">
        <v>181</v>
      </c>
      <c r="C15" s="209">
        <v>2018</v>
      </c>
      <c r="D15" s="236" t="s">
        <v>495</v>
      </c>
      <c r="E15" s="209" t="s">
        <v>519</v>
      </c>
      <c r="F15" s="208" t="s">
        <v>508</v>
      </c>
      <c r="G15" s="210" t="s">
        <v>36</v>
      </c>
      <c r="H15" s="165" t="s">
        <v>155</v>
      </c>
      <c r="I15" s="165" t="s">
        <v>153</v>
      </c>
      <c r="J15" s="165" t="s">
        <v>38</v>
      </c>
      <c r="K15" s="165" t="s">
        <v>154</v>
      </c>
      <c r="L15" s="87">
        <v>2</v>
      </c>
      <c r="N15" s="87">
        <v>1</v>
      </c>
      <c r="O15" s="87">
        <v>0.7</v>
      </c>
      <c r="P15" s="87">
        <v>0.8</v>
      </c>
      <c r="Q15" s="113">
        <f t="shared" si="0"/>
        <v>0.75</v>
      </c>
      <c r="R15" s="218">
        <v>13.2</v>
      </c>
      <c r="S15" s="218">
        <v>123</v>
      </c>
      <c r="T15" s="16">
        <f t="shared" si="1"/>
        <v>30</v>
      </c>
      <c r="U15" s="223">
        <v>98</v>
      </c>
      <c r="V15" s="214">
        <f t="shared" si="2"/>
        <v>2940</v>
      </c>
      <c r="W15" s="220">
        <v>1</v>
      </c>
      <c r="X15" s="216" t="s">
        <v>46</v>
      </c>
      <c r="Y15" s="224" t="s">
        <v>84</v>
      </c>
      <c r="Z15" s="224" t="s">
        <v>90</v>
      </c>
      <c r="AA15" s="225" t="s">
        <v>69</v>
      </c>
      <c r="AB15" s="55" t="s">
        <v>183</v>
      </c>
      <c r="AC15" s="34"/>
      <c r="AE15" s="97" t="s">
        <v>79</v>
      </c>
      <c r="AP15" s="23" t="s">
        <v>77</v>
      </c>
      <c r="AR15" s="98" t="s">
        <v>94</v>
      </c>
      <c r="AV15" s="23" t="s">
        <v>107</v>
      </c>
    </row>
    <row r="16" spans="1:53" x14ac:dyDescent="0.15">
      <c r="A16" s="208" t="s">
        <v>34</v>
      </c>
      <c r="B16" s="208" t="s">
        <v>181</v>
      </c>
      <c r="C16" s="208">
        <v>2018</v>
      </c>
      <c r="D16" s="236" t="s">
        <v>495</v>
      </c>
      <c r="E16" s="209" t="s">
        <v>519</v>
      </c>
      <c r="F16" s="208" t="s">
        <v>508</v>
      </c>
      <c r="G16" s="210" t="s">
        <v>36</v>
      </c>
      <c r="H16" s="165" t="s">
        <v>155</v>
      </c>
      <c r="I16" s="165" t="s">
        <v>153</v>
      </c>
      <c r="J16" s="165" t="s">
        <v>38</v>
      </c>
      <c r="K16" s="165" t="s">
        <v>154</v>
      </c>
      <c r="L16" s="87">
        <v>3</v>
      </c>
      <c r="N16" s="87">
        <v>1</v>
      </c>
      <c r="O16" s="87">
        <v>0.6</v>
      </c>
      <c r="P16" s="87">
        <v>0.55000000000000004</v>
      </c>
      <c r="Q16" s="113">
        <f t="shared" si="0"/>
        <v>0.57499999999999996</v>
      </c>
      <c r="R16" s="218">
        <v>14.2</v>
      </c>
      <c r="S16" s="218">
        <v>116</v>
      </c>
      <c r="T16" s="16">
        <f t="shared" si="1"/>
        <v>30</v>
      </c>
      <c r="U16" s="223">
        <v>98</v>
      </c>
      <c r="V16" s="214">
        <f t="shared" si="2"/>
        <v>2940</v>
      </c>
      <c r="W16" s="220">
        <v>1</v>
      </c>
      <c r="X16" s="216" t="s">
        <v>46</v>
      </c>
      <c r="Y16" s="224" t="s">
        <v>84</v>
      </c>
      <c r="Z16" s="224" t="s">
        <v>90</v>
      </c>
      <c r="AA16" s="225" t="s">
        <v>69</v>
      </c>
      <c r="AB16" s="55" t="s">
        <v>183</v>
      </c>
      <c r="AC16" s="34"/>
      <c r="AE16" s="97" t="s">
        <v>82</v>
      </c>
      <c r="AP16" s="23" t="s">
        <v>80</v>
      </c>
      <c r="AR16" s="41" t="s">
        <v>63</v>
      </c>
      <c r="AV16" s="23" t="s">
        <v>84</v>
      </c>
    </row>
    <row r="17" spans="1:48" x14ac:dyDescent="0.15">
      <c r="A17" s="208" t="s">
        <v>34</v>
      </c>
      <c r="B17" s="208" t="s">
        <v>181</v>
      </c>
      <c r="C17" s="209">
        <v>2018</v>
      </c>
      <c r="D17" s="236" t="s">
        <v>495</v>
      </c>
      <c r="E17" s="209" t="s">
        <v>489</v>
      </c>
      <c r="F17" s="208" t="s">
        <v>520</v>
      </c>
      <c r="G17" s="210" t="s">
        <v>36</v>
      </c>
      <c r="H17" s="165" t="s">
        <v>155</v>
      </c>
      <c r="I17" s="165" t="s">
        <v>153</v>
      </c>
      <c r="J17" s="165" t="s">
        <v>38</v>
      </c>
      <c r="K17" s="165" t="s">
        <v>154</v>
      </c>
      <c r="L17" s="87">
        <v>1</v>
      </c>
      <c r="N17" s="87">
        <v>1</v>
      </c>
      <c r="O17" s="87">
        <v>0.85</v>
      </c>
      <c r="P17" s="87">
        <v>0.9</v>
      </c>
      <c r="Q17" s="113">
        <f t="shared" si="0"/>
        <v>0.875</v>
      </c>
      <c r="R17" s="218">
        <v>14</v>
      </c>
      <c r="S17" s="218">
        <v>118</v>
      </c>
      <c r="T17" s="16">
        <f t="shared" si="1"/>
        <v>30</v>
      </c>
      <c r="U17" s="223">
        <v>128</v>
      </c>
      <c r="V17" s="214">
        <f t="shared" si="2"/>
        <v>3840</v>
      </c>
      <c r="W17" s="220">
        <v>2</v>
      </c>
      <c r="X17" s="216" t="s">
        <v>46</v>
      </c>
      <c r="Y17" s="224" t="s">
        <v>84</v>
      </c>
      <c r="Z17" s="224" t="s">
        <v>40</v>
      </c>
      <c r="AA17" s="225" t="s">
        <v>90</v>
      </c>
      <c r="AB17" s="55" t="s">
        <v>183</v>
      </c>
      <c r="AC17" s="34"/>
      <c r="AE17" s="97" t="s">
        <v>85</v>
      </c>
      <c r="AP17" s="101" t="s">
        <v>110</v>
      </c>
      <c r="AR17" s="41" t="s">
        <v>96</v>
      </c>
      <c r="AV17" s="23" t="s">
        <v>86</v>
      </c>
    </row>
    <row r="18" spans="1:48" x14ac:dyDescent="0.15">
      <c r="A18" s="208" t="s">
        <v>34</v>
      </c>
      <c r="B18" s="208" t="s">
        <v>181</v>
      </c>
      <c r="C18" s="208">
        <v>2018</v>
      </c>
      <c r="D18" s="236" t="s">
        <v>495</v>
      </c>
      <c r="E18" s="209" t="s">
        <v>489</v>
      </c>
      <c r="F18" s="208" t="s">
        <v>520</v>
      </c>
      <c r="G18" s="210" t="s">
        <v>36</v>
      </c>
      <c r="H18" s="165" t="s">
        <v>155</v>
      </c>
      <c r="I18" s="165" t="s">
        <v>153</v>
      </c>
      <c r="J18" s="165" t="s">
        <v>38</v>
      </c>
      <c r="K18" s="165" t="s">
        <v>154</v>
      </c>
      <c r="L18" s="87">
        <v>2</v>
      </c>
      <c r="N18" s="87">
        <v>1</v>
      </c>
      <c r="O18" s="87">
        <v>0.6</v>
      </c>
      <c r="P18" s="87">
        <v>0.55000000000000004</v>
      </c>
      <c r="Q18" s="113">
        <f t="shared" si="0"/>
        <v>0.57499999999999996</v>
      </c>
      <c r="R18" s="218">
        <v>14.9</v>
      </c>
      <c r="S18" s="218">
        <v>125</v>
      </c>
      <c r="T18" s="16">
        <f t="shared" si="1"/>
        <v>30</v>
      </c>
      <c r="U18" s="223">
        <v>128</v>
      </c>
      <c r="V18" s="214">
        <f t="shared" si="2"/>
        <v>3840</v>
      </c>
      <c r="W18" s="220">
        <v>2</v>
      </c>
      <c r="X18" s="216" t="s">
        <v>46</v>
      </c>
      <c r="Y18" s="224" t="s">
        <v>84</v>
      </c>
      <c r="Z18" s="224" t="s">
        <v>40</v>
      </c>
      <c r="AA18" s="225" t="s">
        <v>90</v>
      </c>
      <c r="AB18" s="55" t="s">
        <v>183</v>
      </c>
      <c r="AC18" s="34"/>
      <c r="AE18" s="97" t="s">
        <v>87</v>
      </c>
      <c r="AP18" s="101" t="s">
        <v>111</v>
      </c>
      <c r="AR18" s="41" t="s">
        <v>101</v>
      </c>
      <c r="AV18" s="23" t="s">
        <v>88</v>
      </c>
    </row>
    <row r="19" spans="1:48" x14ac:dyDescent="0.15">
      <c r="A19" s="208" t="s">
        <v>34</v>
      </c>
      <c r="B19" s="208" t="s">
        <v>181</v>
      </c>
      <c r="C19" s="209">
        <v>2018</v>
      </c>
      <c r="D19" s="236" t="s">
        <v>495</v>
      </c>
      <c r="E19" s="209" t="s">
        <v>489</v>
      </c>
      <c r="F19" s="208" t="s">
        <v>520</v>
      </c>
      <c r="G19" s="210" t="s">
        <v>36</v>
      </c>
      <c r="H19" s="165" t="s">
        <v>155</v>
      </c>
      <c r="I19" s="165" t="s">
        <v>153</v>
      </c>
      <c r="J19" s="165" t="s">
        <v>38</v>
      </c>
      <c r="K19" s="165" t="s">
        <v>154</v>
      </c>
      <c r="L19" s="87">
        <v>3</v>
      </c>
      <c r="N19" s="87">
        <v>1</v>
      </c>
      <c r="O19" s="87">
        <v>0.75</v>
      </c>
      <c r="P19" s="87">
        <v>0.6</v>
      </c>
      <c r="Q19" s="113">
        <f t="shared" si="0"/>
        <v>0.67500000000000004</v>
      </c>
      <c r="R19" s="218">
        <v>13.5</v>
      </c>
      <c r="S19" s="218">
        <v>123</v>
      </c>
      <c r="T19" s="16">
        <f t="shared" si="1"/>
        <v>30</v>
      </c>
      <c r="U19" s="223">
        <v>128</v>
      </c>
      <c r="V19" s="214">
        <f t="shared" si="2"/>
        <v>3840</v>
      </c>
      <c r="W19" s="220">
        <v>2</v>
      </c>
      <c r="X19" s="216" t="s">
        <v>46</v>
      </c>
      <c r="Y19" s="224" t="s">
        <v>84</v>
      </c>
      <c r="Z19" s="224" t="s">
        <v>40</v>
      </c>
      <c r="AA19" s="225" t="s">
        <v>90</v>
      </c>
      <c r="AB19" s="55" t="s">
        <v>183</v>
      </c>
      <c r="AC19" s="34"/>
      <c r="AE19" s="99" t="s">
        <v>89</v>
      </c>
      <c r="AP19" s="101" t="s">
        <v>112</v>
      </c>
      <c r="AR19" s="98" t="s">
        <v>126</v>
      </c>
      <c r="AV19" s="23" t="s">
        <v>90</v>
      </c>
    </row>
    <row r="20" spans="1:48" x14ac:dyDescent="0.15">
      <c r="A20" s="208" t="s">
        <v>34</v>
      </c>
      <c r="B20" s="208" t="s">
        <v>181</v>
      </c>
      <c r="C20" s="208">
        <v>2018</v>
      </c>
      <c r="D20" s="236" t="s">
        <v>495</v>
      </c>
      <c r="E20" s="209" t="s">
        <v>489</v>
      </c>
      <c r="F20" s="208" t="s">
        <v>520</v>
      </c>
      <c r="G20" s="210" t="s">
        <v>36</v>
      </c>
      <c r="H20" s="165" t="s">
        <v>159</v>
      </c>
      <c r="I20" s="165" t="s">
        <v>153</v>
      </c>
      <c r="J20" s="165" t="s">
        <v>38</v>
      </c>
      <c r="K20" s="165" t="s">
        <v>154</v>
      </c>
      <c r="L20" s="87">
        <v>1</v>
      </c>
      <c r="N20" s="87">
        <v>4</v>
      </c>
      <c r="O20" s="87">
        <v>0.55000000000000004</v>
      </c>
      <c r="P20" s="87">
        <v>0.6</v>
      </c>
      <c r="Q20" s="113">
        <f t="shared" si="0"/>
        <v>0.57499999999999996</v>
      </c>
      <c r="R20" s="218">
        <v>15.2</v>
      </c>
      <c r="S20" s="227">
        <v>94</v>
      </c>
      <c r="T20" s="16">
        <f t="shared" si="1"/>
        <v>36</v>
      </c>
      <c r="U20" s="223">
        <v>498</v>
      </c>
      <c r="V20" s="214">
        <f t="shared" si="2"/>
        <v>4482</v>
      </c>
      <c r="W20" s="220">
        <v>2</v>
      </c>
      <c r="X20" s="216" t="s">
        <v>46</v>
      </c>
      <c r="Y20" s="224" t="s">
        <v>84</v>
      </c>
      <c r="Z20" s="224" t="s">
        <v>40</v>
      </c>
      <c r="AA20" s="225" t="s">
        <v>90</v>
      </c>
      <c r="AB20" s="55" t="s">
        <v>183</v>
      </c>
      <c r="AE20" s="99"/>
      <c r="AP20" s="101" t="s">
        <v>113</v>
      </c>
      <c r="AR20" s="41" t="s">
        <v>105</v>
      </c>
      <c r="AV20" s="27" t="s">
        <v>248</v>
      </c>
    </row>
    <row r="21" spans="1:48" x14ac:dyDescent="0.15">
      <c r="A21" s="208" t="s">
        <v>34</v>
      </c>
      <c r="B21" s="208" t="s">
        <v>181</v>
      </c>
      <c r="C21" s="209">
        <v>2018</v>
      </c>
      <c r="D21" s="236" t="s">
        <v>495</v>
      </c>
      <c r="E21" s="209" t="s">
        <v>489</v>
      </c>
      <c r="F21" s="208" t="s">
        <v>520</v>
      </c>
      <c r="G21" s="210" t="s">
        <v>36</v>
      </c>
      <c r="H21" s="165" t="s">
        <v>159</v>
      </c>
      <c r="I21" s="165" t="s">
        <v>153</v>
      </c>
      <c r="J21" s="165" t="s">
        <v>38</v>
      </c>
      <c r="K21" s="165" t="s">
        <v>154</v>
      </c>
      <c r="L21" s="87">
        <v>2</v>
      </c>
      <c r="N21" s="87">
        <v>4</v>
      </c>
      <c r="O21" s="87">
        <v>0.5</v>
      </c>
      <c r="P21" s="87">
        <v>0.45</v>
      </c>
      <c r="Q21" s="113">
        <f t="shared" si="0"/>
        <v>0.47499999999999998</v>
      </c>
      <c r="R21" s="227">
        <v>15.5</v>
      </c>
      <c r="S21" s="218">
        <v>100</v>
      </c>
      <c r="T21" s="16">
        <f t="shared" si="1"/>
        <v>33</v>
      </c>
      <c r="U21" s="223">
        <v>498</v>
      </c>
      <c r="V21" s="214">
        <f t="shared" si="2"/>
        <v>4108.5</v>
      </c>
      <c r="W21" s="220">
        <v>2</v>
      </c>
      <c r="X21" s="216" t="s">
        <v>46</v>
      </c>
      <c r="Y21" s="224" t="s">
        <v>84</v>
      </c>
      <c r="Z21" s="224" t="s">
        <v>40</v>
      </c>
      <c r="AA21" s="225" t="s">
        <v>90</v>
      </c>
      <c r="AB21" s="55" t="s">
        <v>183</v>
      </c>
      <c r="AE21" s="28"/>
      <c r="AP21" s="101" t="s">
        <v>114</v>
      </c>
      <c r="AR21" s="41" t="s">
        <v>68</v>
      </c>
      <c r="AV21" s="27" t="s">
        <v>521</v>
      </c>
    </row>
    <row r="22" spans="1:48" x14ac:dyDescent="0.15">
      <c r="A22" s="208" t="s">
        <v>34</v>
      </c>
      <c r="B22" s="208" t="s">
        <v>181</v>
      </c>
      <c r="C22" s="208">
        <v>2018</v>
      </c>
      <c r="D22" s="236" t="s">
        <v>495</v>
      </c>
      <c r="E22" s="209" t="s">
        <v>489</v>
      </c>
      <c r="F22" s="208" t="s">
        <v>520</v>
      </c>
      <c r="G22" s="210" t="s">
        <v>36</v>
      </c>
      <c r="H22" s="165" t="s">
        <v>159</v>
      </c>
      <c r="I22" s="165" t="s">
        <v>153</v>
      </c>
      <c r="J22" s="165" t="s">
        <v>38</v>
      </c>
      <c r="K22" s="165" t="s">
        <v>154</v>
      </c>
      <c r="L22" s="87">
        <v>3</v>
      </c>
      <c r="N22" s="87">
        <v>4</v>
      </c>
      <c r="O22" s="87">
        <v>0.5</v>
      </c>
      <c r="P22" s="34">
        <v>0.45</v>
      </c>
      <c r="Q22" s="113">
        <f t="shared" si="0"/>
        <v>0.47499999999999998</v>
      </c>
      <c r="R22" s="218">
        <v>15.2</v>
      </c>
      <c r="S22" s="218">
        <v>96</v>
      </c>
      <c r="T22" s="16">
        <f t="shared" si="1"/>
        <v>36</v>
      </c>
      <c r="U22" s="223">
        <v>498</v>
      </c>
      <c r="V22" s="214">
        <f t="shared" si="2"/>
        <v>4482</v>
      </c>
      <c r="W22" s="220">
        <v>2</v>
      </c>
      <c r="X22" s="216" t="s">
        <v>46</v>
      </c>
      <c r="Y22" s="224" t="s">
        <v>84</v>
      </c>
      <c r="Z22" s="224" t="s">
        <v>40</v>
      </c>
      <c r="AA22" s="225" t="s">
        <v>90</v>
      </c>
      <c r="AB22" s="55" t="s">
        <v>183</v>
      </c>
      <c r="AP22" s="101" t="s">
        <v>115</v>
      </c>
      <c r="AR22" s="41" t="s">
        <v>83</v>
      </c>
      <c r="AV22" s="23"/>
    </row>
    <row r="23" spans="1:48" x14ac:dyDescent="0.15">
      <c r="A23" s="208" t="s">
        <v>34</v>
      </c>
      <c r="B23" s="208" t="s">
        <v>181</v>
      </c>
      <c r="C23" s="209">
        <v>2018</v>
      </c>
      <c r="D23" s="236" t="s">
        <v>495</v>
      </c>
      <c r="E23" s="209" t="s">
        <v>496</v>
      </c>
      <c r="F23" s="208" t="s">
        <v>497</v>
      </c>
      <c r="G23" s="210" t="s">
        <v>42</v>
      </c>
      <c r="H23" s="165" t="s">
        <v>155</v>
      </c>
      <c r="I23" s="165" t="s">
        <v>153</v>
      </c>
      <c r="J23" s="165" t="s">
        <v>38</v>
      </c>
      <c r="K23" s="165" t="s">
        <v>154</v>
      </c>
      <c r="L23" s="87">
        <v>1</v>
      </c>
      <c r="N23" s="87">
        <v>1</v>
      </c>
      <c r="O23" s="87">
        <v>0.6</v>
      </c>
      <c r="P23" s="34">
        <v>0.65</v>
      </c>
      <c r="Q23" s="113">
        <f t="shared" si="0"/>
        <v>0.625</v>
      </c>
      <c r="R23" s="218">
        <v>14.4</v>
      </c>
      <c r="S23" s="218">
        <v>142</v>
      </c>
      <c r="T23" s="16">
        <f t="shared" si="1"/>
        <v>30</v>
      </c>
      <c r="U23" s="223">
        <v>97</v>
      </c>
      <c r="V23" s="214">
        <f t="shared" si="2"/>
        <v>2910</v>
      </c>
      <c r="W23" s="220">
        <v>2</v>
      </c>
      <c r="X23" s="216" t="s">
        <v>46</v>
      </c>
      <c r="Y23" s="224" t="s">
        <v>90</v>
      </c>
      <c r="Z23" s="224" t="s">
        <v>50</v>
      </c>
      <c r="AA23" s="225" t="s">
        <v>84</v>
      </c>
      <c r="AB23" s="55" t="s">
        <v>183</v>
      </c>
      <c r="AP23" s="101" t="s">
        <v>250</v>
      </c>
      <c r="AR23" s="41" t="s">
        <v>61</v>
      </c>
      <c r="AV23" s="23"/>
    </row>
    <row r="24" spans="1:48" x14ac:dyDescent="0.15">
      <c r="A24" s="208" t="s">
        <v>34</v>
      </c>
      <c r="B24" s="208" t="s">
        <v>181</v>
      </c>
      <c r="C24" s="208">
        <v>2018</v>
      </c>
      <c r="D24" s="236" t="s">
        <v>495</v>
      </c>
      <c r="E24" s="209" t="s">
        <v>496</v>
      </c>
      <c r="F24" s="208" t="s">
        <v>497</v>
      </c>
      <c r="G24" s="210" t="s">
        <v>42</v>
      </c>
      <c r="H24" s="165" t="s">
        <v>155</v>
      </c>
      <c r="I24" s="165" t="s">
        <v>153</v>
      </c>
      <c r="J24" s="165" t="s">
        <v>38</v>
      </c>
      <c r="K24" s="165" t="s">
        <v>154</v>
      </c>
      <c r="L24" s="87">
        <v>2</v>
      </c>
      <c r="N24" s="87">
        <v>1</v>
      </c>
      <c r="O24" s="87">
        <v>0.5</v>
      </c>
      <c r="P24" s="34">
        <v>0.5</v>
      </c>
      <c r="Q24" s="113">
        <f t="shared" si="0"/>
        <v>0.5</v>
      </c>
      <c r="R24" s="218">
        <v>14.9</v>
      </c>
      <c r="S24" s="218">
        <v>148</v>
      </c>
      <c r="T24" s="16">
        <f t="shared" si="1"/>
        <v>30</v>
      </c>
      <c r="U24" s="223">
        <v>97</v>
      </c>
      <c r="V24" s="214">
        <f t="shared" si="2"/>
        <v>2910</v>
      </c>
      <c r="W24" s="220">
        <v>2</v>
      </c>
      <c r="X24" s="216" t="s">
        <v>46</v>
      </c>
      <c r="Y24" s="224" t="s">
        <v>90</v>
      </c>
      <c r="Z24" s="224" t="s">
        <v>50</v>
      </c>
      <c r="AA24" s="225" t="s">
        <v>84</v>
      </c>
      <c r="AB24" s="55" t="s">
        <v>183</v>
      </c>
      <c r="AP24" s="101" t="s">
        <v>251</v>
      </c>
      <c r="AR24" s="41" t="s">
        <v>91</v>
      </c>
      <c r="AV24" s="23"/>
    </row>
    <row r="25" spans="1:48" x14ac:dyDescent="0.15">
      <c r="A25" s="208" t="s">
        <v>34</v>
      </c>
      <c r="B25" s="208" t="s">
        <v>181</v>
      </c>
      <c r="C25" s="209">
        <v>2018</v>
      </c>
      <c r="D25" s="236" t="s">
        <v>495</v>
      </c>
      <c r="E25" s="209" t="s">
        <v>496</v>
      </c>
      <c r="F25" s="208" t="s">
        <v>497</v>
      </c>
      <c r="G25" s="210" t="s">
        <v>42</v>
      </c>
      <c r="H25" s="165" t="s">
        <v>155</v>
      </c>
      <c r="I25" s="165" t="s">
        <v>153</v>
      </c>
      <c r="J25" s="165" t="s">
        <v>38</v>
      </c>
      <c r="K25" s="165" t="s">
        <v>154</v>
      </c>
      <c r="L25" s="87">
        <v>3</v>
      </c>
      <c r="N25" s="87">
        <v>1</v>
      </c>
      <c r="O25" s="87">
        <v>0.55000000000000004</v>
      </c>
      <c r="P25" s="34">
        <v>0.5</v>
      </c>
      <c r="Q25" s="113">
        <f t="shared" si="0"/>
        <v>0.52500000000000002</v>
      </c>
      <c r="R25" s="218">
        <v>13.7</v>
      </c>
      <c r="S25" s="218">
        <v>138</v>
      </c>
      <c r="T25" s="16">
        <f t="shared" si="1"/>
        <v>30</v>
      </c>
      <c r="U25" s="223">
        <v>97</v>
      </c>
      <c r="V25" s="214">
        <f t="shared" si="2"/>
        <v>2910</v>
      </c>
      <c r="W25" s="220">
        <v>2</v>
      </c>
      <c r="X25" s="216" t="s">
        <v>46</v>
      </c>
      <c r="Y25" s="224" t="s">
        <v>90</v>
      </c>
      <c r="Z25" s="224" t="s">
        <v>50</v>
      </c>
      <c r="AA25" s="225" t="s">
        <v>84</v>
      </c>
      <c r="AB25" s="55" t="s">
        <v>183</v>
      </c>
      <c r="AP25" s="101" t="s">
        <v>116</v>
      </c>
      <c r="AR25" s="42" t="s">
        <v>92</v>
      </c>
      <c r="AV25" s="23"/>
    </row>
    <row r="26" spans="1:48" x14ac:dyDescent="0.15">
      <c r="A26" s="208" t="s">
        <v>34</v>
      </c>
      <c r="B26" s="208" t="s">
        <v>181</v>
      </c>
      <c r="C26" s="208">
        <v>2018</v>
      </c>
      <c r="D26" s="236" t="s">
        <v>495</v>
      </c>
      <c r="E26" s="209" t="s">
        <v>522</v>
      </c>
      <c r="F26" s="208" t="s">
        <v>497</v>
      </c>
      <c r="G26" s="210" t="s">
        <v>42</v>
      </c>
      <c r="H26" s="165" t="s">
        <v>155</v>
      </c>
      <c r="I26" s="165" t="s">
        <v>153</v>
      </c>
      <c r="J26" s="165" t="s">
        <v>38</v>
      </c>
      <c r="K26" s="165" t="s">
        <v>154</v>
      </c>
      <c r="L26" s="87">
        <v>1</v>
      </c>
      <c r="N26" s="87">
        <v>1</v>
      </c>
      <c r="O26" s="87">
        <v>0.6</v>
      </c>
      <c r="P26" s="100">
        <v>0.55000000000000004</v>
      </c>
      <c r="Q26" s="113">
        <f t="shared" si="0"/>
        <v>0.57499999999999996</v>
      </c>
      <c r="R26" s="218">
        <v>14.9</v>
      </c>
      <c r="S26" s="218">
        <v>145</v>
      </c>
      <c r="T26" s="16">
        <f t="shared" si="1"/>
        <v>30</v>
      </c>
      <c r="U26" s="223">
        <v>139</v>
      </c>
      <c r="V26" s="214">
        <f t="shared" si="2"/>
        <v>4170</v>
      </c>
      <c r="W26" s="220">
        <v>1</v>
      </c>
      <c r="X26" s="216" t="s">
        <v>46</v>
      </c>
      <c r="Y26" s="225" t="s">
        <v>84</v>
      </c>
      <c r="Z26" s="224" t="s">
        <v>90</v>
      </c>
      <c r="AA26" s="225" t="s">
        <v>50</v>
      </c>
      <c r="AB26" s="55" t="s">
        <v>183</v>
      </c>
      <c r="AP26" s="101" t="s">
        <v>117</v>
      </c>
      <c r="AR26" s="23" t="s">
        <v>166</v>
      </c>
      <c r="AV26" s="27"/>
    </row>
    <row r="27" spans="1:48" x14ac:dyDescent="0.15">
      <c r="A27" s="208" t="s">
        <v>34</v>
      </c>
      <c r="B27" s="208" t="s">
        <v>181</v>
      </c>
      <c r="C27" s="209">
        <v>2018</v>
      </c>
      <c r="D27" s="236" t="s">
        <v>495</v>
      </c>
      <c r="E27" s="209" t="s">
        <v>522</v>
      </c>
      <c r="F27" s="208" t="s">
        <v>497</v>
      </c>
      <c r="G27" s="210" t="s">
        <v>42</v>
      </c>
      <c r="H27" s="165" t="s">
        <v>155</v>
      </c>
      <c r="I27" s="165" t="s">
        <v>153</v>
      </c>
      <c r="J27" s="165" t="s">
        <v>38</v>
      </c>
      <c r="K27" s="165" t="s">
        <v>154</v>
      </c>
      <c r="L27" s="87">
        <v>2</v>
      </c>
      <c r="N27" s="87">
        <v>1</v>
      </c>
      <c r="O27" s="34">
        <v>0.5</v>
      </c>
      <c r="P27" s="100">
        <v>0.6</v>
      </c>
      <c r="Q27" s="113">
        <f t="shared" si="0"/>
        <v>0.55000000000000004</v>
      </c>
      <c r="R27" s="218">
        <v>15.1</v>
      </c>
      <c r="S27" s="218">
        <v>139</v>
      </c>
      <c r="T27" s="16">
        <f t="shared" si="1"/>
        <v>30</v>
      </c>
      <c r="U27" s="223">
        <v>139</v>
      </c>
      <c r="V27" s="214">
        <f t="shared" si="2"/>
        <v>4170</v>
      </c>
      <c r="W27" s="220">
        <v>1</v>
      </c>
      <c r="X27" s="216" t="s">
        <v>46</v>
      </c>
      <c r="Y27" s="225" t="s">
        <v>84</v>
      </c>
      <c r="Z27" s="224" t="s">
        <v>90</v>
      </c>
      <c r="AA27" s="225" t="s">
        <v>50</v>
      </c>
      <c r="AB27" s="55" t="s">
        <v>183</v>
      </c>
      <c r="AP27" s="101" t="s">
        <v>118</v>
      </c>
      <c r="AR27" s="23"/>
    </row>
    <row r="28" spans="1:48" x14ac:dyDescent="0.15">
      <c r="A28" s="208" t="s">
        <v>34</v>
      </c>
      <c r="B28" s="208" t="s">
        <v>181</v>
      </c>
      <c r="C28" s="208">
        <v>2018</v>
      </c>
      <c r="D28" s="236" t="s">
        <v>495</v>
      </c>
      <c r="E28" s="209" t="s">
        <v>522</v>
      </c>
      <c r="F28" s="208" t="s">
        <v>497</v>
      </c>
      <c r="G28" s="210" t="s">
        <v>42</v>
      </c>
      <c r="H28" s="165" t="s">
        <v>155</v>
      </c>
      <c r="I28" s="165" t="s">
        <v>153</v>
      </c>
      <c r="J28" s="165" t="s">
        <v>38</v>
      </c>
      <c r="K28" s="165" t="s">
        <v>154</v>
      </c>
      <c r="L28" s="87">
        <v>3</v>
      </c>
      <c r="N28" s="87">
        <v>1</v>
      </c>
      <c r="O28" s="34">
        <v>0.6</v>
      </c>
      <c r="P28" s="87">
        <v>0.5</v>
      </c>
      <c r="Q28" s="113">
        <f t="shared" si="0"/>
        <v>0.55000000000000004</v>
      </c>
      <c r="R28" s="218">
        <v>15.4</v>
      </c>
      <c r="S28" s="218">
        <v>135</v>
      </c>
      <c r="T28" s="16">
        <f t="shared" si="1"/>
        <v>30</v>
      </c>
      <c r="U28" s="223">
        <v>139</v>
      </c>
      <c r="V28" s="214">
        <f t="shared" si="2"/>
        <v>4170</v>
      </c>
      <c r="W28" s="220">
        <v>1</v>
      </c>
      <c r="X28" s="216" t="s">
        <v>46</v>
      </c>
      <c r="Y28" s="225" t="s">
        <v>84</v>
      </c>
      <c r="Z28" s="224" t="s">
        <v>90</v>
      </c>
      <c r="AA28" s="225" t="s">
        <v>50</v>
      </c>
      <c r="AB28" s="55" t="s">
        <v>183</v>
      </c>
      <c r="AR28" s="23"/>
    </row>
    <row r="29" spans="1:48" x14ac:dyDescent="0.15">
      <c r="A29" s="208" t="s">
        <v>34</v>
      </c>
      <c r="B29" s="208" t="s">
        <v>181</v>
      </c>
      <c r="C29" s="208">
        <v>2018</v>
      </c>
      <c r="D29" s="236" t="s">
        <v>495</v>
      </c>
      <c r="E29" s="209" t="s">
        <v>496</v>
      </c>
      <c r="F29" s="208" t="s">
        <v>516</v>
      </c>
      <c r="G29" s="210" t="s">
        <v>42</v>
      </c>
      <c r="H29" s="165" t="s">
        <v>155</v>
      </c>
      <c r="I29" s="165" t="s">
        <v>153</v>
      </c>
      <c r="J29" s="165" t="s">
        <v>38</v>
      </c>
      <c r="K29" s="165" t="s">
        <v>154</v>
      </c>
      <c r="L29" s="87">
        <v>1</v>
      </c>
      <c r="N29" s="87">
        <v>1</v>
      </c>
      <c r="O29" s="87">
        <v>0.55000000000000004</v>
      </c>
      <c r="P29" s="87">
        <v>0.6</v>
      </c>
      <c r="Q29" s="113">
        <f t="shared" si="0"/>
        <v>0.57499999999999996</v>
      </c>
      <c r="R29" s="218">
        <v>14.4</v>
      </c>
      <c r="S29" s="218">
        <v>140</v>
      </c>
      <c r="T29" s="16">
        <f t="shared" si="1"/>
        <v>30</v>
      </c>
      <c r="U29" s="223">
        <v>127</v>
      </c>
      <c r="V29" s="214">
        <f t="shared" si="2"/>
        <v>3810</v>
      </c>
      <c r="W29" s="220">
        <v>4</v>
      </c>
      <c r="X29" s="216" t="s">
        <v>46</v>
      </c>
      <c r="Y29" s="225" t="s">
        <v>69</v>
      </c>
      <c r="Z29" s="224" t="s">
        <v>50</v>
      </c>
      <c r="AA29" s="225" t="s">
        <v>84</v>
      </c>
      <c r="AB29" s="55" t="s">
        <v>183</v>
      </c>
      <c r="AR29" s="28"/>
    </row>
    <row r="30" spans="1:48" x14ac:dyDescent="0.15">
      <c r="A30" s="208" t="s">
        <v>34</v>
      </c>
      <c r="B30" s="208" t="s">
        <v>181</v>
      </c>
      <c r="C30" s="209">
        <v>2018</v>
      </c>
      <c r="D30" s="236" t="s">
        <v>495</v>
      </c>
      <c r="E30" s="209" t="s">
        <v>496</v>
      </c>
      <c r="F30" s="208" t="s">
        <v>516</v>
      </c>
      <c r="G30" s="210" t="s">
        <v>42</v>
      </c>
      <c r="H30" s="165" t="s">
        <v>155</v>
      </c>
      <c r="I30" s="165" t="s">
        <v>153</v>
      </c>
      <c r="J30" s="165" t="s">
        <v>38</v>
      </c>
      <c r="K30" s="165" t="s">
        <v>154</v>
      </c>
      <c r="L30" s="87">
        <v>2</v>
      </c>
      <c r="N30" s="87">
        <v>1</v>
      </c>
      <c r="O30" s="87">
        <v>0.6</v>
      </c>
      <c r="P30" s="87">
        <v>0.6</v>
      </c>
      <c r="Q30" s="113">
        <f t="shared" si="0"/>
        <v>0.6</v>
      </c>
      <c r="R30" s="218">
        <v>14.8</v>
      </c>
      <c r="S30" s="218">
        <v>135</v>
      </c>
      <c r="T30" s="16">
        <f t="shared" si="1"/>
        <v>30</v>
      </c>
      <c r="U30" s="223">
        <v>127</v>
      </c>
      <c r="V30" s="214">
        <f t="shared" si="2"/>
        <v>3810</v>
      </c>
      <c r="W30" s="220">
        <v>4</v>
      </c>
      <c r="X30" s="216" t="s">
        <v>46</v>
      </c>
      <c r="Y30" s="225" t="s">
        <v>69</v>
      </c>
      <c r="Z30" s="224" t="s">
        <v>50</v>
      </c>
      <c r="AA30" s="225" t="s">
        <v>84</v>
      </c>
      <c r="AB30" s="55" t="s">
        <v>183</v>
      </c>
    </row>
    <row r="31" spans="1:48" x14ac:dyDescent="0.15">
      <c r="A31" s="208" t="s">
        <v>34</v>
      </c>
      <c r="B31" s="208" t="s">
        <v>181</v>
      </c>
      <c r="C31" s="208">
        <v>2018</v>
      </c>
      <c r="D31" s="236" t="s">
        <v>495</v>
      </c>
      <c r="E31" s="209" t="s">
        <v>496</v>
      </c>
      <c r="F31" s="208" t="s">
        <v>516</v>
      </c>
      <c r="G31" s="210" t="s">
        <v>42</v>
      </c>
      <c r="H31" s="165" t="s">
        <v>155</v>
      </c>
      <c r="I31" s="165" t="s">
        <v>153</v>
      </c>
      <c r="J31" s="165" t="s">
        <v>38</v>
      </c>
      <c r="K31" s="165" t="s">
        <v>154</v>
      </c>
      <c r="L31" s="87">
        <v>3</v>
      </c>
      <c r="N31" s="87">
        <v>1</v>
      </c>
      <c r="O31" s="87">
        <v>0.5</v>
      </c>
      <c r="P31" s="87">
        <v>0.6</v>
      </c>
      <c r="Q31" s="113">
        <f t="shared" si="0"/>
        <v>0.55000000000000004</v>
      </c>
      <c r="R31" s="218">
        <v>14.4</v>
      </c>
      <c r="S31" s="218">
        <v>144</v>
      </c>
      <c r="T31" s="16">
        <f t="shared" si="1"/>
        <v>30</v>
      </c>
      <c r="U31" s="223">
        <v>127</v>
      </c>
      <c r="V31" s="214">
        <f t="shared" si="2"/>
        <v>3810</v>
      </c>
      <c r="W31" s="220">
        <v>4</v>
      </c>
      <c r="X31" s="216" t="s">
        <v>46</v>
      </c>
      <c r="Y31" s="225" t="s">
        <v>69</v>
      </c>
      <c r="Z31" s="224" t="s">
        <v>50</v>
      </c>
      <c r="AA31" s="225" t="s">
        <v>84</v>
      </c>
      <c r="AB31" s="55" t="s">
        <v>183</v>
      </c>
    </row>
    <row r="32" spans="1:48" ht="14.25" customHeight="1" x14ac:dyDescent="0.15">
      <c r="A32" s="208" t="s">
        <v>34</v>
      </c>
      <c r="B32" s="208" t="s">
        <v>181</v>
      </c>
      <c r="C32" s="209">
        <v>2018</v>
      </c>
      <c r="D32" s="236" t="s">
        <v>495</v>
      </c>
      <c r="E32" s="209" t="s">
        <v>139</v>
      </c>
      <c r="F32" s="208" t="s">
        <v>516</v>
      </c>
      <c r="G32" s="210" t="s">
        <v>36</v>
      </c>
      <c r="H32" s="165" t="s">
        <v>155</v>
      </c>
      <c r="I32" s="165" t="s">
        <v>153</v>
      </c>
      <c r="J32" s="165" t="s">
        <v>38</v>
      </c>
      <c r="K32" s="165" t="s">
        <v>154</v>
      </c>
      <c r="L32" s="87">
        <v>1</v>
      </c>
      <c r="N32" s="87">
        <v>1</v>
      </c>
      <c r="O32" s="87">
        <v>0.6</v>
      </c>
      <c r="P32" s="87">
        <v>0.55000000000000004</v>
      </c>
      <c r="Q32" s="113">
        <f t="shared" si="0"/>
        <v>0.57499999999999996</v>
      </c>
      <c r="R32" s="218">
        <v>12.5</v>
      </c>
      <c r="S32" s="218">
        <v>116</v>
      </c>
      <c r="T32" s="16">
        <f t="shared" si="1"/>
        <v>30</v>
      </c>
      <c r="U32" s="223">
        <v>128</v>
      </c>
      <c r="V32" s="214">
        <f t="shared" si="2"/>
        <v>3840</v>
      </c>
      <c r="W32" s="220">
        <v>6</v>
      </c>
      <c r="X32" s="216" t="s">
        <v>46</v>
      </c>
      <c r="Y32" s="225" t="s">
        <v>84</v>
      </c>
      <c r="Z32" s="224" t="s">
        <v>50</v>
      </c>
      <c r="AA32" s="224" t="s">
        <v>90</v>
      </c>
      <c r="AB32" s="55" t="s">
        <v>183</v>
      </c>
    </row>
    <row r="33" spans="1:28" x14ac:dyDescent="0.15">
      <c r="A33" s="208" t="s">
        <v>34</v>
      </c>
      <c r="B33" s="208" t="s">
        <v>181</v>
      </c>
      <c r="C33" s="208">
        <v>2018</v>
      </c>
      <c r="D33" s="236" t="s">
        <v>495</v>
      </c>
      <c r="E33" s="209" t="s">
        <v>139</v>
      </c>
      <c r="F33" s="208" t="s">
        <v>516</v>
      </c>
      <c r="G33" s="210" t="s">
        <v>36</v>
      </c>
      <c r="H33" s="165" t="s">
        <v>155</v>
      </c>
      <c r="I33" s="165" t="s">
        <v>153</v>
      </c>
      <c r="J33" s="165" t="s">
        <v>38</v>
      </c>
      <c r="K33" s="165" t="s">
        <v>154</v>
      </c>
      <c r="L33" s="87">
        <v>2</v>
      </c>
      <c r="N33" s="87">
        <v>1</v>
      </c>
      <c r="O33" s="87">
        <v>0.65</v>
      </c>
      <c r="P33" s="87">
        <v>0.5</v>
      </c>
      <c r="Q33" s="113">
        <f t="shared" si="0"/>
        <v>0.57499999999999996</v>
      </c>
      <c r="R33" s="218">
        <v>13.3</v>
      </c>
      <c r="S33" s="218">
        <v>113</v>
      </c>
      <c r="T33" s="16">
        <f t="shared" si="1"/>
        <v>30</v>
      </c>
      <c r="U33" s="223">
        <v>128</v>
      </c>
      <c r="V33" s="214">
        <f t="shared" si="2"/>
        <v>3840</v>
      </c>
      <c r="W33" s="220">
        <v>6</v>
      </c>
      <c r="X33" s="216" t="s">
        <v>46</v>
      </c>
      <c r="Y33" s="225" t="s">
        <v>84</v>
      </c>
      <c r="Z33" s="224" t="s">
        <v>50</v>
      </c>
      <c r="AA33" s="224" t="s">
        <v>90</v>
      </c>
      <c r="AB33" s="55" t="s">
        <v>183</v>
      </c>
    </row>
    <row r="34" spans="1:28" x14ac:dyDescent="0.15">
      <c r="A34" s="208" t="s">
        <v>34</v>
      </c>
      <c r="B34" s="208" t="s">
        <v>181</v>
      </c>
      <c r="C34" s="209">
        <v>2018</v>
      </c>
      <c r="D34" s="236" t="s">
        <v>495</v>
      </c>
      <c r="E34" s="209" t="s">
        <v>139</v>
      </c>
      <c r="F34" s="208" t="s">
        <v>516</v>
      </c>
      <c r="G34" s="210" t="s">
        <v>36</v>
      </c>
      <c r="H34" s="165" t="s">
        <v>155</v>
      </c>
      <c r="I34" s="165" t="s">
        <v>153</v>
      </c>
      <c r="J34" s="165" t="s">
        <v>38</v>
      </c>
      <c r="K34" s="165" t="s">
        <v>154</v>
      </c>
      <c r="L34" s="87">
        <v>3</v>
      </c>
      <c r="N34" s="87">
        <v>1</v>
      </c>
      <c r="O34" s="87">
        <v>0.55000000000000004</v>
      </c>
      <c r="P34" s="34">
        <v>0.55000000000000004</v>
      </c>
      <c r="Q34" s="113">
        <f t="shared" si="0"/>
        <v>0.55000000000000004</v>
      </c>
      <c r="R34" s="218">
        <v>13.6</v>
      </c>
      <c r="S34" s="218">
        <v>115</v>
      </c>
      <c r="T34" s="16">
        <f t="shared" si="1"/>
        <v>30</v>
      </c>
      <c r="U34" s="223">
        <v>128</v>
      </c>
      <c r="V34" s="214">
        <f t="shared" si="2"/>
        <v>3840</v>
      </c>
      <c r="W34" s="220">
        <v>6</v>
      </c>
      <c r="X34" s="216" t="s">
        <v>46</v>
      </c>
      <c r="Y34" s="225" t="s">
        <v>84</v>
      </c>
      <c r="Z34" s="224" t="s">
        <v>50</v>
      </c>
      <c r="AA34" s="224" t="s">
        <v>90</v>
      </c>
      <c r="AB34" s="55" t="s">
        <v>183</v>
      </c>
    </row>
    <row r="35" spans="1:28" x14ac:dyDescent="0.15">
      <c r="A35" s="208" t="s">
        <v>34</v>
      </c>
      <c r="B35" s="208" t="s">
        <v>181</v>
      </c>
      <c r="C35" s="208">
        <v>2018</v>
      </c>
      <c r="D35" s="236" t="s">
        <v>495</v>
      </c>
      <c r="E35" s="209" t="s">
        <v>133</v>
      </c>
      <c r="F35" s="208" t="s">
        <v>499</v>
      </c>
      <c r="G35" s="210" t="s">
        <v>36</v>
      </c>
      <c r="H35" s="165" t="s">
        <v>155</v>
      </c>
      <c r="I35" s="165" t="s">
        <v>153</v>
      </c>
      <c r="J35" s="165" t="s">
        <v>38</v>
      </c>
      <c r="K35" s="165" t="s">
        <v>154</v>
      </c>
      <c r="L35" s="87">
        <v>1</v>
      </c>
      <c r="N35" s="87">
        <v>1</v>
      </c>
      <c r="O35" s="87">
        <v>0.95</v>
      </c>
      <c r="P35" s="87">
        <v>0.85</v>
      </c>
      <c r="Q35" s="113">
        <f t="shared" si="0"/>
        <v>0.89999999999999991</v>
      </c>
      <c r="R35" s="218">
        <v>14.2</v>
      </c>
      <c r="S35" s="218">
        <v>125</v>
      </c>
      <c r="T35" s="16">
        <f t="shared" si="1"/>
        <v>30</v>
      </c>
      <c r="U35" s="223">
        <v>105</v>
      </c>
      <c r="V35" s="214">
        <f t="shared" si="2"/>
        <v>3150</v>
      </c>
      <c r="W35" s="220">
        <v>10</v>
      </c>
      <c r="X35" s="216" t="s">
        <v>46</v>
      </c>
      <c r="Y35" s="224" t="s">
        <v>90</v>
      </c>
      <c r="Z35" s="224" t="s">
        <v>84</v>
      </c>
      <c r="AA35" s="224" t="s">
        <v>78</v>
      </c>
      <c r="AB35" s="55" t="s">
        <v>183</v>
      </c>
    </row>
    <row r="36" spans="1:28" x14ac:dyDescent="0.15">
      <c r="A36" s="208" t="s">
        <v>34</v>
      </c>
      <c r="B36" s="208" t="s">
        <v>181</v>
      </c>
      <c r="C36" s="209">
        <v>2018</v>
      </c>
      <c r="D36" s="236" t="s">
        <v>495</v>
      </c>
      <c r="E36" s="209" t="s">
        <v>133</v>
      </c>
      <c r="F36" s="208" t="s">
        <v>499</v>
      </c>
      <c r="G36" s="210" t="s">
        <v>36</v>
      </c>
      <c r="H36" s="165" t="s">
        <v>155</v>
      </c>
      <c r="I36" s="165" t="s">
        <v>153</v>
      </c>
      <c r="J36" s="165" t="s">
        <v>38</v>
      </c>
      <c r="K36" s="165" t="s">
        <v>154</v>
      </c>
      <c r="L36" s="87">
        <v>2</v>
      </c>
      <c r="N36" s="87">
        <v>1</v>
      </c>
      <c r="O36" s="87">
        <v>1.1000000000000001</v>
      </c>
      <c r="P36" s="87">
        <v>0.9</v>
      </c>
      <c r="Q36" s="113">
        <f t="shared" si="0"/>
        <v>1</v>
      </c>
      <c r="R36" s="218">
        <v>14.8</v>
      </c>
      <c r="S36" s="218">
        <v>149</v>
      </c>
      <c r="T36" s="16">
        <f t="shared" si="1"/>
        <v>30</v>
      </c>
      <c r="U36" s="223">
        <v>105</v>
      </c>
      <c r="V36" s="214">
        <f t="shared" si="2"/>
        <v>3150</v>
      </c>
      <c r="W36" s="220">
        <v>10</v>
      </c>
      <c r="X36" s="216" t="s">
        <v>46</v>
      </c>
      <c r="Y36" s="224" t="s">
        <v>90</v>
      </c>
      <c r="Z36" s="224" t="s">
        <v>84</v>
      </c>
      <c r="AA36" s="224" t="s">
        <v>78</v>
      </c>
      <c r="AB36" s="55" t="s">
        <v>183</v>
      </c>
    </row>
    <row r="37" spans="1:28" x14ac:dyDescent="0.15">
      <c r="A37" s="208" t="s">
        <v>34</v>
      </c>
      <c r="B37" s="208" t="s">
        <v>181</v>
      </c>
      <c r="C37" s="208">
        <v>2018</v>
      </c>
      <c r="D37" s="236" t="s">
        <v>495</v>
      </c>
      <c r="E37" s="209" t="s">
        <v>133</v>
      </c>
      <c r="F37" s="208" t="s">
        <v>499</v>
      </c>
      <c r="G37" s="210" t="s">
        <v>36</v>
      </c>
      <c r="H37" s="165" t="s">
        <v>155</v>
      </c>
      <c r="I37" s="165" t="s">
        <v>153</v>
      </c>
      <c r="J37" s="165" t="s">
        <v>38</v>
      </c>
      <c r="K37" s="165" t="s">
        <v>154</v>
      </c>
      <c r="L37" s="87">
        <v>3</v>
      </c>
      <c r="N37" s="87">
        <v>1</v>
      </c>
      <c r="O37" s="87">
        <v>0.8</v>
      </c>
      <c r="P37" s="87">
        <v>0.95</v>
      </c>
      <c r="Q37" s="113">
        <f t="shared" si="0"/>
        <v>0.875</v>
      </c>
      <c r="R37" s="218">
        <v>14.4</v>
      </c>
      <c r="S37" s="218">
        <v>133</v>
      </c>
      <c r="T37" s="16">
        <f t="shared" si="1"/>
        <v>30</v>
      </c>
      <c r="U37" s="223">
        <v>105</v>
      </c>
      <c r="V37" s="214">
        <f t="shared" si="2"/>
        <v>3150</v>
      </c>
      <c r="W37" s="220">
        <v>10</v>
      </c>
      <c r="X37" s="216" t="s">
        <v>46</v>
      </c>
      <c r="Y37" s="224" t="s">
        <v>90</v>
      </c>
      <c r="Z37" s="224" t="s">
        <v>84</v>
      </c>
      <c r="AA37" s="224" t="s">
        <v>78</v>
      </c>
      <c r="AB37" s="55" t="s">
        <v>183</v>
      </c>
    </row>
    <row r="38" spans="1:28" x14ac:dyDescent="0.15">
      <c r="A38" s="208" t="s">
        <v>34</v>
      </c>
      <c r="B38" s="208" t="s">
        <v>181</v>
      </c>
      <c r="C38" s="209">
        <v>2018</v>
      </c>
      <c r="D38" s="236" t="s">
        <v>495</v>
      </c>
      <c r="E38" s="209" t="s">
        <v>284</v>
      </c>
      <c r="F38" s="208" t="s">
        <v>503</v>
      </c>
      <c r="G38" s="210" t="s">
        <v>36</v>
      </c>
      <c r="H38" s="165" t="s">
        <v>155</v>
      </c>
      <c r="I38" s="165" t="s">
        <v>153</v>
      </c>
      <c r="J38" s="165" t="s">
        <v>38</v>
      </c>
      <c r="K38" s="165" t="s">
        <v>154</v>
      </c>
      <c r="L38" s="87">
        <v>1</v>
      </c>
      <c r="N38" s="87">
        <v>5</v>
      </c>
      <c r="O38" s="87">
        <v>0.4</v>
      </c>
      <c r="P38" s="87">
        <v>0.35</v>
      </c>
      <c r="Q38" s="113">
        <f t="shared" si="0"/>
        <v>0.375</v>
      </c>
      <c r="R38" s="218">
        <v>14.2</v>
      </c>
      <c r="S38" s="218">
        <v>77</v>
      </c>
      <c r="T38" s="16">
        <f t="shared" si="1"/>
        <v>39</v>
      </c>
      <c r="U38" s="223">
        <v>398</v>
      </c>
      <c r="V38" s="214">
        <f t="shared" si="2"/>
        <v>3104.3999999999996</v>
      </c>
      <c r="W38" s="220">
        <v>1</v>
      </c>
      <c r="X38" s="216" t="s">
        <v>46</v>
      </c>
      <c r="Y38" s="224" t="s">
        <v>69</v>
      </c>
      <c r="Z38" s="224" t="s">
        <v>40</v>
      </c>
      <c r="AA38" s="224" t="s">
        <v>84</v>
      </c>
      <c r="AB38" s="55" t="s">
        <v>183</v>
      </c>
    </row>
    <row r="39" spans="1:28" x14ac:dyDescent="0.15">
      <c r="A39" s="208" t="s">
        <v>34</v>
      </c>
      <c r="B39" s="208" t="s">
        <v>181</v>
      </c>
      <c r="C39" s="208">
        <v>2018</v>
      </c>
      <c r="D39" s="236" t="s">
        <v>495</v>
      </c>
      <c r="E39" s="209" t="s">
        <v>284</v>
      </c>
      <c r="F39" s="208" t="s">
        <v>503</v>
      </c>
      <c r="G39" s="210" t="s">
        <v>36</v>
      </c>
      <c r="H39" s="165" t="s">
        <v>155</v>
      </c>
      <c r="I39" s="165" t="s">
        <v>153</v>
      </c>
      <c r="J39" s="165" t="s">
        <v>38</v>
      </c>
      <c r="K39" s="165" t="s">
        <v>154</v>
      </c>
      <c r="L39" s="87">
        <v>2</v>
      </c>
      <c r="N39" s="87">
        <v>5</v>
      </c>
      <c r="O39" s="87">
        <v>0.35</v>
      </c>
      <c r="P39" s="87">
        <v>0.3</v>
      </c>
      <c r="Q39" s="113">
        <f t="shared" si="0"/>
        <v>0.32499999999999996</v>
      </c>
      <c r="R39" s="218">
        <v>13.9</v>
      </c>
      <c r="S39" s="218">
        <v>74</v>
      </c>
      <c r="T39" s="16">
        <f t="shared" si="1"/>
        <v>42</v>
      </c>
      <c r="U39" s="223">
        <v>398</v>
      </c>
      <c r="V39" s="214">
        <f t="shared" si="2"/>
        <v>3343.2</v>
      </c>
      <c r="W39" s="220">
        <v>1</v>
      </c>
      <c r="X39" s="216" t="s">
        <v>46</v>
      </c>
      <c r="Y39" s="224" t="s">
        <v>69</v>
      </c>
      <c r="Z39" s="224" t="s">
        <v>40</v>
      </c>
      <c r="AA39" s="224" t="s">
        <v>84</v>
      </c>
      <c r="AB39" s="55" t="s">
        <v>183</v>
      </c>
    </row>
    <row r="40" spans="1:28" ht="12.75" customHeight="1" x14ac:dyDescent="0.15">
      <c r="A40" s="208" t="s">
        <v>34</v>
      </c>
      <c r="B40" s="208" t="s">
        <v>181</v>
      </c>
      <c r="C40" s="209">
        <v>2018</v>
      </c>
      <c r="D40" s="236" t="s">
        <v>495</v>
      </c>
      <c r="E40" s="209" t="s">
        <v>284</v>
      </c>
      <c r="F40" s="208" t="s">
        <v>503</v>
      </c>
      <c r="G40" s="210" t="s">
        <v>36</v>
      </c>
      <c r="H40" s="165" t="s">
        <v>155</v>
      </c>
      <c r="I40" s="165" t="s">
        <v>153</v>
      </c>
      <c r="J40" s="165" t="s">
        <v>38</v>
      </c>
      <c r="K40" s="165" t="s">
        <v>154</v>
      </c>
      <c r="L40" s="87">
        <v>3</v>
      </c>
      <c r="N40" s="87">
        <v>5</v>
      </c>
      <c r="O40" s="87">
        <v>0.4</v>
      </c>
      <c r="P40" s="87">
        <v>0.3</v>
      </c>
      <c r="Q40" s="113">
        <f t="shared" si="0"/>
        <v>0.35</v>
      </c>
      <c r="R40" s="218">
        <v>13.6</v>
      </c>
      <c r="S40" s="218">
        <v>73</v>
      </c>
      <c r="T40" s="16">
        <f t="shared" si="1"/>
        <v>42</v>
      </c>
      <c r="U40" s="223">
        <v>398</v>
      </c>
      <c r="V40" s="214">
        <f t="shared" si="2"/>
        <v>3343.2</v>
      </c>
      <c r="W40" s="220">
        <v>1</v>
      </c>
      <c r="X40" s="216" t="s">
        <v>46</v>
      </c>
      <c r="Y40" s="224" t="s">
        <v>69</v>
      </c>
      <c r="Z40" s="224" t="s">
        <v>40</v>
      </c>
      <c r="AA40" s="224" t="s">
        <v>84</v>
      </c>
      <c r="AB40" s="55" t="s">
        <v>183</v>
      </c>
    </row>
    <row r="41" spans="1:28" ht="12.75" customHeight="1" x14ac:dyDescent="0.15">
      <c r="A41" s="165"/>
      <c r="B41" s="208"/>
      <c r="C41" s="209"/>
      <c r="D41" s="236"/>
      <c r="E41" s="209"/>
      <c r="F41" s="208"/>
      <c r="G41" s="210"/>
      <c r="H41" s="165"/>
      <c r="I41" s="165"/>
      <c r="J41" s="165"/>
      <c r="K41" s="165"/>
      <c r="Q41" s="113"/>
      <c r="R41" s="218"/>
      <c r="S41" s="218"/>
      <c r="U41" s="223"/>
      <c r="V41" s="214"/>
      <c r="W41" s="167"/>
      <c r="X41" s="216"/>
      <c r="Y41" s="228"/>
      <c r="Z41" s="228"/>
      <c r="AA41" s="228"/>
      <c r="AB41" s="55"/>
    </row>
    <row r="42" spans="1:28" ht="12.75" customHeight="1" x14ac:dyDescent="0.15">
      <c r="A42" s="165"/>
      <c r="B42" s="208"/>
      <c r="C42" s="209"/>
      <c r="D42" s="236"/>
      <c r="E42" s="209"/>
      <c r="F42" s="208"/>
      <c r="G42" s="210"/>
      <c r="H42" s="165"/>
      <c r="I42" s="165"/>
      <c r="J42" s="165"/>
      <c r="K42" s="165"/>
      <c r="Q42" s="113"/>
      <c r="R42" s="218"/>
      <c r="S42" s="218"/>
      <c r="U42" s="223"/>
      <c r="V42" s="214"/>
      <c r="W42" s="167"/>
      <c r="X42" s="216"/>
      <c r="Y42" s="228"/>
      <c r="Z42" s="228"/>
      <c r="AA42" s="228"/>
      <c r="AB42" s="55"/>
    </row>
    <row r="43" spans="1:28" ht="12.75" customHeight="1" x14ac:dyDescent="0.15">
      <c r="A43" s="165"/>
      <c r="B43" s="208"/>
      <c r="C43" s="209"/>
      <c r="D43" s="236"/>
      <c r="E43" s="209"/>
      <c r="F43" s="208"/>
      <c r="G43" s="210"/>
      <c r="H43" s="165"/>
      <c r="I43" s="165"/>
      <c r="J43" s="165"/>
      <c r="K43" s="165"/>
      <c r="Q43" s="113"/>
      <c r="R43" s="218"/>
      <c r="S43" s="218"/>
      <c r="U43" s="223"/>
      <c r="V43" s="214"/>
      <c r="W43" s="167"/>
      <c r="X43" s="216"/>
      <c r="Y43" s="228"/>
      <c r="Z43" s="228"/>
      <c r="AA43" s="228"/>
      <c r="AB43" s="55"/>
    </row>
    <row r="44" spans="1:28" x14ac:dyDescent="0.15">
      <c r="B44" s="208"/>
      <c r="C44" s="209"/>
      <c r="D44" s="236"/>
      <c r="E44" s="209"/>
      <c r="F44" s="208"/>
      <c r="G44" s="210"/>
      <c r="H44" s="165"/>
      <c r="I44" s="165"/>
      <c r="J44" s="167"/>
      <c r="K44" s="165"/>
      <c r="Q44" s="113"/>
      <c r="R44" s="218"/>
      <c r="S44" s="218"/>
      <c r="U44" s="223"/>
      <c r="X44" s="216"/>
      <c r="Y44" s="228"/>
      <c r="Z44" s="228"/>
      <c r="AA44" s="228"/>
      <c r="AB44" s="55"/>
    </row>
    <row r="45" spans="1:28" x14ac:dyDescent="0.15">
      <c r="B45" s="208"/>
      <c r="C45" s="208"/>
      <c r="D45" s="236"/>
      <c r="E45" s="209"/>
      <c r="F45" s="208"/>
      <c r="G45" s="210"/>
      <c r="H45" s="165"/>
      <c r="I45" s="165"/>
      <c r="J45" s="167"/>
      <c r="K45" s="165"/>
      <c r="Q45" s="113"/>
      <c r="R45" s="218"/>
      <c r="S45" s="218"/>
      <c r="U45" s="223"/>
      <c r="X45" s="216"/>
      <c r="Y45" s="228"/>
      <c r="Z45" s="228"/>
      <c r="AA45" s="228"/>
      <c r="AB45" s="55"/>
    </row>
    <row r="46" spans="1:28" x14ac:dyDescent="0.15">
      <c r="B46" s="208"/>
      <c r="C46" s="209"/>
      <c r="D46" s="236"/>
      <c r="E46" s="209"/>
      <c r="F46" s="208"/>
      <c r="G46" s="210"/>
      <c r="H46" s="165"/>
      <c r="I46" s="165"/>
      <c r="J46" s="167"/>
      <c r="K46" s="165"/>
      <c r="Q46" s="113"/>
      <c r="R46" s="218"/>
      <c r="S46" s="218"/>
      <c r="U46" s="223"/>
      <c r="X46" s="216"/>
      <c r="Y46" s="228"/>
      <c r="Z46" s="228"/>
      <c r="AA46" s="228"/>
      <c r="AB46" s="55"/>
    </row>
    <row r="47" spans="1:28" x14ac:dyDescent="0.15">
      <c r="B47" s="34"/>
      <c r="D47" s="236"/>
      <c r="F47" s="208"/>
      <c r="G47" s="210"/>
      <c r="H47" s="165"/>
      <c r="I47" s="165"/>
      <c r="J47" s="167"/>
      <c r="K47" s="165"/>
      <c r="Q47" s="113"/>
      <c r="R47" s="218"/>
      <c r="S47" s="218"/>
      <c r="X47" s="216"/>
      <c r="AB47" s="55"/>
    </row>
    <row r="48" spans="1:28" x14ac:dyDescent="0.15">
      <c r="B48" s="34"/>
      <c r="D48" s="236"/>
      <c r="F48" s="208"/>
      <c r="G48" s="210"/>
      <c r="H48" s="165"/>
      <c r="I48" s="165"/>
      <c r="J48" s="167"/>
      <c r="K48" s="165"/>
      <c r="Q48" s="113"/>
      <c r="R48" s="218"/>
      <c r="S48" s="218"/>
      <c r="X48" s="216"/>
      <c r="AB48" s="55"/>
    </row>
    <row r="49" spans="2:28" x14ac:dyDescent="0.15">
      <c r="B49" s="34"/>
      <c r="D49" s="236"/>
      <c r="F49" s="208"/>
      <c r="G49" s="210"/>
      <c r="H49" s="165"/>
      <c r="I49" s="165"/>
      <c r="J49" s="167"/>
      <c r="K49" s="165"/>
      <c r="Q49" s="113"/>
      <c r="R49" s="218"/>
      <c r="S49" s="218"/>
      <c r="X49" s="216"/>
      <c r="AB49" s="55"/>
    </row>
    <row r="50" spans="2:28" x14ac:dyDescent="0.15">
      <c r="D50" s="236"/>
      <c r="F50" s="208"/>
      <c r="G50" s="210"/>
      <c r="H50" s="167"/>
      <c r="I50" s="167"/>
      <c r="J50" s="167"/>
      <c r="K50" s="165"/>
      <c r="Q50" s="113"/>
      <c r="X50" s="216"/>
    </row>
    <row r="51" spans="2:28" x14ac:dyDescent="0.15">
      <c r="D51" s="236"/>
      <c r="F51" s="208"/>
      <c r="G51" s="210"/>
      <c r="H51" s="167"/>
      <c r="I51" s="167"/>
      <c r="J51" s="167"/>
      <c r="K51" s="165"/>
      <c r="Q51" s="113"/>
      <c r="X51" s="216"/>
    </row>
    <row r="52" spans="2:28" x14ac:dyDescent="0.15">
      <c r="D52" s="236"/>
      <c r="F52" s="208"/>
      <c r="G52" s="210"/>
      <c r="H52" s="167"/>
      <c r="I52" s="167"/>
      <c r="J52" s="167"/>
      <c r="K52" s="165"/>
      <c r="Q52" s="113"/>
      <c r="X52" s="216"/>
    </row>
    <row r="53" spans="2:28" x14ac:dyDescent="0.15">
      <c r="D53" s="236"/>
      <c r="F53" s="208"/>
      <c r="G53" s="210"/>
      <c r="H53" s="167"/>
      <c r="I53" s="167"/>
      <c r="J53" s="167"/>
      <c r="K53" s="165"/>
      <c r="Q53" s="113"/>
      <c r="X53" s="216"/>
    </row>
    <row r="54" spans="2:28" x14ac:dyDescent="0.15">
      <c r="D54" s="236"/>
      <c r="F54" s="208"/>
      <c r="G54" s="210"/>
      <c r="H54" s="167"/>
      <c r="I54" s="167"/>
      <c r="J54" s="167"/>
      <c r="K54" s="165"/>
      <c r="Q54" s="113"/>
      <c r="X54" s="216"/>
    </row>
    <row r="55" spans="2:28" x14ac:dyDescent="0.15">
      <c r="D55" s="236"/>
      <c r="F55" s="208"/>
      <c r="G55" s="210"/>
      <c r="H55" s="167"/>
      <c r="I55" s="167"/>
      <c r="J55" s="167"/>
      <c r="K55" s="165"/>
      <c r="Q55" s="113"/>
      <c r="X55" s="216"/>
    </row>
    <row r="56" spans="2:28" x14ac:dyDescent="0.15">
      <c r="D56" s="236"/>
      <c r="F56" s="208"/>
      <c r="G56" s="210"/>
      <c r="H56" s="167"/>
      <c r="I56" s="167"/>
      <c r="J56" s="167"/>
      <c r="K56" s="165"/>
      <c r="Q56" s="113"/>
      <c r="X56" s="216"/>
    </row>
    <row r="57" spans="2:28" x14ac:dyDescent="0.15">
      <c r="D57" s="236"/>
      <c r="F57" s="208"/>
      <c r="G57" s="210"/>
      <c r="H57" s="167"/>
      <c r="I57" s="167"/>
      <c r="J57" s="167"/>
      <c r="K57" s="165"/>
      <c r="Q57" s="113"/>
      <c r="X57" s="216"/>
    </row>
    <row r="58" spans="2:28" x14ac:dyDescent="0.15">
      <c r="D58" s="236"/>
      <c r="F58" s="208"/>
      <c r="G58" s="210"/>
      <c r="H58" s="167"/>
      <c r="I58" s="167"/>
      <c r="J58" s="167"/>
      <c r="K58" s="165"/>
      <c r="Q58" s="113"/>
      <c r="X58" s="216"/>
    </row>
    <row r="59" spans="2:28" x14ac:dyDescent="0.15">
      <c r="D59" s="236"/>
      <c r="F59" s="208"/>
      <c r="G59" s="210"/>
      <c r="H59" s="167"/>
      <c r="I59" s="167"/>
      <c r="J59" s="167"/>
      <c r="K59" s="165"/>
      <c r="Q59" s="113"/>
      <c r="X59" s="216"/>
    </row>
    <row r="60" spans="2:28" x14ac:dyDescent="0.15">
      <c r="D60" s="236"/>
      <c r="F60" s="208"/>
      <c r="G60" s="210"/>
      <c r="H60" s="167"/>
      <c r="I60" s="167"/>
      <c r="J60" s="167"/>
      <c r="K60" s="165"/>
      <c r="Q60" s="113"/>
      <c r="X60" s="216"/>
    </row>
    <row r="61" spans="2:28" x14ac:dyDescent="0.15">
      <c r="D61" s="236"/>
      <c r="F61" s="208"/>
      <c r="G61" s="210"/>
      <c r="H61" s="167"/>
      <c r="I61" s="167"/>
      <c r="J61" s="167"/>
      <c r="K61" s="165"/>
      <c r="Q61" s="113"/>
      <c r="X61" s="216"/>
    </row>
    <row r="62" spans="2:28" x14ac:dyDescent="0.15">
      <c r="D62" s="237"/>
      <c r="F62" s="208"/>
      <c r="G62" s="210"/>
      <c r="H62" s="167"/>
      <c r="I62" s="167"/>
      <c r="J62" s="167"/>
      <c r="K62" s="165"/>
      <c r="Q62" s="113" t="str">
        <f t="shared" si="0"/>
        <v/>
      </c>
      <c r="T62" s="16" t="str">
        <f t="shared" si="1"/>
        <v/>
      </c>
      <c r="V62" s="16" t="str">
        <f t="shared" si="2"/>
        <v/>
      </c>
      <c r="X62" s="216"/>
    </row>
    <row r="63" spans="2:28" x14ac:dyDescent="0.15">
      <c r="D63" s="237"/>
      <c r="F63" s="208"/>
      <c r="G63" s="210"/>
      <c r="H63" s="167"/>
      <c r="I63" s="167"/>
      <c r="J63" s="167"/>
      <c r="K63" s="165"/>
      <c r="Q63" s="113" t="str">
        <f t="shared" si="0"/>
        <v/>
      </c>
      <c r="T63" s="16" t="str">
        <f t="shared" si="1"/>
        <v/>
      </c>
      <c r="V63" s="16" t="str">
        <f t="shared" si="2"/>
        <v/>
      </c>
      <c r="X63" s="216"/>
    </row>
    <row r="64" spans="2:28" x14ac:dyDescent="0.15">
      <c r="D64" s="237"/>
      <c r="F64" s="208"/>
      <c r="G64" s="210"/>
      <c r="H64" s="167"/>
      <c r="I64" s="167"/>
      <c r="J64" s="167"/>
      <c r="K64" s="165"/>
      <c r="Q64" s="113" t="str">
        <f t="shared" si="0"/>
        <v/>
      </c>
      <c r="T64" s="16" t="str">
        <f t="shared" si="1"/>
        <v/>
      </c>
      <c r="V64" s="16" t="str">
        <f t="shared" si="2"/>
        <v/>
      </c>
      <c r="X64" s="216"/>
    </row>
    <row r="65" spans="4:24" x14ac:dyDescent="0.15">
      <c r="D65" s="237"/>
      <c r="F65" s="208"/>
      <c r="G65" s="210"/>
      <c r="H65" s="167"/>
      <c r="I65" s="167"/>
      <c r="J65" s="167"/>
      <c r="K65" s="165"/>
      <c r="Q65" s="113" t="str">
        <f t="shared" si="0"/>
        <v/>
      </c>
      <c r="T65" s="16" t="str">
        <f t="shared" si="1"/>
        <v/>
      </c>
      <c r="V65" s="16" t="str">
        <f t="shared" si="2"/>
        <v/>
      </c>
      <c r="X65" s="216"/>
    </row>
    <row r="66" spans="4:24" x14ac:dyDescent="0.15">
      <c r="D66" s="237"/>
      <c r="F66" s="208"/>
      <c r="G66" s="210"/>
      <c r="H66" s="167"/>
      <c r="I66" s="167"/>
      <c r="J66" s="167"/>
      <c r="K66" s="165"/>
      <c r="Q66" s="113" t="str">
        <f t="shared" ref="Q66:Q91" si="3">IF(OR(O66="",P66=""),"",AVERAGE(O66,P66))</f>
        <v/>
      </c>
      <c r="T66" s="16" t="str">
        <f t="shared" ref="T66:T91" si="4">IF(H66="","",IF(OR(H66="GREEN",H66="GK"),IF(S66&gt;=$AX$2,VLOOKUP(S66,$AX$2:$AY$7,2,1),""),IF(S66&gt;=$AZ$2,VLOOKUP(S66,$AZ$2:$BA$7,2,1),"")))</f>
        <v/>
      </c>
      <c r="V66" s="16" t="str">
        <f t="shared" ref="V66:V91" si="5">IF(OR(N66="",U66="",T66=""),"",U66/N66*T66)</f>
        <v/>
      </c>
      <c r="X66" s="216"/>
    </row>
    <row r="67" spans="4:24" x14ac:dyDescent="0.15">
      <c r="D67" s="237"/>
      <c r="F67" s="208"/>
      <c r="G67" s="210"/>
      <c r="H67" s="167"/>
      <c r="I67" s="167"/>
      <c r="J67" s="167"/>
      <c r="K67" s="165"/>
      <c r="Q67" s="113" t="str">
        <f t="shared" si="3"/>
        <v/>
      </c>
      <c r="T67" s="16" t="str">
        <f t="shared" si="4"/>
        <v/>
      </c>
      <c r="V67" s="16" t="str">
        <f t="shared" si="5"/>
        <v/>
      </c>
      <c r="X67" s="216"/>
    </row>
    <row r="68" spans="4:24" x14ac:dyDescent="0.15">
      <c r="D68" s="237"/>
      <c r="F68" s="208"/>
      <c r="G68" s="210"/>
      <c r="H68" s="167"/>
      <c r="I68" s="167"/>
      <c r="J68" s="167"/>
      <c r="K68" s="165"/>
      <c r="Q68" s="113" t="str">
        <f t="shared" si="3"/>
        <v/>
      </c>
      <c r="T68" s="16" t="str">
        <f t="shared" si="4"/>
        <v/>
      </c>
      <c r="V68" s="16" t="str">
        <f t="shared" si="5"/>
        <v/>
      </c>
      <c r="X68" s="216"/>
    </row>
    <row r="69" spans="4:24" x14ac:dyDescent="0.15">
      <c r="D69" s="237"/>
      <c r="F69" s="208"/>
      <c r="G69" s="210"/>
      <c r="H69" s="167"/>
      <c r="I69" s="167"/>
      <c r="J69" s="167"/>
      <c r="K69" s="165"/>
      <c r="Q69" s="113" t="str">
        <f t="shared" si="3"/>
        <v/>
      </c>
      <c r="T69" s="16" t="str">
        <f t="shared" si="4"/>
        <v/>
      </c>
      <c r="V69" s="16" t="str">
        <f t="shared" si="5"/>
        <v/>
      </c>
      <c r="X69" s="216"/>
    </row>
    <row r="70" spans="4:24" x14ac:dyDescent="0.15">
      <c r="D70" s="237"/>
      <c r="F70" s="208"/>
      <c r="G70" s="210"/>
      <c r="H70" s="167"/>
      <c r="I70" s="167"/>
      <c r="J70" s="167"/>
      <c r="K70" s="165"/>
      <c r="Q70" s="113" t="str">
        <f t="shared" si="3"/>
        <v/>
      </c>
      <c r="T70" s="16" t="str">
        <f t="shared" si="4"/>
        <v/>
      </c>
      <c r="V70" s="16" t="str">
        <f t="shared" si="5"/>
        <v/>
      </c>
      <c r="X70" s="216"/>
    </row>
    <row r="71" spans="4:24" x14ac:dyDescent="0.15">
      <c r="D71" s="237"/>
      <c r="F71" s="208"/>
      <c r="G71" s="210"/>
      <c r="H71" s="167"/>
      <c r="I71" s="167"/>
      <c r="J71" s="167"/>
      <c r="K71" s="165"/>
      <c r="Q71" s="113" t="str">
        <f t="shared" si="3"/>
        <v/>
      </c>
      <c r="T71" s="16" t="str">
        <f t="shared" si="4"/>
        <v/>
      </c>
      <c r="V71" s="16" t="str">
        <f t="shared" si="5"/>
        <v/>
      </c>
      <c r="X71" s="216"/>
    </row>
    <row r="72" spans="4:24" x14ac:dyDescent="0.15">
      <c r="D72" s="237"/>
      <c r="F72" s="208"/>
      <c r="G72" s="210"/>
      <c r="H72" s="167"/>
      <c r="I72" s="167"/>
      <c r="J72" s="167"/>
      <c r="K72" s="165"/>
      <c r="Q72" s="113" t="str">
        <f t="shared" si="3"/>
        <v/>
      </c>
      <c r="T72" s="16" t="str">
        <f t="shared" si="4"/>
        <v/>
      </c>
      <c r="V72" s="16" t="str">
        <f t="shared" si="5"/>
        <v/>
      </c>
      <c r="X72" s="216"/>
    </row>
    <row r="73" spans="4:24" x14ac:dyDescent="0.15">
      <c r="D73" s="237"/>
      <c r="F73" s="208"/>
      <c r="G73" s="210"/>
      <c r="H73" s="167"/>
      <c r="I73" s="167"/>
      <c r="J73" s="167"/>
      <c r="K73" s="165"/>
      <c r="Q73" s="113" t="str">
        <f t="shared" si="3"/>
        <v/>
      </c>
      <c r="T73" s="16" t="str">
        <f t="shared" si="4"/>
        <v/>
      </c>
      <c r="V73" s="16" t="str">
        <f t="shared" si="5"/>
        <v/>
      </c>
      <c r="X73" s="216"/>
    </row>
    <row r="74" spans="4:24" x14ac:dyDescent="0.15">
      <c r="D74" s="237"/>
      <c r="F74" s="208"/>
      <c r="G74" s="210"/>
      <c r="H74" s="167"/>
      <c r="I74" s="167"/>
      <c r="J74" s="167"/>
      <c r="K74" s="165"/>
      <c r="Q74" s="113" t="str">
        <f t="shared" si="3"/>
        <v/>
      </c>
      <c r="T74" s="16" t="str">
        <f t="shared" si="4"/>
        <v/>
      </c>
      <c r="V74" s="16" t="str">
        <f t="shared" si="5"/>
        <v/>
      </c>
      <c r="X74" s="216"/>
    </row>
    <row r="75" spans="4:24" x14ac:dyDescent="0.15">
      <c r="D75" s="237"/>
      <c r="F75" s="208"/>
      <c r="G75" s="210"/>
      <c r="H75" s="167"/>
      <c r="I75" s="167"/>
      <c r="J75" s="167"/>
      <c r="K75" s="165"/>
      <c r="Q75" s="113" t="str">
        <f t="shared" si="3"/>
        <v/>
      </c>
      <c r="T75" s="16" t="str">
        <f t="shared" si="4"/>
        <v/>
      </c>
      <c r="V75" s="16" t="str">
        <f t="shared" si="5"/>
        <v/>
      </c>
      <c r="X75" s="216"/>
    </row>
    <row r="76" spans="4:24" x14ac:dyDescent="0.15">
      <c r="D76" s="237"/>
      <c r="F76" s="208"/>
      <c r="G76" s="210"/>
      <c r="H76" s="167"/>
      <c r="I76" s="167"/>
      <c r="J76" s="167"/>
      <c r="K76" s="165"/>
      <c r="Q76" s="113" t="str">
        <f t="shared" si="3"/>
        <v/>
      </c>
      <c r="T76" s="16" t="str">
        <f t="shared" si="4"/>
        <v/>
      </c>
      <c r="V76" s="16" t="str">
        <f t="shared" si="5"/>
        <v/>
      </c>
      <c r="X76" s="216"/>
    </row>
    <row r="77" spans="4:24" x14ac:dyDescent="0.15">
      <c r="D77" s="237"/>
      <c r="F77" s="208"/>
      <c r="G77" s="210"/>
      <c r="H77" s="167"/>
      <c r="I77" s="167"/>
      <c r="J77" s="167"/>
      <c r="K77" s="165"/>
      <c r="Q77" s="113" t="str">
        <f t="shared" si="3"/>
        <v/>
      </c>
      <c r="T77" s="16" t="str">
        <f t="shared" si="4"/>
        <v/>
      </c>
      <c r="V77" s="16" t="str">
        <f t="shared" si="5"/>
        <v/>
      </c>
      <c r="X77" s="216"/>
    </row>
    <row r="78" spans="4:24" x14ac:dyDescent="0.15">
      <c r="D78" s="237"/>
      <c r="F78" s="208"/>
      <c r="G78" s="210"/>
      <c r="H78" s="167"/>
      <c r="I78" s="167"/>
      <c r="J78" s="167"/>
      <c r="K78" s="165"/>
      <c r="Q78" s="113" t="str">
        <f t="shared" si="3"/>
        <v/>
      </c>
      <c r="T78" s="16" t="str">
        <f t="shared" si="4"/>
        <v/>
      </c>
      <c r="V78" s="16" t="str">
        <f t="shared" si="5"/>
        <v/>
      </c>
      <c r="X78" s="216"/>
    </row>
    <row r="79" spans="4:24" x14ac:dyDescent="0.15">
      <c r="D79" s="237"/>
      <c r="F79" s="208"/>
      <c r="G79" s="210"/>
      <c r="H79" s="167"/>
      <c r="I79" s="167"/>
      <c r="J79" s="167"/>
      <c r="K79" s="165"/>
      <c r="Q79" s="113" t="str">
        <f t="shared" si="3"/>
        <v/>
      </c>
      <c r="T79" s="16" t="str">
        <f t="shared" si="4"/>
        <v/>
      </c>
      <c r="V79" s="16" t="str">
        <f t="shared" si="5"/>
        <v/>
      </c>
      <c r="X79" s="216"/>
    </row>
    <row r="80" spans="4:24" x14ac:dyDescent="0.15">
      <c r="D80" s="167"/>
      <c r="H80" s="167"/>
      <c r="I80" s="167"/>
      <c r="J80" s="167"/>
      <c r="K80" s="165"/>
      <c r="Q80" s="113" t="str">
        <f t="shared" si="3"/>
        <v/>
      </c>
      <c r="T80" s="16" t="str">
        <f t="shared" si="4"/>
        <v/>
      </c>
      <c r="V80" s="16" t="str">
        <f t="shared" si="5"/>
        <v/>
      </c>
    </row>
    <row r="81" spans="4:22" x14ac:dyDescent="0.15">
      <c r="D81" s="167"/>
      <c r="H81" s="167"/>
      <c r="I81" s="167"/>
      <c r="J81" s="167"/>
      <c r="K81" s="165"/>
      <c r="Q81" s="113" t="str">
        <f t="shared" si="3"/>
        <v/>
      </c>
      <c r="T81" s="16" t="str">
        <f t="shared" si="4"/>
        <v/>
      </c>
      <c r="V81" s="16" t="str">
        <f t="shared" si="5"/>
        <v/>
      </c>
    </row>
    <row r="82" spans="4:22" x14ac:dyDescent="0.15">
      <c r="D82" s="167"/>
      <c r="H82" s="167"/>
      <c r="I82" s="167"/>
      <c r="J82" s="167"/>
      <c r="K82" s="165"/>
      <c r="Q82" s="113" t="str">
        <f t="shared" si="3"/>
        <v/>
      </c>
      <c r="T82" s="16" t="str">
        <f t="shared" si="4"/>
        <v/>
      </c>
      <c r="V82" s="16" t="str">
        <f t="shared" si="5"/>
        <v/>
      </c>
    </row>
    <row r="83" spans="4:22" x14ac:dyDescent="0.15">
      <c r="D83" s="167"/>
      <c r="H83" s="167"/>
      <c r="I83" s="167"/>
      <c r="J83" s="167"/>
      <c r="K83" s="165"/>
      <c r="Q83" s="113" t="str">
        <f t="shared" si="3"/>
        <v/>
      </c>
      <c r="T83" s="16" t="str">
        <f t="shared" si="4"/>
        <v/>
      </c>
      <c r="V83" s="16" t="str">
        <f t="shared" si="5"/>
        <v/>
      </c>
    </row>
    <row r="84" spans="4:22" x14ac:dyDescent="0.15">
      <c r="D84" s="167"/>
      <c r="H84" s="167"/>
      <c r="I84" s="167"/>
      <c r="J84" s="167"/>
      <c r="K84" s="165"/>
      <c r="Q84" s="113" t="str">
        <f t="shared" si="3"/>
        <v/>
      </c>
      <c r="T84" s="16" t="str">
        <f t="shared" si="4"/>
        <v/>
      </c>
      <c r="V84" s="16" t="str">
        <f t="shared" si="5"/>
        <v/>
      </c>
    </row>
    <row r="85" spans="4:22" x14ac:dyDescent="0.15">
      <c r="D85" s="167"/>
      <c r="H85" s="167"/>
      <c r="I85" s="167"/>
      <c r="J85" s="167"/>
      <c r="K85" s="165"/>
      <c r="Q85" s="113" t="str">
        <f t="shared" si="3"/>
        <v/>
      </c>
      <c r="T85" s="16" t="str">
        <f t="shared" si="4"/>
        <v/>
      </c>
      <c r="V85" s="16" t="str">
        <f t="shared" si="5"/>
        <v/>
      </c>
    </row>
    <row r="86" spans="4:22" x14ac:dyDescent="0.15">
      <c r="D86" s="167"/>
      <c r="H86" s="167"/>
      <c r="I86" s="167"/>
      <c r="J86" s="167"/>
      <c r="K86" s="165"/>
      <c r="Q86" s="113" t="str">
        <f t="shared" si="3"/>
        <v/>
      </c>
      <c r="T86" s="16" t="str">
        <f t="shared" si="4"/>
        <v/>
      </c>
      <c r="V86" s="16" t="str">
        <f t="shared" si="5"/>
        <v/>
      </c>
    </row>
    <row r="87" spans="4:22" x14ac:dyDescent="0.15">
      <c r="D87" s="167"/>
      <c r="H87" s="167"/>
      <c r="I87" s="167"/>
      <c r="J87" s="167"/>
      <c r="K87" s="165"/>
      <c r="Q87" s="113" t="str">
        <f t="shared" si="3"/>
        <v/>
      </c>
      <c r="T87" s="16" t="str">
        <f t="shared" si="4"/>
        <v/>
      </c>
      <c r="V87" s="16" t="str">
        <f t="shared" si="5"/>
        <v/>
      </c>
    </row>
    <row r="88" spans="4:22" x14ac:dyDescent="0.15">
      <c r="D88" s="167"/>
      <c r="H88" s="167"/>
      <c r="I88" s="167"/>
      <c r="J88" s="167"/>
      <c r="K88" s="165"/>
      <c r="Q88" s="113" t="str">
        <f t="shared" si="3"/>
        <v/>
      </c>
      <c r="T88" s="16" t="str">
        <f t="shared" si="4"/>
        <v/>
      </c>
      <c r="V88" s="16" t="str">
        <f t="shared" si="5"/>
        <v/>
      </c>
    </row>
    <row r="89" spans="4:22" x14ac:dyDescent="0.15">
      <c r="D89" s="167"/>
      <c r="H89" s="167"/>
      <c r="I89" s="167"/>
      <c r="J89" s="167"/>
      <c r="K89" s="165"/>
      <c r="Q89" s="113" t="str">
        <f t="shared" si="3"/>
        <v/>
      </c>
      <c r="T89" s="16" t="str">
        <f t="shared" si="4"/>
        <v/>
      </c>
      <c r="V89" s="16" t="str">
        <f t="shared" si="5"/>
        <v/>
      </c>
    </row>
    <row r="90" spans="4:22" x14ac:dyDescent="0.15">
      <c r="D90" s="167"/>
      <c r="H90" s="167"/>
      <c r="I90" s="167"/>
      <c r="J90" s="167"/>
      <c r="K90" s="165"/>
      <c r="Q90" s="113" t="str">
        <f t="shared" si="3"/>
        <v/>
      </c>
      <c r="T90" s="16" t="str">
        <f t="shared" si="4"/>
        <v/>
      </c>
      <c r="V90" s="16" t="str">
        <f t="shared" si="5"/>
        <v/>
      </c>
    </row>
    <row r="91" spans="4:22" x14ac:dyDescent="0.15">
      <c r="D91" s="167"/>
      <c r="H91" s="167"/>
      <c r="I91" s="167"/>
      <c r="J91" s="167"/>
      <c r="K91" s="165"/>
      <c r="Q91" s="113" t="str">
        <f t="shared" si="3"/>
        <v/>
      </c>
      <c r="T91" s="16" t="str">
        <f t="shared" si="4"/>
        <v/>
      </c>
      <c r="V91" s="16" t="str">
        <f t="shared" si="5"/>
        <v/>
      </c>
    </row>
    <row r="92" spans="4:22" x14ac:dyDescent="0.15">
      <c r="H92" s="167"/>
      <c r="I92" s="167"/>
      <c r="J92" s="167"/>
      <c r="K92" s="165"/>
      <c r="Q92" s="113"/>
    </row>
    <row r="93" spans="4:22" x14ac:dyDescent="0.15">
      <c r="H93" s="167"/>
      <c r="I93" s="167"/>
      <c r="J93" s="167"/>
      <c r="K93" s="165"/>
      <c r="Q93" s="113"/>
    </row>
    <row r="94" spans="4:22" x14ac:dyDescent="0.15">
      <c r="H94" s="167"/>
      <c r="I94" s="167"/>
      <c r="J94" s="167"/>
      <c r="K94" s="165"/>
      <c r="Q94" s="113"/>
    </row>
    <row r="95" spans="4:22" x14ac:dyDescent="0.15">
      <c r="H95" s="167"/>
      <c r="I95" s="167"/>
      <c r="J95" s="167"/>
      <c r="K95" s="165"/>
      <c r="Q95" s="113"/>
    </row>
    <row r="96" spans="4:22" x14ac:dyDescent="0.15">
      <c r="H96" s="167"/>
      <c r="I96" s="167"/>
      <c r="J96" s="167"/>
      <c r="K96" s="165"/>
      <c r="Q96" s="113"/>
    </row>
    <row r="97" spans="8:17" x14ac:dyDescent="0.15">
      <c r="H97" s="167"/>
      <c r="I97" s="167"/>
      <c r="J97" s="167"/>
      <c r="K97" s="165"/>
      <c r="Q97" s="113"/>
    </row>
    <row r="98" spans="8:17" x14ac:dyDescent="0.15">
      <c r="H98" s="167"/>
      <c r="I98" s="167"/>
      <c r="J98" s="167"/>
      <c r="K98" s="165"/>
      <c r="Q98" s="113"/>
    </row>
    <row r="99" spans="8:17" x14ac:dyDescent="0.15">
      <c r="H99" s="167"/>
      <c r="I99" s="167"/>
      <c r="J99" s="167"/>
      <c r="K99" s="165"/>
      <c r="Q99" s="113"/>
    </row>
    <row r="100" spans="8:17" x14ac:dyDescent="0.15">
      <c r="H100" s="167"/>
      <c r="I100" s="167"/>
      <c r="J100" s="167"/>
      <c r="K100" s="165"/>
      <c r="Q100" s="113"/>
    </row>
    <row r="101" spans="8:17" x14ac:dyDescent="0.15">
      <c r="H101" s="167"/>
      <c r="I101" s="167"/>
      <c r="J101" s="167"/>
      <c r="K101" s="165"/>
      <c r="Q101" s="113"/>
    </row>
    <row r="102" spans="8:17" x14ac:dyDescent="0.15">
      <c r="H102" s="167"/>
      <c r="I102" s="167"/>
      <c r="J102" s="167"/>
      <c r="K102" s="165"/>
      <c r="Q102" s="113"/>
    </row>
    <row r="103" spans="8:17" x14ac:dyDescent="0.15">
      <c r="H103" s="167"/>
      <c r="I103" s="167"/>
      <c r="J103" s="167"/>
      <c r="K103" s="165"/>
      <c r="Q103" s="113"/>
    </row>
    <row r="104" spans="8:17" x14ac:dyDescent="0.15">
      <c r="H104" s="167"/>
      <c r="I104" s="167"/>
      <c r="J104" s="167"/>
      <c r="K104" s="165"/>
      <c r="Q104" s="113"/>
    </row>
    <row r="105" spans="8:17" x14ac:dyDescent="0.15">
      <c r="H105" s="167"/>
      <c r="I105" s="167"/>
      <c r="J105" s="167"/>
      <c r="K105" s="165"/>
      <c r="Q105" s="113"/>
    </row>
    <row r="106" spans="8:17" x14ac:dyDescent="0.15">
      <c r="H106" s="167"/>
      <c r="I106" s="167"/>
      <c r="J106" s="167"/>
      <c r="K106" s="165"/>
      <c r="Q106" s="113"/>
    </row>
    <row r="107" spans="8:17" x14ac:dyDescent="0.15">
      <c r="H107" s="167"/>
      <c r="I107" s="167"/>
      <c r="J107" s="167"/>
      <c r="K107" s="165"/>
      <c r="Q107" s="113"/>
    </row>
    <row r="108" spans="8:17" x14ac:dyDescent="0.15">
      <c r="H108" s="167"/>
      <c r="I108" s="167"/>
      <c r="J108" s="167"/>
      <c r="K108" s="165"/>
      <c r="Q108" s="113"/>
    </row>
    <row r="109" spans="8:17" x14ac:dyDescent="0.15">
      <c r="H109" s="167"/>
      <c r="I109" s="167"/>
      <c r="J109" s="167"/>
      <c r="K109" s="165"/>
      <c r="Q109" s="113"/>
    </row>
    <row r="110" spans="8:17" x14ac:dyDescent="0.15">
      <c r="H110" s="167"/>
      <c r="I110" s="167"/>
      <c r="J110" s="167"/>
      <c r="K110" s="165"/>
      <c r="Q110" s="113"/>
    </row>
    <row r="111" spans="8:17" x14ac:dyDescent="0.15">
      <c r="H111" s="167"/>
      <c r="I111" s="167"/>
      <c r="J111" s="167"/>
      <c r="K111" s="165"/>
      <c r="Q111" s="113"/>
    </row>
    <row r="112" spans="8:17" x14ac:dyDescent="0.15">
      <c r="H112" s="167"/>
      <c r="I112" s="167"/>
      <c r="J112" s="167"/>
      <c r="K112" s="165"/>
      <c r="Q112" s="113"/>
    </row>
    <row r="113" spans="8:17" x14ac:dyDescent="0.15">
      <c r="H113" s="167"/>
      <c r="I113" s="167"/>
      <c r="J113" s="167"/>
      <c r="K113" s="165"/>
      <c r="Q113" s="113"/>
    </row>
    <row r="114" spans="8:17" x14ac:dyDescent="0.15">
      <c r="H114" s="167"/>
      <c r="I114" s="167"/>
      <c r="J114" s="167"/>
      <c r="K114" s="165"/>
      <c r="Q114" s="113"/>
    </row>
    <row r="115" spans="8:17" x14ac:dyDescent="0.15">
      <c r="H115" s="167"/>
      <c r="I115" s="167"/>
      <c r="J115" s="167"/>
      <c r="K115" s="165"/>
      <c r="Q115" s="113"/>
    </row>
    <row r="116" spans="8:17" x14ac:dyDescent="0.15">
      <c r="H116" s="167"/>
      <c r="I116" s="167"/>
      <c r="J116" s="167"/>
      <c r="K116" s="165"/>
      <c r="Q116" s="113"/>
    </row>
    <row r="117" spans="8:17" x14ac:dyDescent="0.15">
      <c r="H117" s="167"/>
      <c r="I117" s="167"/>
      <c r="J117" s="167"/>
      <c r="K117" s="165"/>
      <c r="Q117" s="113"/>
    </row>
    <row r="118" spans="8:17" x14ac:dyDescent="0.15">
      <c r="H118" s="167"/>
      <c r="I118" s="167"/>
      <c r="J118" s="167"/>
      <c r="K118" s="165"/>
      <c r="Q118" s="113"/>
    </row>
    <row r="119" spans="8:17" x14ac:dyDescent="0.15">
      <c r="H119" s="167"/>
      <c r="I119" s="167"/>
      <c r="J119" s="167"/>
      <c r="K119" s="165"/>
      <c r="Q119" s="113"/>
    </row>
    <row r="120" spans="8:17" x14ac:dyDescent="0.15">
      <c r="H120" s="167"/>
      <c r="I120" s="167"/>
      <c r="J120" s="167"/>
      <c r="K120" s="165"/>
      <c r="Q120" s="113"/>
    </row>
    <row r="121" spans="8:17" x14ac:dyDescent="0.15">
      <c r="H121" s="167"/>
      <c r="I121" s="167"/>
      <c r="J121" s="167"/>
      <c r="K121" s="165"/>
      <c r="Q121" s="113"/>
    </row>
    <row r="122" spans="8:17" x14ac:dyDescent="0.15">
      <c r="H122" s="167"/>
      <c r="I122" s="167"/>
      <c r="J122" s="167"/>
      <c r="K122" s="165"/>
      <c r="Q122" s="113"/>
    </row>
    <row r="123" spans="8:17" x14ac:dyDescent="0.15">
      <c r="H123" s="167"/>
      <c r="I123" s="167"/>
      <c r="J123" s="167"/>
      <c r="K123" s="165"/>
      <c r="Q123" s="113"/>
    </row>
    <row r="124" spans="8:17" x14ac:dyDescent="0.15">
      <c r="H124" s="167"/>
      <c r="I124" s="167"/>
      <c r="J124" s="167"/>
      <c r="K124" s="165"/>
      <c r="Q124" s="113"/>
    </row>
    <row r="125" spans="8:17" x14ac:dyDescent="0.15">
      <c r="H125" s="167"/>
      <c r="I125" s="167"/>
      <c r="J125" s="167"/>
      <c r="K125" s="165"/>
      <c r="Q125" s="113"/>
    </row>
    <row r="126" spans="8:17" x14ac:dyDescent="0.15">
      <c r="H126" s="167"/>
      <c r="I126" s="167"/>
      <c r="J126" s="167"/>
      <c r="K126" s="165"/>
      <c r="Q126" s="113"/>
    </row>
    <row r="127" spans="8:17" x14ac:dyDescent="0.15">
      <c r="H127" s="167"/>
      <c r="I127" s="167"/>
      <c r="J127" s="167"/>
      <c r="K127" s="165"/>
      <c r="Q127" s="113"/>
    </row>
    <row r="128" spans="8:17" x14ac:dyDescent="0.15">
      <c r="H128" s="167"/>
      <c r="I128" s="167"/>
      <c r="J128" s="167"/>
      <c r="K128" s="165"/>
      <c r="Q128" s="113"/>
    </row>
    <row r="129" spans="8:17" x14ac:dyDescent="0.15">
      <c r="H129" s="167"/>
      <c r="I129" s="167"/>
      <c r="J129" s="167"/>
      <c r="K129" s="165"/>
      <c r="Q129" s="113"/>
    </row>
    <row r="130" spans="8:17" x14ac:dyDescent="0.15">
      <c r="H130" s="167"/>
      <c r="I130" s="167"/>
      <c r="J130" s="167"/>
      <c r="K130" s="165"/>
      <c r="Q130" s="113"/>
    </row>
    <row r="131" spans="8:17" x14ac:dyDescent="0.15">
      <c r="H131" s="167"/>
      <c r="I131" s="167"/>
      <c r="J131" s="167"/>
      <c r="K131" s="165"/>
      <c r="Q131" s="113"/>
    </row>
    <row r="132" spans="8:17" x14ac:dyDescent="0.15">
      <c r="H132" s="167"/>
      <c r="I132" s="167"/>
      <c r="J132" s="167"/>
      <c r="K132" s="165"/>
      <c r="Q132" s="113"/>
    </row>
    <row r="133" spans="8:17" x14ac:dyDescent="0.15">
      <c r="H133" s="167"/>
      <c r="I133" s="167"/>
      <c r="J133" s="167"/>
      <c r="K133" s="165"/>
      <c r="Q133" s="113"/>
    </row>
    <row r="134" spans="8:17" x14ac:dyDescent="0.15">
      <c r="H134" s="167"/>
      <c r="I134" s="167"/>
      <c r="J134" s="167"/>
      <c r="K134" s="165"/>
      <c r="Q134" s="113"/>
    </row>
    <row r="135" spans="8:17" x14ac:dyDescent="0.15">
      <c r="H135" s="167"/>
      <c r="I135" s="167"/>
      <c r="J135" s="167"/>
      <c r="K135" s="165"/>
      <c r="Q135" s="113"/>
    </row>
    <row r="136" spans="8:17" x14ac:dyDescent="0.15">
      <c r="H136" s="167"/>
      <c r="I136" s="167"/>
      <c r="J136" s="167"/>
      <c r="K136" s="165"/>
      <c r="Q136" s="113"/>
    </row>
    <row r="137" spans="8:17" x14ac:dyDescent="0.15">
      <c r="H137" s="167"/>
      <c r="I137" s="167"/>
      <c r="J137" s="167"/>
      <c r="K137" s="165"/>
      <c r="Q137" s="113"/>
    </row>
    <row r="138" spans="8:17" x14ac:dyDescent="0.15">
      <c r="H138" s="167"/>
      <c r="I138" s="167"/>
      <c r="J138" s="167"/>
      <c r="K138" s="165"/>
      <c r="Q138" s="113"/>
    </row>
    <row r="139" spans="8:17" x14ac:dyDescent="0.15">
      <c r="H139" s="167"/>
      <c r="I139" s="167"/>
      <c r="J139" s="167"/>
      <c r="K139" s="165"/>
      <c r="Q139" s="113"/>
    </row>
    <row r="140" spans="8:17" x14ac:dyDescent="0.15">
      <c r="H140" s="167"/>
      <c r="I140" s="167"/>
      <c r="J140" s="167"/>
      <c r="K140" s="165"/>
      <c r="Q140" s="113"/>
    </row>
    <row r="141" spans="8:17" x14ac:dyDescent="0.15">
      <c r="H141" s="167"/>
      <c r="I141" s="167"/>
      <c r="J141" s="167"/>
      <c r="K141" s="165"/>
      <c r="Q141" s="113"/>
    </row>
    <row r="142" spans="8:17" x14ac:dyDescent="0.15">
      <c r="K142" s="165"/>
      <c r="Q142" s="113"/>
    </row>
    <row r="143" spans="8:17" x14ac:dyDescent="0.15">
      <c r="K143" s="165"/>
      <c r="Q143" s="113"/>
    </row>
    <row r="144" spans="8:17" x14ac:dyDescent="0.15">
      <c r="K144" s="165"/>
      <c r="Q144" s="113"/>
    </row>
    <row r="145" spans="11:17" x14ac:dyDescent="0.15">
      <c r="K145" s="165"/>
      <c r="Q145" s="113"/>
    </row>
    <row r="146" spans="11:17" x14ac:dyDescent="0.15">
      <c r="K146" s="165"/>
      <c r="Q146" s="113"/>
    </row>
    <row r="147" spans="11:17" x14ac:dyDescent="0.15">
      <c r="K147" s="165"/>
      <c r="Q147" s="113"/>
    </row>
    <row r="148" spans="11:17" x14ac:dyDescent="0.15">
      <c r="K148" s="165"/>
      <c r="Q148" s="113"/>
    </row>
    <row r="149" spans="11:17" x14ac:dyDescent="0.15">
      <c r="K149" s="165"/>
      <c r="Q149" s="113"/>
    </row>
    <row r="150" spans="11:17" x14ac:dyDescent="0.15">
      <c r="K150" s="165"/>
      <c r="Q150" s="113"/>
    </row>
    <row r="151" spans="11:17" x14ac:dyDescent="0.15">
      <c r="K151" s="165"/>
      <c r="Q151" s="113"/>
    </row>
    <row r="152" spans="11:17" x14ac:dyDescent="0.15">
      <c r="K152" s="165"/>
      <c r="Q152" s="113"/>
    </row>
    <row r="153" spans="11:17" x14ac:dyDescent="0.15">
      <c r="K153" s="165"/>
      <c r="Q153" s="113"/>
    </row>
    <row r="154" spans="11:17" x14ac:dyDescent="0.15">
      <c r="K154" s="165"/>
      <c r="Q154" s="113"/>
    </row>
    <row r="155" spans="11:17" x14ac:dyDescent="0.15">
      <c r="K155" s="165"/>
      <c r="Q155" s="113"/>
    </row>
    <row r="156" spans="11:17" x14ac:dyDescent="0.15">
      <c r="K156" s="165"/>
      <c r="Q156" s="113"/>
    </row>
    <row r="157" spans="11:17" x14ac:dyDescent="0.15">
      <c r="K157" s="165"/>
      <c r="Q157" s="113"/>
    </row>
    <row r="158" spans="11:17" x14ac:dyDescent="0.15">
      <c r="K158" s="165"/>
      <c r="Q158" s="113"/>
    </row>
    <row r="159" spans="11:17" x14ac:dyDescent="0.15">
      <c r="K159" s="165"/>
      <c r="Q159" s="113"/>
    </row>
    <row r="160" spans="11:17" x14ac:dyDescent="0.15">
      <c r="K160" s="165"/>
      <c r="Q160" s="113"/>
    </row>
    <row r="161" spans="11:17" x14ac:dyDescent="0.15">
      <c r="K161" s="165"/>
      <c r="Q161" s="113"/>
    </row>
    <row r="162" spans="11:17" x14ac:dyDescent="0.15">
      <c r="K162" s="165"/>
      <c r="Q162" s="113"/>
    </row>
    <row r="163" spans="11:17" x14ac:dyDescent="0.15">
      <c r="K163" s="165"/>
      <c r="Q163" s="113"/>
    </row>
    <row r="164" spans="11:17" x14ac:dyDescent="0.15">
      <c r="K164" s="165"/>
      <c r="Q164" s="113"/>
    </row>
    <row r="165" spans="11:17" x14ac:dyDescent="0.15">
      <c r="K165" s="165"/>
      <c r="Q165" s="113"/>
    </row>
    <row r="166" spans="11:17" x14ac:dyDescent="0.15">
      <c r="K166" s="165"/>
      <c r="Q166" s="113"/>
    </row>
    <row r="167" spans="11:17" x14ac:dyDescent="0.15">
      <c r="K167" s="165"/>
      <c r="Q167" s="113"/>
    </row>
    <row r="168" spans="11:17" x14ac:dyDescent="0.15">
      <c r="K168" s="165"/>
      <c r="Q168" s="113"/>
    </row>
    <row r="169" spans="11:17" x14ac:dyDescent="0.15">
      <c r="K169" s="165"/>
      <c r="Q169" s="113"/>
    </row>
    <row r="170" spans="11:17" x14ac:dyDescent="0.15">
      <c r="K170" s="165"/>
      <c r="Q170" s="113"/>
    </row>
    <row r="171" spans="11:17" x14ac:dyDescent="0.15">
      <c r="K171" s="165"/>
      <c r="Q171" s="113"/>
    </row>
    <row r="172" spans="11:17" x14ac:dyDescent="0.15">
      <c r="K172" s="165"/>
      <c r="Q172" s="113"/>
    </row>
    <row r="173" spans="11:17" x14ac:dyDescent="0.15">
      <c r="K173" s="165"/>
      <c r="Q173" s="113"/>
    </row>
    <row r="174" spans="11:17" x14ac:dyDescent="0.15">
      <c r="K174" s="165"/>
      <c r="Q174" s="113"/>
    </row>
    <row r="175" spans="11:17" x14ac:dyDescent="0.15">
      <c r="K175" s="165"/>
      <c r="Q175" s="113"/>
    </row>
    <row r="176" spans="11:17" x14ac:dyDescent="0.15">
      <c r="K176" s="165"/>
      <c r="Q176" s="113"/>
    </row>
    <row r="177" spans="11:17" x14ac:dyDescent="0.15">
      <c r="K177" s="165"/>
      <c r="Q177" s="113"/>
    </row>
    <row r="178" spans="11:17" x14ac:dyDescent="0.15">
      <c r="K178" s="165"/>
      <c r="Q178" s="113"/>
    </row>
    <row r="179" spans="11:17" x14ac:dyDescent="0.15">
      <c r="K179" s="165"/>
      <c r="Q179" s="113"/>
    </row>
    <row r="180" spans="11:17" x14ac:dyDescent="0.15">
      <c r="K180" s="165"/>
      <c r="Q180" s="113"/>
    </row>
    <row r="181" spans="11:17" x14ac:dyDescent="0.15">
      <c r="K181" s="165"/>
      <c r="Q181" s="113"/>
    </row>
    <row r="182" spans="11:17" x14ac:dyDescent="0.15">
      <c r="K182" s="165"/>
      <c r="Q182" s="113"/>
    </row>
    <row r="183" spans="11:17" x14ac:dyDescent="0.15">
      <c r="K183" s="165"/>
      <c r="Q183" s="113"/>
    </row>
    <row r="184" spans="11:17" x14ac:dyDescent="0.15">
      <c r="K184" s="165"/>
      <c r="Q184" s="113"/>
    </row>
    <row r="185" spans="11:17" x14ac:dyDescent="0.15">
      <c r="K185" s="165"/>
      <c r="Q185" s="113"/>
    </row>
    <row r="186" spans="11:17" x14ac:dyDescent="0.15">
      <c r="K186" s="165"/>
      <c r="Q186" s="113"/>
    </row>
    <row r="187" spans="11:17" x14ac:dyDescent="0.15">
      <c r="K187" s="165"/>
      <c r="Q187" s="113"/>
    </row>
    <row r="188" spans="11:17" x14ac:dyDescent="0.15">
      <c r="K188" s="165"/>
      <c r="Q188" s="113"/>
    </row>
    <row r="189" spans="11:17" x14ac:dyDescent="0.15">
      <c r="K189" s="165"/>
      <c r="Q189" s="113"/>
    </row>
    <row r="190" spans="11:17" x14ac:dyDescent="0.15">
      <c r="K190" s="165"/>
      <c r="Q190" s="113"/>
    </row>
    <row r="191" spans="11:17" x14ac:dyDescent="0.15">
      <c r="K191" s="165"/>
      <c r="Q191" s="113"/>
    </row>
    <row r="192" spans="11:17" x14ac:dyDescent="0.15">
      <c r="K192" s="165"/>
      <c r="Q192" s="113"/>
    </row>
    <row r="193" spans="11:17" x14ac:dyDescent="0.15">
      <c r="K193" s="165"/>
      <c r="Q193" s="113"/>
    </row>
    <row r="194" spans="11:17" x14ac:dyDescent="0.15">
      <c r="K194" s="165"/>
      <c r="Q194" s="113"/>
    </row>
    <row r="195" spans="11:17" x14ac:dyDescent="0.15">
      <c r="K195" s="165"/>
      <c r="Q195" s="113"/>
    </row>
    <row r="196" spans="11:17" x14ac:dyDescent="0.15">
      <c r="K196" s="165"/>
      <c r="Q196" s="113"/>
    </row>
    <row r="197" spans="11:17" x14ac:dyDescent="0.15">
      <c r="K197" s="165"/>
      <c r="Q197" s="113"/>
    </row>
    <row r="198" spans="11:17" x14ac:dyDescent="0.15">
      <c r="K198" s="165"/>
      <c r="Q198" s="113"/>
    </row>
    <row r="199" spans="11:17" x14ac:dyDescent="0.15">
      <c r="K199" s="165"/>
      <c r="Q199" s="113"/>
    </row>
    <row r="200" spans="11:17" x14ac:dyDescent="0.15">
      <c r="K200" s="165"/>
      <c r="Q200" s="113"/>
    </row>
    <row r="201" spans="11:17" x14ac:dyDescent="0.15">
      <c r="K201" s="165"/>
      <c r="Q201" s="113"/>
    </row>
    <row r="202" spans="11:17" x14ac:dyDescent="0.15">
      <c r="K202" s="165"/>
      <c r="Q202" s="113"/>
    </row>
    <row r="203" spans="11:17" x14ac:dyDescent="0.15">
      <c r="K203" s="165"/>
      <c r="Q203" s="113"/>
    </row>
    <row r="204" spans="11:17" x14ac:dyDescent="0.15">
      <c r="K204" s="165"/>
      <c r="Q204" s="113"/>
    </row>
    <row r="205" spans="11:17" x14ac:dyDescent="0.15">
      <c r="K205" s="165"/>
      <c r="Q205" s="113"/>
    </row>
    <row r="206" spans="11:17" x14ac:dyDescent="0.15">
      <c r="K206" s="165"/>
      <c r="Q206" s="113"/>
    </row>
    <row r="207" spans="11:17" x14ac:dyDescent="0.15">
      <c r="K207" s="165"/>
      <c r="Q207" s="113"/>
    </row>
    <row r="208" spans="11:17" x14ac:dyDescent="0.15">
      <c r="K208" s="165"/>
      <c r="Q208" s="113"/>
    </row>
    <row r="209" spans="11:17" x14ac:dyDescent="0.15">
      <c r="K209" s="165"/>
      <c r="Q209" s="113"/>
    </row>
    <row r="210" spans="11:17" x14ac:dyDescent="0.15">
      <c r="K210" s="165"/>
      <c r="Q210" s="113"/>
    </row>
    <row r="211" spans="11:17" x14ac:dyDescent="0.15">
      <c r="K211" s="165"/>
      <c r="Q211" s="113"/>
    </row>
    <row r="212" spans="11:17" x14ac:dyDescent="0.15">
      <c r="K212" s="165"/>
      <c r="Q212" s="113"/>
    </row>
    <row r="213" spans="11:17" x14ac:dyDescent="0.15">
      <c r="K213" s="165"/>
      <c r="Q213" s="113"/>
    </row>
    <row r="214" spans="11:17" x14ac:dyDescent="0.15">
      <c r="K214" s="165"/>
      <c r="Q214" s="113"/>
    </row>
    <row r="215" spans="11:17" x14ac:dyDescent="0.15">
      <c r="K215" s="165"/>
      <c r="Q215" s="113"/>
    </row>
    <row r="216" spans="11:17" x14ac:dyDescent="0.15">
      <c r="K216" s="165"/>
      <c r="Q216" s="113"/>
    </row>
    <row r="217" spans="11:17" x14ac:dyDescent="0.15">
      <c r="K217" s="165"/>
      <c r="Q217" s="113"/>
    </row>
    <row r="218" spans="11:17" x14ac:dyDescent="0.15">
      <c r="K218" s="165"/>
      <c r="Q218" s="113"/>
    </row>
    <row r="219" spans="11:17" x14ac:dyDescent="0.15">
      <c r="K219" s="165"/>
      <c r="Q219" s="113"/>
    </row>
    <row r="220" spans="11:17" x14ac:dyDescent="0.15">
      <c r="K220" s="165"/>
      <c r="Q220" s="113"/>
    </row>
    <row r="221" spans="11:17" x14ac:dyDescent="0.15">
      <c r="K221" s="165"/>
      <c r="Q221" s="113"/>
    </row>
    <row r="222" spans="11:17" x14ac:dyDescent="0.15">
      <c r="K222" s="165"/>
      <c r="Q222" s="113"/>
    </row>
    <row r="223" spans="11:17" x14ac:dyDescent="0.15">
      <c r="K223" s="165"/>
      <c r="Q223" s="113"/>
    </row>
    <row r="224" spans="11:17" x14ac:dyDescent="0.15">
      <c r="K224" s="165"/>
      <c r="Q224" s="113"/>
    </row>
    <row r="225" spans="11:17" x14ac:dyDescent="0.15">
      <c r="K225" s="165"/>
      <c r="Q225" s="113"/>
    </row>
    <row r="226" spans="11:17" x14ac:dyDescent="0.15">
      <c r="K226" s="165"/>
      <c r="Q226" s="113"/>
    </row>
    <row r="227" spans="11:17" x14ac:dyDescent="0.15">
      <c r="K227" s="165"/>
      <c r="Q227" s="113"/>
    </row>
    <row r="228" spans="11:17" x14ac:dyDescent="0.15">
      <c r="K228" s="165"/>
      <c r="Q228" s="113"/>
    </row>
    <row r="229" spans="11:17" x14ac:dyDescent="0.15">
      <c r="K229" s="165"/>
      <c r="Q229" s="113"/>
    </row>
    <row r="230" spans="11:17" x14ac:dyDescent="0.15">
      <c r="K230" s="165"/>
      <c r="Q230" s="113"/>
    </row>
    <row r="231" spans="11:17" x14ac:dyDescent="0.15">
      <c r="K231" s="165"/>
      <c r="Q231" s="113"/>
    </row>
    <row r="232" spans="11:17" x14ac:dyDescent="0.15">
      <c r="K232" s="165"/>
      <c r="Q232" s="113"/>
    </row>
    <row r="233" spans="11:17" x14ac:dyDescent="0.15">
      <c r="K233" s="165"/>
      <c r="Q233" s="113"/>
    </row>
    <row r="234" spans="11:17" x14ac:dyDescent="0.15">
      <c r="K234" s="165"/>
      <c r="Q234" s="113"/>
    </row>
    <row r="235" spans="11:17" x14ac:dyDescent="0.15">
      <c r="K235" s="165"/>
      <c r="Q235" s="113"/>
    </row>
    <row r="236" spans="11:17" x14ac:dyDescent="0.15">
      <c r="K236" s="165"/>
      <c r="Q236" s="113"/>
    </row>
    <row r="237" spans="11:17" x14ac:dyDescent="0.15">
      <c r="K237" s="165"/>
      <c r="Q237" s="113"/>
    </row>
    <row r="238" spans="11:17" x14ac:dyDescent="0.15">
      <c r="K238" s="165"/>
      <c r="Q238" s="113"/>
    </row>
    <row r="239" spans="11:17" x14ac:dyDescent="0.15">
      <c r="K239" s="165"/>
      <c r="Q239" s="113"/>
    </row>
    <row r="240" spans="11:17" x14ac:dyDescent="0.15">
      <c r="K240" s="165"/>
      <c r="Q240" s="113"/>
    </row>
    <row r="241" spans="11:17" x14ac:dyDescent="0.15">
      <c r="K241" s="165"/>
      <c r="Q241" s="113"/>
    </row>
    <row r="242" spans="11:17" x14ac:dyDescent="0.15">
      <c r="K242" s="165"/>
      <c r="Q242" s="113"/>
    </row>
    <row r="243" spans="11:17" x14ac:dyDescent="0.15">
      <c r="K243" s="165"/>
      <c r="Q243" s="113"/>
    </row>
    <row r="244" spans="11:17" x14ac:dyDescent="0.15">
      <c r="K244" s="165"/>
      <c r="Q244" s="113"/>
    </row>
    <row r="245" spans="11:17" x14ac:dyDescent="0.15">
      <c r="K245" s="165"/>
      <c r="Q245" s="113"/>
    </row>
    <row r="246" spans="11:17" x14ac:dyDescent="0.15">
      <c r="K246" s="165"/>
      <c r="Q246" s="113"/>
    </row>
    <row r="247" spans="11:17" x14ac:dyDescent="0.15">
      <c r="K247" s="165"/>
      <c r="Q247" s="113"/>
    </row>
    <row r="248" spans="11:17" x14ac:dyDescent="0.15">
      <c r="K248" s="165"/>
      <c r="Q248" s="113"/>
    </row>
    <row r="249" spans="11:17" x14ac:dyDescent="0.15">
      <c r="K249" s="165"/>
      <c r="Q249" s="113"/>
    </row>
    <row r="250" spans="11:17" x14ac:dyDescent="0.15">
      <c r="K250" s="165"/>
      <c r="Q250" s="113"/>
    </row>
    <row r="251" spans="11:17" x14ac:dyDescent="0.15">
      <c r="K251" s="165"/>
      <c r="Q251" s="113"/>
    </row>
    <row r="252" spans="11:17" x14ac:dyDescent="0.15">
      <c r="K252" s="165"/>
      <c r="Q252" s="113"/>
    </row>
    <row r="253" spans="11:17" x14ac:dyDescent="0.15">
      <c r="K253" s="165"/>
      <c r="Q253" s="113"/>
    </row>
    <row r="254" spans="11:17" x14ac:dyDescent="0.15">
      <c r="K254" s="165"/>
      <c r="Q254" s="113"/>
    </row>
    <row r="255" spans="11:17" x14ac:dyDescent="0.15">
      <c r="K255" s="165"/>
      <c r="Q255" s="113"/>
    </row>
    <row r="256" spans="11:17" x14ac:dyDescent="0.15">
      <c r="K256" s="165"/>
      <c r="Q256" s="113"/>
    </row>
    <row r="257" spans="11:17" x14ac:dyDescent="0.15">
      <c r="K257" s="165"/>
      <c r="Q257" s="113"/>
    </row>
    <row r="258" spans="11:17" x14ac:dyDescent="0.15">
      <c r="K258" s="165"/>
      <c r="Q258" s="113"/>
    </row>
    <row r="259" spans="11:17" x14ac:dyDescent="0.15">
      <c r="K259" s="165"/>
      <c r="Q259" s="113"/>
    </row>
    <row r="260" spans="11:17" x14ac:dyDescent="0.15">
      <c r="K260" s="165"/>
      <c r="Q260" s="113"/>
    </row>
    <row r="261" spans="11:17" x14ac:dyDescent="0.15">
      <c r="K261" s="165"/>
      <c r="Q261" s="113"/>
    </row>
    <row r="262" spans="11:17" x14ac:dyDescent="0.15">
      <c r="K262" s="165"/>
      <c r="Q262" s="113"/>
    </row>
    <row r="263" spans="11:17" x14ac:dyDescent="0.15">
      <c r="K263" s="165"/>
      <c r="Q263" s="113"/>
    </row>
    <row r="264" spans="11:17" x14ac:dyDescent="0.15">
      <c r="K264" s="165"/>
      <c r="Q264" s="113"/>
    </row>
    <row r="265" spans="11:17" x14ac:dyDescent="0.15">
      <c r="K265" s="165"/>
      <c r="Q265" s="113"/>
    </row>
    <row r="266" spans="11:17" x14ac:dyDescent="0.15">
      <c r="K266" s="165"/>
      <c r="Q266" s="113"/>
    </row>
    <row r="267" spans="11:17" x14ac:dyDescent="0.15">
      <c r="K267" s="165"/>
      <c r="Q267" s="113"/>
    </row>
    <row r="268" spans="11:17" x14ac:dyDescent="0.15">
      <c r="K268" s="165"/>
      <c r="Q268" s="113"/>
    </row>
    <row r="269" spans="11:17" x14ac:dyDescent="0.15">
      <c r="K269" s="165"/>
      <c r="Q269" s="113"/>
    </row>
    <row r="270" spans="11:17" x14ac:dyDescent="0.15">
      <c r="K270" s="165"/>
      <c r="Q270" s="113"/>
    </row>
    <row r="271" spans="11:17" x14ac:dyDescent="0.15">
      <c r="K271" s="165"/>
      <c r="Q271" s="113"/>
    </row>
    <row r="272" spans="11:17" x14ac:dyDescent="0.15">
      <c r="K272" s="165"/>
      <c r="Q272" s="113"/>
    </row>
    <row r="273" spans="11:17" x14ac:dyDescent="0.15">
      <c r="K273" s="165"/>
      <c r="Q273" s="113"/>
    </row>
    <row r="274" spans="11:17" x14ac:dyDescent="0.15">
      <c r="K274" s="165"/>
      <c r="Q274" s="113"/>
    </row>
    <row r="275" spans="11:17" x14ac:dyDescent="0.15">
      <c r="K275" s="165"/>
      <c r="Q275" s="113"/>
    </row>
    <row r="276" spans="11:17" x14ac:dyDescent="0.15">
      <c r="K276" s="165"/>
      <c r="Q276" s="113"/>
    </row>
    <row r="277" spans="11:17" x14ac:dyDescent="0.15">
      <c r="K277" s="165"/>
      <c r="Q277" s="113"/>
    </row>
    <row r="278" spans="11:17" x14ac:dyDescent="0.15">
      <c r="K278" s="165"/>
      <c r="Q278" s="113"/>
    </row>
    <row r="279" spans="11:17" x14ac:dyDescent="0.15">
      <c r="K279" s="165"/>
      <c r="Q279" s="113"/>
    </row>
    <row r="280" spans="11:17" x14ac:dyDescent="0.15">
      <c r="K280" s="165"/>
      <c r="Q280" s="113"/>
    </row>
    <row r="281" spans="11:17" x14ac:dyDescent="0.15">
      <c r="K281" s="165"/>
      <c r="Q281" s="113"/>
    </row>
    <row r="282" spans="11:17" x14ac:dyDescent="0.15">
      <c r="K282" s="165"/>
      <c r="Q282" s="113"/>
    </row>
    <row r="283" spans="11:17" x14ac:dyDescent="0.15">
      <c r="K283" s="165"/>
      <c r="Q283" s="113"/>
    </row>
    <row r="284" spans="11:17" x14ac:dyDescent="0.15">
      <c r="K284" s="165"/>
      <c r="Q284" s="113"/>
    </row>
    <row r="285" spans="11:17" x14ac:dyDescent="0.15">
      <c r="K285" s="165"/>
      <c r="Q285" s="113"/>
    </row>
    <row r="286" spans="11:17" x14ac:dyDescent="0.15">
      <c r="K286" s="165"/>
      <c r="Q286" s="113"/>
    </row>
    <row r="287" spans="11:17" x14ac:dyDescent="0.15">
      <c r="K287" s="165"/>
      <c r="Q287" s="113"/>
    </row>
    <row r="288" spans="11:17" x14ac:dyDescent="0.15">
      <c r="K288" s="165"/>
      <c r="Q288" s="113"/>
    </row>
    <row r="289" spans="11:17" x14ac:dyDescent="0.15">
      <c r="K289" s="165"/>
      <c r="Q289" s="113"/>
    </row>
    <row r="290" spans="11:17" x14ac:dyDescent="0.15">
      <c r="K290" s="165"/>
      <c r="Q290" s="113"/>
    </row>
    <row r="291" spans="11:17" x14ac:dyDescent="0.15">
      <c r="K291" s="165"/>
      <c r="Q291" s="113"/>
    </row>
    <row r="292" spans="11:17" x14ac:dyDescent="0.15">
      <c r="K292" s="165"/>
    </row>
    <row r="293" spans="11:17" x14ac:dyDescent="0.15">
      <c r="K293" s="165"/>
    </row>
    <row r="294" spans="11:17" x14ac:dyDescent="0.15">
      <c r="K294" s="165"/>
    </row>
    <row r="295" spans="11:17" x14ac:dyDescent="0.15">
      <c r="K295" s="165"/>
    </row>
    <row r="296" spans="11:17" x14ac:dyDescent="0.15">
      <c r="K296" s="165"/>
    </row>
    <row r="297" spans="11:17" x14ac:dyDescent="0.15">
      <c r="K297" s="165"/>
    </row>
    <row r="298" spans="11:17" x14ac:dyDescent="0.15">
      <c r="K298" s="165"/>
    </row>
    <row r="299" spans="11:17" x14ac:dyDescent="0.15">
      <c r="K299" s="165"/>
    </row>
    <row r="300" spans="11:17" x14ac:dyDescent="0.15">
      <c r="K300" s="165"/>
    </row>
    <row r="301" spans="11:17" x14ac:dyDescent="0.15">
      <c r="K301" s="165"/>
    </row>
    <row r="302" spans="11:17" x14ac:dyDescent="0.15">
      <c r="K302" s="165"/>
    </row>
    <row r="303" spans="11:17" x14ac:dyDescent="0.15">
      <c r="K303" s="165"/>
    </row>
    <row r="304" spans="11:17" x14ac:dyDescent="0.15">
      <c r="K304" s="165"/>
    </row>
    <row r="305" spans="11:11" x14ac:dyDescent="0.15">
      <c r="K305" s="165"/>
    </row>
    <row r="306" spans="11:11" x14ac:dyDescent="0.15">
      <c r="K306" s="165"/>
    </row>
    <row r="307" spans="11:11" x14ac:dyDescent="0.15">
      <c r="K307" s="165"/>
    </row>
    <row r="308" spans="11:11" x14ac:dyDescent="0.15">
      <c r="K308" s="165"/>
    </row>
    <row r="309" spans="11:11" x14ac:dyDescent="0.15">
      <c r="K309" s="165"/>
    </row>
    <row r="310" spans="11:11" x14ac:dyDescent="0.15">
      <c r="K310" s="165"/>
    </row>
    <row r="311" spans="11:11" x14ac:dyDescent="0.15">
      <c r="K311" s="165"/>
    </row>
    <row r="312" spans="11:11" x14ac:dyDescent="0.15">
      <c r="K312" s="165"/>
    </row>
    <row r="313" spans="11:11" x14ac:dyDescent="0.15">
      <c r="K313" s="165"/>
    </row>
    <row r="314" spans="11:11" x14ac:dyDescent="0.15">
      <c r="K314" s="165"/>
    </row>
    <row r="315" spans="11:11" x14ac:dyDescent="0.15">
      <c r="K315" s="165"/>
    </row>
    <row r="316" spans="11:11" x14ac:dyDescent="0.15">
      <c r="K316" s="165"/>
    </row>
    <row r="317" spans="11:11" x14ac:dyDescent="0.15">
      <c r="K317" s="165"/>
    </row>
    <row r="318" spans="11:11" x14ac:dyDescent="0.15">
      <c r="K318" s="165"/>
    </row>
    <row r="319" spans="11:11" x14ac:dyDescent="0.15">
      <c r="K319" s="165"/>
    </row>
    <row r="320" spans="11:11" x14ac:dyDescent="0.15">
      <c r="K320" s="165"/>
    </row>
    <row r="321" spans="11:11" x14ac:dyDescent="0.15">
      <c r="K321" s="165"/>
    </row>
    <row r="322" spans="11:11" x14ac:dyDescent="0.15">
      <c r="K322" s="165"/>
    </row>
    <row r="323" spans="11:11" x14ac:dyDescent="0.15">
      <c r="K323" s="165"/>
    </row>
    <row r="324" spans="11:11" x14ac:dyDescent="0.15">
      <c r="K324" s="165"/>
    </row>
    <row r="325" spans="11:11" x14ac:dyDescent="0.15">
      <c r="K325" s="165"/>
    </row>
    <row r="326" spans="11:11" x14ac:dyDescent="0.15">
      <c r="K326" s="165"/>
    </row>
    <row r="327" spans="11:11" x14ac:dyDescent="0.15">
      <c r="K327" s="165"/>
    </row>
    <row r="328" spans="11:11" x14ac:dyDescent="0.15">
      <c r="K328" s="165"/>
    </row>
    <row r="329" spans="11:11" x14ac:dyDescent="0.15">
      <c r="K329" s="165"/>
    </row>
    <row r="330" spans="11:11" x14ac:dyDescent="0.15">
      <c r="K330" s="165"/>
    </row>
    <row r="331" spans="11:11" x14ac:dyDescent="0.15">
      <c r="K331" s="165"/>
    </row>
    <row r="332" spans="11:11" x14ac:dyDescent="0.15">
      <c r="K332" s="165"/>
    </row>
    <row r="333" spans="11:11" x14ac:dyDescent="0.15">
      <c r="K333" s="165"/>
    </row>
    <row r="334" spans="11:11" x14ac:dyDescent="0.15">
      <c r="K334" s="165"/>
    </row>
    <row r="335" spans="11:11" x14ac:dyDescent="0.15">
      <c r="K335" s="165"/>
    </row>
    <row r="336" spans="11:11" x14ac:dyDescent="0.15">
      <c r="K336" s="165"/>
    </row>
    <row r="337" spans="11:11" x14ac:dyDescent="0.15">
      <c r="K337" s="165"/>
    </row>
    <row r="338" spans="11:11" x14ac:dyDescent="0.15">
      <c r="K338" s="165"/>
    </row>
    <row r="339" spans="11:11" x14ac:dyDescent="0.15">
      <c r="K339" s="165"/>
    </row>
    <row r="340" spans="11:11" x14ac:dyDescent="0.15">
      <c r="K340" s="165"/>
    </row>
    <row r="341" spans="11:11" x14ac:dyDescent="0.15">
      <c r="K341" s="165"/>
    </row>
    <row r="342" spans="11:11" x14ac:dyDescent="0.15">
      <c r="K342" s="165"/>
    </row>
    <row r="343" spans="11:11" x14ac:dyDescent="0.15">
      <c r="K343" s="165"/>
    </row>
    <row r="344" spans="11:11" x14ac:dyDescent="0.15">
      <c r="K344" s="165"/>
    </row>
    <row r="345" spans="11:11" x14ac:dyDescent="0.15">
      <c r="K345" s="165"/>
    </row>
    <row r="346" spans="11:11" x14ac:dyDescent="0.15">
      <c r="K346" s="165"/>
    </row>
    <row r="347" spans="11:11" x14ac:dyDescent="0.15">
      <c r="K347" s="165"/>
    </row>
    <row r="348" spans="11:11" x14ac:dyDescent="0.15">
      <c r="K348" s="165"/>
    </row>
    <row r="349" spans="11:11" x14ac:dyDescent="0.15">
      <c r="K349" s="165"/>
    </row>
    <row r="350" spans="11:11" x14ac:dyDescent="0.15">
      <c r="K350" s="165"/>
    </row>
    <row r="351" spans="11:11" x14ac:dyDescent="0.15">
      <c r="K351" s="165"/>
    </row>
    <row r="352" spans="11:11" x14ac:dyDescent="0.15">
      <c r="K352" s="165"/>
    </row>
    <row r="353" spans="11:11" x14ac:dyDescent="0.15">
      <c r="K353" s="165"/>
    </row>
    <row r="354" spans="11:11" x14ac:dyDescent="0.15">
      <c r="K354" s="165"/>
    </row>
    <row r="355" spans="11:11" x14ac:dyDescent="0.15">
      <c r="K355" s="165"/>
    </row>
    <row r="356" spans="11:11" x14ac:dyDescent="0.15">
      <c r="K356" s="165"/>
    </row>
    <row r="357" spans="11:11" x14ac:dyDescent="0.15">
      <c r="K357" s="165"/>
    </row>
    <row r="358" spans="11:11" x14ac:dyDescent="0.15">
      <c r="K358" s="165"/>
    </row>
    <row r="359" spans="11:11" x14ac:dyDescent="0.15">
      <c r="K359" s="165"/>
    </row>
    <row r="360" spans="11:11" x14ac:dyDescent="0.15">
      <c r="K360" s="165"/>
    </row>
    <row r="361" spans="11:11" x14ac:dyDescent="0.15">
      <c r="K361" s="165"/>
    </row>
    <row r="362" spans="11:11" x14ac:dyDescent="0.15">
      <c r="K362" s="165"/>
    </row>
    <row r="363" spans="11:11" x14ac:dyDescent="0.15">
      <c r="K363" s="165"/>
    </row>
    <row r="364" spans="11:11" x14ac:dyDescent="0.15">
      <c r="K364" s="165"/>
    </row>
    <row r="365" spans="11:11" x14ac:dyDescent="0.15">
      <c r="K365" s="165"/>
    </row>
    <row r="366" spans="11:11" x14ac:dyDescent="0.15">
      <c r="K366" s="165"/>
    </row>
    <row r="367" spans="11:11" x14ac:dyDescent="0.15">
      <c r="K367" s="165"/>
    </row>
    <row r="368" spans="11:11" x14ac:dyDescent="0.15">
      <c r="K368" s="165"/>
    </row>
    <row r="369" spans="11:11" x14ac:dyDescent="0.15">
      <c r="K369" s="165"/>
    </row>
    <row r="370" spans="11:11" x14ac:dyDescent="0.15">
      <c r="K370" s="165"/>
    </row>
    <row r="371" spans="11:11" x14ac:dyDescent="0.15">
      <c r="K371" s="165"/>
    </row>
    <row r="372" spans="11:11" x14ac:dyDescent="0.15">
      <c r="K372" s="165"/>
    </row>
    <row r="373" spans="11:11" x14ac:dyDescent="0.15">
      <c r="K373" s="165"/>
    </row>
    <row r="374" spans="11:11" x14ac:dyDescent="0.15">
      <c r="K374" s="165"/>
    </row>
    <row r="375" spans="11:11" x14ac:dyDescent="0.15">
      <c r="K375" s="165"/>
    </row>
    <row r="376" spans="11:11" x14ac:dyDescent="0.15">
      <c r="K376" s="165"/>
    </row>
    <row r="377" spans="11:11" x14ac:dyDescent="0.15">
      <c r="K377" s="165"/>
    </row>
    <row r="378" spans="11:11" x14ac:dyDescent="0.15">
      <c r="K378" s="165"/>
    </row>
    <row r="379" spans="11:11" x14ac:dyDescent="0.15">
      <c r="K379" s="165"/>
    </row>
    <row r="380" spans="11:11" x14ac:dyDescent="0.15">
      <c r="K380" s="165"/>
    </row>
    <row r="381" spans="11:11" x14ac:dyDescent="0.15">
      <c r="K381" s="165"/>
    </row>
    <row r="382" spans="11:11" x14ac:dyDescent="0.15">
      <c r="K382" s="165"/>
    </row>
    <row r="383" spans="11:11" x14ac:dyDescent="0.15">
      <c r="K383" s="165"/>
    </row>
    <row r="384" spans="11:11" x14ac:dyDescent="0.15">
      <c r="K384" s="165"/>
    </row>
    <row r="385" spans="11:11" x14ac:dyDescent="0.15">
      <c r="K385" s="165"/>
    </row>
    <row r="386" spans="11:11" x14ac:dyDescent="0.15">
      <c r="K386" s="165"/>
    </row>
    <row r="387" spans="11:11" x14ac:dyDescent="0.15">
      <c r="K387" s="165"/>
    </row>
    <row r="388" spans="11:11" x14ac:dyDescent="0.15">
      <c r="K388" s="165"/>
    </row>
    <row r="389" spans="11:11" x14ac:dyDescent="0.15">
      <c r="K389" s="165"/>
    </row>
    <row r="390" spans="11:11" x14ac:dyDescent="0.15">
      <c r="K390" s="165"/>
    </row>
    <row r="391" spans="11:11" x14ac:dyDescent="0.15">
      <c r="K391" s="165"/>
    </row>
    <row r="392" spans="11:11" x14ac:dyDescent="0.15">
      <c r="K392" s="165"/>
    </row>
    <row r="393" spans="11:11" x14ac:dyDescent="0.15">
      <c r="K393" s="165"/>
    </row>
    <row r="394" spans="11:11" x14ac:dyDescent="0.15">
      <c r="K394" s="165"/>
    </row>
    <row r="395" spans="11:11" x14ac:dyDescent="0.15">
      <c r="K395" s="165"/>
    </row>
    <row r="396" spans="11:11" x14ac:dyDescent="0.15">
      <c r="K396" s="165"/>
    </row>
    <row r="397" spans="11:11" x14ac:dyDescent="0.15">
      <c r="K397" s="165"/>
    </row>
    <row r="398" spans="11:11" x14ac:dyDescent="0.15">
      <c r="K398" s="165"/>
    </row>
    <row r="399" spans="11:11" x14ac:dyDescent="0.15">
      <c r="K399" s="165"/>
    </row>
    <row r="400" spans="11:11" x14ac:dyDescent="0.15">
      <c r="K400" s="165"/>
    </row>
    <row r="401" spans="11:11" x14ac:dyDescent="0.15">
      <c r="K401" s="165"/>
    </row>
    <row r="402" spans="11:11" x14ac:dyDescent="0.15">
      <c r="K402" s="165"/>
    </row>
    <row r="403" spans="11:11" x14ac:dyDescent="0.15">
      <c r="K403" s="165"/>
    </row>
    <row r="404" spans="11:11" x14ac:dyDescent="0.15">
      <c r="K404" s="165"/>
    </row>
    <row r="405" spans="11:11" x14ac:dyDescent="0.15">
      <c r="K405" s="165"/>
    </row>
    <row r="406" spans="11:11" x14ac:dyDescent="0.15">
      <c r="K406" s="165"/>
    </row>
    <row r="407" spans="11:11" x14ac:dyDescent="0.15">
      <c r="K407" s="165"/>
    </row>
    <row r="408" spans="11:11" x14ac:dyDescent="0.15">
      <c r="K408" s="165"/>
    </row>
    <row r="409" spans="11:11" x14ac:dyDescent="0.15">
      <c r="K409" s="165"/>
    </row>
    <row r="410" spans="11:11" x14ac:dyDescent="0.15">
      <c r="K410" s="165"/>
    </row>
    <row r="411" spans="11:11" x14ac:dyDescent="0.15">
      <c r="K411" s="165"/>
    </row>
    <row r="412" spans="11:11" x14ac:dyDescent="0.15">
      <c r="K412" s="165"/>
    </row>
    <row r="413" spans="11:11" x14ac:dyDescent="0.15">
      <c r="K413" s="165"/>
    </row>
    <row r="414" spans="11:11" x14ac:dyDescent="0.15">
      <c r="K414" s="165"/>
    </row>
    <row r="415" spans="11:11" x14ac:dyDescent="0.15">
      <c r="K415" s="165"/>
    </row>
    <row r="416" spans="11:11" x14ac:dyDescent="0.15">
      <c r="K416" s="165"/>
    </row>
    <row r="417" spans="11:11" x14ac:dyDescent="0.15">
      <c r="K417" s="165"/>
    </row>
    <row r="418" spans="11:11" x14ac:dyDescent="0.15">
      <c r="K418" s="165"/>
    </row>
    <row r="419" spans="11:11" x14ac:dyDescent="0.15">
      <c r="K419" s="165"/>
    </row>
    <row r="420" spans="11:11" x14ac:dyDescent="0.15">
      <c r="K420" s="165"/>
    </row>
    <row r="421" spans="11:11" x14ac:dyDescent="0.15">
      <c r="K421" s="165"/>
    </row>
    <row r="422" spans="11:11" x14ac:dyDescent="0.15">
      <c r="K422" s="165"/>
    </row>
    <row r="423" spans="11:11" x14ac:dyDescent="0.15">
      <c r="K423" s="165"/>
    </row>
    <row r="424" spans="11:11" x14ac:dyDescent="0.15">
      <c r="K424" s="165"/>
    </row>
    <row r="425" spans="11:11" x14ac:dyDescent="0.15">
      <c r="K425" s="165"/>
    </row>
    <row r="426" spans="11:11" x14ac:dyDescent="0.15">
      <c r="K426" s="165"/>
    </row>
    <row r="427" spans="11:11" x14ac:dyDescent="0.15">
      <c r="K427" s="165"/>
    </row>
    <row r="428" spans="11:11" x14ac:dyDescent="0.15">
      <c r="K428" s="165"/>
    </row>
    <row r="429" spans="11:11" x14ac:dyDescent="0.15">
      <c r="K429" s="165"/>
    </row>
    <row r="430" spans="11:11" x14ac:dyDescent="0.15">
      <c r="K430" s="165"/>
    </row>
    <row r="431" spans="11:11" x14ac:dyDescent="0.15">
      <c r="K431" s="165"/>
    </row>
    <row r="432" spans="11:11" x14ac:dyDescent="0.15">
      <c r="K432" s="165"/>
    </row>
    <row r="433" spans="11:11" x14ac:dyDescent="0.15">
      <c r="K433" s="165"/>
    </row>
    <row r="434" spans="11:11" x14ac:dyDescent="0.15">
      <c r="K434" s="165"/>
    </row>
    <row r="435" spans="11:11" x14ac:dyDescent="0.15">
      <c r="K435" s="165"/>
    </row>
    <row r="436" spans="11:11" x14ac:dyDescent="0.15">
      <c r="K436" s="165"/>
    </row>
    <row r="437" spans="11:11" x14ac:dyDescent="0.15">
      <c r="K437" s="165"/>
    </row>
    <row r="438" spans="11:11" x14ac:dyDescent="0.15">
      <c r="K438" s="165"/>
    </row>
    <row r="439" spans="11:11" x14ac:dyDescent="0.15">
      <c r="K439" s="165"/>
    </row>
    <row r="440" spans="11:11" x14ac:dyDescent="0.15">
      <c r="K440" s="165"/>
    </row>
    <row r="441" spans="11:11" x14ac:dyDescent="0.15">
      <c r="K441" s="165"/>
    </row>
    <row r="442" spans="11:11" x14ac:dyDescent="0.15">
      <c r="K442" s="165"/>
    </row>
    <row r="443" spans="11:11" x14ac:dyDescent="0.15">
      <c r="K443" s="165"/>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25"/>
  <sheetViews>
    <sheetView zoomScale="85" zoomScaleNormal="85" workbookViewId="0">
      <selection activeCell="G17" sqref="G17"/>
    </sheetView>
  </sheetViews>
  <sheetFormatPr defaultRowHeight="13.5" x14ac:dyDescent="0.15"/>
  <cols>
    <col min="1" max="3" width="9" style="87"/>
    <col min="4" max="4" width="10.5" style="87" bestFit="1" customWidth="1"/>
    <col min="5" max="5" width="10.875" style="87" bestFit="1" customWidth="1"/>
    <col min="6" max="6" width="18.875" style="87" bestFit="1" customWidth="1"/>
    <col min="7" max="9" width="9" style="87"/>
    <col min="10" max="10" width="9.25" style="87" customWidth="1"/>
    <col min="11" max="16" width="9" style="87"/>
    <col min="17" max="17" width="9" style="16"/>
    <col min="18" max="19" width="9" style="87"/>
    <col min="20" max="20" width="9" style="16"/>
    <col min="21" max="21" width="9" style="87"/>
    <col min="22" max="22" width="14.25" style="16" customWidth="1"/>
    <col min="23" max="23" width="9" style="87"/>
    <col min="24" max="24" width="9.625" style="87" customWidth="1"/>
    <col min="25" max="26" width="9" style="87"/>
    <col min="27" max="27" width="12.125" style="87" customWidth="1"/>
    <col min="28" max="32" width="9" style="87"/>
    <col min="33" max="33" width="15.125" style="87" bestFit="1" customWidth="1"/>
    <col min="34" max="34" width="19.625" style="87" bestFit="1" customWidth="1"/>
    <col min="35" max="16384" width="9" style="87"/>
  </cols>
  <sheetData>
    <row r="1" spans="1:53" ht="45" x14ac:dyDescent="0.15">
      <c r="A1" s="102" t="s">
        <v>0</v>
      </c>
      <c r="B1" s="84" t="s">
        <v>1</v>
      </c>
      <c r="C1" s="84" t="s">
        <v>476</v>
      </c>
      <c r="D1" s="85" t="s">
        <v>3</v>
      </c>
      <c r="E1" s="103" t="s">
        <v>4</v>
      </c>
      <c r="F1" s="103" t="s">
        <v>5</v>
      </c>
      <c r="G1" s="103" t="s">
        <v>6</v>
      </c>
      <c r="H1" s="103" t="s">
        <v>7</v>
      </c>
      <c r="I1" s="103" t="s">
        <v>8</v>
      </c>
      <c r="J1" s="103" t="s">
        <v>9</v>
      </c>
      <c r="K1" s="103" t="s">
        <v>10</v>
      </c>
      <c r="L1" s="85" t="s">
        <v>477</v>
      </c>
      <c r="M1" s="85" t="s">
        <v>12</v>
      </c>
      <c r="N1" s="85" t="s">
        <v>13</v>
      </c>
      <c r="O1" s="85" t="s">
        <v>478</v>
      </c>
      <c r="P1" s="85" t="s">
        <v>479</v>
      </c>
      <c r="Q1" s="3" t="s">
        <v>16</v>
      </c>
      <c r="R1" s="85" t="s">
        <v>480</v>
      </c>
      <c r="S1" s="85" t="s">
        <v>481</v>
      </c>
      <c r="T1" s="3" t="s">
        <v>19</v>
      </c>
      <c r="U1" s="86" t="s">
        <v>523</v>
      </c>
      <c r="V1" s="5" t="s">
        <v>20</v>
      </c>
      <c r="W1" s="85" t="s">
        <v>21</v>
      </c>
      <c r="X1" s="103" t="s">
        <v>22</v>
      </c>
      <c r="Y1" s="103" t="s">
        <v>23</v>
      </c>
      <c r="Z1" s="103" t="s">
        <v>524</v>
      </c>
      <c r="AA1" s="104" t="s">
        <v>25</v>
      </c>
      <c r="AB1" s="6" t="s">
        <v>482</v>
      </c>
      <c r="AE1" s="88" t="s">
        <v>0</v>
      </c>
      <c r="AF1" s="89"/>
      <c r="AG1" s="229" t="s">
        <v>4</v>
      </c>
      <c r="AH1" s="88" t="s">
        <v>5</v>
      </c>
      <c r="AI1" s="89"/>
      <c r="AJ1" s="88" t="s">
        <v>6</v>
      </c>
      <c r="AK1" s="89"/>
      <c r="AL1" s="90" t="s">
        <v>7</v>
      </c>
      <c r="AM1" s="89"/>
      <c r="AN1" s="90" t="s">
        <v>8</v>
      </c>
      <c r="AO1" s="89"/>
      <c r="AP1" s="90" t="s">
        <v>27</v>
      </c>
      <c r="AQ1" s="89"/>
      <c r="AR1" s="90" t="s">
        <v>10</v>
      </c>
      <c r="AS1" s="89"/>
      <c r="AT1" s="91" t="s">
        <v>28</v>
      </c>
      <c r="AU1" s="89"/>
      <c r="AV1" s="90" t="s">
        <v>29</v>
      </c>
      <c r="AX1" s="92" t="s">
        <v>483</v>
      </c>
      <c r="AY1" s="93" t="s">
        <v>484</v>
      </c>
      <c r="AZ1" s="93" t="s">
        <v>485</v>
      </c>
      <c r="BA1" s="94" t="s">
        <v>486</v>
      </c>
    </row>
    <row r="2" spans="1:53" s="95" customFormat="1" x14ac:dyDescent="0.15">
      <c r="A2" s="95" t="s">
        <v>34</v>
      </c>
      <c r="B2" s="87" t="s">
        <v>181</v>
      </c>
      <c r="C2" s="87">
        <v>2018</v>
      </c>
      <c r="D2" s="230" t="s">
        <v>525</v>
      </c>
      <c r="E2" s="100" t="s">
        <v>284</v>
      </c>
      <c r="F2" s="100" t="s">
        <v>526</v>
      </c>
      <c r="G2" s="95" t="s">
        <v>36</v>
      </c>
      <c r="H2" s="87" t="s">
        <v>155</v>
      </c>
      <c r="I2" s="95" t="s">
        <v>153</v>
      </c>
      <c r="J2" s="95" t="s">
        <v>38</v>
      </c>
      <c r="K2" s="95" t="s">
        <v>154</v>
      </c>
      <c r="L2" s="95">
        <v>1</v>
      </c>
      <c r="N2" s="95">
        <v>1</v>
      </c>
      <c r="O2" s="95">
        <v>0.45</v>
      </c>
      <c r="P2" s="95">
        <v>0.2</v>
      </c>
      <c r="Q2" s="113">
        <f t="shared" ref="Q2:Q70" si="0">IF(OR(O2="",P2=""),"",AVERAGE(O2,P2))</f>
        <v>0.32500000000000001</v>
      </c>
      <c r="R2" s="95">
        <v>13.9</v>
      </c>
      <c r="S2" s="95">
        <v>121</v>
      </c>
      <c r="T2" s="16">
        <f t="shared" ref="T2:T70" si="1">IF(H2="","",IF(OR(H2="GREEN",H2="GK"),IF(S2&gt;=$AX$2,VLOOKUP(S2,$AX$2:$AY$9,2,1),""),IF(S2&gt;=$AZ$2,VLOOKUP(S2,$AZ$2:$BA$9,2,1),"")))</f>
        <v>30</v>
      </c>
      <c r="U2" s="95">
        <v>105</v>
      </c>
      <c r="V2" s="16">
        <f t="shared" ref="V2:V70" si="2">IF(OR(N2="",U2="",T2=""),"",U2/N2*T2)</f>
        <v>3150</v>
      </c>
      <c r="W2" s="95">
        <v>2</v>
      </c>
      <c r="X2" s="95" t="s">
        <v>39</v>
      </c>
      <c r="Y2" s="95" t="s">
        <v>84</v>
      </c>
      <c r="Z2" s="95" t="s">
        <v>90</v>
      </c>
      <c r="AA2" s="95" t="s">
        <v>50</v>
      </c>
      <c r="AB2" s="95" t="s">
        <v>183</v>
      </c>
      <c r="AE2" s="96" t="s">
        <v>35</v>
      </c>
      <c r="AG2" s="231" t="s">
        <v>519</v>
      </c>
      <c r="AH2" s="105" t="s">
        <v>527</v>
      </c>
      <c r="AJ2" s="18" t="s">
        <v>36</v>
      </c>
      <c r="AL2" s="18" t="s">
        <v>127</v>
      </c>
      <c r="AN2" s="18" t="s">
        <v>37</v>
      </c>
      <c r="AP2" s="18" t="s">
        <v>38</v>
      </c>
      <c r="AR2" s="18" t="s">
        <v>494</v>
      </c>
      <c r="AT2" s="18" t="s">
        <v>39</v>
      </c>
      <c r="AV2" s="184" t="s">
        <v>40</v>
      </c>
      <c r="AX2" s="19">
        <v>1</v>
      </c>
      <c r="AY2" s="20">
        <v>50</v>
      </c>
      <c r="AZ2" s="20">
        <v>1</v>
      </c>
      <c r="BA2" s="21">
        <v>50</v>
      </c>
    </row>
    <row r="3" spans="1:53" x14ac:dyDescent="0.15">
      <c r="A3" s="95" t="s">
        <v>34</v>
      </c>
      <c r="B3" s="87" t="s">
        <v>181</v>
      </c>
      <c r="C3" s="87">
        <v>2018</v>
      </c>
      <c r="D3" s="230" t="s">
        <v>525</v>
      </c>
      <c r="E3" s="100" t="s">
        <v>284</v>
      </c>
      <c r="F3" s="100" t="s">
        <v>526</v>
      </c>
      <c r="G3" s="95" t="s">
        <v>36</v>
      </c>
      <c r="H3" s="87" t="s">
        <v>155</v>
      </c>
      <c r="I3" s="95" t="s">
        <v>153</v>
      </c>
      <c r="J3" s="95" t="s">
        <v>38</v>
      </c>
      <c r="K3" s="95" t="s">
        <v>154</v>
      </c>
      <c r="L3" s="87">
        <v>2</v>
      </c>
      <c r="N3" s="87">
        <v>1</v>
      </c>
      <c r="O3" s="87">
        <v>0.65</v>
      </c>
      <c r="P3" s="87">
        <v>0.7</v>
      </c>
      <c r="Q3" s="113">
        <f t="shared" si="0"/>
        <v>0.67500000000000004</v>
      </c>
      <c r="R3" s="87">
        <v>14.3</v>
      </c>
      <c r="S3" s="87">
        <v>116</v>
      </c>
      <c r="T3" s="16">
        <f t="shared" si="1"/>
        <v>30</v>
      </c>
      <c r="U3" s="87">
        <v>105</v>
      </c>
      <c r="V3" s="16">
        <f t="shared" si="2"/>
        <v>3150</v>
      </c>
      <c r="W3" s="95">
        <v>2</v>
      </c>
      <c r="X3" s="95" t="s">
        <v>39</v>
      </c>
      <c r="Y3" s="95" t="s">
        <v>84</v>
      </c>
      <c r="Z3" s="95" t="s">
        <v>90</v>
      </c>
      <c r="AA3" s="95" t="s">
        <v>50</v>
      </c>
      <c r="AB3" s="95" t="s">
        <v>183</v>
      </c>
      <c r="AC3" s="95"/>
      <c r="AE3" s="97" t="s">
        <v>41</v>
      </c>
      <c r="AG3" s="232" t="s">
        <v>528</v>
      </c>
      <c r="AH3" s="105" t="s">
        <v>529</v>
      </c>
      <c r="AJ3" s="23" t="s">
        <v>42</v>
      </c>
      <c r="AL3" s="23" t="s">
        <v>128</v>
      </c>
      <c r="AN3" s="23" t="s">
        <v>43</v>
      </c>
      <c r="AP3" s="23" t="s">
        <v>44</v>
      </c>
      <c r="AR3" s="41" t="s">
        <v>45</v>
      </c>
      <c r="AT3" s="23" t="s">
        <v>46</v>
      </c>
      <c r="AV3" s="23" t="s">
        <v>47</v>
      </c>
      <c r="AX3" s="24">
        <v>72</v>
      </c>
      <c r="AY3" s="25">
        <v>46</v>
      </c>
      <c r="AZ3" s="25">
        <v>71</v>
      </c>
      <c r="BA3" s="26">
        <v>42</v>
      </c>
    </row>
    <row r="4" spans="1:53" x14ac:dyDescent="0.15">
      <c r="A4" s="95" t="s">
        <v>34</v>
      </c>
      <c r="B4" s="87" t="s">
        <v>181</v>
      </c>
      <c r="C4" s="87">
        <v>2018</v>
      </c>
      <c r="D4" s="230" t="s">
        <v>525</v>
      </c>
      <c r="E4" s="100" t="s">
        <v>284</v>
      </c>
      <c r="F4" s="100" t="s">
        <v>526</v>
      </c>
      <c r="G4" s="95" t="s">
        <v>36</v>
      </c>
      <c r="H4" s="87" t="s">
        <v>155</v>
      </c>
      <c r="I4" s="95" t="s">
        <v>153</v>
      </c>
      <c r="J4" s="95" t="s">
        <v>38</v>
      </c>
      <c r="K4" s="95" t="s">
        <v>154</v>
      </c>
      <c r="L4" s="87">
        <v>3</v>
      </c>
      <c r="N4" s="87">
        <v>1</v>
      </c>
      <c r="O4" s="87">
        <v>0.8</v>
      </c>
      <c r="P4" s="87">
        <v>0.8</v>
      </c>
      <c r="Q4" s="113">
        <f t="shared" si="0"/>
        <v>0.8</v>
      </c>
      <c r="R4" s="87">
        <v>13.4</v>
      </c>
      <c r="S4" s="87">
        <v>120</v>
      </c>
      <c r="T4" s="16">
        <f t="shared" si="1"/>
        <v>30</v>
      </c>
      <c r="U4" s="87">
        <v>105</v>
      </c>
      <c r="V4" s="16">
        <f t="shared" si="2"/>
        <v>3150</v>
      </c>
      <c r="W4" s="87">
        <v>2</v>
      </c>
      <c r="X4" s="95" t="s">
        <v>39</v>
      </c>
      <c r="Y4" s="95" t="s">
        <v>84</v>
      </c>
      <c r="Z4" s="95" t="s">
        <v>90</v>
      </c>
      <c r="AA4" s="95" t="s">
        <v>50</v>
      </c>
      <c r="AB4" s="95" t="s">
        <v>183</v>
      </c>
      <c r="AC4" s="95"/>
      <c r="AE4" s="97" t="s">
        <v>34</v>
      </c>
      <c r="AG4" s="232" t="s">
        <v>530</v>
      </c>
      <c r="AH4" s="105" t="s">
        <v>531</v>
      </c>
      <c r="AJ4" s="27" t="s">
        <v>48</v>
      </c>
      <c r="AL4" s="27" t="s">
        <v>129</v>
      </c>
      <c r="AN4" s="28" t="s">
        <v>49</v>
      </c>
      <c r="AP4" s="23" t="s">
        <v>500</v>
      </c>
      <c r="AR4" s="41" t="s">
        <v>501</v>
      </c>
      <c r="AT4" s="28"/>
      <c r="AV4" s="23" t="s">
        <v>50</v>
      </c>
      <c r="AX4" s="24">
        <v>75</v>
      </c>
      <c r="AY4" s="25">
        <v>42</v>
      </c>
      <c r="AZ4" s="25">
        <v>76</v>
      </c>
      <c r="BA4" s="26">
        <v>39</v>
      </c>
    </row>
    <row r="5" spans="1:53" x14ac:dyDescent="0.15">
      <c r="A5" s="95" t="s">
        <v>34</v>
      </c>
      <c r="B5" s="87" t="s">
        <v>181</v>
      </c>
      <c r="C5" s="87">
        <v>2018</v>
      </c>
      <c r="D5" s="230" t="s">
        <v>525</v>
      </c>
      <c r="E5" s="100" t="s">
        <v>284</v>
      </c>
      <c r="F5" s="100" t="s">
        <v>526</v>
      </c>
      <c r="G5" s="95" t="s">
        <v>36</v>
      </c>
      <c r="H5" s="87" t="s">
        <v>155</v>
      </c>
      <c r="I5" s="95" t="s">
        <v>153</v>
      </c>
      <c r="J5" s="95" t="s">
        <v>38</v>
      </c>
      <c r="K5" s="95" t="s">
        <v>154</v>
      </c>
      <c r="L5" s="95">
        <v>1</v>
      </c>
      <c r="N5" s="87">
        <v>5</v>
      </c>
      <c r="O5" s="87">
        <v>0.7</v>
      </c>
      <c r="P5" s="87">
        <v>0.6</v>
      </c>
      <c r="Q5" s="113">
        <f t="shared" si="0"/>
        <v>0.64999999999999991</v>
      </c>
      <c r="R5" s="87">
        <v>9.5</v>
      </c>
      <c r="S5" s="87">
        <v>81</v>
      </c>
      <c r="T5" s="16">
        <f t="shared" si="1"/>
        <v>39</v>
      </c>
      <c r="U5" s="87">
        <v>278</v>
      </c>
      <c r="V5" s="16">
        <f t="shared" si="2"/>
        <v>2168.4</v>
      </c>
      <c r="W5" s="87">
        <v>2</v>
      </c>
      <c r="X5" s="95" t="s">
        <v>39</v>
      </c>
      <c r="Y5" s="95" t="s">
        <v>84</v>
      </c>
      <c r="Z5" s="95" t="s">
        <v>90</v>
      </c>
      <c r="AA5" s="95" t="s">
        <v>50</v>
      </c>
      <c r="AB5" s="95" t="s">
        <v>183</v>
      </c>
      <c r="AE5" s="97" t="s">
        <v>51</v>
      </c>
      <c r="AG5" s="232" t="s">
        <v>532</v>
      </c>
      <c r="AH5" s="105" t="s">
        <v>533</v>
      </c>
      <c r="AJ5" s="28"/>
      <c r="AL5" s="29" t="s">
        <v>504</v>
      </c>
      <c r="AN5" s="29" t="s">
        <v>505</v>
      </c>
      <c r="AP5" s="23" t="s">
        <v>506</v>
      </c>
      <c r="AR5" s="41" t="s">
        <v>54</v>
      </c>
      <c r="AV5" s="23" t="s">
        <v>55</v>
      </c>
      <c r="AX5" s="24">
        <v>84</v>
      </c>
      <c r="AY5" s="25">
        <v>39</v>
      </c>
      <c r="AZ5" s="25">
        <v>84</v>
      </c>
      <c r="BA5" s="26">
        <v>36</v>
      </c>
    </row>
    <row r="6" spans="1:53" x14ac:dyDescent="0.15">
      <c r="A6" s="95" t="s">
        <v>34</v>
      </c>
      <c r="B6" s="87" t="s">
        <v>181</v>
      </c>
      <c r="C6" s="87">
        <v>2018</v>
      </c>
      <c r="D6" s="230" t="s">
        <v>525</v>
      </c>
      <c r="E6" s="100" t="s">
        <v>284</v>
      </c>
      <c r="F6" s="100" t="s">
        <v>526</v>
      </c>
      <c r="G6" s="95" t="s">
        <v>36</v>
      </c>
      <c r="H6" s="87" t="s">
        <v>155</v>
      </c>
      <c r="I6" s="95" t="s">
        <v>153</v>
      </c>
      <c r="J6" s="95" t="s">
        <v>38</v>
      </c>
      <c r="K6" s="95" t="s">
        <v>154</v>
      </c>
      <c r="L6" s="87">
        <v>2</v>
      </c>
      <c r="N6" s="87">
        <v>5</v>
      </c>
      <c r="O6" s="87">
        <v>0.45</v>
      </c>
      <c r="P6" s="87">
        <v>0.2</v>
      </c>
      <c r="Q6" s="113">
        <f t="shared" si="0"/>
        <v>0.32500000000000001</v>
      </c>
      <c r="R6" s="87">
        <v>13.3</v>
      </c>
      <c r="S6" s="87">
        <v>75</v>
      </c>
      <c r="T6" s="16">
        <f t="shared" si="1"/>
        <v>42</v>
      </c>
      <c r="U6" s="87">
        <v>278</v>
      </c>
      <c r="V6" s="16">
        <f t="shared" si="2"/>
        <v>2335.2000000000003</v>
      </c>
      <c r="W6" s="87">
        <v>2</v>
      </c>
      <c r="X6" s="95" t="s">
        <v>39</v>
      </c>
      <c r="Y6" s="95" t="s">
        <v>84</v>
      </c>
      <c r="Z6" s="95" t="s">
        <v>90</v>
      </c>
      <c r="AA6" s="95" t="s">
        <v>50</v>
      </c>
      <c r="AB6" s="95" t="s">
        <v>183</v>
      </c>
      <c r="AE6" s="97" t="s">
        <v>56</v>
      </c>
      <c r="AG6" s="232" t="s">
        <v>534</v>
      </c>
      <c r="AH6" s="105" t="s">
        <v>535</v>
      </c>
      <c r="AL6" s="29" t="s">
        <v>509</v>
      </c>
      <c r="AN6" s="29" t="s">
        <v>510</v>
      </c>
      <c r="AP6" s="23" t="s">
        <v>53</v>
      </c>
      <c r="AR6" s="41" t="s">
        <v>59</v>
      </c>
      <c r="AV6" s="23" t="s">
        <v>60</v>
      </c>
      <c r="AX6" s="24">
        <v>97</v>
      </c>
      <c r="AY6" s="25">
        <v>36</v>
      </c>
      <c r="AZ6" s="25">
        <v>99</v>
      </c>
      <c r="BA6" s="26">
        <v>33</v>
      </c>
    </row>
    <row r="7" spans="1:53" x14ac:dyDescent="0.15">
      <c r="A7" s="95" t="s">
        <v>34</v>
      </c>
      <c r="B7" s="87" t="s">
        <v>181</v>
      </c>
      <c r="C7" s="87">
        <v>2018</v>
      </c>
      <c r="D7" s="230" t="s">
        <v>525</v>
      </c>
      <c r="E7" s="100" t="s">
        <v>284</v>
      </c>
      <c r="F7" s="100" t="s">
        <v>526</v>
      </c>
      <c r="G7" s="95" t="s">
        <v>36</v>
      </c>
      <c r="H7" s="87" t="s">
        <v>155</v>
      </c>
      <c r="I7" s="95" t="s">
        <v>153</v>
      </c>
      <c r="J7" s="95" t="s">
        <v>38</v>
      </c>
      <c r="K7" s="95" t="s">
        <v>154</v>
      </c>
      <c r="L7" s="87">
        <v>3</v>
      </c>
      <c r="N7" s="87">
        <v>5</v>
      </c>
      <c r="O7" s="87">
        <v>0.45</v>
      </c>
      <c r="P7" s="87">
        <v>0.2</v>
      </c>
      <c r="Q7" s="113">
        <f t="shared" si="0"/>
        <v>0.32500000000000001</v>
      </c>
      <c r="R7" s="87">
        <v>11.4</v>
      </c>
      <c r="S7" s="87">
        <v>77</v>
      </c>
      <c r="T7" s="16">
        <f t="shared" si="1"/>
        <v>39</v>
      </c>
      <c r="U7" s="87">
        <v>278</v>
      </c>
      <c r="V7" s="16">
        <f t="shared" si="2"/>
        <v>2168.4</v>
      </c>
      <c r="W7" s="87">
        <v>2</v>
      </c>
      <c r="X7" s="95" t="s">
        <v>39</v>
      </c>
      <c r="Y7" s="95" t="s">
        <v>84</v>
      </c>
      <c r="Z7" s="95" t="s">
        <v>90</v>
      </c>
      <c r="AA7" s="95" t="s">
        <v>50</v>
      </c>
      <c r="AB7" s="95" t="s">
        <v>183</v>
      </c>
      <c r="AE7" s="97" t="s">
        <v>61</v>
      </c>
      <c r="AG7" s="232" t="s">
        <v>284</v>
      </c>
      <c r="AH7" s="105" t="s">
        <v>526</v>
      </c>
      <c r="AL7" s="34" t="s">
        <v>512</v>
      </c>
      <c r="AP7" s="23" t="s">
        <v>58</v>
      </c>
      <c r="AR7" s="98" t="s">
        <v>122</v>
      </c>
      <c r="AV7" s="23" t="s">
        <v>64</v>
      </c>
      <c r="AX7" s="24">
        <v>109</v>
      </c>
      <c r="AY7" s="25">
        <v>33</v>
      </c>
      <c r="AZ7" s="25">
        <v>113</v>
      </c>
      <c r="BA7" s="26">
        <v>30</v>
      </c>
    </row>
    <row r="8" spans="1:53" x14ac:dyDescent="0.15">
      <c r="A8" s="95" t="s">
        <v>34</v>
      </c>
      <c r="B8" s="87" t="s">
        <v>181</v>
      </c>
      <c r="C8" s="87">
        <v>2018</v>
      </c>
      <c r="D8" s="230" t="s">
        <v>366</v>
      </c>
      <c r="E8" s="100" t="s">
        <v>284</v>
      </c>
      <c r="F8" s="100" t="s">
        <v>526</v>
      </c>
      <c r="G8" s="95" t="s">
        <v>36</v>
      </c>
      <c r="H8" s="87" t="s">
        <v>159</v>
      </c>
      <c r="I8" s="95" t="s">
        <v>153</v>
      </c>
      <c r="J8" s="95" t="s">
        <v>38</v>
      </c>
      <c r="K8" s="95" t="s">
        <v>166</v>
      </c>
      <c r="L8" s="95">
        <v>1</v>
      </c>
      <c r="N8" s="87">
        <v>3</v>
      </c>
      <c r="O8" s="87">
        <v>0.55000000000000004</v>
      </c>
      <c r="P8" s="87">
        <v>0.65</v>
      </c>
      <c r="Q8" s="113">
        <f t="shared" si="0"/>
        <v>0.60000000000000009</v>
      </c>
      <c r="R8" s="87">
        <v>9.4</v>
      </c>
      <c r="S8" s="87">
        <v>84</v>
      </c>
      <c r="T8" s="16">
        <f t="shared" si="1"/>
        <v>36</v>
      </c>
      <c r="U8" s="87">
        <v>429</v>
      </c>
      <c r="V8" s="16">
        <f t="shared" si="2"/>
        <v>5148</v>
      </c>
      <c r="W8" s="87">
        <v>1</v>
      </c>
      <c r="X8" s="95" t="s">
        <v>39</v>
      </c>
      <c r="Y8" s="95" t="s">
        <v>84</v>
      </c>
      <c r="Z8" s="95" t="s">
        <v>90</v>
      </c>
      <c r="AA8" s="95" t="s">
        <v>50</v>
      </c>
      <c r="AB8" s="95" t="s">
        <v>183</v>
      </c>
      <c r="AE8" s="97" t="s">
        <v>59</v>
      </c>
      <c r="AG8" s="232" t="s">
        <v>536</v>
      </c>
      <c r="AH8" s="105" t="s">
        <v>537</v>
      </c>
      <c r="AL8" s="34" t="s">
        <v>226</v>
      </c>
      <c r="AP8" s="23" t="s">
        <v>62</v>
      </c>
      <c r="AR8" s="41" t="s">
        <v>81</v>
      </c>
      <c r="AV8" s="23" t="s">
        <v>97</v>
      </c>
      <c r="AX8" s="24">
        <v>151</v>
      </c>
      <c r="AY8" s="25">
        <v>22</v>
      </c>
      <c r="AZ8" s="25">
        <v>152</v>
      </c>
      <c r="BA8" s="26">
        <v>18</v>
      </c>
    </row>
    <row r="9" spans="1:53" x14ac:dyDescent="0.15">
      <c r="A9" s="95" t="s">
        <v>34</v>
      </c>
      <c r="B9" s="87" t="s">
        <v>181</v>
      </c>
      <c r="C9" s="87">
        <v>2018</v>
      </c>
      <c r="D9" s="230" t="s">
        <v>366</v>
      </c>
      <c r="E9" s="100" t="s">
        <v>284</v>
      </c>
      <c r="F9" s="100" t="s">
        <v>526</v>
      </c>
      <c r="G9" s="95" t="s">
        <v>36</v>
      </c>
      <c r="H9" s="87" t="s">
        <v>159</v>
      </c>
      <c r="I9" s="95" t="s">
        <v>153</v>
      </c>
      <c r="J9" s="95" t="s">
        <v>38</v>
      </c>
      <c r="K9" s="95" t="s">
        <v>166</v>
      </c>
      <c r="L9" s="87">
        <v>2</v>
      </c>
      <c r="N9" s="87">
        <v>3</v>
      </c>
      <c r="O9" s="87">
        <v>0.7</v>
      </c>
      <c r="P9" s="87">
        <v>0.65</v>
      </c>
      <c r="Q9" s="113">
        <f t="shared" si="0"/>
        <v>0.67500000000000004</v>
      </c>
      <c r="R9" s="87">
        <v>13.8</v>
      </c>
      <c r="S9" s="87">
        <v>87</v>
      </c>
      <c r="T9" s="16">
        <f t="shared" si="1"/>
        <v>36</v>
      </c>
      <c r="U9" s="87">
        <v>429</v>
      </c>
      <c r="V9" s="16">
        <f t="shared" si="2"/>
        <v>5148</v>
      </c>
      <c r="W9" s="87">
        <v>1</v>
      </c>
      <c r="X9" s="95" t="s">
        <v>39</v>
      </c>
      <c r="Y9" s="95" t="s">
        <v>84</v>
      </c>
      <c r="Z9" s="95" t="s">
        <v>90</v>
      </c>
      <c r="AA9" s="95" t="s">
        <v>50</v>
      </c>
      <c r="AB9" s="95" t="s">
        <v>183</v>
      </c>
      <c r="AE9" s="97" t="s">
        <v>98</v>
      </c>
      <c r="AG9" s="232" t="s">
        <v>538</v>
      </c>
      <c r="AH9" s="105" t="s">
        <v>539</v>
      </c>
      <c r="AL9" s="29"/>
      <c r="AP9" s="23" t="s">
        <v>95</v>
      </c>
      <c r="AR9" s="98" t="s">
        <v>89</v>
      </c>
      <c r="AV9" s="23" t="s">
        <v>102</v>
      </c>
      <c r="AX9" s="31">
        <v>180</v>
      </c>
      <c r="AY9" s="32">
        <v>18</v>
      </c>
      <c r="AZ9" s="32">
        <v>181</v>
      </c>
      <c r="BA9" s="33">
        <v>16</v>
      </c>
    </row>
    <row r="10" spans="1:53" x14ac:dyDescent="0.15">
      <c r="A10" s="95" t="s">
        <v>34</v>
      </c>
      <c r="B10" s="87" t="s">
        <v>181</v>
      </c>
      <c r="C10" s="87">
        <v>2018</v>
      </c>
      <c r="D10" s="230" t="s">
        <v>372</v>
      </c>
      <c r="E10" s="100" t="s">
        <v>284</v>
      </c>
      <c r="F10" s="100" t="s">
        <v>526</v>
      </c>
      <c r="G10" s="95" t="s">
        <v>36</v>
      </c>
      <c r="H10" s="87" t="s">
        <v>159</v>
      </c>
      <c r="I10" s="95" t="s">
        <v>153</v>
      </c>
      <c r="J10" s="95" t="s">
        <v>38</v>
      </c>
      <c r="K10" s="95" t="s">
        <v>166</v>
      </c>
      <c r="L10" s="87">
        <v>3</v>
      </c>
      <c r="N10" s="87">
        <v>3</v>
      </c>
      <c r="O10" s="87">
        <v>0.55000000000000004</v>
      </c>
      <c r="P10" s="87">
        <v>0.6</v>
      </c>
      <c r="Q10" s="113">
        <f t="shared" si="0"/>
        <v>0.57499999999999996</v>
      </c>
      <c r="R10" s="87">
        <v>11.5</v>
      </c>
      <c r="S10" s="87">
        <v>90</v>
      </c>
      <c r="T10" s="16">
        <f t="shared" si="1"/>
        <v>36</v>
      </c>
      <c r="U10" s="87">
        <v>429</v>
      </c>
      <c r="V10" s="16">
        <f t="shared" si="2"/>
        <v>5148</v>
      </c>
      <c r="W10" s="87">
        <v>1</v>
      </c>
      <c r="X10" s="95" t="s">
        <v>39</v>
      </c>
      <c r="Y10" s="95" t="s">
        <v>84</v>
      </c>
      <c r="Z10" s="95" t="s">
        <v>90</v>
      </c>
      <c r="AA10" s="95" t="s">
        <v>50</v>
      </c>
      <c r="AB10" s="95" t="s">
        <v>183</v>
      </c>
      <c r="AE10" s="97" t="s">
        <v>103</v>
      </c>
      <c r="AG10" s="232" t="s">
        <v>540</v>
      </c>
      <c r="AH10" s="105" t="s">
        <v>541</v>
      </c>
      <c r="AL10" s="34"/>
      <c r="AP10" s="23" t="s">
        <v>100</v>
      </c>
      <c r="AR10" s="98" t="s">
        <v>123</v>
      </c>
      <c r="AV10" s="23" t="s">
        <v>106</v>
      </c>
    </row>
    <row r="11" spans="1:53" x14ac:dyDescent="0.15">
      <c r="A11" s="95" t="s">
        <v>34</v>
      </c>
      <c r="B11" s="87" t="s">
        <v>181</v>
      </c>
      <c r="C11" s="87">
        <v>2018</v>
      </c>
      <c r="D11" s="230" t="s">
        <v>372</v>
      </c>
      <c r="E11" s="100" t="s">
        <v>284</v>
      </c>
      <c r="F11" s="100" t="s">
        <v>526</v>
      </c>
      <c r="G11" s="95" t="s">
        <v>36</v>
      </c>
      <c r="H11" s="87" t="s">
        <v>128</v>
      </c>
      <c r="I11" s="95" t="s">
        <v>153</v>
      </c>
      <c r="J11" s="95" t="s">
        <v>80</v>
      </c>
      <c r="K11" s="95" t="s">
        <v>63</v>
      </c>
      <c r="L11" s="95">
        <v>1</v>
      </c>
      <c r="N11" s="87">
        <v>5</v>
      </c>
      <c r="O11" s="87">
        <v>0.85</v>
      </c>
      <c r="P11" s="87">
        <v>0.75</v>
      </c>
      <c r="Q11" s="113">
        <f t="shared" si="0"/>
        <v>0.8</v>
      </c>
      <c r="R11" s="87">
        <v>16.7</v>
      </c>
      <c r="S11" s="87">
        <v>81</v>
      </c>
      <c r="T11" s="16">
        <f t="shared" si="1"/>
        <v>39</v>
      </c>
      <c r="U11" s="87">
        <v>537</v>
      </c>
      <c r="V11" s="16">
        <f t="shared" si="2"/>
        <v>4188.6000000000004</v>
      </c>
      <c r="W11" s="87">
        <v>1</v>
      </c>
      <c r="X11" s="95" t="s">
        <v>39</v>
      </c>
      <c r="Y11" s="95" t="s">
        <v>84</v>
      </c>
      <c r="Z11" s="95" t="s">
        <v>90</v>
      </c>
      <c r="AA11" s="95" t="s">
        <v>50</v>
      </c>
      <c r="AB11" s="95" t="s">
        <v>183</v>
      </c>
      <c r="AE11" s="97" t="s">
        <v>65</v>
      </c>
      <c r="AG11" s="232" t="s">
        <v>161</v>
      </c>
      <c r="AH11" s="105" t="s">
        <v>542</v>
      </c>
      <c r="AL11" s="34"/>
      <c r="AP11" s="23" t="s">
        <v>104</v>
      </c>
      <c r="AR11" s="98" t="s">
        <v>87</v>
      </c>
      <c r="AV11" s="23" t="s">
        <v>69</v>
      </c>
    </row>
    <row r="12" spans="1:53" x14ac:dyDescent="0.15">
      <c r="A12" s="95" t="s">
        <v>34</v>
      </c>
      <c r="B12" s="87" t="s">
        <v>181</v>
      </c>
      <c r="C12" s="87">
        <v>2018</v>
      </c>
      <c r="D12" s="230" t="s">
        <v>378</v>
      </c>
      <c r="E12" s="100" t="s">
        <v>284</v>
      </c>
      <c r="F12" s="100" t="s">
        <v>526</v>
      </c>
      <c r="G12" s="95" t="s">
        <v>36</v>
      </c>
      <c r="H12" s="87" t="s">
        <v>128</v>
      </c>
      <c r="I12" s="95" t="s">
        <v>153</v>
      </c>
      <c r="J12" s="95" t="s">
        <v>80</v>
      </c>
      <c r="K12" s="95" t="s">
        <v>63</v>
      </c>
      <c r="L12" s="87">
        <v>2</v>
      </c>
      <c r="N12" s="87">
        <v>5</v>
      </c>
      <c r="O12" s="87">
        <v>0.75</v>
      </c>
      <c r="P12" s="87">
        <v>0.75</v>
      </c>
      <c r="Q12" s="113">
        <f t="shared" si="0"/>
        <v>0.75</v>
      </c>
      <c r="R12" s="87">
        <v>14.5</v>
      </c>
      <c r="S12" s="87">
        <v>73</v>
      </c>
      <c r="T12" s="16">
        <f t="shared" si="1"/>
        <v>42</v>
      </c>
      <c r="U12" s="87">
        <v>537</v>
      </c>
      <c r="V12" s="16">
        <f t="shared" si="2"/>
        <v>4510.8</v>
      </c>
      <c r="W12" s="87">
        <v>1</v>
      </c>
      <c r="X12" s="95" t="s">
        <v>39</v>
      </c>
      <c r="Y12" s="95" t="s">
        <v>84</v>
      </c>
      <c r="Z12" s="95" t="s">
        <v>90</v>
      </c>
      <c r="AA12" s="95" t="s">
        <v>50</v>
      </c>
      <c r="AB12" s="95" t="s">
        <v>183</v>
      </c>
      <c r="AE12" s="97" t="s">
        <v>70</v>
      </c>
      <c r="AG12" s="106"/>
      <c r="AH12" s="23"/>
      <c r="AL12" s="34"/>
      <c r="AP12" s="23" t="s">
        <v>67</v>
      </c>
      <c r="AR12" s="98" t="s">
        <v>124</v>
      </c>
      <c r="AV12" s="23" t="s">
        <v>72</v>
      </c>
    </row>
    <row r="13" spans="1:53" x14ac:dyDescent="0.15">
      <c r="A13" s="95" t="s">
        <v>34</v>
      </c>
      <c r="B13" s="87" t="s">
        <v>181</v>
      </c>
      <c r="C13" s="87">
        <v>2018</v>
      </c>
      <c r="D13" s="230" t="s">
        <v>381</v>
      </c>
      <c r="E13" s="100" t="s">
        <v>284</v>
      </c>
      <c r="F13" s="100" t="s">
        <v>526</v>
      </c>
      <c r="G13" s="95" t="s">
        <v>36</v>
      </c>
      <c r="H13" s="87" t="s">
        <v>128</v>
      </c>
      <c r="I13" s="95" t="s">
        <v>153</v>
      </c>
      <c r="J13" s="95" t="s">
        <v>80</v>
      </c>
      <c r="K13" s="95" t="s">
        <v>63</v>
      </c>
      <c r="L13" s="87">
        <v>3</v>
      </c>
      <c r="N13" s="87">
        <v>5</v>
      </c>
      <c r="O13" s="87">
        <v>0.6</v>
      </c>
      <c r="P13" s="87">
        <v>0.6</v>
      </c>
      <c r="Q13" s="113">
        <f t="shared" si="0"/>
        <v>0.6</v>
      </c>
      <c r="R13" s="87">
        <v>14.4</v>
      </c>
      <c r="S13" s="87">
        <v>79</v>
      </c>
      <c r="T13" s="16">
        <f t="shared" si="1"/>
        <v>39</v>
      </c>
      <c r="U13" s="87">
        <v>537</v>
      </c>
      <c r="V13" s="16">
        <f t="shared" si="2"/>
        <v>4188.6000000000004</v>
      </c>
      <c r="W13" s="87">
        <v>1</v>
      </c>
      <c r="X13" s="95" t="s">
        <v>39</v>
      </c>
      <c r="Y13" s="95" t="s">
        <v>84</v>
      </c>
      <c r="Z13" s="95" t="s">
        <v>90</v>
      </c>
      <c r="AA13" s="95" t="s">
        <v>50</v>
      </c>
      <c r="AB13" s="95" t="s">
        <v>183</v>
      </c>
      <c r="AE13" s="97" t="s">
        <v>73</v>
      </c>
      <c r="AG13" s="107"/>
      <c r="AH13" s="28"/>
      <c r="AP13" s="23" t="s">
        <v>71</v>
      </c>
      <c r="AR13" s="98" t="s">
        <v>103</v>
      </c>
      <c r="AV13" s="23" t="s">
        <v>75</v>
      </c>
    </row>
    <row r="14" spans="1:53" x14ac:dyDescent="0.15">
      <c r="A14" s="95" t="s">
        <v>34</v>
      </c>
      <c r="B14" s="87" t="s">
        <v>181</v>
      </c>
      <c r="C14" s="87">
        <v>2018</v>
      </c>
      <c r="D14" s="230" t="s">
        <v>384</v>
      </c>
      <c r="E14" s="100" t="s">
        <v>538</v>
      </c>
      <c r="F14" s="100" t="s">
        <v>539</v>
      </c>
      <c r="G14" s="95" t="s">
        <v>36</v>
      </c>
      <c r="H14" s="87" t="s">
        <v>155</v>
      </c>
      <c r="I14" s="95" t="s">
        <v>153</v>
      </c>
      <c r="J14" s="95" t="s">
        <v>38</v>
      </c>
      <c r="K14" s="95" t="s">
        <v>154</v>
      </c>
      <c r="L14" s="95">
        <v>1</v>
      </c>
      <c r="N14" s="87">
        <v>1</v>
      </c>
      <c r="O14" s="87">
        <v>0.9</v>
      </c>
      <c r="P14" s="87">
        <v>1</v>
      </c>
      <c r="Q14" s="113">
        <f t="shared" si="0"/>
        <v>0.95</v>
      </c>
      <c r="R14" s="87">
        <v>13.2</v>
      </c>
      <c r="S14" s="87">
        <v>119</v>
      </c>
      <c r="T14" s="16">
        <f t="shared" si="1"/>
        <v>30</v>
      </c>
      <c r="U14" s="87">
        <v>95</v>
      </c>
      <c r="V14" s="16">
        <f t="shared" si="2"/>
        <v>2850</v>
      </c>
      <c r="W14" s="87">
        <v>4</v>
      </c>
      <c r="X14" s="95" t="s">
        <v>39</v>
      </c>
      <c r="Y14" s="95" t="s">
        <v>84</v>
      </c>
      <c r="Z14" s="95" t="s">
        <v>90</v>
      </c>
      <c r="AA14" s="95" t="s">
        <v>50</v>
      </c>
      <c r="AB14" s="95" t="s">
        <v>183</v>
      </c>
      <c r="AE14" s="97" t="s">
        <v>76</v>
      </c>
      <c r="AG14" s="233"/>
      <c r="AL14" s="167"/>
      <c r="AP14" s="23" t="s">
        <v>74</v>
      </c>
      <c r="AR14" s="98" t="s">
        <v>125</v>
      </c>
      <c r="AV14" s="23" t="s">
        <v>78</v>
      </c>
    </row>
    <row r="15" spans="1:53" x14ac:dyDescent="0.15">
      <c r="A15" s="95" t="s">
        <v>34</v>
      </c>
      <c r="B15" s="87" t="s">
        <v>181</v>
      </c>
      <c r="C15" s="87">
        <v>2018</v>
      </c>
      <c r="D15" s="230" t="s">
        <v>384</v>
      </c>
      <c r="E15" s="100" t="s">
        <v>538</v>
      </c>
      <c r="F15" s="100" t="s">
        <v>539</v>
      </c>
      <c r="G15" s="95" t="s">
        <v>36</v>
      </c>
      <c r="H15" s="87" t="s">
        <v>155</v>
      </c>
      <c r="I15" s="95" t="s">
        <v>153</v>
      </c>
      <c r="J15" s="95" t="s">
        <v>38</v>
      </c>
      <c r="K15" s="95" t="s">
        <v>154</v>
      </c>
      <c r="L15" s="87">
        <v>2</v>
      </c>
      <c r="N15" s="87">
        <v>1</v>
      </c>
      <c r="O15" s="87">
        <v>1</v>
      </c>
      <c r="P15" s="87">
        <v>1</v>
      </c>
      <c r="Q15" s="113">
        <f t="shared" si="0"/>
        <v>1</v>
      </c>
      <c r="R15" s="87">
        <v>13.3</v>
      </c>
      <c r="S15" s="87">
        <v>118</v>
      </c>
      <c r="T15" s="16">
        <f t="shared" si="1"/>
        <v>30</v>
      </c>
      <c r="U15" s="87">
        <v>95</v>
      </c>
      <c r="V15" s="16">
        <f t="shared" si="2"/>
        <v>2850</v>
      </c>
      <c r="W15" s="87">
        <v>4</v>
      </c>
      <c r="X15" s="95" t="s">
        <v>39</v>
      </c>
      <c r="Y15" s="95" t="s">
        <v>84</v>
      </c>
      <c r="Z15" s="95" t="s">
        <v>90</v>
      </c>
      <c r="AA15" s="95" t="s">
        <v>50</v>
      </c>
      <c r="AB15" s="95" t="s">
        <v>183</v>
      </c>
      <c r="AE15" s="97" t="s">
        <v>79</v>
      </c>
      <c r="AL15" s="234"/>
      <c r="AP15" s="23" t="s">
        <v>77</v>
      </c>
      <c r="AR15" s="98" t="s">
        <v>94</v>
      </c>
      <c r="AV15" s="23" t="s">
        <v>107</v>
      </c>
    </row>
    <row r="16" spans="1:53" x14ac:dyDescent="0.15">
      <c r="A16" s="95" t="s">
        <v>34</v>
      </c>
      <c r="B16" s="87" t="s">
        <v>181</v>
      </c>
      <c r="C16" s="87">
        <v>2018</v>
      </c>
      <c r="D16" s="230" t="s">
        <v>388</v>
      </c>
      <c r="E16" s="100" t="s">
        <v>538</v>
      </c>
      <c r="F16" s="100" t="s">
        <v>539</v>
      </c>
      <c r="G16" s="95" t="s">
        <v>36</v>
      </c>
      <c r="H16" s="87" t="s">
        <v>155</v>
      </c>
      <c r="I16" s="95" t="s">
        <v>153</v>
      </c>
      <c r="J16" s="95" t="s">
        <v>38</v>
      </c>
      <c r="K16" s="95" t="s">
        <v>154</v>
      </c>
      <c r="L16" s="87">
        <v>3</v>
      </c>
      <c r="N16" s="87">
        <v>1</v>
      </c>
      <c r="O16" s="87">
        <v>0.85</v>
      </c>
      <c r="P16" s="87">
        <v>0.85</v>
      </c>
      <c r="Q16" s="113">
        <f t="shared" si="0"/>
        <v>0.85</v>
      </c>
      <c r="R16" s="87">
        <v>12.9</v>
      </c>
      <c r="S16" s="87">
        <v>118</v>
      </c>
      <c r="T16" s="16">
        <f t="shared" si="1"/>
        <v>30</v>
      </c>
      <c r="U16" s="87">
        <v>95</v>
      </c>
      <c r="V16" s="16">
        <f t="shared" si="2"/>
        <v>2850</v>
      </c>
      <c r="W16" s="87">
        <v>4</v>
      </c>
      <c r="X16" s="95" t="s">
        <v>39</v>
      </c>
      <c r="Y16" s="95" t="s">
        <v>84</v>
      </c>
      <c r="Z16" s="95" t="s">
        <v>90</v>
      </c>
      <c r="AA16" s="95" t="s">
        <v>50</v>
      </c>
      <c r="AB16" s="95" t="s">
        <v>183</v>
      </c>
      <c r="AE16" s="97" t="s">
        <v>82</v>
      </c>
      <c r="AL16" s="234"/>
      <c r="AP16" s="23" t="s">
        <v>80</v>
      </c>
      <c r="AR16" s="41" t="s">
        <v>63</v>
      </c>
      <c r="AV16" s="23" t="s">
        <v>84</v>
      </c>
    </row>
    <row r="17" spans="1:48" x14ac:dyDescent="0.15">
      <c r="A17" s="95" t="s">
        <v>34</v>
      </c>
      <c r="B17" s="87" t="s">
        <v>181</v>
      </c>
      <c r="C17" s="87">
        <v>2018</v>
      </c>
      <c r="D17" s="230" t="s">
        <v>388</v>
      </c>
      <c r="E17" s="100" t="s">
        <v>538</v>
      </c>
      <c r="F17" s="100" t="s">
        <v>539</v>
      </c>
      <c r="G17" s="95" t="s">
        <v>36</v>
      </c>
      <c r="H17" s="87" t="s">
        <v>155</v>
      </c>
      <c r="I17" s="95" t="s">
        <v>153</v>
      </c>
      <c r="J17" s="95" t="s">
        <v>38</v>
      </c>
      <c r="K17" s="95" t="s">
        <v>154</v>
      </c>
      <c r="L17" s="95">
        <v>1</v>
      </c>
      <c r="N17" s="87">
        <v>5</v>
      </c>
      <c r="O17" s="87">
        <v>0.6</v>
      </c>
      <c r="P17" s="87">
        <v>0.5</v>
      </c>
      <c r="Q17" s="113">
        <f t="shared" si="0"/>
        <v>0.55000000000000004</v>
      </c>
      <c r="R17" s="87">
        <v>12.8</v>
      </c>
      <c r="S17" s="87">
        <v>94</v>
      </c>
      <c r="T17" s="16">
        <f t="shared" si="1"/>
        <v>36</v>
      </c>
      <c r="U17" s="87">
        <v>321</v>
      </c>
      <c r="V17" s="16">
        <f t="shared" si="2"/>
        <v>2311.2000000000003</v>
      </c>
      <c r="W17" s="87">
        <v>4</v>
      </c>
      <c r="X17" s="95" t="s">
        <v>39</v>
      </c>
      <c r="Y17" s="95" t="s">
        <v>84</v>
      </c>
      <c r="Z17" s="95" t="s">
        <v>90</v>
      </c>
      <c r="AA17" s="95" t="s">
        <v>50</v>
      </c>
      <c r="AB17" s="95" t="s">
        <v>183</v>
      </c>
      <c r="AE17" s="97" t="s">
        <v>85</v>
      </c>
      <c r="AL17" s="234"/>
      <c r="AP17" s="101" t="s">
        <v>110</v>
      </c>
      <c r="AR17" s="41" t="s">
        <v>96</v>
      </c>
      <c r="AV17" s="23" t="s">
        <v>86</v>
      </c>
    </row>
    <row r="18" spans="1:48" x14ac:dyDescent="0.15">
      <c r="A18" s="95" t="s">
        <v>34</v>
      </c>
      <c r="B18" s="87" t="s">
        <v>181</v>
      </c>
      <c r="C18" s="87">
        <v>2018</v>
      </c>
      <c r="D18" s="230" t="s">
        <v>388</v>
      </c>
      <c r="E18" s="100" t="s">
        <v>538</v>
      </c>
      <c r="F18" s="100" t="s">
        <v>539</v>
      </c>
      <c r="G18" s="95" t="s">
        <v>36</v>
      </c>
      <c r="H18" s="87" t="s">
        <v>155</v>
      </c>
      <c r="I18" s="95" t="s">
        <v>153</v>
      </c>
      <c r="J18" s="95" t="s">
        <v>38</v>
      </c>
      <c r="K18" s="95" t="s">
        <v>154</v>
      </c>
      <c r="L18" s="87">
        <v>2</v>
      </c>
      <c r="N18" s="87">
        <v>5</v>
      </c>
      <c r="O18" s="87">
        <v>0.8</v>
      </c>
      <c r="P18" s="87">
        <v>0.8</v>
      </c>
      <c r="Q18" s="113">
        <f t="shared" si="0"/>
        <v>0.8</v>
      </c>
      <c r="R18" s="87">
        <v>13.3</v>
      </c>
      <c r="S18" s="87">
        <v>97</v>
      </c>
      <c r="T18" s="16">
        <f t="shared" si="1"/>
        <v>36</v>
      </c>
      <c r="U18" s="87">
        <v>321</v>
      </c>
      <c r="V18" s="16">
        <f t="shared" si="2"/>
        <v>2311.2000000000003</v>
      </c>
      <c r="W18" s="87">
        <v>4</v>
      </c>
      <c r="X18" s="95" t="s">
        <v>39</v>
      </c>
      <c r="Y18" s="95" t="s">
        <v>84</v>
      </c>
      <c r="Z18" s="95" t="s">
        <v>90</v>
      </c>
      <c r="AA18" s="95" t="s">
        <v>50</v>
      </c>
      <c r="AB18" s="95" t="s">
        <v>183</v>
      </c>
      <c r="AE18" s="97" t="s">
        <v>87</v>
      </c>
      <c r="AL18" s="95"/>
      <c r="AP18" s="101" t="s">
        <v>111</v>
      </c>
      <c r="AR18" s="41" t="s">
        <v>101</v>
      </c>
      <c r="AV18" s="23" t="s">
        <v>88</v>
      </c>
    </row>
    <row r="19" spans="1:48" x14ac:dyDescent="0.15">
      <c r="A19" s="95" t="s">
        <v>34</v>
      </c>
      <c r="B19" s="87" t="s">
        <v>181</v>
      </c>
      <c r="C19" s="87">
        <v>2018</v>
      </c>
      <c r="D19" s="230" t="s">
        <v>378</v>
      </c>
      <c r="E19" s="100" t="s">
        <v>538</v>
      </c>
      <c r="F19" s="100" t="s">
        <v>539</v>
      </c>
      <c r="G19" s="95" t="s">
        <v>36</v>
      </c>
      <c r="H19" s="87" t="s">
        <v>155</v>
      </c>
      <c r="I19" s="95" t="s">
        <v>153</v>
      </c>
      <c r="J19" s="95" t="s">
        <v>38</v>
      </c>
      <c r="K19" s="95" t="s">
        <v>154</v>
      </c>
      <c r="L19" s="87">
        <v>3</v>
      </c>
      <c r="N19" s="87">
        <v>5</v>
      </c>
      <c r="O19" s="87">
        <v>0.75</v>
      </c>
      <c r="P19" s="87">
        <v>0.8</v>
      </c>
      <c r="Q19" s="113">
        <f t="shared" si="0"/>
        <v>0.77500000000000002</v>
      </c>
      <c r="R19" s="87">
        <v>14</v>
      </c>
      <c r="S19" s="87">
        <v>105</v>
      </c>
      <c r="T19" s="16">
        <f t="shared" si="1"/>
        <v>33</v>
      </c>
      <c r="U19" s="87">
        <v>321</v>
      </c>
      <c r="V19" s="16">
        <f t="shared" si="2"/>
        <v>2118.6</v>
      </c>
      <c r="W19" s="87">
        <v>4</v>
      </c>
      <c r="X19" s="95" t="s">
        <v>39</v>
      </c>
      <c r="Y19" s="95" t="s">
        <v>84</v>
      </c>
      <c r="Z19" s="95" t="s">
        <v>90</v>
      </c>
      <c r="AA19" s="95" t="s">
        <v>50</v>
      </c>
      <c r="AB19" s="95" t="s">
        <v>183</v>
      </c>
      <c r="AE19" s="99" t="s">
        <v>89</v>
      </c>
      <c r="AP19" s="101" t="s">
        <v>112</v>
      </c>
      <c r="AR19" s="98" t="s">
        <v>126</v>
      </c>
      <c r="AV19" s="23" t="s">
        <v>90</v>
      </c>
    </row>
    <row r="20" spans="1:48" x14ac:dyDescent="0.15">
      <c r="A20" s="95" t="s">
        <v>34</v>
      </c>
      <c r="B20" s="87" t="s">
        <v>181</v>
      </c>
      <c r="C20" s="87">
        <v>2018</v>
      </c>
      <c r="D20" s="230" t="s">
        <v>378</v>
      </c>
      <c r="E20" s="100" t="s">
        <v>538</v>
      </c>
      <c r="F20" s="100" t="s">
        <v>539</v>
      </c>
      <c r="G20" s="95" t="s">
        <v>36</v>
      </c>
      <c r="H20" s="87" t="s">
        <v>159</v>
      </c>
      <c r="I20" s="95" t="s">
        <v>153</v>
      </c>
      <c r="J20" s="95" t="s">
        <v>38</v>
      </c>
      <c r="K20" s="95" t="s">
        <v>154</v>
      </c>
      <c r="L20" s="95">
        <v>1</v>
      </c>
      <c r="N20" s="87">
        <v>4</v>
      </c>
      <c r="O20" s="87">
        <v>0.7</v>
      </c>
      <c r="P20" s="87">
        <v>0.65</v>
      </c>
      <c r="Q20" s="113">
        <f t="shared" si="0"/>
        <v>0.67500000000000004</v>
      </c>
      <c r="R20" s="87">
        <v>15</v>
      </c>
      <c r="S20" s="87">
        <v>100</v>
      </c>
      <c r="T20" s="16">
        <f t="shared" si="1"/>
        <v>33</v>
      </c>
      <c r="U20" s="87">
        <v>494</v>
      </c>
      <c r="V20" s="16">
        <f t="shared" si="2"/>
        <v>4075.5</v>
      </c>
      <c r="W20" s="87">
        <v>1</v>
      </c>
      <c r="X20" s="95" t="s">
        <v>39</v>
      </c>
      <c r="Y20" s="95" t="s">
        <v>84</v>
      </c>
      <c r="Z20" s="95" t="s">
        <v>90</v>
      </c>
      <c r="AA20" s="95" t="s">
        <v>50</v>
      </c>
      <c r="AB20" s="95" t="s">
        <v>183</v>
      </c>
      <c r="AP20" s="101" t="s">
        <v>113</v>
      </c>
      <c r="AR20" s="41" t="s">
        <v>105</v>
      </c>
      <c r="AV20" s="27" t="s">
        <v>248</v>
      </c>
    </row>
    <row r="21" spans="1:48" x14ac:dyDescent="0.15">
      <c r="A21" s="95" t="s">
        <v>34</v>
      </c>
      <c r="B21" s="87" t="s">
        <v>181</v>
      </c>
      <c r="C21" s="87">
        <v>2018</v>
      </c>
      <c r="D21" s="230" t="s">
        <v>378</v>
      </c>
      <c r="E21" s="100" t="s">
        <v>538</v>
      </c>
      <c r="F21" s="100" t="s">
        <v>539</v>
      </c>
      <c r="G21" s="95" t="s">
        <v>36</v>
      </c>
      <c r="H21" s="87" t="s">
        <v>159</v>
      </c>
      <c r="I21" s="95" t="s">
        <v>153</v>
      </c>
      <c r="J21" s="95" t="s">
        <v>38</v>
      </c>
      <c r="K21" s="95" t="s">
        <v>154</v>
      </c>
      <c r="L21" s="87">
        <v>2</v>
      </c>
      <c r="N21" s="87">
        <v>4</v>
      </c>
      <c r="O21" s="87">
        <v>0.7</v>
      </c>
      <c r="P21" s="87">
        <v>0.6</v>
      </c>
      <c r="Q21" s="113">
        <f t="shared" si="0"/>
        <v>0.64999999999999991</v>
      </c>
      <c r="R21" s="87">
        <v>15.6</v>
      </c>
      <c r="S21" s="87">
        <v>100</v>
      </c>
      <c r="T21" s="16">
        <f t="shared" si="1"/>
        <v>33</v>
      </c>
      <c r="U21" s="87">
        <v>494</v>
      </c>
      <c r="V21" s="16">
        <f t="shared" si="2"/>
        <v>4075.5</v>
      </c>
      <c r="W21" s="87">
        <v>1</v>
      </c>
      <c r="X21" s="95" t="s">
        <v>39</v>
      </c>
      <c r="Y21" s="95" t="s">
        <v>84</v>
      </c>
      <c r="Z21" s="95" t="s">
        <v>90</v>
      </c>
      <c r="AA21" s="95" t="s">
        <v>50</v>
      </c>
      <c r="AB21" s="95" t="s">
        <v>183</v>
      </c>
      <c r="AP21" s="101" t="s">
        <v>114</v>
      </c>
      <c r="AR21" s="41" t="s">
        <v>68</v>
      </c>
      <c r="AV21" s="27" t="s">
        <v>521</v>
      </c>
    </row>
    <row r="22" spans="1:48" x14ac:dyDescent="0.15">
      <c r="A22" s="95" t="s">
        <v>34</v>
      </c>
      <c r="B22" s="87" t="s">
        <v>181</v>
      </c>
      <c r="C22" s="87">
        <v>2018</v>
      </c>
      <c r="D22" s="230" t="s">
        <v>378</v>
      </c>
      <c r="E22" s="100" t="s">
        <v>538</v>
      </c>
      <c r="F22" s="100" t="s">
        <v>539</v>
      </c>
      <c r="G22" s="95" t="s">
        <v>36</v>
      </c>
      <c r="H22" s="87" t="s">
        <v>159</v>
      </c>
      <c r="I22" s="95" t="s">
        <v>153</v>
      </c>
      <c r="J22" s="95" t="s">
        <v>38</v>
      </c>
      <c r="K22" s="95" t="s">
        <v>154</v>
      </c>
      <c r="L22" s="87">
        <v>3</v>
      </c>
      <c r="N22" s="87">
        <v>4</v>
      </c>
      <c r="O22" s="87">
        <v>0.65</v>
      </c>
      <c r="P22" s="87">
        <v>0.6</v>
      </c>
      <c r="Q22" s="113">
        <f t="shared" si="0"/>
        <v>0.625</v>
      </c>
      <c r="R22" s="87">
        <v>14.2</v>
      </c>
      <c r="S22" s="87">
        <v>100</v>
      </c>
      <c r="T22" s="16">
        <f t="shared" si="1"/>
        <v>33</v>
      </c>
      <c r="U22" s="87">
        <v>494</v>
      </c>
      <c r="V22" s="16">
        <f t="shared" si="2"/>
        <v>4075.5</v>
      </c>
      <c r="W22" s="87">
        <v>1</v>
      </c>
      <c r="X22" s="95" t="s">
        <v>39</v>
      </c>
      <c r="Y22" s="95" t="s">
        <v>84</v>
      </c>
      <c r="Z22" s="95" t="s">
        <v>90</v>
      </c>
      <c r="AA22" s="95" t="s">
        <v>50</v>
      </c>
      <c r="AB22" s="95" t="s">
        <v>183</v>
      </c>
      <c r="AP22" s="101" t="s">
        <v>115</v>
      </c>
      <c r="AR22" s="41" t="s">
        <v>83</v>
      </c>
      <c r="AV22" s="27"/>
    </row>
    <row r="23" spans="1:48" x14ac:dyDescent="0.15">
      <c r="A23" s="95" t="s">
        <v>34</v>
      </c>
      <c r="B23" s="87" t="s">
        <v>181</v>
      </c>
      <c r="C23" s="87">
        <v>2018</v>
      </c>
      <c r="D23" s="230" t="s">
        <v>378</v>
      </c>
      <c r="E23" s="100" t="s">
        <v>538</v>
      </c>
      <c r="F23" s="100" t="s">
        <v>539</v>
      </c>
      <c r="G23" s="95" t="s">
        <v>36</v>
      </c>
      <c r="H23" s="87" t="s">
        <v>128</v>
      </c>
      <c r="I23" s="95" t="s">
        <v>153</v>
      </c>
      <c r="J23" s="95" t="s">
        <v>112</v>
      </c>
      <c r="K23" s="95" t="s">
        <v>105</v>
      </c>
      <c r="L23" s="95">
        <v>1</v>
      </c>
      <c r="N23" s="87">
        <v>1</v>
      </c>
      <c r="O23" s="87">
        <v>0.2</v>
      </c>
      <c r="P23" s="87">
        <v>0.2</v>
      </c>
      <c r="Q23" s="113">
        <f t="shared" si="0"/>
        <v>0.2</v>
      </c>
      <c r="R23" s="87">
        <v>14.2</v>
      </c>
      <c r="S23" s="87">
        <v>150</v>
      </c>
      <c r="T23" s="16">
        <f t="shared" si="1"/>
        <v>30</v>
      </c>
      <c r="U23" s="87">
        <v>170</v>
      </c>
      <c r="V23" s="16">
        <f t="shared" si="2"/>
        <v>5100</v>
      </c>
      <c r="W23" s="87">
        <v>1</v>
      </c>
      <c r="X23" s="95" t="s">
        <v>39</v>
      </c>
      <c r="Y23" s="95" t="s">
        <v>84</v>
      </c>
      <c r="Z23" s="95" t="s">
        <v>90</v>
      </c>
      <c r="AA23" s="95" t="s">
        <v>50</v>
      </c>
      <c r="AB23" s="95" t="s">
        <v>183</v>
      </c>
    </row>
    <row r="24" spans="1:48" x14ac:dyDescent="0.15">
      <c r="A24" s="95" t="s">
        <v>34</v>
      </c>
      <c r="B24" s="87" t="s">
        <v>181</v>
      </c>
      <c r="C24" s="87">
        <v>2018</v>
      </c>
      <c r="D24" s="230" t="s">
        <v>378</v>
      </c>
      <c r="E24" s="100" t="s">
        <v>538</v>
      </c>
      <c r="F24" s="100" t="s">
        <v>539</v>
      </c>
      <c r="G24" s="95" t="s">
        <v>36</v>
      </c>
      <c r="H24" s="87" t="s">
        <v>128</v>
      </c>
      <c r="I24" s="95" t="s">
        <v>153</v>
      </c>
      <c r="J24" s="95" t="s">
        <v>112</v>
      </c>
      <c r="K24" s="95" t="s">
        <v>105</v>
      </c>
      <c r="L24" s="87">
        <v>2</v>
      </c>
      <c r="N24" s="87">
        <v>1</v>
      </c>
      <c r="O24" s="87">
        <v>0.2</v>
      </c>
      <c r="P24" s="87">
        <v>0.2</v>
      </c>
      <c r="Q24" s="113">
        <f t="shared" si="0"/>
        <v>0.2</v>
      </c>
      <c r="R24" s="87">
        <v>14.8</v>
      </c>
      <c r="S24" s="87">
        <v>144</v>
      </c>
      <c r="T24" s="16">
        <f t="shared" si="1"/>
        <v>30</v>
      </c>
      <c r="U24" s="87">
        <v>170</v>
      </c>
      <c r="V24" s="16">
        <f t="shared" si="2"/>
        <v>5100</v>
      </c>
      <c r="W24" s="87">
        <v>1</v>
      </c>
      <c r="X24" s="95" t="s">
        <v>39</v>
      </c>
      <c r="Y24" s="95" t="s">
        <v>84</v>
      </c>
      <c r="Z24" s="95" t="s">
        <v>90</v>
      </c>
      <c r="AA24" s="95" t="s">
        <v>50</v>
      </c>
      <c r="AB24" s="95" t="s">
        <v>183</v>
      </c>
    </row>
    <row r="25" spans="1:48" x14ac:dyDescent="0.15">
      <c r="A25" s="95" t="s">
        <v>34</v>
      </c>
      <c r="B25" s="87" t="s">
        <v>181</v>
      </c>
      <c r="C25" s="87">
        <v>2018</v>
      </c>
      <c r="D25" s="230" t="s">
        <v>378</v>
      </c>
      <c r="E25" s="100" t="s">
        <v>538</v>
      </c>
      <c r="F25" s="100" t="s">
        <v>539</v>
      </c>
      <c r="G25" s="95" t="s">
        <v>36</v>
      </c>
      <c r="H25" s="87" t="s">
        <v>128</v>
      </c>
      <c r="I25" s="95" t="s">
        <v>153</v>
      </c>
      <c r="J25" s="95" t="s">
        <v>112</v>
      </c>
      <c r="K25" s="95" t="s">
        <v>105</v>
      </c>
      <c r="L25" s="87">
        <v>3</v>
      </c>
      <c r="N25" s="87">
        <v>1</v>
      </c>
      <c r="O25" s="87">
        <v>0.2</v>
      </c>
      <c r="P25" s="87">
        <v>0.2</v>
      </c>
      <c r="Q25" s="113">
        <f t="shared" si="0"/>
        <v>0.2</v>
      </c>
      <c r="R25" s="87">
        <v>13.8</v>
      </c>
      <c r="S25" s="87">
        <v>136</v>
      </c>
      <c r="T25" s="16">
        <f t="shared" si="1"/>
        <v>30</v>
      </c>
      <c r="U25" s="87">
        <v>170</v>
      </c>
      <c r="V25" s="16">
        <f t="shared" si="2"/>
        <v>5100</v>
      </c>
      <c r="W25" s="87">
        <v>1</v>
      </c>
      <c r="X25" s="95" t="s">
        <v>39</v>
      </c>
      <c r="Y25" s="95" t="s">
        <v>84</v>
      </c>
      <c r="Z25" s="95" t="s">
        <v>90</v>
      </c>
      <c r="AA25" s="95" t="s">
        <v>50</v>
      </c>
      <c r="AB25" s="95" t="s">
        <v>183</v>
      </c>
    </row>
    <row r="26" spans="1:48" x14ac:dyDescent="0.15">
      <c r="A26" s="95" t="s">
        <v>34</v>
      </c>
      <c r="B26" s="87" t="s">
        <v>181</v>
      </c>
      <c r="C26" s="87">
        <v>2018</v>
      </c>
      <c r="D26" s="230" t="s">
        <v>378</v>
      </c>
      <c r="E26" s="100" t="s">
        <v>540</v>
      </c>
      <c r="F26" s="100" t="s">
        <v>541</v>
      </c>
      <c r="G26" s="95" t="s">
        <v>36</v>
      </c>
      <c r="H26" s="87" t="s">
        <v>155</v>
      </c>
      <c r="I26" s="95" t="s">
        <v>153</v>
      </c>
      <c r="J26" s="95" t="s">
        <v>38</v>
      </c>
      <c r="K26" s="95" t="s">
        <v>154</v>
      </c>
      <c r="L26" s="95">
        <v>1</v>
      </c>
      <c r="N26" s="87">
        <v>1</v>
      </c>
      <c r="O26" s="87">
        <v>1</v>
      </c>
      <c r="P26" s="87">
        <v>1</v>
      </c>
      <c r="Q26" s="113">
        <f t="shared" si="0"/>
        <v>1</v>
      </c>
      <c r="R26" s="87">
        <v>13.3</v>
      </c>
      <c r="S26" s="87">
        <v>138</v>
      </c>
      <c r="T26" s="16">
        <f t="shared" si="1"/>
        <v>30</v>
      </c>
      <c r="U26" s="87">
        <v>96</v>
      </c>
      <c r="V26" s="16">
        <f t="shared" si="2"/>
        <v>2880</v>
      </c>
      <c r="W26" s="87">
        <v>1</v>
      </c>
      <c r="X26" s="95" t="s">
        <v>46</v>
      </c>
      <c r="Y26" s="95" t="s">
        <v>84</v>
      </c>
      <c r="Z26" s="95" t="s">
        <v>90</v>
      </c>
      <c r="AA26" s="95" t="s">
        <v>50</v>
      </c>
      <c r="AB26" s="95" t="s">
        <v>183</v>
      </c>
    </row>
    <row r="27" spans="1:48" x14ac:dyDescent="0.15">
      <c r="A27" s="95" t="s">
        <v>34</v>
      </c>
      <c r="B27" s="87" t="s">
        <v>181</v>
      </c>
      <c r="C27" s="87">
        <v>2018</v>
      </c>
      <c r="D27" s="230" t="s">
        <v>378</v>
      </c>
      <c r="E27" s="100" t="s">
        <v>540</v>
      </c>
      <c r="F27" s="100" t="s">
        <v>541</v>
      </c>
      <c r="G27" s="95" t="s">
        <v>36</v>
      </c>
      <c r="H27" s="87" t="s">
        <v>155</v>
      </c>
      <c r="I27" s="95" t="s">
        <v>153</v>
      </c>
      <c r="J27" s="95" t="s">
        <v>38</v>
      </c>
      <c r="K27" s="95" t="s">
        <v>154</v>
      </c>
      <c r="L27" s="87">
        <v>2</v>
      </c>
      <c r="N27" s="87">
        <v>1</v>
      </c>
      <c r="O27" s="87">
        <v>0.75</v>
      </c>
      <c r="P27" s="87">
        <v>0.8</v>
      </c>
      <c r="Q27" s="113">
        <f t="shared" si="0"/>
        <v>0.77500000000000002</v>
      </c>
      <c r="R27" s="87">
        <v>14.9</v>
      </c>
      <c r="S27" s="87">
        <v>139</v>
      </c>
      <c r="T27" s="16">
        <f t="shared" si="1"/>
        <v>30</v>
      </c>
      <c r="U27" s="87">
        <v>96</v>
      </c>
      <c r="V27" s="16">
        <f t="shared" si="2"/>
        <v>2880</v>
      </c>
      <c r="W27" s="87">
        <v>1</v>
      </c>
      <c r="X27" s="95" t="s">
        <v>46</v>
      </c>
      <c r="Y27" s="95" t="s">
        <v>84</v>
      </c>
      <c r="Z27" s="95" t="s">
        <v>90</v>
      </c>
      <c r="AA27" s="95" t="s">
        <v>50</v>
      </c>
      <c r="AB27" s="95" t="s">
        <v>183</v>
      </c>
    </row>
    <row r="28" spans="1:48" x14ac:dyDescent="0.15">
      <c r="A28" s="95" t="s">
        <v>34</v>
      </c>
      <c r="B28" s="87" t="s">
        <v>181</v>
      </c>
      <c r="C28" s="87">
        <v>2018</v>
      </c>
      <c r="D28" s="230" t="s">
        <v>378</v>
      </c>
      <c r="E28" s="100" t="s">
        <v>540</v>
      </c>
      <c r="F28" s="100" t="s">
        <v>541</v>
      </c>
      <c r="G28" s="95" t="s">
        <v>36</v>
      </c>
      <c r="H28" s="87" t="s">
        <v>155</v>
      </c>
      <c r="I28" s="95" t="s">
        <v>153</v>
      </c>
      <c r="J28" s="95" t="s">
        <v>38</v>
      </c>
      <c r="K28" s="95" t="s">
        <v>154</v>
      </c>
      <c r="L28" s="87">
        <v>3</v>
      </c>
      <c r="N28" s="87">
        <v>1</v>
      </c>
      <c r="O28" s="87">
        <v>1</v>
      </c>
      <c r="P28" s="87">
        <v>0.95</v>
      </c>
      <c r="Q28" s="113">
        <f t="shared" si="0"/>
        <v>0.97499999999999998</v>
      </c>
      <c r="R28" s="87">
        <v>13.8</v>
      </c>
      <c r="S28" s="87">
        <v>139</v>
      </c>
      <c r="T28" s="16">
        <f t="shared" si="1"/>
        <v>30</v>
      </c>
      <c r="U28" s="87">
        <v>96</v>
      </c>
      <c r="V28" s="16">
        <f t="shared" si="2"/>
        <v>2880</v>
      </c>
      <c r="W28" s="87">
        <v>1</v>
      </c>
      <c r="X28" s="95" t="s">
        <v>46</v>
      </c>
      <c r="Y28" s="95" t="s">
        <v>84</v>
      </c>
      <c r="Z28" s="95" t="s">
        <v>90</v>
      </c>
      <c r="AA28" s="95" t="s">
        <v>50</v>
      </c>
      <c r="AB28" s="95" t="s">
        <v>183</v>
      </c>
    </row>
    <row r="29" spans="1:48" x14ac:dyDescent="0.15">
      <c r="A29" s="95" t="s">
        <v>34</v>
      </c>
      <c r="B29" s="87" t="s">
        <v>181</v>
      </c>
      <c r="C29" s="87">
        <v>2018</v>
      </c>
      <c r="D29" s="230" t="s">
        <v>378</v>
      </c>
      <c r="E29" s="100" t="s">
        <v>540</v>
      </c>
      <c r="F29" s="100" t="s">
        <v>541</v>
      </c>
      <c r="G29" s="95" t="s">
        <v>36</v>
      </c>
      <c r="H29" s="87" t="s">
        <v>155</v>
      </c>
      <c r="I29" s="95" t="s">
        <v>153</v>
      </c>
      <c r="J29" s="95" t="s">
        <v>38</v>
      </c>
      <c r="K29" s="95" t="s">
        <v>154</v>
      </c>
      <c r="L29" s="95">
        <v>1</v>
      </c>
      <c r="N29" s="87">
        <v>4</v>
      </c>
      <c r="O29" s="87">
        <v>1.05</v>
      </c>
      <c r="P29" s="87">
        <v>0.7</v>
      </c>
      <c r="Q29" s="113">
        <f t="shared" si="0"/>
        <v>0.875</v>
      </c>
      <c r="R29" s="87">
        <v>13.3</v>
      </c>
      <c r="S29" s="87">
        <v>112</v>
      </c>
      <c r="T29" s="16">
        <f t="shared" si="1"/>
        <v>33</v>
      </c>
      <c r="U29" s="87">
        <v>376</v>
      </c>
      <c r="V29" s="16">
        <f t="shared" si="2"/>
        <v>3102</v>
      </c>
      <c r="W29" s="87">
        <v>1</v>
      </c>
      <c r="X29" s="95" t="s">
        <v>46</v>
      </c>
      <c r="Y29" s="95" t="s">
        <v>84</v>
      </c>
      <c r="Z29" s="95" t="s">
        <v>90</v>
      </c>
      <c r="AA29" s="95" t="s">
        <v>50</v>
      </c>
      <c r="AB29" s="95" t="s">
        <v>183</v>
      </c>
    </row>
    <row r="30" spans="1:48" x14ac:dyDescent="0.15">
      <c r="A30" s="95" t="s">
        <v>34</v>
      </c>
      <c r="B30" s="87" t="s">
        <v>181</v>
      </c>
      <c r="C30" s="87">
        <v>2018</v>
      </c>
      <c r="D30" s="230" t="s">
        <v>378</v>
      </c>
      <c r="E30" s="100" t="s">
        <v>540</v>
      </c>
      <c r="F30" s="100" t="s">
        <v>541</v>
      </c>
      <c r="G30" s="95" t="s">
        <v>36</v>
      </c>
      <c r="H30" s="87" t="s">
        <v>155</v>
      </c>
      <c r="I30" s="95" t="s">
        <v>153</v>
      </c>
      <c r="J30" s="95" t="s">
        <v>38</v>
      </c>
      <c r="K30" s="95" t="s">
        <v>154</v>
      </c>
      <c r="L30" s="87">
        <v>2</v>
      </c>
      <c r="N30" s="87">
        <v>4</v>
      </c>
      <c r="O30" s="87">
        <v>0.75</v>
      </c>
      <c r="P30" s="87">
        <v>0.8</v>
      </c>
      <c r="Q30" s="113">
        <f t="shared" si="0"/>
        <v>0.77500000000000002</v>
      </c>
      <c r="R30" s="87">
        <v>12.1</v>
      </c>
      <c r="S30" s="87">
        <v>101</v>
      </c>
      <c r="T30" s="16">
        <f t="shared" si="1"/>
        <v>33</v>
      </c>
      <c r="U30" s="87">
        <v>376</v>
      </c>
      <c r="V30" s="16">
        <f t="shared" si="2"/>
        <v>3102</v>
      </c>
      <c r="W30" s="87">
        <v>1</v>
      </c>
      <c r="X30" s="95" t="s">
        <v>46</v>
      </c>
      <c r="Y30" s="95" t="s">
        <v>84</v>
      </c>
      <c r="Z30" s="95" t="s">
        <v>90</v>
      </c>
      <c r="AA30" s="95" t="s">
        <v>50</v>
      </c>
      <c r="AB30" s="95" t="s">
        <v>183</v>
      </c>
    </row>
    <row r="31" spans="1:48" x14ac:dyDescent="0.15">
      <c r="A31" s="95" t="s">
        <v>34</v>
      </c>
      <c r="B31" s="87" t="s">
        <v>181</v>
      </c>
      <c r="C31" s="87">
        <v>2018</v>
      </c>
      <c r="D31" s="230" t="s">
        <v>378</v>
      </c>
      <c r="E31" s="100" t="s">
        <v>540</v>
      </c>
      <c r="F31" s="100" t="s">
        <v>541</v>
      </c>
      <c r="G31" s="95" t="s">
        <v>36</v>
      </c>
      <c r="H31" s="87" t="s">
        <v>155</v>
      </c>
      <c r="I31" s="95" t="s">
        <v>153</v>
      </c>
      <c r="J31" s="95" t="s">
        <v>38</v>
      </c>
      <c r="K31" s="95" t="s">
        <v>154</v>
      </c>
      <c r="L31" s="87">
        <v>3</v>
      </c>
      <c r="N31" s="87">
        <v>4</v>
      </c>
      <c r="O31" s="87">
        <v>0.6</v>
      </c>
      <c r="P31" s="87">
        <v>0.55000000000000004</v>
      </c>
      <c r="Q31" s="113">
        <f>IF(OR(O31="",P31=""),"",AVERAGE(O31,P31))</f>
        <v>0.57499999999999996</v>
      </c>
      <c r="R31" s="87">
        <v>13.5</v>
      </c>
      <c r="S31" s="87">
        <v>108</v>
      </c>
      <c r="T31" s="16">
        <f t="shared" si="1"/>
        <v>33</v>
      </c>
      <c r="U31" s="87">
        <v>376</v>
      </c>
      <c r="V31" s="16">
        <f t="shared" si="2"/>
        <v>3102</v>
      </c>
      <c r="W31" s="87">
        <v>1</v>
      </c>
      <c r="X31" s="95" t="s">
        <v>46</v>
      </c>
      <c r="Y31" s="95" t="s">
        <v>84</v>
      </c>
      <c r="Z31" s="95" t="s">
        <v>90</v>
      </c>
      <c r="AA31" s="95" t="s">
        <v>50</v>
      </c>
      <c r="AB31" s="95" t="s">
        <v>183</v>
      </c>
    </row>
    <row r="32" spans="1:48" x14ac:dyDescent="0.15">
      <c r="A32" s="95" t="s">
        <v>34</v>
      </c>
      <c r="B32" s="87" t="s">
        <v>181</v>
      </c>
      <c r="C32" s="87">
        <v>2018</v>
      </c>
      <c r="D32" s="230" t="s">
        <v>378</v>
      </c>
      <c r="E32" s="100" t="s">
        <v>161</v>
      </c>
      <c r="F32" s="100" t="s">
        <v>542</v>
      </c>
      <c r="G32" s="95" t="s">
        <v>36</v>
      </c>
      <c r="H32" s="87" t="s">
        <v>155</v>
      </c>
      <c r="I32" s="95" t="s">
        <v>153</v>
      </c>
      <c r="J32" s="95" t="s">
        <v>38</v>
      </c>
      <c r="K32" s="95" t="s">
        <v>154</v>
      </c>
      <c r="L32" s="95">
        <v>1</v>
      </c>
      <c r="N32" s="87">
        <v>4</v>
      </c>
      <c r="O32" s="87">
        <v>0.7</v>
      </c>
      <c r="P32" s="87">
        <v>0.65</v>
      </c>
      <c r="Q32" s="113">
        <f t="shared" ref="Q32:Q33" si="3">IF(OR(O32="",P32=""),"",AVERAGE(O32,P32))</f>
        <v>0.67500000000000004</v>
      </c>
      <c r="R32" s="87">
        <v>15</v>
      </c>
      <c r="S32" s="87">
        <v>126</v>
      </c>
      <c r="T32" s="16">
        <f t="shared" si="1"/>
        <v>30</v>
      </c>
      <c r="U32" s="87">
        <v>428</v>
      </c>
      <c r="V32" s="16">
        <f t="shared" si="2"/>
        <v>3210</v>
      </c>
      <c r="W32" s="87">
        <v>3</v>
      </c>
      <c r="X32" s="95" t="s">
        <v>46</v>
      </c>
      <c r="Y32" s="95" t="s">
        <v>84</v>
      </c>
      <c r="Z32" s="95" t="s">
        <v>69</v>
      </c>
      <c r="AA32" s="95" t="s">
        <v>90</v>
      </c>
      <c r="AB32" s="95" t="s">
        <v>183</v>
      </c>
    </row>
    <row r="33" spans="1:28" x14ac:dyDescent="0.15">
      <c r="A33" s="95" t="s">
        <v>34</v>
      </c>
      <c r="B33" s="87" t="s">
        <v>181</v>
      </c>
      <c r="C33" s="87">
        <v>2018</v>
      </c>
      <c r="D33" s="230" t="s">
        <v>378</v>
      </c>
      <c r="E33" s="100" t="s">
        <v>161</v>
      </c>
      <c r="F33" s="100" t="s">
        <v>542</v>
      </c>
      <c r="G33" s="95" t="s">
        <v>36</v>
      </c>
      <c r="H33" s="87" t="s">
        <v>155</v>
      </c>
      <c r="I33" s="95" t="s">
        <v>153</v>
      </c>
      <c r="J33" s="95" t="s">
        <v>38</v>
      </c>
      <c r="K33" s="95" t="s">
        <v>154</v>
      </c>
      <c r="L33" s="87">
        <v>2</v>
      </c>
      <c r="N33" s="87">
        <v>4</v>
      </c>
      <c r="O33" s="87">
        <v>0.6</v>
      </c>
      <c r="P33" s="87">
        <v>0.6</v>
      </c>
      <c r="Q33" s="113">
        <f t="shared" si="3"/>
        <v>0.6</v>
      </c>
      <c r="R33" s="87">
        <v>14.4</v>
      </c>
      <c r="S33" s="87">
        <v>125</v>
      </c>
      <c r="T33" s="16">
        <f t="shared" si="1"/>
        <v>30</v>
      </c>
      <c r="U33" s="87">
        <v>428</v>
      </c>
      <c r="V33" s="16">
        <f t="shared" si="2"/>
        <v>3210</v>
      </c>
      <c r="W33" s="87">
        <v>3</v>
      </c>
      <c r="X33" s="95" t="s">
        <v>46</v>
      </c>
      <c r="Y33" s="95" t="s">
        <v>84</v>
      </c>
      <c r="Z33" s="95" t="s">
        <v>69</v>
      </c>
      <c r="AA33" s="95" t="s">
        <v>90</v>
      </c>
      <c r="AB33" s="95" t="s">
        <v>183</v>
      </c>
    </row>
    <row r="34" spans="1:28" x14ac:dyDescent="0.15">
      <c r="A34" s="95" t="s">
        <v>34</v>
      </c>
      <c r="B34" s="87" t="s">
        <v>181</v>
      </c>
      <c r="C34" s="87">
        <v>2018</v>
      </c>
      <c r="D34" s="230" t="s">
        <v>378</v>
      </c>
      <c r="E34" s="100" t="s">
        <v>161</v>
      </c>
      <c r="F34" s="100" t="s">
        <v>542</v>
      </c>
      <c r="G34" s="95" t="s">
        <v>36</v>
      </c>
      <c r="H34" s="87" t="s">
        <v>155</v>
      </c>
      <c r="I34" s="95" t="s">
        <v>153</v>
      </c>
      <c r="J34" s="95" t="s">
        <v>38</v>
      </c>
      <c r="K34" s="95" t="s">
        <v>154</v>
      </c>
      <c r="L34" s="87">
        <v>3</v>
      </c>
      <c r="N34" s="87">
        <v>4</v>
      </c>
      <c r="O34" s="87">
        <v>0.2</v>
      </c>
      <c r="P34" s="87">
        <v>0.2</v>
      </c>
      <c r="Q34" s="113">
        <f>IF(OR(O34="",P34=""),"",AVERAGE(O34,P34))</f>
        <v>0.2</v>
      </c>
      <c r="R34" s="87">
        <v>12.5</v>
      </c>
      <c r="S34" s="87">
        <v>135</v>
      </c>
      <c r="T34" s="16">
        <f t="shared" si="1"/>
        <v>30</v>
      </c>
      <c r="U34" s="87">
        <v>428</v>
      </c>
      <c r="V34" s="16">
        <f t="shared" si="2"/>
        <v>3210</v>
      </c>
      <c r="W34" s="87">
        <v>3</v>
      </c>
      <c r="X34" s="95" t="s">
        <v>46</v>
      </c>
      <c r="Y34" s="95" t="s">
        <v>84</v>
      </c>
      <c r="Z34" s="95" t="s">
        <v>69</v>
      </c>
      <c r="AA34" s="95" t="s">
        <v>90</v>
      </c>
      <c r="AB34" s="95" t="s">
        <v>183</v>
      </c>
    </row>
    <row r="35" spans="1:28" x14ac:dyDescent="0.15">
      <c r="A35" s="95" t="s">
        <v>34</v>
      </c>
      <c r="B35" s="87" t="s">
        <v>181</v>
      </c>
      <c r="C35" s="87">
        <v>2018</v>
      </c>
      <c r="D35" s="230" t="s">
        <v>378</v>
      </c>
      <c r="E35" s="100" t="s">
        <v>161</v>
      </c>
      <c r="F35" s="100" t="s">
        <v>542</v>
      </c>
      <c r="G35" s="95" t="s">
        <v>36</v>
      </c>
      <c r="H35" s="87" t="s">
        <v>128</v>
      </c>
      <c r="I35" s="95" t="s">
        <v>153</v>
      </c>
      <c r="J35" s="95" t="s">
        <v>80</v>
      </c>
      <c r="K35" s="95" t="s">
        <v>45</v>
      </c>
      <c r="L35" s="95">
        <v>1</v>
      </c>
      <c r="N35" s="87">
        <v>6</v>
      </c>
      <c r="O35" s="87">
        <v>1.1499999999999999</v>
      </c>
      <c r="P35" s="87">
        <v>1.45</v>
      </c>
      <c r="Q35" s="113">
        <f t="shared" si="0"/>
        <v>1.2999999999999998</v>
      </c>
      <c r="R35" s="87">
        <v>14.1</v>
      </c>
      <c r="S35" s="87">
        <v>67</v>
      </c>
      <c r="T35" s="16">
        <f t="shared" si="1"/>
        <v>50</v>
      </c>
      <c r="U35" s="87">
        <v>320</v>
      </c>
      <c r="V35" s="16">
        <f t="shared" si="2"/>
        <v>2666.666666666667</v>
      </c>
      <c r="W35" s="87">
        <v>1</v>
      </c>
      <c r="X35" s="95" t="s">
        <v>46</v>
      </c>
      <c r="Y35" s="95" t="s">
        <v>84</v>
      </c>
      <c r="Z35" s="95" t="s">
        <v>69</v>
      </c>
      <c r="AA35" s="95" t="s">
        <v>90</v>
      </c>
      <c r="AB35" s="95" t="s">
        <v>183</v>
      </c>
    </row>
    <row r="36" spans="1:28" x14ac:dyDescent="0.15">
      <c r="A36" s="95" t="s">
        <v>34</v>
      </c>
      <c r="B36" s="87" t="s">
        <v>181</v>
      </c>
      <c r="C36" s="87">
        <v>2018</v>
      </c>
      <c r="D36" s="230" t="s">
        <v>378</v>
      </c>
      <c r="E36" s="100" t="s">
        <v>161</v>
      </c>
      <c r="F36" s="100" t="s">
        <v>542</v>
      </c>
      <c r="G36" s="95" t="s">
        <v>36</v>
      </c>
      <c r="H36" s="87" t="s">
        <v>128</v>
      </c>
      <c r="I36" s="95" t="s">
        <v>153</v>
      </c>
      <c r="J36" s="95" t="s">
        <v>80</v>
      </c>
      <c r="K36" s="95" t="s">
        <v>45</v>
      </c>
      <c r="L36" s="87">
        <v>2</v>
      </c>
      <c r="N36" s="87">
        <v>6</v>
      </c>
      <c r="O36" s="87">
        <v>0.9</v>
      </c>
      <c r="P36" s="87">
        <v>1</v>
      </c>
      <c r="Q36" s="113">
        <f t="shared" si="0"/>
        <v>0.95</v>
      </c>
      <c r="R36" s="87">
        <v>13.3</v>
      </c>
      <c r="S36" s="87">
        <v>69</v>
      </c>
      <c r="T36" s="16">
        <f t="shared" si="1"/>
        <v>50</v>
      </c>
      <c r="U36" s="87">
        <v>320</v>
      </c>
      <c r="V36" s="16">
        <f t="shared" si="2"/>
        <v>2666.666666666667</v>
      </c>
      <c r="W36" s="87">
        <v>1</v>
      </c>
      <c r="X36" s="95" t="s">
        <v>46</v>
      </c>
      <c r="Y36" s="95" t="s">
        <v>84</v>
      </c>
      <c r="Z36" s="95" t="s">
        <v>69</v>
      </c>
      <c r="AA36" s="95" t="s">
        <v>90</v>
      </c>
      <c r="AB36" s="95" t="s">
        <v>183</v>
      </c>
    </row>
    <row r="37" spans="1:28" x14ac:dyDescent="0.15">
      <c r="A37" s="95" t="s">
        <v>34</v>
      </c>
      <c r="B37" s="87" t="s">
        <v>181</v>
      </c>
      <c r="C37" s="87">
        <v>2018</v>
      </c>
      <c r="D37" s="230" t="s">
        <v>378</v>
      </c>
      <c r="E37" s="100" t="s">
        <v>161</v>
      </c>
      <c r="F37" s="100" t="s">
        <v>542</v>
      </c>
      <c r="G37" s="95" t="s">
        <v>36</v>
      </c>
      <c r="H37" s="87" t="s">
        <v>128</v>
      </c>
      <c r="I37" s="95" t="s">
        <v>153</v>
      </c>
      <c r="J37" s="95" t="s">
        <v>80</v>
      </c>
      <c r="K37" s="95" t="s">
        <v>45</v>
      </c>
      <c r="L37" s="87">
        <v>3</v>
      </c>
      <c r="N37" s="87">
        <v>6</v>
      </c>
      <c r="O37" s="87">
        <v>0.9</v>
      </c>
      <c r="P37" s="87">
        <v>1</v>
      </c>
      <c r="Q37" s="113">
        <f t="shared" si="0"/>
        <v>0.95</v>
      </c>
      <c r="R37" s="87">
        <v>13.7</v>
      </c>
      <c r="S37" s="87">
        <v>68</v>
      </c>
      <c r="T37" s="16">
        <f t="shared" si="1"/>
        <v>50</v>
      </c>
      <c r="U37" s="87">
        <v>320</v>
      </c>
      <c r="V37" s="16">
        <f t="shared" si="2"/>
        <v>2666.666666666667</v>
      </c>
      <c r="W37" s="87">
        <v>1</v>
      </c>
      <c r="X37" s="95" t="s">
        <v>46</v>
      </c>
      <c r="Y37" s="95" t="s">
        <v>84</v>
      </c>
      <c r="Z37" s="95" t="s">
        <v>69</v>
      </c>
      <c r="AA37" s="95" t="s">
        <v>90</v>
      </c>
      <c r="AB37" s="95" t="s">
        <v>183</v>
      </c>
    </row>
    <row r="38" spans="1:28" x14ac:dyDescent="0.15">
      <c r="A38" s="95" t="s">
        <v>34</v>
      </c>
      <c r="B38" s="87" t="s">
        <v>181</v>
      </c>
      <c r="C38" s="87">
        <v>2018</v>
      </c>
      <c r="D38" s="230" t="s">
        <v>378</v>
      </c>
      <c r="E38" s="100" t="s">
        <v>519</v>
      </c>
      <c r="F38" s="100" t="s">
        <v>527</v>
      </c>
      <c r="G38" s="95" t="s">
        <v>36</v>
      </c>
      <c r="H38" s="87" t="s">
        <v>155</v>
      </c>
      <c r="I38" s="95" t="s">
        <v>153</v>
      </c>
      <c r="J38" s="95" t="s">
        <v>38</v>
      </c>
      <c r="K38" s="95" t="s">
        <v>154</v>
      </c>
      <c r="L38" s="95">
        <v>1</v>
      </c>
      <c r="N38" s="87">
        <v>1</v>
      </c>
      <c r="O38" s="87">
        <v>1.05</v>
      </c>
      <c r="P38" s="87">
        <v>1</v>
      </c>
      <c r="Q38" s="113">
        <f t="shared" si="0"/>
        <v>1.0249999999999999</v>
      </c>
      <c r="R38" s="87">
        <v>11.2</v>
      </c>
      <c r="S38" s="87">
        <v>135</v>
      </c>
      <c r="T38" s="16">
        <f t="shared" si="1"/>
        <v>30</v>
      </c>
      <c r="U38" s="87">
        <v>105</v>
      </c>
      <c r="V38" s="16">
        <f t="shared" si="2"/>
        <v>3150</v>
      </c>
      <c r="W38" s="87">
        <v>3</v>
      </c>
      <c r="X38" s="95" t="s">
        <v>46</v>
      </c>
      <c r="Y38" s="95" t="s">
        <v>84</v>
      </c>
      <c r="Z38" s="95" t="s">
        <v>90</v>
      </c>
      <c r="AA38" s="95" t="s">
        <v>69</v>
      </c>
      <c r="AB38" s="95" t="s">
        <v>183</v>
      </c>
    </row>
    <row r="39" spans="1:28" x14ac:dyDescent="0.15">
      <c r="A39" s="95" t="s">
        <v>34</v>
      </c>
      <c r="B39" s="87" t="s">
        <v>181</v>
      </c>
      <c r="C39" s="87">
        <v>2018</v>
      </c>
      <c r="D39" s="230" t="s">
        <v>378</v>
      </c>
      <c r="E39" s="100" t="s">
        <v>519</v>
      </c>
      <c r="F39" s="100" t="s">
        <v>527</v>
      </c>
      <c r="G39" s="95" t="s">
        <v>36</v>
      </c>
      <c r="H39" s="87" t="s">
        <v>155</v>
      </c>
      <c r="I39" s="95" t="s">
        <v>153</v>
      </c>
      <c r="J39" s="95" t="s">
        <v>38</v>
      </c>
      <c r="K39" s="95" t="s">
        <v>154</v>
      </c>
      <c r="L39" s="87">
        <v>2</v>
      </c>
      <c r="N39" s="87">
        <v>1</v>
      </c>
      <c r="O39" s="87">
        <v>0.8</v>
      </c>
      <c r="P39" s="87">
        <v>0.8</v>
      </c>
      <c r="Q39" s="113">
        <f t="shared" si="0"/>
        <v>0.8</v>
      </c>
      <c r="R39" s="87">
        <v>12.6</v>
      </c>
      <c r="S39" s="87">
        <v>134</v>
      </c>
      <c r="T39" s="16">
        <f t="shared" si="1"/>
        <v>30</v>
      </c>
      <c r="U39" s="87">
        <v>105</v>
      </c>
      <c r="V39" s="16">
        <f t="shared" si="2"/>
        <v>3150</v>
      </c>
      <c r="W39" s="87">
        <v>3</v>
      </c>
      <c r="X39" s="95" t="s">
        <v>46</v>
      </c>
      <c r="Y39" s="95" t="s">
        <v>84</v>
      </c>
      <c r="Z39" s="95" t="s">
        <v>90</v>
      </c>
      <c r="AA39" s="95" t="s">
        <v>69</v>
      </c>
      <c r="AB39" s="95" t="s">
        <v>183</v>
      </c>
    </row>
    <row r="40" spans="1:28" x14ac:dyDescent="0.15">
      <c r="A40" s="95" t="s">
        <v>34</v>
      </c>
      <c r="B40" s="87" t="s">
        <v>181</v>
      </c>
      <c r="C40" s="87">
        <v>2018</v>
      </c>
      <c r="D40" s="230" t="s">
        <v>378</v>
      </c>
      <c r="E40" s="100" t="s">
        <v>519</v>
      </c>
      <c r="F40" s="100" t="s">
        <v>527</v>
      </c>
      <c r="G40" s="95" t="s">
        <v>36</v>
      </c>
      <c r="H40" s="87" t="s">
        <v>155</v>
      </c>
      <c r="I40" s="95" t="s">
        <v>153</v>
      </c>
      <c r="J40" s="95" t="s">
        <v>38</v>
      </c>
      <c r="K40" s="95" t="s">
        <v>154</v>
      </c>
      <c r="L40" s="87">
        <v>3</v>
      </c>
      <c r="N40" s="87">
        <v>1</v>
      </c>
      <c r="O40" s="87">
        <v>0.8</v>
      </c>
      <c r="P40" s="87">
        <v>0.7</v>
      </c>
      <c r="Q40" s="113">
        <f t="shared" si="0"/>
        <v>0.75</v>
      </c>
      <c r="R40" s="87">
        <v>13.6</v>
      </c>
      <c r="S40" s="87">
        <v>131</v>
      </c>
      <c r="T40" s="16">
        <f t="shared" si="1"/>
        <v>30</v>
      </c>
      <c r="U40" s="87">
        <v>105</v>
      </c>
      <c r="V40" s="16">
        <f t="shared" si="2"/>
        <v>3150</v>
      </c>
      <c r="W40" s="87">
        <v>3</v>
      </c>
      <c r="X40" s="95" t="s">
        <v>46</v>
      </c>
      <c r="Y40" s="95" t="s">
        <v>84</v>
      </c>
      <c r="Z40" s="95" t="s">
        <v>90</v>
      </c>
      <c r="AA40" s="95" t="s">
        <v>69</v>
      </c>
      <c r="AB40" s="95" t="s">
        <v>183</v>
      </c>
    </row>
    <row r="41" spans="1:28" x14ac:dyDescent="0.15">
      <c r="A41" s="95" t="s">
        <v>34</v>
      </c>
      <c r="B41" s="87" t="s">
        <v>181</v>
      </c>
      <c r="C41" s="87">
        <v>2018</v>
      </c>
      <c r="D41" s="230" t="s">
        <v>378</v>
      </c>
      <c r="E41" s="100" t="s">
        <v>519</v>
      </c>
      <c r="F41" s="100" t="s">
        <v>527</v>
      </c>
      <c r="G41" s="95" t="s">
        <v>36</v>
      </c>
      <c r="H41" s="87" t="s">
        <v>127</v>
      </c>
      <c r="I41" s="95" t="s">
        <v>153</v>
      </c>
      <c r="J41" s="95" t="s">
        <v>80</v>
      </c>
      <c r="K41" s="95" t="s">
        <v>45</v>
      </c>
      <c r="L41" s="95">
        <v>1</v>
      </c>
      <c r="N41" s="87">
        <v>5</v>
      </c>
      <c r="O41" s="87">
        <v>1.35</v>
      </c>
      <c r="P41" s="87">
        <v>1.05</v>
      </c>
      <c r="Q41" s="113">
        <f t="shared" si="0"/>
        <v>1.2000000000000002</v>
      </c>
      <c r="R41" s="87">
        <v>9.8000000000000007</v>
      </c>
      <c r="S41" s="87">
        <v>89</v>
      </c>
      <c r="T41" s="16">
        <f t="shared" si="1"/>
        <v>36</v>
      </c>
      <c r="U41" s="87">
        <v>298</v>
      </c>
      <c r="V41" s="16">
        <f t="shared" si="2"/>
        <v>2145.6</v>
      </c>
      <c r="W41" s="87">
        <v>1</v>
      </c>
      <c r="X41" s="95" t="s">
        <v>39</v>
      </c>
      <c r="Y41" s="95" t="s">
        <v>84</v>
      </c>
      <c r="Z41" s="95" t="s">
        <v>90</v>
      </c>
      <c r="AA41" s="95" t="s">
        <v>69</v>
      </c>
      <c r="AB41" s="95" t="s">
        <v>183</v>
      </c>
    </row>
    <row r="42" spans="1:28" x14ac:dyDescent="0.15">
      <c r="A42" s="95" t="s">
        <v>34</v>
      </c>
      <c r="B42" s="87" t="s">
        <v>181</v>
      </c>
      <c r="C42" s="87">
        <v>2018</v>
      </c>
      <c r="D42" s="230" t="s">
        <v>378</v>
      </c>
      <c r="E42" s="100" t="s">
        <v>519</v>
      </c>
      <c r="F42" s="100" t="s">
        <v>527</v>
      </c>
      <c r="G42" s="95" t="s">
        <v>36</v>
      </c>
      <c r="H42" s="87" t="s">
        <v>127</v>
      </c>
      <c r="I42" s="95" t="s">
        <v>153</v>
      </c>
      <c r="J42" s="95" t="s">
        <v>80</v>
      </c>
      <c r="K42" s="95" t="s">
        <v>45</v>
      </c>
      <c r="L42" s="87">
        <v>2</v>
      </c>
      <c r="N42" s="87">
        <v>5</v>
      </c>
      <c r="O42" s="87">
        <v>1.95</v>
      </c>
      <c r="P42" s="87">
        <v>1.65</v>
      </c>
      <c r="Q42" s="113">
        <f t="shared" si="0"/>
        <v>1.7999999999999998</v>
      </c>
      <c r="R42" s="87">
        <v>9.9</v>
      </c>
      <c r="S42" s="87">
        <v>89</v>
      </c>
      <c r="T42" s="16">
        <f t="shared" si="1"/>
        <v>36</v>
      </c>
      <c r="U42" s="87">
        <v>298</v>
      </c>
      <c r="V42" s="16">
        <f t="shared" si="2"/>
        <v>2145.6</v>
      </c>
      <c r="W42" s="87">
        <v>1</v>
      </c>
      <c r="X42" s="95" t="s">
        <v>39</v>
      </c>
      <c r="Y42" s="95" t="s">
        <v>84</v>
      </c>
      <c r="Z42" s="95" t="s">
        <v>90</v>
      </c>
      <c r="AA42" s="95" t="s">
        <v>69</v>
      </c>
      <c r="AB42" s="95" t="s">
        <v>183</v>
      </c>
    </row>
    <row r="43" spans="1:28" x14ac:dyDescent="0.15">
      <c r="A43" s="95" t="s">
        <v>34</v>
      </c>
      <c r="B43" s="87" t="s">
        <v>181</v>
      </c>
      <c r="C43" s="87">
        <v>2018</v>
      </c>
      <c r="D43" s="230" t="s">
        <v>378</v>
      </c>
      <c r="E43" s="100" t="s">
        <v>519</v>
      </c>
      <c r="F43" s="100" t="s">
        <v>527</v>
      </c>
      <c r="G43" s="95" t="s">
        <v>36</v>
      </c>
      <c r="H43" s="87" t="s">
        <v>127</v>
      </c>
      <c r="I43" s="95" t="s">
        <v>153</v>
      </c>
      <c r="J43" s="95" t="s">
        <v>80</v>
      </c>
      <c r="K43" s="95" t="s">
        <v>45</v>
      </c>
      <c r="L43" s="87">
        <v>3</v>
      </c>
      <c r="N43" s="87">
        <v>5</v>
      </c>
      <c r="O43" s="87">
        <v>1.2</v>
      </c>
      <c r="P43" s="87">
        <v>0.9</v>
      </c>
      <c r="Q43" s="113">
        <f t="shared" si="0"/>
        <v>1.05</v>
      </c>
      <c r="R43" s="87">
        <v>12.6</v>
      </c>
      <c r="S43" s="87">
        <v>90</v>
      </c>
      <c r="T43" s="16">
        <f t="shared" si="1"/>
        <v>36</v>
      </c>
      <c r="U43" s="87">
        <v>298</v>
      </c>
      <c r="V43" s="16">
        <f t="shared" si="2"/>
        <v>2145.6</v>
      </c>
      <c r="W43" s="87">
        <v>1</v>
      </c>
      <c r="X43" s="95" t="s">
        <v>39</v>
      </c>
      <c r="Y43" s="95" t="s">
        <v>84</v>
      </c>
      <c r="Z43" s="95" t="s">
        <v>90</v>
      </c>
      <c r="AA43" s="95" t="s">
        <v>69</v>
      </c>
      <c r="AB43" s="95" t="s">
        <v>183</v>
      </c>
    </row>
    <row r="44" spans="1:28" x14ac:dyDescent="0.15">
      <c r="A44" s="95" t="s">
        <v>34</v>
      </c>
      <c r="B44" s="87" t="s">
        <v>181</v>
      </c>
      <c r="C44" s="87">
        <v>2018</v>
      </c>
      <c r="D44" s="230" t="s">
        <v>378</v>
      </c>
      <c r="E44" s="100" t="s">
        <v>528</v>
      </c>
      <c r="F44" s="100" t="s">
        <v>529</v>
      </c>
      <c r="G44" s="95" t="s">
        <v>36</v>
      </c>
      <c r="H44" s="87" t="s">
        <v>155</v>
      </c>
      <c r="I44" s="95" t="s">
        <v>153</v>
      </c>
      <c r="J44" s="95" t="s">
        <v>38</v>
      </c>
      <c r="K44" s="95" t="s">
        <v>154</v>
      </c>
      <c r="L44" s="95">
        <v>1</v>
      </c>
      <c r="N44" s="87">
        <v>1</v>
      </c>
      <c r="O44" s="87">
        <v>0.8</v>
      </c>
      <c r="P44" s="87">
        <v>0.85</v>
      </c>
      <c r="Q44" s="113">
        <f t="shared" si="0"/>
        <v>0.82499999999999996</v>
      </c>
      <c r="R44" s="87">
        <v>13.8</v>
      </c>
      <c r="S44" s="87">
        <v>128</v>
      </c>
      <c r="T44" s="16">
        <f t="shared" si="1"/>
        <v>30</v>
      </c>
      <c r="U44" s="87">
        <v>138</v>
      </c>
      <c r="V44" s="16">
        <f t="shared" si="2"/>
        <v>4140</v>
      </c>
      <c r="W44" s="87">
        <v>5</v>
      </c>
      <c r="X44" s="95" t="s">
        <v>46</v>
      </c>
      <c r="Y44" s="95" t="s">
        <v>84</v>
      </c>
      <c r="Z44" s="95" t="s">
        <v>50</v>
      </c>
      <c r="AA44" s="95" t="s">
        <v>90</v>
      </c>
      <c r="AB44" s="95" t="s">
        <v>183</v>
      </c>
    </row>
    <row r="45" spans="1:28" x14ac:dyDescent="0.15">
      <c r="A45" s="95" t="s">
        <v>34</v>
      </c>
      <c r="B45" s="87" t="s">
        <v>181</v>
      </c>
      <c r="C45" s="87">
        <v>2018</v>
      </c>
      <c r="D45" s="230" t="s">
        <v>378</v>
      </c>
      <c r="E45" s="100" t="s">
        <v>528</v>
      </c>
      <c r="F45" s="100" t="s">
        <v>529</v>
      </c>
      <c r="G45" s="95" t="s">
        <v>36</v>
      </c>
      <c r="H45" s="87" t="s">
        <v>155</v>
      </c>
      <c r="I45" s="95" t="s">
        <v>153</v>
      </c>
      <c r="J45" s="95" t="s">
        <v>38</v>
      </c>
      <c r="K45" s="95" t="s">
        <v>154</v>
      </c>
      <c r="L45" s="87">
        <v>2</v>
      </c>
      <c r="N45" s="87">
        <v>1</v>
      </c>
      <c r="O45" s="87">
        <v>0.7</v>
      </c>
      <c r="P45" s="87">
        <v>0.7</v>
      </c>
      <c r="Q45" s="113">
        <f t="shared" si="0"/>
        <v>0.7</v>
      </c>
      <c r="R45" s="87">
        <v>12.9</v>
      </c>
      <c r="S45" s="87">
        <v>132</v>
      </c>
      <c r="T45" s="16">
        <f t="shared" si="1"/>
        <v>30</v>
      </c>
      <c r="U45" s="87">
        <v>138</v>
      </c>
      <c r="V45" s="16">
        <f t="shared" si="2"/>
        <v>4140</v>
      </c>
      <c r="W45" s="87">
        <v>5</v>
      </c>
      <c r="X45" s="95" t="s">
        <v>46</v>
      </c>
      <c r="Y45" s="95" t="s">
        <v>84</v>
      </c>
      <c r="Z45" s="95" t="s">
        <v>50</v>
      </c>
      <c r="AA45" s="95" t="s">
        <v>90</v>
      </c>
      <c r="AB45" s="95" t="s">
        <v>183</v>
      </c>
    </row>
    <row r="46" spans="1:28" x14ac:dyDescent="0.15">
      <c r="A46" s="95" t="s">
        <v>34</v>
      </c>
      <c r="B46" s="87" t="s">
        <v>181</v>
      </c>
      <c r="C46" s="87">
        <v>2018</v>
      </c>
      <c r="D46" s="230" t="s">
        <v>378</v>
      </c>
      <c r="E46" s="100" t="s">
        <v>528</v>
      </c>
      <c r="F46" s="100" t="s">
        <v>529</v>
      </c>
      <c r="G46" s="95" t="s">
        <v>36</v>
      </c>
      <c r="H46" s="87" t="s">
        <v>155</v>
      </c>
      <c r="I46" s="95" t="s">
        <v>153</v>
      </c>
      <c r="J46" s="95" t="s">
        <v>38</v>
      </c>
      <c r="K46" s="95" t="s">
        <v>154</v>
      </c>
      <c r="L46" s="87">
        <v>3</v>
      </c>
      <c r="N46" s="87">
        <v>1</v>
      </c>
      <c r="O46" s="87">
        <v>0.75</v>
      </c>
      <c r="P46" s="87">
        <v>0.7</v>
      </c>
      <c r="Q46" s="113">
        <f t="shared" si="0"/>
        <v>0.72499999999999998</v>
      </c>
      <c r="R46" s="87">
        <v>13.5</v>
      </c>
      <c r="S46" s="87">
        <v>133</v>
      </c>
      <c r="T46" s="16">
        <f t="shared" si="1"/>
        <v>30</v>
      </c>
      <c r="U46" s="87">
        <v>138</v>
      </c>
      <c r="V46" s="16">
        <f t="shared" si="2"/>
        <v>4140</v>
      </c>
      <c r="W46" s="87">
        <v>5</v>
      </c>
      <c r="X46" s="95" t="s">
        <v>46</v>
      </c>
      <c r="Y46" s="95" t="s">
        <v>84</v>
      </c>
      <c r="Z46" s="95" t="s">
        <v>50</v>
      </c>
      <c r="AA46" s="95" t="s">
        <v>90</v>
      </c>
      <c r="AB46" s="95" t="s">
        <v>183</v>
      </c>
    </row>
    <row r="47" spans="1:28" x14ac:dyDescent="0.15">
      <c r="A47" s="95" t="s">
        <v>34</v>
      </c>
      <c r="B47" s="87" t="s">
        <v>181</v>
      </c>
      <c r="C47" s="87">
        <v>2018</v>
      </c>
      <c r="D47" s="230" t="s">
        <v>378</v>
      </c>
      <c r="E47" s="100" t="s">
        <v>528</v>
      </c>
      <c r="F47" s="100" t="s">
        <v>529</v>
      </c>
      <c r="G47" s="95" t="s">
        <v>36</v>
      </c>
      <c r="H47" s="87" t="s">
        <v>155</v>
      </c>
      <c r="I47" s="95" t="s">
        <v>153</v>
      </c>
      <c r="J47" s="95" t="s">
        <v>38</v>
      </c>
      <c r="K47" s="95" t="s">
        <v>154</v>
      </c>
      <c r="L47" s="95">
        <v>1</v>
      </c>
      <c r="N47" s="87">
        <v>8</v>
      </c>
      <c r="O47" s="87">
        <v>1.05</v>
      </c>
      <c r="P47" s="87">
        <v>1</v>
      </c>
      <c r="Q47" s="113">
        <f t="shared" si="0"/>
        <v>1.0249999999999999</v>
      </c>
      <c r="R47" s="87">
        <v>10.5</v>
      </c>
      <c r="S47" s="87">
        <v>85</v>
      </c>
      <c r="T47" s="16">
        <f t="shared" si="1"/>
        <v>36</v>
      </c>
      <c r="U47" s="87">
        <v>430</v>
      </c>
      <c r="V47" s="16">
        <f t="shared" si="2"/>
        <v>1935</v>
      </c>
      <c r="W47" s="87">
        <v>5</v>
      </c>
      <c r="X47" s="95" t="s">
        <v>46</v>
      </c>
      <c r="Y47" s="95" t="s">
        <v>84</v>
      </c>
      <c r="Z47" s="95" t="s">
        <v>50</v>
      </c>
      <c r="AA47" s="95" t="s">
        <v>90</v>
      </c>
      <c r="AB47" s="95" t="s">
        <v>183</v>
      </c>
    </row>
    <row r="48" spans="1:28" x14ac:dyDescent="0.15">
      <c r="A48" s="95" t="s">
        <v>34</v>
      </c>
      <c r="B48" s="87" t="s">
        <v>181</v>
      </c>
      <c r="C48" s="87">
        <v>2018</v>
      </c>
      <c r="D48" s="230" t="s">
        <v>378</v>
      </c>
      <c r="E48" s="100" t="s">
        <v>528</v>
      </c>
      <c r="F48" s="100" t="s">
        <v>529</v>
      </c>
      <c r="G48" s="95" t="s">
        <v>36</v>
      </c>
      <c r="H48" s="87" t="s">
        <v>155</v>
      </c>
      <c r="I48" s="95" t="s">
        <v>153</v>
      </c>
      <c r="J48" s="95" t="s">
        <v>38</v>
      </c>
      <c r="K48" s="95" t="s">
        <v>154</v>
      </c>
      <c r="L48" s="87">
        <v>2</v>
      </c>
      <c r="N48" s="87">
        <v>8</v>
      </c>
      <c r="O48" s="87">
        <v>0.8</v>
      </c>
      <c r="P48" s="87">
        <v>0.55000000000000004</v>
      </c>
      <c r="Q48" s="113">
        <f t="shared" si="0"/>
        <v>0.67500000000000004</v>
      </c>
      <c r="R48" s="87">
        <v>12.2</v>
      </c>
      <c r="S48" s="87">
        <v>92</v>
      </c>
      <c r="T48" s="16">
        <f t="shared" si="1"/>
        <v>36</v>
      </c>
      <c r="U48" s="87">
        <v>430</v>
      </c>
      <c r="V48" s="16">
        <f t="shared" si="2"/>
        <v>1935</v>
      </c>
      <c r="W48" s="87">
        <v>5</v>
      </c>
      <c r="X48" s="95" t="s">
        <v>46</v>
      </c>
      <c r="Y48" s="95" t="s">
        <v>84</v>
      </c>
      <c r="Z48" s="95" t="s">
        <v>50</v>
      </c>
      <c r="AA48" s="95" t="s">
        <v>90</v>
      </c>
      <c r="AB48" s="95" t="s">
        <v>183</v>
      </c>
    </row>
    <row r="49" spans="1:28" x14ac:dyDescent="0.15">
      <c r="A49" s="95" t="s">
        <v>34</v>
      </c>
      <c r="B49" s="87" t="s">
        <v>181</v>
      </c>
      <c r="C49" s="87">
        <v>2018</v>
      </c>
      <c r="D49" s="230" t="s">
        <v>378</v>
      </c>
      <c r="E49" s="100" t="s">
        <v>528</v>
      </c>
      <c r="F49" s="100" t="s">
        <v>529</v>
      </c>
      <c r="G49" s="95" t="s">
        <v>36</v>
      </c>
      <c r="H49" s="87" t="s">
        <v>155</v>
      </c>
      <c r="I49" s="95" t="s">
        <v>153</v>
      </c>
      <c r="J49" s="95" t="s">
        <v>38</v>
      </c>
      <c r="K49" s="95" t="s">
        <v>154</v>
      </c>
      <c r="L49" s="87">
        <v>3</v>
      </c>
      <c r="N49" s="87">
        <v>8</v>
      </c>
      <c r="O49" s="87">
        <v>0.9</v>
      </c>
      <c r="P49" s="87">
        <v>0.8</v>
      </c>
      <c r="Q49" s="113">
        <f t="shared" si="0"/>
        <v>0.85000000000000009</v>
      </c>
      <c r="R49" s="87">
        <v>11.1</v>
      </c>
      <c r="S49" s="87">
        <v>82</v>
      </c>
      <c r="T49" s="16">
        <f t="shared" si="1"/>
        <v>39</v>
      </c>
      <c r="U49" s="87">
        <v>430</v>
      </c>
      <c r="V49" s="16">
        <f t="shared" si="2"/>
        <v>2096.25</v>
      </c>
      <c r="W49" s="87">
        <v>5</v>
      </c>
      <c r="X49" s="95" t="s">
        <v>46</v>
      </c>
      <c r="Y49" s="95" t="s">
        <v>84</v>
      </c>
      <c r="Z49" s="95" t="s">
        <v>50</v>
      </c>
      <c r="AA49" s="95" t="s">
        <v>90</v>
      </c>
      <c r="AB49" s="95" t="s">
        <v>183</v>
      </c>
    </row>
    <row r="50" spans="1:28" x14ac:dyDescent="0.15">
      <c r="A50" s="95" t="s">
        <v>34</v>
      </c>
      <c r="B50" s="87" t="s">
        <v>181</v>
      </c>
      <c r="C50" s="87">
        <v>2018</v>
      </c>
      <c r="D50" s="230" t="s">
        <v>378</v>
      </c>
      <c r="E50" s="100" t="s">
        <v>530</v>
      </c>
      <c r="F50" s="100" t="s">
        <v>531</v>
      </c>
      <c r="G50" s="95" t="s">
        <v>36</v>
      </c>
      <c r="H50" s="87" t="s">
        <v>127</v>
      </c>
      <c r="I50" s="95" t="s">
        <v>153</v>
      </c>
      <c r="J50" s="95" t="s">
        <v>111</v>
      </c>
      <c r="K50" s="95" t="s">
        <v>126</v>
      </c>
      <c r="L50" s="95">
        <v>1</v>
      </c>
      <c r="N50" s="87">
        <v>1</v>
      </c>
      <c r="O50" s="87">
        <v>0.75</v>
      </c>
      <c r="P50" s="87">
        <v>0.9</v>
      </c>
      <c r="Q50" s="113">
        <f t="shared" si="0"/>
        <v>0.82499999999999996</v>
      </c>
      <c r="R50" s="87">
        <v>13.5</v>
      </c>
      <c r="S50" s="87">
        <v>133</v>
      </c>
      <c r="T50" s="16">
        <f t="shared" si="1"/>
        <v>30</v>
      </c>
      <c r="U50" s="87">
        <v>84</v>
      </c>
      <c r="V50" s="16">
        <f t="shared" si="2"/>
        <v>2520</v>
      </c>
      <c r="W50" s="87">
        <v>4</v>
      </c>
      <c r="X50" s="95" t="s">
        <v>46</v>
      </c>
      <c r="Y50" s="95" t="s">
        <v>84</v>
      </c>
      <c r="Z50" s="95" t="s">
        <v>50</v>
      </c>
      <c r="AA50" s="95" t="s">
        <v>90</v>
      </c>
      <c r="AB50" s="95" t="s">
        <v>183</v>
      </c>
    </row>
    <row r="51" spans="1:28" x14ac:dyDescent="0.15">
      <c r="A51" s="95" t="s">
        <v>34</v>
      </c>
      <c r="B51" s="87" t="s">
        <v>181</v>
      </c>
      <c r="C51" s="87">
        <v>2018</v>
      </c>
      <c r="D51" s="230" t="s">
        <v>378</v>
      </c>
      <c r="E51" s="100" t="s">
        <v>530</v>
      </c>
      <c r="F51" s="100" t="s">
        <v>531</v>
      </c>
      <c r="G51" s="95" t="s">
        <v>36</v>
      </c>
      <c r="H51" s="87" t="s">
        <v>127</v>
      </c>
      <c r="I51" s="95" t="s">
        <v>153</v>
      </c>
      <c r="J51" s="95" t="s">
        <v>111</v>
      </c>
      <c r="K51" s="95" t="s">
        <v>126</v>
      </c>
      <c r="L51" s="87">
        <v>2</v>
      </c>
      <c r="N51" s="87">
        <v>1</v>
      </c>
      <c r="O51" s="87">
        <v>1</v>
      </c>
      <c r="P51" s="87">
        <v>0.7</v>
      </c>
      <c r="Q51" s="113">
        <f t="shared" si="0"/>
        <v>0.85</v>
      </c>
      <c r="R51" s="87">
        <v>13.4</v>
      </c>
      <c r="S51" s="87">
        <v>138</v>
      </c>
      <c r="T51" s="16">
        <f t="shared" si="1"/>
        <v>30</v>
      </c>
      <c r="U51" s="87">
        <v>84</v>
      </c>
      <c r="V51" s="16">
        <f t="shared" si="2"/>
        <v>2520</v>
      </c>
      <c r="W51" s="87">
        <v>4</v>
      </c>
      <c r="X51" s="95" t="s">
        <v>46</v>
      </c>
      <c r="Y51" s="95" t="s">
        <v>84</v>
      </c>
      <c r="Z51" s="95" t="s">
        <v>50</v>
      </c>
      <c r="AA51" s="95" t="s">
        <v>90</v>
      </c>
      <c r="AB51" s="95" t="s">
        <v>183</v>
      </c>
    </row>
    <row r="52" spans="1:28" x14ac:dyDescent="0.15">
      <c r="A52" s="95" t="s">
        <v>34</v>
      </c>
      <c r="B52" s="87" t="s">
        <v>181</v>
      </c>
      <c r="C52" s="87">
        <v>2018</v>
      </c>
      <c r="D52" s="230" t="s">
        <v>378</v>
      </c>
      <c r="E52" s="100" t="s">
        <v>530</v>
      </c>
      <c r="F52" s="100" t="s">
        <v>531</v>
      </c>
      <c r="G52" s="95" t="s">
        <v>36</v>
      </c>
      <c r="H52" s="87" t="s">
        <v>127</v>
      </c>
      <c r="I52" s="95" t="s">
        <v>153</v>
      </c>
      <c r="J52" s="95" t="s">
        <v>111</v>
      </c>
      <c r="K52" s="95" t="s">
        <v>126</v>
      </c>
      <c r="L52" s="87">
        <v>3</v>
      </c>
      <c r="N52" s="87">
        <v>1</v>
      </c>
      <c r="O52" s="87">
        <v>1.8</v>
      </c>
      <c r="P52" s="87">
        <v>2.25</v>
      </c>
      <c r="Q52" s="113">
        <f t="shared" si="0"/>
        <v>2.0249999999999999</v>
      </c>
      <c r="R52" s="87">
        <v>13.4</v>
      </c>
      <c r="S52" s="87">
        <v>130</v>
      </c>
      <c r="T52" s="16">
        <f t="shared" si="1"/>
        <v>30</v>
      </c>
      <c r="U52" s="87">
        <v>84</v>
      </c>
      <c r="V52" s="16">
        <f t="shared" si="2"/>
        <v>2520</v>
      </c>
      <c r="W52" s="87">
        <v>4</v>
      </c>
      <c r="X52" s="95" t="s">
        <v>46</v>
      </c>
      <c r="Y52" s="95" t="s">
        <v>84</v>
      </c>
      <c r="Z52" s="95" t="s">
        <v>50</v>
      </c>
      <c r="AA52" s="95" t="s">
        <v>90</v>
      </c>
      <c r="AB52" s="95" t="s">
        <v>183</v>
      </c>
    </row>
    <row r="53" spans="1:28" x14ac:dyDescent="0.15">
      <c r="A53" s="95" t="s">
        <v>34</v>
      </c>
      <c r="B53" s="87" t="s">
        <v>181</v>
      </c>
      <c r="C53" s="87">
        <v>2018</v>
      </c>
      <c r="D53" s="230" t="s">
        <v>378</v>
      </c>
      <c r="E53" s="100" t="s">
        <v>530</v>
      </c>
      <c r="F53" s="100" t="s">
        <v>531</v>
      </c>
      <c r="G53" s="95" t="s">
        <v>36</v>
      </c>
      <c r="H53" s="87" t="s">
        <v>127</v>
      </c>
      <c r="I53" s="95" t="s">
        <v>153</v>
      </c>
      <c r="J53" s="95" t="s">
        <v>80</v>
      </c>
      <c r="K53" s="95" t="s">
        <v>94</v>
      </c>
      <c r="L53" s="95">
        <v>1</v>
      </c>
      <c r="N53" s="87">
        <v>5</v>
      </c>
      <c r="O53" s="87">
        <v>0.2</v>
      </c>
      <c r="P53" s="87">
        <v>0.2</v>
      </c>
      <c r="Q53" s="113">
        <f t="shared" si="0"/>
        <v>0.2</v>
      </c>
      <c r="R53" s="87">
        <v>12.1</v>
      </c>
      <c r="S53" s="87">
        <v>107</v>
      </c>
      <c r="T53" s="16">
        <f t="shared" si="1"/>
        <v>33</v>
      </c>
      <c r="U53" s="87">
        <v>321</v>
      </c>
      <c r="V53" s="16">
        <f t="shared" si="2"/>
        <v>2118.6</v>
      </c>
      <c r="W53" s="87">
        <v>2</v>
      </c>
      <c r="X53" s="95" t="s">
        <v>46</v>
      </c>
      <c r="Y53" s="95" t="s">
        <v>84</v>
      </c>
      <c r="Z53" s="95" t="s">
        <v>50</v>
      </c>
      <c r="AA53" s="95" t="s">
        <v>90</v>
      </c>
      <c r="AB53" s="95" t="s">
        <v>183</v>
      </c>
    </row>
    <row r="54" spans="1:28" x14ac:dyDescent="0.15">
      <c r="A54" s="95" t="s">
        <v>34</v>
      </c>
      <c r="B54" s="87" t="s">
        <v>181</v>
      </c>
      <c r="C54" s="87">
        <v>2018</v>
      </c>
      <c r="D54" s="230" t="s">
        <v>378</v>
      </c>
      <c r="E54" s="100" t="s">
        <v>530</v>
      </c>
      <c r="F54" s="100" t="s">
        <v>531</v>
      </c>
      <c r="G54" s="95" t="s">
        <v>36</v>
      </c>
      <c r="H54" s="87" t="s">
        <v>127</v>
      </c>
      <c r="I54" s="95" t="s">
        <v>153</v>
      </c>
      <c r="J54" s="95" t="s">
        <v>80</v>
      </c>
      <c r="K54" s="95" t="s">
        <v>94</v>
      </c>
      <c r="L54" s="87">
        <v>2</v>
      </c>
      <c r="N54" s="87">
        <v>5</v>
      </c>
      <c r="O54" s="87">
        <v>0.55000000000000004</v>
      </c>
      <c r="P54" s="87">
        <v>0.2</v>
      </c>
      <c r="Q54" s="113">
        <f t="shared" si="0"/>
        <v>0.375</v>
      </c>
      <c r="R54" s="87">
        <v>13.9</v>
      </c>
      <c r="S54" s="87">
        <v>113</v>
      </c>
      <c r="T54" s="16">
        <f t="shared" si="1"/>
        <v>30</v>
      </c>
      <c r="U54" s="87">
        <v>321</v>
      </c>
      <c r="V54" s="16">
        <f t="shared" si="2"/>
        <v>1926</v>
      </c>
      <c r="W54" s="87">
        <v>2</v>
      </c>
      <c r="X54" s="95" t="s">
        <v>46</v>
      </c>
      <c r="Y54" s="95" t="s">
        <v>84</v>
      </c>
      <c r="Z54" s="95" t="s">
        <v>50</v>
      </c>
      <c r="AA54" s="95" t="s">
        <v>90</v>
      </c>
      <c r="AB54" s="95" t="s">
        <v>183</v>
      </c>
    </row>
    <row r="55" spans="1:28" x14ac:dyDescent="0.15">
      <c r="A55" s="95" t="s">
        <v>34</v>
      </c>
      <c r="B55" s="87" t="s">
        <v>181</v>
      </c>
      <c r="C55" s="87">
        <v>2018</v>
      </c>
      <c r="D55" s="230" t="s">
        <v>378</v>
      </c>
      <c r="E55" s="100" t="s">
        <v>530</v>
      </c>
      <c r="F55" s="100" t="s">
        <v>531</v>
      </c>
      <c r="G55" s="95" t="s">
        <v>36</v>
      </c>
      <c r="H55" s="87" t="s">
        <v>127</v>
      </c>
      <c r="I55" s="95" t="s">
        <v>153</v>
      </c>
      <c r="J55" s="95" t="s">
        <v>80</v>
      </c>
      <c r="K55" s="95" t="s">
        <v>94</v>
      </c>
      <c r="L55" s="87">
        <v>3</v>
      </c>
      <c r="N55" s="87">
        <v>5</v>
      </c>
      <c r="O55" s="87">
        <v>0.55000000000000004</v>
      </c>
      <c r="P55" s="87">
        <v>0.2</v>
      </c>
      <c r="Q55" s="113">
        <f t="shared" si="0"/>
        <v>0.375</v>
      </c>
      <c r="R55" s="87">
        <v>13.5</v>
      </c>
      <c r="S55" s="87">
        <v>105</v>
      </c>
      <c r="T55" s="16">
        <f t="shared" si="1"/>
        <v>33</v>
      </c>
      <c r="U55" s="87">
        <v>321</v>
      </c>
      <c r="V55" s="16">
        <f t="shared" si="2"/>
        <v>2118.6</v>
      </c>
      <c r="W55" s="87">
        <v>2</v>
      </c>
      <c r="X55" s="95" t="s">
        <v>46</v>
      </c>
      <c r="Y55" s="95" t="s">
        <v>84</v>
      </c>
      <c r="Z55" s="95" t="s">
        <v>50</v>
      </c>
      <c r="AA55" s="95" t="s">
        <v>90</v>
      </c>
      <c r="AB55" s="95" t="s">
        <v>183</v>
      </c>
    </row>
    <row r="56" spans="1:28" x14ac:dyDescent="0.15">
      <c r="A56" s="95" t="s">
        <v>34</v>
      </c>
      <c r="B56" s="87" t="s">
        <v>181</v>
      </c>
      <c r="C56" s="87">
        <v>2018</v>
      </c>
      <c r="D56" s="230" t="s">
        <v>378</v>
      </c>
      <c r="E56" s="100" t="s">
        <v>532</v>
      </c>
      <c r="F56" s="100" t="s">
        <v>533</v>
      </c>
      <c r="G56" s="95" t="s">
        <v>36</v>
      </c>
      <c r="H56" s="87" t="s">
        <v>155</v>
      </c>
      <c r="I56" s="95" t="s">
        <v>153</v>
      </c>
      <c r="J56" s="95" t="s">
        <v>38</v>
      </c>
      <c r="K56" s="95" t="s">
        <v>154</v>
      </c>
      <c r="L56" s="95">
        <v>1</v>
      </c>
      <c r="N56" s="87">
        <v>1</v>
      </c>
      <c r="O56" s="87">
        <v>0.8</v>
      </c>
      <c r="P56" s="87">
        <v>0.7</v>
      </c>
      <c r="Q56" s="113">
        <f t="shared" si="0"/>
        <v>0.75</v>
      </c>
      <c r="R56" s="87">
        <v>14.1</v>
      </c>
      <c r="S56" s="87">
        <v>123</v>
      </c>
      <c r="T56" s="16">
        <f t="shared" si="1"/>
        <v>30</v>
      </c>
      <c r="U56" s="87">
        <v>108</v>
      </c>
      <c r="V56" s="16">
        <f t="shared" si="2"/>
        <v>3240</v>
      </c>
      <c r="W56" s="87">
        <v>2</v>
      </c>
      <c r="X56" s="95" t="s">
        <v>39</v>
      </c>
      <c r="Y56" s="95" t="s">
        <v>84</v>
      </c>
      <c r="Z56" s="95" t="s">
        <v>90</v>
      </c>
      <c r="AA56" s="95" t="s">
        <v>69</v>
      </c>
      <c r="AB56" s="95" t="s">
        <v>183</v>
      </c>
    </row>
    <row r="57" spans="1:28" x14ac:dyDescent="0.15">
      <c r="A57" s="95" t="s">
        <v>34</v>
      </c>
      <c r="B57" s="87" t="s">
        <v>181</v>
      </c>
      <c r="C57" s="87">
        <v>2018</v>
      </c>
      <c r="D57" s="230" t="s">
        <v>378</v>
      </c>
      <c r="E57" s="100" t="s">
        <v>532</v>
      </c>
      <c r="F57" s="100" t="s">
        <v>533</v>
      </c>
      <c r="G57" s="95" t="s">
        <v>36</v>
      </c>
      <c r="H57" s="87" t="s">
        <v>155</v>
      </c>
      <c r="I57" s="95" t="s">
        <v>153</v>
      </c>
      <c r="J57" s="95" t="s">
        <v>38</v>
      </c>
      <c r="K57" s="95" t="s">
        <v>154</v>
      </c>
      <c r="L57" s="87">
        <v>2</v>
      </c>
      <c r="N57" s="87">
        <v>1</v>
      </c>
      <c r="O57" s="87">
        <v>0.95</v>
      </c>
      <c r="P57" s="87">
        <v>1</v>
      </c>
      <c r="Q57" s="113">
        <f t="shared" si="0"/>
        <v>0.97499999999999998</v>
      </c>
      <c r="R57" s="87">
        <v>14</v>
      </c>
      <c r="S57" s="87">
        <v>128</v>
      </c>
      <c r="T57" s="16">
        <f t="shared" si="1"/>
        <v>30</v>
      </c>
      <c r="U57" s="87">
        <v>108</v>
      </c>
      <c r="V57" s="16">
        <f t="shared" si="2"/>
        <v>3240</v>
      </c>
      <c r="W57" s="87">
        <v>2</v>
      </c>
      <c r="X57" s="95" t="s">
        <v>39</v>
      </c>
      <c r="Y57" s="95" t="s">
        <v>84</v>
      </c>
      <c r="Z57" s="95" t="s">
        <v>90</v>
      </c>
      <c r="AA57" s="95" t="s">
        <v>69</v>
      </c>
      <c r="AB57" s="95" t="s">
        <v>183</v>
      </c>
    </row>
    <row r="58" spans="1:28" x14ac:dyDescent="0.15">
      <c r="A58" s="95" t="s">
        <v>34</v>
      </c>
      <c r="B58" s="87" t="s">
        <v>181</v>
      </c>
      <c r="C58" s="87">
        <v>2018</v>
      </c>
      <c r="D58" s="230" t="s">
        <v>378</v>
      </c>
      <c r="E58" s="100" t="s">
        <v>532</v>
      </c>
      <c r="F58" s="100" t="s">
        <v>533</v>
      </c>
      <c r="G58" s="95" t="s">
        <v>36</v>
      </c>
      <c r="H58" s="87" t="s">
        <v>155</v>
      </c>
      <c r="I58" s="95" t="s">
        <v>153</v>
      </c>
      <c r="J58" s="95" t="s">
        <v>38</v>
      </c>
      <c r="K58" s="95" t="s">
        <v>154</v>
      </c>
      <c r="L58" s="87">
        <v>3</v>
      </c>
      <c r="N58" s="87">
        <v>1</v>
      </c>
      <c r="O58" s="87">
        <v>0.8</v>
      </c>
      <c r="P58" s="87">
        <v>0.85</v>
      </c>
      <c r="Q58" s="113">
        <f t="shared" si="0"/>
        <v>0.82499999999999996</v>
      </c>
      <c r="R58" s="87">
        <v>13.5</v>
      </c>
      <c r="S58" s="87">
        <v>122</v>
      </c>
      <c r="T58" s="16">
        <f t="shared" si="1"/>
        <v>30</v>
      </c>
      <c r="U58" s="87">
        <v>108</v>
      </c>
      <c r="V58" s="16">
        <f t="shared" si="2"/>
        <v>3240</v>
      </c>
      <c r="W58" s="87">
        <v>2</v>
      </c>
      <c r="X58" s="95" t="s">
        <v>39</v>
      </c>
      <c r="Y58" s="95" t="s">
        <v>84</v>
      </c>
      <c r="Z58" s="95" t="s">
        <v>90</v>
      </c>
      <c r="AA58" s="95" t="s">
        <v>69</v>
      </c>
      <c r="AB58" s="95" t="s">
        <v>183</v>
      </c>
    </row>
    <row r="59" spans="1:28" x14ac:dyDescent="0.15">
      <c r="A59" s="95" t="s">
        <v>34</v>
      </c>
      <c r="B59" s="87" t="s">
        <v>181</v>
      </c>
      <c r="C59" s="87">
        <v>2018</v>
      </c>
      <c r="D59" s="230" t="s">
        <v>378</v>
      </c>
      <c r="E59" s="100" t="s">
        <v>532</v>
      </c>
      <c r="F59" s="100" t="s">
        <v>533</v>
      </c>
      <c r="G59" s="95" t="s">
        <v>36</v>
      </c>
      <c r="H59" s="87" t="s">
        <v>128</v>
      </c>
      <c r="I59" s="95" t="s">
        <v>153</v>
      </c>
      <c r="J59" s="95" t="s">
        <v>80</v>
      </c>
      <c r="K59" s="95" t="s">
        <v>63</v>
      </c>
      <c r="L59" s="95">
        <v>1</v>
      </c>
      <c r="N59" s="87">
        <v>4</v>
      </c>
      <c r="O59" s="87">
        <v>0.6</v>
      </c>
      <c r="P59" s="87">
        <v>0.6</v>
      </c>
      <c r="Q59" s="113">
        <f t="shared" si="0"/>
        <v>0.6</v>
      </c>
      <c r="R59" s="87">
        <v>16.5</v>
      </c>
      <c r="S59" s="87">
        <v>79</v>
      </c>
      <c r="T59" s="16">
        <f t="shared" si="1"/>
        <v>39</v>
      </c>
      <c r="U59" s="87">
        <v>429</v>
      </c>
      <c r="V59" s="16">
        <f t="shared" si="2"/>
        <v>4182.75</v>
      </c>
      <c r="W59" s="87">
        <v>1</v>
      </c>
      <c r="X59" s="95" t="s">
        <v>39</v>
      </c>
      <c r="Y59" s="95" t="s">
        <v>84</v>
      </c>
      <c r="Z59" s="95" t="s">
        <v>90</v>
      </c>
      <c r="AA59" s="95" t="s">
        <v>69</v>
      </c>
      <c r="AB59" s="95" t="s">
        <v>183</v>
      </c>
    </row>
    <row r="60" spans="1:28" x14ac:dyDescent="0.15">
      <c r="A60" s="95" t="s">
        <v>34</v>
      </c>
      <c r="B60" s="87" t="s">
        <v>181</v>
      </c>
      <c r="C60" s="87">
        <v>2018</v>
      </c>
      <c r="D60" s="230" t="s">
        <v>378</v>
      </c>
      <c r="E60" s="100" t="s">
        <v>532</v>
      </c>
      <c r="F60" s="100" t="s">
        <v>533</v>
      </c>
      <c r="G60" s="95" t="s">
        <v>36</v>
      </c>
      <c r="H60" s="87" t="s">
        <v>128</v>
      </c>
      <c r="I60" s="95" t="s">
        <v>153</v>
      </c>
      <c r="J60" s="95" t="s">
        <v>80</v>
      </c>
      <c r="K60" s="95" t="s">
        <v>63</v>
      </c>
      <c r="L60" s="87">
        <v>2</v>
      </c>
      <c r="N60" s="87">
        <v>4</v>
      </c>
      <c r="O60" s="87">
        <v>0.6</v>
      </c>
      <c r="P60" s="87">
        <v>0.65</v>
      </c>
      <c r="Q60" s="113">
        <f t="shared" si="0"/>
        <v>0.625</v>
      </c>
      <c r="R60" s="87">
        <v>16</v>
      </c>
      <c r="S60" s="87">
        <v>74</v>
      </c>
      <c r="T60" s="16">
        <f t="shared" si="1"/>
        <v>42</v>
      </c>
      <c r="U60" s="87">
        <v>429</v>
      </c>
      <c r="V60" s="16">
        <f t="shared" si="2"/>
        <v>4504.5</v>
      </c>
      <c r="W60" s="87">
        <v>1</v>
      </c>
      <c r="X60" s="95" t="s">
        <v>39</v>
      </c>
      <c r="Y60" s="95" t="s">
        <v>84</v>
      </c>
      <c r="Z60" s="95" t="s">
        <v>90</v>
      </c>
      <c r="AA60" s="95" t="s">
        <v>69</v>
      </c>
      <c r="AB60" s="95" t="s">
        <v>183</v>
      </c>
    </row>
    <row r="61" spans="1:28" x14ac:dyDescent="0.15">
      <c r="A61" s="95" t="s">
        <v>34</v>
      </c>
      <c r="B61" s="87" t="s">
        <v>181</v>
      </c>
      <c r="C61" s="87">
        <v>2018</v>
      </c>
      <c r="D61" s="230" t="s">
        <v>378</v>
      </c>
      <c r="E61" s="100" t="s">
        <v>532</v>
      </c>
      <c r="F61" s="100" t="s">
        <v>533</v>
      </c>
      <c r="G61" s="95" t="s">
        <v>36</v>
      </c>
      <c r="H61" s="87" t="s">
        <v>128</v>
      </c>
      <c r="I61" s="95" t="s">
        <v>153</v>
      </c>
      <c r="J61" s="95" t="s">
        <v>80</v>
      </c>
      <c r="K61" s="95" t="s">
        <v>63</v>
      </c>
      <c r="L61" s="87">
        <v>3</v>
      </c>
      <c r="N61" s="87">
        <v>4</v>
      </c>
      <c r="O61" s="87">
        <v>0.6</v>
      </c>
      <c r="P61" s="87">
        <v>0.7</v>
      </c>
      <c r="Q61" s="113">
        <f t="shared" si="0"/>
        <v>0.64999999999999991</v>
      </c>
      <c r="R61" s="87">
        <v>16</v>
      </c>
      <c r="S61" s="87">
        <v>83</v>
      </c>
      <c r="T61" s="16">
        <f t="shared" si="1"/>
        <v>39</v>
      </c>
      <c r="U61" s="87">
        <v>429</v>
      </c>
      <c r="V61" s="16">
        <f t="shared" si="2"/>
        <v>4182.75</v>
      </c>
      <c r="W61" s="87">
        <v>1</v>
      </c>
      <c r="X61" s="95" t="s">
        <v>39</v>
      </c>
      <c r="Y61" s="95" t="s">
        <v>84</v>
      </c>
      <c r="Z61" s="95" t="s">
        <v>90</v>
      </c>
      <c r="AA61" s="95" t="s">
        <v>69</v>
      </c>
      <c r="AB61" s="95" t="s">
        <v>183</v>
      </c>
    </row>
    <row r="62" spans="1:28" x14ac:dyDescent="0.15">
      <c r="A62" s="95" t="s">
        <v>34</v>
      </c>
      <c r="B62" s="87" t="s">
        <v>181</v>
      </c>
      <c r="C62" s="87">
        <v>2018</v>
      </c>
      <c r="D62" s="230" t="s">
        <v>378</v>
      </c>
      <c r="E62" s="100" t="s">
        <v>534</v>
      </c>
      <c r="F62" s="100" t="s">
        <v>535</v>
      </c>
      <c r="G62" s="95" t="s">
        <v>36</v>
      </c>
      <c r="H62" s="87" t="s">
        <v>155</v>
      </c>
      <c r="I62" s="95" t="s">
        <v>153</v>
      </c>
      <c r="J62" s="95" t="s">
        <v>38</v>
      </c>
      <c r="K62" s="95" t="s">
        <v>154</v>
      </c>
      <c r="L62" s="95">
        <v>1</v>
      </c>
      <c r="N62" s="87">
        <v>1</v>
      </c>
      <c r="O62" s="87">
        <v>0.85</v>
      </c>
      <c r="P62" s="87">
        <v>0.8</v>
      </c>
      <c r="Q62" s="113">
        <f t="shared" si="0"/>
        <v>0.82499999999999996</v>
      </c>
      <c r="R62" s="87">
        <v>13.8</v>
      </c>
      <c r="S62" s="87">
        <v>137</v>
      </c>
      <c r="T62" s="16">
        <f t="shared" si="1"/>
        <v>30</v>
      </c>
      <c r="U62" s="87">
        <v>149</v>
      </c>
      <c r="V62" s="16">
        <f t="shared" si="2"/>
        <v>4470</v>
      </c>
      <c r="W62" s="87">
        <v>3</v>
      </c>
      <c r="X62" s="95" t="s">
        <v>46</v>
      </c>
      <c r="Y62" s="95" t="s">
        <v>84</v>
      </c>
      <c r="Z62" s="95" t="s">
        <v>90</v>
      </c>
      <c r="AA62" s="95" t="s">
        <v>69</v>
      </c>
      <c r="AB62" s="95" t="s">
        <v>183</v>
      </c>
    </row>
    <row r="63" spans="1:28" x14ac:dyDescent="0.15">
      <c r="A63" s="95" t="s">
        <v>34</v>
      </c>
      <c r="B63" s="87" t="s">
        <v>181</v>
      </c>
      <c r="C63" s="87">
        <v>2018</v>
      </c>
      <c r="D63" s="230" t="s">
        <v>378</v>
      </c>
      <c r="E63" s="100" t="s">
        <v>534</v>
      </c>
      <c r="F63" s="100" t="s">
        <v>535</v>
      </c>
      <c r="G63" s="95" t="s">
        <v>36</v>
      </c>
      <c r="H63" s="87" t="s">
        <v>155</v>
      </c>
      <c r="I63" s="95" t="s">
        <v>153</v>
      </c>
      <c r="J63" s="95" t="s">
        <v>38</v>
      </c>
      <c r="K63" s="95" t="s">
        <v>154</v>
      </c>
      <c r="L63" s="87">
        <v>2</v>
      </c>
      <c r="N63" s="87">
        <v>1</v>
      </c>
      <c r="O63" s="87">
        <v>0.85</v>
      </c>
      <c r="P63" s="87">
        <v>0.8</v>
      </c>
      <c r="Q63" s="113">
        <f t="shared" si="0"/>
        <v>0.82499999999999996</v>
      </c>
      <c r="R63" s="87">
        <v>14.2</v>
      </c>
      <c r="S63" s="87">
        <v>135</v>
      </c>
      <c r="T63" s="16">
        <f t="shared" si="1"/>
        <v>30</v>
      </c>
      <c r="U63" s="87">
        <v>149</v>
      </c>
      <c r="V63" s="16">
        <f t="shared" si="2"/>
        <v>4470</v>
      </c>
      <c r="W63" s="87">
        <v>3</v>
      </c>
      <c r="X63" s="95" t="s">
        <v>46</v>
      </c>
      <c r="Y63" s="95" t="s">
        <v>84</v>
      </c>
      <c r="Z63" s="95" t="s">
        <v>90</v>
      </c>
      <c r="AA63" s="95" t="s">
        <v>69</v>
      </c>
      <c r="AB63" s="95" t="s">
        <v>183</v>
      </c>
    </row>
    <row r="64" spans="1:28" x14ac:dyDescent="0.15">
      <c r="A64" s="95" t="s">
        <v>34</v>
      </c>
      <c r="B64" s="87" t="s">
        <v>181</v>
      </c>
      <c r="C64" s="87">
        <v>2018</v>
      </c>
      <c r="D64" s="230" t="s">
        <v>378</v>
      </c>
      <c r="E64" s="100" t="s">
        <v>534</v>
      </c>
      <c r="F64" s="100" t="s">
        <v>535</v>
      </c>
      <c r="G64" s="95" t="s">
        <v>36</v>
      </c>
      <c r="H64" s="87" t="s">
        <v>155</v>
      </c>
      <c r="I64" s="95" t="s">
        <v>153</v>
      </c>
      <c r="J64" s="95" t="s">
        <v>38</v>
      </c>
      <c r="K64" s="95" t="s">
        <v>154</v>
      </c>
      <c r="L64" s="87">
        <v>3</v>
      </c>
      <c r="N64" s="87">
        <v>1</v>
      </c>
      <c r="O64" s="87">
        <v>1.05</v>
      </c>
      <c r="P64" s="87">
        <v>1.2</v>
      </c>
      <c r="Q64" s="113">
        <f t="shared" si="0"/>
        <v>1.125</v>
      </c>
      <c r="R64" s="87">
        <v>14</v>
      </c>
      <c r="S64" s="87">
        <v>148</v>
      </c>
      <c r="T64" s="16">
        <f t="shared" si="1"/>
        <v>30</v>
      </c>
      <c r="U64" s="87">
        <v>149</v>
      </c>
      <c r="V64" s="16">
        <f t="shared" si="2"/>
        <v>4470</v>
      </c>
      <c r="W64" s="87">
        <v>3</v>
      </c>
      <c r="X64" s="95" t="s">
        <v>46</v>
      </c>
      <c r="Y64" s="95" t="s">
        <v>84</v>
      </c>
      <c r="Z64" s="95" t="s">
        <v>90</v>
      </c>
      <c r="AA64" s="95" t="s">
        <v>69</v>
      </c>
      <c r="AB64" s="95" t="s">
        <v>183</v>
      </c>
    </row>
    <row r="65" spans="1:28" x14ac:dyDescent="0.15">
      <c r="A65" s="95" t="s">
        <v>34</v>
      </c>
      <c r="B65" s="87" t="s">
        <v>181</v>
      </c>
      <c r="C65" s="87">
        <v>2018</v>
      </c>
      <c r="D65" s="230" t="s">
        <v>378</v>
      </c>
      <c r="E65" s="100" t="s">
        <v>534</v>
      </c>
      <c r="F65" s="100" t="s">
        <v>535</v>
      </c>
      <c r="G65" s="95" t="s">
        <v>36</v>
      </c>
      <c r="H65" s="87" t="s">
        <v>155</v>
      </c>
      <c r="I65" s="95" t="s">
        <v>232</v>
      </c>
      <c r="J65" s="95" t="s">
        <v>38</v>
      </c>
      <c r="K65" s="95" t="s">
        <v>154</v>
      </c>
      <c r="L65" s="95">
        <v>1</v>
      </c>
      <c r="N65" s="87">
        <v>4</v>
      </c>
      <c r="O65" s="87">
        <v>0.9</v>
      </c>
      <c r="P65" s="87">
        <v>0.65</v>
      </c>
      <c r="Q65" s="113">
        <f t="shared" si="0"/>
        <v>0.77500000000000002</v>
      </c>
      <c r="R65" s="87">
        <v>14.2</v>
      </c>
      <c r="S65" s="87">
        <v>113</v>
      </c>
      <c r="T65" s="16">
        <f t="shared" si="1"/>
        <v>30</v>
      </c>
      <c r="U65" s="87">
        <v>378</v>
      </c>
      <c r="V65" s="16">
        <f t="shared" si="2"/>
        <v>2835</v>
      </c>
      <c r="W65" s="87">
        <v>3</v>
      </c>
      <c r="X65" s="95" t="s">
        <v>46</v>
      </c>
      <c r="Y65" s="95" t="s">
        <v>84</v>
      </c>
      <c r="Z65" s="95" t="s">
        <v>90</v>
      </c>
      <c r="AA65" s="95" t="s">
        <v>69</v>
      </c>
      <c r="AB65" s="95" t="s">
        <v>183</v>
      </c>
    </row>
    <row r="66" spans="1:28" x14ac:dyDescent="0.15">
      <c r="A66" s="95" t="s">
        <v>34</v>
      </c>
      <c r="B66" s="87" t="s">
        <v>181</v>
      </c>
      <c r="C66" s="87">
        <v>2018</v>
      </c>
      <c r="D66" s="230" t="s">
        <v>378</v>
      </c>
      <c r="E66" s="100" t="s">
        <v>534</v>
      </c>
      <c r="F66" s="100" t="s">
        <v>535</v>
      </c>
      <c r="G66" s="95" t="s">
        <v>36</v>
      </c>
      <c r="H66" s="87" t="s">
        <v>155</v>
      </c>
      <c r="I66" s="95" t="s">
        <v>232</v>
      </c>
      <c r="J66" s="95" t="s">
        <v>38</v>
      </c>
      <c r="K66" s="95" t="s">
        <v>154</v>
      </c>
      <c r="L66" s="87">
        <v>2</v>
      </c>
      <c r="N66" s="87">
        <v>4</v>
      </c>
      <c r="O66" s="87">
        <v>0.85</v>
      </c>
      <c r="P66" s="87">
        <v>0.8</v>
      </c>
      <c r="Q66" s="113">
        <f t="shared" si="0"/>
        <v>0.82499999999999996</v>
      </c>
      <c r="R66" s="87">
        <v>13.4</v>
      </c>
      <c r="S66" s="87">
        <v>112</v>
      </c>
      <c r="T66" s="16">
        <f t="shared" si="1"/>
        <v>33</v>
      </c>
      <c r="U66" s="87">
        <v>378</v>
      </c>
      <c r="V66" s="16">
        <f t="shared" si="2"/>
        <v>3118.5</v>
      </c>
      <c r="W66" s="87">
        <v>3</v>
      </c>
      <c r="X66" s="95" t="s">
        <v>46</v>
      </c>
      <c r="Y66" s="95" t="s">
        <v>84</v>
      </c>
      <c r="Z66" s="95" t="s">
        <v>90</v>
      </c>
      <c r="AA66" s="95" t="s">
        <v>69</v>
      </c>
      <c r="AB66" s="95" t="s">
        <v>183</v>
      </c>
    </row>
    <row r="67" spans="1:28" x14ac:dyDescent="0.15">
      <c r="A67" s="95" t="s">
        <v>34</v>
      </c>
      <c r="B67" s="87" t="s">
        <v>181</v>
      </c>
      <c r="C67" s="87">
        <v>2018</v>
      </c>
      <c r="D67" s="230" t="s">
        <v>378</v>
      </c>
      <c r="E67" s="100" t="s">
        <v>534</v>
      </c>
      <c r="F67" s="100" t="s">
        <v>535</v>
      </c>
      <c r="G67" s="95" t="s">
        <v>36</v>
      </c>
      <c r="H67" s="87" t="s">
        <v>155</v>
      </c>
      <c r="I67" s="95" t="s">
        <v>232</v>
      </c>
      <c r="J67" s="95" t="s">
        <v>38</v>
      </c>
      <c r="K67" s="95" t="s">
        <v>154</v>
      </c>
      <c r="L67" s="87">
        <v>3</v>
      </c>
      <c r="N67" s="87">
        <v>4</v>
      </c>
      <c r="O67" s="87">
        <v>0.9</v>
      </c>
      <c r="P67" s="87">
        <v>0.75</v>
      </c>
      <c r="Q67" s="113">
        <f t="shared" si="0"/>
        <v>0.82499999999999996</v>
      </c>
      <c r="R67" s="87">
        <v>11.9</v>
      </c>
      <c r="S67" s="87">
        <v>106</v>
      </c>
      <c r="T67" s="16">
        <f t="shared" si="1"/>
        <v>33</v>
      </c>
      <c r="U67" s="87">
        <v>378</v>
      </c>
      <c r="V67" s="16">
        <f t="shared" si="2"/>
        <v>3118.5</v>
      </c>
      <c r="W67" s="87">
        <v>3</v>
      </c>
      <c r="X67" s="95" t="s">
        <v>46</v>
      </c>
      <c r="Y67" s="95" t="s">
        <v>84</v>
      </c>
      <c r="Z67" s="95" t="s">
        <v>90</v>
      </c>
      <c r="AA67" s="95" t="s">
        <v>69</v>
      </c>
      <c r="AB67" s="95" t="s">
        <v>183</v>
      </c>
    </row>
    <row r="68" spans="1:28" x14ac:dyDescent="0.15">
      <c r="A68" s="95" t="s">
        <v>34</v>
      </c>
      <c r="B68" s="87" t="s">
        <v>181</v>
      </c>
      <c r="C68" s="87">
        <v>2018</v>
      </c>
      <c r="D68" s="230" t="s">
        <v>378</v>
      </c>
      <c r="E68" s="100" t="s">
        <v>534</v>
      </c>
      <c r="F68" s="100" t="s">
        <v>535</v>
      </c>
      <c r="G68" s="95" t="s">
        <v>36</v>
      </c>
      <c r="H68" s="87" t="s">
        <v>127</v>
      </c>
      <c r="I68" s="95" t="s">
        <v>153</v>
      </c>
      <c r="J68" s="95" t="s">
        <v>58</v>
      </c>
      <c r="K68" s="95" t="s">
        <v>59</v>
      </c>
      <c r="L68" s="95">
        <v>1</v>
      </c>
      <c r="N68" s="87">
        <v>1</v>
      </c>
      <c r="O68" s="87">
        <v>0.6</v>
      </c>
      <c r="P68" s="87">
        <v>0.65</v>
      </c>
      <c r="Q68" s="113">
        <f t="shared" si="0"/>
        <v>0.625</v>
      </c>
      <c r="R68" s="87">
        <v>14.3</v>
      </c>
      <c r="S68" s="87">
        <v>114</v>
      </c>
      <c r="T68" s="16">
        <f t="shared" si="1"/>
        <v>30</v>
      </c>
      <c r="U68" s="87">
        <v>149</v>
      </c>
      <c r="V68" s="16">
        <f t="shared" si="2"/>
        <v>4470</v>
      </c>
      <c r="W68" s="87">
        <v>1</v>
      </c>
      <c r="X68" s="95" t="s">
        <v>46</v>
      </c>
      <c r="Y68" s="95" t="s">
        <v>84</v>
      </c>
      <c r="Z68" s="95" t="s">
        <v>90</v>
      </c>
      <c r="AA68" s="95" t="s">
        <v>69</v>
      </c>
      <c r="AB68" s="95" t="s">
        <v>183</v>
      </c>
    </row>
    <row r="69" spans="1:28" x14ac:dyDescent="0.15">
      <c r="A69" s="95" t="s">
        <v>34</v>
      </c>
      <c r="B69" s="87" t="s">
        <v>181</v>
      </c>
      <c r="C69" s="87">
        <v>2018</v>
      </c>
      <c r="D69" s="230" t="s">
        <v>378</v>
      </c>
      <c r="E69" s="100" t="s">
        <v>534</v>
      </c>
      <c r="F69" s="100" t="s">
        <v>535</v>
      </c>
      <c r="G69" s="95" t="s">
        <v>36</v>
      </c>
      <c r="H69" s="87" t="s">
        <v>127</v>
      </c>
      <c r="I69" s="95" t="s">
        <v>153</v>
      </c>
      <c r="J69" s="95" t="s">
        <v>58</v>
      </c>
      <c r="K69" s="95" t="s">
        <v>59</v>
      </c>
      <c r="L69" s="87">
        <v>2</v>
      </c>
      <c r="N69" s="87">
        <v>1</v>
      </c>
      <c r="O69" s="87">
        <v>0.8</v>
      </c>
      <c r="P69" s="87">
        <v>0.7</v>
      </c>
      <c r="Q69" s="113">
        <f t="shared" si="0"/>
        <v>0.75</v>
      </c>
      <c r="R69" s="87">
        <v>13.8</v>
      </c>
      <c r="S69" s="87">
        <v>126</v>
      </c>
      <c r="T69" s="16">
        <f t="shared" si="1"/>
        <v>30</v>
      </c>
      <c r="U69" s="87">
        <v>149</v>
      </c>
      <c r="V69" s="16">
        <f t="shared" si="2"/>
        <v>4470</v>
      </c>
      <c r="W69" s="87">
        <v>1</v>
      </c>
      <c r="X69" s="95" t="s">
        <v>46</v>
      </c>
      <c r="Y69" s="95" t="s">
        <v>84</v>
      </c>
      <c r="Z69" s="95" t="s">
        <v>90</v>
      </c>
      <c r="AA69" s="95" t="s">
        <v>69</v>
      </c>
      <c r="AB69" s="95" t="s">
        <v>183</v>
      </c>
    </row>
    <row r="70" spans="1:28" x14ac:dyDescent="0.15">
      <c r="A70" s="95" t="s">
        <v>34</v>
      </c>
      <c r="B70" s="87" t="s">
        <v>181</v>
      </c>
      <c r="C70" s="87">
        <v>2018</v>
      </c>
      <c r="D70" s="230" t="s">
        <v>378</v>
      </c>
      <c r="E70" s="100" t="s">
        <v>534</v>
      </c>
      <c r="F70" s="100" t="s">
        <v>535</v>
      </c>
      <c r="G70" s="95" t="s">
        <v>36</v>
      </c>
      <c r="H70" s="87" t="s">
        <v>127</v>
      </c>
      <c r="I70" s="95" t="s">
        <v>153</v>
      </c>
      <c r="J70" s="95" t="s">
        <v>58</v>
      </c>
      <c r="K70" s="95" t="s">
        <v>59</v>
      </c>
      <c r="L70" s="87">
        <v>3</v>
      </c>
      <c r="N70" s="87">
        <v>1</v>
      </c>
      <c r="O70" s="87">
        <v>0.6</v>
      </c>
      <c r="P70" s="87">
        <v>0.7</v>
      </c>
      <c r="Q70" s="113">
        <f t="shared" si="0"/>
        <v>0.64999999999999991</v>
      </c>
      <c r="R70" s="87">
        <v>13.4</v>
      </c>
      <c r="S70" s="87">
        <v>112</v>
      </c>
      <c r="T70" s="16">
        <f t="shared" si="1"/>
        <v>33</v>
      </c>
      <c r="U70" s="87">
        <v>149</v>
      </c>
      <c r="V70" s="16">
        <f t="shared" si="2"/>
        <v>4917</v>
      </c>
      <c r="W70" s="87">
        <v>1</v>
      </c>
      <c r="X70" s="95" t="s">
        <v>46</v>
      </c>
      <c r="Y70" s="95" t="s">
        <v>84</v>
      </c>
      <c r="Z70" s="95" t="s">
        <v>90</v>
      </c>
      <c r="AA70" s="95" t="s">
        <v>69</v>
      </c>
      <c r="AB70" s="95" t="s">
        <v>183</v>
      </c>
    </row>
    <row r="71" spans="1:28" x14ac:dyDescent="0.15">
      <c r="K71" s="95"/>
    </row>
    <row r="72" spans="1:28" x14ac:dyDescent="0.15">
      <c r="K72" s="95"/>
    </row>
    <row r="73" spans="1:28" x14ac:dyDescent="0.15">
      <c r="K73" s="95"/>
    </row>
    <row r="74" spans="1:28" x14ac:dyDescent="0.15">
      <c r="K74" s="95"/>
    </row>
    <row r="75" spans="1:28" x14ac:dyDescent="0.15">
      <c r="K75" s="95"/>
    </row>
    <row r="76" spans="1:28" x14ac:dyDescent="0.15">
      <c r="K76" s="95"/>
    </row>
    <row r="77" spans="1:28" x14ac:dyDescent="0.15">
      <c r="K77" s="95"/>
    </row>
    <row r="78" spans="1:28" x14ac:dyDescent="0.15">
      <c r="K78" s="95"/>
    </row>
    <row r="79" spans="1:28" x14ac:dyDescent="0.15">
      <c r="K79" s="95"/>
    </row>
    <row r="80" spans="1:28" x14ac:dyDescent="0.15">
      <c r="K80" s="95"/>
    </row>
    <row r="81" spans="11:11" x14ac:dyDescent="0.15">
      <c r="K81" s="95"/>
    </row>
    <row r="82" spans="11:11" x14ac:dyDescent="0.15">
      <c r="K82" s="95"/>
    </row>
    <row r="83" spans="11:11" x14ac:dyDescent="0.15">
      <c r="K83" s="95"/>
    </row>
    <row r="84" spans="11:11" x14ac:dyDescent="0.15">
      <c r="K84" s="95"/>
    </row>
    <row r="85" spans="11:11" x14ac:dyDescent="0.15">
      <c r="K85" s="95"/>
    </row>
    <row r="86" spans="11:11" x14ac:dyDescent="0.15">
      <c r="K86" s="95"/>
    </row>
    <row r="87" spans="11:11" x14ac:dyDescent="0.15">
      <c r="K87" s="95"/>
    </row>
    <row r="88" spans="11:11" x14ac:dyDescent="0.15">
      <c r="K88" s="95"/>
    </row>
    <row r="89" spans="11:11" x14ac:dyDescent="0.15">
      <c r="K89" s="95"/>
    </row>
    <row r="90" spans="11:11" x14ac:dyDescent="0.15">
      <c r="K90" s="95"/>
    </row>
    <row r="91" spans="11:11" x14ac:dyDescent="0.15">
      <c r="K91" s="95"/>
    </row>
    <row r="92" spans="11:11" x14ac:dyDescent="0.15">
      <c r="K92" s="95"/>
    </row>
    <row r="93" spans="11:11" x14ac:dyDescent="0.15">
      <c r="K93" s="95"/>
    </row>
    <row r="94" spans="11:11" x14ac:dyDescent="0.15">
      <c r="K94" s="95"/>
    </row>
    <row r="95" spans="11:11" x14ac:dyDescent="0.15">
      <c r="K95" s="95"/>
    </row>
    <row r="96" spans="11:11" x14ac:dyDescent="0.15">
      <c r="K96" s="95"/>
    </row>
    <row r="97" spans="11:11" x14ac:dyDescent="0.15">
      <c r="K97" s="95"/>
    </row>
    <row r="98" spans="11:11" x14ac:dyDescent="0.15">
      <c r="K98" s="95"/>
    </row>
    <row r="99" spans="11:11" x14ac:dyDescent="0.15">
      <c r="K99" s="95"/>
    </row>
    <row r="100" spans="11:11" x14ac:dyDescent="0.15">
      <c r="K100" s="95"/>
    </row>
    <row r="101" spans="11:11" x14ac:dyDescent="0.15">
      <c r="K101" s="95"/>
    </row>
    <row r="102" spans="11:11" x14ac:dyDescent="0.15">
      <c r="K102" s="95"/>
    </row>
    <row r="103" spans="11:11" x14ac:dyDescent="0.15">
      <c r="K103" s="95"/>
    </row>
    <row r="104" spans="11:11" x14ac:dyDescent="0.15">
      <c r="K104" s="95"/>
    </row>
    <row r="105" spans="11:11" x14ac:dyDescent="0.15">
      <c r="K105" s="95"/>
    </row>
    <row r="106" spans="11:11" x14ac:dyDescent="0.15">
      <c r="K106" s="95"/>
    </row>
    <row r="107" spans="11:11" x14ac:dyDescent="0.15">
      <c r="K107" s="95"/>
    </row>
    <row r="108" spans="11:11" x14ac:dyDescent="0.15">
      <c r="K108" s="95"/>
    </row>
    <row r="109" spans="11:11" x14ac:dyDescent="0.15">
      <c r="K109" s="95"/>
    </row>
    <row r="110" spans="11:11" x14ac:dyDescent="0.15">
      <c r="K110" s="95"/>
    </row>
    <row r="111" spans="11:11" x14ac:dyDescent="0.15">
      <c r="K111" s="95"/>
    </row>
    <row r="112" spans="11:11" x14ac:dyDescent="0.15">
      <c r="K112" s="95"/>
    </row>
    <row r="113" spans="11:11" x14ac:dyDescent="0.15">
      <c r="K113" s="95"/>
    </row>
    <row r="114" spans="11:11" x14ac:dyDescent="0.15">
      <c r="K114" s="95"/>
    </row>
    <row r="115" spans="11:11" x14ac:dyDescent="0.15">
      <c r="K115" s="95"/>
    </row>
    <row r="116" spans="11:11" x14ac:dyDescent="0.15">
      <c r="K116" s="95"/>
    </row>
    <row r="117" spans="11:11" x14ac:dyDescent="0.15">
      <c r="K117" s="95"/>
    </row>
    <row r="118" spans="11:11" x14ac:dyDescent="0.15">
      <c r="K118" s="95"/>
    </row>
    <row r="119" spans="11:11" x14ac:dyDescent="0.15">
      <c r="K119" s="95"/>
    </row>
    <row r="120" spans="11:11" x14ac:dyDescent="0.15">
      <c r="K120" s="95"/>
    </row>
    <row r="121" spans="11:11" x14ac:dyDescent="0.15">
      <c r="K121" s="95"/>
    </row>
    <row r="122" spans="11:11" x14ac:dyDescent="0.15">
      <c r="K122" s="95"/>
    </row>
    <row r="123" spans="11:11" x14ac:dyDescent="0.15">
      <c r="K123" s="95"/>
    </row>
    <row r="124" spans="11:11" x14ac:dyDescent="0.15">
      <c r="K124" s="95"/>
    </row>
    <row r="125" spans="11:11" x14ac:dyDescent="0.15">
      <c r="K125" s="95"/>
    </row>
    <row r="126" spans="11:11" x14ac:dyDescent="0.15">
      <c r="K126" s="95"/>
    </row>
    <row r="127" spans="11:11" x14ac:dyDescent="0.15">
      <c r="K127" s="95"/>
    </row>
    <row r="128" spans="11:11" x14ac:dyDescent="0.15">
      <c r="K128" s="95"/>
    </row>
    <row r="129" spans="11:11" x14ac:dyDescent="0.15">
      <c r="K129" s="95"/>
    </row>
    <row r="130" spans="11:11" x14ac:dyDescent="0.15">
      <c r="K130" s="95"/>
    </row>
    <row r="131" spans="11:11" x14ac:dyDescent="0.15">
      <c r="K131" s="95"/>
    </row>
    <row r="132" spans="11:11" x14ac:dyDescent="0.15">
      <c r="K132" s="95"/>
    </row>
    <row r="133" spans="11:11" x14ac:dyDescent="0.15">
      <c r="K133" s="95"/>
    </row>
    <row r="134" spans="11:11" x14ac:dyDescent="0.15">
      <c r="K134" s="95"/>
    </row>
    <row r="135" spans="11:11" x14ac:dyDescent="0.15">
      <c r="K135" s="95"/>
    </row>
    <row r="136" spans="11:11" x14ac:dyDescent="0.15">
      <c r="K136" s="95"/>
    </row>
    <row r="137" spans="11:11" x14ac:dyDescent="0.15">
      <c r="K137" s="95"/>
    </row>
    <row r="138" spans="11:11" x14ac:dyDescent="0.15">
      <c r="K138" s="95"/>
    </row>
    <row r="139" spans="11:11" x14ac:dyDescent="0.15">
      <c r="K139" s="95"/>
    </row>
    <row r="140" spans="11:11" x14ac:dyDescent="0.15">
      <c r="K140" s="95"/>
    </row>
    <row r="141" spans="11:11" x14ac:dyDescent="0.15">
      <c r="K141" s="95"/>
    </row>
    <row r="142" spans="11:11" x14ac:dyDescent="0.15">
      <c r="K142" s="95"/>
    </row>
    <row r="143" spans="11:11" x14ac:dyDescent="0.15">
      <c r="K143" s="95"/>
    </row>
    <row r="144" spans="11:11" x14ac:dyDescent="0.15">
      <c r="K144" s="95"/>
    </row>
    <row r="145" spans="11:11" x14ac:dyDescent="0.15">
      <c r="K145" s="95"/>
    </row>
    <row r="146" spans="11:11" x14ac:dyDescent="0.15">
      <c r="K146" s="95"/>
    </row>
    <row r="147" spans="11:11" x14ac:dyDescent="0.15">
      <c r="K147" s="95"/>
    </row>
    <row r="148" spans="11:11" x14ac:dyDescent="0.15">
      <c r="K148" s="95"/>
    </row>
    <row r="149" spans="11:11" x14ac:dyDescent="0.15">
      <c r="K149" s="95"/>
    </row>
    <row r="150" spans="11:11" x14ac:dyDescent="0.15">
      <c r="K150" s="95"/>
    </row>
    <row r="151" spans="11:11" x14ac:dyDescent="0.15">
      <c r="K151" s="95"/>
    </row>
    <row r="152" spans="11:11" x14ac:dyDescent="0.15">
      <c r="K152" s="95"/>
    </row>
    <row r="153" spans="11:11" x14ac:dyDescent="0.15">
      <c r="K153" s="95"/>
    </row>
    <row r="154" spans="11:11" x14ac:dyDescent="0.15">
      <c r="K154" s="95"/>
    </row>
    <row r="155" spans="11:11" x14ac:dyDescent="0.15">
      <c r="K155" s="95"/>
    </row>
    <row r="156" spans="11:11" x14ac:dyDescent="0.15">
      <c r="K156" s="95"/>
    </row>
    <row r="157" spans="11:11" x14ac:dyDescent="0.15">
      <c r="K157" s="95"/>
    </row>
    <row r="158" spans="11:11" x14ac:dyDescent="0.15">
      <c r="K158" s="95"/>
    </row>
    <row r="159" spans="11:11" x14ac:dyDescent="0.15">
      <c r="K159" s="95"/>
    </row>
    <row r="160" spans="11:11" x14ac:dyDescent="0.15">
      <c r="K160" s="95"/>
    </row>
    <row r="161" spans="11:11" x14ac:dyDescent="0.15">
      <c r="K161" s="95"/>
    </row>
    <row r="162" spans="11:11" x14ac:dyDescent="0.15">
      <c r="K162" s="95"/>
    </row>
    <row r="163" spans="11:11" x14ac:dyDescent="0.15">
      <c r="K163" s="95"/>
    </row>
    <row r="164" spans="11:11" x14ac:dyDescent="0.15">
      <c r="K164" s="95"/>
    </row>
    <row r="165" spans="11:11" x14ac:dyDescent="0.15">
      <c r="K165" s="95"/>
    </row>
    <row r="166" spans="11:11" x14ac:dyDescent="0.15">
      <c r="K166" s="95"/>
    </row>
    <row r="167" spans="11:11" x14ac:dyDescent="0.15">
      <c r="K167" s="95"/>
    </row>
    <row r="168" spans="11:11" x14ac:dyDescent="0.15">
      <c r="K168" s="95"/>
    </row>
    <row r="169" spans="11:11" x14ac:dyDescent="0.15">
      <c r="K169" s="95"/>
    </row>
    <row r="170" spans="11:11" x14ac:dyDescent="0.15">
      <c r="K170" s="95"/>
    </row>
    <row r="171" spans="11:11" x14ac:dyDescent="0.15">
      <c r="K171" s="95"/>
    </row>
    <row r="172" spans="11:11" x14ac:dyDescent="0.15">
      <c r="K172" s="95"/>
    </row>
    <row r="173" spans="11:11" x14ac:dyDescent="0.15">
      <c r="K173" s="95"/>
    </row>
    <row r="174" spans="11:11" x14ac:dyDescent="0.15">
      <c r="K174" s="95"/>
    </row>
    <row r="175" spans="11:11" x14ac:dyDescent="0.15">
      <c r="K175" s="95"/>
    </row>
    <row r="176" spans="11:11" x14ac:dyDescent="0.15">
      <c r="K176" s="95"/>
    </row>
    <row r="177" spans="11:11" x14ac:dyDescent="0.15">
      <c r="K177" s="95"/>
    </row>
    <row r="178" spans="11:11" x14ac:dyDescent="0.15">
      <c r="K178" s="95"/>
    </row>
    <row r="179" spans="11:11" x14ac:dyDescent="0.15">
      <c r="K179" s="95"/>
    </row>
    <row r="180" spans="11:11" x14ac:dyDescent="0.15">
      <c r="K180" s="95"/>
    </row>
    <row r="181" spans="11:11" x14ac:dyDescent="0.15">
      <c r="K181" s="95"/>
    </row>
    <row r="182" spans="11:11" x14ac:dyDescent="0.15">
      <c r="K182" s="95"/>
    </row>
    <row r="183" spans="11:11" x14ac:dyDescent="0.15">
      <c r="K183" s="95"/>
    </row>
    <row r="184" spans="11:11" x14ac:dyDescent="0.15">
      <c r="K184" s="95"/>
    </row>
    <row r="185" spans="11:11" x14ac:dyDescent="0.15">
      <c r="K185" s="95"/>
    </row>
    <row r="186" spans="11:11" x14ac:dyDescent="0.15">
      <c r="K186" s="95"/>
    </row>
    <row r="187" spans="11:11" x14ac:dyDescent="0.15">
      <c r="K187" s="95"/>
    </row>
    <row r="188" spans="11:11" x14ac:dyDescent="0.15">
      <c r="K188" s="95"/>
    </row>
    <row r="189" spans="11:11" x14ac:dyDescent="0.15">
      <c r="K189" s="95"/>
    </row>
    <row r="190" spans="11:11" x14ac:dyDescent="0.15">
      <c r="K190" s="95"/>
    </row>
    <row r="191" spans="11:11" x14ac:dyDescent="0.15">
      <c r="K191" s="95"/>
    </row>
    <row r="192" spans="11:11" x14ac:dyDescent="0.15">
      <c r="K192" s="95"/>
    </row>
    <row r="193" spans="11:11" x14ac:dyDescent="0.15">
      <c r="K193" s="95"/>
    </row>
    <row r="194" spans="11:11" x14ac:dyDescent="0.15">
      <c r="K194" s="95"/>
    </row>
    <row r="195" spans="11:11" x14ac:dyDescent="0.15">
      <c r="K195" s="95"/>
    </row>
    <row r="196" spans="11:11" x14ac:dyDescent="0.15">
      <c r="K196" s="95"/>
    </row>
    <row r="197" spans="11:11" x14ac:dyDescent="0.15">
      <c r="K197" s="95"/>
    </row>
    <row r="198" spans="11:11" x14ac:dyDescent="0.15">
      <c r="K198" s="95"/>
    </row>
    <row r="199" spans="11:11" x14ac:dyDescent="0.15">
      <c r="K199" s="95"/>
    </row>
    <row r="200" spans="11:11" x14ac:dyDescent="0.15">
      <c r="K200" s="95"/>
    </row>
    <row r="201" spans="11:11" x14ac:dyDescent="0.15">
      <c r="K201" s="95"/>
    </row>
    <row r="202" spans="11:11" x14ac:dyDescent="0.15">
      <c r="K202" s="95"/>
    </row>
    <row r="203" spans="11:11" x14ac:dyDescent="0.15">
      <c r="K203" s="95"/>
    </row>
    <row r="204" spans="11:11" x14ac:dyDescent="0.15">
      <c r="K204" s="95"/>
    </row>
    <row r="205" spans="11:11" x14ac:dyDescent="0.15">
      <c r="K205" s="95"/>
    </row>
    <row r="206" spans="11:11" x14ac:dyDescent="0.15">
      <c r="K206" s="95"/>
    </row>
    <row r="207" spans="11:11" x14ac:dyDescent="0.15">
      <c r="K207" s="95"/>
    </row>
    <row r="208" spans="11:11" x14ac:dyDescent="0.15">
      <c r="K208" s="95"/>
    </row>
    <row r="209" spans="11:11" x14ac:dyDescent="0.15">
      <c r="K209" s="95"/>
    </row>
    <row r="210" spans="11:11" x14ac:dyDescent="0.15">
      <c r="K210" s="95"/>
    </row>
    <row r="211" spans="11:11" x14ac:dyDescent="0.15">
      <c r="K211" s="95"/>
    </row>
    <row r="212" spans="11:11" x14ac:dyDescent="0.15">
      <c r="K212" s="95"/>
    </row>
    <row r="213" spans="11:11" x14ac:dyDescent="0.15">
      <c r="K213" s="95"/>
    </row>
    <row r="214" spans="11:11" x14ac:dyDescent="0.15">
      <c r="K214" s="95"/>
    </row>
    <row r="215" spans="11:11" x14ac:dyDescent="0.15">
      <c r="K215" s="95"/>
    </row>
    <row r="216" spans="11:11" x14ac:dyDescent="0.15">
      <c r="K216" s="95"/>
    </row>
    <row r="217" spans="11:11" x14ac:dyDescent="0.15">
      <c r="K217" s="95"/>
    </row>
    <row r="218" spans="11:11" x14ac:dyDescent="0.15">
      <c r="K218" s="95"/>
    </row>
    <row r="219" spans="11:11" x14ac:dyDescent="0.15">
      <c r="K219" s="95"/>
    </row>
    <row r="220" spans="11:11" x14ac:dyDescent="0.15">
      <c r="K220" s="95"/>
    </row>
    <row r="221" spans="11:11" x14ac:dyDescent="0.15">
      <c r="K221" s="95"/>
    </row>
    <row r="222" spans="11:11" x14ac:dyDescent="0.15">
      <c r="K222" s="95"/>
    </row>
    <row r="223" spans="11:11" x14ac:dyDescent="0.15">
      <c r="K223" s="95"/>
    </row>
    <row r="224" spans="11:11" x14ac:dyDescent="0.15">
      <c r="K224" s="95"/>
    </row>
    <row r="225" spans="11:11" x14ac:dyDescent="0.15">
      <c r="K225" s="95"/>
    </row>
    <row r="226" spans="11:11" x14ac:dyDescent="0.15">
      <c r="K226" s="95"/>
    </row>
    <row r="227" spans="11:11" x14ac:dyDescent="0.15">
      <c r="K227" s="95"/>
    </row>
    <row r="228" spans="11:11" x14ac:dyDescent="0.15">
      <c r="K228" s="95"/>
    </row>
    <row r="229" spans="11:11" x14ac:dyDescent="0.15">
      <c r="K229" s="95"/>
    </row>
    <row r="230" spans="11:11" x14ac:dyDescent="0.15">
      <c r="K230" s="95"/>
    </row>
    <row r="231" spans="11:11" x14ac:dyDescent="0.15">
      <c r="K231" s="95"/>
    </row>
    <row r="232" spans="11:11" x14ac:dyDescent="0.15">
      <c r="K232" s="95"/>
    </row>
    <row r="233" spans="11:11" x14ac:dyDescent="0.15">
      <c r="K233" s="95"/>
    </row>
    <row r="234" spans="11:11" x14ac:dyDescent="0.15">
      <c r="K234" s="95"/>
    </row>
    <row r="235" spans="11:11" x14ac:dyDescent="0.15">
      <c r="K235" s="95"/>
    </row>
    <row r="236" spans="11:11" x14ac:dyDescent="0.15">
      <c r="K236" s="95"/>
    </row>
    <row r="237" spans="11:11" x14ac:dyDescent="0.15">
      <c r="K237" s="95"/>
    </row>
    <row r="238" spans="11:11" x14ac:dyDescent="0.15">
      <c r="K238" s="95"/>
    </row>
    <row r="239" spans="11:11" x14ac:dyDescent="0.15">
      <c r="K239" s="95"/>
    </row>
    <row r="240" spans="11:11" x14ac:dyDescent="0.15">
      <c r="K240" s="95"/>
    </row>
    <row r="241" spans="11:11" x14ac:dyDescent="0.15">
      <c r="K241" s="95"/>
    </row>
    <row r="242" spans="11:11" x14ac:dyDescent="0.15">
      <c r="K242" s="95"/>
    </row>
    <row r="243" spans="11:11" x14ac:dyDescent="0.15">
      <c r="K243" s="95"/>
    </row>
    <row r="244" spans="11:11" x14ac:dyDescent="0.15">
      <c r="K244" s="95"/>
    </row>
    <row r="245" spans="11:11" x14ac:dyDescent="0.15">
      <c r="K245" s="95"/>
    </row>
    <row r="246" spans="11:11" x14ac:dyDescent="0.15">
      <c r="K246" s="95"/>
    </row>
    <row r="247" spans="11:11" x14ac:dyDescent="0.15">
      <c r="K247" s="95"/>
    </row>
    <row r="248" spans="11:11" x14ac:dyDescent="0.15">
      <c r="K248" s="95"/>
    </row>
    <row r="249" spans="11:11" x14ac:dyDescent="0.15">
      <c r="K249" s="95"/>
    </row>
    <row r="250" spans="11:11" x14ac:dyDescent="0.15">
      <c r="K250" s="95"/>
    </row>
    <row r="251" spans="11:11" x14ac:dyDescent="0.15">
      <c r="K251" s="95"/>
    </row>
    <row r="252" spans="11:11" x14ac:dyDescent="0.15">
      <c r="K252" s="95"/>
    </row>
    <row r="253" spans="11:11" x14ac:dyDescent="0.15">
      <c r="K253" s="95"/>
    </row>
    <row r="254" spans="11:11" x14ac:dyDescent="0.15">
      <c r="K254" s="95"/>
    </row>
    <row r="255" spans="11:11" x14ac:dyDescent="0.15">
      <c r="K255" s="95"/>
    </row>
    <row r="256" spans="11:11" x14ac:dyDescent="0.15">
      <c r="K256" s="95"/>
    </row>
    <row r="257" spans="11:11" x14ac:dyDescent="0.15">
      <c r="K257" s="95"/>
    </row>
    <row r="258" spans="11:11" x14ac:dyDescent="0.15">
      <c r="K258" s="95"/>
    </row>
    <row r="259" spans="11:11" x14ac:dyDescent="0.15">
      <c r="K259" s="95"/>
    </row>
    <row r="260" spans="11:11" x14ac:dyDescent="0.15">
      <c r="K260" s="95"/>
    </row>
    <row r="261" spans="11:11" x14ac:dyDescent="0.15">
      <c r="K261" s="95"/>
    </row>
    <row r="262" spans="11:11" x14ac:dyDescent="0.15">
      <c r="K262" s="95"/>
    </row>
    <row r="263" spans="11:11" x14ac:dyDescent="0.15">
      <c r="K263" s="95"/>
    </row>
    <row r="264" spans="11:11" x14ac:dyDescent="0.15">
      <c r="K264" s="95"/>
    </row>
    <row r="265" spans="11:11" x14ac:dyDescent="0.15">
      <c r="K265" s="95"/>
    </row>
    <row r="266" spans="11:11" x14ac:dyDescent="0.15">
      <c r="K266" s="95"/>
    </row>
    <row r="267" spans="11:11" x14ac:dyDescent="0.15">
      <c r="K267" s="95"/>
    </row>
    <row r="268" spans="11:11" x14ac:dyDescent="0.15">
      <c r="K268" s="95"/>
    </row>
    <row r="269" spans="11:11" x14ac:dyDescent="0.15">
      <c r="K269" s="95"/>
    </row>
    <row r="270" spans="11:11" x14ac:dyDescent="0.15">
      <c r="K270" s="95"/>
    </row>
    <row r="271" spans="11:11" x14ac:dyDescent="0.15">
      <c r="K271" s="95"/>
    </row>
    <row r="272" spans="11:11" x14ac:dyDescent="0.15">
      <c r="K272" s="95"/>
    </row>
    <row r="273" spans="11:11" x14ac:dyDescent="0.15">
      <c r="K273" s="95"/>
    </row>
    <row r="274" spans="11:11" x14ac:dyDescent="0.15">
      <c r="K274" s="95"/>
    </row>
    <row r="275" spans="11:11" x14ac:dyDescent="0.15">
      <c r="K275" s="95"/>
    </row>
    <row r="276" spans="11:11" x14ac:dyDescent="0.15">
      <c r="K276" s="95"/>
    </row>
    <row r="277" spans="11:11" x14ac:dyDescent="0.15">
      <c r="K277" s="95"/>
    </row>
    <row r="278" spans="11:11" x14ac:dyDescent="0.15">
      <c r="K278" s="95"/>
    </row>
    <row r="279" spans="11:11" x14ac:dyDescent="0.15">
      <c r="K279" s="95"/>
    </row>
    <row r="280" spans="11:11" x14ac:dyDescent="0.15">
      <c r="K280" s="95"/>
    </row>
    <row r="281" spans="11:11" x14ac:dyDescent="0.15">
      <c r="K281" s="95"/>
    </row>
    <row r="282" spans="11:11" x14ac:dyDescent="0.15">
      <c r="K282" s="95"/>
    </row>
    <row r="283" spans="11:11" x14ac:dyDescent="0.15">
      <c r="K283" s="95"/>
    </row>
    <row r="284" spans="11:11" x14ac:dyDescent="0.15">
      <c r="K284" s="95"/>
    </row>
    <row r="285" spans="11:11" x14ac:dyDescent="0.15">
      <c r="K285" s="95"/>
    </row>
    <row r="286" spans="11:11" x14ac:dyDescent="0.15">
      <c r="K286" s="95"/>
    </row>
    <row r="287" spans="11:11" x14ac:dyDescent="0.15">
      <c r="K287" s="95"/>
    </row>
    <row r="288" spans="11:11" x14ac:dyDescent="0.15">
      <c r="K288" s="95"/>
    </row>
    <row r="289" spans="11:11" x14ac:dyDescent="0.15">
      <c r="K289" s="95"/>
    </row>
    <row r="290" spans="11:11" x14ac:dyDescent="0.15">
      <c r="K290" s="95"/>
    </row>
    <row r="291" spans="11:11" x14ac:dyDescent="0.15">
      <c r="K291" s="95"/>
    </row>
    <row r="292" spans="11:11" x14ac:dyDescent="0.15">
      <c r="K292" s="95"/>
    </row>
    <row r="293" spans="11:11" x14ac:dyDescent="0.15">
      <c r="K293" s="95"/>
    </row>
    <row r="294" spans="11:11" x14ac:dyDescent="0.15">
      <c r="K294" s="95"/>
    </row>
    <row r="295" spans="11:11" x14ac:dyDescent="0.15">
      <c r="K295" s="95"/>
    </row>
    <row r="296" spans="11:11" x14ac:dyDescent="0.15">
      <c r="K296" s="95"/>
    </row>
    <row r="297" spans="11:11" x14ac:dyDescent="0.15">
      <c r="K297" s="95"/>
    </row>
    <row r="298" spans="11:11" x14ac:dyDescent="0.15">
      <c r="K298" s="95"/>
    </row>
    <row r="299" spans="11:11" x14ac:dyDescent="0.15">
      <c r="K299" s="95"/>
    </row>
    <row r="300" spans="11:11" x14ac:dyDescent="0.15">
      <c r="K300" s="95"/>
    </row>
    <row r="301" spans="11:11" x14ac:dyDescent="0.15">
      <c r="K301" s="95"/>
    </row>
    <row r="302" spans="11:11" x14ac:dyDescent="0.15">
      <c r="K302" s="95"/>
    </row>
    <row r="303" spans="11:11" x14ac:dyDescent="0.15">
      <c r="K303" s="95"/>
    </row>
    <row r="304" spans="11:11" x14ac:dyDescent="0.15">
      <c r="K304" s="95"/>
    </row>
    <row r="305" spans="11:11" x14ac:dyDescent="0.15">
      <c r="K305" s="95"/>
    </row>
    <row r="306" spans="11:11" x14ac:dyDescent="0.15">
      <c r="K306" s="95"/>
    </row>
    <row r="307" spans="11:11" x14ac:dyDescent="0.15">
      <c r="K307" s="95"/>
    </row>
    <row r="308" spans="11:11" x14ac:dyDescent="0.15">
      <c r="K308" s="95"/>
    </row>
    <row r="309" spans="11:11" x14ac:dyDescent="0.15">
      <c r="K309" s="95"/>
    </row>
    <row r="310" spans="11:11" x14ac:dyDescent="0.15">
      <c r="K310" s="95"/>
    </row>
    <row r="311" spans="11:11" x14ac:dyDescent="0.15">
      <c r="K311" s="95"/>
    </row>
    <row r="312" spans="11:11" x14ac:dyDescent="0.15">
      <c r="K312" s="95"/>
    </row>
    <row r="313" spans="11:11" x14ac:dyDescent="0.15">
      <c r="K313" s="95"/>
    </row>
    <row r="314" spans="11:11" x14ac:dyDescent="0.15">
      <c r="K314" s="95"/>
    </row>
    <row r="315" spans="11:11" x14ac:dyDescent="0.15">
      <c r="K315" s="95"/>
    </row>
    <row r="316" spans="11:11" x14ac:dyDescent="0.15">
      <c r="K316" s="95"/>
    </row>
    <row r="317" spans="11:11" x14ac:dyDescent="0.15">
      <c r="K317" s="95"/>
    </row>
    <row r="318" spans="11:11" x14ac:dyDescent="0.15">
      <c r="K318" s="95"/>
    </row>
    <row r="319" spans="11:11" x14ac:dyDescent="0.15">
      <c r="K319" s="95"/>
    </row>
    <row r="320" spans="11:11" x14ac:dyDescent="0.15">
      <c r="K320" s="95"/>
    </row>
    <row r="321" spans="11:11" x14ac:dyDescent="0.15">
      <c r="K321" s="95"/>
    </row>
    <row r="322" spans="11:11" x14ac:dyDescent="0.15">
      <c r="K322" s="95"/>
    </row>
    <row r="323" spans="11:11" x14ac:dyDescent="0.15">
      <c r="K323" s="95"/>
    </row>
    <row r="324" spans="11:11" x14ac:dyDescent="0.15">
      <c r="K324" s="95"/>
    </row>
    <row r="325" spans="11:11" x14ac:dyDescent="0.15">
      <c r="K325" s="95"/>
    </row>
    <row r="326" spans="11:11" x14ac:dyDescent="0.15">
      <c r="K326" s="95"/>
    </row>
    <row r="327" spans="11:11" x14ac:dyDescent="0.15">
      <c r="K327" s="95"/>
    </row>
    <row r="328" spans="11:11" x14ac:dyDescent="0.15">
      <c r="K328" s="95"/>
    </row>
    <row r="329" spans="11:11" x14ac:dyDescent="0.15">
      <c r="K329" s="95"/>
    </row>
    <row r="330" spans="11:11" x14ac:dyDescent="0.15">
      <c r="K330" s="95"/>
    </row>
    <row r="331" spans="11:11" x14ac:dyDescent="0.15">
      <c r="K331" s="95"/>
    </row>
    <row r="332" spans="11:11" x14ac:dyDescent="0.15">
      <c r="K332" s="95"/>
    </row>
    <row r="333" spans="11:11" x14ac:dyDescent="0.15">
      <c r="K333" s="95"/>
    </row>
    <row r="334" spans="11:11" x14ac:dyDescent="0.15">
      <c r="K334" s="95"/>
    </row>
    <row r="335" spans="11:11" x14ac:dyDescent="0.15">
      <c r="K335" s="95"/>
    </row>
    <row r="336" spans="11:11" x14ac:dyDescent="0.15">
      <c r="K336" s="95"/>
    </row>
    <row r="337" spans="11:11" x14ac:dyDescent="0.15">
      <c r="K337" s="95"/>
    </row>
    <row r="338" spans="11:11" x14ac:dyDescent="0.15">
      <c r="K338" s="95"/>
    </row>
    <row r="339" spans="11:11" x14ac:dyDescent="0.15">
      <c r="K339" s="95"/>
    </row>
    <row r="340" spans="11:11" x14ac:dyDescent="0.15">
      <c r="K340" s="95"/>
    </row>
    <row r="341" spans="11:11" x14ac:dyDescent="0.15">
      <c r="K341" s="95"/>
    </row>
    <row r="342" spans="11:11" x14ac:dyDescent="0.15">
      <c r="K342" s="95"/>
    </row>
    <row r="343" spans="11:11" x14ac:dyDescent="0.15">
      <c r="K343" s="95"/>
    </row>
    <row r="344" spans="11:11" x14ac:dyDescent="0.15">
      <c r="K344" s="95"/>
    </row>
    <row r="345" spans="11:11" x14ac:dyDescent="0.15">
      <c r="K345" s="95"/>
    </row>
    <row r="346" spans="11:11" x14ac:dyDescent="0.15">
      <c r="K346" s="95"/>
    </row>
    <row r="347" spans="11:11" x14ac:dyDescent="0.15">
      <c r="K347" s="95"/>
    </row>
    <row r="348" spans="11:11" x14ac:dyDescent="0.15">
      <c r="K348" s="95"/>
    </row>
    <row r="349" spans="11:11" x14ac:dyDescent="0.15">
      <c r="K349" s="95"/>
    </row>
    <row r="350" spans="11:11" x14ac:dyDescent="0.15">
      <c r="K350" s="95"/>
    </row>
    <row r="351" spans="11:11" x14ac:dyDescent="0.15">
      <c r="K351" s="95"/>
    </row>
    <row r="352" spans="11:11" x14ac:dyDescent="0.15">
      <c r="K352" s="95"/>
    </row>
    <row r="353" spans="11:11" x14ac:dyDescent="0.15">
      <c r="K353" s="95"/>
    </row>
    <row r="354" spans="11:11" x14ac:dyDescent="0.15">
      <c r="K354" s="95"/>
    </row>
    <row r="355" spans="11:11" x14ac:dyDescent="0.15">
      <c r="K355" s="95"/>
    </row>
    <row r="356" spans="11:11" x14ac:dyDescent="0.15">
      <c r="K356" s="95"/>
    </row>
    <row r="357" spans="11:11" x14ac:dyDescent="0.15">
      <c r="K357" s="95"/>
    </row>
    <row r="358" spans="11:11" x14ac:dyDescent="0.15">
      <c r="K358" s="95"/>
    </row>
    <row r="359" spans="11:11" x14ac:dyDescent="0.15">
      <c r="K359" s="95"/>
    </row>
    <row r="360" spans="11:11" x14ac:dyDescent="0.15">
      <c r="K360" s="95"/>
    </row>
    <row r="361" spans="11:11" x14ac:dyDescent="0.15">
      <c r="K361" s="95"/>
    </row>
    <row r="362" spans="11:11" x14ac:dyDescent="0.15">
      <c r="K362" s="95"/>
    </row>
    <row r="363" spans="11:11" x14ac:dyDescent="0.15">
      <c r="K363" s="95"/>
    </row>
    <row r="364" spans="11:11" x14ac:dyDescent="0.15">
      <c r="K364" s="95"/>
    </row>
    <row r="365" spans="11:11" x14ac:dyDescent="0.15">
      <c r="K365" s="95"/>
    </row>
    <row r="366" spans="11:11" x14ac:dyDescent="0.15">
      <c r="K366" s="95"/>
    </row>
    <row r="367" spans="11:11" x14ac:dyDescent="0.15">
      <c r="K367" s="95"/>
    </row>
    <row r="368" spans="11:11" x14ac:dyDescent="0.15">
      <c r="K368" s="95"/>
    </row>
    <row r="369" spans="11:11" x14ac:dyDescent="0.15">
      <c r="K369" s="95"/>
    </row>
    <row r="370" spans="11:11" x14ac:dyDescent="0.15">
      <c r="K370" s="95"/>
    </row>
    <row r="371" spans="11:11" x14ac:dyDescent="0.15">
      <c r="K371" s="95"/>
    </row>
    <row r="372" spans="11:11" x14ac:dyDescent="0.15">
      <c r="K372" s="95"/>
    </row>
    <row r="373" spans="11:11" x14ac:dyDescent="0.15">
      <c r="K373" s="95"/>
    </row>
    <row r="374" spans="11:11" x14ac:dyDescent="0.15">
      <c r="K374" s="95"/>
    </row>
    <row r="375" spans="11:11" x14ac:dyDescent="0.15">
      <c r="K375" s="95"/>
    </row>
    <row r="376" spans="11:11" x14ac:dyDescent="0.15">
      <c r="K376" s="95"/>
    </row>
    <row r="377" spans="11:11" x14ac:dyDescent="0.15">
      <c r="K377" s="95"/>
    </row>
    <row r="378" spans="11:11" x14ac:dyDescent="0.15">
      <c r="K378" s="95"/>
    </row>
    <row r="379" spans="11:11" x14ac:dyDescent="0.15">
      <c r="K379" s="95"/>
    </row>
    <row r="380" spans="11:11" x14ac:dyDescent="0.15">
      <c r="K380" s="95"/>
    </row>
    <row r="381" spans="11:11" x14ac:dyDescent="0.15">
      <c r="K381" s="95"/>
    </row>
    <row r="382" spans="11:11" x14ac:dyDescent="0.15">
      <c r="K382" s="95"/>
    </row>
    <row r="383" spans="11:11" x14ac:dyDescent="0.15">
      <c r="K383" s="95"/>
    </row>
    <row r="384" spans="11:11" x14ac:dyDescent="0.15">
      <c r="K384" s="95"/>
    </row>
    <row r="385" spans="11:11" x14ac:dyDescent="0.15">
      <c r="K385" s="95"/>
    </row>
    <row r="386" spans="11:11" x14ac:dyDescent="0.15">
      <c r="K386" s="95"/>
    </row>
    <row r="387" spans="11:11" x14ac:dyDescent="0.15">
      <c r="K387" s="95"/>
    </row>
    <row r="388" spans="11:11" x14ac:dyDescent="0.15">
      <c r="K388" s="95"/>
    </row>
    <row r="389" spans="11:11" x14ac:dyDescent="0.15">
      <c r="K389" s="95"/>
    </row>
    <row r="390" spans="11:11" x14ac:dyDescent="0.15">
      <c r="K390" s="95"/>
    </row>
    <row r="391" spans="11:11" x14ac:dyDescent="0.15">
      <c r="K391" s="95"/>
    </row>
    <row r="392" spans="11:11" x14ac:dyDescent="0.15">
      <c r="K392" s="95"/>
    </row>
    <row r="393" spans="11:11" x14ac:dyDescent="0.15">
      <c r="K393" s="95"/>
    </row>
    <row r="394" spans="11:11" x14ac:dyDescent="0.15">
      <c r="K394" s="95"/>
    </row>
    <row r="395" spans="11:11" x14ac:dyDescent="0.15">
      <c r="K395" s="95"/>
    </row>
    <row r="396" spans="11:11" x14ac:dyDescent="0.15">
      <c r="K396" s="95"/>
    </row>
    <row r="397" spans="11:11" x14ac:dyDescent="0.15">
      <c r="K397" s="95"/>
    </row>
    <row r="398" spans="11:11" x14ac:dyDescent="0.15">
      <c r="K398" s="95"/>
    </row>
    <row r="399" spans="11:11" x14ac:dyDescent="0.15">
      <c r="K399" s="95"/>
    </row>
    <row r="400" spans="11:11" x14ac:dyDescent="0.15">
      <c r="K400" s="95"/>
    </row>
    <row r="401" spans="11:11" x14ac:dyDescent="0.15">
      <c r="K401" s="95"/>
    </row>
    <row r="402" spans="11:11" x14ac:dyDescent="0.15">
      <c r="K402" s="95"/>
    </row>
    <row r="403" spans="11:11" x14ac:dyDescent="0.15">
      <c r="K403" s="95"/>
    </row>
    <row r="404" spans="11:11" x14ac:dyDescent="0.15">
      <c r="K404" s="95"/>
    </row>
    <row r="405" spans="11:11" x14ac:dyDescent="0.15">
      <c r="K405" s="95"/>
    </row>
    <row r="406" spans="11:11" x14ac:dyDescent="0.15">
      <c r="K406" s="95"/>
    </row>
    <row r="407" spans="11:11" x14ac:dyDescent="0.15">
      <c r="K407" s="95"/>
    </row>
    <row r="408" spans="11:11" x14ac:dyDescent="0.15">
      <c r="K408" s="95"/>
    </row>
    <row r="409" spans="11:11" x14ac:dyDescent="0.15">
      <c r="K409" s="95"/>
    </row>
    <row r="410" spans="11:11" x14ac:dyDescent="0.15">
      <c r="K410" s="95"/>
    </row>
    <row r="411" spans="11:11" x14ac:dyDescent="0.15">
      <c r="K411" s="95"/>
    </row>
    <row r="412" spans="11:11" x14ac:dyDescent="0.15">
      <c r="K412" s="95"/>
    </row>
    <row r="413" spans="11:11" x14ac:dyDescent="0.15">
      <c r="K413" s="95"/>
    </row>
    <row r="414" spans="11:11" x14ac:dyDescent="0.15">
      <c r="K414" s="95"/>
    </row>
    <row r="415" spans="11:11" x14ac:dyDescent="0.15">
      <c r="K415" s="95"/>
    </row>
    <row r="416" spans="11:11" x14ac:dyDescent="0.15">
      <c r="K416" s="95"/>
    </row>
    <row r="417" spans="11:11" x14ac:dyDescent="0.15">
      <c r="K417" s="95"/>
    </row>
    <row r="418" spans="11:11" x14ac:dyDescent="0.15">
      <c r="K418" s="95"/>
    </row>
    <row r="419" spans="11:11" x14ac:dyDescent="0.15">
      <c r="K419" s="95"/>
    </row>
    <row r="420" spans="11:11" x14ac:dyDescent="0.15">
      <c r="K420" s="95"/>
    </row>
    <row r="421" spans="11:11" x14ac:dyDescent="0.15">
      <c r="K421" s="95"/>
    </row>
    <row r="422" spans="11:11" x14ac:dyDescent="0.15">
      <c r="K422" s="95"/>
    </row>
    <row r="423" spans="11:11" x14ac:dyDescent="0.15">
      <c r="K423" s="95"/>
    </row>
    <row r="424" spans="11:11" x14ac:dyDescent="0.15">
      <c r="K424" s="95"/>
    </row>
    <row r="425" spans="11:11" x14ac:dyDescent="0.15">
      <c r="K425" s="95"/>
    </row>
    <row r="426" spans="11:11" x14ac:dyDescent="0.15">
      <c r="K426" s="95"/>
    </row>
    <row r="427" spans="11:11" x14ac:dyDescent="0.15">
      <c r="K427" s="95"/>
    </row>
    <row r="428" spans="11:11" x14ac:dyDescent="0.15">
      <c r="K428" s="95"/>
    </row>
    <row r="429" spans="11:11" x14ac:dyDescent="0.15">
      <c r="K429" s="95"/>
    </row>
    <row r="430" spans="11:11" x14ac:dyDescent="0.15">
      <c r="K430" s="95"/>
    </row>
    <row r="431" spans="11:11" x14ac:dyDescent="0.15">
      <c r="K431" s="95"/>
    </row>
    <row r="432" spans="11:11" x14ac:dyDescent="0.15">
      <c r="K432" s="95"/>
    </row>
    <row r="433" spans="11:11" x14ac:dyDescent="0.15">
      <c r="K433" s="95"/>
    </row>
    <row r="434" spans="11:11" x14ac:dyDescent="0.15">
      <c r="K434" s="95"/>
    </row>
    <row r="435" spans="11:11" x14ac:dyDescent="0.15">
      <c r="K435" s="95"/>
    </row>
    <row r="436" spans="11:11" x14ac:dyDescent="0.15">
      <c r="K436" s="95"/>
    </row>
    <row r="437" spans="11:11" x14ac:dyDescent="0.15">
      <c r="K437" s="95"/>
    </row>
    <row r="438" spans="11:11" x14ac:dyDescent="0.15">
      <c r="K438" s="95"/>
    </row>
    <row r="439" spans="11:11" x14ac:dyDescent="0.15">
      <c r="K439" s="95"/>
    </row>
    <row r="440" spans="11:11" x14ac:dyDescent="0.15">
      <c r="K440" s="95"/>
    </row>
    <row r="441" spans="11:11" x14ac:dyDescent="0.15">
      <c r="K441" s="95"/>
    </row>
    <row r="442" spans="11:11" x14ac:dyDescent="0.15">
      <c r="K442" s="95"/>
    </row>
    <row r="443" spans="11:11" x14ac:dyDescent="0.15">
      <c r="K443" s="95"/>
    </row>
    <row r="444" spans="11:11" x14ac:dyDescent="0.15">
      <c r="K444" s="95"/>
    </row>
    <row r="445" spans="11:11" x14ac:dyDescent="0.15">
      <c r="K445" s="95"/>
    </row>
    <row r="446" spans="11:11" x14ac:dyDescent="0.15">
      <c r="K446" s="95"/>
    </row>
    <row r="447" spans="11:11" x14ac:dyDescent="0.15">
      <c r="K447" s="95"/>
    </row>
    <row r="448" spans="11:11" x14ac:dyDescent="0.15">
      <c r="K448" s="95"/>
    </row>
    <row r="449" spans="11:11" x14ac:dyDescent="0.15">
      <c r="K449" s="95"/>
    </row>
    <row r="450" spans="11:11" x14ac:dyDescent="0.15">
      <c r="K450" s="95"/>
    </row>
    <row r="451" spans="11:11" x14ac:dyDescent="0.15">
      <c r="K451" s="95"/>
    </row>
    <row r="452" spans="11:11" x14ac:dyDescent="0.15">
      <c r="K452" s="95"/>
    </row>
    <row r="453" spans="11:11" x14ac:dyDescent="0.15">
      <c r="K453" s="95"/>
    </row>
    <row r="454" spans="11:11" x14ac:dyDescent="0.15">
      <c r="K454" s="95"/>
    </row>
    <row r="455" spans="11:11" x14ac:dyDescent="0.15">
      <c r="K455" s="95"/>
    </row>
    <row r="456" spans="11:11" x14ac:dyDescent="0.15">
      <c r="K456" s="95"/>
    </row>
    <row r="457" spans="11:11" x14ac:dyDescent="0.15">
      <c r="K457" s="95"/>
    </row>
    <row r="458" spans="11:11" x14ac:dyDescent="0.15">
      <c r="K458" s="95"/>
    </row>
    <row r="459" spans="11:11" x14ac:dyDescent="0.15">
      <c r="K459" s="95"/>
    </row>
    <row r="460" spans="11:11" x14ac:dyDescent="0.15">
      <c r="K460" s="95"/>
    </row>
    <row r="461" spans="11:11" x14ac:dyDescent="0.15">
      <c r="K461" s="95"/>
    </row>
    <row r="462" spans="11:11" x14ac:dyDescent="0.15">
      <c r="K462" s="95"/>
    </row>
    <row r="463" spans="11:11" x14ac:dyDescent="0.15">
      <c r="K463" s="95"/>
    </row>
    <row r="464" spans="11:11" x14ac:dyDescent="0.15">
      <c r="K464" s="95"/>
    </row>
    <row r="465" spans="11:11" x14ac:dyDescent="0.15">
      <c r="K465" s="95"/>
    </row>
    <row r="466" spans="11:11" x14ac:dyDescent="0.15">
      <c r="K466" s="95"/>
    </row>
    <row r="467" spans="11:11" x14ac:dyDescent="0.15">
      <c r="K467" s="95"/>
    </row>
    <row r="468" spans="11:11" x14ac:dyDescent="0.15">
      <c r="K468" s="95"/>
    </row>
    <row r="469" spans="11:11" x14ac:dyDescent="0.15">
      <c r="K469" s="95"/>
    </row>
    <row r="470" spans="11:11" x14ac:dyDescent="0.15">
      <c r="K470" s="95"/>
    </row>
    <row r="471" spans="11:11" x14ac:dyDescent="0.15">
      <c r="K471" s="95"/>
    </row>
    <row r="472" spans="11:11" x14ac:dyDescent="0.15">
      <c r="K472" s="95"/>
    </row>
    <row r="473" spans="11:11" x14ac:dyDescent="0.15">
      <c r="K473" s="95"/>
    </row>
    <row r="474" spans="11:11" x14ac:dyDescent="0.15">
      <c r="K474" s="95"/>
    </row>
    <row r="475" spans="11:11" x14ac:dyDescent="0.15">
      <c r="K475" s="95"/>
    </row>
    <row r="476" spans="11:11" x14ac:dyDescent="0.15">
      <c r="K476" s="95"/>
    </row>
    <row r="477" spans="11:11" x14ac:dyDescent="0.15">
      <c r="K477" s="95"/>
    </row>
    <row r="478" spans="11:11" x14ac:dyDescent="0.15">
      <c r="K478" s="95"/>
    </row>
    <row r="479" spans="11:11" x14ac:dyDescent="0.15">
      <c r="K479" s="95"/>
    </row>
    <row r="480" spans="11:11" x14ac:dyDescent="0.15">
      <c r="K480" s="95"/>
    </row>
    <row r="481" spans="11:11" x14ac:dyDescent="0.15">
      <c r="K481" s="95"/>
    </row>
    <row r="482" spans="11:11" x14ac:dyDescent="0.15">
      <c r="K482" s="95"/>
    </row>
    <row r="483" spans="11:11" x14ac:dyDescent="0.15">
      <c r="K483" s="95"/>
    </row>
    <row r="484" spans="11:11" x14ac:dyDescent="0.15">
      <c r="K484" s="95"/>
    </row>
    <row r="485" spans="11:11" x14ac:dyDescent="0.15">
      <c r="K485" s="95"/>
    </row>
    <row r="486" spans="11:11" x14ac:dyDescent="0.15">
      <c r="K486" s="95"/>
    </row>
    <row r="487" spans="11:11" x14ac:dyDescent="0.15">
      <c r="K487" s="95"/>
    </row>
    <row r="488" spans="11:11" x14ac:dyDescent="0.15">
      <c r="K488" s="95"/>
    </row>
    <row r="489" spans="11:11" x14ac:dyDescent="0.15">
      <c r="K489" s="95"/>
    </row>
    <row r="490" spans="11:11" x14ac:dyDescent="0.15">
      <c r="K490" s="95"/>
    </row>
    <row r="491" spans="11:11" x14ac:dyDescent="0.15">
      <c r="K491" s="95"/>
    </row>
    <row r="492" spans="11:11" x14ac:dyDescent="0.15">
      <c r="K492" s="95"/>
    </row>
    <row r="493" spans="11:11" x14ac:dyDescent="0.15">
      <c r="K493" s="95"/>
    </row>
    <row r="494" spans="11:11" x14ac:dyDescent="0.15">
      <c r="K494" s="95"/>
    </row>
    <row r="495" spans="11:11" x14ac:dyDescent="0.15">
      <c r="K495" s="95"/>
    </row>
    <row r="496" spans="11:11" x14ac:dyDescent="0.15">
      <c r="K496" s="95"/>
    </row>
    <row r="497" spans="11:11" x14ac:dyDescent="0.15">
      <c r="K497" s="95"/>
    </row>
    <row r="498" spans="11:11" x14ac:dyDescent="0.15">
      <c r="K498" s="95"/>
    </row>
    <row r="499" spans="11:11" x14ac:dyDescent="0.15">
      <c r="K499" s="95"/>
    </row>
    <row r="500" spans="11:11" x14ac:dyDescent="0.15">
      <c r="K500" s="95"/>
    </row>
    <row r="501" spans="11:11" x14ac:dyDescent="0.15">
      <c r="K501" s="95"/>
    </row>
    <row r="502" spans="11:11" x14ac:dyDescent="0.15">
      <c r="K502" s="95"/>
    </row>
    <row r="503" spans="11:11" x14ac:dyDescent="0.15">
      <c r="K503" s="95"/>
    </row>
    <row r="504" spans="11:11" x14ac:dyDescent="0.15">
      <c r="K504" s="95"/>
    </row>
    <row r="505" spans="11:11" x14ac:dyDescent="0.15">
      <c r="K505" s="95"/>
    </row>
    <row r="506" spans="11:11" x14ac:dyDescent="0.15">
      <c r="K506" s="95"/>
    </row>
    <row r="507" spans="11:11" x14ac:dyDescent="0.15">
      <c r="K507" s="95"/>
    </row>
    <row r="508" spans="11:11" x14ac:dyDescent="0.15">
      <c r="K508" s="95"/>
    </row>
    <row r="509" spans="11:11" x14ac:dyDescent="0.15">
      <c r="K509" s="95"/>
    </row>
    <row r="510" spans="11:11" x14ac:dyDescent="0.15">
      <c r="K510" s="95"/>
    </row>
    <row r="511" spans="11:11" x14ac:dyDescent="0.15">
      <c r="K511" s="95"/>
    </row>
    <row r="512" spans="11:11" x14ac:dyDescent="0.15">
      <c r="K512" s="95"/>
    </row>
    <row r="513" spans="11:11" x14ac:dyDescent="0.15">
      <c r="K513" s="95"/>
    </row>
    <row r="514" spans="11:11" x14ac:dyDescent="0.15">
      <c r="K514" s="95"/>
    </row>
    <row r="515" spans="11:11" x14ac:dyDescent="0.15">
      <c r="K515" s="95"/>
    </row>
    <row r="516" spans="11:11" x14ac:dyDescent="0.15">
      <c r="K516" s="95"/>
    </row>
    <row r="517" spans="11:11" x14ac:dyDescent="0.15">
      <c r="K517" s="95"/>
    </row>
    <row r="518" spans="11:11" x14ac:dyDescent="0.15">
      <c r="K518" s="95"/>
    </row>
    <row r="519" spans="11:11" x14ac:dyDescent="0.15">
      <c r="K519" s="95"/>
    </row>
    <row r="520" spans="11:11" x14ac:dyDescent="0.15">
      <c r="K520" s="95"/>
    </row>
    <row r="521" spans="11:11" x14ac:dyDescent="0.15">
      <c r="K521" s="95"/>
    </row>
    <row r="522" spans="11:11" x14ac:dyDescent="0.15">
      <c r="K522" s="95"/>
    </row>
    <row r="523" spans="11:11" x14ac:dyDescent="0.15">
      <c r="K523" s="95"/>
    </row>
    <row r="524" spans="11:11" x14ac:dyDescent="0.15">
      <c r="K524" s="95"/>
    </row>
    <row r="525" spans="11:11" x14ac:dyDescent="0.15">
      <c r="K525" s="95"/>
    </row>
    <row r="526" spans="11:11" x14ac:dyDescent="0.15">
      <c r="K526" s="95"/>
    </row>
    <row r="527" spans="11:11" x14ac:dyDescent="0.15">
      <c r="K527" s="95"/>
    </row>
    <row r="528" spans="11:11" x14ac:dyDescent="0.15">
      <c r="K528" s="95"/>
    </row>
    <row r="529" spans="11:11" x14ac:dyDescent="0.15">
      <c r="K529" s="95"/>
    </row>
    <row r="530" spans="11:11" x14ac:dyDescent="0.15">
      <c r="K530" s="95"/>
    </row>
    <row r="531" spans="11:11" x14ac:dyDescent="0.15">
      <c r="K531" s="95"/>
    </row>
    <row r="532" spans="11:11" x14ac:dyDescent="0.15">
      <c r="K532" s="95"/>
    </row>
    <row r="533" spans="11:11" x14ac:dyDescent="0.15">
      <c r="K533" s="95"/>
    </row>
    <row r="534" spans="11:11" x14ac:dyDescent="0.15">
      <c r="K534" s="95"/>
    </row>
    <row r="535" spans="11:11" x14ac:dyDescent="0.15">
      <c r="K535" s="95"/>
    </row>
    <row r="536" spans="11:11" x14ac:dyDescent="0.15">
      <c r="K536" s="95"/>
    </row>
    <row r="537" spans="11:11" x14ac:dyDescent="0.15">
      <c r="K537" s="95"/>
    </row>
    <row r="538" spans="11:11" x14ac:dyDescent="0.15">
      <c r="K538" s="95"/>
    </row>
    <row r="539" spans="11:11" x14ac:dyDescent="0.15">
      <c r="K539" s="95"/>
    </row>
    <row r="540" spans="11:11" x14ac:dyDescent="0.15">
      <c r="K540" s="95"/>
    </row>
    <row r="541" spans="11:11" x14ac:dyDescent="0.15">
      <c r="K541" s="95"/>
    </row>
    <row r="542" spans="11:11" x14ac:dyDescent="0.15">
      <c r="K542" s="95"/>
    </row>
    <row r="543" spans="11:11" x14ac:dyDescent="0.15">
      <c r="K543" s="95"/>
    </row>
    <row r="544" spans="11:11" x14ac:dyDescent="0.15">
      <c r="K544" s="95"/>
    </row>
    <row r="545" spans="11:11" x14ac:dyDescent="0.15">
      <c r="K545" s="95"/>
    </row>
    <row r="546" spans="11:11" x14ac:dyDescent="0.15">
      <c r="K546" s="95"/>
    </row>
    <row r="547" spans="11:11" x14ac:dyDescent="0.15">
      <c r="K547" s="95"/>
    </row>
    <row r="548" spans="11:11" x14ac:dyDescent="0.15">
      <c r="K548" s="95"/>
    </row>
    <row r="549" spans="11:11" x14ac:dyDescent="0.15">
      <c r="K549" s="95"/>
    </row>
    <row r="550" spans="11:11" x14ac:dyDescent="0.15">
      <c r="K550" s="95"/>
    </row>
    <row r="551" spans="11:11" x14ac:dyDescent="0.15">
      <c r="K551" s="95"/>
    </row>
    <row r="552" spans="11:11" x14ac:dyDescent="0.15">
      <c r="K552" s="95"/>
    </row>
    <row r="553" spans="11:11" x14ac:dyDescent="0.15">
      <c r="K553" s="95"/>
    </row>
    <row r="554" spans="11:11" x14ac:dyDescent="0.15">
      <c r="K554" s="95"/>
    </row>
    <row r="555" spans="11:11" x14ac:dyDescent="0.15">
      <c r="K555" s="95"/>
    </row>
    <row r="556" spans="11:11" x14ac:dyDescent="0.15">
      <c r="K556" s="95"/>
    </row>
    <row r="557" spans="11:11" x14ac:dyDescent="0.15">
      <c r="K557" s="95"/>
    </row>
    <row r="558" spans="11:11" x14ac:dyDescent="0.15">
      <c r="K558" s="95"/>
    </row>
    <row r="559" spans="11:11" x14ac:dyDescent="0.15">
      <c r="K559" s="95"/>
    </row>
    <row r="560" spans="11:11" x14ac:dyDescent="0.15">
      <c r="K560" s="95"/>
    </row>
    <row r="561" spans="11:11" x14ac:dyDescent="0.15">
      <c r="K561" s="95"/>
    </row>
    <row r="562" spans="11:11" x14ac:dyDescent="0.15">
      <c r="K562" s="95"/>
    </row>
    <row r="563" spans="11:11" x14ac:dyDescent="0.15">
      <c r="K563" s="95"/>
    </row>
    <row r="564" spans="11:11" x14ac:dyDescent="0.15">
      <c r="K564" s="95"/>
    </row>
    <row r="565" spans="11:11" x14ac:dyDescent="0.15">
      <c r="K565" s="95"/>
    </row>
    <row r="566" spans="11:11" x14ac:dyDescent="0.15">
      <c r="K566" s="95"/>
    </row>
    <row r="567" spans="11:11" x14ac:dyDescent="0.15">
      <c r="K567" s="95"/>
    </row>
    <row r="568" spans="11:11" x14ac:dyDescent="0.15">
      <c r="K568" s="95"/>
    </row>
    <row r="569" spans="11:11" x14ac:dyDescent="0.15">
      <c r="K569" s="95"/>
    </row>
    <row r="570" spans="11:11" x14ac:dyDescent="0.15">
      <c r="K570" s="95"/>
    </row>
    <row r="571" spans="11:11" x14ac:dyDescent="0.15">
      <c r="K571" s="95"/>
    </row>
    <row r="572" spans="11:11" x14ac:dyDescent="0.15">
      <c r="K572" s="95"/>
    </row>
    <row r="573" spans="11:11" x14ac:dyDescent="0.15">
      <c r="K573" s="95"/>
    </row>
    <row r="574" spans="11:11" x14ac:dyDescent="0.15">
      <c r="K574" s="95"/>
    </row>
    <row r="575" spans="11:11" x14ac:dyDescent="0.15">
      <c r="K575" s="95"/>
    </row>
    <row r="576" spans="11:11" x14ac:dyDescent="0.15">
      <c r="K576" s="95"/>
    </row>
    <row r="577" spans="11:11" x14ac:dyDescent="0.15">
      <c r="K577" s="95"/>
    </row>
    <row r="578" spans="11:11" x14ac:dyDescent="0.15">
      <c r="K578" s="95"/>
    </row>
    <row r="579" spans="11:11" x14ac:dyDescent="0.15">
      <c r="K579" s="95"/>
    </row>
    <row r="580" spans="11:11" x14ac:dyDescent="0.15">
      <c r="K580" s="95"/>
    </row>
    <row r="581" spans="11:11" x14ac:dyDescent="0.15">
      <c r="K581" s="95"/>
    </row>
    <row r="582" spans="11:11" x14ac:dyDescent="0.15">
      <c r="K582" s="95"/>
    </row>
    <row r="583" spans="11:11" x14ac:dyDescent="0.15">
      <c r="K583" s="95"/>
    </row>
    <row r="584" spans="11:11" x14ac:dyDescent="0.15">
      <c r="K584" s="95"/>
    </row>
    <row r="585" spans="11:11" x14ac:dyDescent="0.15">
      <c r="K585" s="95"/>
    </row>
    <row r="586" spans="11:11" x14ac:dyDescent="0.15">
      <c r="K586" s="95"/>
    </row>
    <row r="587" spans="11:11" x14ac:dyDescent="0.15">
      <c r="K587" s="95"/>
    </row>
    <row r="588" spans="11:11" x14ac:dyDescent="0.15">
      <c r="K588" s="95"/>
    </row>
    <row r="589" spans="11:11" x14ac:dyDescent="0.15">
      <c r="K589" s="95"/>
    </row>
    <row r="590" spans="11:11" x14ac:dyDescent="0.15">
      <c r="K590" s="95"/>
    </row>
    <row r="591" spans="11:11" x14ac:dyDescent="0.15">
      <c r="K591" s="95"/>
    </row>
    <row r="592" spans="11:11" x14ac:dyDescent="0.15">
      <c r="K592" s="95"/>
    </row>
    <row r="593" spans="11:11" x14ac:dyDescent="0.15">
      <c r="K593" s="95"/>
    </row>
    <row r="594" spans="11:11" x14ac:dyDescent="0.15">
      <c r="K594" s="95"/>
    </row>
    <row r="595" spans="11:11" x14ac:dyDescent="0.15">
      <c r="K595" s="95"/>
    </row>
    <row r="596" spans="11:11" x14ac:dyDescent="0.15">
      <c r="K596" s="95"/>
    </row>
    <row r="597" spans="11:11" x14ac:dyDescent="0.15">
      <c r="K597" s="95"/>
    </row>
    <row r="598" spans="11:11" x14ac:dyDescent="0.15">
      <c r="K598" s="95"/>
    </row>
    <row r="599" spans="11:11" x14ac:dyDescent="0.15">
      <c r="K599" s="95"/>
    </row>
    <row r="600" spans="11:11" x14ac:dyDescent="0.15">
      <c r="K600" s="95"/>
    </row>
    <row r="601" spans="11:11" x14ac:dyDescent="0.15">
      <c r="K601" s="95"/>
    </row>
    <row r="602" spans="11:11" x14ac:dyDescent="0.15">
      <c r="K602" s="95"/>
    </row>
    <row r="603" spans="11:11" x14ac:dyDescent="0.15">
      <c r="K603" s="95"/>
    </row>
    <row r="604" spans="11:11" x14ac:dyDescent="0.15">
      <c r="K604" s="95"/>
    </row>
    <row r="605" spans="11:11" x14ac:dyDescent="0.15">
      <c r="K605" s="95"/>
    </row>
    <row r="606" spans="11:11" x14ac:dyDescent="0.15">
      <c r="K606" s="95"/>
    </row>
    <row r="607" spans="11:11" x14ac:dyDescent="0.15">
      <c r="K607" s="95"/>
    </row>
    <row r="608" spans="11:11" x14ac:dyDescent="0.15">
      <c r="K608" s="95"/>
    </row>
    <row r="609" spans="11:11" x14ac:dyDescent="0.15">
      <c r="K609" s="95"/>
    </row>
    <row r="610" spans="11:11" x14ac:dyDescent="0.15">
      <c r="K610" s="95"/>
    </row>
    <row r="611" spans="11:11" x14ac:dyDescent="0.15">
      <c r="K611" s="95"/>
    </row>
    <row r="612" spans="11:11" x14ac:dyDescent="0.15">
      <c r="K612" s="95"/>
    </row>
    <row r="613" spans="11:11" x14ac:dyDescent="0.15">
      <c r="K613" s="95"/>
    </row>
    <row r="614" spans="11:11" x14ac:dyDescent="0.15">
      <c r="K614" s="95"/>
    </row>
    <row r="615" spans="11:11" x14ac:dyDescent="0.15">
      <c r="K615" s="95"/>
    </row>
    <row r="616" spans="11:11" x14ac:dyDescent="0.15">
      <c r="K616" s="95"/>
    </row>
    <row r="617" spans="11:11" x14ac:dyDescent="0.15">
      <c r="K617" s="95"/>
    </row>
    <row r="618" spans="11:11" x14ac:dyDescent="0.15">
      <c r="K618" s="95"/>
    </row>
    <row r="619" spans="11:11" x14ac:dyDescent="0.15">
      <c r="K619" s="95"/>
    </row>
    <row r="620" spans="11:11" x14ac:dyDescent="0.15">
      <c r="K620" s="95"/>
    </row>
    <row r="621" spans="11:11" x14ac:dyDescent="0.15">
      <c r="K621" s="95"/>
    </row>
    <row r="622" spans="11:11" x14ac:dyDescent="0.15">
      <c r="K622" s="95"/>
    </row>
    <row r="623" spans="11:11" x14ac:dyDescent="0.15">
      <c r="K623" s="95"/>
    </row>
    <row r="624" spans="11:11" x14ac:dyDescent="0.15">
      <c r="K624" s="95"/>
    </row>
    <row r="625" spans="11:11" x14ac:dyDescent="0.15">
      <c r="K625" s="95"/>
    </row>
    <row r="626" spans="11:11" x14ac:dyDescent="0.15">
      <c r="K626" s="95"/>
    </row>
    <row r="627" spans="11:11" x14ac:dyDescent="0.15">
      <c r="K627" s="95"/>
    </row>
    <row r="628" spans="11:11" x14ac:dyDescent="0.15">
      <c r="K628" s="95"/>
    </row>
    <row r="629" spans="11:11" x14ac:dyDescent="0.15">
      <c r="K629" s="95"/>
    </row>
    <row r="630" spans="11:11" x14ac:dyDescent="0.15">
      <c r="K630" s="95"/>
    </row>
    <row r="631" spans="11:11" x14ac:dyDescent="0.15">
      <c r="K631" s="95"/>
    </row>
    <row r="632" spans="11:11" x14ac:dyDescent="0.15">
      <c r="K632" s="95"/>
    </row>
    <row r="633" spans="11:11" x14ac:dyDescent="0.15">
      <c r="K633" s="95"/>
    </row>
    <row r="634" spans="11:11" x14ac:dyDescent="0.15">
      <c r="K634" s="95"/>
    </row>
    <row r="635" spans="11:11" x14ac:dyDescent="0.15">
      <c r="K635" s="95"/>
    </row>
    <row r="636" spans="11:11" x14ac:dyDescent="0.15">
      <c r="K636" s="95"/>
    </row>
    <row r="637" spans="11:11" x14ac:dyDescent="0.15">
      <c r="K637" s="95"/>
    </row>
    <row r="638" spans="11:11" x14ac:dyDescent="0.15">
      <c r="K638" s="95"/>
    </row>
    <row r="639" spans="11:11" x14ac:dyDescent="0.15">
      <c r="K639" s="95"/>
    </row>
    <row r="640" spans="11:11" x14ac:dyDescent="0.15">
      <c r="K640" s="95"/>
    </row>
    <row r="641" spans="11:11" x14ac:dyDescent="0.15">
      <c r="K641" s="95"/>
    </row>
    <row r="642" spans="11:11" x14ac:dyDescent="0.15">
      <c r="K642" s="95"/>
    </row>
    <row r="643" spans="11:11" x14ac:dyDescent="0.15">
      <c r="K643" s="95"/>
    </row>
    <row r="644" spans="11:11" x14ac:dyDescent="0.15">
      <c r="K644" s="95"/>
    </row>
    <row r="645" spans="11:11" x14ac:dyDescent="0.15">
      <c r="K645" s="95"/>
    </row>
    <row r="646" spans="11:11" x14ac:dyDescent="0.15">
      <c r="K646" s="95"/>
    </row>
    <row r="647" spans="11:11" x14ac:dyDescent="0.15">
      <c r="K647" s="95"/>
    </row>
    <row r="648" spans="11:11" x14ac:dyDescent="0.15">
      <c r="K648" s="95"/>
    </row>
    <row r="649" spans="11:11" x14ac:dyDescent="0.15">
      <c r="K649" s="95"/>
    </row>
    <row r="650" spans="11:11" x14ac:dyDescent="0.15">
      <c r="K650" s="95"/>
    </row>
    <row r="651" spans="11:11" x14ac:dyDescent="0.15">
      <c r="K651" s="95"/>
    </row>
    <row r="652" spans="11:11" x14ac:dyDescent="0.15">
      <c r="K652" s="95"/>
    </row>
    <row r="653" spans="11:11" x14ac:dyDescent="0.15">
      <c r="K653" s="95"/>
    </row>
    <row r="654" spans="11:11" x14ac:dyDescent="0.15">
      <c r="K654" s="95"/>
    </row>
    <row r="655" spans="11:11" x14ac:dyDescent="0.15">
      <c r="K655" s="95"/>
    </row>
    <row r="656" spans="11:11" x14ac:dyDescent="0.15">
      <c r="K656" s="95"/>
    </row>
    <row r="657" spans="11:11" x14ac:dyDescent="0.15">
      <c r="K657" s="95"/>
    </row>
    <row r="658" spans="11:11" x14ac:dyDescent="0.15">
      <c r="K658" s="95"/>
    </row>
    <row r="659" spans="11:11" x14ac:dyDescent="0.15">
      <c r="K659" s="95"/>
    </row>
    <row r="660" spans="11:11" x14ac:dyDescent="0.15">
      <c r="K660" s="95"/>
    </row>
    <row r="661" spans="11:11" x14ac:dyDescent="0.15">
      <c r="K661" s="95"/>
    </row>
    <row r="662" spans="11:11" x14ac:dyDescent="0.15">
      <c r="K662" s="95"/>
    </row>
    <row r="663" spans="11:11" x14ac:dyDescent="0.15">
      <c r="K663" s="95"/>
    </row>
    <row r="664" spans="11:11" x14ac:dyDescent="0.15">
      <c r="K664" s="95"/>
    </row>
    <row r="665" spans="11:11" x14ac:dyDescent="0.15">
      <c r="K665" s="95"/>
    </row>
    <row r="666" spans="11:11" x14ac:dyDescent="0.15">
      <c r="K666" s="95"/>
    </row>
    <row r="667" spans="11:11" x14ac:dyDescent="0.15">
      <c r="K667" s="95"/>
    </row>
    <row r="668" spans="11:11" x14ac:dyDescent="0.15">
      <c r="K668" s="95"/>
    </row>
    <row r="669" spans="11:11" x14ac:dyDescent="0.15">
      <c r="K669" s="95"/>
    </row>
    <row r="670" spans="11:11" x14ac:dyDescent="0.15">
      <c r="K670" s="95"/>
    </row>
    <row r="671" spans="11:11" x14ac:dyDescent="0.15">
      <c r="K671" s="95"/>
    </row>
    <row r="672" spans="11:11" x14ac:dyDescent="0.15">
      <c r="K672" s="95"/>
    </row>
    <row r="673" spans="11:11" x14ac:dyDescent="0.15">
      <c r="K673" s="95"/>
    </row>
    <row r="674" spans="11:11" x14ac:dyDescent="0.15">
      <c r="K674" s="95"/>
    </row>
    <row r="675" spans="11:11" x14ac:dyDescent="0.15">
      <c r="K675" s="95"/>
    </row>
    <row r="676" spans="11:11" x14ac:dyDescent="0.15">
      <c r="K676" s="95"/>
    </row>
    <row r="677" spans="11:11" x14ac:dyDescent="0.15">
      <c r="K677" s="95"/>
    </row>
    <row r="678" spans="11:11" x14ac:dyDescent="0.15">
      <c r="K678" s="95"/>
    </row>
    <row r="679" spans="11:11" x14ac:dyDescent="0.15">
      <c r="K679" s="95"/>
    </row>
    <row r="680" spans="11:11" x14ac:dyDescent="0.15">
      <c r="K680" s="95"/>
    </row>
    <row r="681" spans="11:11" x14ac:dyDescent="0.15">
      <c r="K681" s="95"/>
    </row>
    <row r="682" spans="11:11" x14ac:dyDescent="0.15">
      <c r="K682" s="95"/>
    </row>
    <row r="683" spans="11:11" x14ac:dyDescent="0.15">
      <c r="K683" s="95"/>
    </row>
    <row r="684" spans="11:11" x14ac:dyDescent="0.15">
      <c r="K684" s="95"/>
    </row>
    <row r="685" spans="11:11" x14ac:dyDescent="0.15">
      <c r="K685" s="95"/>
    </row>
    <row r="686" spans="11:11" x14ac:dyDescent="0.15">
      <c r="K686" s="95"/>
    </row>
    <row r="687" spans="11:11" x14ac:dyDescent="0.15">
      <c r="K687" s="95"/>
    </row>
    <row r="688" spans="11:11" x14ac:dyDescent="0.15">
      <c r="K688" s="95"/>
    </row>
    <row r="689" spans="11:11" x14ac:dyDescent="0.15">
      <c r="K689" s="95"/>
    </row>
    <row r="690" spans="11:11" x14ac:dyDescent="0.15">
      <c r="K690" s="95"/>
    </row>
    <row r="691" spans="11:11" x14ac:dyDescent="0.15">
      <c r="K691" s="95"/>
    </row>
    <row r="692" spans="11:11" x14ac:dyDescent="0.15">
      <c r="K692" s="95"/>
    </row>
    <row r="693" spans="11:11" x14ac:dyDescent="0.15">
      <c r="K693" s="95"/>
    </row>
    <row r="694" spans="11:11" x14ac:dyDescent="0.15">
      <c r="K694" s="95"/>
    </row>
    <row r="695" spans="11:11" x14ac:dyDescent="0.15">
      <c r="K695" s="95"/>
    </row>
    <row r="696" spans="11:11" x14ac:dyDescent="0.15">
      <c r="K696" s="95"/>
    </row>
    <row r="697" spans="11:11" x14ac:dyDescent="0.15">
      <c r="K697" s="95"/>
    </row>
    <row r="698" spans="11:11" x14ac:dyDescent="0.15">
      <c r="K698" s="95"/>
    </row>
    <row r="699" spans="11:11" x14ac:dyDescent="0.15">
      <c r="K699" s="95"/>
    </row>
    <row r="700" spans="11:11" x14ac:dyDescent="0.15">
      <c r="K700" s="95"/>
    </row>
    <row r="701" spans="11:11" x14ac:dyDescent="0.15">
      <c r="K701" s="95"/>
    </row>
    <row r="702" spans="11:11" x14ac:dyDescent="0.15">
      <c r="K702" s="95"/>
    </row>
    <row r="703" spans="11:11" x14ac:dyDescent="0.15">
      <c r="K703" s="95"/>
    </row>
    <row r="704" spans="11:11" x14ac:dyDescent="0.15">
      <c r="K704" s="95"/>
    </row>
    <row r="705" spans="11:11" x14ac:dyDescent="0.15">
      <c r="K705" s="95"/>
    </row>
    <row r="706" spans="11:11" x14ac:dyDescent="0.15">
      <c r="K706" s="95"/>
    </row>
    <row r="707" spans="11:11" x14ac:dyDescent="0.15">
      <c r="K707" s="95"/>
    </row>
    <row r="708" spans="11:11" x14ac:dyDescent="0.15">
      <c r="K708" s="95"/>
    </row>
    <row r="709" spans="11:11" x14ac:dyDescent="0.15">
      <c r="K709" s="95"/>
    </row>
    <row r="710" spans="11:11" x14ac:dyDescent="0.15">
      <c r="K710" s="95"/>
    </row>
    <row r="711" spans="11:11" x14ac:dyDescent="0.15">
      <c r="K711" s="95"/>
    </row>
    <row r="712" spans="11:11" x14ac:dyDescent="0.15">
      <c r="K712" s="95"/>
    </row>
    <row r="713" spans="11:11" x14ac:dyDescent="0.15">
      <c r="K713" s="95"/>
    </row>
    <row r="714" spans="11:11" x14ac:dyDescent="0.15">
      <c r="K714" s="95"/>
    </row>
    <row r="715" spans="11:11" x14ac:dyDescent="0.15">
      <c r="K715" s="95"/>
    </row>
    <row r="716" spans="11:11" x14ac:dyDescent="0.15">
      <c r="K716" s="95"/>
    </row>
    <row r="717" spans="11:11" x14ac:dyDescent="0.15">
      <c r="K717" s="95"/>
    </row>
    <row r="718" spans="11:11" x14ac:dyDescent="0.15">
      <c r="K718" s="95"/>
    </row>
    <row r="719" spans="11:11" x14ac:dyDescent="0.15">
      <c r="K719" s="95"/>
    </row>
    <row r="720" spans="11:11" x14ac:dyDescent="0.15">
      <c r="K720" s="95"/>
    </row>
    <row r="721" spans="11:11" x14ac:dyDescent="0.15">
      <c r="K721" s="95"/>
    </row>
    <row r="722" spans="11:11" x14ac:dyDescent="0.15">
      <c r="K722" s="95"/>
    </row>
    <row r="723" spans="11:11" x14ac:dyDescent="0.15">
      <c r="K723" s="95"/>
    </row>
    <row r="724" spans="11:11" x14ac:dyDescent="0.15">
      <c r="K724" s="95"/>
    </row>
    <row r="725" spans="11:11" x14ac:dyDescent="0.15">
      <c r="K725" s="95"/>
    </row>
  </sheetData>
  <autoFilter ref="A1:BA70"/>
  <phoneticPr fontId="3"/>
  <dataValidations count="12">
    <dataValidation type="list" allowBlank="1" showInputMessage="1" showErrorMessage="1" sqref="K2:K725">
      <formula1>$AR$2:$AR$22</formula1>
    </dataValidation>
    <dataValidation type="list" allowBlank="1" showInputMessage="1" showErrorMessage="1" sqref="A2:A412">
      <formula1>$AE$2:$AE$19</formula1>
    </dataValidation>
    <dataValidation type="list" allowBlank="1" showInputMessage="1" showErrorMessage="1" sqref="Y2:AA413">
      <formula1>$AV$2:$AV$21</formula1>
    </dataValidation>
    <dataValidation type="list" allowBlank="1" showInputMessage="1" showErrorMessage="1" sqref="H2:H413">
      <formula1>$AL$2:$AL$8</formula1>
    </dataValidation>
    <dataValidation type="list" allowBlank="1" showInputMessage="1" showErrorMessage="1" sqref="X2:X413">
      <formula1>$AT$2:$AT$3</formula1>
    </dataValidation>
    <dataValidation type="list" allowBlank="1" showInputMessage="1" showErrorMessage="1" sqref="G2:G413">
      <formula1>$AJ$2:$AJ$4</formula1>
    </dataValidation>
    <dataValidation type="list" allowBlank="1" showInputMessage="1" showErrorMessage="1" sqref="I2:I413">
      <formula1>$AN$5:$AN$6</formula1>
    </dataValidation>
    <dataValidation type="list" allowBlank="1" showInputMessage="1" showErrorMessage="1" sqref="J2:J413">
      <formula1>$AP$2:$AP$22</formula1>
    </dataValidation>
    <dataValidation type="list" allowBlank="1" showInputMessage="1" showErrorMessage="1" sqref="F2:F413">
      <formula1>$AH$2:$AH$11</formula1>
    </dataValidation>
    <dataValidation type="list" allowBlank="1" showInputMessage="1" showErrorMessage="1" sqref="E2:E413">
      <formula1>$AG$2:$AG$11</formula1>
    </dataValidation>
    <dataValidation operator="equal" allowBlank="1" showInputMessage="1" showErrorMessage="1" sqref="B2:B70"/>
    <dataValidation type="decimal" allowBlank="1" showInputMessage="1" showErrorMessage="1" error="硬度を正しく入力して下さい。" sqref="O2:P43 O50:P413">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5B662FE-4D61-45DD-AA67-2ACEB53479C0}"/>
</file>

<file path=customXml/itemProps2.xml><?xml version="1.0" encoding="utf-8"?>
<ds:datastoreItem xmlns:ds="http://schemas.openxmlformats.org/officeDocument/2006/customXml" ds:itemID="{A7E2DA25-EABF-4EF1-81D3-F00E1BF9CD04}"/>
</file>

<file path=customXml/itemProps3.xml><?xml version="1.0" encoding="utf-8"?>
<ds:datastoreItem xmlns:ds="http://schemas.openxmlformats.org/officeDocument/2006/customXml" ds:itemID="{0AB2F93B-A86B-4F99-8195-D65AE46B66B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2018-12-10T09:04:19Z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